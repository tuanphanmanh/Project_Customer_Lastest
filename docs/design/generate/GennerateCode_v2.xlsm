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generate\"/>
    </mc:Choice>
  </mc:AlternateContent>
  <xr:revisionPtr revIDLastSave="0" documentId="13_ncr:1_{A9DECD7A-C81D-4EBD-BA0D-FD24194CEF21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component.ts" sheetId="8" state="hidden" r:id="rId6"/>
    <sheet name="component.html" sheetId="10" state="hidden" r:id="rId7"/>
    <sheet name="modal.component.ts" sheetId="11" state="hidden" r:id="rId8"/>
    <sheet name="modal.component.html" sheetId="12" state="hidden" r:id="rId9"/>
    <sheet name="module.ts" sheetId="13" state="hidden" r:id="rId10"/>
    <sheet name="routing.module.ts" sheetId="14" state="hidden" r:id="rId11"/>
    <sheet name="app.navigation.service.ts" sheetId="15" state="hidden" r:id="rId12"/>
    <sheet name="adminrouting.module.ts" sheetId="1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" l="1"/>
  <c r="R3" i="1"/>
  <c r="P5" i="1"/>
  <c r="Q3" i="1"/>
  <c r="D1" i="1"/>
  <c r="F4" i="1"/>
  <c r="D8" i="1" l="1"/>
  <c r="D9" i="1"/>
  <c r="D7" i="1"/>
  <c r="V7" i="1" l="1"/>
  <c r="T7" i="1"/>
  <c r="T9" i="1"/>
  <c r="V9" i="1"/>
  <c r="V8" i="1"/>
  <c r="T8" i="1"/>
  <c r="L9" i="1"/>
  <c r="G7" i="1"/>
  <c r="G8" i="1"/>
  <c r="G9" i="1"/>
  <c r="E7" i="1"/>
  <c r="H7" i="1" s="1"/>
  <c r="E8" i="1"/>
  <c r="H8" i="1" s="1"/>
  <c r="E9" i="1"/>
  <c r="H9" i="1" s="1"/>
  <c r="P7" i="1"/>
  <c r="P8" i="1"/>
  <c r="P9" i="1"/>
  <c r="H1" i="16"/>
  <c r="G1" i="16"/>
  <c r="D1" i="16"/>
  <c r="I1" i="15"/>
  <c r="G1" i="15"/>
  <c r="D1" i="15"/>
  <c r="G1" i="14"/>
  <c r="E1" i="14"/>
  <c r="A17" i="14" s="1"/>
  <c r="B1" i="14"/>
  <c r="G1" i="13"/>
  <c r="E1" i="13"/>
  <c r="A12" i="13" s="1"/>
  <c r="B1" i="13"/>
  <c r="O2" i="12"/>
  <c r="O3" i="12"/>
  <c r="P3" i="12" s="1"/>
  <c r="O4" i="12"/>
  <c r="P4" i="12" s="1"/>
  <c r="O5" i="12"/>
  <c r="P5" i="12" s="1"/>
  <c r="O6" i="12"/>
  <c r="P6" i="12" s="1"/>
  <c r="O7" i="12"/>
  <c r="P7" i="12" s="1"/>
  <c r="Q7" i="12" s="1"/>
  <c r="O8" i="12"/>
  <c r="P8" i="12" s="1"/>
  <c r="O1" i="12"/>
  <c r="P1" i="12" s="1"/>
  <c r="G1" i="12"/>
  <c r="E1" i="12"/>
  <c r="A8" i="12" s="1"/>
  <c r="B1" i="12"/>
  <c r="G1" i="11"/>
  <c r="A14" i="11" s="1"/>
  <c r="E1" i="11"/>
  <c r="B1" i="11"/>
  <c r="A38" i="11" s="1"/>
  <c r="K1" i="10"/>
  <c r="I1" i="10"/>
  <c r="A76" i="10" s="1"/>
  <c r="F1" i="10"/>
  <c r="G1" i="8"/>
  <c r="E1" i="8"/>
  <c r="B1" i="8"/>
  <c r="G7" i="5"/>
  <c r="F7" i="5"/>
  <c r="E7" i="5"/>
  <c r="D7" i="5"/>
  <c r="C7" i="5"/>
  <c r="B7" i="5"/>
  <c r="T11" i="1"/>
  <c r="V11" i="1"/>
  <c r="A37" i="11" l="1"/>
  <c r="A12" i="11"/>
  <c r="A95" i="10"/>
  <c r="A32" i="11"/>
  <c r="A7" i="11"/>
  <c r="A24" i="11"/>
  <c r="A16" i="13"/>
  <c r="T5" i="1"/>
  <c r="O9" i="1"/>
  <c r="M9" i="1"/>
  <c r="I9" i="1"/>
  <c r="O8" i="1"/>
  <c r="M8" i="1"/>
  <c r="I8" i="1"/>
  <c r="O7" i="1"/>
  <c r="M7" i="1"/>
  <c r="I7" i="1"/>
  <c r="A18" i="13"/>
  <c r="A72" i="10"/>
  <c r="A13" i="11"/>
  <c r="A54" i="11"/>
  <c r="A5" i="13"/>
  <c r="A6" i="13"/>
  <c r="A16" i="11"/>
  <c r="A17" i="11"/>
  <c r="A7" i="13"/>
  <c r="A5" i="14"/>
  <c r="A9" i="12"/>
  <c r="A11" i="13"/>
  <c r="A9" i="14"/>
  <c r="H2" i="12"/>
  <c r="A3" i="12"/>
  <c r="P2" i="12"/>
  <c r="Q2" i="12" s="1"/>
  <c r="Q6" i="12"/>
  <c r="Q5" i="12"/>
  <c r="Q4" i="12"/>
  <c r="Q3" i="12"/>
  <c r="Q1" i="12"/>
  <c r="A157" i="8"/>
  <c r="A145" i="8"/>
  <c r="A140" i="8"/>
  <c r="A114" i="8"/>
  <c r="A113" i="8"/>
  <c r="A110" i="8"/>
  <c r="A73" i="8"/>
  <c r="A57" i="8"/>
  <c r="A28" i="8"/>
  <c r="A27" i="8"/>
  <c r="A26" i="8"/>
  <c r="A22" i="8"/>
  <c r="A21" i="8"/>
  <c r="A19" i="8"/>
  <c r="A1" i="11"/>
  <c r="A1" i="13"/>
  <c r="A1" i="14"/>
  <c r="A18" i="12"/>
  <c r="A11" i="8" l="1"/>
  <c r="A18" i="8"/>
  <c r="M3" i="8"/>
  <c r="P3" i="8" s="1"/>
  <c r="M4" i="8"/>
  <c r="P4" i="8" s="1"/>
  <c r="M5" i="8"/>
  <c r="P5" i="8" s="1"/>
  <c r="M6" i="8"/>
  <c r="P6" i="8" s="1"/>
  <c r="M7" i="8"/>
  <c r="P7" i="8" s="1"/>
  <c r="M8" i="8"/>
  <c r="P8" i="8" s="1"/>
  <c r="M9" i="8"/>
  <c r="M2" i="8"/>
  <c r="P2" i="8" s="1"/>
  <c r="J42" i="3"/>
  <c r="I42" i="3"/>
  <c r="D42" i="3"/>
  <c r="E42" i="3"/>
  <c r="F42" i="3"/>
  <c r="C42" i="3"/>
  <c r="A1" i="12"/>
  <c r="H2" i="8" l="1"/>
  <c r="P9" i="8"/>
  <c r="B1" i="16"/>
  <c r="B1" i="15"/>
  <c r="B1" i="10"/>
  <c r="A9" i="10" s="1"/>
  <c r="A9" i="8"/>
  <c r="A1" i="10"/>
  <c r="A64" i="8"/>
  <c r="A5" i="16" l="1"/>
  <c r="A3" i="16"/>
  <c r="A4" i="15"/>
  <c r="A3" i="15"/>
  <c r="A5" i="15"/>
  <c r="H42" i="3"/>
  <c r="G42" i="3"/>
  <c r="A1" i="15"/>
  <c r="A1" i="16"/>
  <c r="A1" i="8"/>
  <c r="O5" i="1" l="1"/>
  <c r="G4" i="1"/>
  <c r="G8" i="5" l="1"/>
  <c r="H43" i="3" s="1"/>
  <c r="B10" i="5"/>
  <c r="I43" i="3" s="1"/>
  <c r="C10" i="5"/>
  <c r="J43" i="3" s="1"/>
  <c r="D8" i="5"/>
  <c r="E43" i="3" s="1"/>
  <c r="F8" i="5"/>
  <c r="G43" i="3" s="1"/>
  <c r="C8" i="5"/>
  <c r="D43" i="3" s="1"/>
  <c r="B8" i="5"/>
  <c r="C43" i="3" s="1"/>
  <c r="N5" i="1"/>
  <c r="E36" i="3" s="1"/>
  <c r="O3" i="1"/>
  <c r="P11" i="1"/>
  <c r="Q5" i="1" l="1"/>
  <c r="M36" i="3" s="1"/>
  <c r="E8" i="5"/>
  <c r="F43" i="3" s="1"/>
  <c r="L36" i="3"/>
  <c r="D36" i="3"/>
  <c r="D4" i="1"/>
  <c r="H4" i="1" l="1"/>
  <c r="N3" i="1"/>
  <c r="B4" i="1" l="1"/>
  <c r="M3" i="1"/>
  <c r="L3" i="1"/>
  <c r="J3" i="1"/>
  <c r="H3" i="1"/>
  <c r="F3" i="1"/>
  <c r="M11" i="1"/>
  <c r="C4" i="1" l="1"/>
  <c r="S3" i="1"/>
  <c r="R5" i="1"/>
  <c r="E4" i="1"/>
  <c r="K5" i="1"/>
  <c r="F36" i="3" s="1"/>
  <c r="I3" i="1" l="1"/>
  <c r="B5" i="1"/>
  <c r="L7" i="1" l="1"/>
  <c r="L8" i="1"/>
  <c r="N9" i="1"/>
  <c r="J9" i="1"/>
  <c r="N7" i="1"/>
  <c r="J7" i="1"/>
  <c r="N8" i="1"/>
  <c r="J8" i="1"/>
  <c r="C5" i="1"/>
  <c r="O11" i="1"/>
  <c r="N11" i="1"/>
  <c r="J11" i="1"/>
  <c r="I11" i="1"/>
  <c r="K11" i="1"/>
  <c r="J5" i="1" l="1"/>
  <c r="K36" i="3"/>
  <c r="J36" i="3"/>
  <c r="M5" i="1"/>
  <c r="H36" i="3" s="1"/>
  <c r="I36" i="3"/>
  <c r="L5" i="1"/>
  <c r="G36" i="3" s="1"/>
  <c r="C3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5" authorId="1" shapeId="0" xr:uid="{E2C1BE3F-43CF-4E02-B518-778FEEF62A6C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5" authorId="1" shapeId="0" xr:uid="{E1AE12FC-09B5-436E-925E-1F822EB67BC7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5" authorId="1" shapeId="0" xr:uid="{3574DE0C-7EF1-4A5B-B32B-F08E31BE0FAD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5" authorId="1" shapeId="0" xr:uid="{953EF841-E8C4-42B1-849B-3CED6C455A96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</commentList>
</comments>
</file>

<file path=xl/sharedStrings.xml><?xml version="1.0" encoding="utf-8"?>
<sst xmlns="http://schemas.openxmlformats.org/spreadsheetml/2006/main" count="631" uniqueCount="520">
  <si>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</si>
  <si>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</si>
  <si>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</si>
  <si>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</si>
  <si>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</si>
  <si>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</si>
  <si>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</si>
  <si>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</si>
  <si>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</si>
  <si>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</si>
  <si>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</si>
  <si>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</si>
  <si>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</si>
  <si>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</si>
  <si>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</si>
  <si>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</si>
  <si>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</si>
  <si>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</si>
  <si>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</si>
  <si>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</si>
  <si>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</si>
  <si>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</si>
  <si>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</si>
  <si>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</si>
  <si>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</si>
  <si>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</si>
  <si>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</si>
  <si>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</si>
  <si>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</si>
  <si>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</si>
  <si>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</si>
  <si>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</si>
  <si>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</si>
  <si>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</si>
  <si>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</si>
  <si>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</si>
  <si>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</si>
  <si>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</si>
  <si>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</si>
  <si>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</si>
  <si>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</si>
  <si>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</si>
  <si>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</si>
  <si>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</si>
  <si>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</si>
  <si>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</si>
  <si>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</si>
  <si>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</si>
  <si>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</si>
  <si>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</si>
  <si>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</si>
  <si>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</si>
  <si>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</si>
  <si>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</si>
  <si>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</si>
  <si>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</si>
  <si>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</si>
  <si>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</si>
  <si>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</si>
  <si>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</si>
  <si>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</si>
  <si>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</si>
  <si>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</si>
  <si>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</si>
  <si>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</si>
  <si>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</si>
  <si>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</si>
  <si>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</si>
  <si>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</si>
  <si>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</si>
  <si>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</si>
  <si>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</si>
  <si>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</si>
  <si>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</si>
  <si>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</si>
  <si>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</si>
  <si>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</si>
  <si>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</si>
  <si>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</si>
  <si>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</si>
  <si>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</si>
  <si>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</si>
  <si>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</si>
  <si>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</si>
  <si>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</si>
  <si>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</si>
  <si>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</si>
  <si>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</si>
  <si>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</si>
  <si>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</si>
  <si>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</si>
  <si>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</si>
  <si>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</si>
  <si>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</si>
  <si>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</si>
  <si>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</si>
  <si>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</si>
  <si>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</si>
  <si>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</si>
  <si>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</si>
  <si>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</si>
  <si>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</si>
  <si>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</si>
  <si>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</si>
  <si>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</si>
  <si>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</si>
  <si>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</si>
  <si>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</si>
  <si>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</si>
  <si>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</si>
  <si>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</si>
  <si>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</si>
  <si>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</si>
  <si>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</si>
  <si>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</si>
  <si>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</si>
  <si>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</si>
  <si>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</si>
  <si>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</si>
  <si>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</si>
  <si>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</si>
  <si>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</si>
  <si>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</si>
  <si>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</si>
  <si>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</si>
  <si>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</si>
  <si>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</si>
  <si>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</si>
  <si>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</si>
  <si>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</si>
  <si>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</si>
  <si>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</si>
  <si>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</si>
  <si>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</si>
  <si>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</si>
  <si>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</si>
  <si>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</si>
  <si>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</si>
  <si>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</si>
  <si>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</si>
  <si>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</si>
  <si>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</si>
  <si>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</si>
  <si>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</si>
  <si>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</si>
  <si>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</si>
  <si>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</si>
  <si>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</si>
  <si>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</si>
  <si>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</si>
  <si>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</si>
  <si>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</si>
  <si>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</si>
  <si>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</si>
  <si>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</si>
  <si>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</si>
  <si>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</si>
  <si>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</si>
  <si>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</si>
  <si>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</si>
  <si>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</si>
  <si>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</si>
  <si>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</si>
  <si>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</si>
  <si>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</si>
  <si>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</si>
  <si>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</si>
  <si>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</si>
  <si>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</si>
  <si>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</si>
  <si>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</si>
  <si>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</si>
  <si>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</si>
  <si>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</si>
  <si>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</si>
  <si>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</si>
  <si>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</si>
  <si>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</si>
  <si>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</si>
  <si>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</si>
  <si>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</si>
  <si>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</si>
  <si>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</si>
  <si>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</si>
  <si>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</si>
  <si>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</si>
  <si>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</si>
  <si>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</si>
  <si>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</si>
  <si>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</si>
  <si>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</si>
  <si>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</si>
  <si>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</si>
  <si>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</si>
  <si>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</si>
  <si>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</si>
  <si>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</si>
  <si>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</si>
  <si>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</si>
  <si>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</si>
  <si>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</si>
  <si>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</si>
  <si>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</si>
  <si>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</si>
  <si>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</si>
  <si>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</si>
  <si>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</si>
  <si>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</si>
  <si>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</si>
  <si>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</si>
  <si>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Master.WorkingPattern.Shop</t>
  </si>
  <si>
    <t>MstWptShop</t>
  </si>
  <si>
    <t>ShopName</t>
  </si>
  <si>
    <t>nvarchar(40)</t>
  </si>
  <si>
    <t>Description</t>
  </si>
  <si>
    <t>nvarchar(250)</t>
  </si>
  <si>
    <t>IsActive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</si>
  <si>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</si>
  <si>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</si>
  <si>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</si>
  <si>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</si>
  <si>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</si>
  <si>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</si>
  <si>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</si>
  <si>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FolderName</t>
  </si>
  <si>
    <t>ClassName</t>
  </si>
  <si>
    <t>import { Component, Injector, OnInit, ViewChild } from '@angular/core';</t>
  </si>
  <si>
    <t>import { CustomColDef, GridParams, PaginationParamsModel } from '@app/shared/common/models/base.model';</t>
  </si>
  <si>
    <t>import { GridTableService } from '@app/shared/common/services/grid-table.service';</t>
  </si>
  <si>
    <t>import { AppComponentBase } from '@shared/common/app-component-base';</t>
  </si>
  <si>
    <t>import { finalize } from 'rxjs/internal/operators/finalize';</t>
  </si>
  <si>
    <t>@Component({</t>
  </si>
  <si>
    <t>})</t>
  </si>
  <si>
    <t xml:space="preserve">  defaultColDefs: CustomColDef[] = [];</t>
  </si>
  <si>
    <t xml:space="preserve">  paginationParams: PaginationParamsModel = { pageNum: 1, pageSize: 20, totalCount: 0, skipCount: 0, sorting: '', totalPage: 1 };</t>
  </si>
  <si>
    <t xml:space="preserve">  isLoading: boolean = false;</t>
  </si>
  <si>
    <t xml:space="preserve">  dataParams: GridParams | undefined;</t>
  </si>
  <si>
    <t xml:space="preserve">  rowData: any[] = [];</t>
  </si>
  <si>
    <t xml:space="preserve">    injector: Injector,</t>
  </si>
  <si>
    <t xml:space="preserve">    private gridTableService: GridTableService,</t>
  </si>
  <si>
    <t xml:space="preserve">  ) {</t>
  </si>
  <si>
    <t xml:space="preserve">    super(injector);</t>
  </si>
  <si>
    <t xml:space="preserve">    this.defaultColDefs = [</t>
  </si>
  <si>
    <t xml:space="preserve">    .subscribe((result) =&gt; {</t>
  </si>
  <si>
    <t xml:space="preserve">    });</t>
  </si>
  <si>
    <t xml:space="preserve">   }</t>
  </si>
  <si>
    <t xml:space="preserve">  getDatas(paginationParams?: PaginationParamsModel) {</t>
  </si>
  <si>
    <t xml:space="preserve">  }</t>
  </si>
  <si>
    <t xml:space="preserve">      this.selectedRow = Object.assign({}, this.saveSelectedRow);</t>
  </si>
  <si>
    <t xml:space="preserve">    }</t>
  </si>
  <si>
    <t xml:space="preserve">      this.isLoading = true;</t>
  </si>
  <si>
    <t xml:space="preserve">      this.dataParams = params;</t>
  </si>
  <si>
    <t xml:space="preserve">      params.api.paginationSetPageSize(this.paginationParams.pageSize);</t>
  </si>
  <si>
    <t xml:space="preserve">      this.paginationParams.skipCount =</t>
  </si>
  <si>
    <t xml:space="preserve">          ((this.paginationParams.pageNum ?? 1) - 1) * (this.paginationParams.pageSize ?? 0);</t>
  </si>
  <si>
    <t xml:space="preserve">      this.paginationParams.pageSize = this.paginationParams.pageSize;</t>
  </si>
  <si>
    <t xml:space="preserve">      this.getDatas(this.paginationParams)</t>
  </si>
  <si>
    <t xml:space="preserve">      .pipe(finalize(() =&gt;</t>
  </si>
  <si>
    <t xml:space="preserve">          this.gridTableService.selectFirstRow(this.dataParams!.api)</t>
  </si>
  <si>
    <t xml:space="preserve">      ))</t>
  </si>
  <si>
    <t xml:space="preserve">      .subscribe((result) =&gt; {</t>
  </si>
  <si>
    <t xml:space="preserve">          this.isLoading = false;</t>
  </si>
  <si>
    <t xml:space="preserve">      })</t>
  </si>
  <si>
    <t xml:space="preserve">      this.message.confirm(</t>
  </si>
  <si>
    <t xml:space="preserve">          isConfirmed =&gt; {</t>
  </si>
  <si>
    <t xml:space="preserve">                      this.callBackDataGrid(this.dataParams!);</t>
  </si>
  <si>
    <t xml:space="preserve">                      this.notify.info(this.l('SuccessfullyDeleted'));</t>
  </si>
  <si>
    <t xml:space="preserve">                  });</t>
  </si>
  <si>
    <t xml:space="preserve">              }</t>
  </si>
  <si>
    <t xml:space="preserve">          }</t>
  </si>
  <si>
    <t xml:space="preserve">      );</t>
  </si>
  <si>
    <t xml:space="preserve">    } </t>
  </si>
  <si>
    <t>}</t>
  </si>
  <si>
    <t xml:space="preserve">WorkingPattern </t>
  </si>
  <si>
    <t>Source Front End</t>
  </si>
  <si>
    <t>Step1 : Generrate code backend</t>
  </si>
  <si>
    <t xml:space="preserve">     open cmd theo by folder ./angular/nswag  -&gt; run refresh.bat</t>
  </si>
  <si>
    <t>Step2 : Create file by folder : src/app/admin/master/workingpattern/</t>
  </si>
  <si>
    <t>Step3 : Copy the code to the file above</t>
  </si>
  <si>
    <t>Step4 : Create menu</t>
  </si>
  <si>
    <t>app.navigation.service.ts</t>
  </si>
  <si>
    <t>admin-routing.module.ts</t>
  </si>
  <si>
    <t xml:space="preserve">Entity </t>
  </si>
  <si>
    <t xml:space="preserve">Attention </t>
  </si>
  <si>
    <t>WorkingDate</t>
  </si>
  <si>
    <t xml:space="preserve"> yellow box input</t>
  </si>
  <si>
    <t>WorkingType</t>
  </si>
  <si>
    <t>green box copy</t>
  </si>
  <si>
    <t>WorkingStatus</t>
  </si>
  <si>
    <t>SeasonType</t>
  </si>
  <si>
    <t>DayOfWeek</t>
  </si>
  <si>
    <t>WeekNumber</t>
  </si>
  <si>
    <t>WeekWorkingDays</t>
  </si>
  <si>
    <t>&lt;div id="container" class="mt-2" [busyIf]="isLoading"&gt;</t>
  </si>
  <si>
    <t xml:space="preserve">    &lt;div class="ui-g-12"&gt;</t>
  </si>
  <si>
    <t xml:space="preserve">        &lt;fieldset class="fieldset-border grid-parent"&gt;</t>
  </si>
  <si>
    <t xml:space="preserve">            &lt;div class="ui-g-12"&gt;</t>
  </si>
  <si>
    <t xml:space="preserve">                &lt;div class="ui-g-12" style="border-bottom: none;"&gt;</t>
  </si>
  <si>
    <t xml:space="preserve">                    &lt;h6 class="card-header"&gt;</t>
  </si>
  <si>
    <t xml:space="preserve">                    &lt;/h6&gt;</t>
  </si>
  <si>
    <t xml:space="preserve">                &lt;/div&gt;</t>
  </si>
  <si>
    <t xml:space="preserve">                &lt;br&gt;</t>
  </si>
  <si>
    <t xml:space="preserve">                &lt;div class="prod-cont"&gt;</t>
  </si>
  <si>
    <t xml:space="preserve">                    &lt;div class="ui-g-12 ui-md-12"&gt;</t>
  </si>
  <si>
    <t xml:space="preserve">                        &lt;form autocomplete="on"&gt;</t>
  </si>
  <si>
    <t xml:space="preserve">                        &lt;div class="panel panel-default pt-1"&gt;</t>
  </si>
  <si>
    <t xml:space="preserve">                                [paginationParams]="paginationParams"</t>
  </si>
  <si>
    <t xml:space="preserve">                                (callBackEvent)="callBackDataGrid($event)"</t>
  </si>
  <si>
    <t xml:space="preserve">                                (onChangeSelection)="onChangeRowSelection($event)"</t>
  </si>
  <si>
    <t xml:space="preserve">                            &gt;</t>
  </si>
  <si>
    <t xml:space="preserve">                            &lt;/simple-ag-grid&gt;</t>
  </si>
  <si>
    <t xml:space="preserve">                        &lt;/div&gt;</t>
  </si>
  <si>
    <t xml:space="preserve">                        &lt;/form&gt;</t>
  </si>
  <si>
    <t xml:space="preserve">                        &lt;hr&gt;</t>
  </si>
  <si>
    <t xml:space="preserve">                                &lt;i class="fa fa-plus mr-1"&gt;&lt;/i&gt;{{ l('Add') }}</t>
  </si>
  <si>
    <t xml:space="preserve">                            &lt;/button&gt;</t>
  </si>
  <si>
    <t xml:space="preserve">                    &lt;/div&gt;</t>
  </si>
  <si>
    <t xml:space="preserve">            &lt;/div&gt;</t>
  </si>
  <si>
    <t xml:space="preserve">        &lt;/fieldset&gt;</t>
  </si>
  <si>
    <t xml:space="preserve">    &lt;/div&gt;</t>
  </si>
  <si>
    <t>&lt;/div&gt;</t>
  </si>
  <si>
    <t>import { ModalDirective } from 'ngx-bootstrap/modal';</t>
  </si>
  <si>
    <t>import { finalize } from 'rxjs/operators';</t>
  </si>
  <si>
    <t xml:space="preserve">  @ViewChild('nameInput') nameInput: ElementRef;</t>
  </si>
  <si>
    <t xml:space="preserve">  @Output() modalSave: EventEmitter&lt;any&gt; = new EventEmitter&lt;any&gt;();</t>
  </si>
  <si>
    <t xml:space="preserve">  @Output() modalClose: EventEmitter&lt;any&gt; = new EventEmitter&lt;any&gt;();</t>
  </si>
  <si>
    <t xml:space="preserve">  active: boolean = false;</t>
  </si>
  <si>
    <t xml:space="preserve">  saving: boolean = false;</t>
  </si>
  <si>
    <t xml:space="preserve">  constructor(</t>
  </si>
  <si>
    <t xml:space="preserve">    ) {</t>
  </si>
  <si>
    <t xml:space="preserve">    else this.rowdata = rowdata;</t>
  </si>
  <si>
    <t xml:space="preserve">    this.active = true;</t>
  </si>
  <si>
    <t xml:space="preserve">    this.modal.show();</t>
  </si>
  <si>
    <t xml:space="preserve">  } </t>
  </si>
  <si>
    <t xml:space="preserve">  save(): void {</t>
  </si>
  <si>
    <t xml:space="preserve">      .pipe( finalize(() =&gt;  this.saving = false))</t>
  </si>
  <si>
    <t xml:space="preserve">      .subscribe(() =&gt; {</t>
  </si>
  <si>
    <t xml:space="preserve">        this.notify.info(this.l('SavedSuccessfully'));</t>
  </si>
  <si>
    <t xml:space="preserve">        this.close();</t>
  </si>
  <si>
    <t xml:space="preserve">        this.modal?.hide();</t>
  </si>
  <si>
    <t xml:space="preserve">        this.modalSave.emit(this.rowdata);</t>
  </si>
  <si>
    <t xml:space="preserve">      });</t>
  </si>
  <si>
    <t xml:space="preserve">    this.saving = false;</t>
  </si>
  <si>
    <t xml:space="preserve">  close(): void {</t>
  </si>
  <si>
    <t xml:space="preserve">    this.active = false;</t>
  </si>
  <si>
    <t xml:space="preserve">    this.modal?.hide();</t>
  </si>
  <si>
    <t xml:space="preserve">    this.modalClose.emit(null);</t>
  </si>
  <si>
    <t xml:space="preserve">    &lt;div class="modal-dialog modal-lg"&gt;</t>
  </si>
  <si>
    <t xml:space="preserve">        &lt;/div&gt;</t>
  </si>
  <si>
    <t xml:space="preserve">                    &lt;div class="modal-footer"&gt;</t>
  </si>
  <si>
    <t xml:space="preserve">                        &lt;button type="submit" class="btn btn-primary font-weight-bold"&gt;</t>
  </si>
  <si>
    <t xml:space="preserve">                            &lt;i class="fa tmss-fa fa-save mr-1"&gt;&lt;/i&gt;</t>
  </si>
  <si>
    <t xml:space="preserve">                            &lt;span&gt;{{ l('Save') }}&lt;/span&gt;</t>
  </si>
  <si>
    <t xml:space="preserve">                        &lt;/button&gt;</t>
  </si>
  <si>
    <t xml:space="preserve">                        &lt;button (click)="close()" type="button" class="btn btn-light-primary font-weight-bold"&gt;</t>
  </si>
  <si>
    <t xml:space="preserve">                            &lt;i class="fa tmss-fa fa-times mr-1"&gt;&lt;/i&gt;</t>
  </si>
  <si>
    <t xml:space="preserve">                            {{ l('Cancel') }}</t>
  </si>
  <si>
    <t xml:space="preserve">            &lt;/form&gt;</t>
  </si>
  <si>
    <t>import {NgModule} from '@angular/core';</t>
  </si>
  <si>
    <t>import {AppSharedModule} from '@app/shared/app-shared.module';</t>
  </si>
  <si>
    <t>@NgModule({</t>
  </si>
  <si>
    <t xml:space="preserve">    declarations: [</t>
  </si>
  <si>
    <t xml:space="preserve">    ],</t>
  </si>
  <si>
    <t xml:space="preserve">    imports: [</t>
  </si>
  <si>
    <t>import {RouterModule, Routes} from '@angular/router';</t>
  </si>
  <si>
    <t>const routes: Routes = [{</t>
  </si>
  <si>
    <t xml:space="preserve">    path: '',</t>
  </si>
  <si>
    <t xml:space="preserve">    pathMatch: 'full'</t>
  </si>
  <si>
    <t>}];</t>
  </si>
  <si>
    <t xml:space="preserve">    imports: [RouterModule.forChild(routes)],</t>
  </si>
  <si>
    <t xml:space="preserve">    exports: [RouterModule],</t>
  </si>
  <si>
    <t>Master Working Pattern Shop</t>
  </si>
  <si>
    <t>NameFile</t>
  </si>
  <si>
    <t>SourceCode</t>
  </si>
  <si>
    <t>};</t>
  </si>
  <si>
    <t>import {  GridApi, GridReadyEvent } from '@ag-grid-enterprise/all-modules';</t>
  </si>
  <si>
    <t>import { DatePipe } from '@angular/common';</t>
  </si>
  <si>
    <t>import { FileDownloadService } from '@shared/utils/file-download.service';</t>
  </si>
  <si>
    <t>import ceil from 'lodash-es/ceil';</t>
  </si>
  <si>
    <t xml:space="preserve">  filter: string = '';</t>
  </si>
  <si>
    <t xml:space="preserve">  workingType: string = '';</t>
  </si>
  <si>
    <t xml:space="preserve">  workingStatus: string = '';</t>
  </si>
  <si>
    <t xml:space="preserve">  today: Date = new Date();</t>
  </si>
  <si>
    <t xml:space="preserve">  pipe = new DatePipe('en-US');</t>
  </si>
  <si>
    <t xml:space="preserve">  gridApi!: GridApi;</t>
  </si>
  <si>
    <t xml:space="preserve">  rowSelection = 'multiple';</t>
  </si>
  <si>
    <t xml:space="preserve">  workingDate: any;</t>
  </si>
  <si>
    <t xml:space="preserve">  defaultColDef = {</t>
  </si>
  <si>
    <t xml:space="preserve">    resizable: true,</t>
  </si>
  <si>
    <t xml:space="preserve">    sortable: true,</t>
  </si>
  <si>
    <t xml:space="preserve">    floatingFilterComponentParams: { suppressFilterButton: true },</t>
  </si>
  <si>
    <t xml:space="preserve">    filter: true,</t>
  </si>
  <si>
    <t xml:space="preserve">    floatingFilter: true,</t>
  </si>
  <si>
    <t xml:space="preserve">    suppressHorizontalScroll: true,</t>
  </si>
  <si>
    <t xml:space="preserve">    textFormatter: function (r: any) {</t>
  </si>
  <si>
    <t xml:space="preserve">        if (r == null) return null;</t>
  </si>
  <si>
    <t xml:space="preserve">        return r.toLowerCase();</t>
  </si>
  <si>
    <t xml:space="preserve">    },</t>
  </si>
  <si>
    <t xml:space="preserve">    private _fileDownloadService: FileDownloadService,</t>
  </si>
  <si>
    <t xml:space="preserve">    ];</t>
  </si>
  <si>
    <t xml:space="preserve">  ngOnInit(): void {</t>
  </si>
  <si>
    <t xml:space="preserve">    this.paginationParams = { pageNum: 1, pageSize: 20, totalCount: 0 };</t>
  </si>
  <si>
    <t xml:space="preserve">  searchDatas(): void {</t>
  </si>
  <si>
    <t xml:space="preserve">        this.rowData = result.items;</t>
  </si>
  <si>
    <t xml:space="preserve">  clearTextSearch(){</t>
  </si>
  <si>
    <t xml:space="preserve">    this.workingDate = '';</t>
  </si>
  <si>
    <t xml:space="preserve">    this.workingType = '';</t>
  </si>
  <si>
    <t xml:space="preserve">    this.workingStatus = '';</t>
  </si>
  <si>
    <t xml:space="preserve">    this.searchDatas();</t>
  </si>
  <si>
    <t xml:space="preserve">  onSelectionChanged(params) {</t>
  </si>
  <si>
    <t xml:space="preserve">    var selectedRows = this.gridApi.getSelectedRows();</t>
  </si>
  <si>
    <t xml:space="preserve">    var selectedRowsString = '';</t>
  </si>
  <si>
    <t xml:space="preserve">    var maxToShow = 5;</t>
  </si>
  <si>
    <t xml:space="preserve">    selectedRows.forEach(function (selectedRow, index) {</t>
  </si>
  <si>
    <t xml:space="preserve">      if (index &gt;= maxToShow) {</t>
  </si>
  <si>
    <t xml:space="preserve">        return;</t>
  </si>
  <si>
    <t xml:space="preserve">      }</t>
  </si>
  <si>
    <t xml:space="preserve">      if (index &gt; 0) {</t>
  </si>
  <si>
    <t xml:space="preserve">        selectedRowsString += ', ';</t>
  </si>
  <si>
    <t xml:space="preserve">      selectedRowsString += selectedRow.athlete;</t>
  </si>
  <si>
    <t xml:space="preserve">    if (selectedRows.length &gt; maxToShow) {</t>
  </si>
  <si>
    <t xml:space="preserve">      var othersCount = selectedRows.length - maxToShow;</t>
  </si>
  <si>
    <t xml:space="preserve">      selectedRowsString +=</t>
  </si>
  <si>
    <t xml:space="preserve">        ' and ' + othersCount + ' other' + (othersCount !== 1 ? 's' : '');</t>
  </si>
  <si>
    <t xml:space="preserve">    (document.querySelector(</t>
  </si>
  <si>
    <t xml:space="preserve">      '#selectedRows'</t>
  </si>
  <si>
    <t xml:space="preserve">    ) as any).innerHTML = selectedRowsString;</t>
  </si>
  <si>
    <t xml:space="preserve">    callBackDataGrid(params: GridParams) {</t>
  </si>
  <si>
    <t xml:space="preserve">          this.paginationParams.totalCount = result.totalCount;</t>
  </si>
  <si>
    <t xml:space="preserve">            this.rowData = result.items ?? [];</t>
  </si>
  <si>
    <t xml:space="preserve">            this.paginationParams.totalPage = ceil(</t>
  </si>
  <si>
    <t xml:space="preserve">                result.totalCount / (this.paginationParams.pageSize ?? 0)</t>
  </si>
  <si>
    <t xml:space="preserve">            );</t>
  </si>
  <si>
    <t xml:space="preserve">          this.l('AreYouSureToDelete', system.workingType),"Delete Row",</t>
  </si>
  <si>
    <t xml:space="preserve">              if (isConfirmed) {</t>
  </si>
  <si>
    <t xml:space="preserve">                      this.notify.success(this.l('SuccessfullyDeleted'));</t>
  </si>
  <si>
    <t xml:space="preserve">    exportToExcel(): void {</t>
  </si>
  <si>
    <t xml:space="preserve">        .subscribe(result =&gt; {</t>
  </si>
  <si>
    <t xml:space="preserve">            this._fileDownloadService.downloadTempFile(result);</t>
  </si>
  <si>
    <t xml:space="preserve">        });</t>
  </si>
  <si>
    <t>Shop</t>
  </si>
  <si>
    <t>{
	headerName: this.l('STT'),
	headerTooltip: this.l('STT'),
	cellRenderer: (params) =&gt; params.rowIndex + 1,
	cellClass: ['text-center'],
	width: 55,
},</t>
  </si>
  <si>
    <t>STT</t>
  </si>
  <si>
    <t>P1</t>
  </si>
  <si>
    <t>shop</t>
  </si>
  <si>
    <t xml:space="preserve">                    &lt;div class="ui-g-12"&gt;</t>
  </si>
  <si>
    <t xml:space="preserve">                        &lt;div class="form-group m-form__group align-items-center"&gt;</t>
  </si>
  <si>
    <t xml:space="preserve">                            &lt;div class="input-group"&gt;</t>
  </si>
  <si>
    <t xml:space="preserve">                                &lt;div class="input-search"&gt;</t>
  </si>
  <si>
    <t xml:space="preserve">                                    &lt;input type="text" placeholder="Working Date" [(ngModel)]="workingDate" </t>
  </si>
  <si>
    <t xml:space="preserve">                                    name="workingDate" (keydown)="searchDatas()"</t>
  </si>
  <si>
    <t xml:space="preserve">                                    class="form-control" bsDatepicker&gt;</t>
  </si>
  <si>
    <t xml:space="preserve">                                &lt;/div&gt;</t>
  </si>
  <si>
    <t xml:space="preserve">                                    &lt;input [(ngModel)]="workingType" name="workingType" </t>
  </si>
  <si>
    <t xml:space="preserve">                                    class="form-control" [placeholder]="l('Working Type')"</t>
  </si>
  <si>
    <t xml:space="preserve">                                    type="text" (keyup.enter)="searchDatas()"&gt;</t>
  </si>
  <si>
    <t xml:space="preserve">                                    &lt;input [(ngModel)]="workingStatus" name="workingStatus" </t>
  </si>
  <si>
    <t xml:space="preserve">                                    class="form-control" [placeholder]="l('Working Status')"</t>
  </si>
  <si>
    <t xml:space="preserve">                                &lt;div class="btn-search"&gt;</t>
  </si>
  <si>
    <t xml:space="preserve">                                    &lt;button (click)="searchDatas()" </t>
  </si>
  <si>
    <t xml:space="preserve">                                        class="btn btn-primary" type="submit"&gt;</t>
  </si>
  <si>
    <t xml:space="preserve">                                        &lt;i class="fas fa-search"&gt;&lt;/i&gt;</t>
  </si>
  <si>
    <t xml:space="preserve">                                    &lt;/button&gt;</t>
  </si>
  <si>
    <t xml:space="preserve">                                    &lt;button (click)="clearTextSearch()"</t>
  </si>
  <si>
    <t xml:space="preserve">                                        &lt;i class="fas fa-backspace"&gt;&lt;/i&gt;</t>
  </si>
  <si>
    <t xml:space="preserve">                            &lt;/div&gt;</t>
  </si>
  <si>
    <t xml:space="preserve">                            &lt;simple-ag-grid</t>
  </si>
  <si>
    <t xml:space="preserve">                                [columnDefs]="defaultColDefs"</t>
  </si>
  <si>
    <t xml:space="preserve">                                [rowData]="rowData"</t>
  </si>
  <si>
    <t xml:space="preserve">                                [defaultColDef]="defaultColDef"</t>
  </si>
  <si>
    <t xml:space="preserve">                                [rowSelection]="rowSelection"</t>
  </si>
  <si>
    <t xml:space="preserve">                                (selectionChanged)="onSelectionChanged($event)"</t>
  </si>
  <si>
    <t xml:space="preserve">                        &lt;div class="text-right pr-5 mt-2 mb-2"&gt;</t>
  </si>
  <si>
    <t xml:space="preserve">                            &lt;button class="btn btn-success font-weight-bold" (click)="exportToExcel()"&gt;</t>
  </si>
  <si>
    <t xml:space="preserve">                                &lt;i class="fas fa-file-excel mr-1"&gt;&lt;/i&gt;{{ l('Export Excel') }}</t>
  </si>
  <si>
    <t xml:space="preserve">                                &lt;i class="far fa-edit mr-1"&gt;&lt;/i&gt;{{'Edit'}}</t>
  </si>
  <si>
    <t xml:space="preserve">                            &lt;button class="btn btn-primary font-weight-bold" [disabled]="!selectedRow.id" (click)="deleteRow(selectedRow)"&gt;</t>
  </si>
  <si>
    <t xml:space="preserve">                                &lt;i class="fas fa-trash-alt mr-1"&gt;&lt;/i&gt;{{'Delete'}}</t>
  </si>
  <si>
    <t>import { Component, ViewChild, Injector, ElementRef, Output, EventEmitter, HostListener } from '@angular/core';</t>
  </si>
  <si>
    <t>import { BsDatepickerDirective } from 'ngx-bootstrap/datepicker';</t>
  </si>
  <si>
    <t xml:space="preserve">  @ViewChild('datepicker', { static: false }) datepicker!: BsDatepickerDirective;</t>
  </si>
  <si>
    <t xml:space="preserve">  _isActive: boolean;</t>
  </si>
  <si>
    <t xml:space="preserve">    const dateValue =  this.rowdata.workingDate ? new Date(this.rowdata.workingDate?.toString()) : new Date();</t>
  </si>
  <si>
    <t xml:space="preserve">    this.datepicker?.bsValueChange.emit(dateValue);</t>
  </si>
  <si>
    <t xml:space="preserve">    this._isActive = (this.rowdata.isActive == "N")? false: true;</t>
  </si>
  <si>
    <t xml:space="preserve">  changeActive(event){</t>
  </si>
  <si>
    <t xml:space="preserve">    this._isActive = event.target.checked;</t>
  </si>
  <si>
    <t xml:space="preserve"> </t>
  </si>
  <si>
    <t xml:space="preserve">    this.saving = true; </t>
  </si>
  <si>
    <t xml:space="preserve">    this.rowdata.isActive = (this._isActive == true) ? 'Y' : 'N'</t>
  </si>
  <si>
    <t xml:space="preserve">  @HostListener('document:keydown', ['$event']) </t>
  </si>
  <si>
    <t xml:space="preserve">    onKeydownHandler(event: KeyboardEvent) {</t>
  </si>
  <si>
    <t xml:space="preserve">    if (event.key === "Escape") {</t>
  </si>
  <si>
    <t xml:space="preserve">        &lt;div class="modal-content col-md-12"&gt;</t>
  </si>
  <si>
    <t xml:space="preserve">            &lt;div class="modal-header col-md-12"&gt;</t>
  </si>
  <si>
    <t xml:space="preserve">                &lt;div class="title-form"&gt;</t>
  </si>
  <si>
    <t xml:space="preserve">            &lt;form #applyBpForm="ngForm" (ngSubmit)="save()" autocomplete="off" (keyup.enter)="save()" (keyup.ESC)="close()"&gt;</t>
  </si>
  <si>
    <t xml:space="preserve">            &lt;!-- Form Basic--&gt;   </t>
  </si>
  <si>
    <t xml:space="preserve">                &lt;div class="form-input"&gt;   </t>
  </si>
  <si>
    <t xml:space="preserve">                &lt;/div&gt;    </t>
  </si>
  <si>
    <t xml:space="preserve">&lt;div class="col-md-12 form-group row"&gt;&lt;label class="col-md-2 form-control title"&gt;Is Active&lt;/label&gt;&lt;input class="col-md-10 form-control checkboxActive" type="checkbox" name="isActive"  [checked]="_isActive" (change)="changeActive($event)"&gt;  </t>
  </si>
  <si>
    <t>Q1</t>
  </si>
  <si>
    <t xml:space="preserve">      </t>
  </si>
  <si>
    <t>]),</t>
  </si>
  <si>
    <t>loadChildren: () =&gt; import('./master/workingpattern/shop/shop.module').then(m =&gt; m.ShopModule),</t>
  </si>
  <si>
    <t>8) Interface</t>
  </si>
  <si>
    <t>Y</t>
  </si>
  <si>
    <t>Master.WorkingPattern.ShopAgg</t>
  </si>
  <si>
    <t>MstWptShopAgg</t>
  </si>
  <si>
    <t>T7</t>
  </si>
  <si>
    <t>T9</t>
  </si>
  <si>
    <t>V7</t>
  </si>
  <si>
    <t>V9</t>
  </si>
  <si>
    <t>2)AppPermissions</t>
  </si>
  <si>
    <t>3)AppAuthorizationProvider</t>
  </si>
  <si>
    <t>9) interface Export</t>
  </si>
  <si>
    <t>10) Export Service</t>
  </si>
  <si>
    <t>11) Services</t>
  </si>
  <si>
    <t>using System.Collections.Generic;
using vovina.DataExporting.Excel.NPOI;
using vovina.Dto;
using vovina.Master.WorkingPattern.Calendar.Exporting;
using vovina.Master.WorkingPattern.Dto;
using vovina.Storage;
using vovina.Master.WorkingPattern.Calendar.Dto;
namespace vovina.MasterWorkingPattern.Calendar.Exporting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</si>
  <si>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vovina.Master.WorkingPattern.Calendar.Exporting;
using vovina.Master.WorkingPattern.Dto;
using vovina.Master.WorkingPattern.Calendar;
using vovina.Master.WorkingPattern.Calendar.Dto;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
                              &lt;PROPERTIES&gt;
                         };
            var totalCount = await filtered.CountAsync();
            return new PagedResultDto&lt;MstWptCalendarDto&gt;(
                totalCount,
                await system.ToListAsync()
            );
        }
        public async Task&lt;FileDto&gt; GetCalendarToExcel(MstWptCalendarExportInput input)
        {
            var query = from o in _repo.GetAll()
                        select new MstWptCalendarDto
                        {
                               &lt;PROPERTIES&gt;
                        };
            var exportToExcel = await query.ToListAsync();
            return _calendarListExcelExporter.ExportToFile(exportToExcel);
        }
        public async Task GenerateAsync()
        {
            await _dapperRepo.ExecuteAsync(MstWptCalendarConsts.SP_MST_WPT_CALENDAR_GENERATE);
        }
    }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</si>
</sst>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theme="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20"/>
      <color theme="9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3" borderId="3" xfId="0" applyFill="1" applyBorder="1"/>
    <xf numFmtId="0" fontId="0" fillId="0" borderId="3" xfId="0" applyBorder="1"/>
    <xf numFmtId="0" fontId="15" fillId="12" borderId="3" xfId="0" applyFont="1" applyFill="1" applyBorder="1"/>
    <xf numFmtId="0" fontId="15" fillId="12" borderId="3" xfId="0" applyFont="1" applyFill="1" applyBorder="1" applyAlignment="1">
      <alignment wrapText="1"/>
    </xf>
    <xf numFmtId="0" fontId="0" fillId="14" borderId="3" xfId="0" applyFill="1" applyBorder="1" applyAlignment="1">
      <alignment wrapText="1"/>
    </xf>
    <xf numFmtId="0" fontId="0" fillId="0" borderId="0" xfId="0" applyAlignment="1"/>
    <xf numFmtId="0" fontId="0" fillId="0" borderId="0" xfId="0" applyFill="1" applyBorder="1"/>
    <xf numFmtId="0" fontId="0" fillId="9" borderId="0" xfId="0" applyFill="1"/>
    <xf numFmtId="0" fontId="0" fillId="3" borderId="0" xfId="0" quotePrefix="1" applyFill="1"/>
    <xf numFmtId="0" fontId="0" fillId="3" borderId="0" xfId="0" applyFill="1" applyAlignment="1"/>
    <xf numFmtId="0" fontId="16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8" fillId="9" borderId="3" xfId="0" applyFont="1" applyFill="1" applyBorder="1" applyAlignment="1">
      <alignment horizontal="left" vertical="top" wrapText="1"/>
    </xf>
    <xf numFmtId="0" fontId="19" fillId="9" borderId="3" xfId="0" applyFont="1" applyFill="1" applyBorder="1" applyAlignment="1">
      <alignment horizontal="left" vertical="center"/>
    </xf>
    <xf numFmtId="0" fontId="18" fillId="0" borderId="3" xfId="0" applyFont="1" applyBorder="1" applyAlignment="1">
      <alignment horizontal="left" vertical="top"/>
    </xf>
    <xf numFmtId="0" fontId="19" fillId="8" borderId="3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left" vertical="center"/>
    </xf>
    <xf numFmtId="0" fontId="0" fillId="8" borderId="3" xfId="0" applyFill="1" applyBorder="1" applyAlignment="1">
      <alignment horizontal="left" wrapText="1"/>
    </xf>
    <xf numFmtId="0" fontId="0" fillId="8" borderId="3" xfId="0" applyFill="1" applyBorder="1" applyAlignment="1">
      <alignment wrapText="1"/>
    </xf>
    <xf numFmtId="0" fontId="19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20" fillId="16" borderId="3" xfId="0" applyFont="1" applyFill="1" applyBorder="1" applyAlignment="1">
      <alignment horizontal="center" vertical="center"/>
    </xf>
    <xf numFmtId="0" fontId="21" fillId="17" borderId="3" xfId="0" applyFont="1" applyFill="1" applyBorder="1" applyAlignment="1">
      <alignment horizontal="center"/>
    </xf>
    <xf numFmtId="0" fontId="2" fillId="3" borderId="3" xfId="0" applyFont="1" applyFill="1" applyBorder="1"/>
    <xf numFmtId="0" fontId="2" fillId="0" borderId="3" xfId="0" applyFont="1" applyBorder="1" applyAlignment="1">
      <alignment horizontal="center" vertical="center"/>
    </xf>
    <xf numFmtId="0" fontId="2" fillId="10" borderId="3" xfId="0" applyFont="1" applyFill="1" applyBorder="1"/>
    <xf numFmtId="0" fontId="0" fillId="14" borderId="7" xfId="0" applyFill="1" applyBorder="1" applyAlignment="1">
      <alignment wrapText="1"/>
    </xf>
    <xf numFmtId="0" fontId="0" fillId="14" borderId="3" xfId="0" applyFill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9" borderId="0" xfId="0" quotePrefix="1" applyFill="1"/>
    <xf numFmtId="0" fontId="0" fillId="9" borderId="0" xfId="0" applyFill="1" applyAlignment="1"/>
    <xf numFmtId="0" fontId="0" fillId="9" borderId="0" xfId="0" applyFill="1" applyAlignment="1">
      <alignment vertical="center"/>
    </xf>
    <xf numFmtId="0" fontId="0" fillId="9" borderId="0" xfId="0" applyFill="1" applyBorder="1"/>
    <xf numFmtId="0" fontId="0" fillId="13" borderId="3" xfId="0" applyFill="1" applyBorder="1"/>
    <xf numFmtId="0" fontId="0" fillId="13" borderId="3" xfId="0" applyFill="1" applyBorder="1" applyAlignment="1">
      <alignment horizontal="center" vertical="center"/>
    </xf>
    <xf numFmtId="0" fontId="0" fillId="13" borderId="0" xfId="0" applyFill="1" applyAlignment="1">
      <alignment wrapText="1"/>
    </xf>
    <xf numFmtId="0" fontId="0" fillId="13" borderId="3" xfId="0" applyFill="1" applyBorder="1" applyAlignment="1">
      <alignment wrapText="1"/>
    </xf>
    <xf numFmtId="0" fontId="22" fillId="13" borderId="3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3" xfId="0" applyFont="1" applyFill="1" applyBorder="1" applyAlignment="1">
      <alignment vertical="center"/>
    </xf>
    <xf numFmtId="0" fontId="22" fillId="13" borderId="0" xfId="0" applyFont="1" applyFill="1"/>
    <xf numFmtId="0" fontId="22" fillId="14" borderId="3" xfId="0" applyFont="1" applyFill="1" applyBorder="1" applyAlignment="1">
      <alignment wrapText="1"/>
    </xf>
    <xf numFmtId="0" fontId="0" fillId="9" borderId="0" xfId="0" applyFill="1" applyBorder="1" applyAlignment="1">
      <alignment horizontal="left" vertical="top" wrapText="1"/>
    </xf>
    <xf numFmtId="0" fontId="0" fillId="0" borderId="0" xfId="0" applyAlignment="1">
      <alignment horizontal="center" wrapText="1"/>
    </xf>
    <xf numFmtId="0" fontId="0" fillId="3" borderId="0" xfId="0" applyFill="1" applyAlignment="1">
      <alignment vertical="top" wrapText="1"/>
    </xf>
    <xf numFmtId="0" fontId="22" fillId="13" borderId="3" xfId="0" applyFont="1" applyFill="1" applyBorder="1"/>
    <xf numFmtId="0" fontId="22" fillId="13" borderId="3" xfId="0" applyFont="1" applyFill="1" applyBorder="1" applyAlignment="1">
      <alignment wrapText="1"/>
    </xf>
    <xf numFmtId="0" fontId="0" fillId="14" borderId="0" xfId="0" applyFill="1" applyAlignment="1">
      <alignment horizontal="left" vertical="top" wrapText="1"/>
    </xf>
    <xf numFmtId="0" fontId="22" fillId="14" borderId="0" xfId="0" applyFont="1" applyFill="1" applyAlignment="1">
      <alignment vertical="top" wrapText="1"/>
    </xf>
    <xf numFmtId="0" fontId="17" fillId="15" borderId="0" xfId="0" applyFont="1" applyFill="1" applyBorder="1" applyAlignment="1">
      <alignment horizontal="center" vertical="center"/>
    </xf>
    <xf numFmtId="0" fontId="17" fillId="15" borderId="2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6" xfId="0" applyFont="1" applyFill="1" applyBorder="1" applyAlignment="1">
      <alignment horizontal="center"/>
    </xf>
    <xf numFmtId="0" fontId="22" fillId="13" borderId="5" xfId="0" applyFont="1" applyFill="1" applyBorder="1" applyAlignment="1">
      <alignment horizontal="center"/>
    </xf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45"/>
  <sheetViews>
    <sheetView tabSelected="1" topLeftCell="F25" workbookViewId="0">
      <selection activeCell="H50" sqref="H50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12" ht="23.25" x14ac:dyDescent="0.35">
      <c r="A1" s="15" t="s">
        <v>83</v>
      </c>
    </row>
    <row r="2" spans="1:12" ht="15.75" x14ac:dyDescent="0.25">
      <c r="A2" s="1"/>
      <c r="B2" s="28" t="s">
        <v>208</v>
      </c>
    </row>
    <row r="3" spans="1:12" x14ac:dyDescent="0.25">
      <c r="A3" s="1"/>
      <c r="B3" s="1" t="s">
        <v>86</v>
      </c>
    </row>
    <row r="4" spans="1:12" x14ac:dyDescent="0.25">
      <c r="A4" s="1"/>
      <c r="B4" s="18" t="s">
        <v>85</v>
      </c>
    </row>
    <row r="5" spans="1:12" x14ac:dyDescent="0.25">
      <c r="A5" s="1"/>
      <c r="B5" s="18" t="s">
        <v>88</v>
      </c>
    </row>
    <row r="6" spans="1:12" x14ac:dyDescent="0.25">
      <c r="A6" s="1"/>
      <c r="B6" s="18" t="s">
        <v>98</v>
      </c>
    </row>
    <row r="7" spans="1:12" ht="15.75" x14ac:dyDescent="0.25">
      <c r="A7" s="1"/>
      <c r="B7" s="18"/>
      <c r="C7" s="2" t="s">
        <v>108</v>
      </c>
      <c r="D7" s="2"/>
      <c r="E7" s="2"/>
      <c r="F7" s="2" t="s">
        <v>117</v>
      </c>
      <c r="H7" s="34" t="s">
        <v>224</v>
      </c>
      <c r="I7" s="34" t="s">
        <v>225</v>
      </c>
      <c r="J7" s="34" t="s">
        <v>8</v>
      </c>
      <c r="K7" s="35" t="s">
        <v>9</v>
      </c>
      <c r="L7" s="34" t="s">
        <v>11</v>
      </c>
    </row>
    <row r="8" spans="1:12" x14ac:dyDescent="0.25">
      <c r="A8" s="1"/>
      <c r="B8" s="18"/>
      <c r="C8" t="s">
        <v>99</v>
      </c>
      <c r="F8" s="1" t="s">
        <v>109</v>
      </c>
      <c r="H8" s="32" t="s">
        <v>210</v>
      </c>
      <c r="I8" s="32" t="s">
        <v>211</v>
      </c>
      <c r="J8" s="32" t="s">
        <v>212</v>
      </c>
      <c r="K8" s="32" t="s">
        <v>213</v>
      </c>
      <c r="L8" s="32" t="s">
        <v>89</v>
      </c>
    </row>
    <row r="9" spans="1:12" x14ac:dyDescent="0.25">
      <c r="A9" s="1"/>
      <c r="B9" s="18"/>
      <c r="D9" t="s">
        <v>100</v>
      </c>
      <c r="F9" s="1" t="s">
        <v>110</v>
      </c>
      <c r="H9" s="33"/>
      <c r="I9" s="33"/>
      <c r="J9" s="32" t="s">
        <v>214</v>
      </c>
      <c r="K9" s="32" t="s">
        <v>215</v>
      </c>
      <c r="L9" s="32" t="s">
        <v>1</v>
      </c>
    </row>
    <row r="10" spans="1:12" x14ac:dyDescent="0.25">
      <c r="A10" s="1"/>
      <c r="B10" s="18"/>
      <c r="D10" t="s">
        <v>101</v>
      </c>
      <c r="F10" s="1" t="s">
        <v>111</v>
      </c>
      <c r="H10" s="33"/>
      <c r="I10" s="33"/>
      <c r="J10" s="32" t="s">
        <v>216</v>
      </c>
      <c r="K10" s="32" t="s">
        <v>3</v>
      </c>
      <c r="L10" s="32" t="s">
        <v>89</v>
      </c>
    </row>
    <row r="11" spans="1:12" x14ac:dyDescent="0.25">
      <c r="A11" s="1"/>
      <c r="B11" s="18"/>
      <c r="D11" t="s">
        <v>102</v>
      </c>
      <c r="F11" s="1" t="s">
        <v>112</v>
      </c>
    </row>
    <row r="12" spans="1:12" x14ac:dyDescent="0.25">
      <c r="A12" s="1"/>
      <c r="B12" s="18"/>
      <c r="D12" t="s">
        <v>103</v>
      </c>
      <c r="F12" s="1" t="s">
        <v>113</v>
      </c>
    </row>
    <row r="13" spans="1:12" x14ac:dyDescent="0.25">
      <c r="A13" s="1"/>
      <c r="B13" s="18"/>
      <c r="D13" t="s">
        <v>104</v>
      </c>
      <c r="F13" s="1" t="s">
        <v>114</v>
      </c>
    </row>
    <row r="14" spans="1:12" x14ac:dyDescent="0.25">
      <c r="A14" s="1"/>
      <c r="B14" s="18"/>
      <c r="D14" t="s">
        <v>105</v>
      </c>
      <c r="F14" s="1" t="s">
        <v>115</v>
      </c>
    </row>
    <row r="15" spans="1:12" x14ac:dyDescent="0.25">
      <c r="A15" s="1"/>
      <c r="B15" s="18"/>
      <c r="C15" t="s">
        <v>102</v>
      </c>
      <c r="F15" s="1" t="s">
        <v>112</v>
      </c>
    </row>
    <row r="16" spans="1:12" x14ac:dyDescent="0.25">
      <c r="A16" s="1"/>
      <c r="B16" s="18"/>
      <c r="D16" t="s">
        <v>106</v>
      </c>
      <c r="F16" s="1" t="s">
        <v>126</v>
      </c>
    </row>
    <row r="17" spans="1:6" x14ac:dyDescent="0.25">
      <c r="A17" s="1"/>
      <c r="B17" s="18"/>
      <c r="D17" t="s">
        <v>107</v>
      </c>
      <c r="F17" s="1" t="s">
        <v>116</v>
      </c>
    </row>
    <row r="18" spans="1:6" x14ac:dyDescent="0.25">
      <c r="A18" s="1"/>
      <c r="B18" s="18"/>
      <c r="C18" t="s">
        <v>103</v>
      </c>
      <c r="F18" s="1" t="s">
        <v>113</v>
      </c>
    </row>
    <row r="19" spans="1:6" x14ac:dyDescent="0.25">
      <c r="A19" s="1"/>
      <c r="B19" s="18"/>
      <c r="C19" t="s">
        <v>104</v>
      </c>
      <c r="F19" s="1" t="s">
        <v>114</v>
      </c>
    </row>
    <row r="20" spans="1:6" x14ac:dyDescent="0.25">
      <c r="A20" s="1"/>
      <c r="B20" s="18"/>
    </row>
    <row r="21" spans="1:6" x14ac:dyDescent="0.25">
      <c r="A21" s="1"/>
      <c r="B21" s="18" t="s">
        <v>97</v>
      </c>
    </row>
    <row r="22" spans="1:6" x14ac:dyDescent="0.25">
      <c r="A22" s="1"/>
      <c r="B22" s="18" t="s">
        <v>93</v>
      </c>
    </row>
    <row r="23" spans="1:6" x14ac:dyDescent="0.25">
      <c r="A23" s="1"/>
      <c r="B23" s="18"/>
      <c r="C23" s="20" t="s">
        <v>90</v>
      </c>
    </row>
    <row r="24" spans="1:6" x14ac:dyDescent="0.25">
      <c r="A24" s="1"/>
      <c r="B24" s="18"/>
      <c r="C24" s="19" t="s">
        <v>91</v>
      </c>
    </row>
    <row r="25" spans="1:6" x14ac:dyDescent="0.25">
      <c r="A25" s="1"/>
      <c r="B25" s="18"/>
      <c r="C25" s="19" t="s">
        <v>92</v>
      </c>
    </row>
    <row r="26" spans="1:6" x14ac:dyDescent="0.25">
      <c r="A26" s="1"/>
      <c r="B26" s="18" t="s">
        <v>118</v>
      </c>
      <c r="C26" s="19"/>
    </row>
    <row r="27" spans="1:6" x14ac:dyDescent="0.25">
      <c r="A27" s="1"/>
      <c r="B27" s="18"/>
      <c r="C27" s="19" t="s">
        <v>119</v>
      </c>
    </row>
    <row r="28" spans="1:6" x14ac:dyDescent="0.25">
      <c r="A28" s="1"/>
      <c r="B28" s="18"/>
      <c r="C28" s="19" t="s">
        <v>120</v>
      </c>
    </row>
    <row r="29" spans="1:6" x14ac:dyDescent="0.25">
      <c r="A29" s="1"/>
      <c r="B29" s="18"/>
      <c r="C29" s="19" t="s">
        <v>121</v>
      </c>
    </row>
    <row r="30" spans="1:6" x14ac:dyDescent="0.25">
      <c r="A30" s="1"/>
      <c r="B30" s="18"/>
      <c r="C30" s="19" t="s">
        <v>123</v>
      </c>
    </row>
    <row r="31" spans="1:6" x14ac:dyDescent="0.25">
      <c r="A31" s="1"/>
      <c r="B31" s="18"/>
      <c r="C31" s="19" t="s">
        <v>125</v>
      </c>
    </row>
    <row r="32" spans="1:6" x14ac:dyDescent="0.25">
      <c r="A32" s="1"/>
      <c r="B32" s="18"/>
      <c r="C32" s="19" t="s">
        <v>124</v>
      </c>
    </row>
    <row r="33" spans="1:13" x14ac:dyDescent="0.25">
      <c r="A33" s="1"/>
      <c r="B33" s="18"/>
      <c r="C33" s="19" t="s">
        <v>122</v>
      </c>
    </row>
    <row r="34" spans="1:13" ht="21" customHeight="1" x14ac:dyDescent="0.25">
      <c r="B34" s="22" t="s">
        <v>87</v>
      </c>
    </row>
    <row r="35" spans="1:13" ht="15.75" thickBot="1" x14ac:dyDescent="0.3">
      <c r="C35" s="1" t="s">
        <v>75</v>
      </c>
      <c r="D35" s="1" t="s">
        <v>513</v>
      </c>
      <c r="E35" s="1" t="s">
        <v>514</v>
      </c>
      <c r="F35" s="1" t="s">
        <v>217</v>
      </c>
      <c r="G35" s="1" t="s">
        <v>218</v>
      </c>
      <c r="H35" s="1" t="s">
        <v>219</v>
      </c>
      <c r="I35" s="1" t="s">
        <v>220</v>
      </c>
      <c r="J35" s="1" t="s">
        <v>505</v>
      </c>
      <c r="K35" s="1" t="s">
        <v>515</v>
      </c>
      <c r="L35" s="1" t="s">
        <v>516</v>
      </c>
      <c r="M35" s="1" t="s">
        <v>517</v>
      </c>
    </row>
    <row r="36" spans="1:13" s="16" customFormat="1" ht="21.75" customHeight="1" thickBot="1" x14ac:dyDescent="0.3">
      <c r="C36" s="17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vovina.Master.WorkingPattern.ShopAgg
{
	[Table("MstWptShopAgg")]
	[Index(nameof(ShopName), Name="IX_MstWptShopAgg_ShopName")]
	public class MstWptShopAgg: FullAuditedEntity&lt;long&gt;, IEntity&lt;long&gt;	
	{
		public const int MaxShopNameLength = 40;
		public const int MaxDescriptionLength = 250;
		public const int MaxIsActiveLength = 1;
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	}
}
</v>
      </c>
      <c r="D36" s="17" t="str">
        <f>A.Backend!O5</f>
        <v xml:space="preserve">		public const string Pages_Master_WorkingPattern_ShopAgg = "Pages.Master.WorkingPattern.ShopAgg";
		public const string Pages_Master_WorkingPattern_ShopAgg_CreateEdit = "Pages.Master.WorkingPattern.ShopAgg.CreateEdit";
		public const string Pages_Master_WorkingPattern_ShopAgg_Delete = "Pages.Master.WorkingPattern.ShopAgg.Delete";
</v>
      </c>
      <c r="E36" s="17" t="str">
        <f>A.Backend!N5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F36" s="17" t="str">
        <f>A.Backend!K5</f>
        <v xml:space="preserve">public virtual DbSet&lt;MstWptShopAgg&gt; MstWptShopAggs { get; set; }
</v>
      </c>
      <c r="G36" s="17" t="str">
        <f ca="1">A.Backend!L5</f>
        <v xml:space="preserve">namespace vovina.Master.WorkingPattern.ShopAgg
{
	public class MstWptShopAggConsts	
	{
		public const int MaxShopNameLength = 40;
		public const int MaxDescriptionLength = 250;
		public const int MaxIsActiveLength = 1;
		// Define Store Name: Format SP_ + &lt;Store Name&gt; = &lt;Store Name&gt;
	}
}
</v>
      </c>
      <c r="H36" s="17" t="str">
        <f ca="1">A.Backend!M5</f>
        <v xml:space="preserve">using Abp.Application.Services.Dto;
using System;
using System.ComponentModel.DataAnnotations;
namespace vovina.Master.WorkingPattern.ShopAgg.Dto
{
	public class MstWptShopAggDto : EntityDto&lt;long?&gt;	
	{
		public virtual string ShopName { get; set; }
		public virtual string Description { get; set; }
		public virtual string IsActive { get; set; }
	}
	public class CreateOrEditMstWptShopAggDto : EntityDto&lt;long?&gt;	
	{
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	}
	public class GetMstWptShopAggInput	
	{
		public virtual string ShopName { get; set; }
		public virtual string Description { get; set; }
		public virtual string IsActive { get; set; }
	}
}
</v>
      </c>
      <c r="I36" s="17" t="str">
        <f ca="1">A.Backend!R5</f>
        <v xml:space="preserve">using Abp.Application.Services.Dto;
using System;
using System.ComponentModel.DataAnnotations;
namespace vovina.Master.WorkingPattern.ShopAgg.Dto
{
	public class MstWptShopAggExportInput{
		public virtual string ShopName { get; set; }
		public virtual string Description { get; set; }
		public virtual string IsActive { get; set; }
	}
}
</v>
      </c>
      <c r="J36" s="17" t="str">
        <f>A.Backend!P5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K36" s="17" t="str">
        <f>A.Backend!S5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vovina.Master.WorkingPattern.ShopAgg.Exporting
{
	public interface IMstWptShopAggExcelExporter : IApplicationService
	{
		FileDto ExportToFile(List&lt;MstWptShopAggDto&gt; mstwptshopagg);}
}
</v>
      </c>
      <c r="L36" s="17" t="str">
        <f ca="1">A.Backend!T5</f>
        <v>using System.Collections.Generic;
using vovina.DataExporting.Excel.NPOI;
using vovina.Dto;
using vovina.Master.WorkingPattern.ShopAgg.Exporting;
using vovina.Master.WorkingPattern.Dto;
using vovina.Storage;
using vovina.Master.WorkingPattern.ShopAgg.Dto;
namespace vovina.MasterWorkingPattern.ShopAgg.Exporting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shopagg)
        {
            return CreateExcelPackage(
                                 "MasterWorkingPatternShopAgg.xlsx",
                                 excelPackage =&gt;
                                 {
                                     var sheet = excelPackage.CreateSheet("ShopAgg");
                                     AddHeader(
                                               sheet,
                                                      ("ShopName"),
("Description"),
("IsActive"),
                                               );
                                     AddObjects(
                                         sheet, 1, shopagg,
                                         _ =&gt; _.ShopName,
_ =&gt; _.Description,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M36" s="17" t="str">
        <f ca="1">A.Backend!Q5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vovina.Master.WorkingPattern.ShopAgg.Exporting;
using vovina.Master.WorkingPattern.Dto;
using vovina.Master.WorkingPattern.ShopAgg;
using vovina.Master.WorkingPattern.ShopAgg.Dto;
namespace vovina.Master.WorkingPattern
{
    [AbpAuthorize(AppPermissions.Pages_Master_WorkingPattern)]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[AbpAuthorize(AppPermissions.Pages_Master_WorkingPattern_ShopAgg_CreateEdit)]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[AbpAuthorize(AppPermissions.Pages_Master_WorkingPattern_ShopAgg_Delete)]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
                              							ShopName = o.ShopName,
							Description = o.Description,
							IsActive = o.IsActive,
                         };
            var totalCount = await filtered.CountAsync();
            return new PagedResultDto&lt;MstWptShopAggDto&gt;(
                totalCount,
                await system.ToListAsync()
            );
        }
        public async Task&lt;FileDto&gt; GetShopAggToExcel(MstWptShopAggExportInput input)
        {
            var query = from o in _repo.GetAll()
                        select new MstWptShopAggDto
                        {
                               							ShopName = o.ShopName,
							Description = o.Description,
							IsActive = o.IsActive,
                        };
            var exportToExcel = await query.ToListAsync();
            return _calendarListExcelExporter.ExportToFile(exportToExcel);
        }
        public async Task GenerateAsync()
        {
            await _dapperRepo.ExecuteAsync(MstWptShopAggConsts.SP_MST_WPT_CALENDAR_GENERATE);
        }
    }
}
</v>
      </c>
    </row>
    <row r="37" spans="1:13" s="16" customFormat="1" ht="21.75" customHeight="1" x14ac:dyDescent="0.25">
      <c r="C37" s="30"/>
      <c r="D37" s="30"/>
      <c r="E37" s="30"/>
      <c r="F37" s="30"/>
      <c r="G37" s="30"/>
      <c r="H37" s="30"/>
      <c r="J37" s="30"/>
      <c r="K37" s="30"/>
      <c r="M37" s="30"/>
    </row>
    <row r="38" spans="1:13" s="16" customFormat="1" ht="21.75" customHeight="1" x14ac:dyDescent="0.25">
      <c r="C38" s="30"/>
      <c r="D38" s="30"/>
      <c r="E38" s="30"/>
      <c r="F38" s="30"/>
      <c r="G38" s="30"/>
      <c r="H38" s="30"/>
      <c r="J38" s="30"/>
      <c r="K38" s="30"/>
      <c r="M38" s="30"/>
    </row>
    <row r="39" spans="1:13" s="16" customFormat="1" ht="21.75" customHeight="1" x14ac:dyDescent="0.25">
      <c r="C39" s="30"/>
      <c r="D39" s="30"/>
      <c r="E39" s="30"/>
      <c r="G39" s="30"/>
      <c r="H39" s="30"/>
    </row>
    <row r="40" spans="1:13" x14ac:dyDescent="0.25">
      <c r="B40" s="1" t="s">
        <v>82</v>
      </c>
    </row>
    <row r="41" spans="1:13" x14ac:dyDescent="0.25">
      <c r="C41" s="1"/>
      <c r="D41" s="1"/>
      <c r="E41" s="1"/>
      <c r="F41" s="1"/>
      <c r="G41" s="1"/>
      <c r="H41" s="1"/>
      <c r="I41" s="1"/>
      <c r="J41" s="1"/>
    </row>
    <row r="42" spans="1:13" s="29" customFormat="1" ht="18" customHeight="1" x14ac:dyDescent="0.25">
      <c r="B42" s="29" t="s">
        <v>372</v>
      </c>
      <c r="C42" s="33" t="str">
        <f>B.Frontend!B7</f>
        <v>shop.component.ts</v>
      </c>
      <c r="D42" s="33" t="str">
        <f>B.Frontend!C7</f>
        <v>shop.component.html</v>
      </c>
      <c r="E42" s="33" t="str">
        <f>B.Frontend!D7</f>
        <v>create-or-edit-shop-modal.component.ts</v>
      </c>
      <c r="F42" s="33" t="str">
        <f>B.Frontend!E7</f>
        <v>create-or-edit-shop-modal.component.html</v>
      </c>
      <c r="G42" s="33" t="str">
        <f>B.Frontend!F7</f>
        <v>shop.module.ts</v>
      </c>
      <c r="H42" s="33" t="str">
        <f>B.Frontend!G7</f>
        <v>shop-routing.module.ts</v>
      </c>
      <c r="I42" s="33" t="str">
        <f>B.Frontend!B9</f>
        <v>app.navigation.service.ts</v>
      </c>
      <c r="J42" s="33" t="str">
        <f>B.Frontend!C9</f>
        <v>admin-routing.module.ts</v>
      </c>
    </row>
    <row r="43" spans="1:13" ht="21.75" customHeight="1" x14ac:dyDescent="0.25">
      <c r="B43" t="s">
        <v>373</v>
      </c>
      <c r="C43" s="33" t="str">
        <f ca="1">B.Frontend!B8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D43" s="33" t="str">
        <f>B.Frontend!C8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E43" s="33" t="str">
        <f>B.Frontend!D8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F43" s="33" t="str">
        <f ca="1">B.Frontend!E8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G43" s="33" t="str">
        <f>B.Frontend!F8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H43" s="33" t="str">
        <f>B.Frontend!G8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  <c r="I43" s="33" t="str">
        <f>B.Frontend!B10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J43" s="60" t="str">
        <f>B.Frontend!C10</f>
        <v xml:space="preserve"> path: 'master/workingpattern /shop',
loadChildren: () =&gt; import('./master/workingpattern/shop/shop.module').then(m =&gt; m.ShopModule),
data: { permission: 'Pages.Master.WorkingPattern .Shop' }
</v>
      </c>
    </row>
    <row r="45" spans="1:13" x14ac:dyDescent="0.25">
      <c r="B45" s="1" t="s">
        <v>84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11"/>
  <sheetViews>
    <sheetView workbookViewId="0">
      <pane xSplit="1" topLeftCell="B1" activePane="topRight" state="frozen"/>
      <selection pane="topRight" activeCell="D11" sqref="D1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9.140625" style="8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12</v>
      </c>
      <c r="B1" s="10" t="s">
        <v>74</v>
      </c>
      <c r="C1" s="10" t="s">
        <v>55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vovina.Master.WorkingPattern.ShopAgg.Dto;</v>
      </c>
      <c r="E1" s="10" t="s">
        <v>519</v>
      </c>
      <c r="F1" s="11" t="s">
        <v>76</v>
      </c>
      <c r="H1" s="11" t="s">
        <v>77</v>
      </c>
      <c r="J1" s="11" t="s">
        <v>78</v>
      </c>
      <c r="L1" s="11" t="s">
        <v>79</v>
      </c>
      <c r="M1" s="11" t="s">
        <v>80</v>
      </c>
      <c r="N1" s="11" t="s">
        <v>81</v>
      </c>
      <c r="O1" s="11" t="s">
        <v>95</v>
      </c>
      <c r="T1" s="10" t="s">
        <v>518</v>
      </c>
    </row>
    <row r="2" spans="1:22" s="11" customFormat="1" ht="30" x14ac:dyDescent="0.25">
      <c r="A2" s="1" t="s">
        <v>13</v>
      </c>
      <c r="B2" s="31" t="s">
        <v>507</v>
      </c>
      <c r="C2" s="14" t="s">
        <v>41</v>
      </c>
      <c r="D2" s="14" t="s">
        <v>42</v>
      </c>
      <c r="E2" s="14" t="s">
        <v>43</v>
      </c>
      <c r="F2" s="14" t="s">
        <v>52</v>
      </c>
      <c r="G2" s="14" t="s">
        <v>50</v>
      </c>
      <c r="H2" s="14" t="s">
        <v>53</v>
      </c>
      <c r="I2" s="14" t="s">
        <v>46</v>
      </c>
      <c r="J2" s="14" t="s">
        <v>54</v>
      </c>
      <c r="K2" s="14" t="s">
        <v>56</v>
      </c>
      <c r="L2" s="14" t="s">
        <v>63</v>
      </c>
      <c r="M2" s="14" t="s">
        <v>62</v>
      </c>
      <c r="N2" s="14" t="s">
        <v>66</v>
      </c>
      <c r="O2" s="14" t="s">
        <v>96</v>
      </c>
      <c r="T2" s="11" t="s">
        <v>509</v>
      </c>
      <c r="V2" s="11" t="s">
        <v>511</v>
      </c>
    </row>
    <row r="3" spans="1:22" s="11" customFormat="1" ht="33" customHeight="1" x14ac:dyDescent="0.25">
      <c r="A3" s="1" t="s">
        <v>6</v>
      </c>
      <c r="B3" s="31" t="s">
        <v>508</v>
      </c>
      <c r="C3" s="10" t="s">
        <v>44</v>
      </c>
      <c r="D3" s="10" t="s">
        <v>45</v>
      </c>
      <c r="E3" s="10" t="s">
        <v>40</v>
      </c>
      <c r="F3" s="11" t="str">
        <f>"J"&amp;COUNTA($A:$A)</f>
        <v>J9</v>
      </c>
      <c r="G3" s="4" t="s">
        <v>58</v>
      </c>
      <c r="H3" s="10" t="str">
        <f>"I"&amp;COUNTA($A:$A)</f>
        <v>I9</v>
      </c>
      <c r="I3" s="10" t="str">
        <f>REPT(CHAR(9),2)&amp;"[Required]"&amp;"
"</f>
        <v xml:space="preserve">		[Required]
</v>
      </c>
      <c r="J3" s="11" t="str">
        <f>"L"&amp;COUNTA($A:$A)</f>
        <v>L9</v>
      </c>
      <c r="K3" s="5" t="s">
        <v>57</v>
      </c>
      <c r="L3" s="11" t="str">
        <f>"M"&amp;COUNTA($A:$A)</f>
        <v>M9</v>
      </c>
      <c r="M3" s="11" t="str">
        <f>"N"&amp;COUNTA($A:$A)</f>
        <v>N9</v>
      </c>
      <c r="N3" s="11" t="str">
        <f>"O"&amp;COUNTA($A:$A)</f>
        <v>O9</v>
      </c>
      <c r="O3" s="11" t="str">
        <f>"P"&amp;COUNTA($A:$A)</f>
        <v>P9</v>
      </c>
      <c r="Q3" s="11" t="str">
        <f>RIGHT(B2,FIND(".",B2,1))</f>
        <v>ShopAgg</v>
      </c>
      <c r="R3" s="90" t="str">
        <f>REPT(CHAR(9),1)&amp;"public class "&amp;B3&amp;"ExportInput"&amp;C3</f>
        <v xml:space="preserve">	public class MstWptShopAggExportInput{
</v>
      </c>
      <c r="S3" s="11" t="str">
        <f>"namespace "&amp;$B$4&amp;".Exporting
"&amp;$C$3</f>
        <v xml:space="preserve">namespace vovina.Master.WorkingPattern.ShopAgg.Exporting
{
</v>
      </c>
      <c r="T3" s="11" t="s">
        <v>510</v>
      </c>
      <c r="V3" s="11" t="s">
        <v>512</v>
      </c>
    </row>
    <row r="4" spans="1:22" customFormat="1" ht="16.5" customHeight="1" x14ac:dyDescent="0.25">
      <c r="A4" s="1" t="s">
        <v>7</v>
      </c>
      <c r="B4" s="10" t="str">
        <f>"vovina."&amp;B2</f>
        <v>vovina.Master.WorkingPattern.ShopAgg</v>
      </c>
      <c r="C4" s="11" t="str">
        <f>"namespace "&amp;$B$4&amp;"
"&amp;$C$3</f>
        <v xml:space="preserve">namespace vovina.Master.WorkingPattern.ShopAgg
{
</v>
      </c>
      <c r="D4" s="11" t="str">
        <f>REPT(CHAR(9),1)&amp;"public class "&amp;B3&amp;G3&amp;REPT(CHAR(9),1)&amp;"
"&amp;REPT(CHAR(9),1)&amp;C3</f>
        <v xml:space="preserve">	public class MstWptShopAgg: FullAuditedEntity&lt;long&gt;, IEntity&lt;long&gt;	
	{
</v>
      </c>
      <c r="E4" s="11" t="str">
        <f>REPT(CHAR(9),1)&amp;"public class "&amp;B3&amp;"Consts"&amp;REPT(CHAR(9),1)&amp;"
"&amp;REPT(CHAR(9),1)&amp;C3</f>
        <v xml:space="preserve">	public class MstWptShopAggConsts	
	{
</v>
      </c>
      <c r="F4" s="11" t="str">
        <f>REPT(CHAR(9),1)&amp;"public class "&amp;B3&amp;"Dto"&amp;K3&amp;REPT(CHAR(9),1)&amp;"
"&amp;REPT(CHAR(9),1)&amp;C3</f>
        <v xml:space="preserve">	public class MstWptShopAggDto : EntityDto&lt;long?&gt;	
	{
</v>
      </c>
      <c r="G4" s="11" t="str">
        <f>REPT(CHAR(9),1)&amp;"public class CreateOrEdit"&amp;B3&amp;"Dto"&amp;K3&amp;REPT(CHAR(9),1)&amp;"
"&amp;REPT(CHAR(9),1)&amp;C3</f>
        <v xml:space="preserve">	public class CreateOrEditMstWptShopAggDto : EntityDto&lt;long?&gt;	
	{
</v>
      </c>
      <c r="H4" s="11" t="str">
        <f>REPT(CHAR(9),1)&amp;"public class Get"&amp;B3&amp;"Input"&amp;REPT(CHAR(9),1)&amp;"
"&amp;REPT(CHAR(9),1)&amp;C3</f>
        <v xml:space="preserve">	public class GetMstWptShopAggInput	
	{
</v>
      </c>
      <c r="I4" s="11"/>
      <c r="J4" s="1" t="s">
        <v>75</v>
      </c>
      <c r="K4" s="1" t="s">
        <v>67</v>
      </c>
      <c r="L4" s="1" t="s">
        <v>68</v>
      </c>
      <c r="M4" s="1" t="s">
        <v>69</v>
      </c>
      <c r="N4" s="1" t="s">
        <v>70</v>
      </c>
      <c r="O4" s="1" t="s">
        <v>71</v>
      </c>
      <c r="P4" s="1" t="s">
        <v>72</v>
      </c>
      <c r="Q4" s="1" t="s">
        <v>73</v>
      </c>
      <c r="R4" s="1" t="s">
        <v>221</v>
      </c>
      <c r="S4" s="1" t="s">
        <v>223</v>
      </c>
      <c r="T4" s="1" t="s">
        <v>222</v>
      </c>
    </row>
    <row r="5" spans="1:22" customFormat="1" ht="15.75" customHeight="1" x14ac:dyDescent="0.25">
      <c r="A5" s="1" t="s">
        <v>14</v>
      </c>
      <c r="B5" s="10" t="str">
        <f>B3</f>
        <v>MstWptShopAgg</v>
      </c>
      <c r="C5" s="11" t="str">
        <f>REPT(CHAR(9),1)&amp;"[Table("""&amp;B5&amp;""")]"&amp;"
"</f>
        <v xml:space="preserve">	[Table("MstWptShopAgg")]
</v>
      </c>
      <c r="D5" s="11"/>
      <c r="E5" s="11"/>
      <c r="F5" s="11"/>
      <c r="G5" s="11"/>
      <c r="H5" s="11"/>
      <c r="I5" s="11"/>
      <c r="J5" s="6" t="str">
        <f ca="1">B1&amp;C4&amp;C5&amp;K11&amp;D4&amp;I11&amp;E3&amp;J11&amp;"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vovina.Master.WorkingPattern.ShopAgg
{
	[Table("MstWptShopAgg")]
	[Index(nameof(ShopName), Name="IX_MstWptShopAgg_ShopName")]
	public class MstWptShopAgg: FullAuditedEntity&lt;long&gt;, IEntity&lt;long&gt;	
	{
		public const int MaxShopNameLength = 40;
		public const int MaxDescriptionLength = 250;
		public const int MaxIsActiveLength = 1;
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	}
}
</v>
      </c>
      <c r="K5" t="str">
        <f>"public virtual DbSet&lt;"&amp;B3&amp;"&gt; "&amp;B3&amp;"s { get; set; }
"</f>
        <v xml:space="preserve">public virtual DbSet&lt;MstWptShopAgg&gt; MstWptShopAggs { get; set; }
</v>
      </c>
      <c r="L5" t="str">
        <f ca="1">C4&amp;E4&amp;I11&amp;"
"&amp;REPT(CHAR(9),2)&amp;"// Define Store Name: Format SP_ + &lt;Store Name&gt; = &lt;Store Name&gt;
"&amp;E3&amp;REPT(CHAR(9),1)&amp;D3&amp;D3</f>
        <v xml:space="preserve">namespace vovina.Master.WorkingPattern.ShopAgg
{
	public class MstWptShopAggConsts	
	{
		public const int MaxShopNameLength = 40;
		public const int MaxDescriptionLength = 250;
		public const int MaxIsActiveLength = 1;
		// Define Store Name: Format SP_ + &lt;Store Name&gt; = &lt;Store Name&gt;
	}
}
</v>
      </c>
      <c r="M5" t="str">
        <f ca="1">C1&amp;"namespace "&amp;B4&amp;".Dto"&amp;E3&amp;C3&amp;F4&amp;M11&amp;E3&amp;REPT(CHAR(9),1)&amp;D3&amp;G4&amp;N11&amp;REPT(CHAR(9),1)&amp;D3&amp;H4&amp;O11&amp;"
"&amp;REPT(CHAR(9),1)&amp;D3&amp;D3</f>
        <v xml:space="preserve">using Abp.Application.Services.Dto;
using System;
using System.ComponentModel.DataAnnotations;
namespace vovina.Master.WorkingPattern.ShopAgg.Dto
{
	public class MstWptShopAggDto : EntityDto&lt;long?&gt;	
	{
		public virtual string ShopName { get; set; }
		public virtual string Description { get; set; }
		public virtual string IsActive { get; set; }
	}
	public class CreateOrEditMstWptShopAggDto : EntityDto&lt;long?&gt;	
	{
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	}
	public class GetMstWptShopAggInput	
	{
		public virtual string ShopName { get; set; }
		public virtual string Description { get; set; }
		public virtual string IsActive { get; set; }
	}
}
</v>
      </c>
      <c r="N5" t="str">
        <f>REPT(CHAR(9),2)&amp;"var per"&amp;B3&amp;" = PARENTS.CreateChildPermission(AppPermissions.Pages_"&amp;SUBSTITUTE(B2,".","_")&amp;", L( """&amp;SUBSTITUTE(B2,".","")&amp;"""));"
&amp;E3&amp;REPT(CHAR(9),2)&amp;"per"&amp;B3&amp;".CreateChildPermission(AppPermissions.Pages_"&amp;SUBSTITUTE(B2,".","_")&amp;"_CreateEdit, L( """&amp;SUBSTITUTE(B2,".","")&amp;"CreateEdit"&amp;"""));"
&amp;E3&amp;REPT(CHAR(9),2)&amp;"per"&amp;B3&amp;".CreateChildPermission(AppPermissions.Pages_"&amp;SUBSTITUTE(B2,".","_")&amp;"_Delete, L( """&amp;SUBSTITUTE(B2,".","")&amp;"Delete"&amp;"""));"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O5" t="str">
        <f>REPT(CHAR(9),2)&amp;"public const string Pages_"&amp;SUBSTITUTE(B2,".","_")&amp;" = ""Pages."&amp;B2&amp;""";"
&amp;E3&amp;REPT(CHAR(9),2)&amp;"public const string Pages_"&amp;SUBSTITUTE(B2,".","_")&amp;"_CreateEdit"&amp;" = ""Pages."&amp;B2&amp;".CreateEdit"";"
&amp;E3&amp;REPT(CHAR(9),2)&amp;"public const string Pages_"&amp;SUBSTITUTE(B2,".","_")&amp;"_Delete"&amp;" = ""Pages."&amp;B2&amp;".Delete"";
"</f>
        <v xml:space="preserve">		public const string Pages_Master_WorkingPattern_ShopAgg = "Pages.Master.WorkingPattern.ShopAgg";
		public const string Pages_Master_WorkingPattern_ShopAgg_CreateEdit = "Pages.Master.WorkingPattern.ShopAgg.CreateEdit";
		public const string Pages_Master_WorkingPattern_ShopAgg_Delete = "Pages.Master.WorkingPattern.ShopAgg.Delete";
</v>
      </c>
      <c r="P5" t="str">
        <f>D1&amp;E3&amp;E3
&amp;C4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Q5" t="str">
        <f ca="1">SUBSTITUTE(SUBSTITUTE(SUBSTITUTE(E1,"MstWptCalendar",$B$3),"&lt;PROPERTIES&gt;",P11),"Calendar",$Q$3)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vovina.Master.WorkingPattern.ShopAgg.Exporting;
using vovina.Master.WorkingPattern.Dto;
using vovina.Master.WorkingPattern.ShopAgg;
using vovina.Master.WorkingPattern.ShopAgg.Dto;
namespace vovina.Master.WorkingPattern
{
    [AbpAuthorize(AppPermissions.Pages_Master_WorkingPattern)]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[AbpAuthorize(AppPermissions.Pages_Master_WorkingPattern_ShopAgg_CreateEdit)]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 
            var chk = await _repo.FirstOrDefaultAsync(e =&gt; e.WorkingDate == input.WorkingDate);
            if (chk != null)
            {
                throw new UserFriendlyException(400, L("Ngày làm việc đã tồn tại")); // TODO: Change Message
            }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[AbpAuthorize(AppPermissions.Pages_Master_WorkingPattern_ShopAgg_Delete)]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
                        .WhereIf(input.WorkingDate.HasValue, t =&gt; t.WorkingDate == input.WorkingDate.Value)
                        .WhereIf(!string.IsNullOrWhiteSpace(input.WorkingType), e =&gt; e.WorkingType.Contains(input.WorkingType))
                        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
                              							ShopName = o.ShopName,
							Description = o.Description,
							IsActive = o.IsActive,
                         };
            var totalCount = await filtered.CountAsync();
            return new PagedResultDto&lt;MstWptShopAggDto&gt;(
                totalCount,
                await system.ToListAsync()
            );
        }
        public async Task&lt;FileDto&gt; GetShopAggToExcel(MstWptShopAggExportInput input)
        {
            var query = from o in _repo.GetAll()
                        select new MstWptShopAggDto
                        {
                               							ShopName = o.ShopName,
							Description = o.Description,
							IsActive = o.IsActive,
                        };
            var exportToExcel = await query.ToListAsync();
            return _calendarListExcelExporter.ExportToFile(exportToExcel);
        }
        public async Task GenerateAsync()
        {
            await _dapperRepo.ExecuteAsync(MstWptShopAggConsts.SP_MST_WPT_CALENDAR_GENERATE);
        }
    }
}
</v>
      </c>
      <c r="R5" t="str">
        <f ca="1">C1&amp;"namespace "&amp;B4&amp;".Dto"&amp;E3&amp;C3&amp;R3&amp;M11&amp;E3&amp;REPT(CHAR(9),1)&amp;D3&amp;D3</f>
        <v xml:space="preserve">using Abp.Application.Services.Dto;
using System;
using System.ComponentModel.DataAnnotations;
namespace vovina.Master.WorkingPattern.ShopAgg.Dto
{
	public class MstWptShopAggExportInput{
		public virtual string ShopName { get; set; }
		public virtual string Description { get; set; }
		public virtual string IsActive { get; set; }
	}
}
</v>
      </c>
      <c r="S5" t="str">
        <f>D1&amp;E3&amp;E3
&amp;S3
&amp;REPT(CHAR(9),1)&amp;"public interface I"&amp;B3&amp;"ExcelExporter : IApplicationService"&amp;E3&amp;REPT(CHAR(9),1)&amp;C3&amp;REPT(CHAR(9),2)&amp;"FileDto ExportToFile(List&lt;"&amp;B3&amp;"Dto&gt; "&amp;LOWER(B3)&amp;");"&amp;D3&amp;D3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vovina.Master.WorkingPattern.ShopAgg.Exporting
{
	public interface IMstWptShopAggExcelExporter : IApplicationService
	{
		FileDto ExportToFile(List&lt;MstWptShopAggDto&gt; mstwptshopagg);}
}
</v>
      </c>
      <c r="T5" s="29" t="str">
        <f ca="1">SUBSTITUTE(SUBSTITUTE(SUBSTITUTE(SUBSTITUTE(SUBSTITUTE(T1,"MstWptCalendar",$B$3),"&lt;PROPERTIES1&gt;",V11),"&lt;PROPERTIES&gt;",T11),"Calendar",$Q$3),"calendar",LOWER(Q3))</f>
        <v>using System.Collections.Generic;
using vovina.DataExporting.Excel.NPOI;
using vovina.Dto;
using vovina.Master.WorkingPattern.ShopAgg.Exporting;
using vovina.Master.WorkingPattern.Dto;
using vovina.Storage;
using vovina.Master.WorkingPattern.ShopAgg.Dto;
namespace vovina.MasterWorkingPattern.ShopAgg.Exporting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shopagg)
        {
            return CreateExcelPackage(
                                 "MasterWorkingPatternShopAgg.xlsx",
                                 excelPackage =&gt;
                                 {
                                     var sheet = excelPackage.CreateSheet("ShopAgg");
                                     AddHeader(
                                               sheet,
                                                      ("ShopName"),
("Description"),
("IsActive"),
                                               );
                                     AddObjects(
                                         sheet, 1, shopagg,
                                         _ =&gt; _.ShopName,
_ =&gt; _.Description,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V5" s="29"/>
    </row>
    <row r="6" spans="1:22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60</v>
      </c>
      <c r="G6" s="2" t="s">
        <v>10</v>
      </c>
      <c r="H6" s="2" t="s">
        <v>16</v>
      </c>
      <c r="I6" s="2" t="s">
        <v>51</v>
      </c>
      <c r="J6" s="2" t="s">
        <v>39</v>
      </c>
      <c r="K6" s="2" t="s">
        <v>47</v>
      </c>
      <c r="L6" s="2" t="s">
        <v>48</v>
      </c>
      <c r="M6" s="2" t="s">
        <v>64</v>
      </c>
      <c r="N6" s="2" t="s">
        <v>59</v>
      </c>
      <c r="O6" s="2" t="s">
        <v>65</v>
      </c>
      <c r="P6" s="21" t="s">
        <v>94</v>
      </c>
    </row>
    <row r="7" spans="1:22" customFormat="1" ht="22.5" customHeight="1" x14ac:dyDescent="0.25">
      <c r="A7" t="s">
        <v>212</v>
      </c>
      <c r="B7" t="s">
        <v>213</v>
      </c>
      <c r="C7" t="s">
        <v>89</v>
      </c>
      <c r="D7" t="str">
        <f>A7</f>
        <v>ShopName</v>
      </c>
      <c r="E7" t="str">
        <f t="shared" ref="E7:E9" si="0">IFERROR(LEFT(B7, FIND("(",B7)-1),B7)</f>
        <v>nvarchar</v>
      </c>
      <c r="F7" s="7"/>
      <c r="G7" t="str">
        <f t="shared" ref="G7:G9" si="1">IFERROR(MID(B7,FIND("(",B7) +1, FIND(")",B7) - FIND("(",B7) - 1),"")</f>
        <v>40</v>
      </c>
      <c r="H7" t="str">
        <f>+VLOOKUP(E7,'Data Type Mapping'!A:B,2,)</f>
        <v>string</v>
      </c>
      <c r="I7" t="str">
        <f t="shared" ref="I7:I9" si="2">IF(H7="string",REPT(CHAR(9),2)&amp;"public const int Max"&amp;D7&amp;"Length = "&amp;G7&amp;";"&amp;$E$3,"" )</f>
        <v xml:space="preserve">		public const int MaxShopNameLength = 40;
</v>
      </c>
      <c r="J7" t="str">
        <f t="shared" ref="J7:J9" si="3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[Required]
		[StringLength(MaxShopNameLength)]
		public virtual string ShopName { get; set; }
</v>
      </c>
      <c r="K7" s="7" t="s">
        <v>506</v>
      </c>
      <c r="L7" t="str">
        <f>IF(K7="","",REPT(CHAR(9),1)&amp;"[Index(nameof("&amp;IF(D7="","",""&amp;D7)&amp;")"&amp;", Name="&amp;"""IX_"&amp;$B$5&amp;"_"&amp;D7&amp;""")]")</f>
        <v xml:space="preserve">	[Index(nameof(ShopName), Name="IX_MstWptShopAgg_ShopName")]</v>
      </c>
      <c r="M7" t="str">
        <f t="shared" ref="M7:M9" si="4">REPT(CHAR(9),2)&amp;"public virtual "&amp;H7&amp;IF(C7="?","? "," ")&amp;D7&amp;" { get; set; }" &amp; "
"</f>
        <v xml:space="preserve">		public virtual string ShopName { get; set; }
</v>
      </c>
      <c r="N7" t="str">
        <f t="shared" ref="N7:N9" si="5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[StringLength(MstWptShopAggConsts.MaxShopNameLength)]
		public virtual string ShopName { get; set; }
</v>
      </c>
      <c r="O7" t="str">
        <f t="shared" ref="O7:O9" si="6">IF(OR(H7="string",H7="DateTime"),REPT(CHAR(9),2)&amp;"public virtual "&amp;H7&amp;IF(C7="?","? "," ")&amp;D7&amp;" { get; set; }"&amp;$E$3,"")</f>
        <v xml:space="preserve">		public virtual string ShopName { get; set; }
</v>
      </c>
      <c r="P7" t="str">
        <f t="shared" ref="P7:P9" si="7">REPT(CHAR(9),7)&amp;D7&amp;" = o." &amp;D7 &amp;","</f>
        <v xml:space="preserve">							ShopName = o.ShopName,</v>
      </c>
      <c r="T7" s="29" t="str">
        <f>"("""&amp;D7&amp;"""),"</f>
        <v>("ShopName"),</v>
      </c>
      <c r="V7" t="str">
        <f>"_ =&gt; _."&amp;D7&amp;","</f>
        <v>_ =&gt; _.ShopName,</v>
      </c>
    </row>
    <row r="8" spans="1:22" customFormat="1" ht="21" customHeight="1" x14ac:dyDescent="0.25">
      <c r="A8" t="s">
        <v>214</v>
      </c>
      <c r="B8" t="s">
        <v>215</v>
      </c>
      <c r="C8" t="s">
        <v>1</v>
      </c>
      <c r="D8" t="str">
        <f t="shared" ref="D8:D9" si="8">A8</f>
        <v>Description</v>
      </c>
      <c r="E8" t="str">
        <f t="shared" si="0"/>
        <v>nvarchar</v>
      </c>
      <c r="F8" s="7"/>
      <c r="G8" t="str">
        <f t="shared" si="1"/>
        <v>250</v>
      </c>
      <c r="H8" t="str">
        <f>+VLOOKUP(E8,'Data Type Mapping'!A:B,2,)</f>
        <v>string</v>
      </c>
      <c r="I8" t="str">
        <f t="shared" si="2"/>
        <v xml:space="preserve">		public const int MaxDescriptionLength = 250;
</v>
      </c>
      <c r="J8" t="str">
        <f t="shared" si="3"/>
        <v xml:space="preserve">		[StringLength(MaxDescriptionLength)]
		public virtual string Description { get; set; }
</v>
      </c>
      <c r="K8" s="7"/>
      <c r="L8" t="str">
        <f t="shared" ref="L8:L9" si="9">IF(K8="","",REPT(CHAR(9),1)&amp;"[Index(nameof("&amp;IF(D8="","",""&amp;D8)&amp;")"&amp;", Name="&amp;"""IX_"&amp;$B$5&amp;"_"&amp;D8&amp;""")]")</f>
        <v/>
      </c>
      <c r="M8" t="str">
        <f t="shared" si="4"/>
        <v xml:space="preserve">		public virtual string Description { get; set; }
</v>
      </c>
      <c r="N8" t="str">
        <f t="shared" si="5"/>
        <v xml:space="preserve">		[StringLength(MstWptShopAggConsts.MaxDescriptionLength)]
		public virtual string Description { get; set; }
</v>
      </c>
      <c r="O8" t="str">
        <f t="shared" si="6"/>
        <v xml:space="preserve">		public virtual string Description { get; set; }
</v>
      </c>
      <c r="P8" t="str">
        <f t="shared" si="7"/>
        <v xml:space="preserve">							Description = o.Description,</v>
      </c>
      <c r="T8" s="29" t="str">
        <f t="shared" ref="T8:T9" si="10">"("""&amp;D8&amp;"""),"</f>
        <v>("Description"),</v>
      </c>
      <c r="V8" t="str">
        <f>"_ =&gt; _."&amp;D8&amp;","</f>
        <v>_ =&gt; _.Description,</v>
      </c>
    </row>
    <row r="9" spans="1:22" customFormat="1" ht="18.75" customHeight="1" x14ac:dyDescent="0.25">
      <c r="A9" t="s">
        <v>216</v>
      </c>
      <c r="B9" t="s">
        <v>3</v>
      </c>
      <c r="C9" t="s">
        <v>89</v>
      </c>
      <c r="D9" t="str">
        <f t="shared" si="8"/>
        <v>IsActive</v>
      </c>
      <c r="E9" t="str">
        <f t="shared" si="0"/>
        <v>varchar</v>
      </c>
      <c r="F9" s="7"/>
      <c r="G9" t="str">
        <f t="shared" si="1"/>
        <v>1</v>
      </c>
      <c r="H9" t="str">
        <f>+VLOOKUP(E9,'Data Type Mapping'!A:B,2,)</f>
        <v>string</v>
      </c>
      <c r="I9" t="str">
        <f t="shared" si="2"/>
        <v xml:space="preserve">		public const int MaxIsActiveLength = 1;
</v>
      </c>
      <c r="J9" t="str">
        <f t="shared" si="3"/>
        <v xml:space="preserve">		[Required]
		[StringLength(MaxIsActiveLength)]
		public virtual string IsActive { get; set; }
</v>
      </c>
      <c r="K9" s="7"/>
      <c r="L9" t="str">
        <f t="shared" si="9"/>
        <v/>
      </c>
      <c r="M9" t="str">
        <f t="shared" si="4"/>
        <v xml:space="preserve">		public virtual string IsActive { get; set; }
</v>
      </c>
      <c r="N9" t="str">
        <f t="shared" si="5"/>
        <v xml:space="preserve">		[Required]
		[StringLength(MstWptShopAggConsts.MaxIsActiveLength)]
		public virtual string IsActive { get; set; }
</v>
      </c>
      <c r="O9" t="str">
        <f t="shared" si="6"/>
        <v xml:space="preserve">		public virtual string IsActive { get; set; }
</v>
      </c>
      <c r="P9" t="str">
        <f t="shared" si="7"/>
        <v xml:space="preserve">							IsActive = o.IsActive,</v>
      </c>
      <c r="T9" s="29" t="str">
        <f t="shared" si="10"/>
        <v>("IsActive"),</v>
      </c>
      <c r="V9" t="str">
        <f>"_ =&gt; _."&amp;D9&amp;","</f>
        <v>_ =&gt; _.IsActive,</v>
      </c>
    </row>
    <row r="11" spans="1:22" ht="45.75" customHeight="1" x14ac:dyDescent="0.25">
      <c r="H11" s="12"/>
      <c r="I11" s="92" t="str">
        <f ca="1">TEXTJOIN2("
", TRUE,INDIRECT( $H$1):INDIRECT( $H$3))</f>
        <v xml:space="preserve">		public const int MaxShopNameLength = 40;
		public const int MaxDescriptionLength = 250;
		public const int MaxIsActiveLength = 1;
</v>
      </c>
      <c r="J11" s="91" t="str">
        <f ca="1">TEXTJOIN2("
", TRUE,INDIRECT( $F$1):INDIRECT( $F$3))</f>
        <v xml:space="preserve">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</v>
      </c>
      <c r="K11" s="93" t="str">
        <f ca="1">TEXTJOIN2("
", TRUE,INDIRECT( $J$1):INDIRECT( $J$3))</f>
        <v xml:space="preserve">	[Index(nameof(ShopName), Name="IX_MstWptShopAgg_ShopName")]
</v>
      </c>
      <c r="L11" s="13" t="s">
        <v>61</v>
      </c>
      <c r="M11" s="94" t="str">
        <f ca="1">TEXTJOIN2("
",TRUE,INDIRECT( $L$1):INDIRECT($L$3))</f>
        <v xml:space="preserve">		public virtual string ShopName { get; set; }
		public virtual string Description { get; set; }
		public virtual string IsActive { get; set; }
</v>
      </c>
      <c r="N11" s="91" t="str">
        <f ca="1">TEXTJOIN2("
",TRUE,INDIRECT( $M$1):INDIRECT($M$3))</f>
        <v xml:space="preserve">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</v>
      </c>
      <c r="O11" s="91" t="str">
        <f ca="1">TEXTJOIN2("
",TRUE,INDIRECT( $N$1):INDIRECT($N$3))</f>
        <v xml:space="preserve">		public virtual string ShopName { get; set; }
		public virtual string Description { get; set; }
		public virtual string IsActive { get; set; }
</v>
      </c>
      <c r="P11" s="9" t="str">
        <f ca="1">TEXTJOIN2("
",TRUE,INDIRECT( $O$1):INDIRECT($O$3))</f>
        <v xml:space="preserve">							ShopName = o.ShopName,
							Description = o.Description,
							IsActive = o.IsActive,</v>
      </c>
      <c r="T11" s="9" t="str">
        <f ca="1">TEXTJOIN2("
",TRUE,INDIRECT( $T$2):INDIRECT($T$3))</f>
        <v>("ShopName"),
("Description"),
("IsActive"),</v>
      </c>
      <c r="V11" s="9" t="str">
        <f ca="1">TEXTJOIN2("
",TRUE,INDIRECT( $V$2):INDIRECT($V$3))</f>
        <v>_ =&gt; _.ShopName,
_ =&gt; _.Description,
_ =&gt; _.IsActive,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22"/>
  <sheetViews>
    <sheetView topLeftCell="A10" workbookViewId="0">
      <selection activeCell="B25" sqref="B25"/>
    </sheetView>
  </sheetViews>
  <sheetFormatPr defaultRowHeight="15" x14ac:dyDescent="0.25"/>
  <cols>
    <col min="1" max="1" width="46.7109375" customWidth="1"/>
    <col min="2" max="2" width="36.7109375" customWidth="1"/>
    <col min="3" max="3" width="37.28515625" customWidth="1"/>
    <col min="4" max="4" width="53.85546875" customWidth="1"/>
    <col min="5" max="5" width="58.28515625" customWidth="1"/>
    <col min="6" max="6" width="33.5703125" customWidth="1"/>
    <col min="7" max="7" width="39.5703125" customWidth="1"/>
    <col min="9" max="9" width="21.140625" customWidth="1"/>
  </cols>
  <sheetData>
    <row r="1" spans="1:7" ht="26.25" customHeight="1" x14ac:dyDescent="0.25">
      <c r="A1" s="42" t="s">
        <v>273</v>
      </c>
      <c r="B1" s="82" t="s">
        <v>274</v>
      </c>
      <c r="C1" s="82"/>
      <c r="D1" s="82"/>
      <c r="E1" s="82"/>
      <c r="F1" s="82"/>
      <c r="G1" s="82"/>
    </row>
    <row r="2" spans="1:7" ht="26.25" customHeight="1" x14ac:dyDescent="0.25">
      <c r="A2" s="43" t="s">
        <v>371</v>
      </c>
      <c r="B2" s="82"/>
      <c r="C2" s="82"/>
      <c r="D2" s="82"/>
      <c r="E2" s="82"/>
      <c r="F2" s="82"/>
      <c r="G2" s="82"/>
    </row>
    <row r="3" spans="1:7" ht="22.5" customHeight="1" x14ac:dyDescent="0.25">
      <c r="A3" s="43" t="s">
        <v>211</v>
      </c>
      <c r="B3" s="82"/>
      <c r="C3" s="82"/>
      <c r="D3" s="82"/>
      <c r="E3" s="82"/>
      <c r="F3" s="82"/>
      <c r="G3" s="82"/>
    </row>
    <row r="4" spans="1:7" ht="22.5" customHeight="1" x14ac:dyDescent="0.25">
      <c r="A4" s="43" t="s">
        <v>440</v>
      </c>
      <c r="B4" s="82"/>
      <c r="C4" s="82"/>
      <c r="D4" s="82"/>
      <c r="E4" s="82"/>
      <c r="F4" s="82"/>
      <c r="G4" s="82"/>
    </row>
    <row r="5" spans="1:7" ht="22.5" customHeight="1" x14ac:dyDescent="0.25">
      <c r="A5" s="43" t="s">
        <v>444</v>
      </c>
      <c r="B5" s="83"/>
      <c r="C5" s="83"/>
      <c r="D5" s="83"/>
      <c r="E5" s="83"/>
      <c r="F5" s="83"/>
      <c r="G5" s="83"/>
    </row>
    <row r="6" spans="1:7" ht="22.5" customHeight="1" x14ac:dyDescent="0.25">
      <c r="A6" s="44" t="s">
        <v>275</v>
      </c>
      <c r="B6" s="45" t="s">
        <v>276</v>
      </c>
      <c r="C6" s="45"/>
      <c r="D6" s="45"/>
      <c r="E6" s="45"/>
      <c r="F6" s="45"/>
      <c r="G6" s="45"/>
    </row>
    <row r="7" spans="1:7" ht="20.25" customHeight="1" x14ac:dyDescent="0.25">
      <c r="A7" s="46" t="s">
        <v>277</v>
      </c>
      <c r="B7" s="47" t="str">
        <f>A5&amp;".component.ts"</f>
        <v>shop.component.ts</v>
      </c>
      <c r="C7" s="47" t="str">
        <f>A5&amp;".component.html"</f>
        <v>shop.component.html</v>
      </c>
      <c r="D7" s="47" t="str">
        <f>"create-or-edit-"&amp;A5&amp;"-modal.component.ts"</f>
        <v>create-or-edit-shop-modal.component.ts</v>
      </c>
      <c r="E7" s="47" t="str">
        <f>"create-or-edit-"&amp;A5&amp;"-modal.component.html"</f>
        <v>create-or-edit-shop-modal.component.html</v>
      </c>
      <c r="F7" s="47" t="str">
        <f>A5&amp;".module.ts"</f>
        <v>shop.module.ts</v>
      </c>
      <c r="G7" s="47" t="str">
        <f>A5&amp;"-routing.module.ts"</f>
        <v>shop-routing.module.ts</v>
      </c>
    </row>
    <row r="8" spans="1:7" ht="86.25" customHeight="1" x14ac:dyDescent="0.25">
      <c r="A8" s="48" t="s">
        <v>278</v>
      </c>
      <c r="B8" s="49" t="str">
        <f ca="1">'component.ts'!A1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C8" s="50" t="str">
        <f>'component.html'!A1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D8" s="50" t="str">
        <f>modal.component.ts!A1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E8" s="50" t="str">
        <f ca="1">modal.component.html!A1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F8" s="50" t="str">
        <f>module.ts!A1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G8" s="50" t="str">
        <f>'routing.module.ts'!A1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</row>
    <row r="9" spans="1:7" ht="18.75" customHeight="1" x14ac:dyDescent="0.25">
      <c r="A9" s="48" t="s">
        <v>279</v>
      </c>
      <c r="B9" s="51" t="s">
        <v>280</v>
      </c>
      <c r="C9" s="51" t="s">
        <v>281</v>
      </c>
    </row>
    <row r="10" spans="1:7" ht="93" customHeight="1" x14ac:dyDescent="0.25">
      <c r="A10" s="48"/>
      <c r="B10" s="49" t="str">
        <f>app.navigation.service.ts!A1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C10" s="49" t="str">
        <f>adminrouting.module.ts!A1</f>
        <v xml:space="preserve"> path: 'master/workingpattern /shop',
loadChildren: () =&gt; import('./master/workingpattern/shop/shop.module').then(m =&gt; m.ShopModule),
data: { permission: 'Pages.Master.WorkingPattern .Shop' }
</v>
      </c>
    </row>
    <row r="11" spans="1:7" x14ac:dyDescent="0.25">
      <c r="B11" s="52"/>
    </row>
    <row r="14" spans="1:7" ht="21" x14ac:dyDescent="0.3">
      <c r="A14" s="53" t="s">
        <v>282</v>
      </c>
      <c r="C14" s="54" t="s">
        <v>283</v>
      </c>
      <c r="D14" s="54"/>
    </row>
    <row r="15" spans="1:7" x14ac:dyDescent="0.25">
      <c r="A15" s="32" t="s">
        <v>284</v>
      </c>
      <c r="C15" s="55"/>
      <c r="D15" s="56" t="s">
        <v>285</v>
      </c>
    </row>
    <row r="16" spans="1:7" x14ac:dyDescent="0.25">
      <c r="A16" s="32" t="s">
        <v>286</v>
      </c>
      <c r="C16" s="57"/>
      <c r="D16" s="56" t="s">
        <v>287</v>
      </c>
    </row>
    <row r="17" spans="1:1" x14ac:dyDescent="0.25">
      <c r="A17" s="32" t="s">
        <v>288</v>
      </c>
    </row>
    <row r="18" spans="1:1" x14ac:dyDescent="0.25">
      <c r="A18" s="32" t="s">
        <v>289</v>
      </c>
    </row>
    <row r="19" spans="1:1" x14ac:dyDescent="0.25">
      <c r="A19" s="32" t="s">
        <v>290</v>
      </c>
    </row>
    <row r="20" spans="1:1" ht="15" customHeight="1" x14ac:dyDescent="0.25">
      <c r="A20" s="32" t="s">
        <v>291</v>
      </c>
    </row>
    <row r="21" spans="1:1" x14ac:dyDescent="0.25">
      <c r="A21" s="32" t="s">
        <v>292</v>
      </c>
    </row>
    <row r="22" spans="1:1" x14ac:dyDescent="0.25">
      <c r="A22" s="32" t="s">
        <v>216</v>
      </c>
    </row>
  </sheetData>
  <mergeCells count="1">
    <mergeCell ref="B1:G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49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3" customWidth="1"/>
  </cols>
  <sheetData>
    <row r="2" spans="1:2" x14ac:dyDescent="0.25">
      <c r="A2" s="25" t="s">
        <v>205</v>
      </c>
      <c r="B2" s="26" t="s">
        <v>202</v>
      </c>
    </row>
    <row r="3" spans="1:2" x14ac:dyDescent="0.25">
      <c r="B3" s="23" t="s">
        <v>127</v>
      </c>
    </row>
    <row r="4" spans="1:2" x14ac:dyDescent="0.25">
      <c r="B4" s="23" t="s">
        <v>128</v>
      </c>
    </row>
    <row r="5" spans="1:2" x14ac:dyDescent="0.25">
      <c r="B5" s="23" t="s">
        <v>129</v>
      </c>
    </row>
    <row r="6" spans="1:2" x14ac:dyDescent="0.25">
      <c r="B6" s="23" t="s">
        <v>130</v>
      </c>
    </row>
    <row r="7" spans="1:2" x14ac:dyDescent="0.25">
      <c r="B7" s="23" t="s">
        <v>131</v>
      </c>
    </row>
    <row r="8" spans="1:2" x14ac:dyDescent="0.25">
      <c r="B8" s="23" t="s">
        <v>132</v>
      </c>
    </row>
    <row r="9" spans="1:2" x14ac:dyDescent="0.25">
      <c r="B9" s="23" t="s">
        <v>133</v>
      </c>
    </row>
    <row r="10" spans="1:2" x14ac:dyDescent="0.25">
      <c r="B10" s="23" t="s">
        <v>134</v>
      </c>
    </row>
    <row r="11" spans="1:2" x14ac:dyDescent="0.25">
      <c r="B11" s="23" t="s">
        <v>135</v>
      </c>
    </row>
    <row r="12" spans="1:2" x14ac:dyDescent="0.25">
      <c r="B12" s="23" t="s">
        <v>136</v>
      </c>
    </row>
    <row r="13" spans="1:2" x14ac:dyDescent="0.25">
      <c r="B13" s="23" t="s">
        <v>137</v>
      </c>
    </row>
    <row r="14" spans="1:2" x14ac:dyDescent="0.25">
      <c r="B14" s="23" t="s">
        <v>138</v>
      </c>
    </row>
    <row r="15" spans="1:2" x14ac:dyDescent="0.25">
      <c r="B15" s="23" t="s">
        <v>139</v>
      </c>
    </row>
    <row r="16" spans="1:2" x14ac:dyDescent="0.25">
      <c r="B16" s="23" t="s">
        <v>140</v>
      </c>
    </row>
    <row r="17" spans="1:3" x14ac:dyDescent="0.25">
      <c r="B17" s="23" t="s">
        <v>141</v>
      </c>
    </row>
    <row r="18" spans="1:3" x14ac:dyDescent="0.25">
      <c r="B18" s="23" t="s">
        <v>142</v>
      </c>
      <c r="C18" t="s">
        <v>204</v>
      </c>
    </row>
    <row r="19" spans="1:3" x14ac:dyDescent="0.25">
      <c r="B19" s="23" t="s">
        <v>143</v>
      </c>
    </row>
    <row r="20" spans="1:3" x14ac:dyDescent="0.25">
      <c r="B20" s="23" t="s">
        <v>144</v>
      </c>
    </row>
    <row r="21" spans="1:3" x14ac:dyDescent="0.25">
      <c r="B21" s="23" t="s">
        <v>145</v>
      </c>
    </row>
    <row r="22" spans="1:3" x14ac:dyDescent="0.25">
      <c r="B22" s="23" t="s">
        <v>146</v>
      </c>
      <c r="C22" t="s">
        <v>209</v>
      </c>
    </row>
    <row r="23" spans="1:3" x14ac:dyDescent="0.25">
      <c r="B23" s="23" t="s">
        <v>147</v>
      </c>
    </row>
    <row r="24" spans="1:3" x14ac:dyDescent="0.25">
      <c r="B24" s="23" t="s">
        <v>148</v>
      </c>
    </row>
    <row r="25" spans="1:3" x14ac:dyDescent="0.25">
      <c r="B25" s="23" t="s">
        <v>149</v>
      </c>
    </row>
    <row r="26" spans="1:3" x14ac:dyDescent="0.25">
      <c r="A26" s="25" t="s">
        <v>206</v>
      </c>
      <c r="B26" s="26" t="s">
        <v>203</v>
      </c>
    </row>
    <row r="27" spans="1:3" x14ac:dyDescent="0.25">
      <c r="B27" s="23" t="s">
        <v>150</v>
      </c>
    </row>
    <row r="28" spans="1:3" x14ac:dyDescent="0.25">
      <c r="B28" s="24" t="s">
        <v>151</v>
      </c>
    </row>
    <row r="29" spans="1:3" x14ac:dyDescent="0.25">
      <c r="B29" s="23" t="s">
        <v>152</v>
      </c>
    </row>
    <row r="30" spans="1:3" x14ac:dyDescent="0.25">
      <c r="B30" s="23" t="s">
        <v>153</v>
      </c>
    </row>
    <row r="31" spans="1:3" x14ac:dyDescent="0.25">
      <c r="B31" s="23" t="s">
        <v>154</v>
      </c>
    </row>
    <row r="32" spans="1:3" x14ac:dyDescent="0.25">
      <c r="B32" s="23" t="s">
        <v>155</v>
      </c>
    </row>
    <row r="33" spans="2:2" x14ac:dyDescent="0.25">
      <c r="B33" s="23" t="s">
        <v>156</v>
      </c>
    </row>
    <row r="34" spans="2:2" x14ac:dyDescent="0.25">
      <c r="B34" s="23" t="s">
        <v>157</v>
      </c>
    </row>
    <row r="35" spans="2:2" x14ac:dyDescent="0.25">
      <c r="B35" s="23" t="s">
        <v>158</v>
      </c>
    </row>
    <row r="36" spans="2:2" x14ac:dyDescent="0.25">
      <c r="B36" s="23" t="s">
        <v>159</v>
      </c>
    </row>
    <row r="37" spans="2:2" x14ac:dyDescent="0.25">
      <c r="B37" s="23" t="s">
        <v>160</v>
      </c>
    </row>
    <row r="38" spans="2:2" x14ac:dyDescent="0.25">
      <c r="B38" s="23" t="s">
        <v>161</v>
      </c>
    </row>
    <row r="39" spans="2:2" x14ac:dyDescent="0.25">
      <c r="B39" s="23" t="s">
        <v>162</v>
      </c>
    </row>
    <row r="40" spans="2:2" x14ac:dyDescent="0.25">
      <c r="B40" s="23" t="s">
        <v>163</v>
      </c>
    </row>
    <row r="41" spans="2:2" x14ac:dyDescent="0.25">
      <c r="B41" s="23" t="s">
        <v>164</v>
      </c>
    </row>
    <row r="42" spans="2:2" x14ac:dyDescent="0.25">
      <c r="B42" s="23" t="s">
        <v>165</v>
      </c>
    </row>
    <row r="43" spans="2:2" x14ac:dyDescent="0.25">
      <c r="B43" s="24" t="s">
        <v>166</v>
      </c>
    </row>
    <row r="44" spans="2:2" x14ac:dyDescent="0.25">
      <c r="B44" s="23" t="s">
        <v>152</v>
      </c>
    </row>
    <row r="45" spans="2:2" x14ac:dyDescent="0.25">
      <c r="B45" s="23" t="s">
        <v>167</v>
      </c>
    </row>
    <row r="46" spans="2:2" x14ac:dyDescent="0.25">
      <c r="B46" s="23" t="s">
        <v>168</v>
      </c>
    </row>
    <row r="47" spans="2:2" x14ac:dyDescent="0.25">
      <c r="B47" s="23" t="s">
        <v>169</v>
      </c>
    </row>
    <row r="48" spans="2:2" x14ac:dyDescent="0.25">
      <c r="B48" s="23" t="s">
        <v>170</v>
      </c>
    </row>
    <row r="49" spans="2:2" x14ac:dyDescent="0.25">
      <c r="B49" s="23" t="s">
        <v>153</v>
      </c>
    </row>
    <row r="50" spans="2:2" x14ac:dyDescent="0.25">
      <c r="B50" s="23" t="s">
        <v>154</v>
      </c>
    </row>
    <row r="51" spans="2:2" x14ac:dyDescent="0.25">
      <c r="B51" s="23" t="s">
        <v>155</v>
      </c>
    </row>
    <row r="52" spans="2:2" x14ac:dyDescent="0.25">
      <c r="B52" s="23" t="s">
        <v>156</v>
      </c>
    </row>
    <row r="53" spans="2:2" x14ac:dyDescent="0.25">
      <c r="B53" s="23" t="s">
        <v>157</v>
      </c>
    </row>
    <row r="54" spans="2:2" x14ac:dyDescent="0.25">
      <c r="B54" s="23" t="s">
        <v>158</v>
      </c>
    </row>
    <row r="55" spans="2:2" x14ac:dyDescent="0.25">
      <c r="B55" s="23" t="s">
        <v>159</v>
      </c>
    </row>
    <row r="56" spans="2:2" x14ac:dyDescent="0.25">
      <c r="B56" s="23" t="s">
        <v>171</v>
      </c>
    </row>
    <row r="57" spans="2:2" x14ac:dyDescent="0.25">
      <c r="B57" s="23" t="s">
        <v>172</v>
      </c>
    </row>
    <row r="58" spans="2:2" x14ac:dyDescent="0.25">
      <c r="B58" s="23" t="s">
        <v>160</v>
      </c>
    </row>
    <row r="59" spans="2:2" x14ac:dyDescent="0.25">
      <c r="B59" s="23" t="s">
        <v>161</v>
      </c>
    </row>
    <row r="60" spans="2:2" x14ac:dyDescent="0.25">
      <c r="B60" s="23" t="s">
        <v>173</v>
      </c>
    </row>
    <row r="61" spans="2:2" x14ac:dyDescent="0.25">
      <c r="B61" s="23" t="s">
        <v>174</v>
      </c>
    </row>
    <row r="62" spans="2:2" x14ac:dyDescent="0.25">
      <c r="B62" s="23" t="s">
        <v>175</v>
      </c>
    </row>
    <row r="63" spans="2:2" x14ac:dyDescent="0.25">
      <c r="B63" s="23" t="s">
        <v>170</v>
      </c>
    </row>
    <row r="64" spans="2:2" x14ac:dyDescent="0.25">
      <c r="B64" s="23" t="s">
        <v>162</v>
      </c>
    </row>
    <row r="65" spans="2:2" x14ac:dyDescent="0.25">
      <c r="B65" s="23" t="s">
        <v>163</v>
      </c>
    </row>
    <row r="66" spans="2:2" x14ac:dyDescent="0.25">
      <c r="B66" s="23" t="s">
        <v>176</v>
      </c>
    </row>
    <row r="67" spans="2:2" x14ac:dyDescent="0.25">
      <c r="B67" s="23" t="s">
        <v>170</v>
      </c>
    </row>
    <row r="68" spans="2:2" x14ac:dyDescent="0.25">
      <c r="B68" s="23" t="s">
        <v>164</v>
      </c>
    </row>
    <row r="69" spans="2:2" x14ac:dyDescent="0.25">
      <c r="B69" s="23" t="s">
        <v>177</v>
      </c>
    </row>
    <row r="70" spans="2:2" x14ac:dyDescent="0.25">
      <c r="B70" s="24" t="s">
        <v>178</v>
      </c>
    </row>
    <row r="71" spans="2:2" x14ac:dyDescent="0.25">
      <c r="B71" s="23" t="s">
        <v>152</v>
      </c>
    </row>
    <row r="72" spans="2:2" x14ac:dyDescent="0.25">
      <c r="B72" s="23" t="s">
        <v>153</v>
      </c>
    </row>
    <row r="73" spans="2:2" x14ac:dyDescent="0.25">
      <c r="B73" s="23" t="s">
        <v>154</v>
      </c>
    </row>
    <row r="74" spans="2:2" x14ac:dyDescent="0.25">
      <c r="B74" s="23" t="s">
        <v>155</v>
      </c>
    </row>
    <row r="75" spans="2:2" x14ac:dyDescent="0.25">
      <c r="B75" s="23" t="s">
        <v>159</v>
      </c>
    </row>
    <row r="76" spans="2:2" x14ac:dyDescent="0.25">
      <c r="B76" s="23" t="s">
        <v>161</v>
      </c>
    </row>
    <row r="77" spans="2:2" x14ac:dyDescent="0.25">
      <c r="B77" s="23" t="s">
        <v>162</v>
      </c>
    </row>
    <row r="78" spans="2:2" x14ac:dyDescent="0.25">
      <c r="B78" s="23" t="s">
        <v>163</v>
      </c>
    </row>
    <row r="79" spans="2:2" x14ac:dyDescent="0.25">
      <c r="B79" s="23" t="s">
        <v>164</v>
      </c>
    </row>
    <row r="80" spans="2:2" x14ac:dyDescent="0.25">
      <c r="B80" s="23" t="s">
        <v>177</v>
      </c>
    </row>
    <row r="81" spans="1:2" x14ac:dyDescent="0.25">
      <c r="B81" s="24" t="s">
        <v>179</v>
      </c>
    </row>
    <row r="82" spans="1:2" x14ac:dyDescent="0.25">
      <c r="B82" s="24" t="s">
        <v>180</v>
      </c>
    </row>
    <row r="83" spans="1:2" x14ac:dyDescent="0.25">
      <c r="B83" s="24" t="s">
        <v>181</v>
      </c>
    </row>
    <row r="84" spans="1:2" x14ac:dyDescent="0.25">
      <c r="B84" s="24" t="s">
        <v>182</v>
      </c>
    </row>
    <row r="85" spans="1:2" x14ac:dyDescent="0.25">
      <c r="B85" s="24" t="s">
        <v>183</v>
      </c>
    </row>
    <row r="86" spans="1:2" x14ac:dyDescent="0.25">
      <c r="B86" s="24" t="s">
        <v>184</v>
      </c>
    </row>
    <row r="87" spans="1:2" x14ac:dyDescent="0.25">
      <c r="B87" s="24" t="s">
        <v>185</v>
      </c>
    </row>
    <row r="88" spans="1:2" x14ac:dyDescent="0.25">
      <c r="A88" s="25" t="s">
        <v>207</v>
      </c>
      <c r="B88" s="27" t="s">
        <v>186</v>
      </c>
    </row>
    <row r="89" spans="1:2" x14ac:dyDescent="0.25">
      <c r="B89" s="23" t="s">
        <v>187</v>
      </c>
    </row>
    <row r="90" spans="1:2" x14ac:dyDescent="0.25">
      <c r="B90" s="23" t="s">
        <v>188</v>
      </c>
    </row>
    <row r="91" spans="1:2" x14ac:dyDescent="0.25">
      <c r="B91" s="23" t="s">
        <v>189</v>
      </c>
    </row>
    <row r="92" spans="1:2" x14ac:dyDescent="0.25">
      <c r="B92" s="23" t="s">
        <v>190</v>
      </c>
    </row>
    <row r="93" spans="1:2" x14ac:dyDescent="0.25">
      <c r="B93" s="23" t="s">
        <v>191</v>
      </c>
    </row>
    <row r="94" spans="1:2" x14ac:dyDescent="0.25">
      <c r="B94" s="23" t="s">
        <v>192</v>
      </c>
    </row>
    <row r="95" spans="1:2" x14ac:dyDescent="0.25">
      <c r="B95" s="23" t="s">
        <v>193</v>
      </c>
    </row>
    <row r="96" spans="1:2" x14ac:dyDescent="0.25">
      <c r="B96" s="23" t="s">
        <v>194</v>
      </c>
    </row>
    <row r="97" spans="2:2" x14ac:dyDescent="0.25">
      <c r="B97" s="23" t="s">
        <v>195</v>
      </c>
    </row>
    <row r="98" spans="2:2" x14ac:dyDescent="0.25">
      <c r="B98" s="23" t="s">
        <v>196</v>
      </c>
    </row>
    <row r="99" spans="2:2" x14ac:dyDescent="0.25">
      <c r="B99" s="23" t="s">
        <v>197</v>
      </c>
    </row>
    <row r="100" spans="2:2" x14ac:dyDescent="0.25">
      <c r="B100" s="23" t="s">
        <v>198</v>
      </c>
    </row>
    <row r="101" spans="2:2" x14ac:dyDescent="0.25">
      <c r="B101" s="23" t="s">
        <v>199</v>
      </c>
    </row>
    <row r="102" spans="2:2" x14ac:dyDescent="0.25">
      <c r="B102" s="23" t="s">
        <v>200</v>
      </c>
    </row>
    <row r="103" spans="2:2" x14ac:dyDescent="0.25">
      <c r="B103" s="23" t="s">
        <v>201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4CEE-5A27-4F7B-BAEC-C7777E04CD8F}">
  <sheetPr codeName="Sheet4"/>
  <dimension ref="A1:Q228"/>
  <sheetViews>
    <sheetView workbookViewId="0">
      <selection activeCell="M4" sqref="M4"/>
    </sheetView>
  </sheetViews>
  <sheetFormatPr defaultRowHeight="15" x14ac:dyDescent="0.25"/>
  <cols>
    <col min="1" max="1" width="14.5703125" customWidth="1"/>
    <col min="2" max="2" width="11.28515625" customWidth="1"/>
    <col min="3" max="3" width="14.42578125" customWidth="1"/>
    <col min="4" max="4" width="12" customWidth="1"/>
    <col min="5" max="5" width="11.140625" customWidth="1"/>
    <col min="6" max="6" width="10.7109375" customWidth="1"/>
    <col min="7" max="7" width="13" customWidth="1"/>
    <col min="8" max="8" width="10.5703125" customWidth="1"/>
    <col min="12" max="12" width="8.140625" customWidth="1"/>
    <col min="13" max="13" width="19.28515625" customWidth="1"/>
    <col min="14" max="14" width="8.140625" customWidth="1"/>
    <col min="15" max="15" width="8.28515625" customWidth="1"/>
    <col min="16" max="16" width="18.5703125" customWidth="1"/>
  </cols>
  <sheetData>
    <row r="1" spans="1:17" ht="18" customHeight="1" x14ac:dyDescent="0.25">
      <c r="A1" s="36" t="str">
        <f ca="1">noi(A4:A162,CHAR(10))</f>
        <v xml:space="preserve"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MstWptShopDto, MstWptShopServiceProxy } from '@shared/service-proxies/service-proxies';
import { finalize } from 'rxjs/internal/operators/finalize';
import { CreateOrEditShopModalComponent } from './create-or-edit-shop-modal.component';
import { DatePipe } from '@angular/common';
import { FileDownloadService } from '@shared/utils/file-download.service';
import ceil from 'lodash-es/ceil';
@Component({
  templateUrl: './shop.component.html',
  styleUrls: ['./shop.component.less',],
})
export class ShopComponent extends AppComponentBase implements OnInit {
  @ViewChild('createOrEditModalShop', { static: true }) createOrEditModalShop: CreateOrEditShopModalComponent | undefined;
  defaultColDefs: CustomColDef[] = [];
  paginationParams: PaginationParamsModel = { pageNum: 1, pageSize: 20, totalCount: 0, skipCount: 0, sorting: '', totalPage: 1 };
  selectedRow: MstWptShopDto = new MstWptShopDto();
  saveSelectedRow: MstWptShopDto = new MstWptShopDto();
  datas: MstWptShopDto = new MstWptShopDto();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_mstwptShopService: MstWptShopServiceProxy,
    private gridTableService: GridTableService,
    private _fileDownloadService: FileDownloadService,
  ) {
    super(injector);
    this.defaultColDefs = [
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
    ];
   }
  ngOnInit(): void {
    this.paginationParams = { pageNum: 1, pageSize: 20, totalCount: 0 };
  }
  searchDatas(): void {
    this._mstwptShopService.getAll(this.workingDate,this.workingType,this.workingStatus,undefined,'','')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this._mstwptShopService.getAll(undefined,'','',undefined,'','');
  }
    onChangeRowSelection(params: { api: { getSelectedRows: () =&gt; MstWptShopDto[]; }; }) {
      this.saveSelectedRow = params.api.getSelectedRows()[0] ?? new MstWptShopDto();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MstWptShopDto): void {
      this.message.confirm(
          this.l('AreYouSureToDelete', system.workingType),"Delete Row",
          isConfirmed =&gt; {
              if (isConfirmed) {
                 this._mstwptShopService.delete(system.id).subscribe(()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this._mstwptShopService.getShopToExcel(undefined,'','',undefined,'','')
        .subscribe(result =&gt; {
            this._fileDownloadService.downloadTempFile(result);
        });
    }
}
</v>
      </c>
      <c r="B1" s="84" t="str">
        <f>B.Frontend!A3</f>
        <v>MstWptShop</v>
      </c>
      <c r="C1" s="84"/>
      <c r="D1" s="84"/>
      <c r="E1" s="84" t="str">
        <f>B.Frontend!A4</f>
        <v>Shop</v>
      </c>
      <c r="F1" s="85"/>
      <c r="G1" s="69" t="str">
        <f>B.Frontend!A5</f>
        <v>shop</v>
      </c>
      <c r="H1" s="66" t="s">
        <v>443</v>
      </c>
      <c r="M1" s="65" t="s">
        <v>442</v>
      </c>
      <c r="P1" s="67" t="s">
        <v>441</v>
      </c>
      <c r="Q1" s="64"/>
    </row>
    <row r="2" spans="1:17" ht="18" customHeight="1" x14ac:dyDescent="0.25">
      <c r="B2" s="29"/>
      <c r="H2" s="66" t="str">
        <f>"P"&amp;COUNTA($M:$M)</f>
        <v>P9</v>
      </c>
      <c r="M2" s="65" t="str">
        <f>B.Frontend!A15</f>
        <v>WorkingDate</v>
      </c>
      <c r="P2" s="68" t="str">
        <f>"{ headerName: this.l('"&amp;M2&amp;"'), headerTooltip: this.l('"&amp;M2&amp;"'), field: '"&amp;LOWER(LEFT(M2,1))&amp;RIGHT(M2,LEN(M2) - 1)&amp; "',  flex: 1 },"</f>
        <v>{ headerName: this.l('WorkingDate'), headerTooltip: this.l('WorkingDate'), field: 'workingDate',  flex: 1 },</v>
      </c>
      <c r="Q2" s="64"/>
    </row>
    <row r="3" spans="1:17" ht="18" customHeight="1" x14ac:dyDescent="0.25">
      <c r="M3" s="65" t="str">
        <f>B.Frontend!A16</f>
        <v>WorkingType</v>
      </c>
      <c r="P3" s="68" t="str">
        <f t="shared" ref="P3:P9" si="0">"{ headerName: this.l('"&amp;M3&amp;"'), headerTooltip: this.l('"&amp;M3&amp;"'), field: '"&amp;LOWER(LEFT(M3,1))&amp;RIGHT(M3,LEN(M3) - 1)&amp; "',  flex: 1 },"</f>
        <v>{ headerName: this.l('WorkingType'), headerTooltip: this.l('WorkingType'), field: 'workingType',  flex: 1 },</v>
      </c>
    </row>
    <row r="4" spans="1:17" ht="15" customHeight="1" x14ac:dyDescent="0.25">
      <c r="A4" s="37" t="s">
        <v>375</v>
      </c>
      <c r="M4" s="65" t="str">
        <f>B.Frontend!A17</f>
        <v>WorkingStatus</v>
      </c>
      <c r="P4" s="68" t="str">
        <f t="shared" si="0"/>
        <v>{ headerName: this.l('WorkingStatus'), headerTooltip: this.l('WorkingStatus'), field: 'workingStatus',  flex: 1 },</v>
      </c>
    </row>
    <row r="5" spans="1:17" ht="15" customHeight="1" x14ac:dyDescent="0.25">
      <c r="A5" t="s">
        <v>226</v>
      </c>
      <c r="M5" s="65" t="str">
        <f>B.Frontend!A18</f>
        <v>SeasonType</v>
      </c>
      <c r="P5" s="68" t="str">
        <f t="shared" si="0"/>
        <v>{ headerName: this.l('SeasonType'), headerTooltip: this.l('SeasonType'), field: 'seasonType',  flex: 1 },</v>
      </c>
    </row>
    <row r="6" spans="1:17" ht="15" customHeight="1" x14ac:dyDescent="0.25">
      <c r="A6" t="s">
        <v>227</v>
      </c>
      <c r="M6" s="65" t="str">
        <f>B.Frontend!A19</f>
        <v>DayOfWeek</v>
      </c>
      <c r="P6" s="68" t="str">
        <f t="shared" si="0"/>
        <v>{ headerName: this.l('DayOfWeek'), headerTooltip: this.l('DayOfWeek'), field: 'dayOfWeek',  flex: 1 },</v>
      </c>
    </row>
    <row r="7" spans="1:17" ht="15" customHeight="1" x14ac:dyDescent="0.25">
      <c r="A7" t="s">
        <v>228</v>
      </c>
      <c r="M7" s="65" t="str">
        <f>B.Frontend!A20</f>
        <v>WeekNumber</v>
      </c>
      <c r="P7" s="68" t="str">
        <f t="shared" si="0"/>
        <v>{ headerName: this.l('WeekNumber'), headerTooltip: this.l('WeekNumber'), field: 'weekNumber',  flex: 1 },</v>
      </c>
      <c r="Q7" s="38"/>
    </row>
    <row r="8" spans="1:17" ht="15" customHeight="1" x14ac:dyDescent="0.25">
      <c r="A8" t="s">
        <v>229</v>
      </c>
      <c r="M8" s="65" t="str">
        <f>B.Frontend!A21</f>
        <v>WeekWorkingDays</v>
      </c>
      <c r="P8" s="68" t="str">
        <f t="shared" si="0"/>
        <v>{ headerName: this.l('WeekWorkingDays'), headerTooltip: this.l('WeekWorkingDays'), field: 'weekWorkingDays',  flex: 1 },</v>
      </c>
      <c r="Q8" s="38"/>
    </row>
    <row r="9" spans="1:17" ht="15" customHeight="1" x14ac:dyDescent="0.25">
      <c r="A9" s="5" t="str">
        <f>"import { "&amp;B1&amp;"Dto, "&amp;B1&amp;"ServiceProxy } from '@shared/service-proxies/service-proxies';"</f>
        <v>import { MstWptShopDto, MstWptShopServiceProxy } from '@shared/service-proxies/service-proxies';</v>
      </c>
      <c r="B9" s="5"/>
      <c r="C9" s="5"/>
      <c r="D9" s="5"/>
      <c r="M9" s="65" t="str">
        <f>B.Frontend!A22</f>
        <v>IsActive</v>
      </c>
      <c r="P9" s="68" t="str">
        <f t="shared" si="0"/>
        <v>{ headerName: this.l('IsActive'), headerTooltip: this.l('IsActive'), field: 'isActive',  flex: 1 },</v>
      </c>
    </row>
    <row r="10" spans="1:17" ht="15" customHeight="1" x14ac:dyDescent="0.25">
      <c r="A10" t="s">
        <v>230</v>
      </c>
    </row>
    <row r="11" spans="1:17" ht="15" customHeight="1" x14ac:dyDescent="0.25">
      <c r="A11" s="5" t="str">
        <f>"import { CreateOrEdit"&amp;E1&amp;"ModalComponent } from './create-or-edit-"&amp;G1&amp;"-modal.component';"</f>
        <v>import { CreateOrEditShopModalComponent } from './create-or-edit-shop-modal.component';</v>
      </c>
      <c r="B11" s="5"/>
      <c r="C11" s="5"/>
      <c r="D11" s="5"/>
      <c r="E11" s="39"/>
      <c r="F11" s="19"/>
    </row>
    <row r="12" spans="1:17" ht="15" customHeight="1" x14ac:dyDescent="0.25">
      <c r="A12" t="s">
        <v>376</v>
      </c>
    </row>
    <row r="13" spans="1:17" ht="15" customHeight="1" x14ac:dyDescent="0.25">
      <c r="A13" t="s">
        <v>377</v>
      </c>
      <c r="P13" s="29"/>
    </row>
    <row r="14" spans="1:17" ht="15" customHeight="1" x14ac:dyDescent="0.25">
      <c r="A14" s="39" t="s">
        <v>378</v>
      </c>
      <c r="B14" s="39"/>
      <c r="C14" s="39"/>
    </row>
    <row r="15" spans="1:17" ht="15" customHeight="1" x14ac:dyDescent="0.25"/>
    <row r="16" spans="1:17" ht="15" customHeight="1" x14ac:dyDescent="0.25"/>
    <row r="17" spans="1:7" ht="15" customHeight="1" x14ac:dyDescent="0.25">
      <c r="A17" s="39" t="s">
        <v>231</v>
      </c>
      <c r="B17" s="39"/>
      <c r="C17" s="39"/>
    </row>
    <row r="18" spans="1:7" ht="15" customHeight="1" x14ac:dyDescent="0.25">
      <c r="A18" s="5" t="str">
        <f>"  templateUrl: './"&amp;G1&amp;".component.html',"</f>
        <v xml:space="preserve">  templateUrl: './shop.component.html',</v>
      </c>
      <c r="B18" s="5"/>
      <c r="C18" s="5"/>
      <c r="D18" s="40"/>
      <c r="E18" s="5"/>
      <c r="F18" s="5"/>
      <c r="G18" s="39"/>
    </row>
    <row r="19" spans="1:7" ht="15" customHeight="1" x14ac:dyDescent="0.25">
      <c r="A19" s="5" t="str">
        <f>"  styleUrls: ['./"&amp;G1&amp;".component.less',],"</f>
        <v xml:space="preserve">  styleUrls: ['./shop.component.less',],</v>
      </c>
    </row>
    <row r="20" spans="1:7" ht="15" customHeight="1" x14ac:dyDescent="0.25">
      <c r="A20" t="s">
        <v>232</v>
      </c>
    </row>
    <row r="21" spans="1:7" ht="15" customHeight="1" x14ac:dyDescent="0.25">
      <c r="A21" s="5" t="str">
        <f>"export class "&amp;E1&amp;"Component extends AppComponentBase implements OnInit {"</f>
        <v>export class ShopComponent extends AppComponentBase implements OnInit {</v>
      </c>
      <c r="B21" s="5"/>
    </row>
    <row r="22" spans="1:7" ht="15" customHeight="1" x14ac:dyDescent="0.25">
      <c r="A22" s="5" t="str">
        <f>"  @ViewChild('createOrEditModal"&amp;E1&amp;"', { static: true }) createOrEditModal"&amp;E1&amp;": CreateOrEdit"&amp;E1&amp;"ModalComponent | undefined;"</f>
        <v xml:space="preserve">  @ViewChild('createOrEditModalShop', { static: true }) createOrEditModalShop: CreateOrEditShopModalComponent | undefined;</v>
      </c>
      <c r="B22" s="5"/>
      <c r="D22" s="19"/>
      <c r="E22" s="39"/>
    </row>
    <row r="23" spans="1:7" ht="15" customHeight="1" x14ac:dyDescent="0.25">
      <c r="A23" s="39"/>
      <c r="B23" s="39"/>
      <c r="C23" s="39"/>
      <c r="D23" s="61"/>
      <c r="E23" s="39"/>
    </row>
    <row r="24" spans="1:7" ht="15" customHeight="1" x14ac:dyDescent="0.25">
      <c r="A24" t="s">
        <v>233</v>
      </c>
    </row>
    <row r="25" spans="1:7" ht="15" customHeight="1" x14ac:dyDescent="0.25">
      <c r="A25" t="s">
        <v>234</v>
      </c>
    </row>
    <row r="26" spans="1:7" ht="15" customHeight="1" x14ac:dyDescent="0.25">
      <c r="A26" s="5" t="str">
        <f>"  selectedRow: MstWpt"&amp;E1&amp;"Dto = new MstWpt"&amp;E1&amp;"Dto();"</f>
        <v xml:space="preserve">  selectedRow: MstWptShopDto = new MstWptShopDto();</v>
      </c>
    </row>
    <row r="27" spans="1:7" ht="15" customHeight="1" x14ac:dyDescent="0.25">
      <c r="A27" s="5" t="str">
        <f>"  saveSelectedRow: MstWpt"&amp;E1&amp;"Dto = new MstWpt"&amp;E1&amp;"Dto();"</f>
        <v xml:space="preserve">  saveSelectedRow: MstWptShopDto = new MstWptShopDto();</v>
      </c>
    </row>
    <row r="28" spans="1:7" ht="15" customHeight="1" x14ac:dyDescent="0.25">
      <c r="A28" s="5" t="str">
        <f>"  datas: MstWpt"&amp;E1&amp;"Dto = new MstWpt"&amp;E1&amp;"Dto();"</f>
        <v xml:space="preserve">  datas: MstWptShopDto = new MstWptShopDto();</v>
      </c>
    </row>
    <row r="29" spans="1:7" ht="15" customHeight="1" x14ac:dyDescent="0.25">
      <c r="A29" t="s">
        <v>235</v>
      </c>
    </row>
    <row r="30" spans="1:7" ht="15" customHeight="1" x14ac:dyDescent="0.25">
      <c r="A30" s="39" t="s">
        <v>236</v>
      </c>
      <c r="B30" s="39"/>
      <c r="D30" s="39"/>
    </row>
    <row r="31" spans="1:7" ht="15" customHeight="1" x14ac:dyDescent="0.25">
      <c r="A31" t="s">
        <v>237</v>
      </c>
    </row>
    <row r="32" spans="1:7" ht="15" customHeight="1" x14ac:dyDescent="0.25">
      <c r="A32" t="s">
        <v>379</v>
      </c>
    </row>
    <row r="33" spans="1:9" ht="15" customHeight="1" x14ac:dyDescent="0.25">
      <c r="A33" t="s">
        <v>380</v>
      </c>
    </row>
    <row r="34" spans="1:9" ht="15" customHeight="1" x14ac:dyDescent="0.25">
      <c r="A34" t="s">
        <v>381</v>
      </c>
    </row>
    <row r="35" spans="1:9" ht="15" customHeight="1" x14ac:dyDescent="0.25">
      <c r="A35" t="s">
        <v>382</v>
      </c>
    </row>
    <row r="36" spans="1:9" ht="15" customHeight="1" x14ac:dyDescent="0.25">
      <c r="A36" t="s">
        <v>383</v>
      </c>
    </row>
    <row r="37" spans="1:9" ht="15" customHeight="1" x14ac:dyDescent="0.25">
      <c r="A37" t="s">
        <v>384</v>
      </c>
    </row>
    <row r="38" spans="1:9" ht="15" customHeight="1" x14ac:dyDescent="0.25">
      <c r="A38" t="s">
        <v>385</v>
      </c>
    </row>
    <row r="39" spans="1:9" ht="15" customHeight="1" x14ac:dyDescent="0.25">
      <c r="A39" t="s">
        <v>386</v>
      </c>
    </row>
    <row r="40" spans="1:9" ht="15" customHeight="1" x14ac:dyDescent="0.25"/>
    <row r="41" spans="1:9" ht="15" customHeight="1" x14ac:dyDescent="0.25"/>
    <row r="42" spans="1:9" ht="15" customHeight="1" x14ac:dyDescent="0.25">
      <c r="A42" s="39" t="s">
        <v>387</v>
      </c>
      <c r="B42" s="39"/>
      <c r="C42" s="39"/>
      <c r="D42" s="39"/>
      <c r="E42" s="39"/>
      <c r="F42" s="39"/>
      <c r="G42" s="39"/>
      <c r="H42" s="39"/>
      <c r="I42" s="39"/>
    </row>
    <row r="43" spans="1:9" ht="15" customHeight="1" x14ac:dyDescent="0.25">
      <c r="A43" t="s">
        <v>388</v>
      </c>
    </row>
    <row r="44" spans="1:9" ht="15" customHeight="1" x14ac:dyDescent="0.25">
      <c r="A44" t="s">
        <v>389</v>
      </c>
    </row>
    <row r="45" spans="1:9" ht="15" customHeight="1" x14ac:dyDescent="0.25">
      <c r="A45" t="s">
        <v>390</v>
      </c>
    </row>
    <row r="46" spans="1:9" ht="15" customHeight="1" x14ac:dyDescent="0.25">
      <c r="A46" t="s">
        <v>391</v>
      </c>
    </row>
    <row r="47" spans="1:9" ht="15" customHeight="1" x14ac:dyDescent="0.25">
      <c r="A47" t="s">
        <v>392</v>
      </c>
    </row>
    <row r="48" spans="1:9" ht="15" customHeight="1" x14ac:dyDescent="0.25">
      <c r="A48" t="s">
        <v>393</v>
      </c>
    </row>
    <row r="49" spans="1:3" ht="15" customHeight="1" x14ac:dyDescent="0.25">
      <c r="A49" t="s">
        <v>394</v>
      </c>
    </row>
    <row r="50" spans="1:3" ht="15" customHeight="1" x14ac:dyDescent="0.25">
      <c r="A50" t="s">
        <v>395</v>
      </c>
    </row>
    <row r="51" spans="1:3" ht="15" customHeight="1" x14ac:dyDescent="0.25">
      <c r="A51" t="s">
        <v>396</v>
      </c>
    </row>
    <row r="52" spans="1:3" ht="15" customHeight="1" x14ac:dyDescent="0.25">
      <c r="A52" t="s">
        <v>397</v>
      </c>
    </row>
    <row r="53" spans="1:3" ht="15" customHeight="1" x14ac:dyDescent="0.25">
      <c r="A53" t="s">
        <v>374</v>
      </c>
    </row>
    <row r="54" spans="1:3" ht="15" customHeight="1" x14ac:dyDescent="0.25">
      <c r="A54" s="63"/>
      <c r="B54" s="63"/>
    </row>
    <row r="55" spans="1:3" ht="15" customHeight="1" x14ac:dyDescent="0.25">
      <c r="A55" t="s">
        <v>328</v>
      </c>
    </row>
    <row r="56" spans="1:3" ht="15" customHeight="1" x14ac:dyDescent="0.25">
      <c r="A56" t="s">
        <v>238</v>
      </c>
    </row>
    <row r="57" spans="1:3" ht="15" customHeight="1" x14ac:dyDescent="0.25">
      <c r="A57" s="41" t="str">
        <f>"    private _mstwpt"&amp;E1&amp;"Service: MstWpt"&amp;E1&amp;"ServiceProxy,"</f>
        <v xml:space="preserve">    private _mstwptShopService: MstWptShopServiceProxy,</v>
      </c>
      <c r="B57" s="41"/>
      <c r="C57" s="41"/>
    </row>
    <row r="58" spans="1:3" ht="15" customHeight="1" x14ac:dyDescent="0.25">
      <c r="A58" s="62" t="s">
        <v>239</v>
      </c>
      <c r="B58" s="62"/>
      <c r="C58" s="62"/>
    </row>
    <row r="59" spans="1:3" ht="15" customHeight="1" x14ac:dyDescent="0.25">
      <c r="A59" t="s">
        <v>398</v>
      </c>
    </row>
    <row r="60" spans="1:3" ht="15" customHeight="1" x14ac:dyDescent="0.25"/>
    <row r="61" spans="1:3" ht="15" customHeight="1" x14ac:dyDescent="0.25">
      <c r="A61" t="s">
        <v>240</v>
      </c>
    </row>
    <row r="62" spans="1:3" ht="15" customHeight="1" x14ac:dyDescent="0.25">
      <c r="A62" t="s">
        <v>241</v>
      </c>
    </row>
    <row r="63" spans="1:3" ht="15" customHeight="1" x14ac:dyDescent="0.25">
      <c r="A63" t="s">
        <v>242</v>
      </c>
    </row>
    <row r="64" spans="1:3" ht="15" customHeight="1" x14ac:dyDescent="0.25">
      <c r="A64" s="4" t="str">
        <f ca="1">_xlfn.TEXTJOIN("",TRUE,INDIRECT($H$1):INDIRECT($H$2))</f>
        <v>{
	headerName: this.l('STT'),
	headerTooltip: this.l('STT'),
	cellRenderer: (params) =&gt; params.rowIndex + 1,
	cellClass: ['text-center'],
	width: 55,
},{ headerName: this.l('WorkingDate'), headerTooltip: this.l('WorkingDate'), field: 'workingDate',  flex: 1 },{ headerName: this.l('WorkingType'), headerTooltip: this.l('WorkingType'), field: 'workingType',  flex: 1 },{ headerName: this.l('WorkingStatus'), headerTooltip: this.l('WorkingStatus'), field: 'workingStatus',  flex: 1 },{ headerName: this.l('SeasonType'), headerTooltip: this.l('SeasonType'), field: 'seasonType',  flex: 1 },{ headerName: this.l('DayOfWeek'), headerTooltip: this.l('DayOfWeek'), field: 'dayOfWeek',  flex: 1 },{ headerName: this.l('WeekNumber'), headerTooltip: this.l('WeekNumber'), field: 'weekNumber',  flex: 1 },{ headerName: this.l('WeekWorkingDays'), headerTooltip: this.l('WeekWorkingDays'), field: 'weekWorkingDays',  flex: 1 },{ headerName: this.l('IsActive'), headerTooltip: this.l('IsActive'), field: 'isActive',  flex: 1 },</v>
      </c>
    </row>
    <row r="65" spans="1:1" ht="15" customHeight="1" x14ac:dyDescent="0.25">
      <c r="A65" t="s">
        <v>399</v>
      </c>
    </row>
    <row r="66" spans="1:1" ht="15" customHeight="1" x14ac:dyDescent="0.25">
      <c r="A66" t="s">
        <v>245</v>
      </c>
    </row>
    <row r="67" spans="1:1" ht="15" customHeight="1" x14ac:dyDescent="0.25"/>
    <row r="68" spans="1:1" ht="15" customHeight="1" x14ac:dyDescent="0.25">
      <c r="A68" t="s">
        <v>400</v>
      </c>
    </row>
    <row r="69" spans="1:1" ht="15" customHeight="1" x14ac:dyDescent="0.25">
      <c r="A69" t="s">
        <v>401</v>
      </c>
    </row>
    <row r="70" spans="1:1" ht="15" customHeight="1" x14ac:dyDescent="0.25">
      <c r="A70" t="s">
        <v>247</v>
      </c>
    </row>
    <row r="71" spans="1:1" ht="15" customHeight="1" x14ac:dyDescent="0.25"/>
    <row r="72" spans="1:1" ht="15" customHeight="1" x14ac:dyDescent="0.25">
      <c r="A72" t="s">
        <v>402</v>
      </c>
    </row>
    <row r="73" spans="1:1" ht="15" customHeight="1" x14ac:dyDescent="0.25">
      <c r="A73" s="5" t="str">
        <f>"    this._mstwpt"&amp;E1&amp;"Service.getAll(this.workingDate,this.workingType,this.workingStatus,undefined,'','')"</f>
        <v xml:space="preserve">    this._mstwptShopService.getAll(this.workingDate,this.workingType,this.workingStatus,undefined,'','')</v>
      </c>
    </row>
    <row r="74" spans="1:1" ht="15" customHeight="1" x14ac:dyDescent="0.25">
      <c r="A74" t="s">
        <v>243</v>
      </c>
    </row>
    <row r="75" spans="1:1" ht="15" customHeight="1" x14ac:dyDescent="0.25">
      <c r="A75" t="s">
        <v>403</v>
      </c>
    </row>
    <row r="76" spans="1:1" ht="15" customHeight="1" x14ac:dyDescent="0.25">
      <c r="A76" t="s">
        <v>244</v>
      </c>
    </row>
    <row r="77" spans="1:1" ht="15" customHeight="1" x14ac:dyDescent="0.25">
      <c r="A77" t="s">
        <v>247</v>
      </c>
    </row>
    <row r="78" spans="1:1" ht="15" customHeight="1" x14ac:dyDescent="0.25"/>
    <row r="79" spans="1:1" ht="15" customHeight="1" x14ac:dyDescent="0.25">
      <c r="A79" t="s">
        <v>404</v>
      </c>
    </row>
    <row r="80" spans="1:1" ht="15" customHeight="1" x14ac:dyDescent="0.25">
      <c r="A80" t="s">
        <v>405</v>
      </c>
    </row>
    <row r="81" spans="1:1" ht="15" customHeight="1" x14ac:dyDescent="0.25">
      <c r="A81" t="s">
        <v>406</v>
      </c>
    </row>
    <row r="82" spans="1:1" ht="15" customHeight="1" x14ac:dyDescent="0.25">
      <c r="A82" t="s">
        <v>407</v>
      </c>
    </row>
    <row r="83" spans="1:1" ht="15" customHeight="1" x14ac:dyDescent="0.25">
      <c r="A83" t="s">
        <v>408</v>
      </c>
    </row>
    <row r="84" spans="1:1" ht="15" customHeight="1" x14ac:dyDescent="0.25">
      <c r="A84" t="s">
        <v>247</v>
      </c>
    </row>
    <row r="85" spans="1:1" ht="15" customHeight="1" x14ac:dyDescent="0.25"/>
    <row r="86" spans="1:1" ht="15" customHeight="1" x14ac:dyDescent="0.25">
      <c r="A86" t="s">
        <v>409</v>
      </c>
    </row>
    <row r="87" spans="1:1" ht="15" customHeight="1" x14ac:dyDescent="0.25">
      <c r="A87" t="s">
        <v>410</v>
      </c>
    </row>
    <row r="88" spans="1:1" ht="15" customHeight="1" x14ac:dyDescent="0.25">
      <c r="A88" t="s">
        <v>411</v>
      </c>
    </row>
    <row r="89" spans="1:1" ht="15" customHeight="1" x14ac:dyDescent="0.25">
      <c r="A89" t="s">
        <v>412</v>
      </c>
    </row>
    <row r="90" spans="1:1" ht="15" customHeight="1" x14ac:dyDescent="0.25">
      <c r="A90" t="s">
        <v>413</v>
      </c>
    </row>
    <row r="91" spans="1:1" ht="15" customHeight="1" x14ac:dyDescent="0.25">
      <c r="A91" t="s">
        <v>414</v>
      </c>
    </row>
    <row r="92" spans="1:1" ht="15" customHeight="1" x14ac:dyDescent="0.25">
      <c r="A92" t="s">
        <v>415</v>
      </c>
    </row>
    <row r="93" spans="1:1" ht="15" customHeight="1" x14ac:dyDescent="0.25">
      <c r="A93" t="s">
        <v>416</v>
      </c>
    </row>
    <row r="94" spans="1:1" ht="15" customHeight="1" x14ac:dyDescent="0.25">
      <c r="A94" t="s">
        <v>417</v>
      </c>
    </row>
    <row r="95" spans="1:1" ht="15" customHeight="1" x14ac:dyDescent="0.25">
      <c r="A95" t="s">
        <v>418</v>
      </c>
    </row>
    <row r="96" spans="1:1" ht="15" customHeight="1" x14ac:dyDescent="0.25">
      <c r="A96" t="s">
        <v>416</v>
      </c>
    </row>
    <row r="97" spans="1:1" ht="15" customHeight="1" x14ac:dyDescent="0.25">
      <c r="A97" t="s">
        <v>419</v>
      </c>
    </row>
    <row r="98" spans="1:1" ht="15" customHeight="1" x14ac:dyDescent="0.25">
      <c r="A98" t="s">
        <v>244</v>
      </c>
    </row>
    <row r="99" spans="1:1" ht="15" customHeight="1" x14ac:dyDescent="0.25">
      <c r="A99" t="s">
        <v>420</v>
      </c>
    </row>
    <row r="100" spans="1:1" ht="15" customHeight="1" x14ac:dyDescent="0.25">
      <c r="A100" t="s">
        <v>421</v>
      </c>
    </row>
    <row r="101" spans="1:1" ht="15" customHeight="1" x14ac:dyDescent="0.25">
      <c r="A101" t="s">
        <v>422</v>
      </c>
    </row>
    <row r="102" spans="1:1" ht="15" customHeight="1" x14ac:dyDescent="0.25">
      <c r="A102" t="s">
        <v>423</v>
      </c>
    </row>
    <row r="103" spans="1:1" ht="15" customHeight="1" x14ac:dyDescent="0.25">
      <c r="A103" t="s">
        <v>249</v>
      </c>
    </row>
    <row r="104" spans="1:1" ht="15" customHeight="1" x14ac:dyDescent="0.25">
      <c r="A104" t="s">
        <v>424</v>
      </c>
    </row>
    <row r="105" spans="1:1" ht="15" customHeight="1" x14ac:dyDescent="0.25">
      <c r="A105" t="s">
        <v>425</v>
      </c>
    </row>
    <row r="106" spans="1:1" ht="15" customHeight="1" x14ac:dyDescent="0.25">
      <c r="A106" t="s">
        <v>426</v>
      </c>
    </row>
    <row r="107" spans="1:1" ht="15" customHeight="1" x14ac:dyDescent="0.25">
      <c r="A107" t="s">
        <v>247</v>
      </c>
    </row>
    <row r="108" spans="1:1" ht="15" customHeight="1" x14ac:dyDescent="0.25"/>
    <row r="109" spans="1:1" ht="15" customHeight="1" x14ac:dyDescent="0.25">
      <c r="A109" t="s">
        <v>246</v>
      </c>
    </row>
    <row r="110" spans="1:1" ht="15" customHeight="1" x14ac:dyDescent="0.25">
      <c r="A110" s="5" t="str">
        <f>"      return this._mstwpt"&amp;E1&amp;"Service.getAll(undefined,'','',undefined,'','');"</f>
        <v xml:space="preserve">      return this._mstwptShopService.getAll(undefined,'','',undefined,'','');</v>
      </c>
    </row>
    <row r="111" spans="1:1" ht="15" customHeight="1" x14ac:dyDescent="0.25">
      <c r="A111" t="s">
        <v>247</v>
      </c>
    </row>
    <row r="112" spans="1:1" ht="15" customHeight="1" x14ac:dyDescent="0.25"/>
    <row r="113" spans="1:1" ht="15" customHeight="1" x14ac:dyDescent="0.25">
      <c r="A113" s="5" t="str">
        <f>"    onChangeRowSelection(params: { api: { getSelectedRows: () =&gt; MstWpt"&amp;E1&amp;"Dto[]; }; }) {"</f>
        <v xml:space="preserve">    onChangeRowSelection(params: { api: { getSelectedRows: () =&gt; MstWptShopDto[]; }; }) {</v>
      </c>
    </row>
    <row r="114" spans="1:1" ht="15" customHeight="1" x14ac:dyDescent="0.25">
      <c r="A114" s="5" t="str">
        <f>"      this.saveSelectedRow = params.api.getSelectedRows()[0] ?? new MstWpt"&amp;E1&amp;"Dto();"</f>
        <v xml:space="preserve">      this.saveSelectedRow = params.api.getSelectedRows()[0] ?? new MstWptShopDto();</v>
      </c>
    </row>
    <row r="115" spans="1:1" ht="15" customHeight="1" x14ac:dyDescent="0.25">
      <c r="A115" t="s">
        <v>248</v>
      </c>
    </row>
    <row r="116" spans="1:1" ht="15" customHeight="1" x14ac:dyDescent="0.25">
      <c r="A116" t="s">
        <v>249</v>
      </c>
    </row>
    <row r="117" spans="1:1" ht="15" customHeight="1" x14ac:dyDescent="0.25"/>
    <row r="118" spans="1:1" ht="15" customHeight="1" x14ac:dyDescent="0.25">
      <c r="A118" t="s">
        <v>427</v>
      </c>
    </row>
    <row r="119" spans="1:1" ht="15" customHeight="1" x14ac:dyDescent="0.25">
      <c r="A119" t="s">
        <v>250</v>
      </c>
    </row>
    <row r="120" spans="1:1" ht="15" customHeight="1" x14ac:dyDescent="0.25">
      <c r="A120" t="s">
        <v>251</v>
      </c>
    </row>
    <row r="121" spans="1:1" ht="15" customHeight="1" x14ac:dyDescent="0.25">
      <c r="A121" t="s">
        <v>252</v>
      </c>
    </row>
    <row r="122" spans="1:1" ht="15" customHeight="1" x14ac:dyDescent="0.25">
      <c r="A122" t="s">
        <v>253</v>
      </c>
    </row>
    <row r="123" spans="1:1" ht="15" customHeight="1" x14ac:dyDescent="0.25">
      <c r="A123" t="s">
        <v>254</v>
      </c>
    </row>
    <row r="124" spans="1:1" ht="15" customHeight="1" x14ac:dyDescent="0.25">
      <c r="A124" t="s">
        <v>255</v>
      </c>
    </row>
    <row r="125" spans="1:1" ht="15" customHeight="1" x14ac:dyDescent="0.25">
      <c r="A125" t="s">
        <v>256</v>
      </c>
    </row>
    <row r="126" spans="1:1" ht="15" customHeight="1" x14ac:dyDescent="0.25">
      <c r="A126" t="s">
        <v>257</v>
      </c>
    </row>
    <row r="127" spans="1:1" ht="15" customHeight="1" x14ac:dyDescent="0.25">
      <c r="A127" t="s">
        <v>258</v>
      </c>
    </row>
    <row r="128" spans="1:1" ht="15" customHeight="1" x14ac:dyDescent="0.25">
      <c r="A128" t="s">
        <v>259</v>
      </c>
    </row>
    <row r="129" spans="1:1" ht="15" customHeight="1" x14ac:dyDescent="0.25">
      <c r="A129" t="s">
        <v>260</v>
      </c>
    </row>
    <row r="130" spans="1:1" ht="15" customHeight="1" x14ac:dyDescent="0.25">
      <c r="A130" t="s">
        <v>428</v>
      </c>
    </row>
    <row r="131" spans="1:1" ht="15" customHeight="1" x14ac:dyDescent="0.25">
      <c r="A131" t="s">
        <v>429</v>
      </c>
    </row>
    <row r="132" spans="1:1" ht="15" customHeight="1" x14ac:dyDescent="0.25">
      <c r="A132" t="s">
        <v>430</v>
      </c>
    </row>
    <row r="133" spans="1:1" ht="15" customHeight="1" x14ac:dyDescent="0.25">
      <c r="A133" t="s">
        <v>431</v>
      </c>
    </row>
    <row r="134" spans="1:1" ht="15" customHeight="1" x14ac:dyDescent="0.25">
      <c r="A134" t="s">
        <v>432</v>
      </c>
    </row>
    <row r="135" spans="1:1" ht="15" customHeight="1" x14ac:dyDescent="0.25">
      <c r="A135" t="s">
        <v>261</v>
      </c>
    </row>
    <row r="136" spans="1:1" ht="15" customHeight="1" x14ac:dyDescent="0.25"/>
    <row r="137" spans="1:1" ht="15" customHeight="1" x14ac:dyDescent="0.25">
      <c r="A137" t="s">
        <v>262</v>
      </c>
    </row>
    <row r="138" spans="1:1" ht="15" customHeight="1" x14ac:dyDescent="0.25">
      <c r="A138" t="s">
        <v>249</v>
      </c>
    </row>
    <row r="139" spans="1:1" ht="15" customHeight="1" x14ac:dyDescent="0.25"/>
    <row r="140" spans="1:1" ht="15" customHeight="1" x14ac:dyDescent="0.25">
      <c r="A140" s="5" t="str">
        <f>"    deleteRow(system: MstWpt"&amp;E1&amp;"Dto): void {"</f>
        <v xml:space="preserve">    deleteRow(system: MstWptShopDto): void {</v>
      </c>
    </row>
    <row r="141" spans="1:1" ht="15" customHeight="1" x14ac:dyDescent="0.25">
      <c r="A141" t="s">
        <v>263</v>
      </c>
    </row>
    <row r="142" spans="1:1" ht="15" customHeight="1" x14ac:dyDescent="0.25">
      <c r="A142" t="s">
        <v>433</v>
      </c>
    </row>
    <row r="143" spans="1:1" ht="15" customHeight="1" x14ac:dyDescent="0.25">
      <c r="A143" t="s">
        <v>264</v>
      </c>
    </row>
    <row r="144" spans="1:1" ht="15" customHeight="1" x14ac:dyDescent="0.25">
      <c r="A144" t="s">
        <v>434</v>
      </c>
    </row>
    <row r="145" spans="1:1" ht="15" customHeight="1" x14ac:dyDescent="0.25">
      <c r="A145" s="5" t="str">
        <f>"                 this._mstwpt"&amp;E1&amp;"Service.delete(system.id).subscribe(() =&gt; {"</f>
        <v xml:space="preserve">                 this._mstwptShopService.delete(system.id).subscribe(() =&gt; {</v>
      </c>
    </row>
    <row r="146" spans="1:1" ht="15" customHeight="1" x14ac:dyDescent="0.25">
      <c r="A146" t="s">
        <v>265</v>
      </c>
    </row>
    <row r="147" spans="1:1" ht="15" customHeight="1" x14ac:dyDescent="0.25">
      <c r="A147" t="s">
        <v>435</v>
      </c>
    </row>
    <row r="148" spans="1:1" ht="15" customHeight="1" x14ac:dyDescent="0.25">
      <c r="A148" t="s">
        <v>266</v>
      </c>
    </row>
    <row r="149" spans="1:1" ht="15" customHeight="1" x14ac:dyDescent="0.25">
      <c r="A149" t="s">
        <v>267</v>
      </c>
    </row>
    <row r="150" spans="1:1" ht="15" customHeight="1" x14ac:dyDescent="0.25">
      <c r="A150" t="s">
        <v>268</v>
      </c>
    </row>
    <row r="151" spans="1:1" ht="15" customHeight="1" x14ac:dyDescent="0.25">
      <c r="A151" t="s">
        <v>269</v>
      </c>
    </row>
    <row r="152" spans="1:1" ht="15" customHeight="1" x14ac:dyDescent="0.25">
      <c r="A152" t="s">
        <v>270</v>
      </c>
    </row>
    <row r="153" spans="1:1" ht="15" customHeight="1" x14ac:dyDescent="0.25">
      <c r="A153" t="s">
        <v>271</v>
      </c>
    </row>
    <row r="154" spans="1:1" ht="15" customHeight="1" x14ac:dyDescent="0.25"/>
    <row r="155" spans="1:1" ht="15" customHeight="1" x14ac:dyDescent="0.25"/>
    <row r="156" spans="1:1" ht="15" customHeight="1" x14ac:dyDescent="0.25">
      <c r="A156" t="s">
        <v>436</v>
      </c>
    </row>
    <row r="157" spans="1:1" ht="15" customHeight="1" x14ac:dyDescent="0.25">
      <c r="A157" s="5" t="str">
        <f>"    this._mstwpt"&amp;E1&amp;"Service.get"&amp;E1&amp;"ToExcel(undefined,'','',undefined,'','')"</f>
        <v xml:space="preserve">    this._mstwptShopService.getShopToExcel(undefined,'','',undefined,'','')</v>
      </c>
    </row>
    <row r="158" spans="1:1" ht="15" customHeight="1" x14ac:dyDescent="0.25">
      <c r="A158" t="s">
        <v>437</v>
      </c>
    </row>
    <row r="159" spans="1:1" ht="15" customHeight="1" x14ac:dyDescent="0.25">
      <c r="A159" t="s">
        <v>438</v>
      </c>
    </row>
    <row r="160" spans="1:1" ht="15" customHeight="1" x14ac:dyDescent="0.25">
      <c r="A160" t="s">
        <v>439</v>
      </c>
    </row>
    <row r="161" spans="1:1" ht="15" customHeight="1" x14ac:dyDescent="0.25">
      <c r="A161" t="s">
        <v>249</v>
      </c>
    </row>
    <row r="162" spans="1:1" ht="15" customHeight="1" x14ac:dyDescent="0.25">
      <c r="A162" t="s">
        <v>272</v>
      </c>
    </row>
    <row r="163" spans="1:1" ht="15" customHeight="1" x14ac:dyDescent="0.25"/>
    <row r="164" spans="1:1" ht="15" customHeight="1" x14ac:dyDescent="0.25"/>
    <row r="165" spans="1:1" ht="15" customHeight="1" x14ac:dyDescent="0.25"/>
    <row r="166" spans="1:1" ht="15" customHeight="1" x14ac:dyDescent="0.25"/>
    <row r="167" spans="1:1" ht="15" customHeight="1" x14ac:dyDescent="0.25"/>
    <row r="168" spans="1:1" ht="15" customHeight="1" x14ac:dyDescent="0.25"/>
    <row r="169" spans="1:1" ht="15" customHeight="1" x14ac:dyDescent="0.25"/>
    <row r="170" spans="1:1" ht="15" customHeight="1" x14ac:dyDescent="0.25"/>
    <row r="171" spans="1:1" ht="15" customHeight="1" x14ac:dyDescent="0.25"/>
    <row r="172" spans="1:1" ht="15" customHeight="1" x14ac:dyDescent="0.25"/>
    <row r="173" spans="1:1" ht="15" customHeight="1" x14ac:dyDescent="0.25"/>
    <row r="174" spans="1:1" ht="18" customHeight="1" x14ac:dyDescent="0.25"/>
    <row r="175" spans="1:1" ht="18" customHeight="1" x14ac:dyDescent="0.25"/>
    <row r="176" spans="1:1" ht="18" customHeight="1" x14ac:dyDescent="0.25"/>
    <row r="177" ht="18" customHeight="1" x14ac:dyDescent="0.25"/>
    <row r="178" ht="18" customHeight="1" x14ac:dyDescent="0.25"/>
    <row r="179" ht="18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</sheetData>
  <mergeCells count="2">
    <mergeCell ref="B1:D1"/>
    <mergeCell ref="E1:F1"/>
  </mergeCells>
  <conditionalFormatting sqref="Q7:Q9">
    <cfRule type="uniqueValues" dxfId="0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E0B3-8224-45C5-A274-B7767A47E899}">
  <sheetPr codeName="Sheet6"/>
  <dimension ref="A1:K95"/>
  <sheetViews>
    <sheetView topLeftCell="A7" workbookViewId="0">
      <selection activeCell="D23" sqref="D23"/>
    </sheetView>
  </sheetViews>
  <sheetFormatPr defaultRowHeight="15" x14ac:dyDescent="0.25"/>
  <cols>
    <col min="1" max="1" width="16.5703125" customWidth="1"/>
    <col min="2" max="2" width="9.7109375" customWidth="1"/>
    <col min="3" max="4" width="10.5703125" customWidth="1"/>
    <col min="5" max="5" width="9.85546875" customWidth="1"/>
    <col min="27" max="27" width="11.28515625" customWidth="1"/>
  </cols>
  <sheetData>
    <row r="1" spans="1:11" ht="21" customHeight="1" x14ac:dyDescent="0.25">
      <c r="A1" s="59" t="str">
        <f>noi(A3:A100,CHAR(10))</f>
        <v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Shop')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type="text" placeholder="Working Date" [(ngModel)]="workingDate" 
                                    name="workingDate" (keydown)="searchDatas()"
                                    class="form-control" bsDatepicker&gt;
                                &lt;/div&gt;
                                &lt;div class="input-search"&gt;
                                    &lt;input [(ngModel)]="workingType" name="workingType" 
                                    class="form-control" [placeholder]="l('Working Type')"
                                    type="text" (keyup.enter)="searchDatas()"&gt;
                                &lt;/div&gt;
                                &lt;div class="input-search"&gt;
                                    &lt;input [(ngModel)]="workingStatus" name="workingStatus" 
                                    class="form-control" [placeholder]="l('Working Status')"
                                    type="text" (keyup.enter)="searchDatas()"&gt;
                                &lt;/div&gt;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class='btn btn-info font-weight-bold' (click)='createOrEditModalShop.show()'&gt;
                                &lt;i class="fa fa-plus mr-1"&gt;&lt;/i&gt;{{ l('Add') }}
                            &lt;/button&gt;
                            &lt;button class='btn btn-warning font-weight-bold' [disabled]='!selectedRow.id' (click)='createOrEditModalShop.show(selectedRow)'&gt;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&lt;create-or-edit-shop-modal #createOrEditModalShop (modalSave)='callBackDataGrid(dataParams)' (modalClose)='onChangeRowSelection(dataParams)'&gt;&lt;/create-or-edit-shop-modal&gt;
</v>
      </c>
      <c r="B1" s="84" t="str">
        <f>B.Frontend!A2</f>
        <v>Master Working Pattern Shop</v>
      </c>
      <c r="C1" s="84"/>
      <c r="D1" s="84"/>
      <c r="E1" s="84"/>
      <c r="F1" s="84" t="str">
        <f>B.Frontend!A3</f>
        <v>MstWptShop</v>
      </c>
      <c r="G1" s="84"/>
      <c r="H1" s="84"/>
      <c r="I1" s="84" t="str">
        <f>B.Frontend!A4</f>
        <v>Shop</v>
      </c>
      <c r="J1" s="84"/>
      <c r="K1" s="69" t="str">
        <f>B.Frontend!A5</f>
        <v>shop</v>
      </c>
    </row>
    <row r="3" spans="1:11" x14ac:dyDescent="0.25">
      <c r="A3" t="s">
        <v>293</v>
      </c>
    </row>
    <row r="4" spans="1:11" x14ac:dyDescent="0.25">
      <c r="A4" t="s">
        <v>294</v>
      </c>
    </row>
    <row r="5" spans="1:11" x14ac:dyDescent="0.25">
      <c r="A5" t="s">
        <v>295</v>
      </c>
    </row>
    <row r="6" spans="1:11" x14ac:dyDescent="0.25">
      <c r="A6" t="s">
        <v>296</v>
      </c>
    </row>
    <row r="7" spans="1:11" x14ac:dyDescent="0.25">
      <c r="A7" t="s">
        <v>297</v>
      </c>
    </row>
    <row r="8" spans="1:11" x14ac:dyDescent="0.25">
      <c r="A8" t="s">
        <v>298</v>
      </c>
    </row>
    <row r="9" spans="1:11" x14ac:dyDescent="0.25">
      <c r="A9" s="5" t="str">
        <f>"                        {{ l('"&amp;B1&amp;"') }}"</f>
        <v xml:space="preserve">                        {{ l('Master Working Pattern Shop') }}</v>
      </c>
    </row>
    <row r="10" spans="1:11" x14ac:dyDescent="0.25">
      <c r="A10" t="s">
        <v>299</v>
      </c>
    </row>
    <row r="11" spans="1:11" x14ac:dyDescent="0.25">
      <c r="A11" t="s">
        <v>300</v>
      </c>
    </row>
    <row r="12" spans="1:11" x14ac:dyDescent="0.25">
      <c r="A12" t="s">
        <v>301</v>
      </c>
    </row>
    <row r="13" spans="1:11" x14ac:dyDescent="0.25">
      <c r="A13" t="s">
        <v>302</v>
      </c>
    </row>
    <row r="14" spans="1:11" x14ac:dyDescent="0.25">
      <c r="A14" t="s">
        <v>445</v>
      </c>
    </row>
    <row r="15" spans="1:11" x14ac:dyDescent="0.25">
      <c r="A15" t="s">
        <v>446</v>
      </c>
    </row>
    <row r="16" spans="1:11" x14ac:dyDescent="0.25">
      <c r="A16" t="s">
        <v>447</v>
      </c>
    </row>
    <row r="17" spans="1:1" x14ac:dyDescent="0.25">
      <c r="A17" t="s">
        <v>448</v>
      </c>
    </row>
    <row r="18" spans="1:1" x14ac:dyDescent="0.25">
      <c r="A18" t="s">
        <v>449</v>
      </c>
    </row>
    <row r="19" spans="1:1" x14ac:dyDescent="0.25">
      <c r="A19" t="s">
        <v>450</v>
      </c>
    </row>
    <row r="20" spans="1:1" x14ac:dyDescent="0.25">
      <c r="A20" t="s">
        <v>451</v>
      </c>
    </row>
    <row r="21" spans="1:1" x14ac:dyDescent="0.25">
      <c r="A21" t="s">
        <v>452</v>
      </c>
    </row>
    <row r="22" spans="1:1" x14ac:dyDescent="0.25">
      <c r="A22" t="s">
        <v>448</v>
      </c>
    </row>
    <row r="23" spans="1:1" x14ac:dyDescent="0.25">
      <c r="A23" t="s">
        <v>453</v>
      </c>
    </row>
    <row r="24" spans="1:1" x14ac:dyDescent="0.25">
      <c r="A24" t="s">
        <v>454</v>
      </c>
    </row>
    <row r="25" spans="1:1" x14ac:dyDescent="0.25">
      <c r="A25" t="s">
        <v>455</v>
      </c>
    </row>
    <row r="26" spans="1:1" x14ac:dyDescent="0.25">
      <c r="A26" t="s">
        <v>452</v>
      </c>
    </row>
    <row r="27" spans="1:1" x14ac:dyDescent="0.25">
      <c r="A27" t="s">
        <v>448</v>
      </c>
    </row>
    <row r="28" spans="1:1" x14ac:dyDescent="0.25">
      <c r="A28" t="s">
        <v>456</v>
      </c>
    </row>
    <row r="29" spans="1:1" x14ac:dyDescent="0.25">
      <c r="A29" t="s">
        <v>457</v>
      </c>
    </row>
    <row r="30" spans="1:1" x14ac:dyDescent="0.25">
      <c r="A30" t="s">
        <v>455</v>
      </c>
    </row>
    <row r="31" spans="1:1" x14ac:dyDescent="0.25">
      <c r="A31" t="s">
        <v>452</v>
      </c>
    </row>
    <row r="32" spans="1:1" x14ac:dyDescent="0.25">
      <c r="A32" t="s">
        <v>458</v>
      </c>
    </row>
    <row r="33" spans="1:1" x14ac:dyDescent="0.25">
      <c r="A33" t="s">
        <v>459</v>
      </c>
    </row>
    <row r="34" spans="1:1" x14ac:dyDescent="0.25">
      <c r="A34" t="s">
        <v>460</v>
      </c>
    </row>
    <row r="35" spans="1:1" x14ac:dyDescent="0.25">
      <c r="A35" t="s">
        <v>461</v>
      </c>
    </row>
    <row r="36" spans="1:1" x14ac:dyDescent="0.25">
      <c r="A36" t="s">
        <v>462</v>
      </c>
    </row>
    <row r="37" spans="1:1" x14ac:dyDescent="0.25">
      <c r="A37" t="s">
        <v>452</v>
      </c>
    </row>
    <row r="38" spans="1:1" x14ac:dyDescent="0.25">
      <c r="A38" t="s">
        <v>458</v>
      </c>
    </row>
    <row r="39" spans="1:1" x14ac:dyDescent="0.25">
      <c r="A39" t="s">
        <v>463</v>
      </c>
    </row>
    <row r="40" spans="1:1" x14ac:dyDescent="0.25">
      <c r="A40" t="s">
        <v>460</v>
      </c>
    </row>
    <row r="41" spans="1:1" x14ac:dyDescent="0.25">
      <c r="A41" t="s">
        <v>464</v>
      </c>
    </row>
    <row r="42" spans="1:1" x14ac:dyDescent="0.25">
      <c r="A42" t="s">
        <v>462</v>
      </c>
    </row>
    <row r="43" spans="1:1" x14ac:dyDescent="0.25">
      <c r="A43" t="s">
        <v>452</v>
      </c>
    </row>
    <row r="46" spans="1:1" x14ac:dyDescent="0.25">
      <c r="A46" t="s">
        <v>465</v>
      </c>
    </row>
    <row r="47" spans="1:1" x14ac:dyDescent="0.25">
      <c r="A47" t="s">
        <v>311</v>
      </c>
    </row>
    <row r="48" spans="1:1" x14ac:dyDescent="0.25">
      <c r="A48" t="s">
        <v>316</v>
      </c>
    </row>
    <row r="49" spans="1:1" x14ac:dyDescent="0.25">
      <c r="A49" t="s">
        <v>303</v>
      </c>
    </row>
    <row r="50" spans="1:1" x14ac:dyDescent="0.25">
      <c r="A50" t="s">
        <v>304</v>
      </c>
    </row>
    <row r="51" spans="1:1" x14ac:dyDescent="0.25">
      <c r="A51" t="s">
        <v>305</v>
      </c>
    </row>
    <row r="52" spans="1:1" x14ac:dyDescent="0.25">
      <c r="A52" t="s">
        <v>466</v>
      </c>
    </row>
    <row r="53" spans="1:1" x14ac:dyDescent="0.25">
      <c r="A53" t="s">
        <v>467</v>
      </c>
    </row>
    <row r="54" spans="1:1" x14ac:dyDescent="0.25">
      <c r="A54" t="s">
        <v>306</v>
      </c>
    </row>
    <row r="55" spans="1:1" x14ac:dyDescent="0.25">
      <c r="A55" t="s">
        <v>468</v>
      </c>
    </row>
    <row r="56" spans="1:1" x14ac:dyDescent="0.25">
      <c r="A56" t="s">
        <v>469</v>
      </c>
    </row>
    <row r="57" spans="1:1" x14ac:dyDescent="0.25">
      <c r="A57" t="s">
        <v>307</v>
      </c>
    </row>
    <row r="58" spans="1:1" x14ac:dyDescent="0.25">
      <c r="A58" t="s">
        <v>308</v>
      </c>
    </row>
    <row r="59" spans="1:1" x14ac:dyDescent="0.25">
      <c r="A59" t="s">
        <v>470</v>
      </c>
    </row>
    <row r="60" spans="1:1" x14ac:dyDescent="0.25">
      <c r="A60" t="s">
        <v>471</v>
      </c>
    </row>
    <row r="61" spans="1:1" x14ac:dyDescent="0.25">
      <c r="A61" t="s">
        <v>309</v>
      </c>
    </row>
    <row r="62" spans="1:1" x14ac:dyDescent="0.25">
      <c r="A62" t="s">
        <v>310</v>
      </c>
    </row>
    <row r="63" spans="1:1" x14ac:dyDescent="0.25">
      <c r="A63" t="s">
        <v>311</v>
      </c>
    </row>
    <row r="64" spans="1:1" x14ac:dyDescent="0.25">
      <c r="A64" t="s">
        <v>312</v>
      </c>
    </row>
    <row r="65" spans="1:1" x14ac:dyDescent="0.25">
      <c r="A65" t="s">
        <v>313</v>
      </c>
    </row>
    <row r="67" spans="1:1" x14ac:dyDescent="0.25">
      <c r="A67" t="s">
        <v>472</v>
      </c>
    </row>
    <row r="68" spans="1:1" x14ac:dyDescent="0.25">
      <c r="A68" t="s">
        <v>473</v>
      </c>
    </row>
    <row r="69" spans="1:1" x14ac:dyDescent="0.25">
      <c r="A69" t="s">
        <v>474</v>
      </c>
    </row>
    <row r="70" spans="1:1" x14ac:dyDescent="0.25">
      <c r="A70" t="s">
        <v>315</v>
      </c>
    </row>
    <row r="72" spans="1:1" x14ac:dyDescent="0.25">
      <c r="A72" s="5" t="str">
        <f>"                            &lt;button class='btn btn-info font-weight-bold' (click)='createOrEditModal"&amp;I1&amp;".show()'&gt;"</f>
        <v xml:space="preserve">                            &lt;button class='btn btn-info font-weight-bold' (click)='createOrEditModalShop.show()'&gt;</v>
      </c>
    </row>
    <row r="73" spans="1:1" x14ac:dyDescent="0.25">
      <c r="A73" t="s">
        <v>314</v>
      </c>
    </row>
    <row r="74" spans="1:1" x14ac:dyDescent="0.25">
      <c r="A74" t="s">
        <v>315</v>
      </c>
    </row>
    <row r="76" spans="1:1" x14ac:dyDescent="0.25">
      <c r="A76" s="5" t="str">
        <f>"                            &lt;button class='btn btn-warning font-weight-bold' [disabled]='!selectedRow.id' (click)='createOrEditModal"&amp;I1&amp;".show(selectedRow)'&gt;"</f>
        <v xml:space="preserve">                            &lt;button class='btn btn-warning font-weight-bold' [disabled]='!selectedRow.id' (click)='createOrEditModalShop.show(selectedRow)'&gt;</v>
      </c>
    </row>
    <row r="77" spans="1:1" x14ac:dyDescent="0.25">
      <c r="A77" t="s">
        <v>475</v>
      </c>
    </row>
    <row r="78" spans="1:1" x14ac:dyDescent="0.25">
      <c r="A78" t="s">
        <v>315</v>
      </c>
    </row>
    <row r="80" spans="1:1" x14ac:dyDescent="0.25">
      <c r="A80" t="s">
        <v>476</v>
      </c>
    </row>
    <row r="81" spans="1:1" x14ac:dyDescent="0.25">
      <c r="A81" t="s">
        <v>477</v>
      </c>
    </row>
    <row r="82" spans="1:1" x14ac:dyDescent="0.25">
      <c r="A82" t="s">
        <v>315</v>
      </c>
    </row>
    <row r="85" spans="1:1" x14ac:dyDescent="0.25">
      <c r="A85" t="s">
        <v>311</v>
      </c>
    </row>
    <row r="86" spans="1:1" x14ac:dyDescent="0.25">
      <c r="A86" t="s">
        <v>316</v>
      </c>
    </row>
    <row r="87" spans="1:1" x14ac:dyDescent="0.25">
      <c r="A87" t="s">
        <v>300</v>
      </c>
    </row>
    <row r="90" spans="1:1" x14ac:dyDescent="0.25">
      <c r="A90" t="s">
        <v>317</v>
      </c>
    </row>
    <row r="91" spans="1:1" x14ac:dyDescent="0.25">
      <c r="A91" t="s">
        <v>318</v>
      </c>
    </row>
    <row r="92" spans="1:1" x14ac:dyDescent="0.25">
      <c r="A92" t="s">
        <v>319</v>
      </c>
    </row>
    <row r="93" spans="1:1" x14ac:dyDescent="0.25">
      <c r="A93" t="s">
        <v>320</v>
      </c>
    </row>
    <row r="95" spans="1:1" x14ac:dyDescent="0.25">
      <c r="A95" s="5" t="str">
        <f>"&lt;create-or-edit-"&amp;K1&amp;"-modal #createOrEditModal"&amp;I1&amp;" (modalSave)='callBackDataGrid(dataParams)' (modalClose)='onChangeRowSelection(dataParams)'&gt;&lt;/create-or-edit-"&amp;K1&amp;"-modal&gt;"</f>
        <v>&lt;create-or-edit-shop-modal #createOrEditModalShop (modalSave)='callBackDataGrid(dataParams)' (modalClose)='onChangeRowSelection(dataParams)'&gt;&lt;/create-or-edit-shop-modal&gt;</v>
      </c>
    </row>
  </sheetData>
  <mergeCells count="3">
    <mergeCell ref="B1:E1"/>
    <mergeCell ref="F1:H1"/>
    <mergeCell ref="I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B08B-14F8-48BD-8A21-C5CE2EDB3B9E}">
  <sheetPr codeName="Sheet7"/>
  <dimension ref="A1:G79"/>
  <sheetViews>
    <sheetView workbookViewId="0">
      <selection activeCell="C85" sqref="C85"/>
    </sheetView>
  </sheetViews>
  <sheetFormatPr defaultRowHeight="15" x14ac:dyDescent="0.25"/>
  <cols>
    <col min="1" max="1" width="14" customWidth="1"/>
  </cols>
  <sheetData>
    <row r="1" spans="1:7" ht="22.5" customHeight="1" x14ac:dyDescent="0.25">
      <c r="A1" s="58" t="str">
        <f>noi(A3:A80,CHAR(10))</f>
        <v xml:space="preserve"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CreateOrEditMstWptShopDto, MstWptShopServiceProxy } from '@shared/service-proxies/service-proxies';
import { BsDatepickerDirective } from 'ngx-bootstrap/datepicker';
@Component({
  selector: 'create-or-edit-shop-modal',
  templateUrl: './create-or-edit-shop-modal.component.html',
  styleUrls: ['./create-or-edit-shop-modal.component.less']
})
export class CreateOrEditShopModalComponent extends AppComponentBase {
  @ViewChild('createOrEditModalShop',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CreateOrEditMstWptShopDto = new CreateOrEditMstWptShopDto();
  active: boolean = false;
  saving: boolean = false;
  _isActive: boolean;
  constructor(
    injector: Injector,
    private _mstwptShopService: MstWptShopServiceProxy,
    ) {
    super(injector);
  }
  show(rowdata?: CreateOrEditMstWptShopDto): void {
    if (!rowdata) this.rowdata = new CreateOrEditMstWptShopDto();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
</v>
      </c>
      <c r="B1" s="84" t="str">
        <f>B.Frontend!A3</f>
        <v>MstWptShop</v>
      </c>
      <c r="C1" s="84"/>
      <c r="D1" s="84"/>
      <c r="E1" s="84" t="str">
        <f>B.Frontend!A4</f>
        <v>Shop</v>
      </c>
      <c r="F1" s="84"/>
      <c r="G1" s="72" t="str">
        <f>B.Frontend!A5</f>
        <v>shop</v>
      </c>
    </row>
    <row r="2" spans="1:7" ht="15" customHeight="1" x14ac:dyDescent="0.25"/>
    <row r="3" spans="1:7" x14ac:dyDescent="0.25">
      <c r="A3" t="s">
        <v>478</v>
      </c>
    </row>
    <row r="4" spans="1:7" x14ac:dyDescent="0.25">
      <c r="A4" t="s">
        <v>321</v>
      </c>
    </row>
    <row r="5" spans="1:7" x14ac:dyDescent="0.25">
      <c r="A5" t="s">
        <v>229</v>
      </c>
    </row>
    <row r="6" spans="1:7" x14ac:dyDescent="0.25">
      <c r="A6" t="s">
        <v>322</v>
      </c>
    </row>
    <row r="7" spans="1:7" x14ac:dyDescent="0.25">
      <c r="A7" s="5" t="str">
        <f>"import { CreateOrEdit"&amp;B1&amp;"Dto, "&amp;B1&amp;"ServiceProxy } from '@shared/service-proxies/service-proxies';"</f>
        <v>import { CreateOrEditMstWptShopDto, MstWptShopServiceProxy } from '@shared/service-proxies/service-proxies';</v>
      </c>
    </row>
    <row r="8" spans="1:7" x14ac:dyDescent="0.25">
      <c r="A8" t="s">
        <v>479</v>
      </c>
    </row>
    <row r="11" spans="1:7" x14ac:dyDescent="0.25">
      <c r="A11" t="s">
        <v>231</v>
      </c>
    </row>
    <row r="12" spans="1:7" x14ac:dyDescent="0.25">
      <c r="A12" s="5" t="str">
        <f>"  selector: 'create-or-edit-"&amp;G1&amp;"-modal',"</f>
        <v xml:space="preserve">  selector: 'create-or-edit-shop-modal',</v>
      </c>
    </row>
    <row r="13" spans="1:7" x14ac:dyDescent="0.25">
      <c r="A13" s="5" t="str">
        <f>"  templateUrl: './create-or-edit-"&amp;G1&amp;"-modal.component.html',"</f>
        <v xml:space="preserve">  templateUrl: './create-or-edit-shop-modal.component.html',</v>
      </c>
    </row>
    <row r="14" spans="1:7" x14ac:dyDescent="0.25">
      <c r="A14" s="5" t="str">
        <f>"  styleUrls: ['./create-or-edit-"&amp;G1&amp;"-modal.component.less']"</f>
        <v xml:space="preserve">  styleUrls: ['./create-or-edit-shop-modal.component.less']</v>
      </c>
    </row>
    <row r="15" spans="1:7" x14ac:dyDescent="0.25">
      <c r="A15" t="s">
        <v>232</v>
      </c>
    </row>
    <row r="16" spans="1:7" x14ac:dyDescent="0.25">
      <c r="A16" s="5" t="str">
        <f>"export class CreateOrEdit"&amp;E1&amp;"ModalComponent extends AppComponentBase {"</f>
        <v>export class CreateOrEditShopModalComponent extends AppComponentBase {</v>
      </c>
    </row>
    <row r="17" spans="1:1" x14ac:dyDescent="0.25">
      <c r="A17" s="5" t="str">
        <f>"  @ViewChild('createOrEditModal"&amp;E1&amp;"', { static: true }) modal: ModalDirective | undefined;"</f>
        <v xml:space="preserve">  @ViewChild('createOrEditModalShop', { static: true }) modal: ModalDirective | undefined;</v>
      </c>
    </row>
    <row r="18" spans="1:1" x14ac:dyDescent="0.25">
      <c r="A18" t="s">
        <v>323</v>
      </c>
    </row>
    <row r="19" spans="1:1" x14ac:dyDescent="0.25">
      <c r="A19" t="s">
        <v>480</v>
      </c>
    </row>
    <row r="21" spans="1:1" x14ac:dyDescent="0.25">
      <c r="A21" t="s">
        <v>324</v>
      </c>
    </row>
    <row r="22" spans="1:1" x14ac:dyDescent="0.25">
      <c r="A22" t="s">
        <v>325</v>
      </c>
    </row>
    <row r="24" spans="1:1" x14ac:dyDescent="0.25">
      <c r="A24" s="5" t="str">
        <f>"  rowdata: CreateOrEdit"&amp;B1&amp;"Dto = new CreateOrEdit"&amp;B1&amp;"Dto();"</f>
        <v xml:space="preserve">  rowdata: CreateOrEditMstWptShopDto = new CreateOrEditMstWptShopDto();</v>
      </c>
    </row>
    <row r="26" spans="1:1" x14ac:dyDescent="0.25">
      <c r="A26" t="s">
        <v>326</v>
      </c>
    </row>
    <row r="27" spans="1:1" x14ac:dyDescent="0.25">
      <c r="A27" t="s">
        <v>327</v>
      </c>
    </row>
    <row r="28" spans="1:1" x14ac:dyDescent="0.25">
      <c r="A28" t="s">
        <v>481</v>
      </c>
    </row>
    <row r="30" spans="1:1" x14ac:dyDescent="0.25">
      <c r="A30" t="s">
        <v>328</v>
      </c>
    </row>
    <row r="31" spans="1:1" x14ac:dyDescent="0.25">
      <c r="A31" t="s">
        <v>238</v>
      </c>
    </row>
    <row r="32" spans="1:1" x14ac:dyDescent="0.25">
      <c r="A32" s="5" t="str">
        <f>"    private _mstwpt"&amp;E1&amp;"Service: "&amp;B1&amp;"ServiceProxy,"</f>
        <v xml:space="preserve">    private _mstwptShopService: MstWptShopServiceProxy,</v>
      </c>
    </row>
    <row r="33" spans="1:1" x14ac:dyDescent="0.25">
      <c r="A33" t="s">
        <v>329</v>
      </c>
    </row>
    <row r="34" spans="1:1" x14ac:dyDescent="0.25">
      <c r="A34" t="s">
        <v>241</v>
      </c>
    </row>
    <row r="35" spans="1:1" x14ac:dyDescent="0.25">
      <c r="A35" t="s">
        <v>247</v>
      </c>
    </row>
    <row r="37" spans="1:1" x14ac:dyDescent="0.25">
      <c r="A37" s="5" t="str">
        <f>"  show(rowdata?: CreateOrEdit"&amp;B1&amp;"Dto): void {"</f>
        <v xml:space="preserve">  show(rowdata?: CreateOrEditMstWptShopDto): void {</v>
      </c>
    </row>
    <row r="38" spans="1:1" x14ac:dyDescent="0.25">
      <c r="A38" s="5" t="str">
        <f>"    if (!rowdata) this.rowdata = new CreateOrEdit"&amp;B1&amp;"Dto();"</f>
        <v xml:space="preserve">    if (!rowdata) this.rowdata = new CreateOrEditMstWptShopDto();</v>
      </c>
    </row>
    <row r="39" spans="1:1" x14ac:dyDescent="0.25">
      <c r="A39" t="s">
        <v>330</v>
      </c>
    </row>
    <row r="40" spans="1:1" x14ac:dyDescent="0.25">
      <c r="A40" t="s">
        <v>482</v>
      </c>
    </row>
    <row r="41" spans="1:1" x14ac:dyDescent="0.25">
      <c r="A41" t="s">
        <v>483</v>
      </c>
    </row>
    <row r="42" spans="1:1" x14ac:dyDescent="0.25">
      <c r="A42" t="s">
        <v>484</v>
      </c>
    </row>
    <row r="43" spans="1:1" x14ac:dyDescent="0.25">
      <c r="A43" t="s">
        <v>331</v>
      </c>
    </row>
    <row r="44" spans="1:1" x14ac:dyDescent="0.25">
      <c r="A44" t="s">
        <v>332</v>
      </c>
    </row>
    <row r="45" spans="1:1" x14ac:dyDescent="0.25">
      <c r="A45" t="s">
        <v>333</v>
      </c>
    </row>
    <row r="47" spans="1:1" x14ac:dyDescent="0.25">
      <c r="A47" t="s">
        <v>485</v>
      </c>
    </row>
    <row r="48" spans="1:1" x14ac:dyDescent="0.25">
      <c r="A48" t="s">
        <v>486</v>
      </c>
    </row>
    <row r="49" spans="1:1" x14ac:dyDescent="0.25">
      <c r="A49" t="s">
        <v>247</v>
      </c>
    </row>
    <row r="50" spans="1:1" x14ac:dyDescent="0.25">
      <c r="A50" t="s">
        <v>487</v>
      </c>
    </row>
    <row r="51" spans="1:1" x14ac:dyDescent="0.25">
      <c r="A51" t="s">
        <v>334</v>
      </c>
    </row>
    <row r="52" spans="1:1" x14ac:dyDescent="0.25">
      <c r="A52" t="s">
        <v>488</v>
      </c>
    </row>
    <row r="53" spans="1:1" x14ac:dyDescent="0.25">
      <c r="A53" t="s">
        <v>489</v>
      </c>
    </row>
    <row r="54" spans="1:1" x14ac:dyDescent="0.25">
      <c r="A54" s="5" t="str">
        <f>"    this._mstwpt"&amp;E1&amp;"Service.createOrEdit(this.rowdata)"</f>
        <v xml:space="preserve">    this._mstwptShopService.createOrEdit(this.rowdata)</v>
      </c>
    </row>
    <row r="55" spans="1:1" x14ac:dyDescent="0.25">
      <c r="A55" t="s">
        <v>335</v>
      </c>
    </row>
    <row r="56" spans="1:1" x14ac:dyDescent="0.25">
      <c r="A56" t="s">
        <v>336</v>
      </c>
    </row>
    <row r="57" spans="1:1" x14ac:dyDescent="0.25">
      <c r="A57" t="s">
        <v>337</v>
      </c>
    </row>
    <row r="58" spans="1:1" x14ac:dyDescent="0.25">
      <c r="A58" t="s">
        <v>338</v>
      </c>
    </row>
    <row r="59" spans="1:1" x14ac:dyDescent="0.25">
      <c r="A59" t="s">
        <v>339</v>
      </c>
    </row>
    <row r="60" spans="1:1" x14ac:dyDescent="0.25">
      <c r="A60" t="s">
        <v>340</v>
      </c>
    </row>
    <row r="61" spans="1:1" x14ac:dyDescent="0.25">
      <c r="A61" t="s">
        <v>341</v>
      </c>
    </row>
    <row r="62" spans="1:1" x14ac:dyDescent="0.25">
      <c r="A62" t="s">
        <v>342</v>
      </c>
    </row>
    <row r="63" spans="1:1" x14ac:dyDescent="0.25">
      <c r="A63" t="s">
        <v>247</v>
      </c>
    </row>
    <row r="65" spans="1:1" x14ac:dyDescent="0.25">
      <c r="A65" t="s">
        <v>343</v>
      </c>
    </row>
    <row r="66" spans="1:1" x14ac:dyDescent="0.25">
      <c r="A66" t="s">
        <v>344</v>
      </c>
    </row>
    <row r="67" spans="1:1" x14ac:dyDescent="0.25">
      <c r="A67" t="s">
        <v>345</v>
      </c>
    </row>
    <row r="68" spans="1:1" x14ac:dyDescent="0.25">
      <c r="A68" t="s">
        <v>346</v>
      </c>
    </row>
    <row r="69" spans="1:1" x14ac:dyDescent="0.25">
      <c r="A69" t="s">
        <v>247</v>
      </c>
    </row>
    <row r="71" spans="1:1" x14ac:dyDescent="0.25">
      <c r="A71" t="s">
        <v>490</v>
      </c>
    </row>
    <row r="72" spans="1:1" x14ac:dyDescent="0.25">
      <c r="A72" t="s">
        <v>491</v>
      </c>
    </row>
    <row r="73" spans="1:1" x14ac:dyDescent="0.25">
      <c r="A73" t="s">
        <v>492</v>
      </c>
    </row>
    <row r="74" spans="1:1" x14ac:dyDescent="0.25">
      <c r="A74" t="s">
        <v>338</v>
      </c>
    </row>
    <row r="75" spans="1:1" x14ac:dyDescent="0.25">
      <c r="A75" t="s">
        <v>249</v>
      </c>
    </row>
    <row r="76" spans="1:1" x14ac:dyDescent="0.25">
      <c r="A76" t="s">
        <v>272</v>
      </c>
    </row>
    <row r="79" spans="1:1" x14ac:dyDescent="0.25">
      <c r="A79" t="s">
        <v>272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DADF8-5227-4075-B16F-1B1EBF3B4317}">
  <sheetPr codeName="Sheet8"/>
  <dimension ref="A1:AC49"/>
  <sheetViews>
    <sheetView workbookViewId="0">
      <selection activeCell="I14" sqref="I14"/>
    </sheetView>
  </sheetViews>
  <sheetFormatPr defaultRowHeight="15" x14ac:dyDescent="0.25"/>
  <cols>
    <col min="1" max="1" width="15.7109375" customWidth="1"/>
    <col min="15" max="15" width="17" customWidth="1"/>
    <col min="16" max="16" width="18" customWidth="1"/>
    <col min="17" max="17" width="19.28515625" customWidth="1"/>
  </cols>
  <sheetData>
    <row r="1" spans="1:29" ht="18.75" customHeight="1" x14ac:dyDescent="0.35">
      <c r="A1" s="74" t="str">
        <f ca="1">noi(A3:A33,CHAR(10))</f>
        <v xml:space="preserve">&lt;div bsModal #createOrEditModalShop='bs-modal' class='modal fade col-md-12' role='dialog' [config]='{ backdrop: 'static' }'&gt;
    &lt;div class="modal-dialog modal-lg"&gt;
        &lt;div class="modal-content col-md-12"&gt;
            &lt;div class="modal-header col-md-12"&gt;
                &lt;div class="title-form"&gt;
                    &lt;h3 *ngIf='rowdata.id'&gt;{{('Edit Shop')}}&lt;/h3&gt;
                  &lt;h3 *ngIf='!rowdata.id'&gt;{{('Create New Shop')}}&lt;/h3&gt;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
</v>
      </c>
      <c r="B1" s="84" t="str">
        <f>B.Frontend!A3</f>
        <v>MstWptShop</v>
      </c>
      <c r="C1" s="84"/>
      <c r="D1" s="84"/>
      <c r="E1" s="84" t="str">
        <f>B.Frontend!A4</f>
        <v>Shop</v>
      </c>
      <c r="F1" s="84"/>
      <c r="G1" s="71" t="str">
        <f>B.Frontend!A5</f>
        <v>shop</v>
      </c>
      <c r="H1" s="65" t="s">
        <v>501</v>
      </c>
      <c r="O1" s="65" t="str">
        <f>B.Frontend!A15</f>
        <v>WorkingDate</v>
      </c>
      <c r="P1" s="65" t="str">
        <f>LOWER(LEFT(O1,1))&amp;RIGHT(O1,LEN(O1) - 1)</f>
        <v>workingDate</v>
      </c>
      <c r="Q1" s="68" t="str">
        <f>" &lt;div class='col-md-12 form-group row'&gt;&lt;label class='col-md-2 form-control title'&gt;"&amp;O1&amp;"&lt;/label&gt;&lt;input type='text' class='col-md-10 form-control input-text' name='"&amp;O1&amp;"' [(ngModel)]='rowdata."&amp;P1&amp;"'&gt; "</f>
        <v xml:space="preserve"> &lt;div class='col-md-12 form-group row'&gt;&lt;label class='col-md-2 form-control title'&gt;WorkingDate&lt;/label&gt;&lt;input type='text' class='col-md-10 form-control input-text' name='WorkingDate' [(ngModel)]='rowdata.workingDate'&gt; </v>
      </c>
      <c r="V1" s="7"/>
      <c r="W1" s="7"/>
      <c r="X1" s="7"/>
      <c r="Y1" s="7"/>
      <c r="Z1" s="7"/>
      <c r="AA1" s="7"/>
      <c r="AB1" s="7"/>
      <c r="AC1" s="7"/>
    </row>
    <row r="2" spans="1:29" ht="15" customHeight="1" x14ac:dyDescent="0.25">
      <c r="B2" s="75"/>
      <c r="H2" s="65" t="str">
        <f>"Q"&amp;COUNTA($O:$O)</f>
        <v>Q8</v>
      </c>
      <c r="O2" s="65" t="str">
        <f>B.Frontend!A16</f>
        <v>WorkingType</v>
      </c>
      <c r="P2" s="65" t="str">
        <f t="shared" ref="P2:P8" si="0">LOWER(LEFT(O2,1))&amp;RIGHT(O2,LEN(O2) - 1)</f>
        <v>workingType</v>
      </c>
      <c r="Q2" s="68" t="str">
        <f t="shared" ref="Q2:Q7" si="1">" &lt;div class='col-md-12 form-group row'&gt;&lt;label class='col-md-2 form-control title'&gt;"&amp;O2&amp;"&lt;/label&gt;&lt;input type='text' class='col-md-10 form-control input-text' name='"&amp;O2&amp;"' [(ngModel)]='rowdata."&amp;P2&amp;"'&gt; "</f>
        <v xml:space="preserve"> &lt;div class='col-md-12 form-group row'&gt;&lt;label class='col-md-2 form-control title'&gt;WorkingType&lt;/label&gt;&lt;input type='text' class='col-md-10 form-control input-text' name='WorkingType' [(ngModel)]='rowdata.workingType'&gt; </v>
      </c>
      <c r="V2" s="7"/>
      <c r="W2" s="7"/>
      <c r="X2" s="7"/>
      <c r="Y2" s="7"/>
      <c r="Z2" s="7"/>
      <c r="AA2" s="7"/>
      <c r="AB2" s="7"/>
      <c r="AC2" s="7"/>
    </row>
    <row r="3" spans="1:29" ht="15" customHeight="1" x14ac:dyDescent="0.25">
      <c r="A3" s="5" t="str">
        <f>"&lt;div bsModal #createOrEditModal"&amp;E1&amp;"='bs-modal' class='modal fade col-md-12' role='dialog' [config]='{ backdrop: 'static' }'&gt;"</f>
        <v>&lt;div bsModal #createOrEditModalShop='bs-modal' class='modal fade col-md-12' role='dialog' [config]='{ backdrop: 'static' }'&gt;</v>
      </c>
      <c r="O3" s="65" t="str">
        <f>B.Frontend!A17</f>
        <v>WorkingStatus</v>
      </c>
      <c r="P3" s="65" t="str">
        <f t="shared" si="0"/>
        <v>workingStatus</v>
      </c>
      <c r="Q3" s="68" t="str">
        <f t="shared" si="1"/>
        <v xml:space="preserve"> &lt;div class='col-md-12 form-group row'&gt;&lt;label class='col-md-2 form-control title'&gt;WorkingStatus&lt;/label&gt;&lt;input type='text' class='col-md-10 form-control input-text' name='WorkingStatus' [(ngModel)]='rowdata.workingStatus'&gt; </v>
      </c>
    </row>
    <row r="4" spans="1:29" ht="15" customHeight="1" x14ac:dyDescent="0.25">
      <c r="A4" t="s">
        <v>347</v>
      </c>
      <c r="O4" s="65" t="str">
        <f>B.Frontend!A18</f>
        <v>SeasonType</v>
      </c>
      <c r="P4" s="65" t="str">
        <f t="shared" si="0"/>
        <v>seasonType</v>
      </c>
      <c r="Q4" s="68" t="str">
        <f t="shared" si="1"/>
        <v xml:space="preserve"> &lt;div class='col-md-12 form-group row'&gt;&lt;label class='col-md-2 form-control title'&gt;SeasonType&lt;/label&gt;&lt;input type='text' class='col-md-10 form-control input-text' name='SeasonType' [(ngModel)]='rowdata.seasonType'&gt; </v>
      </c>
    </row>
    <row r="5" spans="1:29" ht="15" customHeight="1" x14ac:dyDescent="0.25">
      <c r="A5" t="s">
        <v>493</v>
      </c>
      <c r="O5" s="65" t="str">
        <f>B.Frontend!A19</f>
        <v>DayOfWeek</v>
      </c>
      <c r="P5" s="65" t="str">
        <f t="shared" si="0"/>
        <v>dayOfWeek</v>
      </c>
      <c r="Q5" s="68" t="str">
        <f t="shared" si="1"/>
        <v xml:space="preserve"> &lt;div class='col-md-12 form-group row'&gt;&lt;label class='col-md-2 form-control title'&gt;DayOfWeek&lt;/label&gt;&lt;input type='text' class='col-md-10 form-control input-text' name='DayOfWeek' [(ngModel)]='rowdata.dayOfWeek'&gt; </v>
      </c>
    </row>
    <row r="6" spans="1:29" ht="15" customHeight="1" x14ac:dyDescent="0.25">
      <c r="A6" t="s">
        <v>494</v>
      </c>
      <c r="O6" s="65" t="str">
        <f>B.Frontend!A20</f>
        <v>WeekNumber</v>
      </c>
      <c r="P6" s="65" t="str">
        <f t="shared" si="0"/>
        <v>weekNumber</v>
      </c>
      <c r="Q6" s="68" t="str">
        <f t="shared" si="1"/>
        <v xml:space="preserve"> &lt;div class='col-md-12 form-group row'&gt;&lt;label class='col-md-2 form-control title'&gt;WeekNumber&lt;/label&gt;&lt;input type='text' class='col-md-10 form-control input-text' name='WeekNumber' [(ngModel)]='rowdata.weekNumber'&gt; </v>
      </c>
    </row>
    <row r="7" spans="1:29" ht="15" customHeight="1" x14ac:dyDescent="0.25">
      <c r="A7" t="s">
        <v>495</v>
      </c>
      <c r="O7" s="65" t="str">
        <f>B.Frontend!A21</f>
        <v>WeekWorkingDays</v>
      </c>
      <c r="P7" s="65" t="str">
        <f t="shared" si="0"/>
        <v>weekWorkingDays</v>
      </c>
      <c r="Q7" s="68" t="str">
        <f t="shared" si="1"/>
        <v xml:space="preserve"> &lt;div class='col-md-12 form-group row'&gt;&lt;label class='col-md-2 form-control title'&gt;WeekWorkingDays&lt;/label&gt;&lt;input type='text' class='col-md-10 form-control input-text' name='WeekWorkingDays' [(ngModel)]='rowdata.weekWorkingDays'&gt; </v>
      </c>
    </row>
    <row r="8" spans="1:29" ht="15" customHeight="1" x14ac:dyDescent="0.25">
      <c r="A8" s="5" t="str">
        <f>"                    &lt;h3 *ngIf='rowdata.id'&gt;{{('Edit "&amp;E1&amp;"')}}&lt;/h3&gt;"</f>
        <v xml:space="preserve">                    &lt;h3 *ngIf='rowdata.id'&gt;{{('Edit Shop')}}&lt;/h3&gt;</v>
      </c>
      <c r="O8" s="65" t="str">
        <f>B.Frontend!A22</f>
        <v>IsActive</v>
      </c>
      <c r="P8" s="65" t="str">
        <f t="shared" si="0"/>
        <v>isActive</v>
      </c>
      <c r="Q8" s="68" t="s">
        <v>500</v>
      </c>
    </row>
    <row r="9" spans="1:29" ht="15" customHeight="1" x14ac:dyDescent="0.25">
      <c r="A9" s="5" t="str">
        <f>"                  &lt;h3 *ngIf='!rowdata.id'&gt;{{('Create New "&amp;E1&amp;"')}}&lt;/h3&gt;"</f>
        <v xml:space="preserve">                  &lt;h3 *ngIf='!rowdata.id'&gt;{{('Create New Shop')}}&lt;/h3&gt;</v>
      </c>
    </row>
    <row r="10" spans="1:29" ht="15" customHeight="1" x14ac:dyDescent="0.25">
      <c r="A10" t="s">
        <v>300</v>
      </c>
    </row>
    <row r="11" spans="1:29" ht="15" customHeight="1" x14ac:dyDescent="0.25">
      <c r="A11" t="s">
        <v>317</v>
      </c>
    </row>
    <row r="12" spans="1:29" ht="15" customHeight="1" x14ac:dyDescent="0.25">
      <c r="A12" t="s">
        <v>348</v>
      </c>
    </row>
    <row r="13" spans="1:29" ht="15" customHeight="1" x14ac:dyDescent="0.25"/>
    <row r="14" spans="1:29" ht="15" customHeight="1" x14ac:dyDescent="0.25">
      <c r="A14" t="s">
        <v>493</v>
      </c>
    </row>
    <row r="15" spans="1:29" ht="15" customHeight="1" x14ac:dyDescent="0.25">
      <c r="A15" t="s">
        <v>496</v>
      </c>
    </row>
    <row r="16" spans="1:29" ht="15" customHeight="1" x14ac:dyDescent="0.25">
      <c r="A16" t="s">
        <v>497</v>
      </c>
    </row>
    <row r="17" spans="1:2" ht="15" customHeight="1" x14ac:dyDescent="0.25">
      <c r="A17" t="s">
        <v>498</v>
      </c>
    </row>
    <row r="18" spans="1:2" ht="15" customHeight="1" x14ac:dyDescent="0.25">
      <c r="A18" s="77" t="str">
        <f ca="1">_xlfn.TEXTJOIN("",TRUE,INDIRECT($H$1):INDIRECT($H$2))</f>
        <v xml:space="preserve"> &lt;div class='col-md-12 form-group row'&gt;&lt;label class='col-md-2 form-control title'&gt;WorkingDate&lt;/label&gt;&lt;input type='text' class='col-md-10 form-control input-text' name='WorkingDate' [(ngModel)]='rowdata.workingDate'&gt;  &lt;div class='col-md-12 form-group row'&gt;&lt;label class='col-md-2 form-control title'&gt;WorkingType&lt;/label&gt;&lt;input type='text' class='col-md-10 form-control input-text' name='WorkingType' [(ngModel)]='rowdata.workingType'&gt;  &lt;div class='col-md-12 form-group row'&gt;&lt;label class='col-md-2 form-control title'&gt;WorkingStatus&lt;/label&gt;&lt;input type='text' class='col-md-10 form-control input-text' name='WorkingStatus' [(ngModel)]='rowdata.workingStatus'&gt;  &lt;div class='col-md-12 form-group row'&gt;&lt;label class='col-md-2 form-control title'&gt;SeasonType&lt;/label&gt;&lt;input type='text' class='col-md-10 form-control input-text' name='SeasonType' [(ngModel)]='rowdata.seasonType'&gt;  &lt;div class='col-md-12 form-group row'&gt;&lt;label class='col-md-2 form-control title'&gt;DayOfWeek&lt;/label&gt;&lt;input type='text' class='col-md-10 form-control input-text' name='DayOfWeek' [(ngModel)]='rowdata.dayOfWeek'&gt;  &lt;div class='col-md-12 form-group row'&gt;&lt;label class='col-md-2 form-control title'&gt;WeekNumber&lt;/label&gt;&lt;input type='text' class='col-md-10 form-control input-text' name='WeekNumber' [(ngModel)]='rowdata.weekNumber'&gt;  &lt;div class='col-md-12 form-group row'&gt;&lt;label class='col-md-2 form-control title'&gt;WeekWorkingDays&lt;/label&gt;&lt;input type='text' class='col-md-10 form-control input-text' name='WeekWorkingDays' [(ngModel)]='rowdata.weekWorkingDays'&gt; &lt;div class="col-md-12 form-group row"&gt;&lt;label class="col-md-2 form-control title"&gt;Is Active&lt;/label&gt;&lt;input class="col-md-10 form-control checkboxActive" type="checkbox" name="isActive"  [checked]="_isActive" (change)="changeActive($event)"&gt;  </v>
      </c>
    </row>
    <row r="19" spans="1:2" ht="15" customHeight="1" x14ac:dyDescent="0.25">
      <c r="A19" t="s">
        <v>349</v>
      </c>
    </row>
    <row r="20" spans="1:2" ht="15" customHeight="1" x14ac:dyDescent="0.25">
      <c r="A20" t="s">
        <v>350</v>
      </c>
    </row>
    <row r="21" spans="1:2" ht="15" customHeight="1" x14ac:dyDescent="0.25">
      <c r="A21" t="s">
        <v>351</v>
      </c>
      <c r="B21" s="76"/>
    </row>
    <row r="22" spans="1:2" ht="15" customHeight="1" x14ac:dyDescent="0.25">
      <c r="A22" t="s">
        <v>352</v>
      </c>
    </row>
    <row r="23" spans="1:2" ht="15" customHeight="1" x14ac:dyDescent="0.25">
      <c r="A23" t="s">
        <v>353</v>
      </c>
    </row>
    <row r="24" spans="1:2" ht="15" customHeight="1" x14ac:dyDescent="0.25">
      <c r="A24" t="s">
        <v>354</v>
      </c>
    </row>
    <row r="25" spans="1:2" ht="15" customHeight="1" x14ac:dyDescent="0.25">
      <c r="A25" t="s">
        <v>355</v>
      </c>
    </row>
    <row r="26" spans="1:2" ht="15" customHeight="1" x14ac:dyDescent="0.25">
      <c r="A26" t="s">
        <v>356</v>
      </c>
    </row>
    <row r="27" spans="1:2" ht="15" customHeight="1" x14ac:dyDescent="0.25">
      <c r="A27" t="s">
        <v>353</v>
      </c>
    </row>
    <row r="28" spans="1:2" ht="15" customHeight="1" x14ac:dyDescent="0.25">
      <c r="A28" t="s">
        <v>316</v>
      </c>
    </row>
    <row r="29" spans="1:2" ht="15" customHeight="1" x14ac:dyDescent="0.25">
      <c r="A29" t="s">
        <v>499</v>
      </c>
    </row>
    <row r="30" spans="1:2" ht="15" customHeight="1" x14ac:dyDescent="0.25">
      <c r="A30" t="s">
        <v>357</v>
      </c>
    </row>
    <row r="31" spans="1:2" ht="15" customHeight="1" x14ac:dyDescent="0.25">
      <c r="A31" t="s">
        <v>348</v>
      </c>
    </row>
    <row r="32" spans="1:2" ht="15" customHeight="1" x14ac:dyDescent="0.25">
      <c r="A32" t="s">
        <v>319</v>
      </c>
    </row>
    <row r="33" spans="1:1" ht="15" customHeight="1" x14ac:dyDescent="0.25">
      <c r="A33" t="s">
        <v>320</v>
      </c>
    </row>
    <row r="34" spans="1:1" ht="15" customHeight="1" x14ac:dyDescent="0.25"/>
    <row r="35" spans="1:1" ht="15" customHeight="1" x14ac:dyDescent="0.25"/>
    <row r="36" spans="1:1" ht="15" customHeight="1" x14ac:dyDescent="0.25"/>
    <row r="37" spans="1:1" ht="15" customHeight="1" x14ac:dyDescent="0.25"/>
    <row r="38" spans="1:1" ht="15" customHeight="1" x14ac:dyDescent="0.25"/>
    <row r="39" spans="1:1" ht="15" customHeight="1" x14ac:dyDescent="0.25"/>
    <row r="40" spans="1:1" ht="15" customHeight="1" x14ac:dyDescent="0.25"/>
    <row r="41" spans="1:1" ht="15" customHeight="1" x14ac:dyDescent="0.25"/>
    <row r="42" spans="1:1" ht="15" customHeight="1" x14ac:dyDescent="0.25"/>
    <row r="43" spans="1:1" ht="15" customHeight="1" x14ac:dyDescent="0.25"/>
    <row r="44" spans="1:1" ht="15" customHeight="1" x14ac:dyDescent="0.25"/>
    <row r="45" spans="1:1" ht="15" customHeight="1" x14ac:dyDescent="0.25"/>
    <row r="46" spans="1:1" ht="15" customHeight="1" x14ac:dyDescent="0.25"/>
    <row r="47" spans="1:1" ht="15" customHeight="1" x14ac:dyDescent="0.25"/>
    <row r="48" spans="1:1" ht="15" customHeight="1" x14ac:dyDescent="0.25"/>
    <row r="49" ht="15" customHeight="1" x14ac:dyDescent="0.25"/>
  </sheetData>
  <mergeCells count="2">
    <mergeCell ref="B1:D1"/>
    <mergeCell ref="E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69C-7BFF-48ED-95F6-D056B62F301D}">
  <sheetPr codeName="Sheet9"/>
  <dimension ref="A1:G18"/>
  <sheetViews>
    <sheetView workbookViewId="0">
      <selection activeCell="G23" sqref="G23"/>
    </sheetView>
  </sheetViews>
  <sheetFormatPr defaultRowHeight="20.25" customHeight="1" x14ac:dyDescent="0.25"/>
  <cols>
    <col min="1" max="1" width="13.85546875" customWidth="1"/>
  </cols>
  <sheetData>
    <row r="1" spans="1:7" ht="20.25" customHeight="1" x14ac:dyDescent="0.35">
      <c r="A1" s="74" t="str">
        <f>noi(A3:A18,CHAR(10))</f>
        <v xml:space="preserve">import {NgModule} from '@angular/core';
import {AppSharedModule} from '@app/shared/app-shared.module';
import { ShopRoutingModule } from './shop-routing.module';
import { ShopComponent } from './shop.component';
import { CreateOrEditShopModalComponent } from './create-or-edit-shop-modal.component';
@NgModule({
    declarations: [
       ShopComponent, 
        CreateOrEditShopModalComponent
    ],
    imports: [
        AppSharedModule, ShopRoutingModule]
})
export class ShopModule {}
</v>
      </c>
      <c r="B1" s="84" t="str">
        <f>B.Frontend!A3</f>
        <v>MstWptShop</v>
      </c>
      <c r="C1" s="84"/>
      <c r="D1" s="84"/>
      <c r="E1" s="84" t="str">
        <f>B.Frontend!A4</f>
        <v>Shop</v>
      </c>
      <c r="F1" s="84"/>
      <c r="G1" s="78" t="str">
        <f>B.Frontend!A5</f>
        <v>shop</v>
      </c>
    </row>
    <row r="3" spans="1:7" ht="15" customHeight="1" x14ac:dyDescent="0.25">
      <c r="A3" t="s">
        <v>358</v>
      </c>
    </row>
    <row r="4" spans="1:7" ht="15" customHeight="1" x14ac:dyDescent="0.25">
      <c r="A4" t="s">
        <v>359</v>
      </c>
    </row>
    <row r="5" spans="1:7" ht="15" customHeight="1" x14ac:dyDescent="0.25">
      <c r="A5" s="5" t="str">
        <f>"import { "&amp;E1&amp;"RoutingModule } from './"&amp;G1&amp;"-routing.module';"</f>
        <v>import { ShopRoutingModule } from './shop-routing.module';</v>
      </c>
    </row>
    <row r="6" spans="1:7" ht="15" customHeight="1" x14ac:dyDescent="0.25">
      <c r="A6" s="5" t="str">
        <f>"import { "&amp;E1&amp;"Component } from './"&amp;G1&amp;".component';"</f>
        <v>import { ShopComponent } from './shop.component';</v>
      </c>
    </row>
    <row r="7" spans="1:7" ht="15" customHeight="1" x14ac:dyDescent="0.25">
      <c r="A7" s="5" t="str">
        <f>"import { CreateOrEdit"&amp;E1&amp;"ModalComponent } from './create-or-edit-"&amp;G1&amp;"-modal.component';"</f>
        <v>import { CreateOrEditShopModalComponent } from './create-or-edit-shop-modal.component';</v>
      </c>
    </row>
    <row r="8" spans="1:7" ht="15" customHeight="1" x14ac:dyDescent="0.25"/>
    <row r="9" spans="1:7" ht="15" customHeight="1" x14ac:dyDescent="0.25">
      <c r="A9" t="s">
        <v>360</v>
      </c>
    </row>
    <row r="10" spans="1:7" ht="15" customHeight="1" x14ac:dyDescent="0.25">
      <c r="A10" t="s">
        <v>361</v>
      </c>
    </row>
    <row r="11" spans="1:7" ht="15" customHeight="1" x14ac:dyDescent="0.25">
      <c r="A11" s="5" t="str">
        <f>"       "&amp;E1&amp;"Component, "</f>
        <v xml:space="preserve">       ShopComponent, </v>
      </c>
    </row>
    <row r="12" spans="1:7" ht="15" customHeight="1" x14ac:dyDescent="0.25">
      <c r="A12" s="5" t="str">
        <f>"        CreateOrEdit"&amp;E1&amp;"ModalComponent"</f>
        <v xml:space="preserve">        CreateOrEditShopModalComponent</v>
      </c>
    </row>
    <row r="13" spans="1:7" ht="15" customHeight="1" x14ac:dyDescent="0.25">
      <c r="A13" t="s">
        <v>502</v>
      </c>
    </row>
    <row r="14" spans="1:7" ht="15" customHeight="1" x14ac:dyDescent="0.25">
      <c r="A14" t="s">
        <v>362</v>
      </c>
    </row>
    <row r="15" spans="1:7" ht="15" customHeight="1" x14ac:dyDescent="0.25">
      <c r="A15" t="s">
        <v>363</v>
      </c>
    </row>
    <row r="16" spans="1:7" ht="15" customHeight="1" x14ac:dyDescent="0.25">
      <c r="A16" s="5" t="str">
        <f>"        AppSharedModule, "&amp;E1&amp;"RoutingModule]"</f>
        <v xml:space="preserve">        AppSharedModule, ShopRoutingModule]</v>
      </c>
    </row>
    <row r="17" spans="1:1" ht="15" customHeight="1" x14ac:dyDescent="0.25">
      <c r="A17" t="s">
        <v>232</v>
      </c>
    </row>
    <row r="18" spans="1:1" ht="15" customHeight="1" x14ac:dyDescent="0.25">
      <c r="A18" s="5" t="str">
        <f>"export class "&amp;E1&amp;"Module {}"</f>
        <v>export class ShopModule {}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985-73F1-46B3-A5F1-1110B6DC5C46}">
  <sheetPr codeName="Sheet10"/>
  <dimension ref="A1:G17"/>
  <sheetViews>
    <sheetView workbookViewId="0">
      <selection activeCell="E13" sqref="E13"/>
    </sheetView>
  </sheetViews>
  <sheetFormatPr defaultRowHeight="21.75" customHeight="1" x14ac:dyDescent="0.25"/>
  <cols>
    <col min="1" max="1" width="13.5703125" customWidth="1"/>
  </cols>
  <sheetData>
    <row r="1" spans="1:7" ht="21.75" customHeight="1" x14ac:dyDescent="0.35">
      <c r="A1" s="79" t="str">
        <f>noi(A3:A18,CHAR(10))</f>
        <v xml:space="preserve">import {NgModule} from '@angular/core';
import {RouterModule, Routes} from '@angular/router';
import { ShopComponent } from './shop.component';
const routes: Routes = [{
    path: '',
    component: ShopComponent,
    pathMatch: 'full'
}];
@NgModule({
    imports: [RouterModule.forChild(routes)],
    exports: [RouterModule],
})
export class ShopRoutingModule {}
</v>
      </c>
      <c r="B1" s="84" t="str">
        <f>B.Frontend!A3</f>
        <v>MstWptShop</v>
      </c>
      <c r="C1" s="84"/>
      <c r="D1" s="84"/>
      <c r="E1" s="84" t="str">
        <f>B.Frontend!A4</f>
        <v>Shop</v>
      </c>
      <c r="F1" s="84"/>
      <c r="G1" s="78" t="str">
        <f>B.Frontend!A5</f>
        <v>shop</v>
      </c>
    </row>
    <row r="2" spans="1:7" ht="15" customHeight="1" x14ac:dyDescent="0.25"/>
    <row r="3" spans="1:7" ht="15" customHeight="1" x14ac:dyDescent="0.25">
      <c r="A3" t="s">
        <v>358</v>
      </c>
    </row>
    <row r="4" spans="1:7" ht="15" customHeight="1" x14ac:dyDescent="0.25">
      <c r="A4" t="s">
        <v>364</v>
      </c>
    </row>
    <row r="5" spans="1:7" ht="15" customHeight="1" x14ac:dyDescent="0.25">
      <c r="A5" s="5" t="str">
        <f>"import { "&amp;E1&amp;"Component } from './"&amp;G1&amp;".component';"</f>
        <v>import { ShopComponent } from './shop.component';</v>
      </c>
    </row>
    <row r="6" spans="1:7" ht="15" customHeight="1" x14ac:dyDescent="0.25"/>
    <row r="7" spans="1:7" ht="15" customHeight="1" x14ac:dyDescent="0.25">
      <c r="A7" t="s">
        <v>365</v>
      </c>
    </row>
    <row r="8" spans="1:7" ht="15" customHeight="1" x14ac:dyDescent="0.25">
      <c r="A8" t="s">
        <v>366</v>
      </c>
    </row>
    <row r="9" spans="1:7" ht="15" customHeight="1" x14ac:dyDescent="0.25">
      <c r="A9" s="5" t="str">
        <f>"    component: "&amp;E1&amp;"Component,"</f>
        <v xml:space="preserve">    component: ShopComponent,</v>
      </c>
    </row>
    <row r="10" spans="1:7" ht="15" customHeight="1" x14ac:dyDescent="0.25">
      <c r="A10" t="s">
        <v>367</v>
      </c>
    </row>
    <row r="11" spans="1:7" ht="15" customHeight="1" x14ac:dyDescent="0.25">
      <c r="A11" t="s">
        <v>368</v>
      </c>
    </row>
    <row r="12" spans="1:7" ht="15" customHeight="1" x14ac:dyDescent="0.25"/>
    <row r="13" spans="1:7" ht="15" customHeight="1" x14ac:dyDescent="0.25">
      <c r="A13" t="s">
        <v>360</v>
      </c>
    </row>
    <row r="14" spans="1:7" ht="15" customHeight="1" x14ac:dyDescent="0.25">
      <c r="A14" t="s">
        <v>369</v>
      </c>
    </row>
    <row r="15" spans="1:7" ht="15" customHeight="1" x14ac:dyDescent="0.25">
      <c r="A15" t="s">
        <v>370</v>
      </c>
    </row>
    <row r="16" spans="1:7" ht="15" customHeight="1" x14ac:dyDescent="0.25">
      <c r="A16" t="s">
        <v>232</v>
      </c>
    </row>
    <row r="17" spans="1:1" ht="15" customHeight="1" x14ac:dyDescent="0.25">
      <c r="A17" s="5" t="str">
        <f>"export class "&amp;E1&amp;"RoutingModule {}"</f>
        <v>export class ShopRoutingModule {}</v>
      </c>
    </row>
  </sheetData>
  <mergeCells count="2">
    <mergeCell ref="B1:D1"/>
    <mergeCell ref="E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B95AF-7285-40BF-A6A8-ADB10DC6CB30}">
  <sheetPr codeName="Sheet11"/>
  <dimension ref="A1:I6"/>
  <sheetViews>
    <sheetView workbookViewId="0">
      <selection activeCell="B9" sqref="B9"/>
    </sheetView>
  </sheetViews>
  <sheetFormatPr defaultRowHeight="21.75" customHeight="1" x14ac:dyDescent="0.25"/>
  <sheetData>
    <row r="1" spans="1:9" ht="21.75" customHeight="1" x14ac:dyDescent="0.35">
      <c r="A1" s="80" t="str">
        <f>noi(A3:A6,CHAR(10))</f>
        <v xml:space="preserve">/*WorkingPattern */
new AppMenuItem('WorkingPattern ', '', 'flaticon-interface-8', '', [], [
new AppMenuItem('Shop', 'Pages.Master.WorkingPattern .Shop', 'flaticon-book',   '/app/main/master/workingpattern /shop'),
]),
</v>
      </c>
      <c r="B1" s="86" t="str">
        <f>B.Frontend!A1</f>
        <v xml:space="preserve">WorkingPattern </v>
      </c>
      <c r="C1" s="86"/>
      <c r="D1" s="86" t="str">
        <f>B.Frontend!A3</f>
        <v>MstWptShop</v>
      </c>
      <c r="E1" s="86"/>
      <c r="F1" s="86"/>
      <c r="G1" s="86" t="str">
        <f>B.Frontend!A4</f>
        <v>Shop</v>
      </c>
      <c r="H1" s="86"/>
      <c r="I1" s="70" t="str">
        <f>B.Frontend!A5</f>
        <v>shop</v>
      </c>
    </row>
    <row r="2" spans="1:9" ht="15" customHeight="1" x14ac:dyDescent="0.25"/>
    <row r="3" spans="1:9" ht="15" customHeight="1" x14ac:dyDescent="0.25">
      <c r="A3" s="5" t="str">
        <f>"/*"&amp;B1&amp;"*/"</f>
        <v>/*WorkingPattern */</v>
      </c>
    </row>
    <row r="4" spans="1:9" ht="15" customHeight="1" x14ac:dyDescent="0.25">
      <c r="A4" s="5" t="str">
        <f>"new AppMenuItem('"&amp;B1&amp;"', '', 'flaticon-interface-8', '', [], ["</f>
        <v>new AppMenuItem('WorkingPattern ', '', 'flaticon-interface-8', '', [], [</v>
      </c>
    </row>
    <row r="5" spans="1:9" ht="15" customHeight="1" x14ac:dyDescent="0.25">
      <c r="A5" s="5" t="str">
        <f>"new AppMenuItem('"&amp;G1&amp;"', 'Pages.Master."&amp;B1&amp;"."&amp;G1&amp;"', 'flaticon-book',   '/app/main/master/"&amp;LOWER(B1)&amp;"/"&amp;I1&amp;"'),"</f>
        <v>new AppMenuItem('Shop', 'Pages.Master.WorkingPattern .Shop', 'flaticon-book',   '/app/main/master/workingpattern /shop'),</v>
      </c>
    </row>
    <row r="6" spans="1:9" ht="15" customHeight="1" x14ac:dyDescent="0.25">
      <c r="A6" t="s">
        <v>503</v>
      </c>
    </row>
  </sheetData>
  <mergeCells count="3">
    <mergeCell ref="G1:H1"/>
    <mergeCell ref="B1:C1"/>
    <mergeCell ref="D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BA86-FEE9-4EA1-BEF8-21F68E82EE41}">
  <sheetPr codeName="Sheet12"/>
  <dimension ref="A1:H5"/>
  <sheetViews>
    <sheetView workbookViewId="0">
      <selection activeCell="B13" sqref="B13"/>
    </sheetView>
  </sheetViews>
  <sheetFormatPr defaultRowHeight="15" x14ac:dyDescent="0.25"/>
  <cols>
    <col min="1" max="1" width="11.7109375" bestFit="1" customWidth="1"/>
  </cols>
  <sheetData>
    <row r="1" spans="1:8" ht="21" x14ac:dyDescent="0.35">
      <c r="A1" s="81" t="str">
        <f>noi(A3:A5,CHAR(10))</f>
        <v xml:space="preserve"> path: 'master/workingpattern /shop',
loadChildren: () =&gt; import('./master/workingpattern/shop/shop.module').then(m =&gt; m.ShopModule),
data: { permission: 'Pages.Master.WorkingPattern .Shop' }
</v>
      </c>
      <c r="B1" s="87" t="str">
        <f>B.Frontend!A1</f>
        <v xml:space="preserve">WorkingPattern </v>
      </c>
      <c r="C1" s="88"/>
      <c r="D1" s="87" t="str">
        <f>B.Frontend!A3</f>
        <v>MstWptShop</v>
      </c>
      <c r="E1" s="89"/>
      <c r="F1" s="88"/>
      <c r="G1" s="73" t="str">
        <f>B.Frontend!A4</f>
        <v>Shop</v>
      </c>
      <c r="H1" s="73" t="str">
        <f>B.Frontend!A5</f>
        <v>shop</v>
      </c>
    </row>
    <row r="2" spans="1:8" ht="17.25" customHeight="1" x14ac:dyDescent="0.25"/>
    <row r="3" spans="1:8" x14ac:dyDescent="0.25">
      <c r="A3" s="5" t="str">
        <f>" path: 'master/"&amp;LOWER(B1)&amp;"/"&amp;H1&amp;"',"</f>
        <v xml:space="preserve"> path: 'master/workingpattern /shop',</v>
      </c>
    </row>
    <row r="4" spans="1:8" x14ac:dyDescent="0.25">
      <c r="A4" s="5" t="s">
        <v>504</v>
      </c>
    </row>
    <row r="5" spans="1:8" x14ac:dyDescent="0.25">
      <c r="A5" s="5" t="str">
        <f>"data: { permission: 'Pages.Master."&amp;B1&amp;"."&amp;G1&amp;"' }"</f>
        <v>data: { permission: 'Pages.Master.WorkingPattern .Shop' }</v>
      </c>
    </row>
  </sheetData>
  <mergeCells count="2">
    <mergeCell ref="B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Dev Guide</vt:lpstr>
      <vt:lpstr>A.Backend</vt:lpstr>
      <vt:lpstr>B.Frontend</vt:lpstr>
      <vt:lpstr>Data Type Mapping</vt:lpstr>
      <vt:lpstr>Directory Tree</vt:lpstr>
      <vt:lpstr>component.ts</vt:lpstr>
      <vt:lpstr>component.html</vt:lpstr>
      <vt:lpstr>modal.component.ts</vt:lpstr>
      <vt:lpstr>modal.component.html</vt:lpstr>
      <vt:lpstr>module.ts</vt:lpstr>
      <vt:lpstr>routing.module.ts</vt:lpstr>
      <vt:lpstr>app.navigation.service.ts</vt:lpstr>
      <vt:lpstr>adminrouting.module.ts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2022-05-06T07:21:06Z</dcterms:modified>
</cp:coreProperties>
</file>
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generate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1" l="1"/>
  <c r="F14" i="5" l="1"/>
  <c r="F15" i="5"/>
  <c r="F13" i="5"/>
  <c r="M44" i="3" l="1"/>
  <c r="O8" i="5"/>
  <c r="I8" i="5"/>
  <c r="U5" i="1"/>
  <c r="C42" i="3"/>
  <c r="B42" i="3"/>
  <c r="A13" i="5"/>
  <c r="J12" i="5" l="1"/>
  <c r="N37" i="3" l="1"/>
  <c r="B6" i="5"/>
  <c r="B3" i="5"/>
  <c r="D7" i="1"/>
  <c r="H43" i="3" l="1"/>
  <c r="I12" i="5"/>
  <c r="H12" i="5"/>
  <c r="F43" i="3" s="1"/>
  <c r="E44" i="3"/>
  <c r="H44" i="3"/>
  <c r="L43" i="3"/>
  <c r="K43" i="3"/>
  <c r="G43" i="3"/>
  <c r="J43" i="3"/>
  <c r="L12" i="5"/>
  <c r="K12" i="5"/>
  <c r="I43" i="3" s="1"/>
  <c r="G12" i="5"/>
  <c r="E43" i="3" s="1"/>
  <c r="F12" i="5"/>
  <c r="D43" i="3" s="1"/>
  <c r="E12" i="5"/>
  <c r="C43" i="3" s="1"/>
  <c r="N8" i="5"/>
  <c r="L44" i="3" s="1"/>
  <c r="M8" i="5"/>
  <c r="K44" i="3" s="1"/>
  <c r="L8" i="5"/>
  <c r="J44" i="3" s="1"/>
  <c r="K8" i="5"/>
  <c r="I44" i="3" s="1"/>
  <c r="G44" i="3"/>
  <c r="J8" i="5"/>
  <c r="G8" i="5"/>
  <c r="N3" i="1" l="1"/>
  <c r="M3" i="1"/>
  <c r="O3" i="1"/>
  <c r="D8" i="1"/>
  <c r="D9" i="1"/>
  <c r="C13" i="5" l="1"/>
  <c r="B13" i="5"/>
  <c r="D13" i="5" s="1"/>
  <c r="A14" i="5"/>
  <c r="E10" i="5" s="1"/>
  <c r="A15" i="5"/>
  <c r="F10" i="5" l="1"/>
  <c r="H10" i="5"/>
  <c r="H13" i="5"/>
  <c r="E13" i="5"/>
  <c r="C15" i="5"/>
  <c r="B15" i="5"/>
  <c r="D15" i="5" s="1"/>
  <c r="C14" i="5"/>
  <c r="H14" i="5" s="1"/>
  <c r="B14" i="5"/>
  <c r="D14" i="5" s="1"/>
  <c r="H15" i="5" l="1"/>
  <c r="E14" i="5"/>
  <c r="E15" i="5"/>
  <c r="R3" i="1"/>
  <c r="P5" i="1"/>
  <c r="Q3" i="1"/>
  <c r="D1" i="1"/>
  <c r="F4" i="1"/>
  <c r="H11" i="5"/>
  <c r="F11" i="5"/>
  <c r="E11" i="5"/>
  <c r="H8" i="5" l="1"/>
  <c r="F44" i="3" s="1"/>
  <c r="E8" i="5"/>
  <c r="C44" i="3" s="1"/>
  <c r="F8" i="5"/>
  <c r="D44" i="3" s="1"/>
  <c r="V7" i="1"/>
  <c r="T7" i="1"/>
  <c r="T9" i="1"/>
  <c r="V9" i="1"/>
  <c r="V8" i="1"/>
  <c r="T8" i="1"/>
  <c r="L9" i="1"/>
  <c r="G7" i="1"/>
  <c r="G8" i="1"/>
  <c r="G9" i="1"/>
  <c r="E7" i="1"/>
  <c r="H7" i="1" s="1"/>
  <c r="E8" i="1"/>
  <c r="H8" i="1" s="1"/>
  <c r="E9" i="1"/>
  <c r="H9" i="1" s="1"/>
  <c r="P7" i="1"/>
  <c r="P8" i="1"/>
  <c r="P9" i="1"/>
  <c r="P11" i="1"/>
  <c r="T11" i="1"/>
  <c r="V11" i="1"/>
  <c r="Q5" i="1" l="1"/>
  <c r="T5" i="1"/>
  <c r="O9" i="1"/>
  <c r="M9" i="1"/>
  <c r="I9" i="1"/>
  <c r="O8" i="1"/>
  <c r="M8" i="1"/>
  <c r="I8" i="1"/>
  <c r="O7" i="1"/>
  <c r="M7" i="1"/>
  <c r="I7" i="1"/>
  <c r="M37" i="3" l="1"/>
  <c r="O5" i="1"/>
  <c r="G4" i="1"/>
  <c r="N5" i="1" l="1"/>
  <c r="E37" i="3" s="1"/>
  <c r="L37" i="3" l="1"/>
  <c r="D37" i="3"/>
  <c r="D4" i="1"/>
  <c r="H4" i="1" l="1"/>
  <c r="B4" i="1" l="1"/>
  <c r="L3" i="1"/>
  <c r="J3" i="1"/>
  <c r="H3" i="1"/>
  <c r="F3" i="1"/>
  <c r="M11" i="1"/>
  <c r="C4" i="1" l="1"/>
  <c r="S3" i="1"/>
  <c r="R5" i="1"/>
  <c r="E4" i="1"/>
  <c r="K5" i="1"/>
  <c r="F37" i="3" s="1"/>
  <c r="I3" i="1" l="1"/>
  <c r="B5" i="1"/>
  <c r="L7" i="1" l="1"/>
  <c r="L8" i="1"/>
  <c r="N9" i="1"/>
  <c r="J9" i="1"/>
  <c r="N7" i="1"/>
  <c r="J7" i="1"/>
  <c r="N8" i="1"/>
  <c r="J8" i="1"/>
  <c r="C5" i="1"/>
  <c r="I11" i="1"/>
  <c r="N11" i="1"/>
  <c r="O11" i="1"/>
  <c r="K11" i="1"/>
  <c r="J11" i="1"/>
  <c r="J5" i="1" l="1"/>
  <c r="K37" i="3"/>
  <c r="J37" i="3"/>
  <c r="M5" i="1"/>
  <c r="H37" i="3" s="1"/>
  <c r="I37" i="3"/>
  <c r="L5" i="1"/>
  <c r="G37" i="3" s="1"/>
  <c r="C37" i="3" l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6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6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6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6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6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<sst xmlns="http://schemas.openxmlformats.org/spreadsheetml/2006/main" count="321" uniqueCount="270">
  <si>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</si>
  <si>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</si>
  <si>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</si>
  <si>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</si>
  <si>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</si>
  <si>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</si>
  <si>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</si>
  <si>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</si>
  <si>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</si>
  <si>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</si>
  <si>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</si>
  <si>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</si>
  <si>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</si>
  <si>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</si>
  <si>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</si>
  <si>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</si>
  <si>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</si>
  <si>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</si>
  <si>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</si>
  <si>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</si>
  <si>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</si>
  <si>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</si>
  <si>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</si>
  <si>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</si>
  <si>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</si>
  <si>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</si>
  <si>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</si>
  <si>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</si>
  <si>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</si>
  <si>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</si>
  <si>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</si>
  <si>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</si>
  <si>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</si>
  <si>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</si>
  <si>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</si>
  <si>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</si>
  <si>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</si>
  <si>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</si>
  <si>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</si>
  <si>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</si>
  <si>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</si>
  <si>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</si>
  <si>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</si>
  <si>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</si>
  <si>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</si>
  <si>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</si>
  <si>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</si>
  <si>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</si>
  <si>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</si>
  <si>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</si>
  <si>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</si>
  <si>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</si>
  <si>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</si>
  <si>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</si>
  <si>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</si>
  <si>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</si>
  <si>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</si>
  <si>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</si>
  <si>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</si>
  <si>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</si>
  <si>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</si>
  <si>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</si>
  <si>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</si>
  <si>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</si>
  <si>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</si>
  <si>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</si>
  <si>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</si>
  <si>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</si>
  <si>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</si>
  <si>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</si>
  <si>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</si>
  <si>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</si>
  <si>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</si>
  <si>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</si>
  <si>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</si>
  <si>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</si>
  <si>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</si>
  <si>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</si>
  <si>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</si>
  <si>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</si>
  <si>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</si>
  <si>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</si>
  <si>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</si>
  <si>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</si>
  <si>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</si>
  <si>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</si>
  <si>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</si>
  <si>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</si>
  <si>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</si>
  <si>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</si>
  <si>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</si>
  <si>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</si>
  <si>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</si>
  <si>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</si>
  <si>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</si>
  <si>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</si>
  <si>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</si>
  <si>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</si>
  <si>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</si>
  <si>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</si>
  <si>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</si>
  <si>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</si>
  <si>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</si>
  <si>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</si>
  <si>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</si>
  <si>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</si>
  <si>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</si>
  <si>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</si>
  <si>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</si>
  <si>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</si>
  <si>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</si>
  <si>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</si>
  <si>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</si>
  <si>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</si>
  <si>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</si>
  <si>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</si>
  <si>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</si>
  <si>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</si>
  <si>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</si>
  <si>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</si>
  <si>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</si>
  <si>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</si>
  <si>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</si>
  <si>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</si>
  <si>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</si>
  <si>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</si>
  <si>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</si>
  <si>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</si>
  <si>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</si>
  <si>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</si>
  <si>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</si>
  <si>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</si>
  <si>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</si>
  <si>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</si>
  <si>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</si>
  <si>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</si>
  <si>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</si>
  <si>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</si>
  <si>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</si>
  <si>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</si>
  <si>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</si>
  <si>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</si>
  <si>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</si>
  <si>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</si>
  <si>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</si>
  <si>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</si>
  <si>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</si>
  <si>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</si>
  <si>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</si>
  <si>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</si>
  <si>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</si>
  <si>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</si>
  <si>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</si>
  <si>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</si>
  <si>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</si>
  <si>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</si>
  <si>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</si>
  <si>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</si>
  <si>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</si>
  <si>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</si>
  <si>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</si>
  <si>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</si>
  <si>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</si>
  <si>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</si>
  <si>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</si>
  <si>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</si>
  <si>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</si>
  <si>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</si>
  <si>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</si>
  <si>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</si>
  <si>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</si>
  <si>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</si>
  <si>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</si>
  <si>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</si>
  <si>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</si>
  <si>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</si>
  <si>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</si>
  <si>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</si>
  <si>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</si>
  <si>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</si>
  <si>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</si>
  <si>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</si>
  <si>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</si>
  <si>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</si>
  <si>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</si>
  <si>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</si>
  <si>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</si>
  <si>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</si>
  <si>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</si>
  <si>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</si>
  <si>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</si>
  <si>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</si>
  <si>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</si>
  <si>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</si>
  <si>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</si>
  <si>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</si>
  <si>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</si>
  <si>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</si>
  <si>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</si>
  <si>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</si>
  <si>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</si>
  <si>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</si>
  <si>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</si>
  <si>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</si>
  <si>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</si>
  <si>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</si>
  <si>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</si>
  <si>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</si>
  <si>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</si>
  <si>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</si>
  <si>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nvarchar(40)</t>
  </si>
  <si>
    <t>nvarchar(250)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</si>
  <si>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</si>
  <si>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</si>
  <si>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</si>
  <si>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</si>
  <si>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</si>
  <si>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</si>
  <si>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</si>
  <si>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</si>
  <si>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</si>
  <si>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Master.WorkingPattern.ShopAgg</t>
  </si>
  <si>
    <t>MstWptShopAgg</t>
  </si>
  <si>
    <t>T7</t>
  </si>
  <si>
    <t>T9</t>
  </si>
  <si>
    <t>V7</t>
  </si>
  <si>
    <t>V9</t>
  </si>
  <si>
    <t>2)AppPermissions</t>
  </si>
  <si>
    <t>3)AppAuthorizationProvider</t>
  </si>
  <si>
    <t>9) interface Export</t>
  </si>
  <si>
    <t>10) Export Service</t>
  </si>
  <si>
    <t>11) Services</t>
  </si>
  <si>
    <t>using System.Collections.Generic;
using vovina.DataExporting.Excel.NPOI;
using vovina.Dto;
using vovina.Master.WorkingPattern.Calendar.Exporting;
using vovina.Master.WorkingPattern.Dto;
using vovina.Storage;
using vovina.Master.WorkingPattern.Calendar.Dto;
namespace vovina.MasterWorkingPattern.Calendar.Exporting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                                 "MasterWorkingPatternCalendar.xlsx",
                                 excelPackage =&gt;
                                 {
                                     var sheet = excelPackage.CreateSheet("Calendar");
                                     AddHeader(
                                               sheet,
                                                      &lt;PROPERTIES&gt;
                                               );
                                     AddObjects(
                                         sheet, 1, calendar,
                                         &lt;PROPERTIES1&gt;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t>
  </si>
  <si>
    <t>Full Name</t>
  </si>
  <si>
    <t>DESCRIPTION</t>
  </si>
  <si>
    <t>IS_ACTIVE</t>
  </si>
  <si>
    <t>Name Normal</t>
  </si>
  <si>
    <t>Menu Name</t>
  </si>
  <si>
    <t>NameFront</t>
  </si>
  <si>
    <t>example code</t>
  </si>
  <si>
    <t>code copy</t>
  </si>
  <si>
    <t>E13</t>
  </si>
  <si>
    <t>Filde Name</t>
  </si>
  <si>
    <t>F13</t>
  </si>
  <si>
    <t>.input-search{
    width: 250px;
    border-radius: 10px;
    margin-left: 10px;
}
.btn-search{
    width: 50px;
    margin-left: 10px;
}</t>
  </si>
  <si>
    <t>H13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</si>
  <si>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&lt;PROPERTIES&gt;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</si>
  <si>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selector: 'create-or-edit-calendar-modal',
  templateUrl: './create-or-edit-calendar-modal.component.html',
  styleUrls: ['./create-or-edit-calendar-modal.component.less']
})
export class CreateOrEditCalendarModalComponent extends AppComponentBase {
  @ViewChild('createOrEditModalCalendar',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CreateOrEditMstWptCalendarDto = new CreateOrEditMstWptCalendarDto();
  active: boolean = false;
  saving: boolean = false;
  _isActive: boolean;
  constructor(
    injector: Injector,
    private _mstwptCalendarService: MstWptCalendarServiceProxy,
    ) {
    super(injector);
  }
  show(rowdata?: CreateOrEditMstWptCalendarDto): void {
    if (!rowdata) this.rowdata = new CreateOrEditMstWptCalendarDto();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this._mstwptCalendarService.createOrEdit(this.rowdata)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t>
  </si>
  <si>
    <t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</si>
  <si>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</si>
  <si>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</si>
  <si>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</si>
  <si>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</si>
  <si>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</si>
  <si>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</si>
  <si>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{
                        path: 'master/workingpattern/calendar',
                        loadChildren: () =&gt; import('./master/workingpattern/calendar/calendar.module').then(m =&gt; m.CalendarModule),
                        data: { permission: 'Pages.Master.WorkingPattern.Calendar' }
                    },</t>
  </si>
  <si>
    <t>COPY CODE</t>
  </si>
  <si>
    <t>12)CustomDtoMapper</t>
  </si>
  <si>
    <t>Matter Working Pattern ShopAgg</t>
  </si>
  <si>
    <t>ShopAgg</t>
  </si>
  <si>
    <t>Copy to file -&gt; create menu</t>
  </si>
  <si>
    <t>Create file</t>
  </si>
  <si>
    <t>SHOP_NAME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</si>
  <si>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</si>
  <si>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vovina.Master.WorkingPattern.Calendar.Exporting;
using vovina.Master.WorkingPattern.Dto;
using vovina.Master.WorkingPattern.Calendar;
using vovina.Master.WorkingPattern.Calendar.Dto;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{Id = o.Id,
                              &lt;PROPERTIES&gt;
                         };
            var totalCount = await filtered.CountAsync();
            return new PagedResultDto&lt;MstWptCalendarDto&gt;(
                totalCount,
                await system.ToListAsync()
            );
        }
        public async Task&lt;FileDto&gt; GetCalendarToExcel(MstWptCalendarExportInput input)
        {
            var query = from o in _repo.GetAll()
                        select new MstWptCalendarDto
                        {Id = o.Id,
                               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
</t>
  </si>
  <si>
    <t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&lt;FULL_TITLE&gt;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&lt;PROPERTIES&gt;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	#createOrEditModalCalendar
    (modalSave)="callBackDataGrid(dataParams)"
    (modalClose)="onChangeRowSelection(dataParams)"
&gt;
&lt;/create-or-edit-calendar-modal&gt;</t>
  </si>
  <si>
    <t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@Component({
  templateUrl: './calendar.component.html',
  styleUrls: ['./calendar.component.less',],
})
export class CalendarComponent extends AppComponentBase implements OnInit {
  @ViewChild('createOrEditModalCalendar', { static: true }) createOrEditModalCalendar: CreateOrEditCalendarModalComponent | undefined;
  defaultColDefs: CustomColDef[] = [];
  paginationParams: PaginationParamsModel = { pageNum: 1, pageSize: 20, totalCount: 0, skipCount: 0, sorting: '', totalPage: 1 };
  selectedRow: MstWptCalendarDto = new MstWptCalendarDto();
  saveSelectedRow: MstWptCalendarDto = new MstWptCalendarDto();
  datas: MstWptCalendarDto = new MstWptCalendarDto();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_mstwptCalendarService: MstWptCalendarServiceProxy,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&lt;PROPERTIES&gt;      
    ];
   }
  ngOnInit(): void {
    this.paginationParams = { pageNum: 1, pageSize: 20, totalCount: 0 };
  }
  searchDatas(): void {
    this._mstwptCalendarService.getAll('','','')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this._mstwptCalendarService.getAll('','','');
  }
    onChangeRowSelection(params: { api: { getSelectedRows: () =&gt; MstWptCalendarDto[]; }; }) {
      this.saveSelectedRow = params.api.getSelectedRows()[0] ?? new MstWptCalendarDto();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MstWptCalendarDto): void {
      this.message.confirm(
          this.l('AreYouSureToDelete'),"Delete Row",
          isConfirmed =&gt; {
              if (isConfirmed) {
                  this._mstwptCalendarService.delete(system.id).subscribe(()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this._mstwptCalendarService.getCalendarToExcel('','','')
        .subscribe(result =&gt; {
            this._fileDownloadService.downloadTempFile(result);
        });
    }
}</t>
  </si>
  <si>
    <t>1)Back- End Template</t>
  </si>
  <si>
    <t>service-proxy.module.ts</t>
  </si>
  <si>
    <t>ApiServiceProxies.MstWptCalendarServiceProxy,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</si>
</sst>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6"/>
  <sheetViews>
    <sheetView topLeftCell="A31" workbookViewId="0">
      <selection activeCell="H17" sqref="H17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83</v>
      </c>
    </row>
    <row r="2" spans="1:6" ht="15.75" x14ac:dyDescent="0.25">
      <c r="A2" s="1"/>
      <c r="B2" s="27" t="s">
        <v>208</v>
      </c>
    </row>
    <row r="3" spans="1:6" x14ac:dyDescent="0.25">
      <c r="A3" s="1"/>
      <c r="B3" s="1" t="s">
        <v>86</v>
      </c>
    </row>
    <row r="4" spans="1:6" x14ac:dyDescent="0.25">
      <c r="A4" s="1"/>
      <c r="B4" s="17" t="s">
        <v>85</v>
      </c>
    </row>
    <row r="5" spans="1:6" x14ac:dyDescent="0.25">
      <c r="A5" s="1"/>
      <c r="B5" s="17" t="s">
        <v>88</v>
      </c>
    </row>
    <row r="6" spans="1:6" x14ac:dyDescent="0.25">
      <c r="A6" s="1"/>
      <c r="B6" s="17" t="s">
        <v>98</v>
      </c>
    </row>
    <row r="7" spans="1:6" x14ac:dyDescent="0.25">
      <c r="A7" s="1"/>
      <c r="B7" s="17"/>
      <c r="C7" s="2" t="s">
        <v>108</v>
      </c>
      <c r="D7" s="2"/>
      <c r="E7" s="2"/>
      <c r="F7" s="2" t="s">
        <v>117</v>
      </c>
    </row>
    <row r="8" spans="1:6" x14ac:dyDescent="0.25">
      <c r="A8" s="1"/>
      <c r="B8" s="17"/>
      <c r="C8" t="s">
        <v>99</v>
      </c>
      <c r="F8" s="1" t="s">
        <v>109</v>
      </c>
    </row>
    <row r="9" spans="1:6" x14ac:dyDescent="0.25">
      <c r="A9" s="1"/>
      <c r="B9" s="17"/>
      <c r="D9" t="s">
        <v>100</v>
      </c>
      <c r="F9" s="1" t="s">
        <v>110</v>
      </c>
    </row>
    <row r="10" spans="1:6" x14ac:dyDescent="0.25">
      <c r="A10" s="1"/>
      <c r="B10" s="17"/>
      <c r="D10" t="s">
        <v>101</v>
      </c>
      <c r="F10" s="1" t="s">
        <v>111</v>
      </c>
    </row>
    <row r="11" spans="1:6" x14ac:dyDescent="0.25">
      <c r="A11" s="1"/>
      <c r="B11" s="17"/>
      <c r="D11" t="s">
        <v>102</v>
      </c>
      <c r="F11" s="1" t="s">
        <v>112</v>
      </c>
    </row>
    <row r="12" spans="1:6" x14ac:dyDescent="0.25">
      <c r="A12" s="1"/>
      <c r="B12" s="17"/>
      <c r="D12" t="s">
        <v>103</v>
      </c>
      <c r="F12" s="1" t="s">
        <v>113</v>
      </c>
    </row>
    <row r="13" spans="1:6" x14ac:dyDescent="0.25">
      <c r="A13" s="1"/>
      <c r="B13" s="17"/>
      <c r="D13" t="s">
        <v>104</v>
      </c>
      <c r="F13" s="1" t="s">
        <v>114</v>
      </c>
    </row>
    <row r="14" spans="1:6" x14ac:dyDescent="0.25">
      <c r="A14" s="1"/>
      <c r="B14" s="17"/>
      <c r="D14" t="s">
        <v>105</v>
      </c>
      <c r="F14" s="1" t="s">
        <v>115</v>
      </c>
    </row>
    <row r="15" spans="1:6" x14ac:dyDescent="0.25">
      <c r="A15" s="1"/>
      <c r="B15" s="17"/>
      <c r="C15" t="s">
        <v>102</v>
      </c>
      <c r="F15" s="1" t="s">
        <v>112</v>
      </c>
    </row>
    <row r="16" spans="1:6" x14ac:dyDescent="0.25">
      <c r="A16" s="1"/>
      <c r="B16" s="17"/>
      <c r="D16" t="s">
        <v>106</v>
      </c>
      <c r="F16" s="1" t="s">
        <v>126</v>
      </c>
    </row>
    <row r="17" spans="1:6" x14ac:dyDescent="0.25">
      <c r="A17" s="1"/>
      <c r="B17" s="17"/>
      <c r="D17" t="s">
        <v>107</v>
      </c>
      <c r="F17" s="1" t="s">
        <v>116</v>
      </c>
    </row>
    <row r="18" spans="1:6" x14ac:dyDescent="0.25">
      <c r="A18" s="1"/>
      <c r="B18" s="17"/>
      <c r="C18" t="s">
        <v>103</v>
      </c>
      <c r="F18" s="1" t="s">
        <v>113</v>
      </c>
    </row>
    <row r="19" spans="1:6" x14ac:dyDescent="0.25">
      <c r="A19" s="1"/>
      <c r="B19" s="17"/>
      <c r="C19" t="s">
        <v>104</v>
      </c>
      <c r="F19" s="1" t="s">
        <v>114</v>
      </c>
    </row>
    <row r="20" spans="1:6" x14ac:dyDescent="0.25">
      <c r="A20" s="1"/>
      <c r="B20" s="17"/>
    </row>
    <row r="21" spans="1:6" x14ac:dyDescent="0.25">
      <c r="A21" s="1"/>
      <c r="B21" s="17" t="s">
        <v>97</v>
      </c>
    </row>
    <row r="22" spans="1:6" x14ac:dyDescent="0.25">
      <c r="A22" s="1"/>
      <c r="B22" s="17" t="s">
        <v>93</v>
      </c>
    </row>
    <row r="23" spans="1:6" x14ac:dyDescent="0.25">
      <c r="A23" s="1"/>
      <c r="B23" s="17"/>
      <c r="C23" s="19" t="s">
        <v>90</v>
      </c>
    </row>
    <row r="24" spans="1:6" x14ac:dyDescent="0.25">
      <c r="A24" s="1"/>
      <c r="B24" s="17"/>
      <c r="C24" s="18" t="s">
        <v>91</v>
      </c>
    </row>
    <row r="25" spans="1:6" x14ac:dyDescent="0.25">
      <c r="A25" s="1"/>
      <c r="B25" s="17"/>
      <c r="C25" s="18" t="s">
        <v>92</v>
      </c>
    </row>
    <row r="26" spans="1:6" x14ac:dyDescent="0.25">
      <c r="A26" s="1"/>
      <c r="B26" s="17" t="s">
        <v>118</v>
      </c>
      <c r="C26" s="18"/>
    </row>
    <row r="27" spans="1:6" x14ac:dyDescent="0.25">
      <c r="A27" s="1"/>
      <c r="B27" s="17"/>
      <c r="C27" s="18" t="s">
        <v>119</v>
      </c>
    </row>
    <row r="28" spans="1:6" x14ac:dyDescent="0.25">
      <c r="A28" s="1"/>
      <c r="B28" s="17"/>
      <c r="C28" s="18" t="s">
        <v>120</v>
      </c>
    </row>
    <row r="29" spans="1:6" x14ac:dyDescent="0.25">
      <c r="A29" s="1"/>
      <c r="B29" s="17"/>
      <c r="C29" s="18" t="s">
        <v>121</v>
      </c>
    </row>
    <row r="30" spans="1:6" x14ac:dyDescent="0.25">
      <c r="A30" s="1"/>
      <c r="B30" s="17"/>
      <c r="C30" s="18" t="s">
        <v>123</v>
      </c>
    </row>
    <row r="31" spans="1:6" x14ac:dyDescent="0.25">
      <c r="A31" s="1"/>
      <c r="B31" s="17"/>
      <c r="C31" s="18" t="s">
        <v>125</v>
      </c>
    </row>
    <row r="32" spans="1:6" x14ac:dyDescent="0.25">
      <c r="A32" s="1"/>
      <c r="B32" s="17"/>
      <c r="C32" s="18" t="s">
        <v>124</v>
      </c>
    </row>
    <row r="33" spans="1:14" x14ac:dyDescent="0.25">
      <c r="A33" s="1"/>
      <c r="B33" s="17"/>
      <c r="C33" s="18" t="s">
        <v>122</v>
      </c>
    </row>
    <row r="34" spans="1:14" ht="21" customHeight="1" x14ac:dyDescent="0.25">
      <c r="B34" s="21" t="s">
        <v>87</v>
      </c>
    </row>
    <row r="35" spans="1:14" ht="21" customHeight="1" x14ac:dyDescent="0.25">
      <c r="B35" s="63" t="s">
        <v>267</v>
      </c>
    </row>
    <row r="36" spans="1:14" ht="15.75" thickBot="1" x14ac:dyDescent="0.3">
      <c r="C36" s="1" t="s">
        <v>75</v>
      </c>
      <c r="D36" s="1" t="s">
        <v>227</v>
      </c>
      <c r="E36" s="1" t="s">
        <v>228</v>
      </c>
      <c r="F36" s="1" t="s">
        <v>212</v>
      </c>
      <c r="G36" s="1" t="s">
        <v>213</v>
      </c>
      <c r="H36" s="1" t="s">
        <v>214</v>
      </c>
      <c r="I36" s="1" t="s">
        <v>215</v>
      </c>
      <c r="J36" s="1" t="s">
        <v>219</v>
      </c>
      <c r="K36" s="1" t="s">
        <v>229</v>
      </c>
      <c r="L36" s="1" t="s">
        <v>230</v>
      </c>
      <c r="M36" s="1" t="s">
        <v>231</v>
      </c>
      <c r="N36" s="1" t="s">
        <v>257</v>
      </c>
    </row>
    <row r="37" spans="1:14" s="16" customFormat="1" ht="21.75" customHeight="1" thickBot="1" x14ac:dyDescent="0.3">
      <c r="B37" s="52" t="s">
        <v>256</v>
      </c>
      <c r="C37" s="51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vovina.Master.WorkingPattern.ShopAgg
{
	[Table("MstWptShopAgg")]
	[Index(nameof(ShopName), Name="IX_MstWptShopAgg_ShopName")]
	public class MstWptShopAgg: FullAuditedEntity&lt;long&gt;, IEntity&lt;long&gt;	
	{
		public const int MaxShopNameLength = 40;
		public const int MaxDescriptionLength = 250;
		public const int MaxIsActiveLength = 1;
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	}
}
</v>
      </c>
      <c r="D37" s="51" t="str">
        <f>A.Backend!O5</f>
        <v xml:space="preserve">		public const string Pages_Master_WorkingPattern_ShopAgg = "Pages.Master.WorkingPattern.ShopAgg";
		public const string Pages_Master_WorkingPattern_ShopAgg_CreateEdit = "Pages.Master.WorkingPattern.ShopAgg.CreateEdit";
		public const string Pages_Master_WorkingPattern_ShopAgg_Delete = "Pages.Master.WorkingPattern.ShopAgg.Delete";
</v>
      </c>
      <c r="E37" s="51" t="str">
        <f>A.Backend!N5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F37" s="51" t="str">
        <f>A.Backend!K5</f>
        <v xml:space="preserve">public virtual DbSet&lt;MstWptShopAgg&gt; MstWptShopAggs { get; set; }
</v>
      </c>
      <c r="G37" s="51" t="str">
        <f ca="1">A.Backend!L5</f>
        <v xml:space="preserve">namespace vovina.Master.WorkingPattern.ShopAgg
{
	public class MstWptShopAggConsts	
	{
		public const int MaxShopNameLength = 40;
		public const int MaxDescriptionLength = 250;
		public const int MaxIsActiveLength = 1;
		// Define Store Name: Format SP_ + &lt;Store Name&gt; = &lt;Store Name&gt;
	}
}
</v>
      </c>
      <c r="H37" s="51" t="str">
        <f ca="1">A.Backend!M5</f>
        <v xml:space="preserve">using Abp.Application.Services.Dto;
using System;
using System.ComponentModel.DataAnnotations;
namespace vovina.Master.WorkingPattern.ShopAgg.Dto
{
	public class MstWptShopAggDto : EntityDto&lt;long?&gt;	
	{
		public virtual string ShopName { get; set; }
		public virtual string Description { get; set; }
		public virtual string IsActive { get; set; }
	}
	public class CreateOrEditMstWptShopAggDto : EntityDto&lt;long?&gt;	
	{
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	}
	public class GetMstWptShopAggInput	
	{
		public virtual string ShopName { get; set; }
		public virtual string Description { get; set; }
		public virtual string IsActive { get; set; }
	}
}
</v>
      </c>
      <c r="I37" s="51" t="str">
        <f ca="1">A.Backend!R5</f>
        <v xml:space="preserve">using Abp.Application.Services.Dto;
using System;
using System.ComponentModel.DataAnnotations;
namespace vovina.Master.WorkingPattern.ShopAgg.Dto
{
	public class MstWptShopAggExportInput{
		public virtual string ShopName { get; set; }
		public virtual string Description { get; set; }
		public virtual string IsActive { get; set; }
	}
}
</v>
      </c>
      <c r="J37" s="51" t="str">
        <f>A.Backend!P5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K37" s="51" t="str">
        <f>A.Backend!S5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vovina.Master.WorkingPattern.ShopAgg.Exporting
{
	public interface IMstWptShopAggExcelExporter : IApplicationService
	{
		FileDto ExportToFile(List&lt;MstWptShopAggDto&gt; mstwptshopagg);
	}
}
</v>
      </c>
      <c r="L37" s="51" t="str">
        <f ca="1">A.Backend!T5</f>
        <v>using System.Collections.Generic;
using vovina.DataExporting.Excel.NPOI;
using vovina.Dto;
using vovina.Master.WorkingPattern.ShopAgg.Exporting;
using vovina.Master.WorkingPattern.Dto;
using vovina.Storage;
using vovina.Master.WorkingPattern.ShopAgg.Dto;
namespace vovina.MasterWorkingPattern.ShopAgg.Exporting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shopagg)
        {
            return CreateExcelPackage(
                                 "MasterWorkingPatternShopAgg.xlsx",
                                 excelPackage =&gt;
                                 {
                                     var sheet = excelPackage.CreateSheet("ShopAgg");
                                     AddHeader(
                                               sheet,
                                                      ("ShopName"),
("Description"),
("IsActive"),
                                               );
                                     AddObjects(
                                         sheet, 1, shopagg,
                                         _ =&gt; _.ShopName,
_ =&gt; _.Description,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M37" s="59" t="str">
        <f ca="1">A.Backend!Q5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vovina.Master.WorkingPattern.ShopAgg.Exporting;
using vovina.Master.WorkingPattern.Dto;
using vovina.Master.WorkingPattern.ShopAgg;
using vovina.Master.WorkingPattern.ShopAgg.Dto;
namespace vovina.Master.WorkingPattern
{
    [AbpAuthorize(AppPermissions.Pages_Master_WorkingPattern)]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[AbpAuthorize(AppPermissions.Pages_Master_WorkingPattern_ShopAgg_CreateEdit)]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[AbpAuthorize(AppPermissions.Pages_Master_WorkingPattern_ShopAgg_Delete)]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{Id = o.Id,
                              							ShopName = o.ShopName,
							Description = o.Description,
							IsActive = o.IsActive,
                         };
            var totalCount = await filtered.CountAsync();
            return new PagedResultDto&lt;MstWptShopAggDto&gt;(
                totalCount,
                await system.ToListAsync()
            );
        }
        public async Task&lt;FileDto&gt; GetShopAggToExcel(MstWptShopAggExportInput input)
        {
            var query = from o in _repo.GetAll()
                        select new MstWptShopAggDto
                        {Id = o.Id,
                               							ShopName = o.ShopName,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_dapperRepo.ExecuteAsync(MstWptShopAggConsts.SP_MST_WPT_CALENDAR_GENERATE);
       // }
    }
}
</v>
      </c>
      <c r="N37" s="62" t="str">
        <f>A.Backend!U5</f>
        <v xml:space="preserve">  configuration.CreateMap&lt;MstWptShopAggDto, MstWptShopAgg&gt;();
  configuration.CreateMap&lt;MstWptShopAgg, MstWptShopAggDto&gt;();
  configuration.CreateMap&lt;CreateOrEditMstWptShopAggDto, MstWptShopAgg&gt;();</v>
      </c>
    </row>
    <row r="38" spans="1:14" s="16" customFormat="1" ht="21.75" customHeight="1" x14ac:dyDescent="0.25">
      <c r="C38" s="29"/>
      <c r="D38" s="29"/>
      <c r="E38" s="29"/>
      <c r="F38" s="29"/>
      <c r="G38" s="29"/>
      <c r="H38" s="29"/>
      <c r="J38" s="29"/>
      <c r="K38" s="29"/>
      <c r="M38" s="29"/>
    </row>
    <row r="39" spans="1:14" s="16" customFormat="1" ht="21.75" customHeight="1" x14ac:dyDescent="0.25">
      <c r="C39" s="29"/>
      <c r="D39" s="29"/>
      <c r="E39" s="29"/>
      <c r="F39" s="29"/>
      <c r="G39" s="29"/>
      <c r="H39" s="29"/>
      <c r="J39" s="29"/>
      <c r="K39" s="29"/>
      <c r="M39" s="29"/>
    </row>
    <row r="40" spans="1:14" s="16" customFormat="1" ht="21.75" customHeight="1" x14ac:dyDescent="0.25">
      <c r="C40" s="29"/>
      <c r="D40" s="29"/>
      <c r="E40" s="29"/>
      <c r="G40" s="29"/>
      <c r="H40" s="29"/>
    </row>
    <row r="41" spans="1:14" x14ac:dyDescent="0.25">
      <c r="B41" s="1" t="s">
        <v>82</v>
      </c>
    </row>
    <row r="42" spans="1:14" ht="21" x14ac:dyDescent="0.35">
      <c r="B42" t="str">
        <f>B.Frontend!B6</f>
        <v>shopagg</v>
      </c>
      <c r="C42" s="64" t="str">
        <f>"create folder " &amp;B42</f>
        <v>create folder shopagg</v>
      </c>
      <c r="D42" s="64"/>
      <c r="E42" s="64"/>
      <c r="F42" s="64"/>
      <c r="G42" s="64"/>
      <c r="H42" s="64"/>
      <c r="I42" s="64"/>
      <c r="J42" s="64"/>
      <c r="K42" s="65" t="s">
        <v>260</v>
      </c>
      <c r="L42" s="65"/>
      <c r="M42" s="31"/>
    </row>
    <row r="43" spans="1:14" s="28" customFormat="1" ht="18" customHeight="1" x14ac:dyDescent="0.25">
      <c r="B43" s="60" t="s">
        <v>261</v>
      </c>
      <c r="C43" s="31" t="str">
        <f>B.Frontend!E12</f>
        <v>shopagg.component.ts</v>
      </c>
      <c r="D43" s="31" t="str">
        <f>B.Frontend!F12</f>
        <v>shopagg.component.html</v>
      </c>
      <c r="E43" s="31" t="str">
        <f>B.Frontend!G12</f>
        <v>shopagg.component.less</v>
      </c>
      <c r="F43" s="31" t="str">
        <f>B.Frontend!H12</f>
        <v>create-or-edit-shopagg-modal.component.html</v>
      </c>
      <c r="G43" s="31" t="str">
        <f>B.Frontend!I12</f>
        <v>create-or-edit-shopagg-modal.component.ts</v>
      </c>
      <c r="H43" s="31" t="str">
        <f>B.Frontend!J12</f>
        <v>create-or-edit-shopagg-modal.component.less</v>
      </c>
      <c r="I43" s="31" t="str">
        <f>B.Frontend!K12</f>
        <v>shopagg.module.ts</v>
      </c>
      <c r="J43" s="31" t="str">
        <f>B.Frontend!L12</f>
        <v>shopagg-routing.module.ts</v>
      </c>
      <c r="K43" s="31" t="str">
        <f>B.Frontend!M12</f>
        <v>app.navigation.service.ts</v>
      </c>
      <c r="L43" s="31" t="str">
        <f>B.Frontend!N12</f>
        <v>main.routing.module.ts</v>
      </c>
      <c r="M43" s="60" t="s">
        <v>268</v>
      </c>
    </row>
    <row r="44" spans="1:14" ht="21.75" customHeight="1" x14ac:dyDescent="0.25">
      <c r="B44" s="61" t="s">
        <v>256</v>
      </c>
      <c r="C44" s="49" t="str">
        <f ca="1">B.Frontend!E8</f>
        <v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MstWptShopAggDto, MstWptShopAggServiceProxy } from '@shared/service-proxies/service-proxies';
import { finalize } from 'rxjs/internal/operators/finalize';
import { CreateOrEditShopAggModalComponent } from './create-or-edit-shopagg-modal.component';
import { DatePipe } from '@angular/common';
import { FileDownloadService } from '@shared/utils/file-download.service';
import ceil from 'lodash-es/ceil';
@Component({
  templateUrl: './shopagg.component.html',
  styleUrls: ['./shopagg.component.less',],
})
export class ShopAggComponent extends AppComponentBase implements OnInit {
  @ViewChild('createOrEditModalShopAgg', { static: true }) createOrEditModalShopAgg: CreateOrEditShopAggModalComponent | undefined;
  defaultColDefs: CustomColDef[] = [];
  paginationParams: PaginationParamsModel = { pageNum: 1, pageSize: 20, totalCount: 0, skipCount: 0, sorting: '', totalPage: 1 };
  selectedRow: MstWptShopAggDto = new MstWptShopAggDto();
  saveSelectedRow: MstWptShopAggDto = new MstWptShopAggDto();
  datas: MstWptShopAggDto = new MstWptShopAggDto();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_mstwptShopAggService: MstWptShopAggServiceProxy,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{headerName: this.l('Shop Name'),headerTooltip: this.l('Shop Name'),field: 'shopName',flex: 1,},
{headerName: this.l('Description'),headerTooltip: this.l('Description'),field: 'description',flex: 1,},
{headerName: this.l('Is Active'),headerTooltip: this.l('Is Active'),field: 'isActive',flex: 1,},      
    ];
   }
  ngOnInit(): void {
    this.paginationParams = { pageNum: 1, pageSize: 20, totalCount: 0 };
  }
  searchDatas(): void {
    this._mstwptShopAggService.getAll('','','')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this._mstwptShopAggService.getAll('','','');
  }
    onChangeRowSelection(params: { api: { getSelectedRows: () =&gt; MstWptShopAggDto[]; }; }) {
      this.saveSelectedRow = params.api.getSelectedRows()[0] ?? new MstWptShopAggDto();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MstWptShopAggDto): void {
      this.message.confirm(
          this.l('AreYouSureToDelete'),"Delete Row",
          isConfirmed =&gt; {
              if (isConfirmed) {
                  this._mstwptShopAggService.delete(system.id).subscribe(()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this._mstwptShopAggService.getShopAggToExcel('','','')
        .subscribe(result =&gt; {
            this._fileDownloadService.downloadTempFile(result);
        });
    }
}</v>
      </c>
      <c r="D44" s="49" t="str">
        <f ca="1">B.Frontend!F8</f>
        <v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Matter Working Pattern ShopAgg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&lt;div class='input-search'&gt;&lt;input [(ngModel)]='shopName' name='shopName' class='form-control'  placeholder='Shop Name' /&gt;&lt;/div&gt;
&lt;div class='input-search'&gt;&lt;input [(ngModel)]='description' name='description' class='form-control'  placeholder='Description' /&gt;&lt;/div&gt;
&lt;div class='input-search'&gt;&lt;input [(ngModel)]='isActive' name='isActive' class='form-control'  placeholder='Is Active' /&gt;&lt;/div&gt;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(click)="createOrEditModalShopAgg.show()"&gt;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(click)="createOrEditModalShopAgg.show(selectedRow)"&gt;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&lt;create-or-edit-shopagg-modal
	#createOrEditModalShopAgg
    (modalSave)="callBackDataGrid(dataParams)"
    (modalClose)="onChangeRowSelection(dataParams)"
&gt;
&lt;/create-or-edit-shopagg-modal&gt;</v>
      </c>
      <c r="E44" s="49" t="str">
        <f>B.Frontend!G8</f>
        <v>.input-search{
    width: 250px;
    border-radius: 10px;
    margin-left: 10px;
}
.btn-search{
    width: 50px;
    margin-left: 10px;
}</v>
      </c>
      <c r="F44" s="49" t="str">
        <f ca="1">B.Frontend!H8</f>
        <v>&lt;div bsModal #createOrEditModalShopAgg="bs-modal"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ShopAgg')}}&lt;/h3&gt;
                    &lt;h3 *ngIf="!rowdata.id"&gt;{{('Create New ShopAgg')}}&lt;/h3&gt;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title'&gt;Shop Name&lt;/label&gt;&lt;input type='text' class='col-md-10 form-control input-text' name='ShopName' [(ngModel)]='rowdata.shopName'&gt;&lt;/div&gt;
&lt;div class='col-md-12 form-group row'&gt;&lt;label class='col-md-2 form-control title'&gt;Description&lt;/label&gt;&lt;input type='text' class='col-md-10 form-control input-text' name='Description' [(ngModel)]='rowdata.description'&gt;&lt;/div&gt;
&lt;div class='col-md-12 form-group row'&gt;&lt;label class='col-md-2 form-control title'&gt;Is Active&lt;/label&gt;&lt;input type='text' class='col-md-10 form-control input-text' name='IsActive' [(ngModel)]='rowdata.isActive'&gt;&lt;/div&gt;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4" s="49" t="str">
        <f>B.Frontend!I8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CreateOrEditMstWptShopAggDto, MstWptShopAggServiceProxy } from '@shared/service-proxies/service-proxies';
import { BsDatepickerDirective } from 'ngx-bootstrap/datepicker';
@Component({
  selector: 'create-or-edit-shopagg-modal',
  templateUrl: './create-or-edit-shopagg-modal.component.html',
  styleUrls: ['./create-or-edit-shopagg-modal.component.less']
})
export class CreateOrEditShopAggModalComponent extends AppComponentBase {
  @ViewChild('createOrEditModalShopAgg',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CreateOrEditMstWptShopAggDto = new CreateOrEditMstWptShopAggDto();
  active: boolean = false;
  saving: boolean = false;
  _isActive: boolean;
  constructor(
    injector: Injector,
    private _mstwptShopAggService: MstWptShopAggServiceProxy,
    ) {
    super(injector);
  }
  show(rowdata?: CreateOrEditMstWptShopAggDto): void {
    if (!rowdata) this.rowdata = new CreateOrEditMstWptShopAggDto();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this._mstwptShopAggService.createOrEdit(this.rowdata)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H44" s="49" t="str">
        <f>B.Frontend!J8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I44" s="49" t="str">
        <f>B.Frontend!K8</f>
        <v>import {NgModule} from '@angular/core';
import {AppSharedModule} from '@app/shared/app-shared.module';
import { ShopAggRoutingModule } from './shopagg-routing.module';
import { ShopAggComponent } from './shopagg.component';
import { CreateOrEditShopAggModalComponent } from './create-or-edit-shopagg-modal.component';
@NgModule({
    declarations: [
       ShopAggComponent, 
        CreateOrEditShopAggModalComponent
    ],
    imports: [
        AppSharedModule, ShopAggRoutingModule]
})
export class ShopAggModule {}</v>
      </c>
      <c r="J44" s="49" t="str">
        <f>B.Frontend!L8</f>
        <v>import {NgModule} from '@angular/core';
import {RouterModule, Routes} from '@angular/router';
import { ShopAggComponent } from './shopagg.component';
const routes: Routes = [{
    path: '',
    component: ShopAggComponent,
    pathMatch: 'full'
}];
@NgModule({
    imports: [RouterModule.forChild(routes)],
    exports: [RouterModule],
})
export class ShopAggRoutingModule {}</v>
      </c>
      <c r="K44" s="49" t="str">
        <f>B.Frontend!M8</f>
        <v xml:space="preserve"> new AppMenuItem("ShopAgg", "Pages.Master.WorkingPattern.ShopAgg", "flaticon-book",   "/app/main/master/workingpattern/shopagg"),</v>
      </c>
      <c r="L44" s="50" t="str">
        <f>B.Frontend!N8</f>
        <v>{
                        path: 'master/workingpattern/shopagg',
                        loadChildren: () =&gt; import('./master/workingpattern/shopagg/shopagg.module').then(m =&gt; m.ShopAggModule),
                        data: { permission: 'Pages.Master.WorkingPattern.ShopAgg' }
                    },</v>
      </c>
      <c r="M44" s="48" t="str">
        <f>B.Frontend!O8</f>
        <v>ApiServiceProxies.MstWptShopAggServiceProxy,</v>
      </c>
    </row>
    <row r="46" spans="1:14" x14ac:dyDescent="0.25">
      <c r="B46" s="1" t="s">
        <v>84</v>
      </c>
    </row>
  </sheetData>
  <mergeCells count="2">
    <mergeCell ref="C42:J42"/>
    <mergeCell ref="K42:L4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"/>
  <sheetViews>
    <sheetView tabSelected="1" workbookViewId="0">
      <pane xSplit="1" topLeftCell="I1" activePane="topRight" state="frozen"/>
      <selection pane="topRight" activeCell="P7" sqref="P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20.7109375" style="8" customWidth="1"/>
    <col min="22" max="22" width="17.85546875" style="8" customWidth="1"/>
    <col min="23" max="16384" width="9.140625" style="8"/>
  </cols>
  <sheetData>
    <row r="1" spans="1:22" s="11" customFormat="1" ht="14.25" customHeight="1" x14ac:dyDescent="0.25">
      <c r="A1" s="1" t="s">
        <v>12</v>
      </c>
      <c r="B1" s="10" t="s">
        <v>74</v>
      </c>
      <c r="C1" s="10" t="s">
        <v>55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vovina.Master.WorkingPattern.ShopAgg.Dto;</v>
      </c>
      <c r="E1" s="10" t="s">
        <v>264</v>
      </c>
      <c r="F1" s="11" t="s">
        <v>76</v>
      </c>
      <c r="H1" s="11" t="s">
        <v>77</v>
      </c>
      <c r="J1" s="11" t="s">
        <v>78</v>
      </c>
      <c r="L1" s="11" t="s">
        <v>79</v>
      </c>
      <c r="M1" s="11" t="s">
        <v>80</v>
      </c>
      <c r="N1" s="11" t="s">
        <v>81</v>
      </c>
      <c r="O1" s="11" t="s">
        <v>95</v>
      </c>
      <c r="T1" s="10" t="s">
        <v>232</v>
      </c>
      <c r="U1" s="10" t="s">
        <v>263</v>
      </c>
    </row>
    <row r="2" spans="1:22" s="11" customFormat="1" ht="30" x14ac:dyDescent="0.25">
      <c r="A2" s="1" t="s">
        <v>13</v>
      </c>
      <c r="B2" s="30" t="s">
        <v>221</v>
      </c>
      <c r="C2" s="14" t="s">
        <v>41</v>
      </c>
      <c r="D2" s="14" t="s">
        <v>42</v>
      </c>
      <c r="E2" s="14" t="s">
        <v>43</v>
      </c>
      <c r="F2" s="14" t="s">
        <v>52</v>
      </c>
      <c r="G2" s="14" t="s">
        <v>50</v>
      </c>
      <c r="H2" s="14" t="s">
        <v>53</v>
      </c>
      <c r="I2" s="14" t="s">
        <v>46</v>
      </c>
      <c r="J2" s="14" t="s">
        <v>54</v>
      </c>
      <c r="K2" s="14" t="s">
        <v>56</v>
      </c>
      <c r="L2" s="14" t="s">
        <v>63</v>
      </c>
      <c r="M2" s="14" t="s">
        <v>62</v>
      </c>
      <c r="N2" s="14" t="s">
        <v>66</v>
      </c>
      <c r="O2" s="14" t="s">
        <v>96</v>
      </c>
      <c r="T2" s="11" t="s">
        <v>223</v>
      </c>
      <c r="V2" s="11" t="s">
        <v>225</v>
      </c>
    </row>
    <row r="3" spans="1:22" s="11" customFormat="1" ht="33" customHeight="1" x14ac:dyDescent="0.25">
      <c r="A3" s="1" t="s">
        <v>6</v>
      </c>
      <c r="B3" s="30" t="s">
        <v>222</v>
      </c>
      <c r="C3" s="10" t="s">
        <v>44</v>
      </c>
      <c r="D3" s="10" t="s">
        <v>45</v>
      </c>
      <c r="E3" s="10" t="s">
        <v>40</v>
      </c>
      <c r="F3" s="11" t="str">
        <f>"J"&amp;COUNTA($A:$A)</f>
        <v>J9</v>
      </c>
      <c r="G3" s="4" t="s">
        <v>58</v>
      </c>
      <c r="H3" s="10" t="str">
        <f>"I"&amp;COUNTA($A:$A)</f>
        <v>I9</v>
      </c>
      <c r="I3" s="10" t="str">
        <f>REPT(CHAR(9),2)&amp;"[Required]"&amp;"
"</f>
        <v xml:space="preserve">		[Required]
</v>
      </c>
      <c r="J3" s="11" t="str">
        <f>"L"&amp;COUNTA($A:$A)</f>
        <v>L9</v>
      </c>
      <c r="K3" s="5" t="s">
        <v>57</v>
      </c>
      <c r="L3" s="11" t="str">
        <f>"M"&amp;COUNTA($A:$A)</f>
        <v>M9</v>
      </c>
      <c r="M3" s="11" t="str">
        <f>"N"&amp;COUNTA($A:$A)</f>
        <v>N9</v>
      </c>
      <c r="N3" s="11" t="str">
        <f>"O"&amp;COUNTA($A:$A)</f>
        <v>O9</v>
      </c>
      <c r="O3" s="11" t="str">
        <f>"P"&amp;COUNTA($A:$A)</f>
        <v>P9</v>
      </c>
      <c r="Q3" s="11" t="str">
        <f>RIGHT(B2,FIND(".",B2,1))</f>
        <v>ShopAgg</v>
      </c>
      <c r="R3" s="32" t="str">
        <f>REPT(CHAR(9),1)&amp;"public class "&amp;B3&amp;"ExportInput"&amp;C3</f>
        <v xml:space="preserve">	public class MstWptShopAggExportInput{
</v>
      </c>
      <c r="S3" s="11" t="str">
        <f>"namespace "&amp;$B$4&amp;".Exporting
"&amp;$C$3</f>
        <v xml:space="preserve">namespace vovina.Master.WorkingPattern.ShopAgg.Exporting
{
</v>
      </c>
      <c r="T3" s="11" t="s">
        <v>224</v>
      </c>
      <c r="V3" s="11" t="s">
        <v>226</v>
      </c>
    </row>
    <row r="4" spans="1:22" customFormat="1" ht="16.5" customHeight="1" x14ac:dyDescent="0.25">
      <c r="A4" s="1" t="s">
        <v>7</v>
      </c>
      <c r="B4" s="10" t="str">
        <f>"vovina."&amp;B2</f>
        <v>vovina.Master.WorkingPattern.ShopAgg</v>
      </c>
      <c r="C4" s="11" t="str">
        <f>"namespace "&amp;$B$4&amp;"
"&amp;$C$3</f>
        <v xml:space="preserve">namespace vovina.Master.WorkingPattern.ShopAgg
{
</v>
      </c>
      <c r="D4" s="11" t="str">
        <f>REPT(CHAR(9),1)&amp;"public class "&amp;B3&amp;G3&amp;REPT(CHAR(9),1)&amp;"
"&amp;REPT(CHAR(9),1)&amp;C3</f>
        <v xml:space="preserve">	public class MstWptShopAgg: FullAuditedEntity&lt;long&gt;, IEntity&lt;long&gt;	
	{
</v>
      </c>
      <c r="E4" s="11" t="str">
        <f>REPT(CHAR(9),1)&amp;"public class "&amp;B3&amp;"Consts"&amp;REPT(CHAR(9),1)&amp;"
"&amp;REPT(CHAR(9),1)&amp;C3</f>
        <v xml:space="preserve">	public class MstWptShopAggConsts	
	{
</v>
      </c>
      <c r="F4" s="11" t="str">
        <f>REPT(CHAR(9),1)&amp;"public class "&amp;B3&amp;"Dto"&amp;K3&amp;REPT(CHAR(9),1)&amp;"
"&amp;REPT(CHAR(9),1)&amp;C3</f>
        <v xml:space="preserve">	public class MstWptShopAggDto : EntityDto&lt;long?&gt;	
	{
</v>
      </c>
      <c r="G4" s="11" t="str">
        <f>REPT(CHAR(9),1)&amp;"public class CreateOrEdit"&amp;B3&amp;"Dto"&amp;K3&amp;REPT(CHAR(9),1)&amp;"
"&amp;REPT(CHAR(9),1)&amp;C3</f>
        <v xml:space="preserve">	public class CreateOrEditMstWptShopAggDto : EntityDto&lt;long?&gt;	
	{
</v>
      </c>
      <c r="H4" s="11" t="str">
        <f>REPT(CHAR(9),1)&amp;"public class Get"&amp;B3&amp;"Input"&amp;REPT(CHAR(9),1)&amp;"
"&amp;REPT(CHAR(9),1)&amp;C3</f>
        <v xml:space="preserve">	public class GetMstWptShopAggInput	
	{
</v>
      </c>
      <c r="I4" s="11"/>
      <c r="J4" s="1" t="s">
        <v>75</v>
      </c>
      <c r="K4" s="1" t="s">
        <v>67</v>
      </c>
      <c r="L4" s="1" t="s">
        <v>68</v>
      </c>
      <c r="M4" s="1" t="s">
        <v>69</v>
      </c>
      <c r="N4" s="1" t="s">
        <v>70</v>
      </c>
      <c r="O4" s="1" t="s">
        <v>71</v>
      </c>
      <c r="P4" s="1" t="s">
        <v>72</v>
      </c>
      <c r="Q4" s="1" t="s">
        <v>73</v>
      </c>
      <c r="R4" s="1" t="s">
        <v>216</v>
      </c>
      <c r="S4" s="1" t="s">
        <v>218</v>
      </c>
      <c r="T4" s="1" t="s">
        <v>217</v>
      </c>
      <c r="U4" s="1" t="s">
        <v>257</v>
      </c>
    </row>
    <row r="5" spans="1:22" customFormat="1" ht="15.75" customHeight="1" x14ac:dyDescent="0.25">
      <c r="A5" s="1" t="s">
        <v>14</v>
      </c>
      <c r="B5" s="10" t="str">
        <f>B3</f>
        <v>MstWptShopAgg</v>
      </c>
      <c r="C5" s="11" t="str">
        <f>REPT(CHAR(9),1)&amp;"[Table("""&amp;B5&amp;""")]"&amp;"
"</f>
        <v xml:space="preserve">	[Table("MstWptShopAgg")]
</v>
      </c>
      <c r="D5" s="11"/>
      <c r="E5" s="11"/>
      <c r="F5" s="11"/>
      <c r="G5" s="11"/>
      <c r="H5" s="11"/>
      <c r="I5" s="11"/>
      <c r="J5" s="6" t="str">
        <f ca="1">B1&amp;C4&amp;C5&amp;K11&amp;D4&amp;I11&amp;E3&amp;J11&amp;"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vovina.Master.WorkingPattern.ShopAgg
{
	[Table("MstWptShopAgg")]
	[Index(nameof(ShopName), Name="IX_MstWptShopAgg_ShopName")]
	public class MstWptShopAgg: FullAuditedEntity&lt;long&gt;, IEntity&lt;long&gt;	
	{
		public const int MaxShopNameLength = 40;
		public const int MaxDescriptionLength = 250;
		public const int MaxIsActiveLength = 1;
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	}
}
</v>
      </c>
      <c r="K5" t="str">
        <f>"public virtual DbSet&lt;"&amp;B3&amp;"&gt; "&amp;B3&amp;"s { get; set; }
"</f>
        <v xml:space="preserve">public virtual DbSet&lt;MstWptShopAgg&gt; MstWptShopAggs { get; set; }
</v>
      </c>
      <c r="L5" t="str">
        <f ca="1">C4&amp;E4&amp;I11&amp;"
"&amp;REPT(CHAR(9),2)&amp;"// Define Store Name: Format SP_ + &lt;Store Name&gt; = &lt;Store Name&gt;
"&amp;E3&amp;REPT(CHAR(9),1)&amp;D3&amp;D3</f>
        <v xml:space="preserve">namespace vovina.Master.WorkingPattern.ShopAgg
{
	public class MstWptShopAggConsts	
	{
		public const int MaxShopNameLength = 40;
		public const int MaxDescriptionLength = 250;
		public const int MaxIsActiveLength = 1;
		// Define Store Name: Format SP_ + &lt;Store Name&gt; = &lt;Store Name&gt;
	}
}
</v>
      </c>
      <c r="M5" t="str">
        <f ca="1">C1&amp;"namespace "&amp;B4&amp;".Dto"&amp;E3&amp;C3&amp;F4&amp;M11&amp;E3&amp;REPT(CHAR(9),1)&amp;D3&amp;G4&amp;N11&amp;REPT(CHAR(9),1)&amp;D3&amp;H4&amp;O11&amp;"
"&amp;REPT(CHAR(9),1)&amp;D3&amp;D3</f>
        <v xml:space="preserve">using Abp.Application.Services.Dto;
using System;
using System.ComponentModel.DataAnnotations;
namespace vovina.Master.WorkingPattern.ShopAgg.Dto
{
	public class MstWptShopAggDto : EntityDto&lt;long?&gt;	
	{
		public virtual string ShopName { get; set; }
		public virtual string Description { get; set; }
		public virtual string IsActive { get; set; }
	}
	public class CreateOrEditMstWptShopAggDto : EntityDto&lt;long?&gt;	
	{
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	}
	public class GetMstWptShopAggInput	
	{
		public virtual string ShopName { get; set; }
		public virtual string Description { get; set; }
		public virtual string IsActive { get; set; }
	}
}
</v>
      </c>
      <c r="N5" t="str">
        <f>REPT(CHAR(9),2)&amp;"var per"&amp;B3&amp;" = PARENTS.CreateChildPermission(AppPermissions.Pages_"&amp;SUBSTITUTE(B2,".","_")&amp;", L( """&amp;SUBSTITUTE(B2,".","")&amp;"""));"
&amp;E3&amp;REPT(CHAR(9),2)&amp;"per"&amp;B3&amp;".CreateChildPermission(AppPermissions.Pages_"&amp;SUBSTITUTE(B2,".","_")&amp;"_CreateEdit, L( """&amp;SUBSTITUTE(B2,".","")&amp;"CreateEdit"&amp;"""));"
&amp;E3&amp;REPT(CHAR(9),2)&amp;"per"&amp;B3&amp;".CreateChildPermission(AppPermissions.Pages_"&amp;SUBSTITUTE(B2,".","_")&amp;"_Delete, L( """&amp;SUBSTITUTE(B2,".","")&amp;"Delete"&amp;"""));"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O5" t="str">
        <f>REPT(CHAR(9),2)&amp;"public const string Pages_"&amp;SUBSTITUTE(B2,".","_")&amp;" = ""Pages."&amp;B2&amp;""";"
&amp;E3&amp;REPT(CHAR(9),2)&amp;"public const string Pages_"&amp;SUBSTITUTE(B2,".","_")&amp;"_CreateEdit"&amp;" = ""Pages."&amp;B2&amp;".CreateEdit"";"
&amp;E3&amp;REPT(CHAR(9),2)&amp;"public const string Pages_"&amp;SUBSTITUTE(B2,".","_")&amp;"_Delete"&amp;" = ""Pages."&amp;B2&amp;".Delete"";
"</f>
        <v xml:space="preserve">		public const string Pages_Master_WorkingPattern_ShopAgg = "Pages.Master.WorkingPattern.ShopAgg";
		public const string Pages_Master_WorkingPattern_ShopAgg_CreateEdit = "Pages.Master.WorkingPattern.ShopAgg.CreateEdit";
		public const string Pages_Master_WorkingPattern_ShopAgg_Delete = "Pages.Master.WorkingPattern.ShopAgg.Delete";
</v>
      </c>
      <c r="P5" t="str">
        <f>D1&amp;E3&amp;E3
&amp;C4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Q5" t="str">
        <f ca="1">SUBSTITUTE(SUBSTITUTE(SUBSTITUTE(E1,"MstWptCalendar",$B$3),"&lt;PROPERTIES&gt;",P11),"Calendar",$Q$3)</f>
        <v xml:space="preserve"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vovina.Master.WorkingPattern.ShopAgg.Exporting;
using vovina.Master.WorkingPattern.Dto;
using vovina.Master.WorkingPattern.ShopAgg;
using vovina.Master.WorkingPattern.ShopAgg.Dto;
namespace vovina.Master.WorkingPattern
{
    [AbpAuthorize(AppPermissions.Pages_Master_WorkingPattern)]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[AbpAuthorize(AppPermissions.Pages_Master_WorkingPattern_ShopAgg_CreateEdit)]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[AbpAuthorize(AppPermissions.Pages_Master_WorkingPattern_ShopAgg_Delete)]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{Id = o.Id,
                              							ShopName = o.ShopName,
							Description = o.Description,
							IsActive = o.IsActive,
                         };
            var totalCount = await filtered.CountAsync();
            return new PagedResultDto&lt;MstWptShopAggDto&gt;(
                totalCount,
                await system.ToListAsync()
            );
        }
        public async Task&lt;FileDto&gt; GetShopAggToExcel(MstWptShopAggExportInput input)
        {
            var query = from o in _repo.GetAll()
                        select new MstWptShopAggDto
                        {Id = o.Id,
                               							ShopName = o.ShopName,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_dapperRepo.ExecuteAsync(MstWptShopAggConsts.SP_MST_WPT_CALENDAR_GENERATE);
       // }
    }
}
</v>
      </c>
      <c r="R5" t="str">
        <f ca="1">C1&amp;"namespace "&amp;B4&amp;".Dto"&amp;E3&amp;C3&amp;R3&amp;M11&amp;E3&amp;REPT(CHAR(9),1)&amp;D3&amp;D3</f>
        <v xml:space="preserve">using Abp.Application.Services.Dto;
using System;
using System.ComponentModel.DataAnnotations;
namespace vovina.Master.WorkingPattern.ShopAgg.Dto
{
	public class MstWptShopAggExportInput{
		public virtual string ShopName { get; set; }
		public virtual string Description { get; set; }
		public virtual string IsActive { get; set; }
	}
}
</v>
      </c>
      <c r="S5" t="str">
        <f>D1&amp;E3&amp;E3
&amp;S3
&amp;REPT(CHAR(9),1)&amp;"public interface I"&amp;B3&amp;"ExcelExporter : IApplicationService"&amp;E3&amp;REPT(CHAR(9),1)&amp;C3&amp;REPT(CHAR(9),2)&amp;"FileDto ExportToFile(List&lt;"&amp;B3&amp;"Dto&gt; "&amp;LOWER(B3)&amp;");
"&amp;E3&amp;REPT(CHAR(9),1)&amp;D3&amp;D3</f>
        <v xml:space="preserve">using Abp.Application.Services;
using Abp.Application.Services.Dto;
using System.Collections.Generic;using vovina.Dto;
using System.Threading.Tasks;
using vovina.Master.WorkingPattern.ShopAgg.Dto;
namespace vovina.Master.WorkingPattern.ShopAgg.Exporting
{
	public interface IMstWptShopAggExcelExporter : IApplicationService
	{
		FileDto ExportToFile(List&lt;MstWptShopAggDto&gt; mstwptshopagg);
	}
}
</v>
      </c>
      <c r="T5" s="28" t="str">
        <f ca="1">SUBSTITUTE(SUBSTITUTE(SUBSTITUTE(SUBSTITUTE(SUBSTITUTE(T1,"MstWptCalendar",$B$3),"&lt;PROPERTIES1&gt;",V11),"&lt;PROPERTIES&gt;",T11),"Calendar",$Q$3),"calendar",LOWER(Q3))</f>
        <v>using System.Collections.Generic;
using vovina.DataExporting.Excel.NPOI;
using vovina.Dto;
using vovina.Master.WorkingPattern.ShopAgg.Exporting;
using vovina.Master.WorkingPattern.Dto;
using vovina.Storage;
using vovina.Master.WorkingPattern.ShopAgg.Dto;
namespace vovina.MasterWorkingPattern.ShopAgg.Exporting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shopagg)
        {
            return CreateExcelPackage(
                                 "MasterWorkingPatternShopAgg.xlsx",
                                 excelPackage =&gt;
                                 {
                                     var sheet = excelPackage.CreateSheet("ShopAgg");
                                     AddHeader(
                                               sheet,
                                                      ("ShopName"),
("Description"),
("IsActive"),
                                               );
                                     AddObjects(
                                         sheet, 1, shopagg,
                                         _ =&gt; _.ShopName,
_ =&gt; _.Description,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U5" s="28" t="str">
        <f>SUBSTITUTE(U1,"MstWptCalendar",$B$3)</f>
        <v xml:space="preserve">  configuration.CreateMap&lt;MstWptShopAggDto, MstWptShopAgg&gt;();
  configuration.CreateMap&lt;MstWptShopAgg, MstWptShopAggDto&gt;();
  configuration.CreateMap&lt;CreateOrEditMstWptShopAggDto, MstWptShopAgg&gt;();</v>
      </c>
      <c r="V5" s="28"/>
    </row>
    <row r="6" spans="1:22" s="2" customFormat="1" x14ac:dyDescent="0.25">
      <c r="A6" s="2" t="s">
        <v>8</v>
      </c>
      <c r="B6" s="3" t="s">
        <v>9</v>
      </c>
      <c r="C6" s="2" t="s">
        <v>11</v>
      </c>
      <c r="D6" s="2" t="s">
        <v>15</v>
      </c>
      <c r="E6" s="2" t="s">
        <v>38</v>
      </c>
      <c r="F6" s="2" t="s">
        <v>60</v>
      </c>
      <c r="G6" s="2" t="s">
        <v>10</v>
      </c>
      <c r="H6" s="2" t="s">
        <v>16</v>
      </c>
      <c r="I6" s="2" t="s">
        <v>51</v>
      </c>
      <c r="J6" s="2" t="s">
        <v>39</v>
      </c>
      <c r="K6" s="2" t="s">
        <v>47</v>
      </c>
      <c r="L6" s="2" t="s">
        <v>48</v>
      </c>
      <c r="M6" s="2" t="s">
        <v>64</v>
      </c>
      <c r="N6" s="2" t="s">
        <v>59</v>
      </c>
      <c r="O6" s="2" t="s">
        <v>65</v>
      </c>
      <c r="P6" s="20" t="s">
        <v>94</v>
      </c>
    </row>
    <row r="7" spans="1:22" customFormat="1" ht="22.5" customHeight="1" x14ac:dyDescent="0.25">
      <c r="A7" t="s">
        <v>262</v>
      </c>
      <c r="B7" t="s">
        <v>210</v>
      </c>
      <c r="C7" t="s">
        <v>89</v>
      </c>
      <c r="D7" t="str">
        <f>SUBSTITUTE(PROPER(A7),"_","")</f>
        <v>ShopName</v>
      </c>
      <c r="E7" t="str">
        <f t="shared" ref="E7:E9" si="0">IFERROR(LEFT(B7, FIND("(",B7)-1),B7)</f>
        <v>nvarchar</v>
      </c>
      <c r="F7" s="7"/>
      <c r="G7" t="str">
        <f t="shared" ref="G7:G9" si="1">IFERROR(MID(B7,FIND("(",B7) +1, FIND(")",B7) - FIND("(",B7) - 1),"")</f>
        <v>40</v>
      </c>
      <c r="H7" t="str">
        <f>+VLOOKUP(E7,'Data Type Mapping'!A:B,2,)</f>
        <v>string</v>
      </c>
      <c r="I7" t="str">
        <f t="shared" ref="I7:I9" si="2">IF(H7="string",REPT(CHAR(9),2)&amp;"public const int Max"&amp;D7&amp;"Length = "&amp;G7&amp;";"&amp;$E$3,"" )</f>
        <v xml:space="preserve">		public const int MaxShopNameLength = 40;
</v>
      </c>
      <c r="J7" t="str">
        <f t="shared" ref="J7:J9" si="3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[Required]
		[StringLength(MaxShopNameLength)]
		public virtual string ShopName { get; set; }
</v>
      </c>
      <c r="K7" s="7" t="s">
        <v>220</v>
      </c>
      <c r="L7" t="str">
        <f>IF(K7="","",REPT(CHAR(9),1)&amp;"[Index(nameof("&amp;IF(D7="","",""&amp;D7)&amp;")"&amp;", Name="&amp;"""IX_"&amp;$B$5&amp;"_"&amp;D7&amp;""")]")</f>
        <v xml:space="preserve">	[Index(nameof(ShopName), Name="IX_MstWptShopAgg_ShopName")]</v>
      </c>
      <c r="M7" t="str">
        <f t="shared" ref="M7:M9" si="4">REPT(CHAR(9),2)&amp;"public virtual "&amp;H7&amp;IF(C7="?","? "," ")&amp;D7&amp;" { get; set; }" &amp; "
"</f>
        <v xml:space="preserve">		public virtual string ShopName { get; set; }
</v>
      </c>
      <c r="N7" t="str">
        <f t="shared" ref="N7:N9" si="5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[Required]
		[StringLength(MstWptShopAggConsts.MaxShopNameLength)]
		public virtual string ShopName { get; set; }
</v>
      </c>
      <c r="O7" t="str">
        <f t="shared" ref="O7:O9" si="6">IF(OR(H7="string",H7="DateTime"),REPT(CHAR(9),2)&amp;"public virtual "&amp;H7&amp;IF(C7="?","? "," ")&amp;D7&amp;" { get; set; }"&amp;$E$3,"")</f>
        <v xml:space="preserve">		public virtual string ShopName { get; set; }
</v>
      </c>
      <c r="P7" t="str">
        <f t="shared" ref="P7:P9" si="7">REPT(CHAR(9),7)&amp;D7&amp;" = o." &amp;D7 &amp;","</f>
        <v xml:space="preserve">							ShopName = o.ShopName,</v>
      </c>
      <c r="T7" s="28" t="str">
        <f>"("""&amp;D7&amp;"""),"</f>
        <v>("ShopName"),</v>
      </c>
      <c r="V7" t="str">
        <f>"_ =&gt; _."&amp;D7&amp;","</f>
        <v>_ =&gt; _.ShopName,</v>
      </c>
    </row>
    <row r="8" spans="1:22" customFormat="1" ht="21" customHeight="1" x14ac:dyDescent="0.25">
      <c r="A8" t="s">
        <v>234</v>
      </c>
      <c r="B8" t="s">
        <v>211</v>
      </c>
      <c r="C8" t="s">
        <v>1</v>
      </c>
      <c r="D8" t="str">
        <f t="shared" ref="D8:D9" si="8">SUBSTITUTE(PROPER(A8),"_","")</f>
        <v>Description</v>
      </c>
      <c r="E8" t="str">
        <f t="shared" si="0"/>
        <v>nvarchar</v>
      </c>
      <c r="F8" s="7"/>
      <c r="G8" t="str">
        <f t="shared" si="1"/>
        <v>250</v>
      </c>
      <c r="H8" t="str">
        <f>+VLOOKUP(E8,'Data Type Mapping'!A:B,2,)</f>
        <v>string</v>
      </c>
      <c r="I8" t="str">
        <f t="shared" si="2"/>
        <v xml:space="preserve">		public const int MaxDescriptionLength = 250;
</v>
      </c>
      <c r="J8" t="str">
        <f t="shared" si="3"/>
        <v xml:space="preserve">		[StringLength(MaxDescriptionLength)]
		public virtual string Description { get; set; }
</v>
      </c>
      <c r="K8" s="7"/>
      <c r="L8" t="str">
        <f t="shared" ref="L8:L9" si="9">IF(K8="","",REPT(CHAR(9),1)&amp;"[Index(nameof("&amp;IF(D8="","",""&amp;D8)&amp;")"&amp;", Name="&amp;"""IX_"&amp;$B$5&amp;"_"&amp;D8&amp;""")]")</f>
        <v/>
      </c>
      <c r="M8" t="str">
        <f t="shared" si="4"/>
        <v xml:space="preserve">		public virtual string Description { get; set; }
</v>
      </c>
      <c r="N8" t="str">
        <f t="shared" si="5"/>
        <v xml:space="preserve">		[StringLength(MstWptShopAggConsts.MaxDescriptionLength)]
		public virtual string Description { get; set; }
</v>
      </c>
      <c r="O8" t="str">
        <f t="shared" si="6"/>
        <v xml:space="preserve">		public virtual string Description { get; set; }
</v>
      </c>
      <c r="P8" t="str">
        <f t="shared" si="7"/>
        <v xml:space="preserve">							Description = o.Description,</v>
      </c>
      <c r="T8" s="28" t="str">
        <f t="shared" ref="T8:T9" si="10">"("""&amp;D8&amp;"""),"</f>
        <v>("Description"),</v>
      </c>
      <c r="V8" t="str">
        <f>"_ =&gt; _."&amp;D8&amp;","</f>
        <v>_ =&gt; _.Description,</v>
      </c>
    </row>
    <row r="9" spans="1:22" customFormat="1" ht="18.75" customHeight="1" x14ac:dyDescent="0.25">
      <c r="A9" t="s">
        <v>235</v>
      </c>
      <c r="B9" t="s">
        <v>3</v>
      </c>
      <c r="C9" t="s">
        <v>89</v>
      </c>
      <c r="D9" t="str">
        <f t="shared" si="8"/>
        <v>IsActive</v>
      </c>
      <c r="E9" t="str">
        <f t="shared" si="0"/>
        <v>varchar</v>
      </c>
      <c r="F9" s="7"/>
      <c r="G9" t="str">
        <f t="shared" si="1"/>
        <v>1</v>
      </c>
      <c r="H9" t="str">
        <f>+VLOOKUP(E9,'Data Type Mapping'!A:B,2,)</f>
        <v>string</v>
      </c>
      <c r="I9" t="str">
        <f t="shared" si="2"/>
        <v xml:space="preserve">		public const int MaxIsActiveLength = 1;
</v>
      </c>
      <c r="J9" t="str">
        <f t="shared" si="3"/>
        <v xml:space="preserve">		[Required]
		[StringLength(MaxIsActiveLength)]
		public virtual string IsActive { get; set; }
</v>
      </c>
      <c r="K9" s="7"/>
      <c r="L9" t="str">
        <f t="shared" si="9"/>
        <v/>
      </c>
      <c r="M9" t="str">
        <f t="shared" si="4"/>
        <v xml:space="preserve">		public virtual string IsActive { get; set; }
</v>
      </c>
      <c r="N9" t="str">
        <f t="shared" si="5"/>
        <v xml:space="preserve">		[Required]
		[StringLength(MstWptShopAggConsts.MaxIsActiveLength)]
		public virtual string IsActive { get; set; }
</v>
      </c>
      <c r="O9" t="str">
        <f t="shared" si="6"/>
        <v xml:space="preserve">		public virtual string IsActive { get; set; }
</v>
      </c>
      <c r="P9" t="str">
        <f t="shared" si="7"/>
        <v xml:space="preserve">							IsActive = o.IsActive,</v>
      </c>
      <c r="T9" s="28" t="str">
        <f t="shared" si="10"/>
        <v>("IsActive"),</v>
      </c>
      <c r="V9" t="str">
        <f>"_ =&gt; _."&amp;D9&amp;","</f>
        <v>_ =&gt; _.IsActive,</v>
      </c>
    </row>
    <row r="11" spans="1:22" ht="45.75" customHeight="1" x14ac:dyDescent="0.25">
      <c r="H11" s="12"/>
      <c r="I11" s="34" t="str">
        <f ca="1">TEXTJOIN2("
", TRUE,INDIRECT( $H$1):INDIRECT( $H$3))</f>
        <v xml:space="preserve">		public const int MaxShopNameLength = 40;
		public const int MaxDescriptionLength = 250;
		public const int MaxIsActiveLength = 1;
</v>
      </c>
      <c r="J11" s="33" t="str">
        <f ca="1">TEXTJOIN2("
", TRUE,INDIRECT( $F$1):INDIRECT( $F$3))</f>
        <v xml:space="preserve">		[Required]
		[StringLength(MaxShopNameLength)]
		public virtual string ShopName { get; set; }
		[StringLength(MaxDescriptionLength)]
		public virtual string Description { get; set; }
		[Required]
		[StringLength(MaxIsActiveLength)]
		public virtual string IsActive { get; set; }
</v>
      </c>
      <c r="K11" s="35" t="str">
        <f ca="1">TEXTJOIN2("
", TRUE,INDIRECT( $J$1):INDIRECT( $J$3))</f>
        <v xml:space="preserve">	[Index(nameof(ShopName), Name="IX_MstWptShopAgg_ShopName")]
</v>
      </c>
      <c r="L11" s="13" t="s">
        <v>61</v>
      </c>
      <c r="M11" s="36" t="str">
        <f ca="1">TEXTJOIN2("
",TRUE,INDIRECT( $L$1):INDIRECT($L$3))</f>
        <v xml:space="preserve">		public virtual string ShopName { get; set; }
		public virtual string Description { get; set; }
		public virtual string IsActive { get; set; }
</v>
      </c>
      <c r="N11" s="33" t="str">
        <f ca="1">TEXTJOIN2("
",TRUE,INDIRECT( $M$1):INDIRECT($M$3))</f>
        <v xml:space="preserve">		[Required]
		[StringLength(MstWptShopAggConsts.MaxShopNameLength)]
		public virtual string ShopName { get; set; }
		[StringLength(MstWptShopAggConsts.MaxDescriptionLength)]
		public virtual string Description { get; set; }
		[Required]
		[StringLength(MstWptShopAggConsts.MaxIsActiveLength)]
		public virtual string IsActive { get; set; }
</v>
      </c>
      <c r="O11" s="33" t="str">
        <f ca="1">TEXTJOIN2("
",TRUE,INDIRECT( $N$1):INDIRECT($N$3))</f>
        <v xml:space="preserve">		public virtual string ShopName { get; set; }
		public virtual string Description { get; set; }
		public virtual string IsActive { get; set; }
</v>
      </c>
      <c r="P11" s="9" t="str">
        <f ca="1">TEXTJOIN2("
",TRUE,INDIRECT( $O$1):INDIRECT($O$3))</f>
        <v xml:space="preserve">							ShopName = o.ShopName,
							Description = o.Description,
							IsActive = o.IsActive,</v>
      </c>
      <c r="T11" s="9" t="str">
        <f ca="1">TEXTJOIN2("
",TRUE,INDIRECT( $T$2):INDIRECT($T$3))</f>
        <v>("ShopName"),
("Description"),
("IsActive"),</v>
      </c>
      <c r="V11" s="9" t="str">
        <f ca="1">TEXTJOIN2("
",TRUE,INDIRECT( $V$2):INDIRECT($V$3))</f>
        <v>_ =&gt; _.ShopName,
_ =&gt; _.Description,
_ =&gt; _.IsActive,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8"/>
  <sheetViews>
    <sheetView topLeftCell="A2" workbookViewId="0">
      <selection activeCell="H12" sqref="H12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4" width="15.140625" customWidth="1"/>
    <col min="5" max="5" width="24.42578125" customWidth="1"/>
    <col min="6" max="6" width="26.140625" customWidth="1"/>
    <col min="7" max="7" width="22.28515625" customWidth="1"/>
    <col min="8" max="8" width="25.85546875" customWidth="1"/>
    <col min="9" max="9" width="23.7109375" customWidth="1"/>
    <col min="10" max="10" width="23.42578125" customWidth="1"/>
    <col min="11" max="11" width="20.42578125" customWidth="1"/>
    <col min="12" max="12" width="20.5703125" customWidth="1"/>
    <col min="13" max="13" width="25.85546875" customWidth="1"/>
    <col min="14" max="15" width="25.42578125" customWidth="1"/>
  </cols>
  <sheetData>
    <row r="1" spans="1:15" ht="45" x14ac:dyDescent="0.25">
      <c r="A1" s="41" t="s">
        <v>233</v>
      </c>
      <c r="B1" s="42" t="s">
        <v>258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41" t="s">
        <v>237</v>
      </c>
      <c r="B2" s="43" t="s">
        <v>105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</row>
    <row r="3" spans="1:15" x14ac:dyDescent="0.25">
      <c r="A3" s="41" t="s">
        <v>237</v>
      </c>
      <c r="B3" s="43" t="str">
        <f>LOWER(B2)</f>
        <v>workingpattern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</row>
    <row r="4" spans="1:15" x14ac:dyDescent="0.25">
      <c r="A4" s="41" t="s">
        <v>253</v>
      </c>
      <c r="B4" s="44" t="s">
        <v>222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</row>
    <row r="5" spans="1:15" x14ac:dyDescent="0.25">
      <c r="A5" s="41" t="s">
        <v>238</v>
      </c>
      <c r="B5" s="43" t="s">
        <v>259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</row>
    <row r="6" spans="1:15" x14ac:dyDescent="0.25">
      <c r="A6" s="41" t="s">
        <v>236</v>
      </c>
      <c r="B6" s="43" t="str">
        <f>LOWER(B5)</f>
        <v>shopagg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15" ht="18.75" customHeight="1" x14ac:dyDescent="0.25">
      <c r="A7" s="53" t="s">
        <v>239</v>
      </c>
      <c r="B7" s="54"/>
      <c r="C7" s="53"/>
      <c r="D7" s="53"/>
      <c r="E7" s="45" t="s">
        <v>266</v>
      </c>
      <c r="F7" s="46" t="s">
        <v>265</v>
      </c>
      <c r="G7" s="45" t="s">
        <v>244</v>
      </c>
      <c r="H7" s="47" t="s">
        <v>246</v>
      </c>
      <c r="I7" s="46" t="s">
        <v>247</v>
      </c>
      <c r="J7" s="45" t="s">
        <v>248</v>
      </c>
      <c r="K7" s="45" t="s">
        <v>249</v>
      </c>
      <c r="L7" s="45" t="s">
        <v>250</v>
      </c>
      <c r="M7" s="46" t="s">
        <v>252</v>
      </c>
      <c r="N7" s="45" t="s">
        <v>255</v>
      </c>
      <c r="O7" s="45" t="s">
        <v>269</v>
      </c>
    </row>
    <row r="8" spans="1:15" ht="18.75" customHeight="1" x14ac:dyDescent="0.25">
      <c r="A8" s="55" t="s">
        <v>240</v>
      </c>
      <c r="B8" s="56"/>
      <c r="C8" s="57"/>
      <c r="D8" s="57"/>
      <c r="E8" s="48" t="str">
        <f ca="1">SUBSTITUTE(SUBSTITUTE(SUBSTITUTE(SUBSTITUTE(E7,"MstWptCalendar",$B$4),"Calendar",$B$5),"calendar",$B$6),"&lt;PROPERTIES&gt;",E11)</f>
        <v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MstWptShopAggDto, MstWptShopAggServiceProxy } from '@shared/service-proxies/service-proxies';
import { finalize } from 'rxjs/internal/operators/finalize';
import { CreateOrEditShopAggModalComponent } from './create-or-edit-shopagg-modal.component';
import { DatePipe } from '@angular/common';
import { FileDownloadService } from '@shared/utils/file-download.service';
import ceil from 'lodash-es/ceil';
@Component({
  templateUrl: './shopagg.component.html',
  styleUrls: ['./shopagg.component.less',],
})
export class ShopAggComponent extends AppComponentBase implements OnInit {
  @ViewChild('createOrEditModalShopAgg', { static: true }) createOrEditModalShopAgg: CreateOrEditShopAggModalComponent | undefined;
  defaultColDefs: CustomColDef[] = [];
  paginationParams: PaginationParamsModel = { pageNum: 1, pageSize: 20, totalCount: 0, skipCount: 0, sorting: '', totalPage: 1 };
  selectedRow: MstWptShopAggDto = new MstWptShopAggDto();
  saveSelectedRow: MstWptShopAggDto = new MstWptShopAggDto();
  datas: MstWptShopAggDto = new MstWptShopAggDto();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_mstwptShopAggService: MstWptShopAggServiceProxy,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{headerName: this.l('Shop Name'),headerTooltip: this.l('Shop Name'),field: 'shopName',flex: 1,},
{headerName: this.l('Description'),headerTooltip: this.l('Description'),field: 'description',flex: 1,},
{headerName: this.l('Is Active'),headerTooltip: this.l('Is Active'),field: 'isActive',flex: 1,},      
    ];
   }
  ngOnInit(): void {
    this.paginationParams = { pageNum: 1, pageSize: 20, totalCount: 0 };
  }
  searchDatas(): void {
    this._mstwptShopAggService.getAll('','','')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this._mstwptShopAggService.getAll('','','');
  }
    onChangeRowSelection(params: { api: { getSelectedRows: () =&gt; MstWptShopAggDto[]; }; }) {
      this.saveSelectedRow = params.api.getSelectedRows()[0] ?? new MstWptShopAggDto();
      this.selectedRow = Object.assign({}, this.saveSelectedRow);
  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MstWptShopAggDto): void {
      this.message.confirm(
          this.l('AreYouSureToDelete'),"Delete Row",
          isConfirmed =&gt; {
              if (isConfirmed) {
                  this._mstwptShopAggService.delete(system.id).subscribe(()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this._mstwptShopAggService.getShopAggToExcel('','','')
        .subscribe(result =&gt; {
            this._fileDownloadService.downloadTempFile(result);
        });
    }
}</v>
      </c>
      <c r="F8" s="48" t="str">
        <f ca="1">SUBSTITUTE(SUBSTITUTE(SUBSTITUTE(SUBSTITUTE(SUBSTITUTE(F7,"MstWptCalendar",$B$4),"Calendar",$B$5),"calendar",$B$6),"&lt;PROPERTIES&gt;",F11),"&lt;FULL_TITLE&gt;",B1)</f>
        <v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Matter Working Pattern ShopAgg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&lt;div class='input-search'&gt;&lt;input [(ngModel)]='shopName' name='shopName' class='form-control'  placeholder='Shop Name' /&gt;&lt;/div&gt;
&lt;div class='input-search'&gt;&lt;input [(ngModel)]='description' name='description' class='form-control'  placeholder='Description' /&gt;&lt;/div&gt;
&lt;div class='input-search'&gt;&lt;input [(ngModel)]='isActive' name='isActive' class='form-control'  placeholder='Is Active' /&gt;&lt;/div&gt;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(click)="createOrEditModalShopAgg.show()"&gt;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(click)="createOrEditModalShopAgg.show(selectedRow)"&gt;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&lt;create-or-edit-shopagg-modal
	#createOrEditModalShopAgg
    (modalSave)="callBackDataGrid(dataParams)"
    (modalClose)="onChangeRowSelection(dataParams)"
&gt;
&lt;/create-or-edit-shopagg-modal&gt;</v>
      </c>
      <c r="G8" s="48" t="str">
        <f>G7</f>
        <v>.input-search{
    width: 250px;
    border-radius: 10px;
    margin-left: 10px;
}
.btn-search{
    width: 50px;
    margin-left: 10px;
}</v>
      </c>
      <c r="H8" s="48" t="str">
        <f ca="1">SUBSTITUTE(SUBSTITUTE(SUBSTITUTE(SUBSTITUTE(H7,"MstWptCalendar",$B$4),"Calendar",$B$5),"calendar",$B$6),"&lt;PROPERTIES&gt;",H11)</f>
        <v>&lt;div bsModal #createOrEditModalShopAgg="bs-modal"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ShopAgg')}}&lt;/h3&gt;
                    &lt;h3 *ngIf="!rowdata.id"&gt;{{('Create New ShopAgg')}}&lt;/h3&gt;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title'&gt;Shop Name&lt;/label&gt;&lt;input type='text' class='col-md-10 form-control input-text' name='ShopName' [(ngModel)]='rowdata.shopName'&gt;&lt;/div&gt;
&lt;div class='col-md-12 form-group row'&gt;&lt;label class='col-md-2 form-control title'&gt;Description&lt;/label&gt;&lt;input type='text' class='col-md-10 form-control input-text' name='Description' [(ngModel)]='rowdata.description'&gt;&lt;/div&gt;
&lt;div class='col-md-12 form-group row'&gt;&lt;label class='col-md-2 form-control title'&gt;Is Active&lt;/label&gt;&lt;input type='text' class='col-md-10 form-control input-text' name='IsActive' [(ngModel)]='rowdata.isActive'&gt;&lt;/div&gt;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I8" s="48" t="str">
        <f>SUBSTITUTE(SUBSTITUTE(SUBSTITUTE(I7,"MstWptCalendar",$B$4),"Calendar",$B$5),"calendar",$B$6)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CreateOrEditMstWptShopAggDto, MstWptShopAggServiceProxy } from '@shared/service-proxies/service-proxies';
import { BsDatepickerDirective } from 'ngx-bootstrap/datepicker';
@Component({
  selector: 'create-or-edit-shopagg-modal',
  templateUrl: './create-or-edit-shopagg-modal.component.html',
  styleUrls: ['./create-or-edit-shopagg-modal.component.less']
})
export class CreateOrEditShopAggModalComponent extends AppComponentBase {
  @ViewChild('createOrEditModalShopAgg',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CreateOrEditMstWptShopAggDto = new CreateOrEditMstWptShopAggDto();
  active: boolean = false;
  saving: boolean = false;
  _isActive: boolean;
  constructor(
    injector: Injector,
    private _mstwptShopAggService: MstWptShopAggServiceProxy,
    ) {
    super(injector);
  }
  show(rowdata?: CreateOrEditMstWptShopAggDto): void {
    if (!rowdata) this.rowdata = new CreateOrEditMstWptShopAggDto();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this._mstwptShopAggService.createOrEdit(this.rowdata)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J8" s="48" t="str">
        <f>J7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K8" s="48" t="str">
        <f>SUBSTITUTE(SUBSTITUTE(SUBSTITUTE(K7,"MstWptCalendar",$B$4),"Calendar",$B$5),"calendar",$B$6)</f>
        <v>import {NgModule} from '@angular/core';
import {AppSharedModule} from '@app/shared/app-shared.module';
import { ShopAggRoutingModule } from './shopagg-routing.module';
import { ShopAggComponent } from './shopagg.component';
import { CreateOrEditShopAggModalComponent } from './create-or-edit-shopagg-modal.component';
@NgModule({
    declarations: [
       ShopAggComponent, 
        CreateOrEditShopAggModalComponent
    ],
    imports: [
        AppSharedModule, ShopAggRoutingModule]
})
export class ShopAggModule {}</v>
      </c>
      <c r="L8" s="48" t="str">
        <f>SUBSTITUTE(SUBSTITUTE(SUBSTITUTE(L7,"MstWptCalendar",$B$4),"Calendar",$B$5),"calendar",$B$6)</f>
        <v>import {NgModule} from '@angular/core';
import {RouterModule, Routes} from '@angular/router';
import { ShopAggComponent } from './shopagg.component';
const routes: Routes = [{
    path: '',
    component: ShopAggComponent,
    pathMatch: 'full'
}];
@NgModule({
    imports: [RouterModule.forChild(routes)],
    exports: [RouterModule],
})
export class ShopAggRoutingModule {}</v>
      </c>
      <c r="M8" s="48" t="str">
        <f>SUBSTITUTE(SUBSTITUTE(SUBSTITUTE(SUBSTITUTE(SUBSTITUTE(M7,"MstWptCalendar",$B$4),"Calendar",$B$5),"calendar",$B$6),"WorkingPattern",$B$2),"workingpattern",$B$3)</f>
        <v xml:space="preserve"> new AppMenuItem("ShopAgg", "Pages.Master.WorkingPattern.ShopAgg", "flaticon-book",   "/app/main/master/workingpattern/shopagg"),</v>
      </c>
      <c r="N8" s="48" t="str">
        <f>SUBSTITUTE(SUBSTITUTE(SUBSTITUTE(SUBSTITUTE(SUBSTITUTE(N7,"MstWptCalendar",$B$4),"Calendar",$B$5),"calendar",$B$6),"WorkingPattern",$B$2),"workingpattern",$B$3)</f>
        <v>{
                        path: 'master/workingpattern/shopagg',
                        loadChildren: () =&gt; import('./master/workingpattern/shopagg/shopagg.module').then(m =&gt; m.ShopAggModule),
                        data: { permission: 'Pages.Master.WorkingPattern.ShopAgg' }
                    },</v>
      </c>
      <c r="O8" s="50" t="str">
        <f>SUBSTITUTE(O7,"MstWptCalendar",$B$4)</f>
        <v>ApiServiceProxies.MstWptShopAggServiceProxy,</v>
      </c>
    </row>
    <row r="9" spans="1:15" x14ac:dyDescent="0.25">
      <c r="A9" s="58">
        <v>1</v>
      </c>
      <c r="B9" s="37"/>
      <c r="C9" s="31"/>
      <c r="D9" s="31"/>
      <c r="E9" s="31" t="s">
        <v>241</v>
      </c>
      <c r="F9" s="31" t="s">
        <v>243</v>
      </c>
      <c r="G9" s="31"/>
      <c r="H9" s="31" t="s">
        <v>245</v>
      </c>
      <c r="I9" s="31"/>
      <c r="J9" s="38"/>
      <c r="K9" s="31"/>
      <c r="L9" s="31"/>
      <c r="M9" s="31"/>
      <c r="N9" s="31"/>
      <c r="O9" s="31"/>
    </row>
    <row r="10" spans="1:15" x14ac:dyDescent="0.25">
      <c r="A10" s="58">
        <v>2</v>
      </c>
      <c r="B10" s="37"/>
      <c r="C10" s="31"/>
      <c r="D10" s="31"/>
      <c r="E10" s="31" t="str">
        <f>"E"&amp;COUNTA($A:$A)</f>
        <v>E15</v>
      </c>
      <c r="F10" s="31" t="str">
        <f>"F"&amp;COUNTA($A:$A)</f>
        <v>F15</v>
      </c>
      <c r="G10" s="31"/>
      <c r="H10" s="31" t="str">
        <f>"H"&amp;COUNTA($A:$A)</f>
        <v>H15</v>
      </c>
      <c r="I10" s="31"/>
      <c r="J10" s="31"/>
      <c r="K10" s="31"/>
      <c r="L10" s="31"/>
      <c r="M10" s="31"/>
      <c r="N10" s="31"/>
      <c r="O10" s="31"/>
    </row>
    <row r="11" spans="1:15" ht="17.25" customHeight="1" x14ac:dyDescent="0.25">
      <c r="A11" s="58">
        <v>3</v>
      </c>
      <c r="B11" s="31"/>
      <c r="C11" s="31"/>
      <c r="D11" s="31"/>
      <c r="E11" s="38" t="str">
        <f ca="1">TEXTJOIN2("
",TRUE,INDIRECT(E9):INDIRECT(E10))</f>
        <v>{headerName: this.l('Shop Name'),headerTooltip: this.l('Shop Name'),field: 'shopName',flex: 1,},
{headerName: this.l('Description'),headerTooltip: this.l('Description'),field: 'description',flex: 1,},
{headerName: this.l('Is Active'),headerTooltip: this.l('Is Active'),field: 'isActive',flex: 1,},</v>
      </c>
      <c r="F11" s="38" t="str">
        <f ca="1">TEXTJOIN2("
",TRUE,INDIRECT(F9):INDIRECT(F10))</f>
        <v>&lt;div class='input-search'&gt;&lt;input [(ngModel)]='shopName' name='shopName' class='form-control'  placeholder='Shop Name' /&gt;&lt;/div&gt;
&lt;div class='input-search'&gt;&lt;input [(ngModel)]='description' name='description' class='form-control'  placeholder='Description' /&gt;&lt;/div&gt;
&lt;div class='input-search'&gt;&lt;input [(ngModel)]='isActive' name='isActive' class='form-control'  placeholder='Is Active' /&gt;&lt;/div&gt;</v>
      </c>
      <c r="G11" s="31"/>
      <c r="H11" s="38" t="str">
        <f ca="1">TEXTJOIN2("
",TRUE,INDIRECT(H9):INDIRECT(H10))</f>
        <v>&lt;div class='col-md-12 form-group row'&gt;&lt;label class='col-md-2 form-control title'&gt;Shop Name&lt;/label&gt;&lt;input type='text' class='col-md-10 form-control input-text' name='ShopName' [(ngModel)]='rowdata.shopName'&gt;&lt;/div&gt;
&lt;div class='col-md-12 form-group row'&gt;&lt;label class='col-md-2 form-control title'&gt;Description&lt;/label&gt;&lt;input type='text' class='col-md-10 form-control input-text' name='Description' [(ngModel)]='rowdata.description'&gt;&lt;/div&gt;
&lt;div class='col-md-12 form-group row'&gt;&lt;label class='col-md-2 form-control title'&gt;Is Active&lt;/label&gt;&lt;input type='text' class='col-md-10 form-control input-text' name='IsActive' [(ngModel)]='rowdata.isActive'&gt;&lt;/div&gt;</v>
      </c>
      <c r="I11" s="31"/>
      <c r="J11" s="31"/>
      <c r="K11" s="31"/>
      <c r="L11" s="31"/>
      <c r="M11" s="31"/>
      <c r="N11" s="31"/>
      <c r="O11" s="31"/>
    </row>
    <row r="12" spans="1:15" x14ac:dyDescent="0.25">
      <c r="A12" s="41" t="s">
        <v>242</v>
      </c>
      <c r="B12" s="31"/>
      <c r="C12" s="31"/>
      <c r="D12" s="31"/>
      <c r="E12" s="39" t="str">
        <f>B6&amp;".component.ts"</f>
        <v>shopagg.component.ts</v>
      </c>
      <c r="F12" s="40" t="str">
        <f>B6&amp;".component.html"</f>
        <v>shopagg.component.html</v>
      </c>
      <c r="G12" s="39" t="str">
        <f>B6&amp;".component.less"</f>
        <v>shopagg.component.less</v>
      </c>
      <c r="H12" s="40" t="str">
        <f>"create-or-edit-"&amp;B6&amp;"-modal.component.html"</f>
        <v>create-or-edit-shopagg-modal.component.html</v>
      </c>
      <c r="I12" s="40" t="str">
        <f>"create-or-edit-"&amp;B6&amp;"-modal.component.ts"</f>
        <v>create-or-edit-shopagg-modal.component.ts</v>
      </c>
      <c r="J12" s="40" t="str">
        <f>"create-or-edit-"&amp;B6&amp;"-modal.component.less"</f>
        <v>create-or-edit-shopagg-modal.component.less</v>
      </c>
      <c r="K12" s="40" t="str">
        <f>B6&amp;".module.ts"</f>
        <v>shopagg.module.ts</v>
      </c>
      <c r="L12" s="40" t="str">
        <f>B6&amp;"-routing.module.ts"</f>
        <v>shopagg-routing.module.ts</v>
      </c>
      <c r="M12" s="40" t="s">
        <v>251</v>
      </c>
      <c r="N12" s="40" t="s">
        <v>254</v>
      </c>
      <c r="O12" s="41" t="s">
        <v>268</v>
      </c>
    </row>
    <row r="13" spans="1:15" ht="18" customHeight="1" x14ac:dyDescent="0.25">
      <c r="A13" s="44" t="str">
        <f>A.Backend!A7</f>
        <v>SHOP_NAME</v>
      </c>
      <c r="B13" s="31" t="str">
        <f>SUBSTITUTE(PROPER(A13),"_","")</f>
        <v>ShopName</v>
      </c>
      <c r="C13" s="31" t="str">
        <f>SUBSTITUTE(PROPER(A13),"_"," ")</f>
        <v>Shop Name</v>
      </c>
      <c r="D13" s="31" t="str">
        <f>LOWER(LEFT(B13,1))&amp;RIGHT(B13,LEN(B13) - 1)</f>
        <v>shopName</v>
      </c>
      <c r="E13" s="38" t="str">
        <f>"{headerName: this.l('"&amp;C13&amp;"'),headerTooltip: this.l('"&amp;C13&amp;"'),field: '"&amp;D13&amp;"',flex: 1,},"</f>
        <v>{headerName: this.l('Shop Name'),headerTooltip: this.l('Shop Name'),field: 'shopName',flex: 1,},</v>
      </c>
      <c r="F13" s="38" t="str">
        <f>"&lt;div class='input-search'&gt;&lt;input [(ngModel)]='"&amp;D13&amp;"' name='"&amp;D13&amp;"' class='form-control'  placeholder='"&amp;C13&amp;"' /&gt;&lt;/div&gt;"</f>
        <v>&lt;div class='input-search'&gt;&lt;input [(ngModel)]='shopName' name='shopName' class='form-control'  placeholder='Shop Name' /&gt;&lt;/div&gt;</v>
      </c>
      <c r="G13" s="31"/>
      <c r="H13" s="38" t="str">
        <f>"&lt;div class='col-md-12 form-group row'&gt;&lt;label class='col-md-2 form-control title'&gt;"&amp;C13&amp;"&lt;/label&gt;&lt;input type='text' class='col-md-10 form-control input-text' name='"&amp;B13&amp;"' [(ngModel)]='rowdata."&amp;D13&amp;"'&gt;&lt;/div&gt;"</f>
        <v>&lt;div class='col-md-12 form-group row'&gt;&lt;label class='col-md-2 form-control title'&gt;Shop Name&lt;/label&gt;&lt;input type='text' class='col-md-10 form-control input-text' name='ShopName' [(ngModel)]='rowdata.shopName'&gt;&lt;/div&gt;</v>
      </c>
      <c r="I13" s="31"/>
      <c r="J13" s="31"/>
      <c r="K13" s="31"/>
      <c r="L13" s="31"/>
      <c r="M13" s="31"/>
      <c r="N13" s="31"/>
      <c r="O13" s="31"/>
    </row>
    <row r="14" spans="1:15" ht="15" customHeight="1" x14ac:dyDescent="0.25">
      <c r="A14" s="44" t="str">
        <f>A.Backend!A8</f>
        <v>DESCRIPTION</v>
      </c>
      <c r="B14" s="31" t="str">
        <f t="shared" ref="B14:B15" si="0">SUBSTITUTE(PROPER(A14),"_","")</f>
        <v>Description</v>
      </c>
      <c r="C14" s="31" t="str">
        <f t="shared" ref="C14:C15" si="1">SUBSTITUTE(PROPER(A14),"_"," ")</f>
        <v>Description</v>
      </c>
      <c r="D14" s="31" t="str">
        <f t="shared" ref="D14:D15" si="2">LOWER(LEFT(B14,1))&amp;RIGHT(B14,LEN(B14) - 1)</f>
        <v>description</v>
      </c>
      <c r="E14" s="38" t="str">
        <f t="shared" ref="E14:E15" si="3">"{headerName: this.l('"&amp;C14&amp;"'),headerTooltip: this.l('"&amp;C14&amp;"'),field: '"&amp;D14&amp;"',flex: 1,},"</f>
        <v>{headerName: this.l('Description'),headerTooltip: this.l('Description'),field: 'description',flex: 1,},</v>
      </c>
      <c r="F14" s="38" t="str">
        <f t="shared" ref="F14:F15" si="4">"&lt;div class='input-search'&gt;&lt;input [(ngModel)]='"&amp;D14&amp;"' name='"&amp;D14&amp;"' class='form-control'  placeholder='"&amp;C14&amp;"' /&gt;&lt;/div&gt;"</f>
        <v>&lt;div class='input-search'&gt;&lt;input [(ngModel)]='description' name='description' class='form-control'  placeholder='Description' /&gt;&lt;/div&gt;</v>
      </c>
      <c r="G14" s="31"/>
      <c r="H14" s="38" t="str">
        <f t="shared" ref="H14:H15" si="5">"&lt;div class='col-md-12 form-group row'&gt;&lt;label class='col-md-2 form-control title'&gt;"&amp;C14&amp;"&lt;/label&gt;&lt;input type='text' class='col-md-10 form-control input-text' name='"&amp;B14&amp;"' [(ngModel)]='rowdata."&amp;D14&amp;"'&gt;&lt;/div&gt;"</f>
        <v>&lt;div class='col-md-12 form-group row'&gt;&lt;label class='col-md-2 form-control title'&gt;Description&lt;/label&gt;&lt;input type='text' class='col-md-10 form-control input-text' name='Description' [(ngModel)]='rowdata.description'&gt;&lt;/div&gt;</v>
      </c>
      <c r="I14" s="31"/>
      <c r="J14" s="31"/>
      <c r="K14" s="31"/>
      <c r="L14" s="31"/>
      <c r="M14" s="31"/>
      <c r="N14" s="31"/>
      <c r="O14" s="31"/>
    </row>
    <row r="15" spans="1:15" ht="18" customHeight="1" x14ac:dyDescent="0.25">
      <c r="A15" s="44" t="str">
        <f>A.Backend!A9</f>
        <v>IS_ACTIVE</v>
      </c>
      <c r="B15" s="31" t="str">
        <f t="shared" si="0"/>
        <v>IsActive</v>
      </c>
      <c r="C15" s="31" t="str">
        <f t="shared" si="1"/>
        <v>Is Active</v>
      </c>
      <c r="D15" s="31" t="str">
        <f t="shared" si="2"/>
        <v>isActive</v>
      </c>
      <c r="E15" s="38" t="str">
        <f t="shared" si="3"/>
        <v>{headerName: this.l('Is Active'),headerTooltip: this.l('Is Active'),field: 'isActive',flex: 1,},</v>
      </c>
      <c r="F15" s="38" t="str">
        <f t="shared" si="4"/>
        <v>&lt;div class='input-search'&gt;&lt;input [(ngModel)]='isActive' name='isActive' class='form-control'  placeholder='Is Active' /&gt;&lt;/div&gt;</v>
      </c>
      <c r="G15" s="31"/>
      <c r="H15" s="38" t="str">
        <f t="shared" si="5"/>
        <v>&lt;div class='col-md-12 form-group row'&gt;&lt;label class='col-md-2 form-control title'&gt;Is Active&lt;/label&gt;&lt;input type='text' class='col-md-10 form-control input-text' name='IsActive' [(ngModel)]='rowdata.isActive'&gt;&lt;/div&gt;</v>
      </c>
      <c r="I15" s="31"/>
      <c r="J15" s="31"/>
      <c r="K15" s="31"/>
      <c r="L15" s="31"/>
      <c r="M15" s="31"/>
      <c r="N15" s="31"/>
      <c r="O15" s="31"/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49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205</v>
      </c>
      <c r="B2" s="25" t="s">
        <v>202</v>
      </c>
    </row>
    <row r="3" spans="1:2" x14ac:dyDescent="0.25">
      <c r="B3" s="22" t="s">
        <v>127</v>
      </c>
    </row>
    <row r="4" spans="1:2" x14ac:dyDescent="0.25">
      <c r="B4" s="22" t="s">
        <v>128</v>
      </c>
    </row>
    <row r="5" spans="1:2" x14ac:dyDescent="0.25">
      <c r="B5" s="22" t="s">
        <v>129</v>
      </c>
    </row>
    <row r="6" spans="1:2" x14ac:dyDescent="0.25">
      <c r="B6" s="22" t="s">
        <v>130</v>
      </c>
    </row>
    <row r="7" spans="1:2" x14ac:dyDescent="0.25">
      <c r="B7" s="22" t="s">
        <v>131</v>
      </c>
    </row>
    <row r="8" spans="1:2" x14ac:dyDescent="0.25">
      <c r="B8" s="22" t="s">
        <v>132</v>
      </c>
    </row>
    <row r="9" spans="1:2" x14ac:dyDescent="0.25">
      <c r="B9" s="22" t="s">
        <v>133</v>
      </c>
    </row>
    <row r="10" spans="1:2" x14ac:dyDescent="0.25">
      <c r="B10" s="22" t="s">
        <v>134</v>
      </c>
    </row>
    <row r="11" spans="1:2" x14ac:dyDescent="0.25">
      <c r="B11" s="22" t="s">
        <v>135</v>
      </c>
    </row>
    <row r="12" spans="1:2" x14ac:dyDescent="0.25">
      <c r="B12" s="22" t="s">
        <v>136</v>
      </c>
    </row>
    <row r="13" spans="1:2" x14ac:dyDescent="0.25">
      <c r="B13" s="22" t="s">
        <v>137</v>
      </c>
    </row>
    <row r="14" spans="1:2" x14ac:dyDescent="0.25">
      <c r="B14" s="22" t="s">
        <v>138</v>
      </c>
    </row>
    <row r="15" spans="1:2" x14ac:dyDescent="0.25">
      <c r="B15" s="22" t="s">
        <v>139</v>
      </c>
    </row>
    <row r="16" spans="1:2" x14ac:dyDescent="0.25">
      <c r="B16" s="22" t="s">
        <v>140</v>
      </c>
    </row>
    <row r="17" spans="1:3" x14ac:dyDescent="0.25">
      <c r="B17" s="22" t="s">
        <v>141</v>
      </c>
    </row>
    <row r="18" spans="1:3" x14ac:dyDescent="0.25">
      <c r="B18" s="22" t="s">
        <v>142</v>
      </c>
      <c r="C18" t="s">
        <v>204</v>
      </c>
    </row>
    <row r="19" spans="1:3" x14ac:dyDescent="0.25">
      <c r="B19" s="22" t="s">
        <v>143</v>
      </c>
    </row>
    <row r="20" spans="1:3" x14ac:dyDescent="0.25">
      <c r="B20" s="22" t="s">
        <v>144</v>
      </c>
    </row>
    <row r="21" spans="1:3" x14ac:dyDescent="0.25">
      <c r="B21" s="22" t="s">
        <v>145</v>
      </c>
    </row>
    <row r="22" spans="1:3" x14ac:dyDescent="0.25">
      <c r="B22" s="22" t="s">
        <v>146</v>
      </c>
      <c r="C22" t="s">
        <v>209</v>
      </c>
    </row>
    <row r="23" spans="1:3" x14ac:dyDescent="0.25">
      <c r="B23" s="22" t="s">
        <v>147</v>
      </c>
    </row>
    <row r="24" spans="1:3" x14ac:dyDescent="0.25">
      <c r="B24" s="22" t="s">
        <v>148</v>
      </c>
    </row>
    <row r="25" spans="1:3" x14ac:dyDescent="0.25">
      <c r="B25" s="22" t="s">
        <v>149</v>
      </c>
    </row>
    <row r="26" spans="1:3" x14ac:dyDescent="0.25">
      <c r="A26" s="24" t="s">
        <v>206</v>
      </c>
      <c r="B26" s="25" t="s">
        <v>203</v>
      </c>
    </row>
    <row r="27" spans="1:3" x14ac:dyDescent="0.25">
      <c r="B27" s="22" t="s">
        <v>150</v>
      </c>
    </row>
    <row r="28" spans="1:3" x14ac:dyDescent="0.25">
      <c r="B28" s="23" t="s">
        <v>151</v>
      </c>
    </row>
    <row r="29" spans="1:3" x14ac:dyDescent="0.25">
      <c r="B29" s="22" t="s">
        <v>152</v>
      </c>
    </row>
    <row r="30" spans="1:3" x14ac:dyDescent="0.25">
      <c r="B30" s="22" t="s">
        <v>153</v>
      </c>
    </row>
    <row r="31" spans="1:3" x14ac:dyDescent="0.25">
      <c r="B31" s="22" t="s">
        <v>154</v>
      </c>
    </row>
    <row r="32" spans="1:3" x14ac:dyDescent="0.25">
      <c r="B32" s="22" t="s">
        <v>155</v>
      </c>
    </row>
    <row r="33" spans="2:2" x14ac:dyDescent="0.25">
      <c r="B33" s="22" t="s">
        <v>156</v>
      </c>
    </row>
    <row r="34" spans="2:2" x14ac:dyDescent="0.25">
      <c r="B34" s="22" t="s">
        <v>157</v>
      </c>
    </row>
    <row r="35" spans="2:2" x14ac:dyDescent="0.25">
      <c r="B35" s="22" t="s">
        <v>158</v>
      </c>
    </row>
    <row r="36" spans="2:2" x14ac:dyDescent="0.25">
      <c r="B36" s="22" t="s">
        <v>159</v>
      </c>
    </row>
    <row r="37" spans="2:2" x14ac:dyDescent="0.25">
      <c r="B37" s="22" t="s">
        <v>160</v>
      </c>
    </row>
    <row r="38" spans="2:2" x14ac:dyDescent="0.25">
      <c r="B38" s="22" t="s">
        <v>161</v>
      </c>
    </row>
    <row r="39" spans="2:2" x14ac:dyDescent="0.25">
      <c r="B39" s="22" t="s">
        <v>162</v>
      </c>
    </row>
    <row r="40" spans="2:2" x14ac:dyDescent="0.25">
      <c r="B40" s="22" t="s">
        <v>163</v>
      </c>
    </row>
    <row r="41" spans="2:2" x14ac:dyDescent="0.25">
      <c r="B41" s="22" t="s">
        <v>164</v>
      </c>
    </row>
    <row r="42" spans="2:2" x14ac:dyDescent="0.25">
      <c r="B42" s="22" t="s">
        <v>165</v>
      </c>
    </row>
    <row r="43" spans="2:2" x14ac:dyDescent="0.25">
      <c r="B43" s="23" t="s">
        <v>166</v>
      </c>
    </row>
    <row r="44" spans="2:2" x14ac:dyDescent="0.25">
      <c r="B44" s="22" t="s">
        <v>152</v>
      </c>
    </row>
    <row r="45" spans="2:2" x14ac:dyDescent="0.25">
      <c r="B45" s="22" t="s">
        <v>167</v>
      </c>
    </row>
    <row r="46" spans="2:2" x14ac:dyDescent="0.25">
      <c r="B46" s="22" t="s">
        <v>168</v>
      </c>
    </row>
    <row r="47" spans="2:2" x14ac:dyDescent="0.25">
      <c r="B47" s="22" t="s">
        <v>169</v>
      </c>
    </row>
    <row r="48" spans="2:2" x14ac:dyDescent="0.25">
      <c r="B48" s="22" t="s">
        <v>170</v>
      </c>
    </row>
    <row r="49" spans="2:2" x14ac:dyDescent="0.25">
      <c r="B49" s="22" t="s">
        <v>153</v>
      </c>
    </row>
    <row r="50" spans="2:2" x14ac:dyDescent="0.25">
      <c r="B50" s="22" t="s">
        <v>154</v>
      </c>
    </row>
    <row r="51" spans="2:2" x14ac:dyDescent="0.25">
      <c r="B51" s="22" t="s">
        <v>155</v>
      </c>
    </row>
    <row r="52" spans="2:2" x14ac:dyDescent="0.25">
      <c r="B52" s="22" t="s">
        <v>156</v>
      </c>
    </row>
    <row r="53" spans="2:2" x14ac:dyDescent="0.25">
      <c r="B53" s="22" t="s">
        <v>157</v>
      </c>
    </row>
    <row r="54" spans="2:2" x14ac:dyDescent="0.25">
      <c r="B54" s="22" t="s">
        <v>158</v>
      </c>
    </row>
    <row r="55" spans="2:2" x14ac:dyDescent="0.25">
      <c r="B55" s="22" t="s">
        <v>159</v>
      </c>
    </row>
    <row r="56" spans="2:2" x14ac:dyDescent="0.25">
      <c r="B56" s="22" t="s">
        <v>171</v>
      </c>
    </row>
    <row r="57" spans="2:2" x14ac:dyDescent="0.25">
      <c r="B57" s="22" t="s">
        <v>172</v>
      </c>
    </row>
    <row r="58" spans="2:2" x14ac:dyDescent="0.25">
      <c r="B58" s="22" t="s">
        <v>160</v>
      </c>
    </row>
    <row r="59" spans="2:2" x14ac:dyDescent="0.25">
      <c r="B59" s="22" t="s">
        <v>161</v>
      </c>
    </row>
    <row r="60" spans="2:2" x14ac:dyDescent="0.25">
      <c r="B60" s="22" t="s">
        <v>173</v>
      </c>
    </row>
    <row r="61" spans="2:2" x14ac:dyDescent="0.25">
      <c r="B61" s="22" t="s">
        <v>174</v>
      </c>
    </row>
    <row r="62" spans="2:2" x14ac:dyDescent="0.25">
      <c r="B62" s="22" t="s">
        <v>175</v>
      </c>
    </row>
    <row r="63" spans="2:2" x14ac:dyDescent="0.25">
      <c r="B63" s="22" t="s">
        <v>170</v>
      </c>
    </row>
    <row r="64" spans="2:2" x14ac:dyDescent="0.25">
      <c r="B64" s="22" t="s">
        <v>162</v>
      </c>
    </row>
    <row r="65" spans="2:2" x14ac:dyDescent="0.25">
      <c r="B65" s="22" t="s">
        <v>163</v>
      </c>
    </row>
    <row r="66" spans="2:2" x14ac:dyDescent="0.25">
      <c r="B66" s="22" t="s">
        <v>176</v>
      </c>
    </row>
    <row r="67" spans="2:2" x14ac:dyDescent="0.25">
      <c r="B67" s="22" t="s">
        <v>170</v>
      </c>
    </row>
    <row r="68" spans="2:2" x14ac:dyDescent="0.25">
      <c r="B68" s="22" t="s">
        <v>164</v>
      </c>
    </row>
    <row r="69" spans="2:2" x14ac:dyDescent="0.25">
      <c r="B69" s="22" t="s">
        <v>177</v>
      </c>
    </row>
    <row r="70" spans="2:2" x14ac:dyDescent="0.25">
      <c r="B70" s="23" t="s">
        <v>178</v>
      </c>
    </row>
    <row r="71" spans="2:2" x14ac:dyDescent="0.25">
      <c r="B71" s="22" t="s">
        <v>152</v>
      </c>
    </row>
    <row r="72" spans="2:2" x14ac:dyDescent="0.25">
      <c r="B72" s="22" t="s">
        <v>153</v>
      </c>
    </row>
    <row r="73" spans="2:2" x14ac:dyDescent="0.25">
      <c r="B73" s="22" t="s">
        <v>154</v>
      </c>
    </row>
    <row r="74" spans="2:2" x14ac:dyDescent="0.25">
      <c r="B74" s="22" t="s">
        <v>155</v>
      </c>
    </row>
    <row r="75" spans="2:2" x14ac:dyDescent="0.25">
      <c r="B75" s="22" t="s">
        <v>159</v>
      </c>
    </row>
    <row r="76" spans="2:2" x14ac:dyDescent="0.25">
      <c r="B76" s="22" t="s">
        <v>161</v>
      </c>
    </row>
    <row r="77" spans="2:2" x14ac:dyDescent="0.25">
      <c r="B77" s="22" t="s">
        <v>162</v>
      </c>
    </row>
    <row r="78" spans="2:2" x14ac:dyDescent="0.25">
      <c r="B78" s="22" t="s">
        <v>163</v>
      </c>
    </row>
    <row r="79" spans="2:2" x14ac:dyDescent="0.25">
      <c r="B79" s="22" t="s">
        <v>164</v>
      </c>
    </row>
    <row r="80" spans="2:2" x14ac:dyDescent="0.25">
      <c r="B80" s="22" t="s">
        <v>177</v>
      </c>
    </row>
    <row r="81" spans="1:2" x14ac:dyDescent="0.25">
      <c r="B81" s="23" t="s">
        <v>179</v>
      </c>
    </row>
    <row r="82" spans="1:2" x14ac:dyDescent="0.25">
      <c r="B82" s="23" t="s">
        <v>180</v>
      </c>
    </row>
    <row r="83" spans="1:2" x14ac:dyDescent="0.25">
      <c r="B83" s="23" t="s">
        <v>181</v>
      </c>
    </row>
    <row r="84" spans="1:2" x14ac:dyDescent="0.25">
      <c r="B84" s="23" t="s">
        <v>182</v>
      </c>
    </row>
    <row r="85" spans="1:2" x14ac:dyDescent="0.25">
      <c r="B85" s="23" t="s">
        <v>183</v>
      </c>
    </row>
    <row r="86" spans="1:2" x14ac:dyDescent="0.25">
      <c r="B86" s="23" t="s">
        <v>184</v>
      </c>
    </row>
    <row r="87" spans="1:2" x14ac:dyDescent="0.25">
      <c r="B87" s="23" t="s">
        <v>185</v>
      </c>
    </row>
    <row r="88" spans="1:2" x14ac:dyDescent="0.25">
      <c r="A88" s="24" t="s">
        <v>207</v>
      </c>
      <c r="B88" s="26" t="s">
        <v>186</v>
      </c>
    </row>
    <row r="89" spans="1:2" x14ac:dyDescent="0.25">
      <c r="B89" s="22" t="s">
        <v>187</v>
      </c>
    </row>
    <row r="90" spans="1:2" x14ac:dyDescent="0.25">
      <c r="B90" s="22" t="s">
        <v>188</v>
      </c>
    </row>
    <row r="91" spans="1:2" x14ac:dyDescent="0.25">
      <c r="B91" s="22" t="s">
        <v>189</v>
      </c>
    </row>
    <row r="92" spans="1:2" x14ac:dyDescent="0.25">
      <c r="B92" s="22" t="s">
        <v>190</v>
      </c>
    </row>
    <row r="93" spans="1:2" x14ac:dyDescent="0.25">
      <c r="B93" s="22" t="s">
        <v>191</v>
      </c>
    </row>
    <row r="94" spans="1:2" x14ac:dyDescent="0.25">
      <c r="B94" s="22" t="s">
        <v>192</v>
      </c>
    </row>
    <row r="95" spans="1:2" x14ac:dyDescent="0.25">
      <c r="B95" s="22" t="s">
        <v>193</v>
      </c>
    </row>
    <row r="96" spans="1:2" x14ac:dyDescent="0.25">
      <c r="B96" s="22" t="s">
        <v>194</v>
      </c>
    </row>
    <row r="97" spans="2:2" x14ac:dyDescent="0.25">
      <c r="B97" s="22" t="s">
        <v>195</v>
      </c>
    </row>
    <row r="98" spans="2:2" x14ac:dyDescent="0.25">
      <c r="B98" s="22" t="s">
        <v>196</v>
      </c>
    </row>
    <row r="99" spans="2:2" x14ac:dyDescent="0.25">
      <c r="B99" s="22" t="s">
        <v>197</v>
      </c>
    </row>
    <row r="100" spans="2:2" x14ac:dyDescent="0.25">
      <c r="B100" s="22" t="s">
        <v>198</v>
      </c>
    </row>
    <row r="101" spans="2:2" x14ac:dyDescent="0.25">
      <c r="B101" s="22" t="s">
        <v>199</v>
      </c>
    </row>
    <row r="102" spans="2:2" x14ac:dyDescent="0.25">
      <c r="B102" s="22" t="s">
        <v>200</v>
      </c>
    </row>
    <row r="103" spans="2:2" x14ac:dyDescent="0.25">
      <c r="B103" s="22" t="s">
        <v>201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2022-05-13T08:59:07Z</dcterms:modified>
</cp:coreProperties>
</file>
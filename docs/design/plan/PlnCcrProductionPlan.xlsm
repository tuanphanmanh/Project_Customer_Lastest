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plan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I19" i="5" s="1"/>
  <c r="F19" i="5"/>
  <c r="E20" i="5"/>
  <c r="F20" i="5"/>
  <c r="E21" i="5"/>
  <c r="F21" i="5"/>
  <c r="E22" i="5"/>
  <c r="F22" i="5"/>
  <c r="E23" i="5"/>
  <c r="F23" i="5"/>
  <c r="E24" i="5"/>
  <c r="F24" i="5"/>
  <c r="E25" i="5"/>
  <c r="G25" i="5" s="1"/>
  <c r="F25" i="5"/>
  <c r="E26" i="5"/>
  <c r="F26" i="5"/>
  <c r="E27" i="5"/>
  <c r="V27" i="5" s="1"/>
  <c r="F27" i="5"/>
  <c r="E28" i="5"/>
  <c r="F28" i="5"/>
  <c r="E29" i="5"/>
  <c r="F29" i="5"/>
  <c r="C27" i="5"/>
  <c r="L26" i="5"/>
  <c r="C26" i="5"/>
  <c r="B26" i="5"/>
  <c r="D26" i="5" s="1"/>
  <c r="L25" i="5"/>
  <c r="C25" i="5"/>
  <c r="B25" i="5"/>
  <c r="D25" i="5" s="1"/>
  <c r="B29" i="5"/>
  <c r="D29" i="5" s="1"/>
  <c r="L28" i="5"/>
  <c r="B28" i="5"/>
  <c r="D28" i="5" s="1"/>
  <c r="G24" i="5"/>
  <c r="L24" i="5"/>
  <c r="C24" i="5"/>
  <c r="B24" i="5"/>
  <c r="D24" i="5" s="1"/>
  <c r="C19" i="5"/>
  <c r="B18" i="5"/>
  <c r="D18" i="5" s="1"/>
  <c r="I17" i="5"/>
  <c r="C17" i="5"/>
  <c r="G16" i="5"/>
  <c r="B16" i="5"/>
  <c r="D16" i="5" s="1"/>
  <c r="V26" i="5" l="1"/>
  <c r="L16" i="5"/>
  <c r="G26" i="5"/>
  <c r="S26" i="5" s="1"/>
  <c r="T26" i="5"/>
  <c r="T25" i="5"/>
  <c r="S25" i="5"/>
  <c r="U25" i="5"/>
  <c r="U26" i="5"/>
  <c r="I25" i="5"/>
  <c r="H25" i="5"/>
  <c r="V28" i="5"/>
  <c r="C16" i="5"/>
  <c r="V25" i="5"/>
  <c r="H26" i="5"/>
  <c r="K25" i="5"/>
  <c r="K19" i="5"/>
  <c r="G19" i="5"/>
  <c r="G28" i="5"/>
  <c r="S28" i="5" s="1"/>
  <c r="I26" i="5"/>
  <c r="B27" i="5"/>
  <c r="D27" i="5" s="1"/>
  <c r="I27" i="5" s="1"/>
  <c r="V24" i="5"/>
  <c r="C28" i="5"/>
  <c r="H28" i="5" s="1"/>
  <c r="K26" i="5"/>
  <c r="G27" i="5"/>
  <c r="L27" i="5"/>
  <c r="S24" i="5"/>
  <c r="U24" i="5"/>
  <c r="T24" i="5"/>
  <c r="T29" i="5"/>
  <c r="H24" i="5"/>
  <c r="T28" i="5"/>
  <c r="U29" i="5"/>
  <c r="V16" i="5"/>
  <c r="I24" i="5"/>
  <c r="U28" i="5"/>
  <c r="C29" i="5"/>
  <c r="H29" i="5" s="1"/>
  <c r="G29" i="5"/>
  <c r="S29" i="5" s="1"/>
  <c r="L29" i="5"/>
  <c r="V29" i="5"/>
  <c r="K24" i="5"/>
  <c r="B19" i="5"/>
  <c r="D19" i="5" s="1"/>
  <c r="U19" i="5" s="1"/>
  <c r="U18" i="5"/>
  <c r="L19" i="5"/>
  <c r="T16" i="5"/>
  <c r="S16" i="5"/>
  <c r="H16" i="5"/>
  <c r="U16" i="5"/>
  <c r="T18" i="5"/>
  <c r="S19" i="5"/>
  <c r="K18" i="5"/>
  <c r="V19" i="5"/>
  <c r="I16" i="5"/>
  <c r="B17" i="5"/>
  <c r="D17" i="5" s="1"/>
  <c r="U17" i="5" s="1"/>
  <c r="K17" i="5"/>
  <c r="C18" i="5"/>
  <c r="H18" i="5" s="1"/>
  <c r="G18" i="5"/>
  <c r="S18" i="5" s="1"/>
  <c r="L18" i="5"/>
  <c r="V18" i="5"/>
  <c r="H19" i="5"/>
  <c r="K16" i="5"/>
  <c r="G17" i="5"/>
  <c r="L17" i="5"/>
  <c r="V17" i="5"/>
  <c r="I18" i="5"/>
  <c r="I29" i="5" l="1"/>
  <c r="K28" i="5"/>
  <c r="I28" i="5"/>
  <c r="H27" i="5"/>
  <c r="U27" i="5"/>
  <c r="T27" i="5"/>
  <c r="S27" i="5"/>
  <c r="K27" i="5"/>
  <c r="T19" i="5"/>
  <c r="K29" i="5"/>
  <c r="S17" i="5"/>
  <c r="T17" i="5"/>
  <c r="H17" i="5"/>
  <c r="G21" i="1" l="1"/>
  <c r="E21" i="1"/>
  <c r="H21" i="1" s="1"/>
  <c r="D21" i="1"/>
  <c r="V21" i="1" s="1"/>
  <c r="L23" i="1"/>
  <c r="G23" i="1"/>
  <c r="E23" i="1"/>
  <c r="H23" i="1" s="1"/>
  <c r="M23" i="1" s="1"/>
  <c r="D23" i="1"/>
  <c r="V23" i="1" s="1"/>
  <c r="G22" i="1"/>
  <c r="E22" i="1"/>
  <c r="H22" i="1" s="1"/>
  <c r="D22" i="1"/>
  <c r="V22" i="1" s="1"/>
  <c r="T23" i="1" l="1"/>
  <c r="P23" i="1"/>
  <c r="I22" i="1"/>
  <c r="M22" i="1"/>
  <c r="W22" i="1"/>
  <c r="O22" i="1"/>
  <c r="W21" i="1"/>
  <c r="O21" i="1"/>
  <c r="M21" i="1"/>
  <c r="I21" i="1"/>
  <c r="P22" i="1"/>
  <c r="I23" i="1"/>
  <c r="N23" i="1"/>
  <c r="P21" i="1"/>
  <c r="T22" i="1"/>
  <c r="J23" i="1"/>
  <c r="O23" i="1"/>
  <c r="W23" i="1"/>
  <c r="T21" i="1"/>
  <c r="L17" i="1" l="1"/>
  <c r="G17" i="1"/>
  <c r="E17" i="1"/>
  <c r="H17" i="1" s="1"/>
  <c r="D17" i="1"/>
  <c r="V17" i="1" s="1"/>
  <c r="G19" i="1"/>
  <c r="E19" i="1"/>
  <c r="H19" i="1" s="1"/>
  <c r="D19" i="1"/>
  <c r="V19" i="1" s="1"/>
  <c r="G20" i="1"/>
  <c r="E20" i="1"/>
  <c r="H20" i="1" s="1"/>
  <c r="D20" i="1"/>
  <c r="V20" i="1" s="1"/>
  <c r="L18" i="1"/>
  <c r="G18" i="1"/>
  <c r="E18" i="1"/>
  <c r="H18" i="1" s="1"/>
  <c r="D18" i="1"/>
  <c r="V18" i="1" s="1"/>
  <c r="G16" i="1"/>
  <c r="E16" i="1"/>
  <c r="H16" i="1" s="1"/>
  <c r="D16" i="1"/>
  <c r="T16" i="1" s="1"/>
  <c r="L15" i="1"/>
  <c r="G15" i="1"/>
  <c r="E15" i="1"/>
  <c r="H15" i="1" s="1"/>
  <c r="D15" i="1"/>
  <c r="T15" i="1" s="1"/>
  <c r="L14" i="1"/>
  <c r="G14" i="1"/>
  <c r="E14" i="1"/>
  <c r="H14" i="1" s="1"/>
  <c r="D14" i="1"/>
  <c r="T14" i="1" s="1"/>
  <c r="M14" i="1" l="1"/>
  <c r="P17" i="1"/>
  <c r="W17" i="1"/>
  <c r="O17" i="1"/>
  <c r="J17" i="1"/>
  <c r="N17" i="1"/>
  <c r="I17" i="1"/>
  <c r="M17" i="1"/>
  <c r="T17" i="1"/>
  <c r="W19" i="1"/>
  <c r="O19" i="1"/>
  <c r="I19" i="1"/>
  <c r="M19" i="1"/>
  <c r="P19" i="1"/>
  <c r="T19" i="1"/>
  <c r="P20" i="1"/>
  <c r="W20" i="1"/>
  <c r="T20" i="1"/>
  <c r="M20" i="1"/>
  <c r="I20" i="1"/>
  <c r="O20" i="1"/>
  <c r="M16" i="1"/>
  <c r="P16" i="1"/>
  <c r="P14" i="1"/>
  <c r="W18" i="1"/>
  <c r="O18" i="1"/>
  <c r="J18" i="1"/>
  <c r="N18" i="1"/>
  <c r="I18" i="1"/>
  <c r="M18" i="1"/>
  <c r="W15" i="1"/>
  <c r="O15" i="1"/>
  <c r="J15" i="1"/>
  <c r="N15" i="1"/>
  <c r="M15" i="1"/>
  <c r="I15" i="1"/>
  <c r="V15" i="1"/>
  <c r="I14" i="1"/>
  <c r="N14" i="1"/>
  <c r="V14" i="1"/>
  <c r="P15" i="1"/>
  <c r="I16" i="1"/>
  <c r="V16" i="1"/>
  <c r="P18" i="1"/>
  <c r="J14" i="1"/>
  <c r="O14" i="1"/>
  <c r="W14" i="1"/>
  <c r="O16" i="1"/>
  <c r="W16" i="1"/>
  <c r="T18" i="1"/>
  <c r="W3" i="1"/>
  <c r="V3" i="1"/>
  <c r="B2" i="5" l="1"/>
  <c r="B3" i="5" s="1"/>
  <c r="C23" i="5"/>
  <c r="B22" i="5"/>
  <c r="D22" i="5" s="1"/>
  <c r="L13" i="1"/>
  <c r="G13" i="1"/>
  <c r="E13" i="1"/>
  <c r="H13" i="1" s="1"/>
  <c r="D13" i="1"/>
  <c r="G12" i="1"/>
  <c r="E12" i="1"/>
  <c r="H12" i="1" s="1"/>
  <c r="D12" i="1"/>
  <c r="O12" i="1" l="1"/>
  <c r="M12" i="1"/>
  <c r="T12" i="1"/>
  <c r="V12" i="1"/>
  <c r="M13" i="1"/>
  <c r="N13" i="1"/>
  <c r="O13" i="1"/>
  <c r="T13" i="1"/>
  <c r="V13" i="1"/>
  <c r="W12" i="1"/>
  <c r="W13" i="1"/>
  <c r="T22" i="5"/>
  <c r="P13" i="1"/>
  <c r="C22" i="5"/>
  <c r="B23" i="5"/>
  <c r="D23" i="5" s="1"/>
  <c r="I12" i="1"/>
  <c r="I13" i="1"/>
  <c r="P12" i="1"/>
  <c r="J13" i="1"/>
  <c r="B6" i="5"/>
  <c r="L23" i="5" l="1"/>
  <c r="K23" i="5"/>
  <c r="H23" i="5"/>
  <c r="I23" i="5"/>
  <c r="L22" i="5"/>
  <c r="H22" i="5"/>
  <c r="I22" i="5"/>
  <c r="K22" i="5"/>
  <c r="G23" i="5"/>
  <c r="S23" i="5" s="1"/>
  <c r="U23" i="5"/>
  <c r="V23" i="5"/>
  <c r="G22" i="5"/>
  <c r="S22" i="5" s="1"/>
  <c r="U22" i="5"/>
  <c r="V22" i="5"/>
  <c r="T23" i="5"/>
  <c r="U7" i="1" l="1"/>
  <c r="B7" i="5" l="1"/>
  <c r="Q3" i="1" l="1"/>
  <c r="T3" i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D9" i="1"/>
  <c r="V9" i="1" l="1"/>
  <c r="T9" i="1"/>
  <c r="P10" i="5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D10" i="1"/>
  <c r="D11" i="1"/>
  <c r="V11" i="1" l="1"/>
  <c r="T11" i="1"/>
  <c r="V10" i="1"/>
  <c r="T10" i="1"/>
  <c r="C15" i="5"/>
  <c r="B15" i="5"/>
  <c r="D15" i="5" s="1"/>
  <c r="V25" i="1"/>
  <c r="K12" i="5" l="1"/>
  <c r="H12" i="5"/>
  <c r="V12" i="5"/>
  <c r="T12" i="5"/>
  <c r="U12" i="5"/>
  <c r="I12" i="5"/>
  <c r="L12" i="5"/>
  <c r="S12" i="5"/>
  <c r="T15" i="5"/>
  <c r="C21" i="5"/>
  <c r="B21" i="5"/>
  <c r="D21" i="5" s="1"/>
  <c r="C20" i="5"/>
  <c r="B20" i="5"/>
  <c r="D20" i="5" s="1"/>
  <c r="T20" i="5" s="1"/>
  <c r="T21" i="5" l="1"/>
  <c r="R3" i="1"/>
  <c r="D1" i="1"/>
  <c r="F6" i="1"/>
  <c r="T13" i="5"/>
  <c r="L11" i="1" l="1"/>
  <c r="G9" i="1"/>
  <c r="F15" i="5" s="1"/>
  <c r="G10" i="1"/>
  <c r="G11" i="1"/>
  <c r="E9" i="1"/>
  <c r="H9" i="1" s="1"/>
  <c r="E10" i="1"/>
  <c r="H10" i="1" s="1"/>
  <c r="E11" i="1"/>
  <c r="H11" i="1" s="1"/>
  <c r="P9" i="1"/>
  <c r="P10" i="1"/>
  <c r="P11" i="1"/>
  <c r="T25" i="1"/>
  <c r="M11" i="1" l="1"/>
  <c r="O11" i="1"/>
  <c r="N11" i="1"/>
  <c r="O10" i="1"/>
  <c r="M10" i="1"/>
  <c r="N10" i="1"/>
  <c r="M9" i="1"/>
  <c r="O9" i="1"/>
  <c r="W11" i="1"/>
  <c r="E15" i="5"/>
  <c r="W9" i="1"/>
  <c r="W10" i="1"/>
  <c r="T7" i="1"/>
  <c r="I11" i="1"/>
  <c r="I10" i="1"/>
  <c r="I9" i="1"/>
  <c r="W25" i="1"/>
  <c r="L15" i="5" l="1"/>
  <c r="K15" i="5"/>
  <c r="I15" i="5"/>
  <c r="H15" i="5"/>
  <c r="L20" i="5"/>
  <c r="I20" i="5"/>
  <c r="K20" i="5"/>
  <c r="H20" i="5"/>
  <c r="L21" i="5"/>
  <c r="H21" i="5"/>
  <c r="I21" i="5"/>
  <c r="K21" i="5"/>
  <c r="G20" i="5"/>
  <c r="S20" i="5" s="1"/>
  <c r="U20" i="5"/>
  <c r="V20" i="5"/>
  <c r="G15" i="5"/>
  <c r="S15" i="5" s="1"/>
  <c r="V15" i="5"/>
  <c r="U15" i="5"/>
  <c r="G21" i="5"/>
  <c r="S21" i="5" s="1"/>
  <c r="U21" i="5"/>
  <c r="V21" i="5"/>
  <c r="G6" i="1"/>
  <c r="I13" i="5"/>
  <c r="V13" i="5"/>
  <c r="L13" i="5"/>
  <c r="S13" i="5"/>
  <c r="U13" i="5"/>
  <c r="H13" i="5"/>
  <c r="K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22" i="1" l="1"/>
  <c r="L21" i="1"/>
  <c r="J22" i="1"/>
  <c r="J21" i="1"/>
  <c r="N21" i="1"/>
  <c r="N22" i="1"/>
  <c r="L12" i="1"/>
  <c r="L16" i="1"/>
  <c r="L20" i="1"/>
  <c r="L19" i="1"/>
  <c r="N19" i="1"/>
  <c r="N20" i="1"/>
  <c r="J20" i="1"/>
  <c r="N16" i="1"/>
  <c r="J19" i="1"/>
  <c r="J16" i="1"/>
  <c r="N12" i="1"/>
  <c r="J12" i="1"/>
  <c r="N9" i="1"/>
  <c r="L9" i="1"/>
  <c r="L10" i="1"/>
  <c r="J11" i="1"/>
  <c r="J9" i="1"/>
  <c r="J10" i="1"/>
  <c r="C7" i="1"/>
  <c r="P25" i="1"/>
  <c r="I25" i="1"/>
  <c r="J25" i="1"/>
  <c r="N25" i="1"/>
  <c r="O25" i="1"/>
  <c r="Q7" i="1" l="1"/>
  <c r="M58" i="3" s="1"/>
  <c r="L7" i="1"/>
  <c r="G58" i="3" s="1"/>
  <c r="K58" i="3"/>
  <c r="J58" i="3"/>
  <c r="M25" i="1"/>
  <c r="K25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<sst xmlns="http://schemas.openxmlformats.org/spreadsheetml/2006/main" count="464" uniqueCount="346">
  <si>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</si>
  <si>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</si>
  <si>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</si>
  <si>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</si>
  <si>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</si>
  <si>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</si>
  <si>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</si>
  <si>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</si>
  <si>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</si>
  <si>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</si>
  <si>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</si>
  <si>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</si>
  <si>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</si>
  <si>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</si>
  <si>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</si>
  <si>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</si>
  <si>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</si>
  <si>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</si>
  <si>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</si>
  <si>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</si>
  <si>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</si>
  <si>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</si>
  <si>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</si>
  <si>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</si>
  <si>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</si>
  <si>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</si>
  <si>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</si>
  <si>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</si>
  <si>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</si>
  <si>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</si>
  <si>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</si>
  <si>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</si>
  <si>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</si>
  <si>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</si>
  <si>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</si>
  <si>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</si>
  <si>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</si>
  <si>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</si>
  <si>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</si>
  <si>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</si>
  <si>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</si>
  <si>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</si>
  <si>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</si>
  <si>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</si>
  <si>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</si>
  <si>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</si>
  <si>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</si>
  <si>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</si>
  <si>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</si>
  <si>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</si>
  <si>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</si>
  <si>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</si>
  <si>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</si>
  <si>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</si>
  <si>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</si>
  <si>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</si>
  <si>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</si>
  <si>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</si>
  <si>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</si>
  <si>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</si>
  <si>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</si>
  <si>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</si>
  <si>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</si>
  <si>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</si>
  <si>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</si>
  <si>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</si>
  <si>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</si>
  <si>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</si>
  <si>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</si>
  <si>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</si>
  <si>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</si>
  <si>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</si>
  <si>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</si>
  <si>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</si>
  <si>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</si>
  <si>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</si>
  <si>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</si>
  <si>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</si>
  <si>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</si>
  <si>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</si>
  <si>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</si>
  <si>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</si>
  <si>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</si>
  <si>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</si>
  <si>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</si>
  <si>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</si>
  <si>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</si>
  <si>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</si>
  <si>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</si>
  <si>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</si>
  <si>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</si>
  <si>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</si>
  <si>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</si>
  <si>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</si>
  <si>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</si>
  <si>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</si>
  <si>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</si>
  <si>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</si>
  <si>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</si>
  <si>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</si>
  <si>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</si>
  <si>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</si>
  <si>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</si>
  <si>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</si>
  <si>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</si>
  <si>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</si>
  <si>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</si>
  <si>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</si>
  <si>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</si>
  <si>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</si>
  <si>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</si>
  <si>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</si>
  <si>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</si>
  <si>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</si>
  <si>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</si>
  <si>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</si>
  <si>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</si>
  <si>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</si>
  <si>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</si>
  <si>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</si>
  <si>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</si>
  <si>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</si>
  <si>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</si>
  <si>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</si>
  <si>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</si>
  <si>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</si>
  <si>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</si>
  <si>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</si>
  <si>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</si>
  <si>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</si>
  <si>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</si>
  <si>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</si>
  <si>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</si>
  <si>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</si>
  <si>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</si>
  <si>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</si>
  <si>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</si>
  <si>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</si>
  <si>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</si>
  <si>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</si>
  <si>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</si>
  <si>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</si>
  <si>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</si>
  <si>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</si>
  <si>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</si>
  <si>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</si>
  <si>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</si>
  <si>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</si>
  <si>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</si>
  <si>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</si>
  <si>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</si>
  <si>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</si>
  <si>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</si>
  <si>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</si>
  <si>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</si>
  <si>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</si>
  <si>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</si>
  <si>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</si>
  <si>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</si>
  <si>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</si>
  <si>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</si>
  <si>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</si>
  <si>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</si>
  <si>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</si>
  <si>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</si>
  <si>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</si>
  <si>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</si>
  <si>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</si>
  <si>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</si>
  <si>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</si>
  <si>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</si>
  <si>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</si>
  <si>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</si>
  <si>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</si>
  <si>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</si>
  <si>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</si>
  <si>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</si>
  <si>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</si>
  <si>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</si>
  <si>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</si>
  <si>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</si>
  <si>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</si>
  <si>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</si>
  <si>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</si>
  <si>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</si>
  <si>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</si>
  <si>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</si>
  <si>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</si>
  <si>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</si>
  <si>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</si>
  <si>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</si>
  <si>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</si>
  <si>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</si>
  <si>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</si>
  <si>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</si>
  <si>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</si>
  <si>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</si>
  <si>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</si>
  <si>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</si>
  <si>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</si>
  <si>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</si>
  <si>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</si>
  <si>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</si>
  <si>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</si>
  <si>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</si>
  <si>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</si>
  <si>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</si>
  <si>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</si>
  <si>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</si>
  <si>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</si>
  <si>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</si>
  <si>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</si>
  <si>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</si>
  <si>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</si>
  <si>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</si>
  <si>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</si>
  <si>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</si>
  <si>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</si>
  <si>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</si>
  <si>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</si>
  <si>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</si>
  <si>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</si>
  <si>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</si>
  <si>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</si>
  <si>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</si>
  <si>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</si>
  <si>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</si>
  <si>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</si>
  <si>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</si>
  <si>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</si>
  <si>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</si>
  <si>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</si>
  <si>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</si>
  <si>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</si>
  <si>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</si>
  <si>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</si>
  <si>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</si>
  <si>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</si>
  <si>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</si>
  <si>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</si>
  <si>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</si>
  <si>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</si>
  <si>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</si>
  <si>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</si>
  <si>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</si>
  <si>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</si>
  <si>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</si>
  <si>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</si>
  <si>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</si>
  <si>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</si>
  <si>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</si>
  <si>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</si>
  <si>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</si>
  <si>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</si>
  <si>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</si>
  <si>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</si>
  <si>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</si>
  <si>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</si>
  <si>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</si>
  <si>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</si>
  <si>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</si>
  <si>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</si>
  <si>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</si>
  <si>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</si>
  <si>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</si>
  <si>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</si>
  <si>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</si>
  <si>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</si>
  <si>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</si>
  <si>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</si>
  <si>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</si>
  <si>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</si>
  <si>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</si>
  <si>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</si>
  <si>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</si>
  <si>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</si>
  <si>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</si>
  <si>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</si>
  <si>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</si>
  <si>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</si>
  <si>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</si>
  <si>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</si>
  <si>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</si>
  <si>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</si>
  <si>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</si>
  <si>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</si>
  <si>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</si>
  <si>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</si>
  <si>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</si>
  <si>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</si>
  <si>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</si>
  <si>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</si>
  <si>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</si>
  <si>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</si>
  <si>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</si>
  <si>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</si>
  <si>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</si>
  <si>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</si>
  <si>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</si>
  <si>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</si>
  <si>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</si>
  <si>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</si>
  <si>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</si>
  <si>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</si>
  <si>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</si>
  <si>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</si>
  <si>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</si>
  <si>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</si>
  <si>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</si>
  <si>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</si>
  <si>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</si>
  <si>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</si>
  <si>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</si>
  <si>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</si>
  <si>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</si>
  <si>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</si>
  <si>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</si>
  <si>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</si>
  <si>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</si>
  <si>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</si>
  <si>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</si>
  <si>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</si>
  <si>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Plan.Ccr</t>
  </si>
  <si>
    <t>PlnCcrProductionPlan</t>
  </si>
  <si>
    <t>ProductionPlan</t>
  </si>
  <si>
    <t>PLAN_SEQUENCE</t>
  </si>
  <si>
    <t>SHOP</t>
  </si>
  <si>
    <t>MODEL</t>
  </si>
  <si>
    <t>LOT_NO</t>
  </si>
  <si>
    <t>NO_IN_LOT</t>
  </si>
  <si>
    <t>GRADE</t>
  </si>
  <si>
    <t>BODY</t>
  </si>
  <si>
    <t>DATE_IN</t>
  </si>
  <si>
    <t>TIME_IN</t>
  </si>
  <si>
    <t>DATE_TIME_IN</t>
  </si>
  <si>
    <t>varchar(10)</t>
  </si>
  <si>
    <t>varchar(1)</t>
  </si>
  <si>
    <t>varchar(50)</t>
  </si>
  <si>
    <t>varchar(2)</t>
  </si>
  <si>
    <t>SUPPLIER_NO</t>
  </si>
  <si>
    <t>USE_LOT_NO</t>
  </si>
  <si>
    <t>USE_NO_IN_LOT</t>
  </si>
  <si>
    <t>time(7)</t>
  </si>
  <si>
    <t>SUPPLIER_NO_2</t>
  </si>
  <si>
    <t>USE_LOT_NO_2</t>
  </si>
  <si>
    <t>Planning - CCR Production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</si>
</sst>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2" fillId="3" borderId="0" xfId="0" applyFont="1" applyFill="1"/>
    <xf numFmtId="0" fontId="0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46" workbookViewId="0">
      <selection activeCell="H39" sqref="H3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286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287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288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289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290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291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292</v>
      </c>
    </row>
    <row r="16" spans="1:7" ht="12" customHeight="1" x14ac:dyDescent="0.25">
      <c r="A16" s="1"/>
      <c r="B16" s="17"/>
      <c r="D16" t="s">
        <v>272</v>
      </c>
      <c r="F16" s="1" t="s">
        <v>273</v>
      </c>
      <c r="G16" s="17" t="s">
        <v>293</v>
      </c>
    </row>
    <row r="17" spans="1:7" ht="12" customHeight="1" x14ac:dyDescent="0.25">
      <c r="A17" s="1"/>
      <c r="B17" s="17"/>
      <c r="D17" t="s">
        <v>308</v>
      </c>
      <c r="F17" s="1" t="s">
        <v>309</v>
      </c>
      <c r="G17" s="17" t="s">
        <v>310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294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295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304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303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272</v>
      </c>
      <c r="F26" s="1" t="s">
        <v>273</v>
      </c>
      <c r="G26" s="17" t="s">
        <v>273</v>
      </c>
    </row>
    <row r="27" spans="1:7" x14ac:dyDescent="0.25">
      <c r="A27" s="1"/>
      <c r="B27" s="17"/>
      <c r="D27" t="s">
        <v>274</v>
      </c>
      <c r="F27" s="1" t="s">
        <v>276</v>
      </c>
      <c r="G27" s="17" t="s">
        <v>296</v>
      </c>
    </row>
    <row r="28" spans="1:7" x14ac:dyDescent="0.25">
      <c r="A28" s="1"/>
      <c r="B28" s="17"/>
      <c r="D28" t="s">
        <v>277</v>
      </c>
      <c r="F28" s="1" t="s">
        <v>275</v>
      </c>
      <c r="G28" s="17" t="s">
        <v>297</v>
      </c>
    </row>
    <row r="29" spans="1:7" x14ac:dyDescent="0.25">
      <c r="A29" s="1"/>
      <c r="B29" s="17"/>
      <c r="D29" t="s">
        <v>278</v>
      </c>
      <c r="F29" s="1" t="s">
        <v>281</v>
      </c>
      <c r="G29" s="17" t="s">
        <v>298</v>
      </c>
    </row>
    <row r="30" spans="1:7" x14ac:dyDescent="0.25">
      <c r="A30" s="1"/>
      <c r="B30" s="17"/>
      <c r="D30" t="s">
        <v>279</v>
      </c>
      <c r="F30" s="1" t="s">
        <v>282</v>
      </c>
      <c r="G30" s="17" t="s">
        <v>299</v>
      </c>
    </row>
    <row r="31" spans="1:7" x14ac:dyDescent="0.25">
      <c r="A31" s="1"/>
      <c r="B31" s="17"/>
      <c r="D31" t="s">
        <v>280</v>
      </c>
      <c r="F31" s="1" t="s">
        <v>283</v>
      </c>
      <c r="G31" s="17" t="s">
        <v>300</v>
      </c>
    </row>
    <row r="32" spans="1:7" x14ac:dyDescent="0.25">
      <c r="A32" s="1"/>
      <c r="B32" s="17"/>
      <c r="D32" t="s">
        <v>285</v>
      </c>
      <c r="F32" s="1" t="s">
        <v>284</v>
      </c>
      <c r="G32" s="17" t="s">
        <v>301</v>
      </c>
    </row>
    <row r="33" spans="1:8" x14ac:dyDescent="0.25">
      <c r="A33" s="1"/>
      <c r="B33" s="17"/>
      <c r="C33" t="s">
        <v>308</v>
      </c>
      <c r="F33" s="1" t="s">
        <v>309</v>
      </c>
      <c r="G33" s="17" t="s">
        <v>309</v>
      </c>
    </row>
    <row r="34" spans="1:8" x14ac:dyDescent="0.25">
      <c r="A34" s="1"/>
      <c r="B34" s="17"/>
      <c r="D34" t="s">
        <v>311</v>
      </c>
      <c r="F34" s="1" t="s">
        <v>312</v>
      </c>
      <c r="G34" s="17" t="s">
        <v>313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314</v>
      </c>
    </row>
    <row r="36" spans="1:8" x14ac:dyDescent="0.25">
      <c r="A36" s="1"/>
      <c r="B36" s="17"/>
      <c r="D36" t="s">
        <v>315</v>
      </c>
      <c r="F36" s="1" t="s">
        <v>316</v>
      </c>
      <c r="G36" s="17" t="s">
        <v>317</v>
      </c>
    </row>
    <row r="37" spans="1:8" x14ac:dyDescent="0.25">
      <c r="A37" s="1"/>
      <c r="B37" s="17"/>
      <c r="D37" t="s">
        <v>318</v>
      </c>
      <c r="F37" s="1" t="s">
        <v>319</v>
      </c>
      <c r="G37" s="17" t="s">
        <v>320</v>
      </c>
    </row>
    <row r="38" spans="1:8" x14ac:dyDescent="0.25">
      <c r="A38" s="1"/>
      <c r="B38" s="17"/>
      <c r="C38" s="5" t="s">
        <v>321</v>
      </c>
      <c r="D38" s="5"/>
      <c r="E38" s="5"/>
      <c r="F38" s="74" t="s">
        <v>302</v>
      </c>
      <c r="G38" s="75" t="s">
        <v>302</v>
      </c>
      <c r="H38" s="5"/>
    </row>
    <row r="39" spans="1:8" x14ac:dyDescent="0.25">
      <c r="A39" s="1"/>
      <c r="B39" s="17"/>
      <c r="C39" s="5"/>
      <c r="D39" s="5" t="s">
        <v>305</v>
      </c>
      <c r="E39" s="5"/>
      <c r="F39" s="74" t="s">
        <v>305</v>
      </c>
      <c r="G39" s="75" t="s">
        <v>306</v>
      </c>
      <c r="H39" s="75" t="s">
        <v>307</v>
      </c>
    </row>
    <row r="40" spans="1:8" x14ac:dyDescent="0.25">
      <c r="A40" s="1"/>
      <c r="B40" s="17"/>
      <c r="F40" s="1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vovina.Plan.Ccr
{
	[Table("PlnCcrProductionPlan")]
	[Index(nameof(Shop), Name="IX_PlnCcrProductionPlan_Shop")]
	[Index(nameof(LotNo), Name="IX_PlnCcrProductionPlan_LotNo")]
	[Index(nameof(NoInLot), Name="IX_PlnCcrProductionPlan_NoInLot")]
	public class PlnCcrProductionPlan: FullAuditedEntity&lt;long&gt;, IEntity&lt;long&gt;	
	{
		public const int MaxShopLength = 10;
		public const int MaxModelLength = 1;
		public const int MaxLotNoLength = 50;
		public const int MaxNoInLotLength = 50;
		public const int MaxGradeLength = 2;
		public const int MaxBodyLength = 50;
		public const int MaxSupplierNoLength = 50;
		public const int MaxUseLotNoLength = 50;
		public const int MaxSupplierNo2Length = 50;
		public const int MaxUseLotNo2Length = 50;
		public const int MaxUseNoInLotLength = 50;
		public virtual long PlanSequence { get; set; }
		[StringLength(MaxShopLength)]
		public virtual string Shop { get; set; }
		[StringLength(MaxModelLength)]
		public virtual string Model { get; set; }
		[StringLength(MaxLotNoLength)]
		public virtual string LotNo { get; set; }
		[StringLength(MaxNoInLotLength)]
		public virtual string NoInLot { get; set; }
		[StringLength(MaxGradeLength)]
		public virtual string Grade { get; set; }
		[StringLength(MaxBodyLength)]
		public virtual string Body { get; set; }
		[Column(TypeName="date")]
		public virtual DateTime DateIn { get; set; }
		[Column(TypeName="time(7)")]
		public virtual TimeSpan TimeIn { get; set; }
		[Column(TypeName="datetime2(7)")]
		public virtual DateTime DateTimeIn { get; set; }
		[StringLength(MaxSupplierNoLength)]
		public virtual string SupplierNo { get; set; }
		[StringLength(MaxUseLotNoLength)]
		public virtual string UseLotNo { get; set; }
		[StringLength(MaxSupplierNo2Length)]
		public virtual string SupplierNo2 { get; set; }
		[StringLength(MaxUseLotNo2Length)]
		public virtual string UseLotNo2 { get; set; }
		[StringLength(MaxUseNoInLotLength)]
		public virtual string UseNoInLot { get; set; }
	}
}
</v>
      </c>
      <c r="D58" s="51" t="str">
        <f>A.Backend!O7</f>
        <v xml:space="preserve">		public const string Pages_Plan_Ccr_ProductionPlan = "Pages.Plan.Ccr.ProductionPlan";
		public const string Pages_Plan_Ccr_ProductionPlan_CreateEdit = "Pages.Plan.Ccr.ProductionPlan.CreateEdit";
		public const string Pages_Plan_Ccr_ProductionPlan_Delete = "Pages.Plan.Ccr.ProductionPlan.Delete";
</v>
      </c>
      <c r="E58" s="51" t="str">
        <f>A.Backend!N7</f>
        <v xml:space="preserve">		var perPlnCcrProductionPlan = PARENTS.CreateChildPermission(AppPermissions.Pages_Plan_Ccr_ProductionPlan, L( "PlanCcrProductionPlan"), multiTenancySides: MultiTenancySides.Tenant);
		perPlnCcrProductionPlan.CreateChildPermission(AppPermissions.Pages_Plan_Ccr_ProductionPlan_CreateEdit, L( "PlanCcrProductionPlanCreateEdit"), multiTenancySides: MultiTenancySides.Tenant);
		perPlnCcrProductionPlan.CreateChildPermission(AppPermissions.Pages_Plan_Ccr_ProductionPlan_Delete, L( "PlanCcrProductionPlanDelete"), multiTenancySides: MultiTenancySides.Tenant);</v>
      </c>
      <c r="F58" s="51" t="str">
        <f>A.Backend!K7</f>
        <v>public virtual DbSet&lt;PlnCcrProductionPlan&gt; PlnCcrProductionPlans { get; set; }</v>
      </c>
      <c r="G58" s="51" t="str">
        <f ca="1">A.Backend!L7</f>
        <v xml:space="preserve">namespace vovina.Plan.Ccr
{
	public class PlnCcrProductionPlanConsts	
	{
		public const int MaxShopLength = 10;
		public const int MaxModelLength = 1;
		public const int MaxLotNoLength = 50;
		public const int MaxNoInLotLength = 50;
		public const int MaxGradeLength = 2;
		public const int MaxBodyLength = 50;
		public const int MaxSupplierNoLength = 50;
		public const int MaxUseLotNoLength = 50;
		public const int MaxSupplierNo2Length = 50;
		public const int MaxUseLotNo2Length = 50;
		public const int MaxUseNoInLotLength = 50;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vovina.Plan.Ccr.Dto
{
	public class PlnCcrProductionPlanDto : EntityDto&lt;long?&gt;	
	{
		public virtual long PlanSequence { get; set; }
		public virtual string Shop { get; set; }
		public virtual string Model { get; set; }
		public virtual string LotNo { get; set; }
		public virtual string NoInLot { get; set; }
		public virtual string Grade { get; set; }
		public virtual string Body { get; set; }
		public virtual DateTime? DateIn { get; set; }
		public virtual TimeSpan? TimeIn { get; set; }
		public virtual DateTime? DateTimeIn { get; set; }
		public virtual string SupplierNo { get; set; }
		public virtual string UseLotNo { get; set; }
		public virtual string SupplierNo2 { get; set; }
		public virtual string UseLotNo2 { get; set; }
		public virtual string UseNoInLot { get; set; }
	}
	public class CreateOrEditPlnCcrProductionPlanDto : EntityDto&lt;long?&gt;	
	{
		public virtual long PlanSequence { get; set; }
		[StringLength(PlnCcrProductionPlanConsts.MaxShopLength)]
		public virtual string Shop { get; set; }
		[StringLength(PlnCcrProductionPlanConsts.MaxModelLength)]
		public virtual string Model { get; set; }
		[StringLength(PlnCcrProductionPlanConsts.MaxLotNoLength)]
		public virtual string LotNo { get; set; }
		[StringLength(PlnCcrProductionPlanConsts.MaxNoInLotLength)]
		public virtual string NoInLot { get; set; }
		[StringLength(PlnCcrProductionPlanConsts.MaxGradeLength)]
		public virtual string Grade { get; set; }
		[StringLength(PlnCcrProductionPlanConsts.MaxBodyLength)]
		public virtual string Body { get; set; }
		public virtual DateTime? DateIn { get; set; }
		public virtual TimeSpan? TimeIn { get; set; }
		public virtual DateTime? DateTimeIn { get; set; }
		[StringLength(PlnCcrProductionPlanConsts.MaxSupplierNoLength)]
		public virtual string SupplierNo { get; set; }
		[StringLength(PlnCcrProductionPlanConsts.MaxUseLotNoLength)]
		public virtual string UseLotNo { get; set; }
		[StringLength(PlnCcrProductionPlanConsts.MaxSupplierNo2Length)]
		public virtual string SupplierNo2 { get; set; }
		[StringLength(PlnCcrProductionPlanConsts.MaxUseLotNo2Length)]
		public virtual string UseLotNo2 { get; set; }
		[StringLength(PlnCcrProductionPlanConsts.MaxUseNoInLotLength)]
		public virtual string UseNoInLot { get; set; }
	}
	public class GetPlnCcrProductionPlanInput : PagedAndSortedResultRequestDto	
	{
		public virtual string Shop { get; set; }
		public virtual string Model { get; set; }
		public virtual string LotNo { get; set; }
		public virtual string NoInLot { get; set; }
		public virtual string Grade { get; set; }
		public virtual string Body { get; set; }
		public virtual DateTime? DateIn { get; set; }
		public virtual DateTime? DateTimeIn { get; set; }
		public virtual string SupplierNo { get; set; }
		public virtual string UseLotNo { get; set; }
		public virtual string SupplierNo2 { get; set; }
		public virtual string UseLotNo2 { get; set; }
		public virtual string UseNoInLot { get; set; }
	}
}
</v>
      </c>
      <c r="I58" s="51" t="str">
        <f ca="1">A.Backend!R7</f>
        <v xml:space="preserve">using Abp.Application.Services.Dto;
using System;
using System.ComponentModel.DataAnnotations;
namespace vovina.Plan.Ccr.Dto
{
	public class PlnCcrProductionPlanExportInput{
		public virtual long PlanSequence { get; set; }
		public virtual string Shop { get; set; }
		public virtual string Model { get; set; }
		public virtual string LotNo { get; set; }
		public virtual string NoInLot { get; set; }
		public virtual string Grade { get; set; }
		public virtual string Body { get; set; }
		public virtual DateTime? DateIn { get; set; }
		public virtual TimeSpan? TimeIn { get; set; }
		public virtual DateTime? DateTimeIn { get; set; }
		public virtual string SupplierNo { get; set; }
		public virtual string UseLotNo { get; set; }
		public virtual string SupplierNo2 { get; set; }
		public virtual string UseLotNo2 { get; set; }
		public virtual string UseNoInLot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vovina.Plan.Ccr.Dto;
namespace vovina.Plan.Ccr
{
	public interface IPlnCcrProductionPlanAppService : IApplicationService
	{
		Task&lt;PagedResultDto&lt;PlnCcrProductionPlanDto&gt;&gt; GetAll(GetPlnCcrProductionPlanInput input);
		Task CreateOrEdit(CreateOrEditPlnCcrProductionPlanDto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vovina.Plan.Ccr.Dto;
namespace vovina.Plan.Ccr.Exporting
{
	public interface IPlnCcrProductionPlanExcelExporter : IApplicationService
	{
		FileDto ExportToFile(List&lt;PlnCcrProductionPlanDto&gt; plnccrproductionplan);
	}
}
</v>
      </c>
      <c r="L58" s="51" t="str">
        <f ca="1">A.Backend!T7</f>
        <v>using System.Collections.Generic;
using vovina.DataExporting.Excel.NPOI;
using vovina.Dto;
using vovina.Plan.Ccr.Exporting;
using vovina.Plan.Ccr.Dto;
using vovina.Storage;
using vovina.Plan.Ccr.Dto;
namespace vovina.Plan.Ccr.Exporting
{
    public class PlnCcrProductionPlanExcelExporter : NpoiExcelExporterBase, IPlnCcrProductionPlanExcelExporter
    {
        public PlnCcrProductionPlanExcelExporter(ITempFileCacheManager tempFileCacheManager) : base(tempFileCacheManager) { }
        public FileDto ExportToFile(List&lt;PlnCcrProductionPlanDto&gt; productionplan)
        {
            return CreateExcelPackage(
				"PlanCcrProductionPlan.xlsx",
				excelPackage =&gt;
				 {
					var sheet = excelPackage.CreateSheet("ProductionPlan");
					AddHeader(
								sheet,
								("PlanSequence"),
								("Shop"),
								("Model"),
								("LotNo"),
								("NoInLot"),
								("Grade"),
								("Body"),
								("DateIn"),
								("TimeIn"),
								("DateTimeIn"),
								("SupplierNo"),
								("UseLotNo"),
								("SupplierNo2"),
								("UseLotNo2"),
								("UseNoInLot"),
							   );
					AddObjects(
						 sheet, 1, productionplan,                                       
								_ =&gt; _.PlanSequence,
								_ =&gt; _.Shop,
								_ =&gt; _.Model,
								_ =&gt; _.LotNo,
								_ =&gt; _.NoInLot,
								_ =&gt; _.Grade,
								_ =&gt; _.Body,
								_ =&gt; _.DateIn,
								_ =&gt; _.TimeIn,
								_ =&gt; _.DateTimeIn,
								_ =&gt; _.SupplierNo,
								_ =&gt; _.UseLotNo,
								_ =&gt; _.SupplierNo2,
								_ =&gt; _.UseLotNo2,
								_ =&gt; _.UseNoInLot,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vovina.Plan.Ccr.Dto;
using vovina.Plan.Ccr.Exporting;
namespace vovina.Plan.Ccr
{
    [AbpAuthorize(AppPermissions.Pages_Plan_Ccr_ProductionPlan)]
    public class PlnCcrProductionPlanAppService : vovinaAppServiceBase, IPlnCcrProductionPlanAppService
    {
        private readonly IDapperRepository&lt;PlnCcrProductionPlan, long&gt; _dapperRepo;
        private readonly IRepository&lt;PlnCcrProductionPlan, long&gt; _repo;
        private readonly IPlnCcrProductionPlanExcelExporter _calendarListExcelExporter;
        public PlnCcrProductionPlanAppService(IRepository&lt;PlnCcrProductionPlan,long&gt; repo, 
                                         IDapperRepository&lt;PlnCcrProductionPlan,long&gt; dapperRepo,
                                        IPlnCcrProductionPlanExcelExporter calendarListExcelExporter
            )
        {
            _repo = repo;
            _dapperRepo = dapperRepo;
            _calendarListExcelExporter = calendarListExcelExporter;
        }
        [AbpAuthorize(AppPermissions.Pages_Plan_Ccr_ProductionPlan_CreateEdit)]
        public async Task CreateOrEdit(CreateOrEditPlnCcrProductionPlanDto input)
        {
            if (input.Id == null) await Create(input);
            else await Update(input);
        }
        //CREATE
        private async Task Create(CreateOrEditPlnCcrProductionPlanDto input)
        {          
            var mainObj = ObjectMapper.Map&lt;PlnCcrProductionPlan&gt;(input);
            await CurrentUnitOfWork.GetDbContext&lt;vovinaDbContext&gt;().AddAsync(mainObj);
        }
        // EDIT
        private async Task Update(CreateOrEditPlnCcrProductionPlanDto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[AbpAuthorize(AppPermissions.Pages_Plan_Ccr_ProductionPlan_Delete)]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Task&lt;PagedResultDto&lt;PlnCcrProductionPlanDto&gt;&gt; GetAll(GetPlnCcrProductionPlanInput input)
        {
            var filtered = _repo.GetAll()
				.WhereIf(!string.IsNullOrWhiteSpace(input.Shop), e =&gt; e.Shop.Contains(input.Shop))
				.WhereIf(!string.IsNullOrWhiteSpace(input.Model), e =&gt; e.Model.Contains(input.Model))
				.WhereIf(!string.IsNullOrWhiteSpace(input.LotNo), e =&gt; e.LotNo.Contains(input.LotNo))
				.WhereIf(!string.IsNullOrWhiteSpace(input.NoInLot), e =&gt; e.NoInLot.Contains(input.NoInLot))
				.WhereIf(!string.IsNullOrWhiteSpace(input.Grade), e =&gt; e.Grade.Contains(input.Grade))
				.WhereIf(!string.IsNullOrWhiteSpace(input.Body), e =&gt; e.Body.Contains(input.Body))
				.WhereIf(input.DateIn.HasValue, t =&gt; t.DateIn == input.DateIn.Value)
				.WhereIf(input.DateTimeIn.HasValue, t =&gt; t.DateTimeIn == input.DateTimeIn.Value)
				.WhereIf(!string.IsNullOrWhiteSpace(input.SupplierNo), e =&gt; e.SupplierNo.Contains(input.SupplierNo))
				.WhereIf(!string.IsNullOrWhiteSpace(input.UseLotNo), e =&gt; e.UseLotNo.Contains(input.UseLotNo))
				.WhereIf(!string.IsNullOrWhiteSpace(input.SupplierNo2), e =&gt; e.SupplierNo2.Contains(input.SupplierNo2))
				.WhereIf(!string.IsNullOrWhiteSpace(input.UseLotNo2), e =&gt; e.UseLotNo2.Contains(input.UseLotNo2))
				.WhereIf(!string.IsNullOrWhiteSpace(input.UseNoInLot), e =&gt; e.UseNoInLot.Contains(input.UseNoInLot))                   
				;
            var pageAndFiltered = filtered.OrderBy(s =&gt; s.Id);
            var system = from o in pageAndFiltered
                         select new PlnCcrProductionPlanDto
                        {
							Id = o.Id,
							PlanSequence = o.PlanSequence,
							Shop = o.Shop,
							Model = o.Model,
							LotNo = o.LotNo,
							NoInLot = o.NoInLot,
							Grade = o.Grade,
							Body = o.Body,
							DateIn = o.DateIn,
							TimeIn = o.TimeIn,
							DateTimeIn = o.DateTimeIn,
							SupplierNo = o.SupplierNo,
							UseLotNo = o.UseLotNo,
							SupplierNo2 = o.SupplierNo2,
							UseLotNo2 = o.UseLotNo2,
							UseNoInLot = o.UseNoInLot,
                        };
            var totalCount = await filtered.CountAsync();
			var paged = system.PageBy(input);
            return new PagedResultDto&lt;PlnCcrProductionPlanDto&gt;(
                totalCount,
                 await paged.ToListAsync()
            );
        }
        public async Task&lt;FileDto&gt; GetProductionPlanToExcel(PlnCcrProductionPlanExportInput input)
        {
            var query = from o in _repo.GetAll()
                        select new PlnCcrProductionPlanDto
                        {
							Id = o.Id,
							PlanSequence = o.PlanSequence,
							Shop = o.Shop,
							Model = o.Model,
							LotNo = o.LotNo,
							NoInLot = o.NoInLot,
							Grade = o.Grade,
							Body = o.Body,
							DateIn = o.DateIn,
							TimeIn = o.TimeIn,
							DateTimeIn = o.DateTimeIn,
							SupplierNo = o.SupplierNo,
							UseLotNo = o.UseLotNo,
							SupplierNo2 = o.SupplierNo2,
							UseLotNo2 = o.UseLotNo2,
							UseNoInLot = o.UseNoInLot,
                        };
            var exportToExcel = await query.ToListAsync();
            return _calendarListExcelExporter.ExportToFile(exportToExcel);
        }
       // public async Task GenerateAsync()
      //  {
        //    await _dapperRepo.ExecuteAsync(PlnCcrProductionPlanConsts.SP_MST_WPT_CALENDAR_GENERATE);
       // }
    }
}</v>
      </c>
      <c r="N58" s="62" t="str">
        <f>A.Backend!U7</f>
        <v xml:space="preserve">  configuration.CreateMap&lt;PlnCcrProductionPlanDto, PlnCcrProductionPlan&gt;();
  configuration.CreateMap&lt;PlnCcrProductionPlan, PlnCcrProductionPlanDto&gt;();
  configuration.CreateMap&lt;CreateOrEditPlnCcrProductionPlanDto, PlnCcrProductionPlan&gt;();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productionplan</v>
      </c>
      <c r="C63" s="72" t="str">
        <f>"create folder " &amp;B63</f>
        <v>create folder productionplan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productionplan.component.ts</v>
      </c>
      <c r="D64" s="31" t="str">
        <f>B.Frontend!I14</f>
        <v>productionplan.component.html</v>
      </c>
      <c r="E64" s="31" t="str">
        <f>B.Frontend!J14</f>
        <v>productionplan.component.less</v>
      </c>
      <c r="F64" s="31" t="str">
        <f>B.Frontend!K14</f>
        <v>create-or-edit-productionplan-modal.component.html</v>
      </c>
      <c r="G64" s="31" t="str">
        <f>B.Frontend!L14</f>
        <v>create-or-edit-productionplan-modal.component.ts</v>
      </c>
      <c r="H64" s="31" t="str">
        <f>B.Frontend!M14</f>
        <v>create-or-edit-productionplan-modal.component.less</v>
      </c>
      <c r="I64" s="31" t="str">
        <f>B.Frontend!N14</f>
        <v>productionplan.module.ts</v>
      </c>
      <c r="J64" s="31" t="str">
        <f>B.Frontend!O14</f>
        <v>productionplan-routing.module.ts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PlnCcrProductionPlanDto, PlnCcrProductionPlanServiceProxy } from '@shared/service-proxies/service-proxies';
import { finalize } from 'rxjs/internal/operators/finalize';
import { CreateOrEditProductionPlanModalComponent } from './create-or-edit-productionplan-modal.component';
import { DatePipe } from '@angular/common';
import { FileDownloadService } from '@shared/utils/file-download.service';
import ceil from 'lodash-es/ceil';
import { Paginator } from 'primeng/paginator';
@Component({
    templateUrl: './productionplan.component.html',
    styleUrls: ['./productionplan.component.less'],
})
export class ProductionPlanComponent extends AppComponentBase implements OnInit {
    @ViewChild('createOrEditModalProductionPlan', { static: true }) createOrEditModalProductionPlan:| CreateOrEditProductionPlanModalComponent|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PlnCcrProductionPlanDto = new PlnCcrProductionPlanDto();
    saveSelectedRow: PlnCcrProductionPlanDto = new PlnCcrProductionPlanDto();
    datas: PlnCcrProductionPlanDto = new PlnCcrProductionPlanDto();
    isLoading: boolean = false;
    dataParams: GridParams | undefined;
    rowData: any[] = [];
    gridApi!: GridApi;
    rowSelection = 'multiple';
    filter: string = '';
	pipe = new DatePipe('en-US');
	frameworkComponents: FrameworkComponent;
    planSequence
	shop : string = '' ; 
	model : string = '' ; 
	lotNo : string = '' ; 
	noInLot : string = '' ; 
	grade : string = '' ; 
	body : string = '' ; 
	dateIn : any ;
	timeIn : any ;
	dateTimeIn : any ;
	supplierNo : string = '' ; 
	useLotNo : string = '' ; 
	supplierNo2 : string = '' ; 
	useLotNo2 : string = '' ; 
	useNoInLot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PlnCcrProductionPlanServiceProxy,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this.l('Plan Sequence'),headerTooltip: this.l('Plan Sequence'),field: 'planSequence',flex: 1},
			{headerName: this.l('Shop'),headerTooltip: this.l('Shop'),field: 'shop',flex: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this.l('Body'),headerTooltip: this.l('Body'),field: 'body',flex: 1},
			{headerName: this.l('Date In'),headerTooltip: this.l('Date In'),field: 'dateIn',valueGetter: (params) =&gt; this.pipe.transform(params.data?.dateIn, 'dd/MM/yyyy'),flex: 1},
			{headerName: this.l('Time In'),headerTooltip: this.l('Time In'),field: 'timeIn',flex: 1},
			{headerName: this.l('Date Time In'),headerTooltip: this.l('Date Time In'),field: 'dateTimeIn',valueGetter: (params) =&gt; this.pipe.transform(params.data?.dateTimeIn, 'dd/MM/yyyy'),flex: 1},
			{headerName: this.l('Supplier No'),headerTooltip: this.l('Supplier No'),field: 'supplierNo',flex: 1},
			{headerName: this.l('Use Lot No'),headerTooltip: this.l('Use Lot No'),field: 'useLotNo',flex: 1},
			{headerName: this.l('Supplier No 2'),headerTooltip: this.l('Supplier No 2'),field: 'supplierNo2',flex: 1},
			{headerName: this.l('Use Lot No 2'),headerTooltip: this.l('Use Lot No 2'),field: 'useLotNo2',flex: 1},
			{headerName: this.l('Use No In Lot'),headerTooltip: this.l('Use No In Lot'),field: 'useNoInLot',flex: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this.planSequence,
			this.shop,
			this.model,
			this.lotNo,
			this.noInLot,
			this.grade,
			this.body,
			this.dateIn,
			this.timeIn,
			this.dateTimeIn,
			this.supplierNo,
			this.useLotNo,
			this.supplierNo2,
			this.useLotNo2,
			this.useNoInLot,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this.planSequence = '',
		this.shop = '',
		this.model = '',
		this.lotNo = '',
		this.noInLot = '',
		this.grade = '',
		this.body = '',
		this.dateIn = '',
		this.timeIn = '',
		this.dateTimeIn = '',
		this.supplierNo = '',
		this.useLotNo = '',
		this.supplierNo2 = '',
		this.useLotNo2 = '',
		this.useNoInLot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this.planSequence,
			this.shop,
			this.model,
			this.lotNo,
			this.noInLot,
			this.grade,
			this.body,
			this.dateIn,
			this.timeIn,
			this.dateTimeIn,
			this.supplierNo,
			this.useLotNo,
			this.supplierNo2,
			this.useLotNo2,
			this.useNoInLot,
			'',
            this.paginationParams.skipCount,
            this.paginationParams.pageSize
        );
    }
    onChangeRowSelection(params: { api: { getSelectedRows: () =&gt; PlnCcrProductionPlanDto[] } }) {
        this.saveSelectedRow = params.api.getSelectedRows()[0] ?? new PlnCcrProductionPlanDto();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PlnCcrProductionPlanDto):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this._service.getProductionPlanToExcel(
			this.planSequence,
			this.shop,
			this.model,
			this.lotNo,
			this.noInLot,
			this.grade,
			this.body,
			this.dateIn,
			this.timeIn,
			this.dateTimeIn,
			this.supplierNo,
			this.useLotNo,
			this.supplierNo2,
			this.useLotNo2,
			this.useNoInLot,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Planning - CCR Production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[(ngModel)]='body' name='body'
									class='form-control' [placeholder]="l('Body')"
									type='text' (keyup.enter)='searchDatas()'&gt;
								&lt;/div&gt;
								&lt;div class='input-search'&gt;
									&lt;input type='text' [placeholder]="l('Date In')" [(ngModel)]='dateIn' 
									name='dateIn'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[placeholder]="l('Date Time In')" [(ngModel)]='dateTimeIn' 
									name='dateTimeIn'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[(ngModel)]='useLotNo' name='useLotNo'
									class='form-control' [placeholder]="l('Use Lot No')"
									type='text' (keyup.enter)='searchDatas()'&gt;
								&lt;/div&gt;
								&lt;div class='input-search'&gt;
									&lt;input [(ngModel)]='supplierNo2' name='supplierNo2'
									class='form-control' [placeholder]="l('Supplier No 2')"
									type='text' (keyup.enter)='searchDatas()'&gt;
								&lt;/div&gt;
								&lt;div class='input-search'&gt;
									&lt;input [(ngModel)]='useLotNo2' name='useLotNo2'
									class='form-control' [placeholder]="l('Use Lot No 2')"
									type='text' (keyup.enter)='searchDatas()'&gt;
								&lt;/div&gt;
								&lt;div class='input-search'&gt;
									&lt;input [(ngModel)]='useNoInLot' name='useNoInLot'
									class='form-control' [placeholder]="l('Use No In Lot')"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(click)="createOrEditModalProductionPlan.show()"&gt;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(click)="createOrEditModalProductionPlan.show(selectedRow)"&gt;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&lt;create-or-edit-productionplan-modal
    #createOrEditModalProductionPlan
    (modalSave)="callBackDataGrid(dataParams)"
    (modalClose)="onChangeRowSelection(dataParams)"
&gt;
&lt;/create-or-edit-productionplan-modal&gt;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#createOrEditModalProductionPlan="bs-modal"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ProductionPlan')}}&lt;/h3&gt;
                    &lt;h3 *ngIf="!rowdata.id"&gt;{{('Create New ProductionPlan')}}&lt;/h3&gt;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title'&gt;Body&lt;/label&gt;
						&lt;input type='text' class='col-md-10 form-control input-text' name='Body' [(ngModel)]='rowdata.body'&gt;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title'&gt;Time In&lt;/label&gt;
						&lt;input type='text' class='col-md-10 form-control input-text' name='timeIn' 
						#datepicker='bsDatepicker' [(ngModel)]='rowdata.timeIn'  bsDatepicker &gt;
					&lt;/div&gt;
					&lt;div class='col-md-12 form-group row'&gt;
						&lt;label class='col-md-2 form-control title'&gt;Date Time In&lt;/label&gt;
						&lt;input type='text' class='col-md-10 form-control input-text' name='dateTimeIn' 
						#datepicker='bsDatepicker' [(ngModel)]='rowdata.dateTimeIn'  bsDatepicker 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title'&gt;Use Lot No&lt;/label&gt;
						&lt;input type='text' class='col-md-10 form-control input-text' name='UseLotNo' [(ngModel)]='rowdata.useLotNo'&gt;
					&lt;/div&gt;
					&lt;div class='col-md-12 form-group row'&gt;
						&lt;label class='col-md-2 form-control title'&gt;Supplier No 2&lt;/label&gt;
						&lt;input type='text' class='col-md-10 form-control input-text' name='SupplierNo2' [(ngModel)]='rowdata.supplierNo2'&gt;
					&lt;/div&gt;
					&lt;div class='col-md-12 form-group row'&gt;
						&lt;label class='col-md-2 form-control title'&gt;Use Lot No 2&lt;/label&gt;
						&lt;input type='text' class='col-md-10 form-control input-text' name='UseLotNo2' [(ngModel)]='rowdata.useLotNo2'&gt;
					&lt;/div&gt;
					&lt;div class='col-md-12 form-group row'&gt;
						&lt;label class='col-md-2 form-control title'&gt;Use No In Lot&lt;/label&gt;
						&lt;input type='text' class='col-md-10 form-control input-text' name='UseNoInLot' [(ngModel)]='rowdata.useNoInLot'&gt;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CreateOrEditPlnCcrProductionPlanDto, PlnCcrProductionPlanServiceProxy } from '@shared/service-proxies/service-proxies';
import { BsDatepickerDirective } from 'ngx-bootstrap/datepicker';
@Component({
    selector: 'create-or-edit-productionplan-modal',
    templateUrl: './create-or-edit-productionplan-modal.component.html',
    styleUrls: ['./create-or-edit-productionplan-modal.component.less']
    })
export class CreateOrEditProductionPlanModalComponent extends AppComponentBase {
    @ViewChild('createOrEditModalProductionPlan',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CreateOrEditPlnCcrProductionPlanDto = new CreateOrEditPlnCcrProductionPlanDto();
    active: boolean = false;
    saving: boolean = false;
    _model
: boolean;
    constructor(
        injector: Injector,
        private _mstwptProductionPlanService: PlnCcrProductionPlanServiceProxy,
    ) 
    {
        super(injector);
    }
    show(rowdata?: CreateOrEditPlnCcrProductionPlanDto): void {
        if (!rowdata) this.rowdata = new CreateOrEditPlnCcrProductionPlanDto();
        else this.rowdata = rowdata;
		const dateValue =  this.rowdata.dateIn ? new Date(this.rowdata.dateIn?.toString()) : new Date();
		this.datepicker?.bsValueChange.emit(dateValue);
		const dateValue =  this.rowdata.dateTimeIn ? new Date(this.rowdata.dateTimeIn?.toString()) : new Date();
		this.datepicker?.bsValueChange.emit(dateValue);
        this._model
 = (this.rowdata.model
 == "N")? false: true;
        this.active = true;
        this.modal.show();
    } 
    changeActive(event){
        this._model
 = event.target.checked;
    }
    save(): void {
    this.saving = true; 
    this.rowdata.model
 = (this._model
 == true) ? 'Y' : 'N'
    this._mstwptProductionPlanService.createOrEdit(this.rowdata)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ProductionPlanRoutingModule } from './productionplan-routing.module';
import { ProductionPlanComponent } from './productionplan.component';
import { CreateOrEditProductionPlanModalComponent } from './create-or-edit-productionplan-modal.component';
@NgModule({
    declarations: [
       ProductionPlanComponent, 
        CreateOrEditProductionPlanModalComponent
    ],
    imports: [
        AppSharedModule, ProductionPlanRoutingModule]
})
export class ProductionPlanModule {}</v>
      </c>
      <c r="J65" s="49" t="str">
        <f>B.Frontend!O10</f>
        <v>import {NgModule} from '@angular/core';
import {RouterModule, Routes} from '@angular/router';
import { ProductionPlanComponent } from './productionplan.component';
const routes: Routes = [{
    path: '',
    component: ProductionPlanComponent,
    pathMatch: 'full'
}];
@NgModule({
    imports: [RouterModule.forChild(routes)],
    exports: [RouterModule],
})
export class ProductionPlanRoutingModule {}</v>
      </c>
      <c r="K65" s="49" t="str">
        <f>B.Frontend!P10</f>
        <v xml:space="preserve"> new AppMenuItem("ProductionPlan", "Pages.Plan.Ccr.ProductionPlan", "flaticon-book",   "/app/main/plan/ccr/productionplan"),</v>
      </c>
      <c r="L65" s="50" t="str">
        <f>B.Frontend!Q10</f>
        <v>{
    path: 'plan/ccr/productionplan',
    loadChildren: () =&gt; import('./plan/ccr/productionplan/productionplan.module').then(m =&gt; m.ProductionPlanModule),
    data: { permission: 'Pages.Plan.Ccr.ProductionPlan' }
},</v>
      </c>
      <c r="M65" s="48" t="str">
        <f>B.Frontend!R10</f>
        <v>ApiServiceProxies.PlnCcrProductionPlanServiceProxy,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5"/>
  <sheetViews>
    <sheetView tabSelected="1" workbookViewId="0">
      <pane xSplit="1" topLeftCell="B1" activePane="topRight" state="frozen"/>
      <selection pane="topRight" activeCell="K15" sqref="K15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vovina.Plan.Ccr.Dto;</v>
      </c>
      <c r="E1" s="10" t="s">
        <v>267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259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258</v>
      </c>
    </row>
    <row r="3" spans="1:23" s="11" customFormat="1" ht="33" customHeight="1" x14ac:dyDescent="0.25">
      <c r="A3" s="1" t="s">
        <v>5</v>
      </c>
      <c r="B3" s="30" t="s">
        <v>323</v>
      </c>
      <c r="C3" s="10" t="s">
        <v>43</v>
      </c>
      <c r="D3" s="10" t="s">
        <v>44</v>
      </c>
      <c r="E3" s="10" t="s">
        <v>39</v>
      </c>
      <c r="F3" s="11" t="str">
        <f>"J"&amp;COUNTA($A:$A)</f>
        <v>J23</v>
      </c>
      <c r="G3" s="4" t="s">
        <v>57</v>
      </c>
      <c r="H3" s="10" t="str">
        <f>"I"&amp;COUNTA($A:$A)</f>
        <v>I23</v>
      </c>
      <c r="I3" s="10" t="str">
        <f>REPT(CHAR(9),2)&amp;"[Required]"&amp;"
"</f>
        <v xml:space="preserve">		[Required]
</v>
      </c>
      <c r="J3" s="11" t="str">
        <f>"L"&amp;COUNTA($A:$A)</f>
        <v>L23</v>
      </c>
      <c r="K3" s="5" t="s">
        <v>56</v>
      </c>
      <c r="L3" s="11" t="str">
        <f>"M"&amp;COUNTA($A:$A)</f>
        <v>M23</v>
      </c>
      <c r="M3" s="11" t="str">
        <f>"N"&amp;COUNTA($A:$A)</f>
        <v>N23</v>
      </c>
      <c r="N3" s="11" t="str">
        <f>"O"&amp;COUNTA($A:$A)</f>
        <v>O23</v>
      </c>
      <c r="O3" s="11" t="str">
        <f>"P"&amp;COUNTA($A:$A)</f>
        <v>P23</v>
      </c>
      <c r="Q3" s="11" t="str">
        <f>RIGHT(B2,(LEN(B2)-FIND(".",B2,1)))</f>
        <v>Ccr</v>
      </c>
      <c r="R3" s="32" t="str">
        <f>REPT(CHAR(9),1)&amp;"public class "&amp;B3&amp;"ExportInput"&amp;C3</f>
        <v xml:space="preserve">	public class PlnCcrProductionPlanExportInput{
</v>
      </c>
      <c r="S3" s="11" t="str">
        <f>"namespace "&amp;$B$6&amp;".Exporting
"&amp;$C$3</f>
        <v xml:space="preserve">namespace vovina.Plan.Ccr.Exporting
{
</v>
      </c>
      <c r="T3" s="11" t="str">
        <f>"T"&amp;COUNTA($A:$A)</f>
        <v>T23</v>
      </c>
      <c r="V3" s="11" t="str">
        <f>"V"&amp;COUNTA($A:$A)</f>
        <v>V23</v>
      </c>
      <c r="W3" s="10" t="str">
        <f>"W"&amp;COUNTA($A:$A)</f>
        <v>W23</v>
      </c>
    </row>
    <row r="4" spans="1:23" s="11" customFormat="1" ht="33" customHeight="1" x14ac:dyDescent="0.25">
      <c r="A4" s="1" t="s">
        <v>237</v>
      </c>
      <c r="B4" s="64" t="s">
        <v>321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324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vovina.Plan.Ccr</v>
      </c>
      <c r="C6" s="11" t="str">
        <f>"namespace "&amp;$B$6&amp;"
"&amp;$C$3</f>
        <v xml:space="preserve">namespace vovina.Plan.Ccr
{
</v>
      </c>
      <c r="D6" s="11" t="str">
        <f>REPT(CHAR(9),1)&amp;"public class "&amp;B3&amp;G3&amp;REPT(CHAR(9),1)&amp;"
"&amp;REPT(CHAR(9),1)&amp;C3</f>
        <v xml:space="preserve">	public class PlnCcrProductionPlan: FullAuditedEntity&lt;long&gt;, IEntity&lt;long&gt;	
	{
</v>
      </c>
      <c r="E6" s="11" t="str">
        <f>REPT(CHAR(9),1)&amp;"public class "&amp;B3&amp;"Consts"&amp;REPT(CHAR(9),1)&amp;"
"&amp;REPT(CHAR(9),1)&amp;C3</f>
        <v xml:space="preserve">	public class PlnCcrProductionPlanConsts	
	{
</v>
      </c>
      <c r="F6" s="11" t="str">
        <f>REPT(CHAR(9),1)&amp;"public class "&amp;B3&amp;"Dto"&amp;K3&amp;REPT(CHAR(9),1)&amp;"
"&amp;REPT(CHAR(9),1)&amp;C3</f>
        <v xml:space="preserve">	public class PlnCcrProductionPlanDto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CreateOrEditPlnCcrProductionPlanDto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GetPlnCcrProductionPlanInput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PlnCcrProductionPlan</v>
      </c>
      <c r="C7" s="11" t="str">
        <f>REPT(CHAR(9),1)&amp;"[Table("""&amp;B7&amp;""")]"&amp;"
"</f>
        <v xml:space="preserve">	[Table("PlnCcrProductionPlan")]
</v>
      </c>
      <c r="D7" s="11"/>
      <c r="E7" s="11"/>
      <c r="F7" s="11"/>
      <c r="G7" s="11"/>
      <c r="H7" s="11"/>
      <c r="I7" s="11"/>
      <c r="J7" s="6" t="str">
        <f ca="1">SUBSTITUTE(SUBSTITUTE((B1&amp;C6&amp;C7&amp;K25&amp;D6&amp;I25&amp;E3&amp;J25&amp;""&amp;REPT(CHAR(9),1)&amp;D3&amp;D3),"WorkingPattern",$Q$3),"Master",$B$4)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vovina.Plan.Ccr
{
	[Table("PlnCcrProductionPlan")]
	[Index(nameof(Shop), Name="IX_PlnCcrProductionPlan_Shop")]
	[Index(nameof(LotNo), Name="IX_PlnCcrProductionPlan_LotNo")]
	[Index(nameof(NoInLot), Name="IX_PlnCcrProductionPlan_NoInLot")]
	public class PlnCcrProductionPlan: FullAuditedEntity&lt;long&gt;, IEntity&lt;long&gt;	
	{
		public const int MaxShopLength = 10;
		public const int MaxModelLength = 1;
		public const int MaxLotNoLength = 50;
		public const int MaxNoInLotLength = 50;
		public const int MaxGradeLength = 2;
		public const int MaxBodyLength = 50;
		public const int MaxSupplierNoLength = 50;
		public const int MaxUseLotNoLength = 50;
		public const int MaxSupplierNo2Length = 50;
		public const int MaxUseLotNo2Length = 50;
		public const int MaxUseNoInLotLength = 50;
		public virtual long PlanSequence { get; set; }
		[StringLength(MaxShopLength)]
		public virtual string Shop { get; set; }
		[StringLength(MaxModelLength)]
		public virtual string Model { get; set; }
		[StringLength(MaxLotNoLength)]
		public virtual string LotNo { get; set; }
		[StringLength(MaxNoInLotLength)]
		public virtual string NoInLot { get; set; }
		[StringLength(MaxGradeLength)]
		public virtual string Grade { get; set; }
		[StringLength(MaxBodyLength)]
		public virtual string Body { get; set; }
		[Column(TypeName="date")]
		public virtual DateTime DateIn { get; set; }
		[Column(TypeName="time(7)")]
		public virtual TimeSpan TimeIn { get; set; }
		[Column(TypeName="datetime2(7)")]
		public virtual DateTime DateTimeIn { get; set; }
		[StringLength(MaxSupplierNoLength)]
		public virtual string SupplierNo { get; set; }
		[StringLength(MaxUseLotNoLength)]
		public virtual string UseLotNo { get; set; }
		[StringLength(MaxSupplierNo2Length)]
		public virtual string SupplierNo2 { get; set; }
		[StringLength(MaxUseLotNo2Length)]
		public virtual string UseLotNo2 { get; set; }
		[StringLength(MaxUseNoInLotLength)]
		public virtual string UseNoInLot { get; set; }
	}
}
</v>
      </c>
      <c r="K7" t="str">
        <f>SUBSTITUTE(SUBSTITUTE(("public virtual DbSet&lt;"&amp;B3&amp;"&gt; "&amp;B3&amp;"s { get; set; }"),"WorkingPattern",$Q$3),"Master",$B$4)</f>
        <v>public virtual DbSet&lt;PlnCcrProductionPlan&gt; PlnCcrProductionPlans { get; set; }</v>
      </c>
      <c r="L7" t="str">
        <f ca="1">SUBSTITUTE(SUBSTITUTE((C6&amp;E6&amp;I25&amp;"
"&amp;REPT(CHAR(9),2)&amp;"// Define Store Name: Format SP_ + &lt;Store Name&gt; = &lt;Store Name&gt;
"&amp;E3&amp;REPT(CHAR(9),1)&amp;D3&amp;D3),"WorkingPattern",$Q$3),"Master",$B$4)</f>
        <v xml:space="preserve">namespace vovina.Plan.Ccr
{
	public class PlnCcrProductionPlanConsts	
	{
		public const int MaxShopLength = 10;
		public const int MaxModelLength = 1;
		public const int MaxLotNoLength = 50;
		public const int MaxNoInLotLength = 50;
		public const int MaxGradeLength = 2;
		public const int MaxBodyLength = 50;
		public const int MaxSupplierNoLength = 50;
		public const int MaxUseLotNoLength = 50;
		public const int MaxSupplierNo2Length = 50;
		public const int MaxUseLotNo2Length = 50;
		public const int MaxUseNoInLotLength = 50;
		// Define Store Name: Format SP_ + &lt;Store Name&gt; = &lt;Store Name&gt;
	}
}
</v>
      </c>
      <c r="M7" t="str">
        <f ca="1">SUBSTITUTE(SUBSTITUTE((C1&amp;"namespace "&amp;B6&amp;".Dto"&amp;E3&amp;C3&amp;F6&amp;M25&amp;E3&amp;REPT(CHAR(9),1)&amp;D3&amp;G6&amp;N25&amp;REPT(CHAR(9),1)&amp;D3&amp;H6&amp;O25&amp;"
"&amp;REPT(CHAR(9),1)&amp;D3&amp;D3),"WorkingPattern",$Q$3),"Master",$B$4)</f>
        <v xml:space="preserve">using Abp.Application.Services.Dto;
using System;
using System.ComponentModel.DataAnnotations;
namespace vovina.Plan.Ccr.Dto
{
	public class PlnCcrProductionPlanDto : EntityDto&lt;long?&gt;	
	{
		public virtual long PlanSequence { get; set; }
		public virtual string Shop { get; set; }
		public virtual string Model { get; set; }
		public virtual string LotNo { get; set; }
		public virtual string NoInLot { get; set; }
		public virtual string Grade { get; set; }
		public virtual string Body { get; set; }
		public virtual DateTime? DateIn { get; set; }
		public virtual TimeSpan? TimeIn { get; set; }
		public virtual DateTime? DateTimeIn { get; set; }
		public virtual string SupplierNo { get; set; }
		public virtual string UseLotNo { get; set; }
		public virtual string SupplierNo2 { get; set; }
		public virtual string UseLotNo2 { get; set; }
		public virtual string UseNoInLot { get; set; }
	}
	public class CreateOrEditPlnCcrProductionPlanDto : EntityDto&lt;long?&gt;	
	{
		public virtual long PlanSequence { get; set; }
		[StringLength(PlnCcrProductionPlanConsts.MaxShopLength)]
		public virtual string Shop { get; set; }
		[StringLength(PlnCcrProductionPlanConsts.MaxModelLength)]
		public virtual string Model { get; set; }
		[StringLength(PlnCcrProductionPlanConsts.MaxLotNoLength)]
		public virtual string LotNo { get; set; }
		[StringLength(PlnCcrProductionPlanConsts.MaxNoInLotLength)]
		public virtual string NoInLot { get; set; }
		[StringLength(PlnCcrProductionPlanConsts.MaxGradeLength)]
		public virtual string Grade { get; set; }
		[StringLength(PlnCcrProductionPlanConsts.MaxBodyLength)]
		public virtual string Body { get; set; }
		public virtual DateTime? DateIn { get; set; }
		public virtual TimeSpan? TimeIn { get; set; }
		public virtual DateTime? DateTimeIn { get; set; }
		[StringLength(PlnCcrProductionPlanConsts.MaxSupplierNoLength)]
		public virtual string SupplierNo { get; set; }
		[StringLength(PlnCcrProductionPlanConsts.MaxUseLotNoLength)]
		public virtual string UseLotNo { get; set; }
		[StringLength(PlnCcrProductionPlanConsts.MaxSupplierNo2Length)]
		public virtual string SupplierNo2 { get; set; }
		[StringLength(PlnCcrProductionPlanConsts.MaxUseLotNo2Length)]
		public virtual string UseLotNo2 { get; set; }
		[StringLength(PlnCcrProductionPlanConsts.MaxUseNoInLotLength)]
		public virtual string UseNoInLot { get; set; }
	}
	public class GetPlnCcrProductionPlanInput : PagedAndSortedResultRequestDto	
	{
		public virtual string Shop { get; set; }
		public virtual string Model { get; set; }
		public virtual string LotNo { get; set; }
		public virtual string NoInLot { get; set; }
		public virtual string Grade { get; set; }
		public virtual string Body { get; set; }
		public virtual DateTime? DateIn { get; set; }
		public virtual DateTime? DateTimeIn { get; set; }
		public virtual string SupplierNo { get; set; }
		public virtual string UseLotNo { get; set; }
		public virtual string SupplierNo2 { get; set; }
		public virtual string UseLotNo2 { get; set; }
		public virtual string UseNoInLot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perPlnCcrProductionPlan = PARENTS.CreateChildPermission(AppPermissions.Pages_Plan_Ccr_ProductionPlan, L( "PlanCcrProductionPlan"), multiTenancySides: MultiTenancySides.Tenant);
		perPlnCcrProductionPlan.CreateChildPermission(AppPermissions.Pages_Plan_Ccr_ProductionPlan_CreateEdit, L( "PlanCcrProductionPlanCreateEdit"), multiTenancySides: MultiTenancySides.Tenant);
		perPlnCcrProductionPlan.CreateChildPermission(AppPermissions.Pages_Plan_Ccr_ProductionPlan_Delete, L( "PlanCcrProductionPlanDelete"),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Pages_Plan_Ccr_ProductionPlan = "Pages.Plan.Ccr.ProductionPlan";
		public const string Pages_Plan_Ccr_ProductionPlan_CreateEdit = "Pages.Plan.Ccr.ProductionPlan.CreateEdit";
		public const string Pages_Plan_Ccr_ProductionPlan_Delete = "Pages.Plan.Ccr.ProductionPlan.Delete";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vovina.Plan.Ccr.Dto;
namespace vovina.Plan.Ccr
{
	public interface IPlnCcrProductionPlanAppService : IApplicationService
	{
		Task&lt;PagedResultDto&lt;PlnCcrProductionPlanDto&gt;&gt; GetAll(GetPlnCcrProductionPlanInput input);
		Task CreateOrEdit(CreateOrEditPlnCcrProductionPlanDto input);
		Task Delete(EntityDto input);
	}
}
</v>
      </c>
      <c r="Q7" t="str">
        <f ca="1">SUBSTITUTE(SUBSTITUTE(SUBSTITUTE(SUBSTITUTE(SUBSTITUTE(SUBSTITUTE(E1,"MstWptCalendar",$B$3),"&lt;PROPERTIES&gt;",P25),"Calendar",$B$5),"WorkingPattern",$Q$3),"Master",$B$4),"&lt;PARAMS_SEARCH&gt;",$W$25)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vovina.Plan.Ccr.Dto;
using vovina.Plan.Ccr.Exporting;
namespace vovina.Plan.Ccr
{
    [AbpAuthorize(AppPermissions.Pages_Plan_Ccr_ProductionPlan)]
    public class PlnCcrProductionPlanAppService : vovinaAppServiceBase, IPlnCcrProductionPlanAppService
    {
        private readonly IDapperRepository&lt;PlnCcrProductionPlan, long&gt; _dapperRepo;
        private readonly IRepository&lt;PlnCcrProductionPlan, long&gt; _repo;
        private readonly IPlnCcrProductionPlanExcelExporter _calendarListExcelExporter;
        public PlnCcrProductionPlanAppService(IRepository&lt;PlnCcrProductionPlan,long&gt; repo, 
                                         IDapperRepository&lt;PlnCcrProductionPlan,long&gt; dapperRepo,
                                        IPlnCcrProductionPlanExcelExporter calendarListExcelExporter
            )
        {
            _repo = repo;
            _dapperRepo = dapperRepo;
            _calendarListExcelExporter = calendarListExcelExporter;
        }
        [AbpAuthorize(AppPermissions.Pages_Plan_Ccr_ProductionPlan_CreateEdit)]
        public async Task CreateOrEdit(CreateOrEditPlnCcrProductionPlanDto input)
        {
            if (input.Id == null) await Create(input);
            else await Update(input);
        }
        //CREATE
        private async Task Create(CreateOrEditPlnCcrProductionPlanDto input)
        {          
            var mainObj = ObjectMapper.Map&lt;PlnCcrProductionPlan&gt;(input);
            await CurrentUnitOfWork.GetDbContext&lt;vovinaDbContext&gt;().AddAsync(mainObj);
        }
        // EDIT
        private async Task Update(CreateOrEditPlnCcrProductionPlanDto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[AbpAuthorize(AppPermissions.Pages_Plan_Ccr_ProductionPlan_Delete)]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Task&lt;PagedResultDto&lt;PlnCcrProductionPlanDto&gt;&gt; GetAll(GetPlnCcrProductionPlanInput input)
        {
            var filtered = _repo.GetAll()
				.WhereIf(!string.IsNullOrWhiteSpace(input.Shop), e =&gt; e.Shop.Contains(input.Shop))
				.WhereIf(!string.IsNullOrWhiteSpace(input.Model), e =&gt; e.Model.Contains(input.Model))
				.WhereIf(!string.IsNullOrWhiteSpace(input.LotNo), e =&gt; e.LotNo.Contains(input.LotNo))
				.WhereIf(!string.IsNullOrWhiteSpace(input.NoInLot), e =&gt; e.NoInLot.Contains(input.NoInLot))
				.WhereIf(!string.IsNullOrWhiteSpace(input.Grade), e =&gt; e.Grade.Contains(input.Grade))
				.WhereIf(!string.IsNullOrWhiteSpace(input.Body), e =&gt; e.Body.Contains(input.Body))
				.WhereIf(input.DateIn.HasValue, t =&gt; t.DateIn == input.DateIn.Value)
				.WhereIf(input.DateTimeIn.HasValue, t =&gt; t.DateTimeIn == input.DateTimeIn.Value)
				.WhereIf(!string.IsNullOrWhiteSpace(input.SupplierNo), e =&gt; e.SupplierNo.Contains(input.SupplierNo))
				.WhereIf(!string.IsNullOrWhiteSpace(input.UseLotNo), e =&gt; e.UseLotNo.Contains(input.UseLotNo))
				.WhereIf(!string.IsNullOrWhiteSpace(input.SupplierNo2), e =&gt; e.SupplierNo2.Contains(input.SupplierNo2))
				.WhereIf(!string.IsNullOrWhiteSpace(input.UseLotNo2), e =&gt; e.UseLotNo2.Contains(input.UseLotNo2))
				.WhereIf(!string.IsNullOrWhiteSpace(input.UseNoInLot), e =&gt; e.UseNoInLot.Contains(input.UseNoInLot))                   
				;
            var pageAndFiltered = filtered.OrderBy(s =&gt; s.Id);
            var system = from o in pageAndFiltered
                         select new PlnCcrProductionPlanDto
                        {
							Id = o.Id,
							PlanSequence = o.PlanSequence,
							Shop = o.Shop,
							Model = o.Model,
							LotNo = o.LotNo,
							NoInLot = o.NoInLot,
							Grade = o.Grade,
							Body = o.Body,
							DateIn = o.DateIn,
							TimeIn = o.TimeIn,
							DateTimeIn = o.DateTimeIn,
							SupplierNo = o.SupplierNo,
							UseLotNo = o.UseLotNo,
							SupplierNo2 = o.SupplierNo2,
							UseLotNo2 = o.UseLotNo2,
							UseNoInLot = o.UseNoInLot,
                        };
            var totalCount = await filtered.CountAsync();
			var paged = system.PageBy(input);
            return new PagedResultDto&lt;PlnCcrProductionPlanDto&gt;(
                totalCount,
                 await paged.ToListAsync()
            );
        }
        public async Task&lt;FileDto&gt; GetProductionPlanToExcel(PlnCcrProductionPlanExportInput input)
        {
            var query = from o in _repo.GetAll()
                        select new PlnCcrProductionPlanDto
                        {
							Id = o.Id,
							PlanSequence = o.PlanSequence,
							Shop = o.Shop,
							Model = o.Model,
							LotNo = o.LotNo,
							NoInLot = o.NoInLot,
							Grade = o.Grade,
							Body = o.Body,
							DateIn = o.DateIn,
							TimeIn = o.TimeIn,
							DateTimeIn = o.DateTimeIn,
							SupplierNo = o.SupplierNo,
							UseLotNo = o.UseLotNo,
							SupplierNo2 = o.SupplierNo2,
							UseLotNo2 = o.UseLotNo2,
							UseNoInLot = o.UseNoInLot,
                        };
            var exportToExcel = await query.ToListAsync();
            return _calendarListExcelExporter.ExportToFile(exportToExcel);
        }
       // public async Task GenerateAsync()
      //  {
        //    await _dapperRepo.ExecuteAsync(PlnCcrProductionPlanConsts.SP_MST_WPT_CALENDAR_GENERATE);
       // }
    }
}</v>
      </c>
      <c r="R7" t="str">
        <f ca="1">SUBSTITUTE(SUBSTITUTE((C1&amp;"namespace "&amp;B6&amp;".Dto"&amp;E3&amp;C3&amp;R3&amp;M25&amp;E3&amp;REPT(CHAR(9),1)&amp;D3&amp;D3),"WorkingPattern",$Q$3),"Master",$B$4)</f>
        <v xml:space="preserve">using Abp.Application.Services.Dto;
using System;
using System.ComponentModel.DataAnnotations;
namespace vovina.Plan.Ccr.Dto
{
	public class PlnCcrProductionPlanExportInput{
		public virtual long PlanSequence { get; set; }
		public virtual string Shop { get; set; }
		public virtual string Model { get; set; }
		public virtual string LotNo { get; set; }
		public virtual string NoInLot { get; set; }
		public virtual string Grade { get; set; }
		public virtual string Body { get; set; }
		public virtual DateTime? DateIn { get; set; }
		public virtual TimeSpan? TimeIn { get; set; }
		public virtual DateTime? DateTimeIn { get; set; }
		public virtual string SupplierNo { get; set; }
		public virtual string UseLotNo { get; set; }
		public virtual string SupplierNo2 { get; set; }
		public virtual string UseLotNo2 { get; set; }
		public virtual string UseNoInLot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vovina.Plan.Ccr.Dto;
namespace vovina.Plan.Ccr.Exporting
{
	public interface IPlnCcrProductionPlanExcelExporter : IApplicationService
	{
		FileDto ExportToFile(List&lt;PlnCcrProductionPlanDto&gt; plnccrproductionplan);
	}
}
</v>
      </c>
      <c r="T7" s="28" t="str">
        <f ca="1">SUBSTITUTE(SUBSTITUTE(SUBSTITUTE(SUBSTITUTE(SUBSTITUTE(SUBSTITUTE(SUBSTITUTE(T1,"MstWptCalendar",$B$3),"&lt;PROPERTIES1&gt;",V25),"&lt;PROPERTIES&gt;",T25),"Calendar",$B$5),"calendar",LOWER(B5)),"WorkingPattern",$Q$3),"Master",$B$4)</f>
        <v>using System.Collections.Generic;
using vovina.DataExporting.Excel.NPOI;
using vovina.Dto;
using vovina.Plan.Ccr.Exporting;
using vovina.Plan.Ccr.Dto;
using vovina.Storage;
using vovina.Plan.Ccr.Dto;
namespace vovina.Plan.Ccr.Exporting
{
    public class PlnCcrProductionPlanExcelExporter : NpoiExcelExporterBase, IPlnCcrProductionPlanExcelExporter
    {
        public PlnCcrProductionPlanExcelExporter(ITempFileCacheManager tempFileCacheManager) : base(tempFileCacheManager) { }
        public FileDto ExportToFile(List&lt;PlnCcrProductionPlanDto&gt; productionplan)
        {
            return CreateExcelPackage(
				"PlanCcrProductionPlan.xlsx",
				excelPackage =&gt;
				 {
					var sheet = excelPackage.CreateSheet("ProductionPlan");
					AddHeader(
								sheet,
								("PlanSequence"),
								("Shop"),
								("Model"),
								("LotNo"),
								("NoInLot"),
								("Grade"),
								("Body"),
								("DateIn"),
								("TimeIn"),
								("DateTimeIn"),
								("SupplierNo"),
								("UseLotNo"),
								("SupplierNo2"),
								("UseLotNo2"),
								("UseNoInLot"),
							   );
					AddObjects(
						 sheet, 1, productionplan,                                       
								_ =&gt; _.PlanSequence,
								_ =&gt; _.Shop,
								_ =&gt; _.Model,
								_ =&gt; _.LotNo,
								_ =&gt; _.NoInLot,
								_ =&gt; _.Grade,
								_ =&gt; _.Body,
								_ =&gt; _.DateIn,
								_ =&gt; _.TimeIn,
								_ =&gt; _.DateTimeIn,
								_ =&gt; _.SupplierNo,
								_ =&gt; _.UseLotNo,
								_ =&gt; _.SupplierNo2,
								_ =&gt; _.UseLotNo2,
								_ =&gt; _.UseNoInLot,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configuration.CreateMap&lt;PlnCcrProductionPlanDto, PlnCcrProductionPlan&gt;();
  configuration.CreateMap&lt;PlnCcrProductionPlan, PlnCcrProductionPlanDto&gt;();
  configuration.CreateMap&lt;CreateOrEditPlnCcrProductionPlanDto, PlnCcrProductionPlan&gt;();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5">
      <c r="A9" t="s">
        <v>325</v>
      </c>
      <c r="B9" t="s">
        <v>0</v>
      </c>
      <c r="C9" t="s">
        <v>1</v>
      </c>
      <c r="D9" t="str">
        <f>SUBSTITUTE(PROPER(A9),"_","")</f>
        <v>PlanSequence</v>
      </c>
      <c r="E9" t="str">
        <f t="shared" ref="E9:E11" si="0">IFERROR(LEFT(B9, FIND("(",B9)-1),B9)</f>
        <v>bigint</v>
      </c>
      <c r="F9" s="7"/>
      <c r="G9" t="str">
        <f t="shared" ref="G9:G11" si="1">IFERROR(MID(B9,FIND("(",B9) +1, FIND(")",B9) - FIND("(",B9) - 1),"")</f>
        <v/>
      </c>
      <c r="H9" t="str">
        <f>+VLOOKUP(E9,'Data Type Mapping'!A:B,2,)</f>
        <v>long</v>
      </c>
      <c r="I9" t="str">
        <f t="shared" ref="I9:I11" si="2">IF(H9="string",REPT(CHAR(9),2)&amp;"public const int Max"&amp;D9&amp;"Length = "&amp;G9&amp;";"&amp;$E$3,"" )</f>
        <v/>
      </c>
      <c r="J9" t="str">
        <f t="shared" ref="J9:J11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long PlanSequence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>REPT(CHAR(9),2)&amp;"public virtual "&amp;IF(OR(H9="DateTime",H9="TimeSpan"),H9&amp;"?",H9)&amp;IF(C9="?","? "," ")&amp;D9&amp;" { get; set; }" &amp; "
"</f>
        <v xml:space="preserve">		public virtual long PlanSequence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long PlanSequence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1" si="4">REPT(CHAR(9),7)&amp;D9&amp;" = o." &amp;D9 &amp;","</f>
        <v xml:space="preserve">							PlanSequence = o.PlanSequence,</v>
      </c>
      <c r="T9" s="69" t="str">
        <f>REPT(CHAR(9),8)&amp;"("""&amp;D9&amp;"""),"</f>
        <v xml:space="preserve">								("PlanSequence"),</v>
      </c>
      <c r="V9" s="70" t="str">
        <f>REPT(CHAR(9),8)&amp;"_ =&gt; _."&amp;D9&amp;","</f>
        <v xml:space="preserve">								_ =&gt; _.PlanSequence,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21" customHeight="1" x14ac:dyDescent="0.25">
      <c r="A10" t="s">
        <v>326</v>
      </c>
      <c r="B10" t="s">
        <v>335</v>
      </c>
      <c r="C10" t="s">
        <v>1</v>
      </c>
      <c r="D10" t="str">
        <f t="shared" ref="D10:D11" si="5">SUBSTITUTE(PROPER(A10),"_","")</f>
        <v>Shop</v>
      </c>
      <c r="E10" t="str">
        <f t="shared" si="0"/>
        <v>varchar</v>
      </c>
      <c r="F10" s="7"/>
      <c r="G10" t="str">
        <f t="shared" si="1"/>
        <v>10</v>
      </c>
      <c r="H10" t="str">
        <f>+VLOOKUP(E10,'Data Type Mapping'!A:B,2,)</f>
        <v>string</v>
      </c>
      <c r="I10" t="str">
        <f t="shared" si="2"/>
        <v xml:space="preserve">		public const int MaxShopLength = 10;
</v>
      </c>
      <c r="J10" t="str">
        <f t="shared" si="3"/>
        <v xml:space="preserve">		[StringLength(MaxShopLength)]
		public virtual string Shop { get; set; }
</v>
      </c>
      <c r="K10" s="7" t="s">
        <v>206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[Index(nameof(Shop), Name="IX_PlnCcrProductionPlan_Shop")]</v>
      </c>
      <c r="M10" t="str">
        <f t="shared" ref="M10:M13" si="7">REPT(CHAR(9),2)&amp;"public virtual "&amp;IF(OR(H10="DateTime",H10="TimeSpan"),H10&amp;"?",H10)&amp;IF(C10="?","? "," ")&amp;D10&amp;" { get; set; }" &amp; "
"</f>
        <v xml:space="preserve">		public virtual string Shop { get; set; }
</v>
      </c>
      <c r="N10" t="str">
        <f t="shared" ref="N10:N13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[StringLength(PlnCcrProductionPlanConsts.MaxShopLength)]
		public virtual string Shop { get; set; }
</v>
      </c>
      <c r="O10" t="str">
        <f t="shared" ref="O10:O13" si="9">IF(OR(H10="string",H10="DateTime",H10="int"),REPT(CHAR(9),2)&amp;"public virtual "&amp;IF(OR(H10="DateTime",H10="TimeSpan"),H10&amp;"?",H10)&amp;IF(C10="?","? "," ")&amp;D10&amp;" { get; set; }"&amp;$E$3,"")</f>
        <v xml:space="preserve">		public virtual string Shop { get; set; }
</v>
      </c>
      <c r="P10" t="str">
        <f t="shared" si="4"/>
        <v xml:space="preserve">							Shop = o.Shop,</v>
      </c>
      <c r="T10" s="69" t="str">
        <f t="shared" ref="T10:T13" si="10">REPT(CHAR(9),8)&amp;"("""&amp;D10&amp;"""),"</f>
        <v xml:space="preserve">								("Shop"),</v>
      </c>
      <c r="V10" s="70" t="str">
        <f t="shared" ref="V10:V13" si="11">REPT(CHAR(9),8)&amp;"_ =&gt; _."&amp;D10&amp;","</f>
        <v xml:space="preserve">								_ =&gt; _.Shop,</v>
      </c>
      <c r="W10" s="69" t="str">
        <f t="shared" ref="W10:W13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.WhereIf(!string.IsNullOrWhiteSpace(input.Shop), e =&gt; e.Shop.Contains(input.Shop))</v>
      </c>
    </row>
    <row r="11" spans="1:23" customFormat="1" ht="18.75" customHeight="1" x14ac:dyDescent="0.25">
      <c r="A11" t="s">
        <v>327</v>
      </c>
      <c r="B11" t="s">
        <v>336</v>
      </c>
      <c r="C11" t="s">
        <v>1</v>
      </c>
      <c r="D11" t="str">
        <f t="shared" si="5"/>
        <v>Model</v>
      </c>
      <c r="E11" t="str">
        <f t="shared" si="0"/>
        <v>varchar</v>
      </c>
      <c r="F11" s="7"/>
      <c r="G11" t="str">
        <f t="shared" si="1"/>
        <v>1</v>
      </c>
      <c r="H11" t="str">
        <f>+VLOOKUP(E11,'Data Type Mapping'!A:B,2,)</f>
        <v>string</v>
      </c>
      <c r="I11" t="str">
        <f t="shared" si="2"/>
        <v xml:space="preserve">		public const int MaxModelLength = 1;
</v>
      </c>
      <c r="J11" t="str">
        <f t="shared" si="3"/>
        <v xml:space="preserve">		[StringLength(MaxModelLength)]
		public virtual string Model { get; set; }
</v>
      </c>
      <c r="K11" s="7"/>
      <c r="L11" t="str">
        <f t="shared" si="6"/>
        <v/>
      </c>
      <c r="M11" t="str">
        <f t="shared" si="7"/>
        <v xml:space="preserve">		public virtual string Model { get; set; }
</v>
      </c>
      <c r="N11" t="str">
        <f t="shared" si="8"/>
        <v xml:space="preserve">		[StringLength(PlnCcrProductionPlanConsts.MaxModelLength)]
		public virtual string Model { get; set; }
</v>
      </c>
      <c r="O11" t="str">
        <f t="shared" si="9"/>
        <v xml:space="preserve">		public virtual string Model { get; set; }
</v>
      </c>
      <c r="P11" t="str">
        <f t="shared" si="4"/>
        <v xml:space="preserve">							Model = o.Model,</v>
      </c>
      <c r="T11" s="69" t="str">
        <f t="shared" si="10"/>
        <v xml:space="preserve">								("Model"),</v>
      </c>
      <c r="V11" s="70" t="str">
        <f t="shared" si="11"/>
        <v xml:space="preserve">								_ =&gt; _.Model,</v>
      </c>
      <c r="W11" s="69" t="str">
        <f t="shared" si="12"/>
        <v xml:space="preserve">				.WhereIf(!string.IsNullOrWhiteSpace(input.Model), e =&gt; e.Model.Contains(input.Model))</v>
      </c>
    </row>
    <row r="12" spans="1:23" customFormat="1" ht="22.5" customHeight="1" x14ac:dyDescent="0.25">
      <c r="A12" t="s">
        <v>328</v>
      </c>
      <c r="B12" t="s">
        <v>337</v>
      </c>
      <c r="C12" t="s">
        <v>1</v>
      </c>
      <c r="D12" t="str">
        <f>SUBSTITUTE(PROPER(A12),"_","")</f>
        <v>LotNo</v>
      </c>
      <c r="E12" t="str">
        <f t="shared" ref="E12:E15" si="13">IFERROR(LEFT(B12, FIND("(",B12)-1),B12)</f>
        <v>varchar</v>
      </c>
      <c r="F12" s="7"/>
      <c r="G12" t="str">
        <f t="shared" ref="G12:G15" si="14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5" si="15">IF(H12="string",REPT(CHAR(9),2)&amp;"public const int Max"&amp;D12&amp;"Length = "&amp;G12&amp;";"&amp;$E$3,"" )</f>
        <v xml:space="preserve">		public const int MaxLotNoLength = 50;
</v>
      </c>
      <c r="J12" t="str">
        <f t="shared" ref="J12:J15" si="16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[StringLength(MaxLotNoLength)]
		public virtual string LotNo { get; set; }
</v>
      </c>
      <c r="K12" s="7" t="s">
        <v>206</v>
      </c>
      <c r="L12" t="str">
        <f>IF(K12="","",REPT(CHAR(9),1)&amp;"[Index(nameof("&amp;IF(D12="","",""&amp;D12)&amp;")"&amp;", Name="&amp;"""IX_"&amp;$B$7&amp;"_"&amp;D12&amp;""")]")</f>
        <v xml:space="preserve">	[Index(nameof(LotNo), Name="IX_PlnCcrProductionPlan_LotNo")]</v>
      </c>
      <c r="M12" t="str">
        <f t="shared" si="7"/>
        <v xml:space="preserve">		public virtual string LotNo { get; set; }
</v>
      </c>
      <c r="N12" t="str">
        <f t="shared" si="8"/>
        <v xml:space="preserve">		[StringLength(PlnCcrProductionPlanConsts.MaxLotNoLength)]
		public virtual string LotNo { get; set; }
</v>
      </c>
      <c r="O12" t="str">
        <f t="shared" si="9"/>
        <v xml:space="preserve">		public virtual string LotNo { get; set; }
</v>
      </c>
      <c r="P12" t="str">
        <f t="shared" ref="P12:P15" si="17">REPT(CHAR(9),7)&amp;D12&amp;" = o." &amp;D12 &amp;","</f>
        <v xml:space="preserve">							LotNo = o.LotNo,</v>
      </c>
      <c r="T12" s="69" t="str">
        <f t="shared" si="10"/>
        <v xml:space="preserve">								("LotNo"),</v>
      </c>
      <c r="V12" s="70" t="str">
        <f t="shared" si="11"/>
        <v xml:space="preserve">								_ =&gt; _.LotNo,</v>
      </c>
      <c r="W12" s="69" t="str">
        <f t="shared" si="12"/>
        <v xml:space="preserve">				.WhereIf(!string.IsNullOrWhiteSpace(input.LotNo), e =&gt; e.LotNo.Contains(input.LotNo))</v>
      </c>
    </row>
    <row r="13" spans="1:23" customFormat="1" ht="21" customHeight="1" x14ac:dyDescent="0.25">
      <c r="A13" t="s">
        <v>329</v>
      </c>
      <c r="B13" t="s">
        <v>337</v>
      </c>
      <c r="C13" t="s">
        <v>1</v>
      </c>
      <c r="D13" t="str">
        <f t="shared" ref="D13:D15" si="18">SUBSTITUTE(PROPER(A13),"_","")</f>
        <v>NoInLot</v>
      </c>
      <c r="E13" t="str">
        <f t="shared" si="13"/>
        <v>varchar</v>
      </c>
      <c r="F13" s="7"/>
      <c r="G13" t="str">
        <f t="shared" si="14"/>
        <v>50</v>
      </c>
      <c r="H13" t="str">
        <f>+VLOOKUP(E13,'Data Type Mapping'!A:B,2,)</f>
        <v>string</v>
      </c>
      <c r="I13" t="str">
        <f t="shared" si="15"/>
        <v xml:space="preserve">		public const int MaxNoInLotLength = 50;
</v>
      </c>
      <c r="J13" t="str">
        <f t="shared" si="16"/>
        <v xml:space="preserve">		[StringLength(MaxNoInLotLength)]
		public virtual string NoInLot { get; set; }
</v>
      </c>
      <c r="K13" s="7" t="s">
        <v>206</v>
      </c>
      <c r="L13" t="str">
        <f t="shared" ref="L13:L15" si="19">IF(K13="","",REPT(CHAR(9),1)&amp;"[Index(nameof("&amp;IF(D13="","",""&amp;D13)&amp;")"&amp;", Name="&amp;"""IX_"&amp;$B$7&amp;"_"&amp;D13&amp;""")]")</f>
        <v xml:space="preserve">	[Index(nameof(NoInLot), Name="IX_PlnCcrProductionPlan_NoInLot")]</v>
      </c>
      <c r="M13" t="str">
        <f t="shared" si="7"/>
        <v xml:space="preserve">		public virtual string NoInLot { get; set; }
</v>
      </c>
      <c r="N13" t="str">
        <f t="shared" si="8"/>
        <v xml:space="preserve">		[StringLength(PlnCcrProductionPlanConsts.MaxNoInLotLength)]
		public virtual string NoInLot { get; set; }
</v>
      </c>
      <c r="O13" t="str">
        <f t="shared" si="9"/>
        <v xml:space="preserve">		public virtual string NoInLot { get; set; }
</v>
      </c>
      <c r="P13" t="str">
        <f t="shared" si="17"/>
        <v xml:space="preserve">							NoInLot = o.NoInLot,</v>
      </c>
      <c r="T13" s="69" t="str">
        <f t="shared" si="10"/>
        <v xml:space="preserve">								("NoInLot"),</v>
      </c>
      <c r="V13" s="70" t="str">
        <f t="shared" si="11"/>
        <v xml:space="preserve">								_ =&gt; _.NoInLot,</v>
      </c>
      <c r="W13" s="69" t="str">
        <f t="shared" si="12"/>
        <v xml:space="preserve">				.WhereIf(!string.IsNullOrWhiteSpace(input.NoInLot), e =&gt; e.NoInLot.Contains(input.NoInLot))</v>
      </c>
    </row>
    <row r="14" spans="1:23" customFormat="1" ht="21" customHeight="1" x14ac:dyDescent="0.25">
      <c r="A14" t="s">
        <v>330</v>
      </c>
      <c r="B14" t="s">
        <v>338</v>
      </c>
      <c r="C14" t="s">
        <v>1</v>
      </c>
      <c r="D14" t="str">
        <f t="shared" si="18"/>
        <v>Grade</v>
      </c>
      <c r="E14" t="str">
        <f t="shared" si="13"/>
        <v>varchar</v>
      </c>
      <c r="F14" s="7"/>
      <c r="G14" t="str">
        <f t="shared" si="14"/>
        <v>2</v>
      </c>
      <c r="H14" t="str">
        <f>+VLOOKUP(E14,'Data Type Mapping'!A:B,2,)</f>
        <v>string</v>
      </c>
      <c r="I14" t="str">
        <f t="shared" si="15"/>
        <v xml:space="preserve">		public const int MaxGradeLength = 2;
</v>
      </c>
      <c r="J14" t="str">
        <f t="shared" si="16"/>
        <v xml:space="preserve">		[StringLength(MaxGradeLength)]
		public virtual string Grade { get; set; }
</v>
      </c>
      <c r="K14" s="7"/>
      <c r="L14" t="str">
        <f t="shared" si="19"/>
        <v/>
      </c>
      <c r="M14" t="str">
        <f t="shared" ref="M14:M20" si="20">REPT(CHAR(9),2)&amp;"public virtual "&amp;IF(OR(H14="DateTime",H14="TimeSpan"),H14&amp;"?",H14)&amp;IF(C14="?","? "," ")&amp;D14&amp;" { get; set; }" &amp; "
"</f>
        <v xml:space="preserve">		public virtual string Grade { get; set; }
</v>
      </c>
      <c r="N14" t="str">
        <f t="shared" ref="N14:N20" si="21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[StringLength(PlnCcrProductionPlanConsts.MaxGradeLength)]
		public virtual string Grade { get; set; }
</v>
      </c>
      <c r="O14" t="str">
        <f t="shared" ref="O14:O20" si="22">IF(OR(H14="string",H14="DateTime",H14="int"),REPT(CHAR(9),2)&amp;"public virtual "&amp;IF(OR(H14="DateTime",H14="TimeSpan"),H14&amp;"?",H14)&amp;IF(C14="?","? "," ")&amp;D14&amp;" { get; set; }"&amp;$E$3,"")</f>
        <v xml:space="preserve">		public virtual string Grade { get; set; }
</v>
      </c>
      <c r="P14" t="str">
        <f t="shared" si="17"/>
        <v xml:space="preserve">							Grade = o.Grade,</v>
      </c>
      <c r="T14" s="69" t="str">
        <f t="shared" ref="T14:T20" si="23">REPT(CHAR(9),8)&amp;"("""&amp;D14&amp;"""),"</f>
        <v xml:space="preserve">								("Grade"),</v>
      </c>
      <c r="V14" s="70" t="str">
        <f t="shared" ref="V14:V20" si="24">REPT(CHAR(9),8)&amp;"_ =&gt; _."&amp;D14&amp;","</f>
        <v xml:space="preserve">								_ =&gt; _.Grade,</v>
      </c>
      <c r="W14" s="69" t="str">
        <f t="shared" ref="W14:W20" si="2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.WhereIf(!string.IsNullOrWhiteSpace(input.Grade), e =&gt; e.Grade.Contains(input.Grade))</v>
      </c>
    </row>
    <row r="15" spans="1:23" customFormat="1" ht="18.75" customHeight="1" x14ac:dyDescent="0.25">
      <c r="A15" t="s">
        <v>331</v>
      </c>
      <c r="B15" t="s">
        <v>337</v>
      </c>
      <c r="C15" t="s">
        <v>1</v>
      </c>
      <c r="D15" t="str">
        <f t="shared" si="18"/>
        <v>Body</v>
      </c>
      <c r="E15" t="str">
        <f t="shared" si="13"/>
        <v>varchar</v>
      </c>
      <c r="F15" s="7"/>
      <c r="G15" t="str">
        <f t="shared" si="14"/>
        <v>50</v>
      </c>
      <c r="H15" t="str">
        <f>+VLOOKUP(E15,'Data Type Mapping'!A:B,2,)</f>
        <v>string</v>
      </c>
      <c r="I15" t="str">
        <f t="shared" si="15"/>
        <v xml:space="preserve">		public const int MaxBodyLength = 50;
</v>
      </c>
      <c r="J15" t="str">
        <f t="shared" si="16"/>
        <v xml:space="preserve">		[StringLength(MaxBodyLength)]
		public virtual string Body { get; set; }
</v>
      </c>
      <c r="K15" s="7"/>
      <c r="L15" t="str">
        <f t="shared" si="19"/>
        <v/>
      </c>
      <c r="M15" t="str">
        <f t="shared" si="20"/>
        <v xml:space="preserve">		public virtual string Body { get; set; }
</v>
      </c>
      <c r="N15" t="str">
        <f t="shared" si="21"/>
        <v xml:space="preserve">		[StringLength(PlnCcrProductionPlanConsts.MaxBodyLength)]
		public virtual string Body { get; set; }
</v>
      </c>
      <c r="O15" t="str">
        <f t="shared" si="22"/>
        <v xml:space="preserve">		public virtual string Body { get; set; }
</v>
      </c>
      <c r="P15" t="str">
        <f t="shared" si="17"/>
        <v xml:space="preserve">							Body = o.Body,</v>
      </c>
      <c r="T15" s="69" t="str">
        <f t="shared" si="23"/>
        <v xml:space="preserve">								("Body"),</v>
      </c>
      <c r="V15" s="70" t="str">
        <f t="shared" si="24"/>
        <v xml:space="preserve">								_ =&gt; _.Body,</v>
      </c>
      <c r="W15" s="69" t="str">
        <f t="shared" si="25"/>
        <v xml:space="preserve">				.WhereIf(!string.IsNullOrWhiteSpace(input.Body), e =&gt; e.Body.Contains(input.Body))</v>
      </c>
    </row>
    <row r="16" spans="1:23" customFormat="1" ht="22.5" customHeight="1" x14ac:dyDescent="0.25">
      <c r="A16" t="s">
        <v>332</v>
      </c>
      <c r="B16" t="s">
        <v>2</v>
      </c>
      <c r="C16" t="s">
        <v>1</v>
      </c>
      <c r="D16" t="str">
        <f>SUBSTITUTE(PROPER(A16),"_","")</f>
        <v>DateIn</v>
      </c>
      <c r="E16" t="str">
        <f t="shared" ref="E16:E20" si="26">IFERROR(LEFT(B16, FIND("(",B16)-1),B16)</f>
        <v>date</v>
      </c>
      <c r="F16" s="7" t="s">
        <v>2</v>
      </c>
      <c r="G16" t="str">
        <f t="shared" ref="G16:G20" si="27">IFERROR(MID(B16,FIND("(",B16) +1, FIND(")",B16) - FIND("(",B16) - 1),"")</f>
        <v/>
      </c>
      <c r="H16" t="str">
        <f>+VLOOKUP(E16,'Data Type Mapping'!A:B,2,)</f>
        <v>DateTime</v>
      </c>
      <c r="I16" t="str">
        <f t="shared" ref="I16:I20" si="28">IF(H16="string",REPT(CHAR(9),2)&amp;"public const int Max"&amp;D16&amp;"Length = "&amp;G16&amp;";"&amp;$E$3,"" )</f>
        <v/>
      </c>
      <c r="J16" t="str">
        <f t="shared" ref="J16:J20" si="29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[Column(TypeName="date")]
		public virtual DateTime DateIn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20"/>
        <v xml:space="preserve">		public virtual DateTime? DateIn { get; set; }
</v>
      </c>
      <c r="N16" t="str">
        <f t="shared" si="21"/>
        <v xml:space="preserve">		public virtual DateTime? DateIn { get; set; }
</v>
      </c>
      <c r="O16" t="str">
        <f t="shared" si="22"/>
        <v xml:space="preserve">		public virtual DateTime? DateIn { get; set; }
</v>
      </c>
      <c r="P16" t="str">
        <f t="shared" ref="P16:P20" si="30">REPT(CHAR(9),7)&amp;D16&amp;" = o." &amp;D16 &amp;","</f>
        <v xml:space="preserve">							DateIn = o.DateIn,</v>
      </c>
      <c r="T16" s="69" t="str">
        <f t="shared" si="23"/>
        <v xml:space="preserve">								("DateIn"),</v>
      </c>
      <c r="V16" s="70" t="str">
        <f t="shared" si="24"/>
        <v xml:space="preserve">								_ =&gt; _.DateIn,</v>
      </c>
      <c r="W16" s="69" t="str">
        <f t="shared" si="25"/>
        <v xml:space="preserve">				.WhereIf(input.DateIn.HasValue, t =&gt; t.DateIn == input.DateIn.Value)</v>
      </c>
    </row>
    <row r="17" spans="1:23" customFormat="1" ht="21" customHeight="1" x14ac:dyDescent="0.25">
      <c r="A17" t="s">
        <v>333</v>
      </c>
      <c r="B17" t="s">
        <v>268</v>
      </c>
      <c r="C17" t="s">
        <v>1</v>
      </c>
      <c r="D17" t="str">
        <f t="shared" ref="D17" si="31">SUBSTITUTE(PROPER(A17),"_","")</f>
        <v>TimeIn</v>
      </c>
      <c r="E17" t="str">
        <f t="shared" ref="E17" si="32">IFERROR(LEFT(B17, FIND("(",B17)-1),B17)</f>
        <v>time</v>
      </c>
      <c r="F17" s="7" t="s">
        <v>342</v>
      </c>
      <c r="G17" t="str">
        <f t="shared" ref="G17" si="33">IFERROR(MID(B17,FIND("(",B17) +1, FIND(")",B17) - FIND("(",B17) - 1),"")</f>
        <v/>
      </c>
      <c r="H17" t="str">
        <f>+VLOOKUP(E17,'Data Type Mapping'!A:B,2,)</f>
        <v>TimeSpan</v>
      </c>
      <c r="I17" t="str">
        <f t="shared" ref="I17" si="34">IF(H17="string",REPT(CHAR(9),2)&amp;"public const int Max"&amp;D17&amp;"Length = "&amp;G17&amp;";"&amp;$E$3,"" )</f>
        <v/>
      </c>
      <c r="J17" t="str">
        <f t="shared" ref="J17" si="35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[Column(TypeName="time(7)")]
		public virtual TimeSpan TimeIn { get; set; }
</v>
      </c>
      <c r="K17" s="7"/>
      <c r="L17" t="str">
        <f t="shared" ref="L17" si="36">IF(K17="","",REPT(CHAR(9),1)&amp;"[Index(nameof("&amp;IF(D17="","",""&amp;D17)&amp;")"&amp;", Name="&amp;"""IX_"&amp;$B$7&amp;"_"&amp;D17&amp;""")]")</f>
        <v/>
      </c>
      <c r="M17" t="str">
        <f t="shared" ref="M17" si="37">REPT(CHAR(9),2)&amp;"public virtual "&amp;IF(OR(H17="DateTime",H17="TimeSpan"),H17&amp;"?",H17)&amp;IF(C17="?","? "," ")&amp;D17&amp;" { get; set; }" &amp; "
"</f>
        <v xml:space="preserve">		public virtual TimeSpan? TimeIn { get; set; }
</v>
      </c>
      <c r="N17" t="str">
        <f t="shared" ref="N17" si="38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TimeSpan? TimeIn { get; set; }
</v>
      </c>
      <c r="O17" t="str">
        <f t="shared" ref="O17" si="39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40">REPT(CHAR(9),7)&amp;D17&amp;" = o." &amp;D17 &amp;","</f>
        <v xml:space="preserve">							TimeIn = o.TimeIn,</v>
      </c>
      <c r="T17" s="69" t="str">
        <f t="shared" ref="T17" si="41">REPT(CHAR(9),8)&amp;"("""&amp;D17&amp;"""),"</f>
        <v xml:space="preserve">								("TimeIn"),</v>
      </c>
      <c r="V17" s="70" t="str">
        <f t="shared" ref="V17" si="42">REPT(CHAR(9),8)&amp;"_ =&gt; _."&amp;D17&amp;","</f>
        <v xml:space="preserve">								_ =&gt; _.TimeIn,</v>
      </c>
      <c r="W17" s="69" t="str">
        <f t="shared" ref="W17" si="43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21" customHeight="1" x14ac:dyDescent="0.25">
      <c r="A18" t="s">
        <v>334</v>
      </c>
      <c r="B18" t="s">
        <v>248</v>
      </c>
      <c r="C18" t="s">
        <v>1</v>
      </c>
      <c r="D18" t="str">
        <f t="shared" ref="D18" si="44">SUBSTITUTE(PROPER(A18),"_","")</f>
        <v>DateTimeIn</v>
      </c>
      <c r="E18" t="str">
        <f t="shared" si="26"/>
        <v>datetime2</v>
      </c>
      <c r="F18" s="7" t="s">
        <v>248</v>
      </c>
      <c r="G18" t="str">
        <f t="shared" si="27"/>
        <v>7</v>
      </c>
      <c r="H18" t="str">
        <f>+VLOOKUP(E18,'Data Type Mapping'!A:B,2,)</f>
        <v>DateTime</v>
      </c>
      <c r="I18" t="str">
        <f t="shared" si="28"/>
        <v/>
      </c>
      <c r="J18" t="str">
        <f t="shared" si="29"/>
        <v xml:space="preserve">		[Column(TypeName="datetime2(7)")]
		public virtual DateTime DateTimeIn { get; set; }
</v>
      </c>
      <c r="K18" s="7"/>
      <c r="L18" t="str">
        <f t="shared" ref="L18" si="45">IF(K18="","",REPT(CHAR(9),1)&amp;"[Index(nameof("&amp;IF(D18="","",""&amp;D18)&amp;")"&amp;", Name="&amp;"""IX_"&amp;$B$7&amp;"_"&amp;D18&amp;""")]")</f>
        <v/>
      </c>
      <c r="M18" t="str">
        <f t="shared" si="20"/>
        <v xml:space="preserve">		public virtual DateTime? DateTimeIn { get; set; }
</v>
      </c>
      <c r="N18" t="str">
        <f t="shared" si="21"/>
        <v xml:space="preserve">		public virtual DateTime? DateTimeIn { get; set; }
</v>
      </c>
      <c r="O18" t="str">
        <f t="shared" si="22"/>
        <v xml:space="preserve">		public virtual DateTime? DateTimeIn { get; set; }
</v>
      </c>
      <c r="P18" t="str">
        <f t="shared" si="30"/>
        <v xml:space="preserve">							DateTimeIn = o.DateTimeIn,</v>
      </c>
      <c r="T18" s="69" t="str">
        <f t="shared" si="23"/>
        <v xml:space="preserve">								("DateTimeIn"),</v>
      </c>
      <c r="V18" s="70" t="str">
        <f t="shared" si="24"/>
        <v xml:space="preserve">								_ =&gt; _.DateTimeIn,</v>
      </c>
      <c r="W18" s="69" t="str">
        <f t="shared" si="25"/>
        <v xml:space="preserve">				.WhereIf(input.DateTimeIn.HasValue, t =&gt; t.DateTimeIn == input.DateTimeIn.Value)</v>
      </c>
    </row>
    <row r="19" spans="1:23" customFormat="1" ht="22.5" customHeight="1" x14ac:dyDescent="0.25">
      <c r="A19" t="s">
        <v>339</v>
      </c>
      <c r="B19" t="s">
        <v>337</v>
      </c>
      <c r="C19" t="s">
        <v>1</v>
      </c>
      <c r="D19" t="str">
        <f>SUBSTITUTE(PROPER(A19),"_","")</f>
        <v>SupplierNo</v>
      </c>
      <c r="E19" t="str">
        <f>IFERROR(LEFT(B19, FIND("(",B19)-1),B19)</f>
        <v>varchar</v>
      </c>
      <c r="F19" s="7"/>
      <c r="G19" t="str">
        <f>IFERROR(MID(B19,FIND("(",B19) +1, FIND(")",B19) - FIND("(",B19) - 1),"")</f>
        <v>50</v>
      </c>
      <c r="H19" t="str">
        <f>+VLOOKUP(E19,'Data Type Mapping'!A:B,2,)</f>
        <v>string</v>
      </c>
      <c r="I19" t="str">
        <f>IF(H19="string",REPT(CHAR(9),2)&amp;"public const int Max"&amp;D19&amp;"Length = "&amp;G19&amp;";"&amp;$E$3,"" )</f>
        <v xml:space="preserve">		public const int MaxSupplierNoLength = 50;
</v>
      </c>
      <c r="J19" t="str">
        <f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[StringLength(MaxSupplierNoLength)]
		public virtual string SupplierNo { get; set; }
</v>
      </c>
      <c r="K19" s="7"/>
      <c r="L19" t="str">
        <f>IF(K19="","",REPT(CHAR(9),1)&amp;"[Index(nameof("&amp;IF(D19="","",""&amp;D19)&amp;")"&amp;", Name="&amp;"""IX_"&amp;$B$7&amp;"_"&amp;D19&amp;""")]")</f>
        <v/>
      </c>
      <c r="M19" t="str">
        <f>REPT(CHAR(9),2)&amp;"public virtual "&amp;IF(OR(H19="DateTime",H19="TimeSpan"),H19&amp;"?",H19)&amp;IF(C19="?","? "," ")&amp;D19&amp;" { get; set; }" &amp; "
"</f>
        <v xml:space="preserve">		public virtual string SupplierNo { get; set; }
</v>
      </c>
      <c r="N19" t="str">
        <f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[StringLength(PlnCcrProductionPlanConsts.MaxSupplierNoLength)]
		public virtual string SupplierNo { get; set; }
</v>
      </c>
      <c r="O19" t="str">
        <f>IF(OR(H19="string",H19="DateTime",H19="int"),REPT(CHAR(9),2)&amp;"public virtual "&amp;IF(OR(H19="DateTime",H19="TimeSpan"),H19&amp;"?",H19)&amp;IF(C19="?","? "," ")&amp;D19&amp;" { get; set; }"&amp;$E$3,"")</f>
        <v xml:space="preserve">		public virtual string SupplierNo { get; set; }
</v>
      </c>
      <c r="P19" t="str">
        <f>REPT(CHAR(9),7)&amp;D19&amp;" = o." &amp;D19 &amp;","</f>
        <v xml:space="preserve">							SupplierNo = o.SupplierNo,</v>
      </c>
      <c r="T19" s="69" t="str">
        <f>REPT(CHAR(9),8)&amp;"("""&amp;D19&amp;"""),"</f>
        <v xml:space="preserve">								("SupplierNo"),</v>
      </c>
      <c r="V19" s="70" t="str">
        <f>REPT(CHAR(9),8)&amp;"_ =&gt; _."&amp;D19&amp;","</f>
        <v xml:space="preserve">								_ =&gt; _.SupplierNo,</v>
      </c>
      <c r="W19" s="69" t="str">
        <f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.WhereIf(!string.IsNullOrWhiteSpace(input.SupplierNo), e =&gt; e.SupplierNo.Contains(input.SupplierNo))</v>
      </c>
    </row>
    <row r="20" spans="1:23" customFormat="1" ht="22.5" customHeight="1" x14ac:dyDescent="0.25">
      <c r="A20" t="s">
        <v>340</v>
      </c>
      <c r="B20" t="s">
        <v>337</v>
      </c>
      <c r="C20" t="s">
        <v>1</v>
      </c>
      <c r="D20" t="str">
        <f>SUBSTITUTE(PROPER(A20),"_","")</f>
        <v>UseLotNo</v>
      </c>
      <c r="E20" t="str">
        <f t="shared" si="26"/>
        <v>varchar</v>
      </c>
      <c r="F20" s="7"/>
      <c r="G20" t="str">
        <f t="shared" si="27"/>
        <v>50</v>
      </c>
      <c r="H20" t="str">
        <f>+VLOOKUP(E20,'Data Type Mapping'!A:B,2,)</f>
        <v>string</v>
      </c>
      <c r="I20" t="str">
        <f t="shared" si="28"/>
        <v xml:space="preserve">		public const int MaxUseLotNoLength = 50;
</v>
      </c>
      <c r="J20" t="str">
        <f t="shared" si="29"/>
        <v xml:space="preserve">		[StringLength(MaxUseLotNoLength)]
		public virtual string UseLotNo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 t="shared" si="20"/>
        <v xml:space="preserve">		public virtual string UseLotNo { get; set; }
</v>
      </c>
      <c r="N20" t="str">
        <f t="shared" si="21"/>
        <v xml:space="preserve">		[StringLength(PlnCcrProductionPlanConsts.MaxUseLotNoLength)]
		public virtual string UseLotNo { get; set; }
</v>
      </c>
      <c r="O20" t="str">
        <f t="shared" si="22"/>
        <v xml:space="preserve">		public virtual string UseLotNo { get; set; }
</v>
      </c>
      <c r="P20" t="str">
        <f t="shared" si="30"/>
        <v xml:space="preserve">							UseLotNo = o.UseLotNo,</v>
      </c>
      <c r="T20" s="69" t="str">
        <f t="shared" si="23"/>
        <v xml:space="preserve">								("UseLotNo"),</v>
      </c>
      <c r="V20" s="70" t="str">
        <f t="shared" si="24"/>
        <v xml:space="preserve">								_ =&gt; _.UseLotNo,</v>
      </c>
      <c r="W20" s="69" t="str">
        <f t="shared" si="25"/>
        <v xml:space="preserve">				.WhereIf(!string.IsNullOrWhiteSpace(input.UseLotNo), e =&gt; e.UseLotNo.Contains(input.UseLotNo))</v>
      </c>
    </row>
    <row r="21" spans="1:23" customFormat="1" ht="22.5" customHeight="1" x14ac:dyDescent="0.25">
      <c r="A21" t="s">
        <v>343</v>
      </c>
      <c r="B21" t="s">
        <v>337</v>
      </c>
      <c r="C21" t="s">
        <v>1</v>
      </c>
      <c r="D21" t="str">
        <f>SUBSTITUTE(PROPER(A21),"_","")</f>
        <v>SupplierNo2</v>
      </c>
      <c r="E21" t="str">
        <f t="shared" ref="E21" si="46">IFERROR(LEFT(B21, FIND("(",B21)-1),B21)</f>
        <v>varchar</v>
      </c>
      <c r="F21" s="7"/>
      <c r="G21" t="str">
        <f t="shared" ref="G21" si="47">IFERROR(MID(B21,FIND("(",B21) +1, FIND(")",B21) - FIND("(",B21) - 1),"")</f>
        <v>50</v>
      </c>
      <c r="H21" t="str">
        <f>+VLOOKUP(E21,'Data Type Mapping'!A:B,2,)</f>
        <v>string</v>
      </c>
      <c r="I21" t="str">
        <f t="shared" ref="I21" si="48">IF(H21="string",REPT(CHAR(9),2)&amp;"public const int Max"&amp;D21&amp;"Length = "&amp;G21&amp;";"&amp;$E$3,"" )</f>
        <v xml:space="preserve">		public const int MaxSupplierNo2Length = 50;
</v>
      </c>
      <c r="J21" t="str">
        <f t="shared" ref="J21" si="49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[StringLength(MaxSupplierNo2Length)]
		public virtual string SupplierNo2 { get; set; }
</v>
      </c>
      <c r="K21" s="7"/>
      <c r="L21" t="str">
        <f>IF(K21="","",REPT(CHAR(9),1)&amp;"[Index(nameof("&amp;IF(D21="","",""&amp;D21)&amp;")"&amp;", Name="&amp;"""IX_"&amp;$B$7&amp;"_"&amp;D21&amp;""")]")</f>
        <v/>
      </c>
      <c r="M21" t="str">
        <f t="shared" ref="M21" si="50">REPT(CHAR(9),2)&amp;"public virtual "&amp;IF(OR(H21="DateTime",H21="TimeSpan"),H21&amp;"?",H21)&amp;IF(C21="?","? "," ")&amp;D21&amp;" { get; set; }" &amp; "
"</f>
        <v xml:space="preserve">		public virtual string SupplierNo2 { get; set; }
</v>
      </c>
      <c r="N21" t="str">
        <f t="shared" ref="N21" si="51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[StringLength(PlnCcrProductionPlanConsts.MaxSupplierNo2Length)]
		public virtual string SupplierNo2 { get; set; }
</v>
      </c>
      <c r="O21" t="str">
        <f t="shared" ref="O21" si="52">IF(OR(H21="string",H21="DateTime",H21="int"),REPT(CHAR(9),2)&amp;"public virtual "&amp;IF(OR(H21="DateTime",H21="TimeSpan"),H21&amp;"?",H21)&amp;IF(C21="?","? "," ")&amp;D21&amp;" { get; set; }"&amp;$E$3,"")</f>
        <v xml:space="preserve">		public virtual string SupplierNo2 { get; set; }
</v>
      </c>
      <c r="P21" t="str">
        <f t="shared" ref="P21" si="53">REPT(CHAR(9),7)&amp;D21&amp;" = o." &amp;D21 &amp;","</f>
        <v xml:space="preserve">							SupplierNo2 = o.SupplierNo2,</v>
      </c>
      <c r="T21" s="69" t="str">
        <f t="shared" ref="T21" si="54">REPT(CHAR(9),8)&amp;"("""&amp;D21&amp;"""),"</f>
        <v xml:space="preserve">								("SupplierNo2"),</v>
      </c>
      <c r="V21" s="70" t="str">
        <f t="shared" ref="V21" si="55">REPT(CHAR(9),8)&amp;"_ =&gt; _."&amp;D21&amp;","</f>
        <v xml:space="preserve">								_ =&gt; _.SupplierNo2,</v>
      </c>
      <c r="W21" s="69" t="str">
        <f t="shared" ref="W21" si="56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.WhereIf(!string.IsNullOrWhiteSpace(input.SupplierNo2), e =&gt; e.SupplierNo2.Contains(input.SupplierNo2))</v>
      </c>
    </row>
    <row r="22" spans="1:23" customFormat="1" ht="22.5" customHeight="1" x14ac:dyDescent="0.25">
      <c r="A22" t="s">
        <v>344</v>
      </c>
      <c r="B22" t="s">
        <v>337</v>
      </c>
      <c r="C22" t="s">
        <v>1</v>
      </c>
      <c r="D22" t="str">
        <f>SUBSTITUTE(PROPER(A22),"_","")</f>
        <v>UseLotNo2</v>
      </c>
      <c r="E22" t="str">
        <f t="shared" ref="E22" si="57">IFERROR(LEFT(B22, FIND("(",B22)-1),B22)</f>
        <v>varchar</v>
      </c>
      <c r="F22" s="7"/>
      <c r="G22" t="str">
        <f t="shared" ref="G22" si="58">IFERROR(MID(B22,FIND("(",B22) +1, FIND(")",B22) - FIND("(",B22) - 1),"")</f>
        <v>50</v>
      </c>
      <c r="H22" t="str">
        <f>+VLOOKUP(E22,'Data Type Mapping'!A:B,2,)</f>
        <v>string</v>
      </c>
      <c r="I22" t="str">
        <f t="shared" ref="I22" si="59">IF(H22="string",REPT(CHAR(9),2)&amp;"public const int Max"&amp;D22&amp;"Length = "&amp;G22&amp;";"&amp;$E$3,"" )</f>
        <v xml:space="preserve">		public const int MaxUseLotNo2Length = 50;
</v>
      </c>
      <c r="J22" t="str">
        <f t="shared" ref="J22" si="60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[StringLength(MaxUseLotNo2Length)]
		public virtual string UseLotNo2 { get; set; }
</v>
      </c>
      <c r="K22" s="7"/>
      <c r="L22" t="str">
        <f>IF(K22="","",REPT(CHAR(9),1)&amp;"[Index(nameof("&amp;IF(D22="","",""&amp;D22)&amp;")"&amp;", Name="&amp;"""IX_"&amp;$B$7&amp;"_"&amp;D22&amp;""")]")</f>
        <v/>
      </c>
      <c r="M22" t="str">
        <f t="shared" ref="M22" si="61">REPT(CHAR(9),2)&amp;"public virtual "&amp;IF(OR(H22="DateTime",H22="TimeSpan"),H22&amp;"?",H22)&amp;IF(C22="?","? "," ")&amp;D22&amp;" { get; set; }" &amp; "
"</f>
        <v xml:space="preserve">		public virtual string UseLotNo2 { get; set; }
</v>
      </c>
      <c r="N22" t="str">
        <f t="shared" ref="N22" si="62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[StringLength(PlnCcrProductionPlanConsts.MaxUseLotNo2Length)]
		public virtual string UseLotNo2 { get; set; }
</v>
      </c>
      <c r="O22" t="str">
        <f t="shared" ref="O22" si="63">IF(OR(H22="string",H22="DateTime",H22="int"),REPT(CHAR(9),2)&amp;"public virtual "&amp;IF(OR(H22="DateTime",H22="TimeSpan"),H22&amp;"?",H22)&amp;IF(C22="?","? "," ")&amp;D22&amp;" { get; set; }"&amp;$E$3,"")</f>
        <v xml:space="preserve">		public virtual string UseLotNo2 { get; set; }
</v>
      </c>
      <c r="P22" t="str">
        <f t="shared" ref="P22" si="64">REPT(CHAR(9),7)&amp;D22&amp;" = o." &amp;D22 &amp;","</f>
        <v xml:space="preserve">							UseLotNo2 = o.UseLotNo2,</v>
      </c>
      <c r="T22" s="69" t="str">
        <f t="shared" ref="T22" si="65">REPT(CHAR(9),8)&amp;"("""&amp;D22&amp;"""),"</f>
        <v xml:space="preserve">								("UseLotNo2"),</v>
      </c>
      <c r="V22" s="70" t="str">
        <f t="shared" ref="V22" si="66">REPT(CHAR(9),8)&amp;"_ =&gt; _."&amp;D22&amp;","</f>
        <v xml:space="preserve">								_ =&gt; _.UseLotNo2,</v>
      </c>
      <c r="W22" s="69" t="str">
        <f t="shared" ref="W22" si="67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.WhereIf(!string.IsNullOrWhiteSpace(input.UseLotNo2), e =&gt; e.UseLotNo2.Contains(input.UseLotNo2))</v>
      </c>
    </row>
    <row r="23" spans="1:23" customFormat="1" ht="21" customHeight="1" x14ac:dyDescent="0.25">
      <c r="A23" t="s">
        <v>341</v>
      </c>
      <c r="B23" t="s">
        <v>337</v>
      </c>
      <c r="C23" t="s">
        <v>1</v>
      </c>
      <c r="D23" t="str">
        <f t="shared" ref="D23" si="68">SUBSTITUTE(PROPER(A23),"_","")</f>
        <v>UseNoInLot</v>
      </c>
      <c r="E23" t="str">
        <f>IFERROR(LEFT(B23, FIND("(",B23)-1),B23)</f>
        <v>varchar</v>
      </c>
      <c r="F23" s="7"/>
      <c r="G23" t="str">
        <f>IFERROR(MID(B23,FIND("(",B23) +1, FIND(")",B23) - FIND("(",B23) - 1),"")</f>
        <v>50</v>
      </c>
      <c r="H23" t="str">
        <f>+VLOOKUP(E23,'Data Type Mapping'!A:B,2,)</f>
        <v>string</v>
      </c>
      <c r="I23" t="str">
        <f>IF(H23="string",REPT(CHAR(9),2)&amp;"public const int Max"&amp;D23&amp;"Length = "&amp;G23&amp;";"&amp;$E$3,"" )</f>
        <v xml:space="preserve">		public const int MaxUseNoInLotLength = 50;
</v>
      </c>
      <c r="J23" t="str">
        <f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[StringLength(MaxUseNoInLotLength)]
		public virtual string UseNoInLot { get; set; }
</v>
      </c>
      <c r="K23" s="7"/>
      <c r="L23" t="str">
        <f t="shared" ref="L23" si="69">IF(K23="","",REPT(CHAR(9),1)&amp;"[Index(nameof("&amp;IF(D23="","",""&amp;D23)&amp;")"&amp;", Name="&amp;"""IX_"&amp;$B$7&amp;"_"&amp;D23&amp;""")]")</f>
        <v/>
      </c>
      <c r="M23" t="str">
        <f>REPT(CHAR(9),2)&amp;"public virtual "&amp;IF(OR(H23="DateTime",H23="TimeSpan"),H23&amp;"?",H23)&amp;IF(C23="?","? "," ")&amp;D23&amp;" { get; set; }" &amp; "
"</f>
        <v xml:space="preserve">		public virtual string UseNoInLot { get; set; }
</v>
      </c>
      <c r="N23" t="str">
        <f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[StringLength(PlnCcrProductionPlanConsts.MaxUseNoInLotLength)]
		public virtual string UseNoInLot { get; set; }
</v>
      </c>
      <c r="O23" t="str">
        <f>IF(OR(H23="string",H23="DateTime",H23="int"),REPT(CHAR(9),2)&amp;"public virtual "&amp;IF(OR(H23="DateTime",H23="TimeSpan"),H23&amp;"?",H23)&amp;IF(C23="?","? "," ")&amp;D23&amp;" { get; set; }"&amp;$E$3,"")</f>
        <v xml:space="preserve">		public virtual string UseNoInLot { get; set; }
</v>
      </c>
      <c r="P23" t="str">
        <f>REPT(CHAR(9),7)&amp;D23&amp;" = o." &amp;D23 &amp;","</f>
        <v xml:space="preserve">							UseNoInLot = o.UseNoInLot,</v>
      </c>
      <c r="T23" s="69" t="str">
        <f>REPT(CHAR(9),8)&amp;"("""&amp;D23&amp;"""),"</f>
        <v xml:space="preserve">								("UseNoInLot"),</v>
      </c>
      <c r="V23" s="70" t="str">
        <f>REPT(CHAR(9),8)&amp;"_ =&gt; _."&amp;D23&amp;","</f>
        <v xml:space="preserve">								_ =&gt; _.UseNoInLot,</v>
      </c>
      <c r="W23" s="69" t="str">
        <f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 xml:space="preserve">				.WhereIf(!string.IsNullOrWhiteSpace(input.UseNoInLot), e =&gt; e.UseNoInLot.Contains(input.UseNoInLot))</v>
      </c>
    </row>
    <row r="25" spans="1:23" ht="45.75" customHeight="1" x14ac:dyDescent="0.25">
      <c r="H25" s="12"/>
      <c r="I25" s="34" t="str">
        <f ca="1">TEXTJOIN2("
", TRUE,INDIRECT( $H$1):INDIRECT( $H$3))</f>
        <v xml:space="preserve">		public const int MaxShopLength = 10;
		public const int MaxModelLength = 1;
		public const int MaxLotNoLength = 50;
		public const int MaxNoInLotLength = 50;
		public const int MaxGradeLength = 2;
		public const int MaxBodyLength = 50;
		public const int MaxSupplierNoLength = 50;
		public const int MaxUseLotNoLength = 50;
		public const int MaxSupplierNo2Length = 50;
		public const int MaxUseLotNo2Length = 50;
		public const int MaxUseNoInLotLength = 50;
</v>
      </c>
      <c r="J25" s="33" t="str">
        <f ca="1">TEXTJOIN2("
", TRUE,INDIRECT( $F$1):INDIRECT( $F$3))</f>
        <v xml:space="preserve">		public virtual long PlanSequence { get; set; }
		[StringLength(MaxShopLength)]
		public virtual string Shop { get; set; }
		[StringLength(MaxModelLength)]
		public virtual string Model { get; set; }
		[StringLength(MaxLotNoLength)]
		public virtual string LotNo { get; set; }
		[StringLength(MaxNoInLotLength)]
		public virtual string NoInLot { get; set; }
		[StringLength(MaxGradeLength)]
		public virtual string Grade { get; set; }
		[StringLength(MaxBodyLength)]
		public virtual string Body { get; set; }
		[Column(TypeName="date")]
		public virtual DateTime DateIn { get; set; }
		[Column(TypeName="time(7)")]
		public virtual TimeSpan TimeIn { get; set; }
		[Column(TypeName="datetime2(7)")]
		public virtual DateTime DateTimeIn { get; set; }
		[StringLength(MaxSupplierNoLength)]
		public virtual string SupplierNo { get; set; }
		[StringLength(MaxUseLotNoLength)]
		public virtual string UseLotNo { get; set; }
		[StringLength(MaxSupplierNo2Length)]
		public virtual string SupplierNo2 { get; set; }
		[StringLength(MaxUseLotNo2Length)]
		public virtual string UseLotNo2 { get; set; }
		[StringLength(MaxUseNoInLotLength)]
		public virtual string UseNoInLot { get; set; }
</v>
      </c>
      <c r="K25" s="35" t="str">
        <f ca="1">TEXTJOIN2("
", TRUE,INDIRECT( $J$1):INDIRECT( $J$3))</f>
        <v xml:space="preserve">	[Index(nameof(Shop), Name="IX_PlnCcrProductionPlan_Shop")]
	[Index(nameof(LotNo), Name="IX_PlnCcrProductionPlan_LotNo")]
	[Index(nameof(NoInLot), Name="IX_PlnCcrProductionPlan_NoInLot")]
</v>
      </c>
      <c r="L25" s="13" t="s">
        <v>60</v>
      </c>
      <c r="M25" s="36" t="str">
        <f ca="1">TEXTJOIN2("
",TRUE,INDIRECT( $L$1):INDIRECT($L$3))</f>
        <v xml:space="preserve">		public virtual long PlanSequence { get; set; }
		public virtual string Shop { get; set; }
		public virtual string Model { get; set; }
		public virtual string LotNo { get; set; }
		public virtual string NoInLot { get; set; }
		public virtual string Grade { get; set; }
		public virtual string Body { get; set; }
		public virtual DateTime? DateIn { get; set; }
		public virtual TimeSpan? TimeIn { get; set; }
		public virtual DateTime? DateTimeIn { get; set; }
		public virtual string SupplierNo { get; set; }
		public virtual string UseLotNo { get; set; }
		public virtual string SupplierNo2 { get; set; }
		public virtual string UseLotNo2 { get; set; }
		public virtual string UseNoInLot { get; set; }
</v>
      </c>
      <c r="N25" s="33" t="str">
        <f ca="1">TEXTJOIN2("
",TRUE,INDIRECT( $M$1):INDIRECT($M$3))</f>
        <v xml:space="preserve">		public virtual long PlanSequence { get; set; }
		[StringLength(PlnCcrProductionPlanConsts.MaxShopLength)]
		public virtual string Shop { get; set; }
		[StringLength(PlnCcrProductionPlanConsts.MaxModelLength)]
		public virtual string Model { get; set; }
		[StringLength(PlnCcrProductionPlanConsts.MaxLotNoLength)]
		public virtual string LotNo { get; set; }
		[StringLength(PlnCcrProductionPlanConsts.MaxNoInLotLength)]
		public virtual string NoInLot { get; set; }
		[StringLength(PlnCcrProductionPlanConsts.MaxGradeLength)]
		public virtual string Grade { get; set; }
		[StringLength(PlnCcrProductionPlanConsts.MaxBodyLength)]
		public virtual string Body { get; set; }
		public virtual DateTime? DateIn { get; set; }
		public virtual TimeSpan? TimeIn { get; set; }
		public virtual DateTime? DateTimeIn { get; set; }
		[StringLength(PlnCcrProductionPlanConsts.MaxSupplierNoLength)]
		public virtual string SupplierNo { get; set; }
		[StringLength(PlnCcrProductionPlanConsts.MaxUseLotNoLength)]
		public virtual string UseLotNo { get; set; }
		[StringLength(PlnCcrProductionPlanConsts.MaxSupplierNo2Length)]
		public virtual string SupplierNo2 { get; set; }
		[StringLength(PlnCcrProductionPlanConsts.MaxUseLotNo2Length)]
		public virtual string UseLotNo2 { get; set; }
		[StringLength(PlnCcrProductionPlanConsts.MaxUseNoInLotLength)]
		public virtual string UseNoInLot { get; set; }
</v>
      </c>
      <c r="O25" s="33" t="str">
        <f ca="1">TEXTJOIN2("
",TRUE,INDIRECT( $N$1):INDIRECT($N$3))</f>
        <v xml:space="preserve">		public virtual string Shop { get; set; }
		public virtual string Model { get; set; }
		public virtual string LotNo { get; set; }
		public virtual string NoInLot { get; set; }
		public virtual string Grade { get; set; }
		public virtual string Body { get; set; }
		public virtual DateTime? DateIn { get; set; }
		public virtual DateTime? DateTimeIn { get; set; }
		public virtual string SupplierNo { get; set; }
		public virtual string UseLotNo { get; set; }
		public virtual string SupplierNo2 { get; set; }
		public virtual string UseLotNo2 { get; set; }
		public virtual string UseNoInLot { get; set; }
</v>
      </c>
      <c r="P25" s="9" t="str">
        <f ca="1">TEXTJOIN2("
",TRUE,INDIRECT( $O$1):INDIRECT($O$3))</f>
        <v xml:space="preserve">							PlanSequence = o.PlanSequence,
							Shop = o.Shop,
							Model = o.Model,
							LotNo = o.LotNo,
							NoInLot = o.NoInLot,
							Grade = o.Grade,
							Body = o.Body,
							DateIn = o.DateIn,
							TimeIn = o.TimeIn,
							DateTimeIn = o.DateTimeIn,
							SupplierNo = o.SupplierNo,
							UseLotNo = o.UseLotNo,
							SupplierNo2 = o.SupplierNo2,
							UseLotNo2 = o.UseLotNo2,
							UseNoInLot = o.UseNoInLot,</v>
      </c>
      <c r="T25" s="9" t="str">
        <f ca="1">TEXTJOIN2("
",TRUE,INDIRECT( $T$2):INDIRECT($T$3))</f>
        <v xml:space="preserve">								("PlanSequence"),
								("Shop"),
								("Model"),
								("LotNo"),
								("NoInLot"),
								("Grade"),
								("Body"),
								("DateIn"),
								("TimeIn"),
								("DateTimeIn"),
								("SupplierNo"),
								("UseLotNo"),
								("SupplierNo2"),
								("UseLotNo2"),
								("UseNoInLot"),</v>
      </c>
      <c r="V25" s="9" t="str">
        <f ca="1">TEXTJOIN2("
",TRUE,INDIRECT( $V$2):INDIRECT($V$3))</f>
        <v xml:space="preserve">								_ =&gt; _.PlanSequence,
								_ =&gt; _.Shop,
								_ =&gt; _.Model,
								_ =&gt; _.LotNo,
								_ =&gt; _.NoInLot,
								_ =&gt; _.Grade,
								_ =&gt; _.Body,
								_ =&gt; _.DateIn,
								_ =&gt; _.TimeIn,
								_ =&gt; _.DateTimeIn,
								_ =&gt; _.SupplierNo,
								_ =&gt; _.UseLotNo,
								_ =&gt; _.SupplierNo2,
								_ =&gt; _.UseLotNo2,
								_ =&gt; _.UseNoInLot,</v>
      </c>
      <c r="W25" s="9" t="str">
        <f ca="1">TEXTJOIN2("
",TRUE,INDIRECT( $W$2):INDIRECT($W$3))</f>
        <v xml:space="preserve">				.WhereIf(!string.IsNullOrWhiteSpace(input.Shop), e =&gt; e.Shop.Contains(input.Shop))
				.WhereIf(!string.IsNullOrWhiteSpace(input.Model), e =&gt; e.Model.Contains(input.Model))
				.WhereIf(!string.IsNullOrWhiteSpace(input.LotNo), e =&gt; e.LotNo.Contains(input.LotNo))
				.WhereIf(!string.IsNullOrWhiteSpace(input.NoInLot), e =&gt; e.NoInLot.Contains(input.NoInLot))
				.WhereIf(!string.IsNullOrWhiteSpace(input.Grade), e =&gt; e.Grade.Contains(input.Grade))
				.WhereIf(!string.IsNullOrWhiteSpace(input.Body), e =&gt; e.Body.Contains(input.Body))
				.WhereIf(input.DateIn.HasValue, t =&gt; t.DateIn == input.DateIn.Value)
				.WhereIf(input.DateTimeIn.HasValue, t =&gt; t.DateTimeIn == input.DateTimeIn.Value)
				.WhereIf(!string.IsNullOrWhiteSpace(input.SupplierNo), e =&gt; e.SupplierNo.Contains(input.SupplierNo))
				.WhereIf(!string.IsNullOrWhiteSpace(input.UseLotNo), e =&gt; e.UseLotNo.Contains(input.UseLotNo))
				.WhereIf(!string.IsNullOrWhiteSpace(input.SupplierNo2), e =&gt; e.SupplierNo2.Contains(input.SupplierNo2))
				.WhereIf(!string.IsNullOrWhiteSpace(input.UseLotNo2), e =&gt; e.UseLotNo2.Contains(input.UseLotNo2))
				.WhereIf(!string.IsNullOrWhiteSpace(input.UseNoInLot), e =&gt; e.UseNoInLot.Contains(input.UseNoInLot))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2"/>
  <sheetViews>
    <sheetView workbookViewId="0">
      <selection activeCell="A30" sqref="A3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345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Plan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plan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Ccr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ccr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PlnCcrProductionPlan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ProductionPlan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productionplan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270</v>
      </c>
      <c r="I9" s="46" t="s">
        <v>271</v>
      </c>
      <c r="J9" s="45" t="s">
        <v>219</v>
      </c>
      <c r="K9" s="47" t="s">
        <v>257</v>
      </c>
      <c r="L9" s="46" t="s">
        <v>261</v>
      </c>
      <c r="M9" s="45" t="s">
        <v>250</v>
      </c>
      <c r="N9" s="45" t="s">
        <v>220</v>
      </c>
      <c r="O9" s="45" t="s">
        <v>221</v>
      </c>
      <c r="P9" s="46" t="s">
        <v>223</v>
      </c>
      <c r="Q9" s="45" t="s">
        <v>251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PlnCcrProductionPlanDto, PlnCcrProductionPlanServiceProxy } from '@shared/service-proxies/service-proxies';
import { finalize } from 'rxjs/internal/operators/finalize';
import { CreateOrEditProductionPlanModalComponent } from './create-or-edit-productionplan-modal.component';
import { DatePipe } from '@angular/common';
import { FileDownloadService } from '@shared/utils/file-download.service';
import ceil from 'lodash-es/ceil';
import { Paginator } from 'primeng/paginator';
@Component({
    templateUrl: './productionplan.component.html',
    styleUrls: ['./productionplan.component.less'],
})
export class ProductionPlanComponent extends AppComponentBase implements OnInit {
    @ViewChild('createOrEditModalProductionPlan', { static: true }) createOrEditModalProductionPlan:| CreateOrEditProductionPlanModalComponent|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PlnCcrProductionPlanDto = new PlnCcrProductionPlanDto();
    saveSelectedRow: PlnCcrProductionPlanDto = new PlnCcrProductionPlanDto();
    datas: PlnCcrProductionPlanDto = new PlnCcrProductionPlanDto();
    isLoading: boolean = false;
    dataParams: GridParams | undefined;
    rowData: any[] = [];
    gridApi!: GridApi;
    rowSelection = 'multiple';
    filter: string = '';
	pipe = new DatePipe('en-US');
	frameworkComponents: FrameworkComponent;
    planSequence
	shop : string = '' ; 
	model : string = '' ; 
	lotNo : string = '' ; 
	noInLot : string = '' ; 
	grade : string = '' ; 
	body : string = '' ; 
	dateIn : any ;
	timeIn : any ;
	dateTimeIn : any ;
	supplierNo : string = '' ; 
	useLotNo : string = '' ; 
	supplierNo2 : string = '' ; 
	useLotNo2 : string = '' ; 
	useNoInLot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PlnCcrProductionPlanServiceProxy,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this.l('Plan Sequence'),headerTooltip: this.l('Plan Sequence'),field: 'planSequence',flex: 1},
			{headerName: this.l('Shop'),headerTooltip: this.l('Shop'),field: 'shop',flex: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this.l('Body'),headerTooltip: this.l('Body'),field: 'body',flex: 1},
			{headerName: this.l('Date In'),headerTooltip: this.l('Date In'),field: 'dateIn',valueGetter: (params) =&gt; this.pipe.transform(params.data?.dateIn, 'dd/MM/yyyy'),flex: 1},
			{headerName: this.l('Time In'),headerTooltip: this.l('Time In'),field: 'timeIn',flex: 1},
			{headerName: this.l('Date Time In'),headerTooltip: this.l('Date Time In'),field: 'dateTimeIn',valueGetter: (params) =&gt; this.pipe.transform(params.data?.dateTimeIn, 'dd/MM/yyyy'),flex: 1},
			{headerName: this.l('Supplier No'),headerTooltip: this.l('Supplier No'),field: 'supplierNo',flex: 1},
			{headerName: this.l('Use Lot No'),headerTooltip: this.l('Use Lot No'),field: 'useLotNo',flex: 1},
			{headerName: this.l('Supplier No 2'),headerTooltip: this.l('Supplier No 2'),field: 'supplierNo2',flex: 1},
			{headerName: this.l('Use Lot No 2'),headerTooltip: this.l('Use Lot No 2'),field: 'useLotNo2',flex: 1},
			{headerName: this.l('Use No In Lot'),headerTooltip: this.l('Use No In Lot'),field: 'useNoInLot',flex: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this.planSequence,
			this.shop,
			this.model,
			this.lotNo,
			this.noInLot,
			this.grade,
			this.body,
			this.dateIn,
			this.timeIn,
			this.dateTimeIn,
			this.supplierNo,
			this.useLotNo,
			this.supplierNo2,
			this.useLotNo2,
			this.useNoInLot,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this.planSequence = '',
		this.shop = '',
		this.model = '',
		this.lotNo = '',
		this.noInLot = '',
		this.grade = '',
		this.body = '',
		this.dateIn = '',
		this.timeIn = '',
		this.dateTimeIn = '',
		this.supplierNo = '',
		this.useLotNo = '',
		this.supplierNo2 = '',
		this.useLotNo2 = '',
		this.useNoInLot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this.planSequence,
			this.shop,
			this.model,
			this.lotNo,
			this.noInLot,
			this.grade,
			this.body,
			this.dateIn,
			this.timeIn,
			this.dateTimeIn,
			this.supplierNo,
			this.useLotNo,
			this.supplierNo2,
			this.useLotNo2,
			this.useNoInLot,
			'',
            this.paginationParams.skipCount,
            this.paginationParams.pageSize
        );
    }
    onChangeRowSelection(params: { api: { getSelectedRows: () =&gt; PlnCcrProductionPlanDto[] } }) {
        this.saveSelectedRow = params.api.getSelectedRows()[0] ?? new PlnCcrProductionPlanDto();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PlnCcrProductionPlanDto):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this._service.getProductionPlanToExcel(
			this.planSequence,
			this.shop,
			this.model,
			this.lotNo,
			this.noInLot,
			this.grade,
			this.body,
			this.dateIn,
			this.timeIn,
			this.dateTimeIn,
			this.supplierNo,
			this.useLotNo,
			this.supplierNo2,
			this.useLotNo2,
			this.useNoInLot,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Planning - CCR Production Plan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[(ngModel)]='body' name='body'
									class='form-control' [placeholder]="l('Body')"
									type='text' (keyup.enter)='searchDatas()'&gt;
								&lt;/div&gt;
								&lt;div class='input-search'&gt;
									&lt;input type='text' [placeholder]="l('Date In')" [(ngModel)]='dateIn' 
									name='dateIn'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[placeholder]="l('Date Time In')" [(ngModel)]='dateTimeIn' 
									name='dateTimeIn'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[(ngModel)]='useLotNo' name='useLotNo'
									class='form-control' [placeholder]="l('Use Lot No')"
									type='text' (keyup.enter)='searchDatas()'&gt;
								&lt;/div&gt;
								&lt;div class='input-search'&gt;
									&lt;input [(ngModel)]='supplierNo2' name='supplierNo2'
									class='form-control' [placeholder]="l('Supplier No 2')"
									type='text' (keyup.enter)='searchDatas()'&gt;
								&lt;/div&gt;
								&lt;div class='input-search'&gt;
									&lt;input [(ngModel)]='useLotNo2' name='useLotNo2'
									class='form-control' [placeholder]="l('Use Lot No 2')"
									type='text' (keyup.enter)='searchDatas()'&gt;
								&lt;/div&gt;
								&lt;div class='input-search'&gt;
									&lt;input [(ngModel)]='useNoInLot' name='useNoInLot'
									class='form-control' [placeholder]="l('Use No In Lot')"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(click)="createOrEditModalProductionPlan.show()"&gt;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(click)="createOrEditModalProductionPlan.show(selectedRow)"&gt;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&lt;create-or-edit-productionplan-modal
    #createOrEditModalProductionPlan
    (modalSave)="callBackDataGrid(dataParams)"
    (modalClose)="onChangeRowSelection(dataParams)"
&gt;
&lt;/create-or-edit-productionplan-modal&gt;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#createOrEditModalProductionPlan="bs-modal"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ProductionPlan')}}&lt;/h3&gt;
                    &lt;h3 *ngIf="!rowdata.id"&gt;{{('Create New ProductionPlan')}}&lt;/h3&gt;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title'&gt;Body&lt;/label&gt;
						&lt;input type='text' class='col-md-10 form-control input-text' name='Body' [(ngModel)]='rowdata.body'&gt;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title'&gt;Time In&lt;/label&gt;
						&lt;input type='text' class='col-md-10 form-control input-text' name='timeIn' 
						#datepicker='bsDatepicker' [(ngModel)]='rowdata.timeIn'  bsDatepicker &gt;
					&lt;/div&gt;
					&lt;div class='col-md-12 form-group row'&gt;
						&lt;label class='col-md-2 form-control title'&gt;Date Time In&lt;/label&gt;
						&lt;input type='text' class='col-md-10 form-control input-text' name='dateTimeIn' 
						#datepicker='bsDatepicker' [(ngModel)]='rowdata.dateTimeIn'  bsDatepicker 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title'&gt;Use Lot No&lt;/label&gt;
						&lt;input type='text' class='col-md-10 form-control input-text' name='UseLotNo' [(ngModel)]='rowdata.useLotNo'&gt;
					&lt;/div&gt;
					&lt;div class='col-md-12 form-group row'&gt;
						&lt;label class='col-md-2 form-control title'&gt;Supplier No 2&lt;/label&gt;
						&lt;input type='text' class='col-md-10 form-control input-text' name='SupplierNo2' [(ngModel)]='rowdata.supplierNo2'&gt;
					&lt;/div&gt;
					&lt;div class='col-md-12 form-group row'&gt;
						&lt;label class='col-md-2 form-control title'&gt;Use Lot No 2&lt;/label&gt;
						&lt;input type='text' class='col-md-10 form-control input-text' name='UseLotNo2' [(ngModel)]='rowdata.useLotNo2'&gt;
					&lt;/div&gt;
					&lt;div class='col-md-12 form-group row'&gt;
						&lt;label class='col-md-2 form-control title'&gt;Use No In Lot&lt;/label&gt;
						&lt;input type='text' class='col-md-10 form-control input-text' name='UseNoInLot' [(ngModel)]='rowdata.useNoInLot'&gt;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CreateOrEditPlnCcrProductionPlanDto, PlnCcrProductionPlanServiceProxy } from '@shared/service-proxies/service-proxies';
import { BsDatepickerDirective } from 'ngx-bootstrap/datepicker';
@Component({
    selector: 'create-or-edit-productionplan-modal',
    templateUrl: './create-or-edit-productionplan-modal.component.html',
    styleUrls: ['./create-or-edit-productionplan-modal.component.less']
    })
export class CreateOrEditProductionPlanModalComponent extends AppComponentBase {
    @ViewChild('createOrEditModalProductionPlan',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CreateOrEditPlnCcrProductionPlanDto = new CreateOrEditPlnCcrProductionPlanDto();
    active: boolean = false;
    saving: boolean = false;
    _model
: boolean;
    constructor(
        injector: Injector,
        private _mstwptProductionPlanService: PlnCcrProductionPlanServiceProxy,
    ) 
    {
        super(injector);
    }
    show(rowdata?: CreateOrEditPlnCcrProductionPlanDto): void {
        if (!rowdata) this.rowdata = new CreateOrEditPlnCcrProductionPlanDto();
        else this.rowdata = rowdata;
		const dateValue =  this.rowdata.dateIn ? new Date(this.rowdata.dateIn?.toString()) : new Date();
		this.datepicker?.bsValueChange.emit(dateValue);
		const dateValue =  this.rowdata.dateTimeIn ? new Date(this.rowdata.dateTimeIn?.toString()) : new Date();
		this.datepicker?.bsValueChange.emit(dateValue);
        this._model
 = (this.rowdata.model
 == "N")? false: true;
        this.active = true;
        this.modal.show();
    } 
    changeActive(event){
        this._model
 = event.target.checked;
    }
    save(): void {
    this.saving = true; 
    this.rowdata.model
 = (this._model
 == true) ? 'Y' : 'N'
    this._mstwptProductionPlanService.createOrEdit(this.rowdata)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ProductionPlanRoutingModule } from './productionplan-routing.module';
import { ProductionPlanComponent } from './productionplan.component';
import { CreateOrEditProductionPlanModalComponent } from './create-or-edit-productionplan-modal.component';
@NgModule({
    declarations: [
       ProductionPlanComponent, 
        CreateOrEditProductionPlanModalComponent
    ],
    imports: [
        AppSharedModule, ProductionPlanRoutingModule]
})
export class ProductionPlanModule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ProductionPlanComponent } from './productionplan.component';
const routes: Routes = [{
    path: '',
    component: ProductionPlanComponent,
    pathMatch: 'full'
}];
@NgModule({
    imports: [RouterModule.forChild(routes)],
    exports: [RouterModule],
})
export class ProductionPlanRoutingModule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AppMenuItem("ProductionPlan", "Pages.Plan.Ccr.ProductionPlan", "flaticon-book",   "/app/main/plan/ccr/productionplan"),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'plan/ccr/productionplan',
    loadChildren: () =&gt; import('./plan/ccr/productionplan/productionplan.module').then(m =&gt; m.ProductionPlanModule),
    data: { permission: 'Pages.Plan.Ccr.ProductionPlan' }
},</v>
      </c>
      <c r="R10" s="50" t="str">
        <f>SUBSTITUTE(R9,"MstWptCalendar",$B$6)</f>
        <v>ApiServiceProxies.PlnCcrProductionPlanServiceProxy,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249</v>
      </c>
      <c r="I11" s="31" t="s">
        <v>262</v>
      </c>
      <c r="J11" s="31"/>
      <c r="K11" s="31" t="s">
        <v>260</v>
      </c>
      <c r="L11" s="31" t="s">
        <v>263</v>
      </c>
      <c r="M11" s="38"/>
      <c r="N11" s="31"/>
      <c r="O11" s="31"/>
      <c r="P11" s="31"/>
      <c r="Q11" s="31"/>
      <c r="R11" s="31"/>
      <c r="S11" s="31" t="s">
        <v>254</v>
      </c>
      <c r="T11" s="31" t="s">
        <v>255</v>
      </c>
      <c r="U11" s="31" t="s">
        <v>264</v>
      </c>
      <c r="V11" s="71" t="s">
        <v>266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H29</v>
      </c>
      <c r="I12" s="31" t="str">
        <f>"I"&amp;COUNTA($A:$A)</f>
        <v>I29</v>
      </c>
      <c r="J12" s="31"/>
      <c r="K12" s="31" t="str">
        <f>"K"&amp;COUNTA($A:$A)</f>
        <v>K29</v>
      </c>
      <c r="L12" s="31" t="str">
        <f>"L"&amp;COUNTA($A:$A)</f>
        <v>L29</v>
      </c>
      <c r="M12" s="31"/>
      <c r="N12" s="31"/>
      <c r="O12" s="31"/>
      <c r="P12" s="31"/>
      <c r="Q12" s="31"/>
      <c r="R12" s="31"/>
      <c r="S12" s="31" t="str">
        <f>"S"&amp;COUNTA($A:$A)</f>
        <v>S29</v>
      </c>
      <c r="T12" s="31" t="str">
        <f>"T"&amp;COUNTA($A:$A)</f>
        <v>T29</v>
      </c>
      <c r="U12" s="31" t="str">
        <f>"U"&amp;COUNTA($A:$A)</f>
        <v>U29</v>
      </c>
      <c r="V12" s="31" t="str">
        <f>"V"&amp;COUNTA($A:$A)</f>
        <v>V29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this.l('Plan Sequence'),headerTooltip: this.l('Plan Sequence'),field: 'planSequence',flex: 1},
			{headerName: this.l('Shop'),headerTooltip: this.l('Shop'),field: 'shop',flex: 1},
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
			{headerName: this.l('Lot No'),headerTooltip: this.l('Lot No'),field: 'lotNo',flex: 1},
			{headerName: this.l('No In Lot'),headerTooltip: this.l('No In Lot'),field: 'noInLot',flex: 1},
			{headerName: this.l('Grade'),headerTooltip: this.l('Grade'),field: 'grade',flex: 1},
			{headerName: this.l('Body'),headerTooltip: this.l('Body'),field: 'body',flex: 1},
			{headerName: this.l('Date In'),headerTooltip: this.l('Date In'),field: 'dateIn',valueGetter: (params) =&gt; this.pipe.transform(params.data?.dateIn, 'dd/MM/yyyy'),flex: 1},
			{headerName: this.l('Time In'),headerTooltip: this.l('Time In'),field: 'timeIn',flex: 1},
			{headerName: this.l('Date Time In'),headerTooltip: this.l('Date Time In'),field: 'dateTimeIn',valueGetter: (params) =&gt; this.pipe.transform(params.data?.dateTimeIn, 'dd/MM/yyyy'),flex: 1},
			{headerName: this.l('Supplier No'),headerTooltip: this.l('Supplier No'),field: 'supplierNo',flex: 1},
			{headerName: this.l('Use Lot No'),headerTooltip: this.l('Use Lot No'),field: 'useLotNo',flex: 1},
			{headerName: this.l('Supplier No 2'),headerTooltip: this.l('Supplier No 2'),field: 'supplierNo2',flex: 1},
			{headerName: this.l('Use Lot No 2'),headerTooltip: this.l('Use Lot No 2'),field: 'useLotNo2',flex: 1},
			{headerName: this.l('Use No In Lot'),headerTooltip: this.l('Use No In Lot'),field: 'useNoInLot',flex: 1},</v>
      </c>
      <c r="I13" s="38" t="str">
        <f ca="1">TEXTJOIN2("
",TRUE,INDIRECT(I11):INDIRECT(I12))</f>
        <v xml:space="preserve">								&lt;div class='input-search'&gt;
									&lt;input [(ngModel)]='shop' name='shop'
									class='form-control' [placeholder]="l('Shop')"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[(ngModel)]='noInLot' name='noInLot'
									class='form-control' [placeholder]="l('No In Lot')"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[(ngModel)]='body' name='body'
									class='form-control' [placeholder]="l('Body')"
									type='text' (keyup.enter)='searchDatas()'&gt;
								&lt;/div&gt;
								&lt;div class='input-search'&gt;
									&lt;input type='text' [placeholder]="l('Date In')" [(ngModel)]='dateIn' 
									name='dateIn' (keydown)='searchDatas()' class='form-control' 
									bsDatepicker #d='bsDatepicker' placement='bottom left'&gt;
									&lt;i class='fa fa-calendar-alt' (click)='d.toggle()'&gt;&lt;/i&gt;
								&lt;/div&gt;
								&lt;div class='input-search'&gt;
									&lt;input type='text' [placeholder]="l('Date Time In')" [(ngModel)]='dateTimeIn' 
									name='dateTimeIn'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[(ngModel)]='useLotNo' name='useLotNo'
									class='form-control' [placeholder]="l('Use Lot No')"
									type='text' (keyup.enter)='searchDatas()'&gt;
								&lt;/div&gt;
								&lt;div class='input-search'&gt;
									&lt;input [(ngModel)]='supplierNo2' name='supplierNo2'
									class='form-control' [placeholder]="l('Supplier No 2')"
									type='text' (keyup.enter)='searchDatas()'&gt;
								&lt;/div&gt;
								&lt;div class='input-search'&gt;
									&lt;input [(ngModel)]='useLotNo2' name='useLotNo2'
									class='form-control' [placeholder]="l('Use Lot No 2')"
									type='text' (keyup.enter)='searchDatas()'&gt;
								&lt;/div&gt;
								&lt;div class='input-search'&gt;
									&lt;input [(ngModel)]='useNoInLot' name='useNoInLot'
									class='form-control' [placeholder]="l('Use No In Lot')"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
					&lt;div class='col-md-12 form-group row'&gt;
						&lt;label class='col-md-2 form-control title'&gt;Model&lt;/label&gt;
						&lt;new-checkbox [(ngModel)]='_model' name='model' className='col-md-10' &gt; &lt;/new-checkbox&gt;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title'&gt;No In Lot&lt;/label&gt;
						&lt;input type='text' class='col-md-10 form-control input-text' name='NoInLot' [(ngModel)]='rowdata.noInLot'&gt;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title'&gt;Body&lt;/label&gt;
						&lt;input type='text' class='col-md-10 form-control input-text' name='Body' [(ngModel)]='rowdata.body'&gt;
					&lt;/div&gt;
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
					&lt;div class='col-md-12 form-group row'&gt;
						&lt;label class='col-md-2 form-control title'&gt;Time In&lt;/label&gt;
						&lt;input type='text' class='col-md-10 form-control input-text' name='timeIn' 
						#datepicker='bsDatepicker' [(ngModel)]='rowdata.timeIn'  bsDatepicker &gt;
					&lt;/div&gt;
					&lt;div class='col-md-12 form-group row'&gt;
						&lt;label class='col-md-2 form-control title'&gt;Date Time In&lt;/label&gt;
						&lt;input type='text' class='col-md-10 form-control input-text' name='dateTimeIn' 
						#datepicker='bsDatepicker' [(ngModel)]='rowdata.dateTimeIn'  bsDatepicker &gt;
					&lt;/div&gt;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title'&gt;Use Lot No&lt;/label&gt;
						&lt;input type='text' class='col-md-10 form-control input-text' name='UseLotNo' [(ngModel)]='rowdata.useLotNo'&gt;
					&lt;/div&gt;
					&lt;div class='col-md-12 form-group row'&gt;
						&lt;label class='col-md-2 form-control title'&gt;Supplier No 2&lt;/label&gt;
						&lt;input type='text' class='col-md-10 form-control input-text' name='SupplierNo2' [(ngModel)]='rowdata.supplierNo2'&gt;
					&lt;/div&gt;
					&lt;div class='col-md-12 form-group row'&gt;
						&lt;label class='col-md-2 form-control title'&gt;Use Lot No 2&lt;/label&gt;
						&lt;input type='text' class='col-md-10 form-control input-text' name='UseLotNo2' [(ngModel)]='rowdata.useLotNo2'&gt;
					&lt;/div&gt;
					&lt;div class='col-md-12 form-group row'&gt;
						&lt;label class='col-md-2 form-control title'&gt;Use No In Lot&lt;/label&gt;
						&lt;input type='text' class='col-md-10 form-control input-text' name='UseNoInLot' [(ngModel)]='rowdata.useNoInLot'&gt;
					&lt;/div&gt;</v>
      </c>
      <c r="L13" s="60" t="str">
        <f ca="1">TEXTJOIN2("
",TRUE,INDIRECT(L11):INDIRECT(L12))</f>
        <v xml:space="preserve">		const dateValue =  this.rowdata.dateIn ? new Date(this.rowdata.dateIn?.toString()) : new Date();
		this.datepicker?.bsValueChange.emit(dateValue);
		const dateValue =  this.rowdata.dateTimeIn ? new Date(this.rowdata.dateTimeIn?.toString())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planSequence
	shop : string = '' ; 
	model : string = '' ; 
	lotNo : string = '' ; 
	noInLot : string = '' ; 
	grade : string = '' ; 
	body : string = '' ; 
	dateIn : any ;
	timeIn : any ;
	dateTimeIn : any ;
	supplierNo : string = '' ; 
	useLotNo : string = '' ; 
	supplierNo2 : string = '' ; 
	useLotNo2 : string = '' ; 
	useNoInLot : string = '' ; </v>
      </c>
      <c r="T13" s="68" t="str">
        <f ca="1">TEXTJOIN2("
",TRUE,INDIRECT(T11):INDIRECT(T12))</f>
        <v xml:space="preserve">			this.planSequence,
			this.shop,
			this.model,
			this.lotNo,
			this.noInLot,
			this.grade,
			this.body,
			this.dateIn,
			this.timeIn,
			this.dateTimeIn,
			this.supplierNo,
			this.useLotNo,
			this.supplierNo2,
			this.useLotNo2,
			this.useNoInLot,</v>
      </c>
      <c r="U13" s="68" t="str">
        <f ca="1">TEXTJOIN2("
",TRUE,INDIRECT(U11):INDIRECT(U12))</f>
        <v>this.planSequence = '',
		this.shop = '',
		this.model = '',
		this.lotNo = '',
		this.noInLot = '',
		this.grade = '',
		this.body = '',
		this.dateIn = '',
		this.timeIn = '',
		this.dateTimeIn = '',
		this.supplierNo = '',
		this.useLotNo = '',
		this.supplierNo2 = '',
		this.useLotNo2 = '',
		this.useNoInLot = '',</v>
      </c>
      <c r="V13" s="31" t="str">
        <f ca="1">TEXTJOIN2("
",TRUE,INDIRECT(V11):INDIRECT(V12))</f>
        <v xml:space="preserve">model
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productionplan.component.ts</v>
      </c>
      <c r="I14" s="40" t="str">
        <f>B8&amp;".component.html"</f>
        <v>productionplan.component.html</v>
      </c>
      <c r="J14" s="39" t="str">
        <f>B8&amp;".component.less"</f>
        <v>productionplan.component.less</v>
      </c>
      <c r="K14" s="40" t="str">
        <f>"create-or-edit-"&amp;B8&amp;"-modal.component.html"</f>
        <v>create-or-edit-productionplan-modal.component.html</v>
      </c>
      <c r="L14" s="40" t="str">
        <f>"create-or-edit-"&amp;B8&amp;"-modal.component.ts"</f>
        <v>create-or-edit-productionplan-modal.component.ts</v>
      </c>
      <c r="M14" s="40" t="str">
        <f>"create-or-edit-"&amp;B8&amp;"-modal.component.less"</f>
        <v>create-or-edit-productionplan-modal.component.less</v>
      </c>
      <c r="N14" s="40" t="str">
        <f>B8&amp;".module.ts"</f>
        <v>productionplan.module.ts</v>
      </c>
      <c r="O14" s="40" t="str">
        <f>B8&amp;"-routing.module.ts"</f>
        <v>productionplan-routing.module.ts</v>
      </c>
      <c r="P14" s="40" t="s">
        <v>222</v>
      </c>
      <c r="Q14" s="40" t="s">
        <v>225</v>
      </c>
      <c r="R14" s="41" t="s">
        <v>232</v>
      </c>
      <c r="S14" s="40" t="s">
        <v>252</v>
      </c>
      <c r="T14" s="40" t="s">
        <v>253</v>
      </c>
      <c r="U14" s="40" t="s">
        <v>256</v>
      </c>
      <c r="V14" s="40" t="s">
        <v>265</v>
      </c>
    </row>
    <row r="15" spans="1:22" ht="18" customHeight="1" x14ac:dyDescent="0.25">
      <c r="A15" s="44" t="s">
        <v>325</v>
      </c>
      <c r="B15" s="31" t="str">
        <f>SUBSTITUTE(PROPER(A15),"_","")</f>
        <v>PlanSequence</v>
      </c>
      <c r="C15" s="31" t="str">
        <f>SUBSTITUTE(PROPER(A15),"_"," ")</f>
        <v>Plan Sequence</v>
      </c>
      <c r="D15" s="31" t="str">
        <f>LOWER(LEFT(B15,1))&amp;RIGHT(B15,LEN(B15) - 1)</f>
        <v>planSequence</v>
      </c>
      <c r="E15" s="31" t="str">
        <f>A.Backend!H9</f>
        <v>long</v>
      </c>
      <c r="F15" s="31" t="str">
        <f>A.Backend!G9</f>
        <v/>
      </c>
      <c r="G15" s="31" t="str">
        <f>IF(E15="string"," : string = '' ; ",IF(OR(E15="DateTime",E15="TimeSpan")," : any ;",IF(E15="int"," : number = 0 ;","")))</f>
        <v/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this.l('Plan Sequence'),headerTooltip: this.l('Plan Sequence'),field: 'planSequence',flex: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>planSequence</v>
      </c>
      <c r="T15" s="31" t="str">
        <f>REPT(CHAR(9),3)&amp;"this."&amp;D15&amp;","</f>
        <v xml:space="preserve">			this.planSequence,</v>
      </c>
      <c r="U15" s="31" t="str">
        <f>IF(E15="int","this."&amp;D15&amp;" = 0,","this."&amp;D15&amp;" = '',")</f>
        <v>this.planSequence = '',</v>
      </c>
      <c r="V15" s="31" t="str">
        <f>IF(AND(E15="string",F15="1"),D15,"")</f>
        <v/>
      </c>
    </row>
    <row r="16" spans="1:22" ht="15" customHeight="1" x14ac:dyDescent="0.25">
      <c r="A16" s="44" t="s">
        <v>326</v>
      </c>
      <c r="B16" s="31" t="str">
        <f t="shared" ref="B16:B17" si="0">SUBSTITUTE(PROPER(A16),"_","")</f>
        <v>Shop</v>
      </c>
      <c r="C16" s="31" t="str">
        <f t="shared" ref="C16:C17" si="1">SUBSTITUTE(PROPER(A16),"_"," ")</f>
        <v>Shop</v>
      </c>
      <c r="D16" s="31" t="str">
        <f t="shared" ref="D16:D17" si="2">LOWER(LEFT(B16,1))&amp;RIGHT(B16,LEN(B16) - 1)</f>
        <v>shop</v>
      </c>
      <c r="E16" s="31" t="str">
        <f>A.Backend!H10</f>
        <v>string</v>
      </c>
      <c r="F16" s="31" t="str">
        <f>A.Backend!G10</f>
        <v>10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this.l('Shop'),headerTooltip: this.l('Shop'),field: 'shop',flex: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[(ngModel)]='shop' name='shop'
									class='form-control' [placeholder]="l('Shop')"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title'&gt;Shop&lt;/label&gt;
						&lt;input type='text' class='col-md-10 form-control input-text' name='Shop' [(ngModel)]='rowdata.shop'&gt;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shop : string = '' ; </v>
      </c>
      <c r="T16" s="31" t="str">
        <f>REPT(CHAR(9),3)&amp;"this."&amp;D16&amp;","</f>
        <v xml:space="preserve">			this.shop,</v>
      </c>
      <c r="U16" s="31" t="str">
        <f>IF(E16="int",REPT(CHAR(9),2)&amp;"this."&amp;D16&amp;" = 0,",REPT(CHAR(9),2)&amp;"this."&amp;D16&amp;" = '',")</f>
        <v xml:space="preserve">		this.shop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327</v>
      </c>
      <c r="B17" s="31" t="str">
        <f t="shared" si="0"/>
        <v>Model</v>
      </c>
      <c r="C17" s="31" t="str">
        <f t="shared" si="1"/>
        <v>Model</v>
      </c>
      <c r="D17" s="31" t="str">
        <f t="shared" si="2"/>
        <v>model</v>
      </c>
      <c r="E17" s="31" t="str">
        <f>A.Backend!H11</f>
        <v>string</v>
      </c>
      <c r="F17" s="31" t="str">
        <f>A.Backend!G11</f>
        <v>1</v>
      </c>
      <c r="G17" s="31" t="str">
        <f t="shared" si="3"/>
        <v xml:space="preserve"> : string = '' ; </v>
      </c>
      <c r="H17" s="38" t="str">
        <f t="shared" si="4"/>
        <v xml:space="preserve">			{headerName: this.l('Model'),headerTooltip: this.l('Model'),field:  'model', cellClass: ['text-center'], width: 120, cellRenderer: 'agCellButtonComponent',
buttonDefTwo: { text: params =&gt; (params.data?.'model' == 'Y') ? 'Active' : 'Inactive',iconName: 'fa fa-circle',className: params =&gt; (params.data?.'model' == 'Y') ? 'btnActive' : 'btnInActive',},}</v>
      </c>
      <c r="I17" s="38" t="str">
        <f t="shared" si="5"/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title'&gt;Model&lt;/label&gt;
						&lt;new-checkbox [(ngModel)]='_model' name='model' className='col-md-10' &gt; &lt;/new-checkbox&gt;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model : string = '' ; </v>
      </c>
      <c r="T17" s="31" t="str">
        <f t="shared" ref="T17:T19" si="10">REPT(CHAR(9),3)&amp;"this."&amp;D17&amp;","</f>
        <v xml:space="preserve">			this.model,</v>
      </c>
      <c r="U17" s="31" t="str">
        <f t="shared" ref="U17:U19" si="11">IF(E17="int",REPT(CHAR(9),2)&amp;"this."&amp;D17&amp;" = 0,",REPT(CHAR(9),2)&amp;"this."&amp;D17&amp;" = '',")</f>
        <v xml:space="preserve">		this.model = '',</v>
      </c>
      <c r="V17" s="31" t="str">
        <f t="shared" si="8"/>
        <v>model</v>
      </c>
    </row>
    <row r="18" spans="1:22" ht="18" customHeight="1" x14ac:dyDescent="0.25">
      <c r="A18" s="44" t="s">
        <v>328</v>
      </c>
      <c r="B18" s="31" t="str">
        <f>SUBSTITUTE(PROPER(A18),"_","")</f>
        <v>LotNo</v>
      </c>
      <c r="C18" s="31" t="str">
        <f>SUBSTITUTE(PROPER(A18),"_"," ")</f>
        <v>Lot No</v>
      </c>
      <c r="D18" s="31" t="str">
        <f>LOWER(LEFT(B18,1))&amp;RIGHT(B18,LEN(B18) - 1)</f>
        <v>lotNo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this.l('Lot No'),headerTooltip: this.l('Lot No'),field: 'lotNo',flex: 1},</v>
      </c>
      <c r="I18" s="38" t="str">
        <f t="shared" si="5"/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lotNo : string = '' ; </v>
      </c>
      <c r="T18" s="31" t="str">
        <f t="shared" si="10"/>
        <v xml:space="preserve">			this.lotNo,</v>
      </c>
      <c r="U18" s="31" t="str">
        <f t="shared" si="11"/>
        <v xml:space="preserve">		this.lotNo = '',</v>
      </c>
      <c r="V18" s="31" t="str">
        <f t="shared" si="8"/>
        <v/>
      </c>
    </row>
    <row r="19" spans="1:22" ht="15" customHeight="1" x14ac:dyDescent="0.25">
      <c r="A19" s="44" t="s">
        <v>329</v>
      </c>
      <c r="B19" s="31" t="str">
        <f t="shared" ref="B19" si="12">SUBSTITUTE(PROPER(A19),"_","")</f>
        <v>NoInLot</v>
      </c>
      <c r="C19" s="31" t="str">
        <f t="shared" ref="C19" si="13">SUBSTITUTE(PROPER(A19),"_"," ")</f>
        <v>No In Lot</v>
      </c>
      <c r="D19" s="31" t="str">
        <f t="shared" ref="D19" si="14">LOWER(LEFT(B19,1))&amp;RIGHT(B19,LEN(B19) - 1)</f>
        <v>noInLot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this.l('No In Lot'),headerTooltip: this.l('No In Lot'),field: 'noInLot',flex: 1},</v>
      </c>
      <c r="I19" s="38" t="str">
        <f t="shared" si="5"/>
        <v xml:space="preserve">								&lt;div class='input-search'&gt;
									&lt;input [(ngModel)]='noInLot' name='noInLot'
									class='form-control' [placeholder]="l('No In Lot')"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title'&gt;No In Lot&lt;/label&gt;
						&lt;input type='text' class='col-md-10 form-control input-text' name='NoInLot' [(ngModel)]='rowdata.noInLot'&gt;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noInLot : string = '' ; </v>
      </c>
      <c r="T19" s="31" t="str">
        <f t="shared" si="10"/>
        <v xml:space="preserve">			this.noInLot,</v>
      </c>
      <c r="U19" s="31" t="str">
        <f t="shared" si="11"/>
        <v xml:space="preserve">		this.noInLot = '',</v>
      </c>
      <c r="V19" s="31" t="str">
        <f t="shared" si="8"/>
        <v/>
      </c>
    </row>
    <row r="20" spans="1:22" ht="15" customHeight="1" x14ac:dyDescent="0.25">
      <c r="A20" s="44" t="s">
        <v>330</v>
      </c>
      <c r="B20" s="31" t="str">
        <f t="shared" ref="B20:B21" si="15">SUBSTITUTE(PROPER(A20),"_","")</f>
        <v>Grade</v>
      </c>
      <c r="C20" s="31" t="str">
        <f t="shared" ref="C20:C21" si="16">SUBSTITUTE(PROPER(A20),"_"," ")</f>
        <v>Grade</v>
      </c>
      <c r="D20" s="31" t="str">
        <f t="shared" ref="D20:D21" si="17">LOWER(LEFT(B20,1))&amp;RIGHT(B20,LEN(B20) - 1)</f>
        <v>grade</v>
      </c>
      <c r="E20" s="31" t="str">
        <f>A.Backend!H14</f>
        <v>string</v>
      </c>
      <c r="F20" s="31" t="str">
        <f>A.Backend!G14</f>
        <v>2</v>
      </c>
      <c r="G20" s="31" t="str">
        <f t="shared" ref="G20:G23" si="18">IF(E20="string"," : string = '' ; ",IF(OR(E20="DateTime",E20="TimeSpan")," : any ;",IF(E20="int"," : number = 0 ;","")))</f>
        <v xml:space="preserve"> : string = '' ; </v>
      </c>
      <c r="H20" s="38" t="str">
        <f t="shared" ref="H20:H23" si="19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this.l('Grade'),headerTooltip: this.l('Grade'),field: 'grade',flex: 1},</v>
      </c>
      <c r="I20" s="38" t="str">
        <f t="shared" ref="I20:I23" si="20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20" s="31"/>
      <c r="K20" s="38" t="str">
        <f t="shared" ref="K20:K23" si="21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20" s="60" t="str">
        <f t="shared" ref="L20:L23" si="22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grade : string = '' ; </v>
      </c>
      <c r="T20" s="31" t="str">
        <f>REPT(CHAR(9),3)&amp;"this."&amp;D20&amp;","</f>
        <v xml:space="preserve">			this.grade,</v>
      </c>
      <c r="U20" s="31" t="str">
        <f>IF(E20="int",REPT(CHAR(9),2)&amp;"this."&amp;D20&amp;" = 0,",REPT(CHAR(9),2)&amp;"this."&amp;D20&amp;" = '',")</f>
        <v xml:space="preserve">		this.grade = '',</v>
      </c>
      <c r="V20" s="31" t="str">
        <f t="shared" ref="V20:V23" si="23">IF(AND(E20="string",F20="1"),D20,"")</f>
        <v/>
      </c>
    </row>
    <row r="21" spans="1:22" ht="18" customHeight="1" x14ac:dyDescent="0.25">
      <c r="A21" s="44" t="s">
        <v>331</v>
      </c>
      <c r="B21" s="31" t="str">
        <f t="shared" si="15"/>
        <v>Body</v>
      </c>
      <c r="C21" s="31" t="str">
        <f t="shared" si="16"/>
        <v>Body</v>
      </c>
      <c r="D21" s="31" t="str">
        <f t="shared" si="17"/>
        <v>body</v>
      </c>
      <c r="E21" s="31" t="str">
        <f>A.Backend!H15</f>
        <v>string</v>
      </c>
      <c r="F21" s="31" t="str">
        <f>A.Backend!G15</f>
        <v>50</v>
      </c>
      <c r="G21" s="31" t="str">
        <f t="shared" si="18"/>
        <v xml:space="preserve"> : string = '' ; </v>
      </c>
      <c r="H21" s="38" t="str">
        <f t="shared" si="19"/>
        <v xml:space="preserve">			{headerName: this.l('Body'),headerTooltip: this.l('Body'),field: 'body',flex: 1},</v>
      </c>
      <c r="I21" s="38" t="str">
        <f t="shared" si="20"/>
        <v xml:space="preserve">								&lt;div class='input-search'&gt;
									&lt;input [(ngModel)]='body' name='body'
									class='form-control' [placeholder]="l('Body')"
									type='text' (keyup.enter)='searchDatas()'&gt;
								&lt;/div&gt;</v>
      </c>
      <c r="J21" s="31"/>
      <c r="K21" s="38" t="str">
        <f t="shared" si="21"/>
        <v xml:space="preserve">					&lt;div class='col-md-12 form-group row'&gt;
						&lt;label class='col-md-2 form-control title'&gt;Body&lt;/label&gt;
						&lt;input type='text' class='col-md-10 form-control input-text' name='Body' [(ngModel)]='rowdata.body'&gt;
					&lt;/div&gt;</v>
      </c>
      <c r="L21" s="60" t="str">
        <f t="shared" si="22"/>
        <v/>
      </c>
      <c r="M21" s="31"/>
      <c r="N21" s="31"/>
      <c r="O21" s="31"/>
      <c r="P21" s="31"/>
      <c r="Q21" s="31"/>
      <c r="R21" s="31"/>
      <c r="S21" s="31" t="str">
        <f t="shared" ref="S21:S23" si="24">REPT(CHAR(9),1)&amp;D21&amp;G21</f>
        <v xml:space="preserve">	body : string = '' ; </v>
      </c>
      <c r="T21" s="31" t="str">
        <f t="shared" ref="T21:T23" si="25">REPT(CHAR(9),3)&amp;"this."&amp;D21&amp;","</f>
        <v xml:space="preserve">			this.body,</v>
      </c>
      <c r="U21" s="31" t="str">
        <f t="shared" ref="U21:U23" si="26">IF(E21="int",REPT(CHAR(9),2)&amp;"this."&amp;D21&amp;" = 0,",REPT(CHAR(9),2)&amp;"this."&amp;D21&amp;" = '',")</f>
        <v xml:space="preserve">		this.body = '',</v>
      </c>
      <c r="V21" s="31" t="str">
        <f t="shared" si="23"/>
        <v/>
      </c>
    </row>
    <row r="22" spans="1:22" ht="18" customHeight="1" x14ac:dyDescent="0.25">
      <c r="A22" s="44" t="s">
        <v>332</v>
      </c>
      <c r="B22" s="31" t="str">
        <f>SUBSTITUTE(PROPER(A22),"_","")</f>
        <v>DateIn</v>
      </c>
      <c r="C22" s="31" t="str">
        <f>SUBSTITUTE(PROPER(A22),"_"," ")</f>
        <v>Date In</v>
      </c>
      <c r="D22" s="31" t="str">
        <f>LOWER(LEFT(B22,1))&amp;RIGHT(B22,LEN(B22) - 1)</f>
        <v>dateIn</v>
      </c>
      <c r="E22" s="31" t="str">
        <f>A.Backend!H16</f>
        <v>DateTime</v>
      </c>
      <c r="F22" s="31" t="str">
        <f>A.Backend!G16</f>
        <v/>
      </c>
      <c r="G22" s="31" t="str">
        <f t="shared" si="18"/>
        <v xml:space="preserve"> : any ;</v>
      </c>
      <c r="H22" s="38" t="str">
        <f t="shared" si="19"/>
        <v xml:space="preserve">			{headerName: this.l('Date In'),headerTooltip: this.l('Date In'),field: 'dateIn',valueGetter: (params) =&gt; this.pipe.transform(params.data?.dateIn, 'dd/MM/yyyy'),flex: 1},</v>
      </c>
      <c r="I22" s="38" t="str">
        <f t="shared" si="20"/>
        <v xml:space="preserve">								&lt;div class='input-search'&gt;
									&lt;input type='text' [placeholder]="l('Date In')" [(ngModel)]='dateIn' 
									name='dateIn' (keydown)='searchDatas()' class='form-control' 
									bsDatepicker #d='bsDatepicker' placement='bottom left'&gt;
									&lt;i class='fa fa-calendar-alt' (click)='d.toggle()'&gt;&lt;/i&gt;
								&lt;/div&gt;</v>
      </c>
      <c r="J22" s="31"/>
      <c r="K22" s="38" t="str">
        <f t="shared" si="21"/>
        <v xml:space="preserve">					&lt;div class='col-md-12 form-group row'&gt;
						&lt;label class='col-md-2 form-control title'&gt;Date In&lt;/label&gt;
						&lt;input type='text' class='col-md-10 form-control input-text' name='dateIn' 
						#datepicker='bsDatepicker' [(ngModel)]='rowdata.dateIn'  bsDatepicker &gt;
					&lt;/div&gt;</v>
      </c>
      <c r="L22" s="60" t="str">
        <f t="shared" si="22"/>
        <v xml:space="preserve">		const dateValue =  this.rowdata.dateIn ? new Date(this.rowdata.dateIn?.toString()) : new Date();
		this.datepicker?.bsValueChange.emit(dateValue);</v>
      </c>
      <c r="M22" s="31"/>
      <c r="N22" s="31"/>
      <c r="O22" s="31"/>
      <c r="P22" s="31"/>
      <c r="Q22" s="31"/>
      <c r="R22" s="31"/>
      <c r="S22" s="31" t="str">
        <f t="shared" si="24"/>
        <v xml:space="preserve">	dateIn : any ;</v>
      </c>
      <c r="T22" s="31" t="str">
        <f t="shared" si="25"/>
        <v xml:space="preserve">			this.dateIn,</v>
      </c>
      <c r="U22" s="31" t="str">
        <f t="shared" si="26"/>
        <v xml:space="preserve">		this.dateIn = '',</v>
      </c>
      <c r="V22" s="31" t="str">
        <f t="shared" si="23"/>
        <v/>
      </c>
    </row>
    <row r="23" spans="1:22" ht="15" customHeight="1" x14ac:dyDescent="0.25">
      <c r="A23" s="44" t="s">
        <v>333</v>
      </c>
      <c r="B23" s="31" t="str">
        <f t="shared" ref="B23:B28" si="27">SUBSTITUTE(PROPER(A23),"_","")</f>
        <v>TimeIn</v>
      </c>
      <c r="C23" s="31" t="str">
        <f t="shared" ref="C23:C28" si="28">SUBSTITUTE(PROPER(A23),"_"," ")</f>
        <v>Time In</v>
      </c>
      <c r="D23" s="31" t="str">
        <f t="shared" ref="D23:D28" si="29">LOWER(LEFT(B23,1))&amp;RIGHT(B23,LEN(B23) - 1)</f>
        <v>timeIn</v>
      </c>
      <c r="E23" s="31" t="str">
        <f>A.Backend!H17</f>
        <v>TimeSpan</v>
      </c>
      <c r="F23" s="31" t="str">
        <f>A.Backend!G17</f>
        <v/>
      </c>
      <c r="G23" s="31" t="str">
        <f t="shared" si="18"/>
        <v xml:space="preserve"> : any ;</v>
      </c>
      <c r="H23" s="38" t="str">
        <f t="shared" si="19"/>
        <v xml:space="preserve">			{headerName: this.l('Time In'),headerTooltip: this.l('Time In'),field: 'timeIn',flex: 1},</v>
      </c>
      <c r="I23" s="38" t="str">
        <f t="shared" si="20"/>
        <v/>
      </c>
      <c r="J23" s="31"/>
      <c r="K23" s="38" t="str">
        <f t="shared" si="21"/>
        <v xml:space="preserve">					&lt;div class='col-md-12 form-group row'&gt;
						&lt;label class='col-md-2 form-control title'&gt;Time In&lt;/label&gt;
						&lt;input type='text' class='col-md-10 form-control input-text' name='timeIn' 
						#datepicker='bsDatepicker' [(ngModel)]='rowdata.timeIn'  bsDatepicker 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timeIn : any ;</v>
      </c>
      <c r="T23" s="31" t="str">
        <f t="shared" si="25"/>
        <v xml:space="preserve">			this.timeIn,</v>
      </c>
      <c r="U23" s="31" t="str">
        <f t="shared" si="26"/>
        <v xml:space="preserve">		this.timeIn = '',</v>
      </c>
      <c r="V23" s="31" t="str">
        <f t="shared" si="23"/>
        <v/>
      </c>
    </row>
    <row r="24" spans="1:22" ht="15" customHeight="1" x14ac:dyDescent="0.25">
      <c r="A24" s="44" t="s">
        <v>334</v>
      </c>
      <c r="B24" s="31" t="str">
        <f t="shared" si="27"/>
        <v>DateTimeIn</v>
      </c>
      <c r="C24" s="31" t="str">
        <f t="shared" si="28"/>
        <v>Date Time In</v>
      </c>
      <c r="D24" s="31" t="str">
        <f t="shared" si="29"/>
        <v>dateTimeIn</v>
      </c>
      <c r="E24" s="31" t="str">
        <f>A.Backend!H18</f>
        <v>DateTime</v>
      </c>
      <c r="F24" s="31" t="str">
        <f>A.Backend!G18</f>
        <v>7</v>
      </c>
      <c r="G24" s="31" t="str">
        <f t="shared" ref="G24:G29" si="30">IF(E24="string"," : string = '' ; ",IF(OR(E24="DateTime",E24="TimeSpan")," : any ;",IF(E24="int"," : number = 0 ;","")))</f>
        <v xml:space="preserve"> : any ;</v>
      </c>
      <c r="H24" s="38" t="str">
        <f t="shared" ref="H24:H29" si="31"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this.l('Date Time In'),headerTooltip: this.l('Date Time In'),field: 'dateTimeIn',valueGetter: (params) =&gt; this.pipe.transform(params.data?.dateTimeIn, 'dd/MM/yyyy'),flex: 1},</v>
      </c>
      <c r="I24" s="38" t="str">
        <f t="shared" ref="I24:I29" si="32"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type='text' [placeholder]="l('Date Time In')" [(ngModel)]='dateTimeIn' 
									name='dateTimeIn' (keydown)='searchDatas()' class='form-control' 
									bsDatepicker #d='bsDatepicker' placement='bottom left'&gt;
									&lt;i class='fa fa-calendar-alt' (click)='d.toggle()'&gt;&lt;/i&gt;
								&lt;/div&gt;</v>
      </c>
      <c r="J24" s="31"/>
      <c r="K24" s="38" t="str">
        <f t="shared" ref="K24:K29" si="33"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title'&gt;Date Time In&lt;/label&gt;
						&lt;input type='text' class='col-md-10 form-control input-text' name='dateTimeIn' 
						#datepicker='bsDatepicker' [(ngModel)]='rowdata.dateTimeIn'  bsDatepicker &gt;
					&lt;/div&gt;</v>
      </c>
      <c r="L24" s="60" t="str">
        <f t="shared" ref="L24:L29" si="34">IF(E24="DateTime",
REPT(CHAR(9),2)&amp;"const dateValue =  this.rowdata."&amp;D24&amp;" ? new Date(this.rowdata."&amp;D24&amp;"?.toString()) : new Date();
"&amp;REPT(CHAR(9),2)&amp;"this.datepicker?.bsValueChange.emit(dateValue);","")</f>
        <v xml:space="preserve">		const dateValue =  this.rowdata.dateTimeIn ? new Date(this.rowdata.dateTimeIn?.toString()) : new Date();
		this.datepicker?.bsValueChange.emit(dateValue);</v>
      </c>
      <c r="M24" s="31"/>
      <c r="N24" s="31"/>
      <c r="O24" s="31"/>
      <c r="P24" s="31"/>
      <c r="Q24" s="31"/>
      <c r="R24" s="31"/>
      <c r="S24" s="31" t="str">
        <f>REPT(CHAR(9),1)&amp;D24&amp;G24</f>
        <v xml:space="preserve">	dateTimeIn : any ;</v>
      </c>
      <c r="T24" s="31" t="str">
        <f>REPT(CHAR(9),3)&amp;"this."&amp;D24&amp;","</f>
        <v xml:space="preserve">			this.dateTimeIn,</v>
      </c>
      <c r="U24" s="31" t="str">
        <f>IF(E24="int",REPT(CHAR(9),2)&amp;"this."&amp;D24&amp;" = 0,",REPT(CHAR(9),2)&amp;"this."&amp;D24&amp;" = '',")</f>
        <v xml:space="preserve">		this.dateTimeIn = '',</v>
      </c>
      <c r="V24" s="31" t="str">
        <f t="shared" ref="V24:V29" si="35">IF(AND(E24="string",F24="1"),D24,"")</f>
        <v/>
      </c>
    </row>
    <row r="25" spans="1:22" ht="18" customHeight="1" x14ac:dyDescent="0.25">
      <c r="A25" s="44" t="s">
        <v>339</v>
      </c>
      <c r="B25" s="31" t="str">
        <f t="shared" ref="B25" si="36">SUBSTITUTE(PROPER(A25),"_","")</f>
        <v>SupplierNo</v>
      </c>
      <c r="C25" s="31" t="str">
        <f t="shared" ref="C25" si="37">SUBSTITUTE(PROPER(A25),"_"," ")</f>
        <v>Supplier No</v>
      </c>
      <c r="D25" s="31" t="str">
        <f t="shared" ref="D25" si="38">LOWER(LEFT(B25,1))&amp;RIGHT(B25,LEN(B25) - 1)</f>
        <v>supplierNo</v>
      </c>
      <c r="E25" s="31" t="str">
        <f>A.Backend!H19</f>
        <v>string</v>
      </c>
      <c r="F25" s="31" t="str">
        <f>A.Backend!G19</f>
        <v>50</v>
      </c>
      <c r="G25" s="31" t="str">
        <f t="shared" ref="G25:G27" si="39">IF(E25="string"," : string = '' ; ",IF(OR(E25="DateTime",E25="TimeSpan")," : any ;",IF(E25="int"," : number = 0 ;","")))</f>
        <v xml:space="preserve"> : string = '' ; </v>
      </c>
      <c r="H25" s="38" t="str">
        <f t="shared" ref="H25:H27" si="40">IF(E25="DateTime",
REPT(CHAR(9),3)&amp;"{headerName: this.l('"&amp;C25&amp;"'),headerTooltip: this.l('"&amp;C25&amp;"'),field: '"&amp;D25&amp;"',valueGetter: (params) =&gt; this.pipe.transform(params.data?."&amp;D25&amp;", 'dd/MM/yyyy'),flex: 1},",
IF(AND(E25="string",F25="1"),
REPT(CHAR(9),3)&amp;"{headerName: this.l('"&amp;C25&amp;"'),headerTooltip: this.l('"&amp;C25&amp;"'),field:  '"&amp;D25&amp;"', cellClass: ['text-center'], width: 120, cellRenderer: 'agCellButtonComponent',
buttonDefTwo: { text: params =&gt; (params.data?.'"&amp;D25&amp;"' == 'Y') ? 'Active' : 'Inactive',iconName: 'fa fa-circle',className: params =&gt; (params.data?.'"&amp;D25&amp;"' == 'Y') ? 'btnActive' : 'btnInActive',},}",
REPT(CHAR(9),3)&amp;"{headerName: this.l('"&amp;C25&amp;"'),headerTooltip: this.l('"&amp;C25&amp;"'),field: '"&amp;D25&amp;"',flex: 1},"))</f>
        <v xml:space="preserve">			{headerName: this.l('Supplier No'),headerTooltip: this.l('Supplier No'),field: 'supplierNo',flex: 1},</v>
      </c>
      <c r="I25" s="38" t="str">
        <f t="shared" ref="I25:I27" si="41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IF(E25="string",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25" s="31"/>
      <c r="K25" s="38" t="str">
        <f t="shared" ref="K25:K27" si="42">IF(OR(E25="DateTime",E25="TimeSpan"),
REPT(CHAR(9),5)&amp;"&lt;div class='col-md-12 form-group row'&gt;
"&amp;REPT(CHAR(9),6)&amp;"&lt;label class='col-md-2 form-control title'&gt;"&amp;C25&amp;"&lt;/label&gt;
"&amp;REPT(CHAR(9),6)&amp;"&lt;input type='text' class='col-md-10 form-control input-text' name='"&amp;D25&amp;"' 
"&amp;REPT(CHAR(9),6)&amp;"#datepicker='bsDatepicker' [(ngModel)]='rowdata."&amp;D25&amp;"'  bsDatepicker &gt;
"&amp;REPT(CHAR(9),5)&amp;"&lt;/div&gt;",
IF(AND(E25="string",F25="1"),
REPT(CHAR(9),5)&amp;"&lt;div class='col-md-12 form-group row'&gt;
"&amp;REPT(CHAR(9),6)&amp;"&lt;label class='col-md-2 form-control title'&gt;"&amp;C25&amp;"&lt;/label&gt;
"&amp;REPT(CHAR(9),6)&amp;"&lt;new-checkbox [(ngModel)]='_"&amp;D25&amp;"' name='"&amp;D25&amp;"' className='col-md-10' &gt; &lt;/new-checkbox&gt;
"&amp;REPT(CHAR(9),5)&amp;"&lt;/div&gt;",
IF(E25="string",
REPT(CHAR(9),5)&amp;"&lt;div class='col-md-12 form-group row'&gt;
"&amp;REPT(CHAR(9),6)&amp;"&lt;label class='col-md-2 form-control title'&gt;"&amp;C25&amp;"&lt;/label&gt;
"&amp;REPT(CHAR(9),6)&amp;"&lt;input type='text' class='col-md-10 form-control input-text' name='"&amp;B25&amp;"' [(ngModel)]='rowdata."&amp;D25&amp;"'&gt;
"&amp;REPT(CHAR(9),5)&amp;"&lt;/div&gt;",
IF(E25="int",
REPT(CHAR(9),5)&amp;"&lt;div class='col-md-12 form-group row'&gt;
"&amp;REPT(CHAR(9),6)&amp;"&lt;label class='col-md-2 form-control title'&gt;"&amp;C25&amp;"&lt;/label&gt;
"&amp;REPT(CHAR(9),6)&amp;"&lt;input type='number' class='col-md-10 form-control input-text' name='"&amp;B25&amp;"' [(ngModel)]='rowdata."&amp;D25&amp;"'&gt;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25" s="60" t="str">
        <f t="shared" ref="L25:L27" si="43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31"/>
      <c r="N25" s="31"/>
      <c r="O25" s="31"/>
      <c r="P25" s="31"/>
      <c r="Q25" s="31"/>
      <c r="R25" s="31"/>
      <c r="S25" s="31" t="str">
        <f t="shared" ref="S25:S27" si="44">REPT(CHAR(9),1)&amp;D25&amp;G25</f>
        <v xml:space="preserve">	supplierNo : string = '' ; </v>
      </c>
      <c r="T25" s="31" t="str">
        <f t="shared" ref="T25:T27" si="45">REPT(CHAR(9),3)&amp;"this."&amp;D25&amp;","</f>
        <v xml:space="preserve">			this.supplierNo,</v>
      </c>
      <c r="U25" s="31" t="str">
        <f t="shared" ref="U25:U27" si="46">IF(E25="int",REPT(CHAR(9),2)&amp;"this."&amp;D25&amp;" = 0,",REPT(CHAR(9),2)&amp;"this."&amp;D25&amp;" = '',")</f>
        <v xml:space="preserve">		this.supplierNo = '',</v>
      </c>
      <c r="V25" s="31" t="str">
        <f t="shared" ref="V25:V27" si="47">IF(AND(E25="string",F25="1"),D25,"")</f>
        <v/>
      </c>
    </row>
    <row r="26" spans="1:22" ht="18" customHeight="1" x14ac:dyDescent="0.25">
      <c r="A26" s="44" t="s">
        <v>340</v>
      </c>
      <c r="B26" s="31" t="str">
        <f>SUBSTITUTE(PROPER(A26),"_","")</f>
        <v>UseLotNo</v>
      </c>
      <c r="C26" s="31" t="str">
        <f>SUBSTITUTE(PROPER(A26),"_"," ")</f>
        <v>Use Lot No</v>
      </c>
      <c r="D26" s="31" t="str">
        <f>LOWER(LEFT(B26,1))&amp;RIGHT(B26,LEN(B26) - 1)</f>
        <v>useLotNo</v>
      </c>
      <c r="E26" s="31" t="str">
        <f>A.Backend!H20</f>
        <v>string</v>
      </c>
      <c r="F26" s="31" t="str">
        <f>A.Backend!G20</f>
        <v>50</v>
      </c>
      <c r="G26" s="31" t="str">
        <f t="shared" si="39"/>
        <v xml:space="preserve"> : string = '' ; </v>
      </c>
      <c r="H26" s="38" t="str">
        <f t="shared" si="40"/>
        <v xml:space="preserve">			{headerName: this.l('Use Lot No'),headerTooltip: this.l('Use Lot No'),field: 'useLotNo',flex: 1},</v>
      </c>
      <c r="I26" s="38" t="str">
        <f t="shared" si="41"/>
        <v xml:space="preserve">								&lt;div class='input-search'&gt;
									&lt;input [(ngModel)]='useLotNo' name='useLotNo'
									class='form-control' [placeholder]="l('Use Lot No')"
									type='text' (keyup.enter)='searchDatas()'&gt;
								&lt;/div&gt;</v>
      </c>
      <c r="J26" s="31"/>
      <c r="K26" s="38" t="str">
        <f t="shared" si="42"/>
        <v xml:space="preserve">					&lt;div class='col-md-12 form-group row'&gt;
						&lt;label class='col-md-2 form-control title'&gt;Use Lot No&lt;/label&gt;
						&lt;input type='text' class='col-md-10 form-control input-text' name='UseLotNo' [(ngModel)]='rowdata.useLotNo'&gt;
					&lt;/div&gt;</v>
      </c>
      <c r="L26" s="60" t="str">
        <f t="shared" si="43"/>
        <v/>
      </c>
      <c r="M26" s="31"/>
      <c r="N26" s="31"/>
      <c r="O26" s="31"/>
      <c r="P26" s="31"/>
      <c r="Q26" s="31"/>
      <c r="R26" s="31"/>
      <c r="S26" s="31" t="str">
        <f t="shared" si="44"/>
        <v xml:space="preserve">	useLotNo : string = '' ; </v>
      </c>
      <c r="T26" s="31" t="str">
        <f t="shared" si="45"/>
        <v xml:space="preserve">			this.useLotNo,</v>
      </c>
      <c r="U26" s="31" t="str">
        <f t="shared" si="46"/>
        <v xml:space="preserve">		this.useLotNo = '',</v>
      </c>
      <c r="V26" s="31" t="str">
        <f t="shared" si="47"/>
        <v/>
      </c>
    </row>
    <row r="27" spans="1:22" ht="15" customHeight="1" x14ac:dyDescent="0.25">
      <c r="A27" s="44" t="s">
        <v>343</v>
      </c>
      <c r="B27" s="31" t="str">
        <f t="shared" ref="B27" si="48">SUBSTITUTE(PROPER(A27),"_","")</f>
        <v>SupplierNo2</v>
      </c>
      <c r="C27" s="31" t="str">
        <f t="shared" ref="C27" si="49">SUBSTITUTE(PROPER(A27),"_"," ")</f>
        <v>Supplier No 2</v>
      </c>
      <c r="D27" s="31" t="str">
        <f t="shared" ref="D27" si="50">LOWER(LEFT(B27,1))&amp;RIGHT(B27,LEN(B27) - 1)</f>
        <v>supplierNo2</v>
      </c>
      <c r="E27" s="31" t="str">
        <f>A.Backend!H21</f>
        <v>string</v>
      </c>
      <c r="F27" s="31" t="str">
        <f>A.Backend!G21</f>
        <v>50</v>
      </c>
      <c r="G27" s="31" t="str">
        <f t="shared" si="39"/>
        <v xml:space="preserve"> : string = '' ; </v>
      </c>
      <c r="H27" s="38" t="str">
        <f t="shared" si="40"/>
        <v xml:space="preserve">			{headerName: this.l('Supplier No 2'),headerTooltip: this.l('Supplier No 2'),field: 'supplierNo2',flex: 1},</v>
      </c>
      <c r="I27" s="38" t="str">
        <f t="shared" si="41"/>
        <v xml:space="preserve">								&lt;div class='input-search'&gt;
									&lt;input [(ngModel)]='supplierNo2' name='supplierNo2'
									class='form-control' [placeholder]="l('Supplier No 2')"
									type='text' (keyup.enter)='searchDatas()'&gt;
								&lt;/div&gt;</v>
      </c>
      <c r="J27" s="31"/>
      <c r="K27" s="38" t="str">
        <f t="shared" si="42"/>
        <v xml:space="preserve">					&lt;div class='col-md-12 form-group row'&gt;
						&lt;label class='col-md-2 form-control title'&gt;Supplier No 2&lt;/label&gt;
						&lt;input type='text' class='col-md-10 form-control input-text' name='SupplierNo2' [(ngModel)]='rowdata.supplierNo2'&gt;
					&lt;/div&gt;</v>
      </c>
      <c r="L27" s="60" t="str">
        <f t="shared" si="43"/>
        <v/>
      </c>
      <c r="M27" s="31"/>
      <c r="N27" s="31"/>
      <c r="O27" s="31"/>
      <c r="P27" s="31"/>
      <c r="Q27" s="31"/>
      <c r="R27" s="31"/>
      <c r="S27" s="31" t="str">
        <f t="shared" si="44"/>
        <v xml:space="preserve">	supplierNo2 : string = '' ; </v>
      </c>
      <c r="T27" s="31" t="str">
        <f t="shared" si="45"/>
        <v xml:space="preserve">			this.supplierNo2,</v>
      </c>
      <c r="U27" s="31" t="str">
        <f t="shared" si="46"/>
        <v xml:space="preserve">		this.supplierNo2 = '',</v>
      </c>
      <c r="V27" s="31" t="str">
        <f t="shared" si="47"/>
        <v/>
      </c>
    </row>
    <row r="28" spans="1:22" ht="18" customHeight="1" x14ac:dyDescent="0.25">
      <c r="A28" s="44" t="s">
        <v>344</v>
      </c>
      <c r="B28" s="31" t="str">
        <f t="shared" si="27"/>
        <v>UseLotNo2</v>
      </c>
      <c r="C28" s="31" t="str">
        <f t="shared" si="28"/>
        <v>Use Lot No 2</v>
      </c>
      <c r="D28" s="31" t="str">
        <f t="shared" si="29"/>
        <v>useLotNo2</v>
      </c>
      <c r="E28" s="31" t="str">
        <f>A.Backend!H22</f>
        <v>string</v>
      </c>
      <c r="F28" s="31" t="str">
        <f>A.Backend!G22</f>
        <v>50</v>
      </c>
      <c r="G28" s="31" t="str">
        <f t="shared" si="30"/>
        <v xml:space="preserve"> : string = '' ; </v>
      </c>
      <c r="H28" s="38" t="str">
        <f t="shared" si="31"/>
        <v xml:space="preserve">			{headerName: this.l('Use Lot No 2'),headerTooltip: this.l('Use Lot No 2'),field: 'useLotNo2',flex: 1},</v>
      </c>
      <c r="I28" s="38" t="str">
        <f t="shared" si="32"/>
        <v xml:space="preserve">								&lt;div class='input-search'&gt;
									&lt;input [(ngModel)]='useLotNo2' name='useLotNo2'
									class='form-control' [placeholder]="l('Use Lot No 2')"
									type='text' (keyup.enter)='searchDatas()'&gt;
								&lt;/div&gt;</v>
      </c>
      <c r="J28" s="31"/>
      <c r="K28" s="38" t="str">
        <f t="shared" si="33"/>
        <v xml:space="preserve">					&lt;div class='col-md-12 form-group row'&gt;
						&lt;label class='col-md-2 form-control title'&gt;Use Lot No 2&lt;/label&gt;
						&lt;input type='text' class='col-md-10 form-control input-text' name='UseLotNo2' [(ngModel)]='rowdata.useLotNo2'&gt;
					&lt;/div&gt;</v>
      </c>
      <c r="L28" s="60" t="str">
        <f t="shared" si="34"/>
        <v/>
      </c>
      <c r="M28" s="31"/>
      <c r="N28" s="31"/>
      <c r="O28" s="31"/>
      <c r="P28" s="31"/>
      <c r="Q28" s="31"/>
      <c r="R28" s="31"/>
      <c r="S28" s="31" t="str">
        <f t="shared" ref="S28:S29" si="51">REPT(CHAR(9),1)&amp;D28&amp;G28</f>
        <v xml:space="preserve">	useLotNo2 : string = '' ; </v>
      </c>
      <c r="T28" s="31" t="str">
        <f t="shared" ref="T28:T29" si="52">REPT(CHAR(9),3)&amp;"this."&amp;D28&amp;","</f>
        <v xml:space="preserve">			this.useLotNo2,</v>
      </c>
      <c r="U28" s="31" t="str">
        <f t="shared" ref="U28:U29" si="53">IF(E28="int",REPT(CHAR(9),2)&amp;"this."&amp;D28&amp;" = 0,",REPT(CHAR(9),2)&amp;"this."&amp;D28&amp;" = '',")</f>
        <v xml:space="preserve">		this.useLotNo2 = '',</v>
      </c>
      <c r="V28" s="31" t="str">
        <f t="shared" si="35"/>
        <v/>
      </c>
    </row>
    <row r="29" spans="1:22" ht="18" customHeight="1" x14ac:dyDescent="0.25">
      <c r="A29" s="44" t="s">
        <v>341</v>
      </c>
      <c r="B29" s="31" t="str">
        <f>SUBSTITUTE(PROPER(A29),"_","")</f>
        <v>UseNoInLot</v>
      </c>
      <c r="C29" s="31" t="str">
        <f>SUBSTITUTE(PROPER(A29),"_"," ")</f>
        <v>Use No In Lot</v>
      </c>
      <c r="D29" s="31" t="str">
        <f>LOWER(LEFT(B29,1))&amp;RIGHT(B29,LEN(B29) - 1)</f>
        <v>useNoInLot</v>
      </c>
      <c r="E29" s="31" t="str">
        <f>A.Backend!H23</f>
        <v>string</v>
      </c>
      <c r="F29" s="31" t="str">
        <f>A.Backend!G23</f>
        <v>50</v>
      </c>
      <c r="G29" s="31" t="str">
        <f t="shared" si="30"/>
        <v xml:space="preserve"> : string = '' ; </v>
      </c>
      <c r="H29" s="38" t="str">
        <f t="shared" si="31"/>
        <v xml:space="preserve">			{headerName: this.l('Use No In Lot'),headerTooltip: this.l('Use No In Lot'),field: 'useNoInLot',flex: 1},</v>
      </c>
      <c r="I29" s="38" t="str">
        <f t="shared" si="32"/>
        <v xml:space="preserve">								&lt;div class='input-search'&gt;
									&lt;input [(ngModel)]='useNoInLot' name='useNoInLot'
									class='form-control' [placeholder]="l('Use No In Lot')"
									type='text' (keyup.enter)='searchDatas()'&gt;
								&lt;/div&gt;</v>
      </c>
      <c r="J29" s="31"/>
      <c r="K29" s="38" t="str">
        <f t="shared" si="33"/>
        <v xml:space="preserve">					&lt;div class='col-md-12 form-group row'&gt;
						&lt;label class='col-md-2 form-control title'&gt;Use No In Lot&lt;/label&gt;
						&lt;input type='text' class='col-md-10 form-control input-text' name='UseNoInLot' [(ngModel)]='rowdata.useNoInLot'&gt;
					&lt;/div&gt;</v>
      </c>
      <c r="L29" s="60" t="str">
        <f t="shared" si="34"/>
        <v/>
      </c>
      <c r="M29" s="31"/>
      <c r="N29" s="31"/>
      <c r="O29" s="31"/>
      <c r="P29" s="31"/>
      <c r="Q29" s="31"/>
      <c r="R29" s="31"/>
      <c r="S29" s="31" t="str">
        <f t="shared" si="51"/>
        <v xml:space="preserve">	useNoInLot : string = '' ; </v>
      </c>
      <c r="T29" s="31" t="str">
        <f t="shared" si="52"/>
        <v xml:space="preserve">			this.useNoInLot,</v>
      </c>
      <c r="U29" s="31" t="str">
        <f t="shared" si="53"/>
        <v xml:space="preserve">		this.useNoInLot = '',</v>
      </c>
      <c r="V29" s="31" t="str">
        <f t="shared" si="35"/>
        <v/>
      </c>
    </row>
    <row r="3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268</v>
      </c>
      <c r="B20" t="s">
        <v>269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2022-09-14T08:40:54Z</dcterms:modified>
</cp:coreProperties>
</file>
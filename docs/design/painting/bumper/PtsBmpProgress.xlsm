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D:\Working\Production\prod\docs\design\painting\bumper\"/>
    </mc:Choice>
  </mc:AlternateContent>
  <bookViews>
    <workbookView xWindow="0" yWindow="495" windowWidth="28800" windowHeight="16425" activeTab="2"/>
  </bookViews>
  <sheets>
    <sheet name="Dev Guide" sheetId="3" r:id="rId1"/>
    <sheet name="A.Backend" sheetId="1" r:id="rId2"/>
    <sheet name="B.Frontend" sheetId="5" r:id="rId3"/>
    <sheet name="Data Type Mapping" sheetId="2" r:id="rId4"/>
    <sheet name="Directory Tree" sheetId="6" r:id="rId5"/>
  </sheets>
  <functionGroups builtInGroupCount="18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E16" i="5" l="1"/>
  <c r="F16" i="5"/>
  <c r="E17" i="5"/>
  <c r="F17" i="5"/>
  <c r="E18" i="5"/>
  <c r="F18" i="5"/>
  <c r="E19" i="5"/>
  <c r="F19" i="5"/>
  <c r="E20" i="5"/>
  <c r="F20" i="5"/>
  <c r="E21" i="5"/>
  <c r="F21" i="5"/>
  <c r="E22" i="5"/>
  <c r="F22" i="5"/>
  <c r="E23" i="5"/>
  <c r="F23" i="5"/>
  <c r="E24" i="5"/>
  <c r="F24" i="5"/>
  <c r="E25" i="5"/>
  <c r="F25" i="5"/>
  <c r="E26" i="5"/>
  <c r="F26" i="5"/>
  <c r="E27" i="5"/>
  <c r="F27" i="5"/>
  <c r="E28" i="5"/>
  <c r="F28" i="5"/>
  <c r="E29" i="5"/>
  <c r="F29" i="5"/>
  <c r="E30" i="5"/>
  <c r="F30" i="5"/>
  <c r="E31" i="5"/>
  <c r="F31" i="5"/>
  <c r="E32" i="5"/>
  <c r="F32" i="5"/>
  <c r="E33" i="5"/>
  <c r="F33" i="5"/>
  <c r="E34" i="5"/>
  <c r="F34" i="5"/>
  <c r="E35" i="5"/>
  <c r="F35" i="5"/>
  <c r="E36" i="5"/>
  <c r="F36" i="5"/>
  <c r="E37" i="5"/>
  <c r="F37" i="5"/>
  <c r="E38" i="5"/>
  <c r="F38" i="5"/>
  <c r="E39" i="5"/>
  <c r="F39" i="5"/>
  <c r="E40" i="5"/>
  <c r="F40" i="5"/>
  <c r="E41" i="5"/>
  <c r="F41" i="5"/>
  <c r="E42" i="5"/>
  <c r="F42" i="5"/>
  <c r="E43" i="5"/>
  <c r="F43" i="5"/>
  <c r="E44" i="5"/>
  <c r="F44" i="5"/>
  <c r="E45" i="5"/>
  <c r="F45" i="5"/>
  <c r="E46" i="5"/>
  <c r="F46" i="5"/>
  <c r="E47" i="5"/>
  <c r="F47" i="5"/>
  <c r="E48" i="5"/>
  <c r="F48" i="5"/>
  <c r="E49" i="5"/>
  <c r="F49" i="5"/>
  <c r="E50" i="5"/>
  <c r="F50" i="5"/>
  <c r="E51" i="5"/>
  <c r="F51" i="5"/>
  <c r="C22" i="5"/>
  <c r="B22" i="5"/>
  <c r="D22" i="5" s="1"/>
  <c r="T22" i="5" s="1"/>
  <c r="L16" i="1"/>
  <c r="G16" i="1"/>
  <c r="E16" i="1"/>
  <c r="H16" i="1" s="1"/>
  <c r="D16" i="1"/>
  <c r="T16" i="1" s="1"/>
  <c r="H22" i="5" l="1"/>
  <c r="V22" i="5"/>
  <c r="I22" i="5"/>
  <c r="K22" i="5"/>
  <c r="U22" i="5"/>
  <c r="G22" i="5"/>
  <c r="S22" i="5" s="1"/>
  <c r="L22" i="5"/>
  <c r="M16" i="1"/>
  <c r="W16" i="1"/>
  <c r="O16" i="1"/>
  <c r="J16" i="1"/>
  <c r="N16" i="1"/>
  <c r="I16" i="1"/>
  <c r="V16" i="1"/>
  <c r="P16" i="1"/>
  <c r="D49" i="5" l="1"/>
  <c r="T49" i="5" s="1"/>
  <c r="C49" i="5"/>
  <c r="B49" i="5"/>
  <c r="C48" i="5"/>
  <c r="B48" i="5"/>
  <c r="D48" i="5" s="1"/>
  <c r="D32" i="5"/>
  <c r="C32" i="5"/>
  <c r="B32" i="5"/>
  <c r="C31" i="5"/>
  <c r="B31" i="5"/>
  <c r="D31" i="5" s="1"/>
  <c r="C30" i="5"/>
  <c r="B30" i="5"/>
  <c r="D30" i="5" s="1"/>
  <c r="C29" i="5"/>
  <c r="B29" i="5"/>
  <c r="D29" i="5" s="1"/>
  <c r="C28" i="5"/>
  <c r="B28" i="5"/>
  <c r="D28" i="5" s="1"/>
  <c r="C27" i="5"/>
  <c r="B27" i="5"/>
  <c r="D27" i="5" s="1"/>
  <c r="C26" i="5"/>
  <c r="B26" i="5"/>
  <c r="D26" i="5" s="1"/>
  <c r="C25" i="5"/>
  <c r="B25" i="5"/>
  <c r="D25" i="5" s="1"/>
  <c r="C24" i="5"/>
  <c r="B24" i="5"/>
  <c r="D24" i="5" s="1"/>
  <c r="C23" i="5"/>
  <c r="B23" i="5"/>
  <c r="D23" i="5" s="1"/>
  <c r="C21" i="5"/>
  <c r="B21" i="5"/>
  <c r="D21" i="5" s="1"/>
  <c r="C20" i="5"/>
  <c r="B20" i="5"/>
  <c r="D20" i="5" s="1"/>
  <c r="C19" i="5"/>
  <c r="B19" i="5"/>
  <c r="D19" i="5" s="1"/>
  <c r="C18" i="5"/>
  <c r="B18" i="5"/>
  <c r="D18" i="5" s="1"/>
  <c r="C17" i="5"/>
  <c r="B17" i="5"/>
  <c r="D17" i="5" s="1"/>
  <c r="C16" i="5"/>
  <c r="B16" i="5"/>
  <c r="D16" i="5" s="1"/>
  <c r="C50" i="5"/>
  <c r="B50" i="5"/>
  <c r="D50" i="5" s="1"/>
  <c r="C47" i="5"/>
  <c r="B47" i="5"/>
  <c r="D47" i="5" s="1"/>
  <c r="T47" i="5" s="1"/>
  <c r="C46" i="5"/>
  <c r="B46" i="5"/>
  <c r="D46" i="5" s="1"/>
  <c r="D45" i="5"/>
  <c r="T45" i="5" s="1"/>
  <c r="C45" i="5"/>
  <c r="B45" i="5"/>
  <c r="C44" i="5"/>
  <c r="B44" i="5"/>
  <c r="D44" i="5" s="1"/>
  <c r="C43" i="5"/>
  <c r="B43" i="5"/>
  <c r="D43" i="5" s="1"/>
  <c r="T43" i="5" s="1"/>
  <c r="C42" i="5"/>
  <c r="B42" i="5"/>
  <c r="D42" i="5" s="1"/>
  <c r="C41" i="5"/>
  <c r="B41" i="5"/>
  <c r="D41" i="5" s="1"/>
  <c r="T41" i="5" s="1"/>
  <c r="L43" i="1"/>
  <c r="G43" i="1"/>
  <c r="E43" i="1"/>
  <c r="H43" i="1" s="1"/>
  <c r="V49" i="5" s="1"/>
  <c r="D43" i="1"/>
  <c r="V43" i="1" s="1"/>
  <c r="L39" i="1"/>
  <c r="G39" i="1"/>
  <c r="E39" i="1"/>
  <c r="H39" i="1" s="1"/>
  <c r="I45" i="5" s="1"/>
  <c r="D39" i="1"/>
  <c r="V39" i="1" s="1"/>
  <c r="L38" i="1"/>
  <c r="I38" i="1"/>
  <c r="H38" i="1"/>
  <c r="G38" i="1"/>
  <c r="E38" i="1"/>
  <c r="D38" i="1"/>
  <c r="T38" i="1" s="1"/>
  <c r="L37" i="1"/>
  <c r="G37" i="1"/>
  <c r="E37" i="1"/>
  <c r="H37" i="1" s="1"/>
  <c r="D37" i="1"/>
  <c r="V37" i="1" s="1"/>
  <c r="L31" i="1"/>
  <c r="G31" i="1"/>
  <c r="E31" i="1"/>
  <c r="H31" i="1" s="1"/>
  <c r="D31" i="1"/>
  <c r="V31" i="1" s="1"/>
  <c r="G24" i="1"/>
  <c r="E24" i="1"/>
  <c r="H24" i="1" s="1"/>
  <c r="V30" i="5" s="1"/>
  <c r="D24" i="1"/>
  <c r="V24" i="1" s="1"/>
  <c r="G23" i="1"/>
  <c r="E23" i="1"/>
  <c r="H23" i="1" s="1"/>
  <c r="D23" i="1"/>
  <c r="T23" i="1" s="1"/>
  <c r="L22" i="1"/>
  <c r="G22" i="1"/>
  <c r="E22" i="1"/>
  <c r="H22" i="1" s="1"/>
  <c r="L28" i="5" s="1"/>
  <c r="D22" i="1"/>
  <c r="V22" i="1" s="1"/>
  <c r="L21" i="1"/>
  <c r="H21" i="1"/>
  <c r="G21" i="1"/>
  <c r="E21" i="1"/>
  <c r="D21" i="1"/>
  <c r="T21" i="1" s="1"/>
  <c r="L20" i="1"/>
  <c r="G20" i="1"/>
  <c r="E20" i="1"/>
  <c r="H20" i="1" s="1"/>
  <c r="I26" i="5" s="1"/>
  <c r="D20" i="1"/>
  <c r="V20" i="1" s="1"/>
  <c r="H19" i="1"/>
  <c r="G19" i="1"/>
  <c r="E19" i="1"/>
  <c r="D19" i="1"/>
  <c r="T19" i="1" s="1"/>
  <c r="G18" i="1"/>
  <c r="E18" i="1"/>
  <c r="H18" i="1" s="1"/>
  <c r="I24" i="5" s="1"/>
  <c r="D18" i="1"/>
  <c r="V18" i="1" s="1"/>
  <c r="L17" i="1"/>
  <c r="G17" i="1"/>
  <c r="E17" i="1"/>
  <c r="H17" i="1" s="1"/>
  <c r="D17" i="1"/>
  <c r="T17" i="1" s="1"/>
  <c r="L29" i="1"/>
  <c r="G29" i="1"/>
  <c r="E29" i="1"/>
  <c r="H29" i="1" s="1"/>
  <c r="D29" i="1"/>
  <c r="V29" i="1" s="1"/>
  <c r="L28" i="1"/>
  <c r="G28" i="1"/>
  <c r="E28" i="1"/>
  <c r="H28" i="1" s="1"/>
  <c r="D28" i="1"/>
  <c r="T28" i="1" s="1"/>
  <c r="G27" i="1"/>
  <c r="E27" i="1"/>
  <c r="H27" i="1" s="1"/>
  <c r="D27" i="1"/>
  <c r="V27" i="1" s="1"/>
  <c r="G26" i="1"/>
  <c r="E26" i="1"/>
  <c r="H26" i="1" s="1"/>
  <c r="G32" i="5" s="1"/>
  <c r="D26" i="1"/>
  <c r="T26" i="1" s="1"/>
  <c r="G25" i="1"/>
  <c r="E25" i="1"/>
  <c r="H25" i="1" s="1"/>
  <c r="D25" i="1"/>
  <c r="V25" i="1" s="1"/>
  <c r="G32" i="1"/>
  <c r="E32" i="1"/>
  <c r="H32" i="1" s="1"/>
  <c r="D32" i="1"/>
  <c r="V32" i="1" s="1"/>
  <c r="L30" i="1"/>
  <c r="G30" i="1"/>
  <c r="E30" i="1"/>
  <c r="H30" i="1" s="1"/>
  <c r="D30" i="1"/>
  <c r="T30" i="1" s="1"/>
  <c r="L15" i="1"/>
  <c r="H15" i="1"/>
  <c r="G21" i="5" s="1"/>
  <c r="G15" i="1"/>
  <c r="E15" i="1"/>
  <c r="D15" i="1"/>
  <c r="V15" i="1" s="1"/>
  <c r="G14" i="1"/>
  <c r="E14" i="1"/>
  <c r="H14" i="1" s="1"/>
  <c r="D14" i="1"/>
  <c r="T14" i="1" s="1"/>
  <c r="L13" i="1"/>
  <c r="G13" i="1"/>
  <c r="E13" i="1"/>
  <c r="H13" i="1" s="1"/>
  <c r="L19" i="5" s="1"/>
  <c r="D13" i="1"/>
  <c r="V13" i="1" s="1"/>
  <c r="L12" i="1"/>
  <c r="G12" i="1"/>
  <c r="E12" i="1"/>
  <c r="H12" i="1" s="1"/>
  <c r="D12" i="1"/>
  <c r="T12" i="1" s="1"/>
  <c r="L11" i="1"/>
  <c r="G11" i="1"/>
  <c r="E11" i="1"/>
  <c r="H11" i="1" s="1"/>
  <c r="L17" i="5" s="1"/>
  <c r="D11" i="1"/>
  <c r="V11" i="1" s="1"/>
  <c r="G10" i="1"/>
  <c r="E10" i="1"/>
  <c r="H10" i="1" s="1"/>
  <c r="I16" i="5" s="1"/>
  <c r="D10" i="1"/>
  <c r="T10" i="1" s="1"/>
  <c r="G26" i="5" l="1"/>
  <c r="G30" i="5"/>
  <c r="S30" i="5" s="1"/>
  <c r="M21" i="1"/>
  <c r="L27" i="5"/>
  <c r="U28" i="5"/>
  <c r="G17" i="5"/>
  <c r="S17" i="5" s="1"/>
  <c r="L21" i="5"/>
  <c r="U26" i="5"/>
  <c r="L26" i="5"/>
  <c r="L32" i="5"/>
  <c r="G28" i="5"/>
  <c r="L30" i="5"/>
  <c r="M17" i="1"/>
  <c r="H23" i="5"/>
  <c r="M23" i="1"/>
  <c r="I29" i="5"/>
  <c r="M38" i="1"/>
  <c r="L44" i="5"/>
  <c r="U17" i="5"/>
  <c r="S21" i="5"/>
  <c r="T48" i="5"/>
  <c r="H49" i="5"/>
  <c r="I49" i="5"/>
  <c r="H16" i="5"/>
  <c r="K19" i="5"/>
  <c r="G19" i="5"/>
  <c r="U24" i="5"/>
  <c r="G24" i="5"/>
  <c r="S24" i="5" s="1"/>
  <c r="V28" i="5"/>
  <c r="V32" i="5"/>
  <c r="K49" i="5"/>
  <c r="U49" i="5"/>
  <c r="V19" i="5"/>
  <c r="V24" i="5"/>
  <c r="V17" i="5"/>
  <c r="V21" i="5"/>
  <c r="L24" i="5"/>
  <c r="V26" i="5"/>
  <c r="G49" i="5"/>
  <c r="S49" i="5" s="1"/>
  <c r="L49" i="5"/>
  <c r="H27" i="5"/>
  <c r="I18" i="5"/>
  <c r="H18" i="5"/>
  <c r="I43" i="5"/>
  <c r="I32" i="5"/>
  <c r="I30" i="5"/>
  <c r="I17" i="5"/>
  <c r="I19" i="5"/>
  <c r="I25" i="5"/>
  <c r="I28" i="5"/>
  <c r="I31" i="5"/>
  <c r="H17" i="5"/>
  <c r="I21" i="5"/>
  <c r="T29" i="5"/>
  <c r="H29" i="5"/>
  <c r="U29" i="5"/>
  <c r="K29" i="5"/>
  <c r="T16" i="5"/>
  <c r="U16" i="5"/>
  <c r="T18" i="5"/>
  <c r="U18" i="5"/>
  <c r="K18" i="5"/>
  <c r="T27" i="5"/>
  <c r="U27" i="5"/>
  <c r="I20" i="5"/>
  <c r="T25" i="5"/>
  <c r="H25" i="5"/>
  <c r="U25" i="5"/>
  <c r="K25" i="5"/>
  <c r="T31" i="5"/>
  <c r="H31" i="5"/>
  <c r="U31" i="5"/>
  <c r="K31" i="5"/>
  <c r="T20" i="5"/>
  <c r="U20" i="5"/>
  <c r="H20" i="5"/>
  <c r="T23" i="5"/>
  <c r="I27" i="5"/>
  <c r="K16" i="5"/>
  <c r="H19" i="5"/>
  <c r="H21" i="5"/>
  <c r="K27" i="5"/>
  <c r="H28" i="5"/>
  <c r="S28" i="5"/>
  <c r="H30" i="5"/>
  <c r="H32" i="5"/>
  <c r="S32" i="5"/>
  <c r="K45" i="5"/>
  <c r="G16" i="5"/>
  <c r="S16" i="5" s="1"/>
  <c r="L16" i="5"/>
  <c r="V16" i="5"/>
  <c r="T17" i="5"/>
  <c r="G18" i="5"/>
  <c r="S18" i="5" s="1"/>
  <c r="L18" i="5"/>
  <c r="V18" i="5"/>
  <c r="T19" i="5"/>
  <c r="G20" i="5"/>
  <c r="S20" i="5" s="1"/>
  <c r="L20" i="5"/>
  <c r="V20" i="5"/>
  <c r="T21" i="5"/>
  <c r="T24" i="5"/>
  <c r="G25" i="5"/>
  <c r="S25" i="5" s="1"/>
  <c r="L25" i="5"/>
  <c r="V25" i="5"/>
  <c r="T26" i="5"/>
  <c r="G27" i="5"/>
  <c r="S27" i="5" s="1"/>
  <c r="V27" i="5"/>
  <c r="T28" i="5"/>
  <c r="G29" i="5"/>
  <c r="S29" i="5" s="1"/>
  <c r="V29" i="5"/>
  <c r="T30" i="5"/>
  <c r="G31" i="5"/>
  <c r="S31" i="5" s="1"/>
  <c r="L31" i="5"/>
  <c r="V31" i="5"/>
  <c r="T32" i="5"/>
  <c r="S19" i="5"/>
  <c r="K20" i="5"/>
  <c r="H24" i="5"/>
  <c r="H26" i="5"/>
  <c r="S26" i="5"/>
  <c r="H45" i="5"/>
  <c r="K17" i="5"/>
  <c r="U19" i="5"/>
  <c r="K21" i="5"/>
  <c r="U21" i="5"/>
  <c r="K24" i="5"/>
  <c r="K26" i="5"/>
  <c r="K28" i="5"/>
  <c r="K30" i="5"/>
  <c r="U30" i="5"/>
  <c r="K32" i="5"/>
  <c r="U32" i="5"/>
  <c r="T42" i="5"/>
  <c r="T50" i="5"/>
  <c r="T44" i="5"/>
  <c r="T46" i="5"/>
  <c r="K43" i="5"/>
  <c r="U43" i="5"/>
  <c r="U45" i="5"/>
  <c r="G43" i="5"/>
  <c r="S43" i="5" s="1"/>
  <c r="L43" i="5"/>
  <c r="V43" i="5"/>
  <c r="G45" i="5"/>
  <c r="S45" i="5" s="1"/>
  <c r="L45" i="5"/>
  <c r="V45" i="5"/>
  <c r="H43" i="5"/>
  <c r="P43" i="1"/>
  <c r="W43" i="1"/>
  <c r="O43" i="1"/>
  <c r="J43" i="1"/>
  <c r="N43" i="1"/>
  <c r="I43" i="1"/>
  <c r="M43" i="1"/>
  <c r="T43" i="1"/>
  <c r="P39" i="1"/>
  <c r="P37" i="1"/>
  <c r="W39" i="1"/>
  <c r="O39" i="1"/>
  <c r="J39" i="1"/>
  <c r="N39" i="1"/>
  <c r="I39" i="1"/>
  <c r="M39" i="1"/>
  <c r="W37" i="1"/>
  <c r="O37" i="1"/>
  <c r="J37" i="1"/>
  <c r="N37" i="1"/>
  <c r="I37" i="1"/>
  <c r="M37" i="1"/>
  <c r="T37" i="1"/>
  <c r="J38" i="1"/>
  <c r="O38" i="1"/>
  <c r="W38" i="1"/>
  <c r="T39" i="1"/>
  <c r="N38" i="1"/>
  <c r="V38" i="1"/>
  <c r="P38" i="1"/>
  <c r="P31" i="1"/>
  <c r="W31" i="1"/>
  <c r="O31" i="1"/>
  <c r="J31" i="1"/>
  <c r="N31" i="1"/>
  <c r="I31" i="1"/>
  <c r="M31" i="1"/>
  <c r="T31" i="1"/>
  <c r="P20" i="1"/>
  <c r="W13" i="1"/>
  <c r="L18" i="1"/>
  <c r="P22" i="1"/>
  <c r="L24" i="1"/>
  <c r="P18" i="1"/>
  <c r="M19" i="1"/>
  <c r="P24" i="1"/>
  <c r="W18" i="1"/>
  <c r="O18" i="1"/>
  <c r="J18" i="1"/>
  <c r="N18" i="1"/>
  <c r="I18" i="1"/>
  <c r="M18" i="1"/>
  <c r="W24" i="1"/>
  <c r="O24" i="1"/>
  <c r="J24" i="1"/>
  <c r="N24" i="1"/>
  <c r="I24" i="1"/>
  <c r="M24" i="1"/>
  <c r="W20" i="1"/>
  <c r="O20" i="1"/>
  <c r="J20" i="1"/>
  <c r="N20" i="1"/>
  <c r="I20" i="1"/>
  <c r="M20" i="1"/>
  <c r="W22" i="1"/>
  <c r="O22" i="1"/>
  <c r="J22" i="1"/>
  <c r="N22" i="1"/>
  <c r="I22" i="1"/>
  <c r="M22" i="1"/>
  <c r="I17" i="1"/>
  <c r="N19" i="1"/>
  <c r="V19" i="1"/>
  <c r="N21" i="1"/>
  <c r="I23" i="1"/>
  <c r="N23" i="1"/>
  <c r="V23" i="1"/>
  <c r="J17" i="1"/>
  <c r="O17" i="1"/>
  <c r="W17" i="1"/>
  <c r="T18" i="1"/>
  <c r="J19" i="1"/>
  <c r="O19" i="1"/>
  <c r="W19" i="1"/>
  <c r="T20" i="1"/>
  <c r="J21" i="1"/>
  <c r="O21" i="1"/>
  <c r="W21" i="1"/>
  <c r="T22" i="1"/>
  <c r="J23" i="1"/>
  <c r="O23" i="1"/>
  <c r="W23" i="1"/>
  <c r="T24" i="1"/>
  <c r="N17" i="1"/>
  <c r="V17" i="1"/>
  <c r="I19" i="1"/>
  <c r="P17" i="1"/>
  <c r="P19" i="1"/>
  <c r="P21" i="1"/>
  <c r="L23" i="1"/>
  <c r="P23" i="1"/>
  <c r="I21" i="1"/>
  <c r="V21" i="1"/>
  <c r="M28" i="1"/>
  <c r="M26" i="1"/>
  <c r="I26" i="1"/>
  <c r="P11" i="1"/>
  <c r="P15" i="1"/>
  <c r="P27" i="1"/>
  <c r="T11" i="1"/>
  <c r="P32" i="1"/>
  <c r="W11" i="1"/>
  <c r="W15" i="1"/>
  <c r="P25" i="1"/>
  <c r="P29" i="1"/>
  <c r="W25" i="1"/>
  <c r="O25" i="1"/>
  <c r="J25" i="1"/>
  <c r="N25" i="1"/>
  <c r="I25" i="1"/>
  <c r="M25" i="1"/>
  <c r="W29" i="1"/>
  <c r="O29" i="1"/>
  <c r="J29" i="1"/>
  <c r="N29" i="1"/>
  <c r="I29" i="1"/>
  <c r="M29" i="1"/>
  <c r="W27" i="1"/>
  <c r="O27" i="1"/>
  <c r="J27" i="1"/>
  <c r="N27" i="1"/>
  <c r="I27" i="1"/>
  <c r="M27" i="1"/>
  <c r="N26" i="1"/>
  <c r="V26" i="1"/>
  <c r="I28" i="1"/>
  <c r="N28" i="1"/>
  <c r="V28" i="1"/>
  <c r="P13" i="1"/>
  <c r="T15" i="1"/>
  <c r="W32" i="1"/>
  <c r="T32" i="1"/>
  <c r="T25" i="1"/>
  <c r="J26" i="1"/>
  <c r="O26" i="1"/>
  <c r="W26" i="1"/>
  <c r="T27" i="1"/>
  <c r="J28" i="1"/>
  <c r="O28" i="1"/>
  <c r="W28" i="1"/>
  <c r="T29" i="1"/>
  <c r="T13" i="1"/>
  <c r="L32" i="1"/>
  <c r="P26" i="1"/>
  <c r="P28" i="1"/>
  <c r="N32" i="1"/>
  <c r="M10" i="1"/>
  <c r="W10" i="1"/>
  <c r="O10" i="1"/>
  <c r="J10" i="1"/>
  <c r="N10" i="1"/>
  <c r="I10" i="1"/>
  <c r="M30" i="1"/>
  <c r="W30" i="1"/>
  <c r="O30" i="1"/>
  <c r="J30" i="1"/>
  <c r="N30" i="1"/>
  <c r="I30" i="1"/>
  <c r="M14" i="1"/>
  <c r="W14" i="1"/>
  <c r="O14" i="1"/>
  <c r="J14" i="1"/>
  <c r="N14" i="1"/>
  <c r="I14" i="1"/>
  <c r="M12" i="1"/>
  <c r="W12" i="1"/>
  <c r="O12" i="1"/>
  <c r="J12" i="1"/>
  <c r="N12" i="1"/>
  <c r="I12" i="1"/>
  <c r="V10" i="1"/>
  <c r="V12" i="1"/>
  <c r="V14" i="1"/>
  <c r="V30" i="1"/>
  <c r="M11" i="1"/>
  <c r="M13" i="1"/>
  <c r="M15" i="1"/>
  <c r="M32" i="1"/>
  <c r="P10" i="1"/>
  <c r="I11" i="1"/>
  <c r="N11" i="1"/>
  <c r="P12" i="1"/>
  <c r="I13" i="1"/>
  <c r="N13" i="1"/>
  <c r="P14" i="1"/>
  <c r="I15" i="1"/>
  <c r="N15" i="1"/>
  <c r="P30" i="1"/>
  <c r="I32" i="1"/>
  <c r="J11" i="1"/>
  <c r="O11" i="1"/>
  <c r="J13" i="1"/>
  <c r="O13" i="1"/>
  <c r="J15" i="1"/>
  <c r="O15" i="1"/>
  <c r="J32" i="1"/>
  <c r="O32" i="1"/>
  <c r="H44" i="5" l="1"/>
  <c r="V23" i="5"/>
  <c r="G44" i="5"/>
  <c r="S44" i="5" s="1"/>
  <c r="L29" i="5"/>
  <c r="L23" i="5"/>
  <c r="U23" i="5"/>
  <c r="V44" i="5"/>
  <c r="K44" i="5"/>
  <c r="G23" i="5"/>
  <c r="S23" i="5" s="1"/>
  <c r="K23" i="5"/>
  <c r="I23" i="5"/>
  <c r="U44" i="5"/>
  <c r="I44" i="5"/>
  <c r="C36" i="5"/>
  <c r="B36" i="5"/>
  <c r="D36" i="5" s="1"/>
  <c r="T36" i="5" s="1"/>
  <c r="C35" i="5"/>
  <c r="B35" i="5"/>
  <c r="D35" i="5" s="1"/>
  <c r="C34" i="5"/>
  <c r="B34" i="5"/>
  <c r="D34" i="5" s="1"/>
  <c r="T34" i="5" s="1"/>
  <c r="T35" i="5" l="1"/>
  <c r="L42" i="1" l="1"/>
  <c r="G42" i="1"/>
  <c r="E42" i="1"/>
  <c r="H42" i="1" s="1"/>
  <c r="D42" i="1"/>
  <c r="V42" i="1" s="1"/>
  <c r="L41" i="1"/>
  <c r="G41" i="1"/>
  <c r="E41" i="1"/>
  <c r="H41" i="1" s="1"/>
  <c r="D41" i="1"/>
  <c r="T41" i="1" s="1"/>
  <c r="G40" i="1"/>
  <c r="E40" i="1"/>
  <c r="H40" i="1" s="1"/>
  <c r="D40" i="1"/>
  <c r="V40" i="1" s="1"/>
  <c r="L33" i="1"/>
  <c r="G33" i="1"/>
  <c r="E33" i="1"/>
  <c r="H33" i="1" s="1"/>
  <c r="D33" i="1"/>
  <c r="V33" i="1" s="1"/>
  <c r="G35" i="1"/>
  <c r="E35" i="1"/>
  <c r="H35" i="1" s="1"/>
  <c r="D35" i="1"/>
  <c r="T35" i="1" s="1"/>
  <c r="G9" i="1"/>
  <c r="F15" i="5" s="1"/>
  <c r="E9" i="1"/>
  <c r="H9" i="1" s="1"/>
  <c r="E15" i="5" s="1"/>
  <c r="D9" i="1"/>
  <c r="V9" i="1" s="1"/>
  <c r="K48" i="5" l="1"/>
  <c r="G48" i="5"/>
  <c r="S48" i="5" s="1"/>
  <c r="V48" i="5"/>
  <c r="I48" i="5"/>
  <c r="L48" i="5"/>
  <c r="U48" i="5"/>
  <c r="H48" i="5"/>
  <c r="I47" i="5"/>
  <c r="V47" i="5"/>
  <c r="H47" i="5"/>
  <c r="G47" i="5"/>
  <c r="S47" i="5" s="1"/>
  <c r="U47" i="5"/>
  <c r="L47" i="5"/>
  <c r="K47" i="5"/>
  <c r="I46" i="5"/>
  <c r="V46" i="5"/>
  <c r="L46" i="5"/>
  <c r="G46" i="5"/>
  <c r="S46" i="5" s="1"/>
  <c r="H46" i="5"/>
  <c r="K46" i="5"/>
  <c r="U46" i="5"/>
  <c r="G41" i="5"/>
  <c r="S41" i="5" s="1"/>
  <c r="L41" i="5"/>
  <c r="I41" i="5"/>
  <c r="K41" i="5"/>
  <c r="V41" i="5"/>
  <c r="H41" i="5"/>
  <c r="U41" i="5"/>
  <c r="V36" i="5"/>
  <c r="H36" i="5"/>
  <c r="I36" i="5"/>
  <c r="K36" i="5"/>
  <c r="U36" i="5"/>
  <c r="G36" i="5"/>
  <c r="S36" i="5" s="1"/>
  <c r="L36" i="5"/>
  <c r="K35" i="5"/>
  <c r="U35" i="5"/>
  <c r="I35" i="5"/>
  <c r="L35" i="5"/>
  <c r="G35" i="5"/>
  <c r="S35" i="5" s="1"/>
  <c r="V35" i="5"/>
  <c r="H35" i="5"/>
  <c r="M41" i="1"/>
  <c r="M35" i="1"/>
  <c r="P42" i="1"/>
  <c r="W42" i="1"/>
  <c r="O42" i="1"/>
  <c r="J42" i="1"/>
  <c r="N42" i="1"/>
  <c r="I42" i="1"/>
  <c r="M42" i="1"/>
  <c r="I41" i="1"/>
  <c r="J41" i="1"/>
  <c r="O41" i="1"/>
  <c r="W41" i="1"/>
  <c r="T42" i="1"/>
  <c r="P41" i="1"/>
  <c r="N41" i="1"/>
  <c r="V41" i="1"/>
  <c r="W40" i="1"/>
  <c r="O40" i="1"/>
  <c r="J40" i="1"/>
  <c r="N40" i="1"/>
  <c r="I40" i="1"/>
  <c r="M40" i="1"/>
  <c r="P40" i="1"/>
  <c r="T40" i="1"/>
  <c r="P33" i="1"/>
  <c r="I35" i="1"/>
  <c r="V35" i="1"/>
  <c r="W33" i="1"/>
  <c r="O33" i="1"/>
  <c r="J33" i="1"/>
  <c r="N33" i="1"/>
  <c r="I33" i="1"/>
  <c r="M33" i="1"/>
  <c r="J35" i="1"/>
  <c r="O35" i="1"/>
  <c r="W35" i="1"/>
  <c r="T33" i="1"/>
  <c r="N35" i="1"/>
  <c r="P35" i="1"/>
  <c r="W9" i="1"/>
  <c r="O9" i="1"/>
  <c r="J9" i="1"/>
  <c r="N9" i="1"/>
  <c r="I9" i="1"/>
  <c r="M9" i="1"/>
  <c r="P9" i="1"/>
  <c r="T9" i="1"/>
  <c r="C40" i="5"/>
  <c r="B40" i="5"/>
  <c r="D40" i="5" s="1"/>
  <c r="T40" i="5" l="1"/>
  <c r="C39" i="5"/>
  <c r="B39" i="5"/>
  <c r="D39" i="5" s="1"/>
  <c r="T39" i="5" l="1"/>
  <c r="V39" i="5"/>
  <c r="H39" i="5"/>
  <c r="I39" i="5"/>
  <c r="K39" i="5"/>
  <c r="U39" i="5"/>
  <c r="G39" i="5"/>
  <c r="S39" i="5" s="1"/>
  <c r="L39" i="5"/>
  <c r="G36" i="1"/>
  <c r="E36" i="1"/>
  <c r="H36" i="1" s="1"/>
  <c r="D36" i="1"/>
  <c r="V36" i="1" s="1"/>
  <c r="G42" i="5" l="1"/>
  <c r="S42" i="5" s="1"/>
  <c r="L42" i="5"/>
  <c r="V42" i="5"/>
  <c r="H42" i="5"/>
  <c r="K42" i="5"/>
  <c r="I42" i="5"/>
  <c r="U42" i="5"/>
  <c r="H34" i="5"/>
  <c r="L34" i="5"/>
  <c r="V34" i="5"/>
  <c r="K34" i="5"/>
  <c r="U34" i="5"/>
  <c r="I34" i="5"/>
  <c r="G34" i="5"/>
  <c r="S34" i="5" s="1"/>
  <c r="T36" i="1"/>
  <c r="W36" i="1"/>
  <c r="P36" i="1"/>
  <c r="I36" i="1"/>
  <c r="N36" i="1"/>
  <c r="M36" i="1"/>
  <c r="J36" i="1"/>
  <c r="O36" i="1"/>
  <c r="C38" i="5" l="1"/>
  <c r="B38" i="5"/>
  <c r="D38" i="5" s="1"/>
  <c r="T38" i="5" s="1"/>
  <c r="C37" i="5" l="1"/>
  <c r="B37" i="5"/>
  <c r="D37" i="5" s="1"/>
  <c r="C33" i="5"/>
  <c r="B33" i="5"/>
  <c r="D33" i="5" s="1"/>
  <c r="T33" i="5" l="1"/>
  <c r="T37" i="5"/>
  <c r="C51" i="5" l="1"/>
  <c r="B51" i="5"/>
  <c r="D51" i="5" s="1"/>
  <c r="T51" i="5" s="1"/>
  <c r="Q3" i="1" l="1"/>
  <c r="B15" i="5" l="1"/>
  <c r="D15" i="5" s="1"/>
  <c r="C15" i="5"/>
  <c r="G45" i="1"/>
  <c r="E45" i="1"/>
  <c r="H45" i="1" s="1"/>
  <c r="D45" i="1"/>
  <c r="V45" i="1" s="1"/>
  <c r="G44" i="1"/>
  <c r="E44" i="1"/>
  <c r="H44" i="1" s="1"/>
  <c r="D44" i="1"/>
  <c r="V44" i="1" s="1"/>
  <c r="G34" i="1"/>
  <c r="E34" i="1"/>
  <c r="H34" i="1" s="1"/>
  <c r="D34" i="1"/>
  <c r="T34" i="1" s="1"/>
  <c r="I50" i="5" l="1"/>
  <c r="V50" i="5"/>
  <c r="L50" i="5"/>
  <c r="K50" i="5"/>
  <c r="H50" i="5"/>
  <c r="U50" i="5"/>
  <c r="G50" i="5"/>
  <c r="S50" i="5" s="1"/>
  <c r="V40" i="5"/>
  <c r="L40" i="5"/>
  <c r="U40" i="5"/>
  <c r="I40" i="5"/>
  <c r="H40" i="5"/>
  <c r="G40" i="5"/>
  <c r="S40" i="5" s="1"/>
  <c r="K40" i="5"/>
  <c r="V38" i="5"/>
  <c r="I38" i="5"/>
  <c r="G38" i="5"/>
  <c r="S38" i="5" s="1"/>
  <c r="K38" i="5"/>
  <c r="U38" i="5"/>
  <c r="L38" i="5"/>
  <c r="H38" i="5"/>
  <c r="K37" i="5"/>
  <c r="G37" i="5"/>
  <c r="S37" i="5" s="1"/>
  <c r="V37" i="5"/>
  <c r="H37" i="5"/>
  <c r="U37" i="5"/>
  <c r="L37" i="5"/>
  <c r="I37" i="5"/>
  <c r="V33" i="5"/>
  <c r="L33" i="5"/>
  <c r="G33" i="5"/>
  <c r="S33" i="5" s="1"/>
  <c r="H33" i="5"/>
  <c r="I33" i="5"/>
  <c r="K33" i="5"/>
  <c r="U33" i="5"/>
  <c r="G51" i="5"/>
  <c r="S51" i="5" s="1"/>
  <c r="U51" i="5"/>
  <c r="K51" i="5"/>
  <c r="I51" i="5"/>
  <c r="V51" i="5"/>
  <c r="H51" i="5"/>
  <c r="L51" i="5"/>
  <c r="O45" i="1"/>
  <c r="G15" i="5"/>
  <c r="L15" i="5"/>
  <c r="O44" i="1"/>
  <c r="I15" i="5"/>
  <c r="H15" i="5"/>
  <c r="V15" i="5"/>
  <c r="P44" i="1"/>
  <c r="V34" i="1"/>
  <c r="T44" i="1"/>
  <c r="P45" i="1"/>
  <c r="T45" i="1"/>
  <c r="I34" i="1"/>
  <c r="O34" i="1"/>
  <c r="J34" i="1"/>
  <c r="N34" i="1"/>
  <c r="M34" i="1"/>
  <c r="W34" i="1"/>
  <c r="I44" i="1"/>
  <c r="I45" i="1"/>
  <c r="J44" i="1"/>
  <c r="W44" i="1"/>
  <c r="J45" i="1"/>
  <c r="W45" i="1"/>
  <c r="M44" i="1"/>
  <c r="M45" i="1"/>
  <c r="P34" i="1"/>
  <c r="N44" i="1"/>
  <c r="N45" i="1"/>
  <c r="K15" i="5" l="1"/>
  <c r="U15" i="5"/>
  <c r="T15" i="5"/>
  <c r="S15" i="5"/>
  <c r="W3" i="1" l="1"/>
  <c r="V3" i="1"/>
  <c r="B2" i="5" l="1"/>
  <c r="B3" i="5" s="1"/>
  <c r="B6" i="5" l="1"/>
  <c r="U7" i="1" l="1"/>
  <c r="B7" i="5" l="1"/>
  <c r="T3" i="1" l="1"/>
  <c r="F3" i="1"/>
  <c r="O7" i="1" l="1"/>
  <c r="N7" i="1"/>
  <c r="E59" i="3" s="1"/>
  <c r="B4" i="5"/>
  <c r="K7" i="1"/>
  <c r="H6" i="1"/>
  <c r="R10" i="5" l="1"/>
  <c r="M66" i="3" s="1"/>
  <c r="N59" i="3" l="1"/>
  <c r="B8" i="5"/>
  <c r="B5" i="5"/>
  <c r="P10" i="5" l="1"/>
  <c r="K66" i="3" s="1"/>
  <c r="Q10" i="5"/>
  <c r="L66" i="3" s="1"/>
  <c r="B64" i="3"/>
  <c r="C64" i="3" s="1"/>
  <c r="M14" i="5"/>
  <c r="H65" i="3" s="1"/>
  <c r="L14" i="5"/>
  <c r="G65" i="3" s="1"/>
  <c r="K14" i="5"/>
  <c r="F65" i="3" s="1"/>
  <c r="L65" i="3"/>
  <c r="K65" i="3"/>
  <c r="O14" i="5"/>
  <c r="J65" i="3" s="1"/>
  <c r="N14" i="5"/>
  <c r="I65" i="3" s="1"/>
  <c r="J14" i="5"/>
  <c r="E65" i="3" s="1"/>
  <c r="I14" i="5"/>
  <c r="D65" i="3" s="1"/>
  <c r="H14" i="5"/>
  <c r="C65" i="3" s="1"/>
  <c r="O10" i="5"/>
  <c r="J66" i="3" s="1"/>
  <c r="N10" i="5"/>
  <c r="I66" i="3" s="1"/>
  <c r="M10" i="5"/>
  <c r="H66" i="3" s="1"/>
  <c r="J10" i="5"/>
  <c r="E66" i="3" s="1"/>
  <c r="N3" i="1" l="1"/>
  <c r="M3" i="1"/>
  <c r="O3" i="1"/>
  <c r="K12" i="5" l="1"/>
  <c r="H12" i="5"/>
  <c r="V12" i="5"/>
  <c r="T12" i="5"/>
  <c r="U12" i="5"/>
  <c r="I12" i="5"/>
  <c r="L12" i="5"/>
  <c r="S12" i="5"/>
  <c r="R3" i="1" l="1"/>
  <c r="D1" i="1"/>
  <c r="F6" i="1"/>
  <c r="T13" i="5"/>
  <c r="G6" i="1" l="1"/>
  <c r="K13" i="5"/>
  <c r="S13" i="5"/>
  <c r="V13" i="5"/>
  <c r="I13" i="5"/>
  <c r="L13" i="5"/>
  <c r="U13" i="5"/>
  <c r="H13" i="5"/>
  <c r="K10" i="5" l="1"/>
  <c r="F66" i="3" s="1"/>
  <c r="I10" i="5"/>
  <c r="D66" i="3" s="1"/>
  <c r="H10" i="5"/>
  <c r="C66" i="3" s="1"/>
  <c r="L10" i="5"/>
  <c r="G66" i="3" s="1"/>
  <c r="D59" i="3"/>
  <c r="D6" i="1"/>
  <c r="B6" i="1" l="1"/>
  <c r="L3" i="1"/>
  <c r="J3" i="1"/>
  <c r="H3" i="1"/>
  <c r="C6" i="1" l="1"/>
  <c r="P7" i="1" s="1"/>
  <c r="S3" i="1"/>
  <c r="S7" i="1" s="1"/>
  <c r="E6" i="1"/>
  <c r="F59" i="3"/>
  <c r="I3" i="1" l="1"/>
  <c r="B7" i="1"/>
  <c r="L35" i="1" l="1"/>
  <c r="L25" i="1"/>
  <c r="L14" i="1"/>
  <c r="L10" i="1"/>
  <c r="L19" i="1"/>
  <c r="L26" i="1"/>
  <c r="L27" i="1"/>
  <c r="L9" i="1"/>
  <c r="L40" i="1"/>
  <c r="L36" i="1"/>
  <c r="L44" i="1"/>
  <c r="L34" i="1"/>
  <c r="L45" i="1"/>
  <c r="C7" i="1"/>
  <c r="K59" i="3" l="1"/>
  <c r="J59" i="3"/>
  <c r="K47" i="1"/>
  <c r="T47" i="1" l="1"/>
  <c r="W47" i="1"/>
  <c r="J47" i="1"/>
  <c r="P47" i="1"/>
  <c r="V47" i="1"/>
  <c r="I47" i="1"/>
  <c r="O47" i="1"/>
  <c r="M47" i="1"/>
  <c r="N47" i="1"/>
  <c r="M7" i="1" l="1"/>
  <c r="H59" i="3" s="1"/>
  <c r="R7" i="1"/>
  <c r="I59" i="3" s="1"/>
  <c r="L7" i="1"/>
  <c r="G59" i="3" s="1"/>
  <c r="J7" i="1"/>
  <c r="C59" i="3" s="1"/>
  <c r="T7" i="1"/>
  <c r="L59" i="3" s="1"/>
  <c r="Q7" i="1"/>
  <c r="M59" i="3" s="1"/>
</calcChain>
</file>

<file path=xl/comments1.xml><?xml version="1.0" encoding="utf-8"?>
<comments xmlns="http://schemas.openxmlformats.org/spreadsheetml/2006/main">
  <authors>
    <author>S_member</author>
    <author>Quang Trung</author>
  </authors>
  <commentList>
    <comment ref="C58" authorId="0" shapeId="0">
      <text>
        <r>
          <rPr>
            <b/>
            <sz val="9"/>
            <color rgb="FF000000"/>
            <rFont val="Tahoma"/>
            <family val="2"/>
          </rPr>
          <t>S_member: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Core</t>
        </r>
      </text>
    </comment>
    <comment ref="D58" authorId="0" shapeId="0">
      <text>
        <r>
          <rPr>
            <b/>
            <sz val="9"/>
            <color rgb="FF000000"/>
            <rFont val="Tahoma"/>
            <family val="2"/>
          </rPr>
          <t>S_member: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Core Authorization</t>
        </r>
      </text>
    </comment>
    <comment ref="E58" authorId="0" shapeId="0">
      <text>
        <r>
          <rPr>
            <b/>
            <sz val="9"/>
            <color rgb="FF000000"/>
            <rFont val="Tahoma"/>
            <family val="2"/>
          </rPr>
          <t>S_member: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Core Authorization</t>
        </r>
      </text>
    </comment>
    <comment ref="F58" authorId="0" shapeId="0">
      <text>
        <r>
          <rPr>
            <b/>
            <sz val="9"/>
            <color rgb="FF000000"/>
            <rFont val="Tahoma"/>
            <family val="2"/>
          </rPr>
          <t>S_member: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EF Core</t>
        </r>
      </text>
    </comment>
    <comment ref="G58" authorId="0" shapeId="0">
      <text>
        <r>
          <rPr>
            <b/>
            <sz val="9"/>
            <color rgb="FF000000"/>
            <rFont val="Tahoma"/>
            <family val="2"/>
          </rPr>
          <t>S_member: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App Share</t>
        </r>
      </text>
    </comment>
    <comment ref="H58" authorId="0" shapeId="0">
      <text>
        <r>
          <rPr>
            <b/>
            <sz val="9"/>
            <color rgb="FF000000"/>
            <rFont val="Tahoma"/>
            <family val="2"/>
          </rPr>
          <t>S_member: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App Share</t>
        </r>
      </text>
    </comment>
    <comment ref="I58" authorId="1" shapeId="0">
      <text>
        <r>
          <rPr>
            <b/>
            <sz val="9"/>
            <color rgb="FF000000"/>
            <rFont val="Tahoma"/>
            <family val="2"/>
          </rPr>
          <t>Quang Trung: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Application Share</t>
        </r>
      </text>
    </comment>
    <comment ref="J58" authorId="0" shapeId="0">
      <text>
        <r>
          <rPr>
            <b/>
            <sz val="9"/>
            <color rgb="FF000000"/>
            <rFont val="Tahoma"/>
            <family val="2"/>
          </rPr>
          <t>S_member: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Application Share</t>
        </r>
      </text>
    </comment>
    <comment ref="K58" authorId="1" shapeId="0">
      <text>
        <r>
          <rPr>
            <b/>
            <sz val="9"/>
            <color rgb="FF000000"/>
            <rFont val="Tahoma"/>
            <family val="2"/>
          </rPr>
          <t>Quang Trung: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 xml:space="preserve">Application
</t>
        </r>
      </text>
    </comment>
    <comment ref="L58" authorId="1" shapeId="0">
      <text>
        <r>
          <rPr>
            <b/>
            <sz val="9"/>
            <color rgb="FF000000"/>
            <rFont val="Tahoma"/>
            <family val="2"/>
          </rPr>
          <t>Quang Trung: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 xml:space="preserve">Application
</t>
        </r>
      </text>
    </comment>
    <comment ref="M58" authorId="1" shapeId="0">
      <text>
        <r>
          <rPr>
            <b/>
            <sz val="9"/>
            <color rgb="FF000000"/>
            <rFont val="Tahoma"/>
            <family val="2"/>
          </rPr>
          <t>Quang Trung: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 xml:space="preserve">Application
</t>
        </r>
      </text>
    </comment>
    <comment ref="N58" authorId="1" shapeId="0">
      <text>
        <r>
          <rPr>
            <b/>
            <sz val="9"/>
            <color indexed="81"/>
            <rFont val="Tahoma"/>
            <family val="2"/>
          </rPr>
          <t>Quang Trung:</t>
        </r>
        <r>
          <rPr>
            <sz val="9"/>
            <color indexed="81"/>
            <rFont val="Tahoma"/>
            <family val="2"/>
          </rPr>
          <t xml:space="preserve">
Application</t>
        </r>
      </text>
    </comment>
  </commentList>
</comments>
</file>

<file path=xl/sharedStrings.xml><?xml version="1.0" encoding="utf-8"?>
<sst xmlns="http://schemas.openxmlformats.org/spreadsheetml/2006/main" count="571" uniqueCount="368">
  <si>
    <t>bigint</t>
  </si>
  <si>
    <t>Checked</t>
  </si>
  <si>
    <t>date</t>
  </si>
  <si>
    <t>datetime</t>
  </si>
  <si>
    <t>int</t>
  </si>
  <si>
    <t>Class Name</t>
  </si>
  <si>
    <t xml:space="preserve">Name Space </t>
  </si>
  <si>
    <t>Field Name</t>
  </si>
  <si>
    <t>Data Type</t>
  </si>
  <si>
    <t>Length</t>
  </si>
  <si>
    <t xml:space="preserve">Allow Null? </t>
  </si>
  <si>
    <t>Import</t>
  </si>
  <si>
    <t>Folder Name</t>
  </si>
  <si>
    <t>Table</t>
  </si>
  <si>
    <t>Field Name Normalized</t>
  </si>
  <si>
    <t>Dot Net Data Type</t>
  </si>
  <si>
    <t>SQL Server data type</t>
  </si>
  <si>
    <t>CLR data type (.NET Framework)</t>
  </si>
  <si>
    <t>varchar</t>
  </si>
  <si>
    <t>nvarchar</t>
  </si>
  <si>
    <t>uniqueidentifier</t>
  </si>
  <si>
    <t>Guid</t>
  </si>
  <si>
    <t>bit</t>
  </si>
  <si>
    <t>tinyint</t>
  </si>
  <si>
    <t>smallint</t>
  </si>
  <si>
    <t>smallmoney</t>
  </si>
  <si>
    <t>money</t>
  </si>
  <si>
    <t>numeric</t>
  </si>
  <si>
    <t>decimal</t>
  </si>
  <si>
    <t>real</t>
  </si>
  <si>
    <t>float</t>
  </si>
  <si>
    <t>smalldatetime</t>
  </si>
  <si>
    <t>DateTime</t>
  </si>
  <si>
    <t>string</t>
  </si>
  <si>
    <t>byte</t>
  </si>
  <si>
    <t>datetime2</t>
  </si>
  <si>
    <t>bool</t>
  </si>
  <si>
    <t>SQL Data Type</t>
  </si>
  <si>
    <t>Property</t>
  </si>
  <si>
    <t xml:space="preserve">
</t>
  </si>
  <si>
    <t>Ngoặc nhọn trái</t>
  </si>
  <si>
    <t>Ngoặc nhọn phải</t>
  </si>
  <si>
    <t>Xuống dòng</t>
  </si>
  <si>
    <t xml:space="preserve">{
</t>
  </si>
  <si>
    <t xml:space="preserve">}
</t>
  </si>
  <si>
    <t>Required</t>
  </si>
  <si>
    <t>Index?</t>
  </si>
  <si>
    <t xml:space="preserve">Index </t>
  </si>
  <si>
    <t>long</t>
  </si>
  <si>
    <t>Base Classes (Entity)</t>
  </si>
  <si>
    <t>Const</t>
  </si>
  <si>
    <t>End Field (Property)</t>
  </si>
  <si>
    <t>End Field (Consts)</t>
  </si>
  <si>
    <t>End Field (Index)</t>
  </si>
  <si>
    <t xml:space="preserve">using Abp.Application.Services.Dto;
using System;
using System.ComponentModel.DataAnnotations;
</t>
  </si>
  <si>
    <t>Base Classes DTO</t>
  </si>
  <si>
    <t xml:space="preserve"> : EntityDto&lt;long?&gt;</t>
  </si>
  <si>
    <t>: FullAuditedEntity&lt;long&gt;, IEntity&lt;long&gt;</t>
  </si>
  <si>
    <t>DTO Property (Create/Update)</t>
  </si>
  <si>
    <t>Force SQL Type</t>
  </si>
  <si>
    <t>_</t>
  </si>
  <si>
    <t>End Field (Dto Create/Update)</t>
  </si>
  <si>
    <t>End Field (Dto Get)</t>
  </si>
  <si>
    <t>DTO Property (Get)</t>
  </si>
  <si>
    <t>DTO Property (Filter)</t>
  </si>
  <si>
    <t>End Field (Dto Filter)</t>
  </si>
  <si>
    <t>2) DB Context</t>
  </si>
  <si>
    <t>3) Consts Class</t>
  </si>
  <si>
    <t xml:space="preserve">4) DTO Classes </t>
  </si>
  <si>
    <t>7) Interface</t>
  </si>
  <si>
    <t>8) Services</t>
  </si>
  <si>
    <t xml:space="preserve">using Abp.Domain.Entities;
using Abp.Domain.Entities.Auditing;
using Microsoft.EntityFrameworkCore;
using System;
using System.ComponentModel.DataAnnotations;
using System.ComponentModel.DataAnnotations.Schema;
</t>
  </si>
  <si>
    <t>1) Add Entity</t>
  </si>
  <si>
    <t>2) Front-End Template</t>
  </si>
  <si>
    <t>DEVELOPER GUIDE</t>
  </si>
  <si>
    <t>3) Comment Template</t>
  </si>
  <si>
    <t>Điền các ô màu xanh</t>
  </si>
  <si>
    <t>1) Back-End Template (Sheet A.Backend)</t>
  </si>
  <si>
    <t>Copy Output theo thứ tự dưới đây vào các file tương ứng</t>
  </si>
  <si>
    <t>Thay đổi ô màu vàng nếu cần</t>
  </si>
  <si>
    <t>Ví dụ:</t>
  </si>
  <si>
    <t xml:space="preserve">- DateTime đều chuyển thành datetime -&gt; nếu muốn chuyển thành date hoặc datetime2 thì phải chỉ định rõ </t>
  </si>
  <si>
    <t>- string chuyển thành varchar -&gt; nếu muốn chuyển nvarchar thì ghi nvarchar ở cột này</t>
  </si>
  <si>
    <r>
      <t>Cột</t>
    </r>
    <r>
      <rPr>
        <b/>
        <sz val="11"/>
        <color theme="1"/>
        <rFont val="Calibri"/>
        <family val="2"/>
        <scheme val="minor"/>
      </rPr>
      <t xml:space="preserve"> "Force SQL Type"</t>
    </r>
    <r>
      <rPr>
        <sz val="11"/>
        <color theme="1"/>
        <rFont val="Calibri"/>
        <family val="2"/>
        <scheme val="minor"/>
      </rPr>
      <t xml:space="preserve"> dùng để chuyển kiểu dữ liệu về kiểu bắt buộc như date, nvarchar của SQL Server</t>
    </r>
  </si>
  <si>
    <t>Cột này để copy vào Service Get</t>
  </si>
  <si>
    <t>End Field (Service GetAll)</t>
  </si>
  <si>
    <r>
      <t xml:space="preserve">Cột </t>
    </r>
    <r>
      <rPr>
        <b/>
        <sz val="11"/>
        <color theme="1"/>
        <rFont val="Calibri"/>
        <family val="2"/>
        <scheme val="minor"/>
      </rPr>
      <t>"Field Name" không cần trường Id</t>
    </r>
    <r>
      <rPr>
        <sz val="11"/>
        <color theme="1"/>
        <rFont val="Calibri"/>
        <family val="2"/>
        <scheme val="minor"/>
      </rPr>
      <t>, trường này sẽ mặc định cho tất cả các entity</t>
    </r>
  </si>
  <si>
    <t>Điền "Folder Name" - Chính là Module lớn. Ví dụ của Production Andon</t>
  </si>
  <si>
    <t>Master</t>
  </si>
  <si>
    <t>Common</t>
  </si>
  <si>
    <t>Frame</t>
  </si>
  <si>
    <t>Painting</t>
  </si>
  <si>
    <t>Welding</t>
  </si>
  <si>
    <t>Interface</t>
  </si>
  <si>
    <t>WorkingPattern</t>
  </si>
  <si>
    <t>Andon</t>
  </si>
  <si>
    <t>Bumper</t>
  </si>
  <si>
    <t>Module chính</t>
  </si>
  <si>
    <t>Mst</t>
  </si>
  <si>
    <t>Frm</t>
  </si>
  <si>
    <t>Pts</t>
  </si>
  <si>
    <t>Wld</t>
  </si>
  <si>
    <t>Inf</t>
  </si>
  <si>
    <t>Wpt</t>
  </si>
  <si>
    <t>Bmp</t>
  </si>
  <si>
    <t>Tên viết tắt</t>
  </si>
  <si>
    <r>
      <t xml:space="preserve">Cột </t>
    </r>
    <r>
      <rPr>
        <b/>
        <sz val="11"/>
        <color theme="1"/>
        <rFont val="Calibri"/>
        <family val="2"/>
        <scheme val="minor"/>
      </rPr>
      <t>"Index?"</t>
    </r>
    <r>
      <rPr>
        <sz val="11"/>
        <color theme="1"/>
        <rFont val="Calibri"/>
        <family val="2"/>
        <scheme val="minor"/>
      </rPr>
      <t xml:space="preserve"> dùng để xác định trường đó có được đánh index hay không. Tốt nhất là theo quy tắc sau: </t>
    </r>
  </si>
  <si>
    <t>Trường Code</t>
  </si>
  <si>
    <t>Trường ForeignKey</t>
  </si>
  <si>
    <t>Trường Status</t>
  </si>
  <si>
    <t>Trường IsActive</t>
  </si>
  <si>
    <t>Trường Type</t>
  </si>
  <si>
    <t>Trường Start/End Date</t>
  </si>
  <si>
    <t xml:space="preserve">Trường liên quan đến Sorting (thường hay nằm trong mệnh đề Order By) </t>
  </si>
  <si>
    <t>Ado</t>
  </si>
  <si>
    <t>|   \---src</t>
  </si>
  <si>
    <t>|       +---account</t>
  </si>
  <si>
    <t>|       +---app</t>
  </si>
  <si>
    <t>|       |   +---admin</t>
  </si>
  <si>
    <t>|       |   +---main</t>
  </si>
  <si>
    <t>|       |   |   +---common</t>
  </si>
  <si>
    <t>|       |   |   +---frame</t>
  </si>
  <si>
    <t>|       |   |   +---interface</t>
  </si>
  <si>
    <t>|       |   |   +---master</t>
  </si>
  <si>
    <t>|       |   |   |   +---common</t>
  </si>
  <si>
    <t>|       |   |   |   +---frame</t>
  </si>
  <si>
    <t>|       |   |   |   +---interface</t>
  </si>
  <si>
    <t>|       |   |   |   +---painting</t>
  </si>
  <si>
    <t>|       |   |   |   +---welding</t>
  </si>
  <si>
    <t>|       |   |   |   \---workingpattern</t>
  </si>
  <si>
    <t>|       |   |   |       +---calendar</t>
  </si>
  <si>
    <t>|       |   |   |       \---shop</t>
  </si>
  <si>
    <t>|       |   |   \---painting</t>
  </si>
  <si>
    <t>|       |   |       \---andon</t>
  </si>
  <si>
    <t>|       |   |           \---scaninfo</t>
  </si>
  <si>
    <t>|       |   |   +---welding</t>
  </si>
  <si>
    <t>|       |   |   +---workingpattern</t>
  </si>
  <si>
    <t>|       |   \---shared</t>
  </si>
  <si>
    <t>|   +---src</t>
  </si>
  <si>
    <t>|   |   +---vovina.Application</t>
  </si>
  <si>
    <t>|   |   |   +---Common</t>
  </si>
  <si>
    <t>|   |   |   +---Frame</t>
  </si>
  <si>
    <t>|   |   |   +---Interface</t>
  </si>
  <si>
    <t>|   |   |   +---Master</t>
  </si>
  <si>
    <t>|   |   |   |   +---Common</t>
  </si>
  <si>
    <t>|   |   |   |   +---Frame</t>
  </si>
  <si>
    <t>|   |   |   |   +---Interface</t>
  </si>
  <si>
    <t>|   |   |   |   +---Painting</t>
  </si>
  <si>
    <t>|   |   |   |   +---Welding</t>
  </si>
  <si>
    <t>|   |   |   |   \---WorkingPattern</t>
  </si>
  <si>
    <t>|   |   |   +---Painting</t>
  </si>
  <si>
    <t>|   |   |   |   \---Andon</t>
  </si>
  <si>
    <t>|   |   |   +---Welding</t>
  </si>
  <si>
    <t>|   |   |   +---WorkingPattern</t>
  </si>
  <si>
    <t>|   |   +---vovina.Application.Shared</t>
  </si>
  <si>
    <t>|   |   |   |   +---Dto</t>
  </si>
  <si>
    <t>|   |   |   |   \---Loging</t>
  </si>
  <si>
    <t>|   |   |   |       \---SqlAuditLog</t>
  </si>
  <si>
    <t>|   |   |   |           \---Dto</t>
  </si>
  <si>
    <t>|   |   |   |   |   \---PaintingProcess</t>
  </si>
  <si>
    <t>|   |   |   |   |       \---Dto</t>
  </si>
  <si>
    <t>|   |   |   |       +---Calendar</t>
  </si>
  <si>
    <t>|   |   |   |       |   \---Dto</t>
  </si>
  <si>
    <t>|   |   |   |       \---Shop</t>
  </si>
  <si>
    <t>|   |   |   |       \---ScanInfo</t>
  </si>
  <si>
    <t>|   |   |   \---WorkingPattern</t>
  </si>
  <si>
    <t>|   |   +---vovina.Core</t>
  </si>
  <si>
    <t>|   |   +---vovina.Core.Shared</t>
  </si>
  <si>
    <t>|   |   +---vovina.EntityFrameworkCore</t>
  </si>
  <si>
    <t>|   |   +---vovina.GraphQL</t>
  </si>
  <si>
    <t>|   |   +---vovina.Migrator</t>
  </si>
  <si>
    <t>|   |   +---vovina.Web.Core</t>
  </si>
  <si>
    <t>|   |   +---vovina.Web.Host</t>
  </si>
  <si>
    <t>|   |   \---vovina.Web.Public</t>
  </si>
  <si>
    <t>\---docs</t>
  </si>
  <si>
    <t xml:space="preserve">    \---design</t>
  </si>
  <si>
    <t xml:space="preserve">        +---common</t>
  </si>
  <si>
    <t xml:space="preserve">        +---frame</t>
  </si>
  <si>
    <t xml:space="preserve">        +---interface</t>
  </si>
  <si>
    <t xml:space="preserve">        +---master</t>
  </si>
  <si>
    <t xml:space="preserve">        |   +---common</t>
  </si>
  <si>
    <t xml:space="preserve">        |   +---frame</t>
  </si>
  <si>
    <t xml:space="preserve">        |   +---interface</t>
  </si>
  <si>
    <t xml:space="preserve">        |   +---painting</t>
  </si>
  <si>
    <t xml:space="preserve">        |   +---welding</t>
  </si>
  <si>
    <t xml:space="preserve">        |   \---workingpattern</t>
  </si>
  <si>
    <t xml:space="preserve">        +---painting</t>
  </si>
  <si>
    <t xml:space="preserve">        |   \---andon</t>
  </si>
  <si>
    <t xml:space="preserve">        +---welding</t>
  </si>
  <si>
    <t xml:space="preserve">        \---workingpattern</t>
  </si>
  <si>
    <t>+---angular</t>
  </si>
  <si>
    <t>+---aspnet-core</t>
  </si>
  <si>
    <t xml:space="preserve">&lt;&lt;&lt; Đật tên thư mục theo tên của component. Ví dụ: MstWptCalendar -&gt; chỉ cần đặt là "calendar" vì nó đã nằm trong thư mục Master.WorkingPattern rồi </t>
  </si>
  <si>
    <t>1. FRONT END</t>
  </si>
  <si>
    <t>2. BACK END</t>
  </si>
  <si>
    <t>3. DOCUMENT</t>
  </si>
  <si>
    <r>
      <t xml:space="preserve">Tham khảo Sheet </t>
    </r>
    <r>
      <rPr>
        <b/>
        <sz val="12"/>
        <color rgb="FFFF0000"/>
        <rFont val="Calibri"/>
        <family val="2"/>
        <scheme val="minor"/>
      </rPr>
      <t>Directory Tree</t>
    </r>
    <r>
      <rPr>
        <sz val="12"/>
        <color rgb="FFFF0000"/>
        <rFont val="Calibri"/>
        <family val="2"/>
        <scheme val="minor"/>
      </rPr>
      <t xml:space="preserve"> để hiểu cấu trúc thư mục </t>
    </r>
  </si>
  <si>
    <t>&lt;&lt;&lt; scaninfo</t>
  </si>
  <si>
    <t>4) DB Context</t>
  </si>
  <si>
    <t>5) Consts Class</t>
  </si>
  <si>
    <t xml:space="preserve">6) DTO Classes </t>
  </si>
  <si>
    <t>7)ToExcelInput</t>
  </si>
  <si>
    <t>9)EXportInput</t>
  </si>
  <si>
    <t>11)ExportService</t>
  </si>
  <si>
    <t>10)InterfaceExport</t>
  </si>
  <si>
    <t>8) Interface</t>
  </si>
  <si>
    <t>Y</t>
  </si>
  <si>
    <t>2)AppPermissions</t>
  </si>
  <si>
    <t>3)AppAuthorizationProvider</t>
  </si>
  <si>
    <t>9) interface Export</t>
  </si>
  <si>
    <t>10) Export Service</t>
  </si>
  <si>
    <t>11) Services</t>
  </si>
  <si>
    <t>Full Name</t>
  </si>
  <si>
    <t>Name Normal</t>
  </si>
  <si>
    <t>Menu Name</t>
  </si>
  <si>
    <t>NameFront</t>
  </si>
  <si>
    <t>example code</t>
  </si>
  <si>
    <t>code copy</t>
  </si>
  <si>
    <t>Filde Name</t>
  </si>
  <si>
    <t>.input-search{
    width: 250px;
    border-radius: 10px;
    margin-left: 10px;
}
.btn-search{
    width: 50px;
    margin-left: 10px;
}</t>
  </si>
  <si>
    <t>import {NgModule} from '@angular/core';
import {AppSharedModule} from '@app/shared/app-shared.module';
import { CalendarRoutingModule } from './calendar-routing.module';
import { CalendarComponent } from './calendar.component';
import { CreateOrEditCalendarModalComponent } from './create-or-edit-calendar-modal.component';
@NgModule({
    declarations: [
       CalendarComponent, 
        CreateOrEditCalendarModalComponent
    ],
    imports: [
        AppSharedModule, CalendarRoutingModule]
})
export class CalendarModule {}</t>
  </si>
  <si>
    <t>import {NgModule} from '@angular/core';
import {RouterModule, Routes} from '@angular/router';
import { CalendarComponent } from './calendar.component';
const routes: Routes = [{
    path: '',
    component: CalendarComponent,
    pathMatch: 'full'
}];
@NgModule({
    imports: [RouterModule.forChild(routes)],
    exports: [RouterModule],
})
export class CalendarRoutingModule {}</t>
  </si>
  <si>
    <t>app.navigation.service.ts</t>
  </si>
  <si>
    <t xml:space="preserve"> new AppMenuItem("Calendar", "Pages.Master.WorkingPattern.Calendar", "flaticon-book",   "/app/main/master/workingpattern/calendar"),</t>
  </si>
  <si>
    <t>NameBack</t>
  </si>
  <si>
    <t>main.routing.module.ts</t>
  </si>
  <si>
    <t>COPY CODE</t>
  </si>
  <si>
    <t>12)CustomDtoMapper</t>
  </si>
  <si>
    <t>Copy to file -&gt; create menu</t>
  </si>
  <si>
    <t>Create file</t>
  </si>
  <si>
    <t xml:space="preserve">  configuration.CreateMap&lt;MstWptCalendarDto, MstWptCalendar&gt;();
  configuration.CreateMap&lt;MstWptCalendar, MstWptCalendarDto&gt;();
  configuration.CreateMap&lt;CreateOrEditMstWptCalendarDto, MstWptCalendar&gt;();</t>
  </si>
  <si>
    <t>1)Back- End Template</t>
  </si>
  <si>
    <t>service-proxy.module.ts</t>
  </si>
  <si>
    <t>ApiServiceProxies.MstWptCalendarServiceProxy,</t>
  </si>
  <si>
    <t>Cmm</t>
  </si>
  <si>
    <t>6) AppPermissions</t>
  </si>
  <si>
    <t xml:space="preserve">5) AppAuthorizationProvider </t>
  </si>
  <si>
    <t>Local Name</t>
  </si>
  <si>
    <t>Name</t>
  </si>
  <si>
    <t>J9</t>
  </si>
  <si>
    <t>I9</t>
  </si>
  <si>
    <t>L9</t>
  </si>
  <si>
    <t>M9</t>
  </si>
  <si>
    <t>N9</t>
  </si>
  <si>
    <t>O9</t>
  </si>
  <si>
    <t>P9</t>
  </si>
  <si>
    <t>T9</t>
  </si>
  <si>
    <t>V9</t>
  </si>
  <si>
    <t>H15</t>
  </si>
  <si>
    <t>.modal-header{
    border-bottom: none;
}
.title-form{
    margin-left: 40% !important;
}
.form-input{
    margin-left: 3%;
    margin-top: 2%;
}
.form-input .form-group .title{
    border-radius: 5px !important;
    padding-top: 1% !important;
    text-align: center;
    background-color: #b3ecec !important;
}
.form-input .form-group .input-text{
    border-radius: 5px !important;
    text-align: center;
    border: 1px solid #d8b3fb !important;
}
.form-input .form-group .checkboxActive{
    text-align: left !important;
    padding-left: 15%;
}</t>
  </si>
  <si>
    <t>{
    path: 'master/workingpattern/calendar',
    loadChildren: () =&gt; import('./master/workingpattern/calendar/calendar.module').then(m =&gt; m.CalendarModule),
    data: { permission: 'Pages.Master.WorkingPattern.Calendar' }
},</t>
  </si>
  <si>
    <t>declare</t>
  </si>
  <si>
    <t>param</t>
  </si>
  <si>
    <t>S15</t>
  </si>
  <si>
    <t>T15</t>
  </si>
  <si>
    <t>clearparams</t>
  </si>
  <si>
    <t>&lt;div bsModal #createOrEditModalCalendar="bs-modal" class="modal fade col-md-12" role="dialog" [config]="{ backdrop: 'static' }"&gt;
    &lt;div class="modal-dialog modal-lg"&gt;
        &lt;div class="modal-content col-md-12"&gt;
            &lt;div class="modal-header col-md-12"&gt;
                &lt;div class="title-form"&gt;
                    &lt;h3 *ngIf="rowdata.id"&gt;{{('Edit Calendar')}}&lt;/h3&gt;
                    &lt;h3 *ngIf="!rowdata.id"&gt;{{('Create New Calendar')}}&lt;/h3&gt;
                &lt;/div&gt;
            &lt;/div&gt;
        &lt;/div&gt;
        &lt;div class="modal-content col-md-12"&gt;
            &lt;form #applyBpForm="ngForm" (ngSubmit)="save()" autocomplete="off" (keyup.enter)="save()" (keyup.ESC)="close()"&gt;
            &lt;!-- Form Basic--&gt;   
                &lt;div class="form-input"&gt;                   
&lt;PROPERTIES&gt;              
                    &lt;div class="modal-footer"&gt;
                        &lt;button type="submit" class="btn btn-primary font-weight-bold"&gt;
                            &lt;i class="fa tmss-fa fa-save mr-1"&gt;&lt;/i&gt;
                            &lt;span&gt;{{ l('Save') }}&lt;/span&gt;
                        &lt;/button&gt;
                        &lt;button (click)="close()" type="button" class="btn btn-light-primary font-weight-bold"&gt;
                            &lt;i class="fa tmss-fa fa-times mr-1"&gt;&lt;/i&gt;
                            {{ l('Cancel') }}
                        &lt;/button&gt;
                    &lt;/div&gt;
                &lt;/div&gt;    
            &lt;/form&gt;
        &lt;/div&gt;
    &lt;/div&gt;
&lt;/div&gt;</t>
  </si>
  <si>
    <t>W9</t>
  </si>
  <si>
    <t>using System.Collections.Generic;
using vovina.DataExporting.Excel.NPOI;
using vovina.Dto;
using vovina.Master.WorkingPattern.Exporting;
using vovina.Master.WorkingPattern.Dto;
using vovina.Storage;
using vovina.Master.WorkingPattern.Dto;
namespace vovina.Master.WorkingPattern.Exporting
{
    public class MstWptCalendarExcelExporter : NpoiExcelExporterBase, IMstWptCalendarExcelExporter
    {
        public MstWptCalendarExcelExporter(ITempFileCacheManager tempFileCacheManager) : base(tempFileCacheManager) { }
        public FileDto ExportToFile(List&lt;MstWptCalendarDto&gt; calendar)
        {
            return CreateExcelPackage(
				"MasterWorkingPatternCalendar.xlsx",
				excelPackage =&gt;
				 {
					var sheet = excelPackage.CreateSheet("Calendar");
					AddHeader(
								sheet,
&lt;PROPERTIES&gt;
							   );
					AddObjects(
						 sheet, 1, calendar,                                       
&lt;PROPERTIES1&gt;
								);
			for (var i = 0; i &lt; 8; i++)
				{
					sheet.AutoSizeColumn(i);
				}
			});
        }
    }
}</t>
  </si>
  <si>
    <t>K15</t>
  </si>
  <si>
    <t>import { Component, ViewChild, Injector, ElementRef, Output, EventEmitter, HostListener } from '@angular/core';
import { ModalDirective } from 'ngx-bootstrap/modal';
import { AppComponentBase } from '@shared/common/app-component-base';
import { finalize } from 'rxjs/operators';
import { CreateOrEditMstWptCalendarDto, MstWptCalendarServiceProxy } from '@shared/service-proxies/service-proxies';
import { BsDatepickerDirective } from 'ngx-bootstrap/datepicker';
@Component({
    selector: 'create-or-edit-calendar-modal',
    templateUrl: './create-or-edit-calendar-modal.component.html',
    styleUrls: ['./create-or-edit-calendar-modal.component.less']
    })
export class CreateOrEditCalendarModalComponent extends AppComponentBase {
    @ViewChild('createOrEditModalCalendar', { static: true }) modal: ModalDirective | undefined;
    @ViewChild('nameInput') nameInput: ElementRef;
    @ViewChild('datepicker', { static: false }) datepicker!: BsDatepickerDirective;
    @Output() modalSave: EventEmitter&lt;any&gt; = new EventEmitter&lt;any&gt;();
    @Output() modalClose: EventEmitter&lt;any&gt; = new EventEmitter&lt;any&gt;();
    rowdata: CreateOrEditMstWptCalendarDto = new CreateOrEditMstWptCalendarDto();
    active: boolean = false;
    saving: boolean = false;
    _isActive: boolean;
    constructor(
        injector: Injector,
        private _mstwptCalendarService: MstWptCalendarServiceProxy,
    ) 
    {
        super(injector);
    }
    show(rowdata?: CreateOrEditMstWptCalendarDto): void {
        if (!rowdata) this.rowdata = new CreateOrEditMstWptCalendarDto();
        else this.rowdata = rowdata;
&lt;VIEWDATETIME&gt;
        this._isActive = (this.rowdata.isActive == "N")? false: true;
        this.active = true;
        this.modal.show();
    } 
    changeActive(event){
        this._isActive = event.target.checked;
    }
    save(): void {
    this.saving = true; 
    this.rowdata.isActive = (this._isActive == true) ? 'Y' : 'N'
    this._mstwptCalendarService.createOrEdit(this.rowdata)
        .pipe( finalize(() =&gt;  this.saving = false))
        .subscribe(() =&gt; {
            this.notify.info(this.l('SavedSuccessfully'));
            this.close();
            this.modal?.hide();
            this.modalSave.emit(this.rowdata);
        });
    this.saving = false;
    }
    close(): void {
        this.active = false;
        this.modal?.hide();
        this.modalClose.emit(null);
    }
    @HostListener('document:keydown', ['$event']) 
        onKeydownHandler(event: KeyboardEvent) {
            if (event.key === "Escape") {
                this.close();
            }
        }
}</t>
  </si>
  <si>
    <t>I15</t>
  </si>
  <si>
    <t>L15</t>
  </si>
  <si>
    <t>U15</t>
  </si>
  <si>
    <t>active</t>
  </si>
  <si>
    <t>V15</t>
  </si>
  <si>
    <t>using Abp.Application.Services.Dto;
using Abp.Authorization;
using Abp.Dapper.Repositories;
using Abp.Domain.Repositories;
using Abp.Domain.Uow;
using Abp.EntityFrameworkCore.Uow;
using Abp.Extensions;
using Abp.Linq.Extensions;
using Abp.UI;
using Dapper;
using Microsoft.EntityFrameworkCore;
using NUglify.Helpers;
using System;
using System.Collections.Generic;
using System.Linq;
using System.Linq.Dynamic.Core;
using System.Threading.Tasks;
using vovina.Authorization;
using vovina.Dto;
using vovina.EntityFrameworkCore;
using vovina.Master.WorkingPattern.Dto;
using vovina.Master.WorkingPattern.Exporting;
namespace vovina.Master.WorkingPattern
{
    [AbpAuthorize(AppPermissions.Pages_Master_WorkingPattern_Calendar)]
    public class MstWptCalendarAppService : vovinaAppServiceBase, IMstWptCalendarAppService
    {
        private readonly IDapperRepository&lt;MstWptCalendar, long&gt; _dapperRepo;
        private readonly IRepository&lt;MstWptCalendar, long&gt; _repo;
        private readonly IMstWptCalendarExcelExporter _calendarListExcelExporter;
        public MstWptCalendarAppService(IRepository&lt;MstWptCalendar,long&gt; repo, 
                                         IDapperRepository&lt;MstWptCalendar,long&gt; dapperRepo,
                                        IMstWptCalendarExcelExporter calendarListExcelExporter
            )
        {
            _repo = repo;
            _dapperRepo = dapperRepo;
            _calendarListExcelExporter = calendarListExcelExporter;
        }
        [AbpAuthorize(AppPermissions.Pages_Master_WorkingPattern_Calendar_CreateEdit)]
        public async Task CreateOrEdit(CreateOrEditMstWptCalendarDto input)
        {
            if (input.Id == null) await Create(input);
            else await Update(input);
        }
        //CREATE
        private async Task Create(CreateOrEditMstWptCalendarDto input)
        {          
            var mainObj = ObjectMapper.Map&lt;MstWptCalendar&gt;(input);
            await CurrentUnitOfWork.GetDbContext&lt;vovinaDbContext&gt;().AddAsync(mainObj);
        }
        // EDIT
        private async Task Update(CreateOrEditMstWptCalendarDto input)
        {
            using (CurrentUnitOfWork.DisableFilter(AbpDataFilters.MayHaveTenant))
            {
                var mainObj = await _repo.GetAll()
                .FirstOrDefaultAsync(e =&gt; e.Id == input.Id);
                var mainObjToUpdate = ObjectMapper.Map(input, mainObj);
            }
        }
        [AbpAuthorize(AppPermissions.Pages_Master_WorkingPattern_Calendar_Delete)]
        public async Task Delete(EntityDto input)
        {
            var mainObj = await _repo.FirstOrDefaultAsync(input.Id);
            CurrentUnitOfWork.GetDbContext&lt;vovinaDbContext&gt;().Remove(mainObj);
        }
        public async Task&lt;PagedResultDto&lt;MstWptCalendarDto&gt;&gt; GetAll(GetMstWptCalendarInput input)
        {
            var filtered = _repo.GetAll()
&lt;PARAMS_SEARCH&gt;                   
				;
            var pageAndFiltered = filtered.OrderBy(s =&gt; s.Id);
            var system = from o in pageAndFiltered
                         select new MstWptCalendarDto
                        {
							Id = o.Id,
&lt;PROPERTIES&gt;
                        };
            var totalCount = await filtered.CountAsync();
			var paged = system.PageBy(input);
            return new PagedResultDto&lt;MstWptCalendarDto&gt;(
                totalCount,
                 await paged.ToListAsync()
            );
        }
        public async Task&lt;FileDto&gt; GetCalendarToExcel(MstWptCalendarExportInput input)
        {
            var query = from o in _repo.GetAll()
                        select new MstWptCalendarDto
                        {
							Id = o.Id,
&lt;PROPERTIES&gt;
                        };
            var exportToExcel = await query.ToListAsync();
            return _calendarListExcelExporter.ExportToFile(exportToExcel);
        }
       // public async Task GenerateAsync()
      //  {
        //    await _dapperRepo.ExecuteAsync(MstWptCalendarConsts.SP_MST_WPT_CALENDAR_GENERATE);
       // }
    }
}</t>
  </si>
  <si>
    <t>time</t>
  </si>
  <si>
    <t>TimeSpan</t>
  </si>
  <si>
    <t>import { GridApi, GridReadyEvent } from '@ag-grid-enterprise/all-modules';
import { Component, Injector, OnInit, ViewChild } from '@angular/core';
import { CustomColDef, GridParams, PaginationParamsModel,FrameworkComponent } from '@app/shared/common/models/base.model';
import { GridTableService } from '@app/shared/common/services/grid-table.service';
import { AppComponentBase } from '@shared/common/app-component-base';
import { MstWptCalendarDto, MstWptCalendarServiceProxy } from '@shared/service-proxies/service-proxies';
import { finalize } from 'rxjs/internal/operators/finalize';
import { CreateOrEditCalendarModalComponent } from './create-or-edit-calendar-modal.component';
import { DatePipe } from '@angular/common';
import { FileDownloadService } from '@shared/utils/file-download.service';
import ceil from 'lodash-es/ceil';
import { Paginator } from 'primeng/paginator';
@Component({
    templateUrl: './calendar.component.html',
    styleUrls: ['./calendar.component.less'],
})
export class CalendarComponent extends AppComponentBase implements OnInit {
    @ViewChild('createOrEditModalCalendar', { static: true }) createOrEditModalCalendar:| CreateOrEditCalendarModalComponent| undefined;
    @ViewChild('paginator', { static: true }) paginator: Paginator;
    defaultColDefs: CustomColDef[] = [];
    paginationParams: PaginationParamsModel = {
        pageNum: 1,
        pageSize: 20,
        totalCount: 0,
        skipCount: 0,
        sorting: '',
        totalPage: 1,
    };
    selectedRow: MstWptCalendarDto = new MstWptCalendarDto();
    saveSelectedRow: MstWptCalendarDto = new MstWptCalendarDto();
    datas: MstWptCalendarDto = new MstWptCalendarDto();
    isLoading: boolean = false;
    dataParams: GridParams | undefined;
    rowData: any[] = [];
    gridApi!: GridApi;
    rowSelection = 'multiple';
    filter: string = '';
	pipe = new DatePipe('en-US');
	frameworkComponents: FrameworkComponent;
    &lt;DECLARE&gt;
    defaultColDef = {
        resizable: true,
        sortable: true,
        floatingFilterComponentParams: { suppressFilterButton: true },
        filter: true,
        floatingFilter: true,
        suppressHorizontalScroll: true,
        textFormatter: function (r: any) {
            if (r == null) return null;
            return r.toLowerCase();
        },
        tooltip: (params) =&gt; params.value,
    };
    constructor(
        injector: Injector,
        private _service: MstWptCalendarServiceProxy,
        private gridTableService: GridTableService,
        private _fileDownloadService: FileDownloadService
    ) {
        super(injector);
        this.defaultColDefs = [
            {headerName: this.l('STT'),headerTooltip: this.l('STT'),cellRenderer: (params) =&gt;params.rowIndex + 1 + this.paginationParams.pageSize * (this.paginationParams.pageNum - 1),cellClass: ['text-center'],width: 55,},
            &lt;PROPERTIES&gt;      	  
        ];
		this.frameworkComponents = {
            agCellButtonComponent: AgCellButtonRendererComponent,
        };
    }
    ngOnInit(): void {
        this.paginationParams = { pageNum: 1, pageSize: 20, totalCount: 0 };
    }
    searchDatas(): void {
        // this.paginator.changePage(this.paginator.getPage());
        this._service.getAll(
&lt;PARAMS&gt;
			'',
            this.paginationParams.skipCount,
            this.paginationParams.pageSize
        )
        .pipe(finalize(() =&gt; this.gridTableService.selectFirstRow(this.dataParams!.api)))
        .subscribe((result) =&gt; {
            this.paginationParams.totalCount = result.totalCount;
            this.rowData = result.items;
            this.paginationParams.totalPage = ceil(result.totalCount / (this.paginationParams.pageSize ?? 0));
        });
    }
    clearTextSearch() {
        &lt;CLEARPARAMS&gt;
        this.searchDatas();
    }
    onSelectionMulti(params) {
        var selectedRows = this.gridApi.getSelectedRows();
        var selectedRowsString = '';
        var maxToShow = 5;
        selectedRows.forEach(function (selectedRow, index) {
            if (index &gt;= maxToShow) {
                return;
            }
            if (index &gt; 0) {
                selectedRowsString += ', ';
            }
            selectedRowsString += selectedRow.athlete;
        });
        if (selectedRows.length &gt; maxToShow) {
            var othersCount = selectedRows.length - maxToShow;
            selectedRowsString += ' and ' + othersCount + ' other' + (othersCount !== 1 ? 's' : '');
        }
        (document.querySelector('#selectedRows') as any).innerHTML = selectedRowsString;
    }
    getDatas(paginationParams?: PaginationParamsModel) {
        return this._service.getAll(
 &lt;PARAMS&gt;
			'',
            this.paginationParams.skipCount,
            this.paginationParams.pageSize
        );
    }
    onChangeRowSelection(params: { api: { getSelectedRows: () =&gt; MstWptCalendarDto[] } }) {
        this.saveSelectedRow = params.api.getSelectedRows()[0] ?? new MstWptCalendarDto();
        this.selectedRow = Object.assign({}, this.saveSelectedRow);
    }
    changePage(paginationParams) {
        this.isLoading = true;
        this.paginationParams = paginationParams;
        this.paginationParams.skipCount = (paginationParams.pageNum - 1) * paginationParams.pageSize;
        // this.maxResultCount = paginationParams.pageSize;
        this.getDatas(this.paginationParams).subscribe((result) =&gt; {
            this.paginationParams.totalCount = result.totalCount;
            this.rowData = result.items;
            this.paginationParams.totalPage = ceil(result.totalCount / (this.paginationParams.pageSize ?? 0));
            this.isLoading = false;
        });
    }
    callBackDataGrid(params: GridParams) {
        this.isLoading = true;
        this.dataParams = params;
        params.api.paginationSetPageSize(this.paginationParams.pageSize);
        this.paginationParams.skipCount =
            ((this.paginationParams.pageNum ?? 1) - 1) * (this.paginationParams.pageSize ?? 0);
        this.paginationParams.pageSize = this.paginationParams.pageSize;
        this.getDatas(this.paginationParams)
            .pipe(finalize(() =&gt; this.gridTableService.selectFirstRow(this.dataParams!.api)))
            .subscribe((result) =&gt; {
                this.paginationParams.totalCount = result.totalCount;
                this.rowData = result.items ?? [];
                this.paginationParams.totalPage = ceil(result.totalCount / (this.paginationParams.pageSize ?? 0));
                this.isLoading = false;
            });
    }
    deleteRow(system: MstWptCalendarDto): void {
        this.message.confirm(this.l('AreYouSureToDelete'), 'Delete Row', (isConfirmed) =&gt; {
            if (isConfirmed) {
                this._service.delete(system.id).subscribe(() =&gt; {
                    this.callBackDataGrid(this.dataParams!);
                    this.notify.success(this.l('SuccessfullyDeleted'));
                    this.notify.info(this.l('SuccessfullyDeleted'));
                });
            }
        });
    }
    exportToExcel(): void {
        this._service.getCalendarToExcel(
&lt;PARAMS&gt;
            )
            .subscribe((result) =&gt; {
                this._fileDownloadService.downloadTempFile(result);
        });
    }
}</t>
  </si>
  <si>
    <t>&lt;div id="container" class="mt-2" [busyIf]="isLoading"&gt;
    &lt;div class="ui-g-12"&gt;
        &lt;fieldset class="fieldset-border grid-parent"&gt;
            &lt;div class="ui-g-12"&gt;
                &lt;div class="ui-g-12"&gt;
                    &lt;h6 class="card-header"&gt;
                         {{ l(' &lt;FULL_TITLE&gt; ') }}
                    &lt;/h6&gt;
                &lt;/div&gt;									
                &lt;div class="prod-cont"&gt;
                    &lt;div class="ui-g-12"&gt;
                        &lt;div class="form-group m-form__group align-items-center"&gt;
                            &lt;div class="input-group"&gt;
&lt;PROPERTIES&gt;
                                &lt;div class="btn-search"&gt;
                                    &lt;button (click)="searchDatas()"
                                        class="btn btn-primary" type="submit"&gt;
                                        &lt;i class="fas fa-search"&gt;&lt;/i&gt;
                                    &lt;/button&gt;
                                &lt;/div&gt;
                                &lt;div class="btn-search"&gt;
                                    &lt;button (click)="clearTextSearch()"
                                        class="btn btn-primary" type="submit"&gt;
                                        &lt;i class="fas fa-backspace"&gt;&lt;/i&gt;
                                    &lt;/button&gt;
                                &lt;/div&gt;
                            &lt;/div&gt;
                        &lt;/div&gt;
                    &lt;/div&gt;
                    &lt;div class="ui-g-12 ui-md-12"&gt;
                        &lt;form autocomplete="on"&gt;
                        &lt;div class="panel panel-default pt-1"&gt;
                            &lt;simple-ag-grid
                                [columnDefs]="defaultColDefs"
                                [paginationParams]="paginationParams"
                                [rowData]="rowData"
                                [defaultColDef]="defaultColDef"
                                (callBackEvent)="callBackDataGrid($event)"
                                (changePaginationParams)="changePage($event)"
                                (onChangeSelection)="onChangeRowSelection($event)"
                                [rowSelection]="rowSelection"
                                (selectionChanged)="onSelectionMulti($event)"
                                [height]="'620px'"
								[frameworkComponents]="frameworkComponents"
                            &gt;
                            &lt;/simple-ag-grid&gt;
                        &lt;/div&gt;
                        &lt;/form&gt;
                        &lt;hr&gt;
                        &lt;div class="text-right"&gt;
                            &lt;button class="btn btn-success font-weight-bold" (click)="exportToExcel()"&gt;
                                &lt;i class="fas fa-file-excel mr-1"&gt;&lt;/i&gt;{{ l('Export Excel') }}
                            &lt;/button&gt;
                            &lt;button class="btn btn-info font-weight-bold" (click)="createOrEditModalCalendar.show()"&gt;
                                &lt;i class="fa fa-plus mr-1"&gt;&lt;/i&gt;{{ l('Add') }}
                            &lt;/button&gt;
                            &lt;button class="btn btn-warning font-weight-bold" [disabled]="!selectedRow.id" (click)="createOrEditModalCalendar.show(selectedRow)"&gt;
                                &lt;i class="far fa-edit mr-1"&gt;&lt;/i&gt;{{'Edit'}}
                            &lt;/button&gt;
                            &lt;button class="btn btn-primary font-weight-bold" [disabled]="!selectedRow.id" (click)="deleteRow(selectedRow)"&gt;
                                &lt;i class="fas fa-trash-alt mr-1"&gt;&lt;/i&gt;{{'Delete'}}
                            &lt;/button&gt;
                        &lt;/div&gt;
                    &lt;/div&gt;
                &lt;/div&gt;
            &lt;/div&gt;
        &lt;/fieldset&gt;
    &lt;/div&gt;
&lt;/div&gt;
&lt;create-or-edit-calendar-modal
    #createOrEditModalCalendar
    (modalSave)="callBackDataGrid(dataParams)"
    (modalClose)="onChangeRowSelection(dataParams)"
&gt;
&lt;/create-or-edit-calendar-modal&gt;</t>
  </si>
  <si>
    <t>LogW</t>
  </si>
  <si>
    <t>Lgw</t>
  </si>
  <si>
    <t>Devanning</t>
  </si>
  <si>
    <t>Lup</t>
  </si>
  <si>
    <t>Dvn</t>
  </si>
  <si>
    <t>LotUnpacking</t>
  </si>
  <si>
    <t>LotMaking</t>
  </si>
  <si>
    <t>PxPUnpacking</t>
  </si>
  <si>
    <t>ModuleWH</t>
  </si>
  <si>
    <t>Lmk</t>
  </si>
  <si>
    <t>Pup</t>
  </si>
  <si>
    <t>Mwh</t>
  </si>
  <si>
    <t>Pik</t>
  </si>
  <si>
    <t>Picking</t>
  </si>
  <si>
    <t>Viết tắt dài (đầy đủ)</t>
  </si>
  <si>
    <t>MstCmm</t>
  </si>
  <si>
    <t>MstFrm</t>
  </si>
  <si>
    <t>MstPts</t>
  </si>
  <si>
    <t>MstWld</t>
  </si>
  <si>
    <t>MstInf</t>
  </si>
  <si>
    <t>MstWpt</t>
  </si>
  <si>
    <t>MstLgw</t>
  </si>
  <si>
    <t>PtsAdo</t>
  </si>
  <si>
    <t>PtsBmp</t>
  </si>
  <si>
    <t>LgwDvn</t>
  </si>
  <si>
    <t>LgwLup</t>
  </si>
  <si>
    <t>LgwLmk</t>
  </si>
  <si>
    <t>LgwPup</t>
  </si>
  <si>
    <t>LgwMwh</t>
  </si>
  <si>
    <t>LgwPik</t>
  </si>
  <si>
    <t>Pln</t>
  </si>
  <si>
    <t>FrmAdo</t>
  </si>
  <si>
    <t>WldAdo</t>
  </si>
  <si>
    <t>Ccr</t>
  </si>
  <si>
    <t>PlnCcr</t>
  </si>
  <si>
    <t>CCR Plan</t>
  </si>
  <si>
    <t>LogA</t>
  </si>
  <si>
    <t>Lga</t>
  </si>
  <si>
    <t>MstLga</t>
  </si>
  <si>
    <t>LotDirectSupply</t>
  </si>
  <si>
    <t>Lds</t>
  </si>
  <si>
    <t>LgaLds</t>
  </si>
  <si>
    <t>LgaBmp</t>
  </si>
  <si>
    <t>Ekanban</t>
  </si>
  <si>
    <t>Ekb</t>
  </si>
  <si>
    <t>LgaEkb</t>
  </si>
  <si>
    <t>BigPart2x2</t>
  </si>
  <si>
    <t>Bp2</t>
  </si>
  <si>
    <t>LgaBp2</t>
  </si>
  <si>
    <t>Plan</t>
  </si>
  <si>
    <t>varchar(50)</t>
  </si>
  <si>
    <t>PROD_LINE</t>
  </si>
  <si>
    <t>IS_ACTIVE</t>
  </si>
  <si>
    <t>varchar(1)</t>
  </si>
  <si>
    <t>Assy</t>
  </si>
  <si>
    <t>Asy</t>
  </si>
  <si>
    <t>MstAsy</t>
  </si>
  <si>
    <t>PART_ID</t>
  </si>
  <si>
    <t>BACK_NO</t>
  </si>
  <si>
    <t>MODEL</t>
  </si>
  <si>
    <t>CFC</t>
  </si>
  <si>
    <t>GRADE</t>
  </si>
  <si>
    <t>PART_TYPE_CODE</t>
  </si>
  <si>
    <t>IS_PUNCH</t>
  </si>
  <si>
    <t>LOT_NO</t>
  </si>
  <si>
    <t>NO_IN_LOT</t>
  </si>
  <si>
    <t>SEQUENCE_NO</t>
  </si>
  <si>
    <t>BODY_NO</t>
  </si>
  <si>
    <t>COLOR</t>
  </si>
  <si>
    <t>SPECIAL_COLOR</t>
  </si>
  <si>
    <t>PROCESS</t>
  </si>
  <si>
    <t>PK_PROCESS</t>
  </si>
  <si>
    <t>WORKING_DATE</t>
  </si>
  <si>
    <t>SHIFT</t>
  </si>
  <si>
    <t>NO_IN_DATE</t>
  </si>
  <si>
    <t>NO_IN_SHIFT</t>
  </si>
  <si>
    <t>TAKT_TIME_START</t>
  </si>
  <si>
    <t>SIGNAL_ID</t>
  </si>
  <si>
    <t>SIGNAL_CODE</t>
  </si>
  <si>
    <t>STATUS</t>
  </si>
  <si>
    <t>datetime2(7)</t>
  </si>
  <si>
    <t>SUB_ASSY_DATE</t>
  </si>
  <si>
    <t>UP_SKIP_DATE</t>
  </si>
  <si>
    <t>UP_RECOAT_DATE</t>
  </si>
  <si>
    <t>UP_PUNCH_DATE</t>
  </si>
  <si>
    <t>TO_UP_DATE</t>
  </si>
  <si>
    <t>SUB_ASSY_PUNCH_DATE</t>
  </si>
  <si>
    <t>SUB_ASSY_SKIP_DATE</t>
  </si>
  <si>
    <t>SUB_ASSY_RECOAT_DATE</t>
  </si>
  <si>
    <t>UP_SIGNAL_DATE</t>
  </si>
  <si>
    <t>SUB_ASSY_SIGNAL_DATE</t>
  </si>
  <si>
    <t>Painting Bumper Progress</t>
  </si>
  <si>
    <t>Painting.Bumper</t>
  </si>
  <si>
    <t>PtsBmpProgress</t>
  </si>
  <si>
    <t>Progress</t>
  </si>
  <si>
    <t>UP_DATE</t>
  </si>
  <si>
    <t>IS_BUMPER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</si>
</sst>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9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8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sz val="11"/>
      <color theme="5"/>
      <name val="Calibri"/>
      <family val="2"/>
      <scheme val="minor"/>
    </font>
    <font>
      <b/>
      <sz val="12"/>
      <color rgb="FFFF0000"/>
      <name val="Calibri"/>
      <family val="2"/>
      <scheme val="minor"/>
    </font>
    <font>
      <b/>
      <sz val="12"/>
      <color theme="1"/>
      <name val="Lucida Console"/>
      <family val="3"/>
    </font>
    <font>
      <sz val="12"/>
      <color theme="1"/>
      <name val="Lucida Console"/>
      <family val="3"/>
    </font>
    <font>
      <sz val="12"/>
      <color rgb="FFFF0000"/>
      <name val="Calibri"/>
      <family val="2"/>
      <scheme val="minor"/>
    </font>
    <font>
      <b/>
      <sz val="16"/>
      <color theme="5" tint="-0.249977111117893"/>
      <name val="Calibri"/>
      <family val="2"/>
      <scheme val="minor"/>
    </font>
    <font>
      <b/>
      <sz val="14"/>
      <color theme="5" tint="-0.249977111117893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9"/>
      <color rgb="FF000000"/>
      <name val="Tahoma"/>
      <family val="2"/>
    </font>
    <font>
      <sz val="9"/>
      <color rgb="FF000000"/>
      <name val="Tahoma"/>
      <family val="2"/>
    </font>
  </fonts>
  <fills count="14">
    <fill>
      <patternFill patternType="none"/>
    </fill>
    <fill>
      <patternFill patternType="gray125"/>
    </fill>
    <fill>
      <patternFill patternType="solid">
        <fgColor theme="9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8" tint="0.59999389629810485"/>
        <bgColor indexed="64"/>
      </patternFill>
    </fill>
  </fills>
  <borders count="5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74">
    <xf numFmtId="0" fontId="0" fillId="0" borderId="0" xfId="0"/>
    <xf numFmtId="0" fontId="2" fillId="0" borderId="0" xfId="0" applyFont="1"/>
    <xf numFmtId="0" fontId="1" fillId="2" borderId="0" xfId="0" applyFont="1" applyFill="1"/>
    <xf numFmtId="0" fontId="1" fillId="2" borderId="0" xfId="0" applyFont="1" applyFill="1" applyAlignment="1">
      <alignment wrapText="1"/>
    </xf>
    <xf numFmtId="0" fontId="0" fillId="3" borderId="0" xfId="0" applyFill="1" applyAlignment="1">
      <alignment wrapText="1"/>
    </xf>
    <xf numFmtId="0" fontId="0" fillId="3" borderId="0" xfId="0" applyFill="1"/>
    <xf numFmtId="0" fontId="0" fillId="0" borderId="0" xfId="0" applyFill="1"/>
    <xf numFmtId="0" fontId="0" fillId="5" borderId="0" xfId="0" applyFill="1"/>
    <xf numFmtId="0" fontId="0" fillId="4" borderId="0" xfId="0" applyFill="1"/>
    <xf numFmtId="0" fontId="0" fillId="4" borderId="0" xfId="0" applyFill="1" applyAlignment="1">
      <alignment wrapText="1"/>
    </xf>
    <xf numFmtId="0" fontId="0" fillId="7" borderId="0" xfId="0" applyFill="1" applyAlignment="1">
      <alignment wrapText="1"/>
    </xf>
    <xf numFmtId="0" fontId="0" fillId="7" borderId="0" xfId="0" applyFill="1"/>
    <xf numFmtId="0" fontId="3" fillId="4" borderId="0" xfId="0" applyFont="1" applyFill="1"/>
    <xf numFmtId="0" fontId="0" fillId="4" borderId="0" xfId="0" applyFill="1" applyAlignment="1">
      <alignment horizontal="center"/>
    </xf>
    <xf numFmtId="0" fontId="2" fillId="7" borderId="0" xfId="0" applyFont="1" applyFill="1"/>
    <xf numFmtId="0" fontId="6" fillId="0" borderId="0" xfId="0" applyFont="1"/>
    <xf numFmtId="0" fontId="0" fillId="0" borderId="0" xfId="0" applyAlignment="1">
      <alignment vertical="center"/>
    </xf>
    <xf numFmtId="0" fontId="0" fillId="0" borderId="0" xfId="0" applyFont="1"/>
    <xf numFmtId="0" fontId="0" fillId="0" borderId="0" xfId="0" quotePrefix="1"/>
    <xf numFmtId="0" fontId="7" fillId="0" borderId="0" xfId="0" applyFont="1"/>
    <xf numFmtId="0" fontId="8" fillId="2" borderId="0" xfId="0" applyFont="1" applyFill="1"/>
    <xf numFmtId="0" fontId="9" fillId="9" borderId="0" xfId="0" applyFont="1" applyFill="1"/>
    <xf numFmtId="0" fontId="11" fillId="0" borderId="0" xfId="0" applyFont="1"/>
    <xf numFmtId="0" fontId="11" fillId="10" borderId="0" xfId="0" applyFont="1" applyFill="1"/>
    <xf numFmtId="0" fontId="0" fillId="11" borderId="0" xfId="0" applyFill="1"/>
    <xf numFmtId="0" fontId="10" fillId="11" borderId="0" xfId="0" quotePrefix="1" applyFont="1" applyFill="1"/>
    <xf numFmtId="0" fontId="11" fillId="11" borderId="0" xfId="0" applyFont="1" applyFill="1"/>
    <xf numFmtId="0" fontId="12" fillId="0" borderId="0" xfId="0" applyFont="1"/>
    <xf numFmtId="0" fontId="0" fillId="0" borderId="0" xfId="0" applyAlignment="1">
      <alignment wrapText="1"/>
    </xf>
    <xf numFmtId="0" fontId="0" fillId="0" borderId="0" xfId="0" applyBorder="1" applyAlignment="1">
      <alignment vertical="center"/>
    </xf>
    <xf numFmtId="0" fontId="0" fillId="8" borderId="2" xfId="0" applyFill="1" applyBorder="1" applyAlignment="1">
      <alignment wrapText="1"/>
    </xf>
    <xf numFmtId="0" fontId="0" fillId="0" borderId="3" xfId="0" applyBorder="1"/>
    <xf numFmtId="0" fontId="0" fillId="7" borderId="0" xfId="0" applyFill="1" applyAlignment="1">
      <alignment horizontal="center" wrapText="1"/>
    </xf>
    <xf numFmtId="0" fontId="0" fillId="6" borderId="0" xfId="0" applyFill="1" applyAlignment="1">
      <alignment wrapText="1"/>
    </xf>
    <xf numFmtId="0" fontId="3" fillId="6" borderId="0" xfId="0" applyFont="1" applyFill="1" applyAlignment="1">
      <alignment wrapText="1"/>
    </xf>
    <xf numFmtId="0" fontId="3" fillId="4" borderId="0" xfId="0" applyFont="1" applyFill="1" applyAlignment="1">
      <alignment horizontal="center" wrapText="1"/>
    </xf>
    <xf numFmtId="0" fontId="0" fillId="6" borderId="0" xfId="0" applyFill="1" applyAlignment="1">
      <alignment horizontal="center" wrapText="1"/>
    </xf>
    <xf numFmtId="0" fontId="0" fillId="0" borderId="3" xfId="0" applyBorder="1" applyAlignment="1">
      <alignment horizontal="left" vertical="top"/>
    </xf>
    <xf numFmtId="0" fontId="0" fillId="0" borderId="3" xfId="0" applyBorder="1" applyAlignment="1">
      <alignment vertical="top" wrapText="1"/>
    </xf>
    <xf numFmtId="0" fontId="0" fillId="12" borderId="3" xfId="0" applyFill="1" applyBorder="1" applyAlignment="1">
      <alignment horizontal="center"/>
    </xf>
    <xf numFmtId="0" fontId="0" fillId="12" borderId="3" xfId="0" applyFill="1" applyBorder="1" applyAlignment="1">
      <alignment horizontal="center" vertical="center"/>
    </xf>
    <xf numFmtId="0" fontId="0" fillId="12" borderId="3" xfId="0" applyFill="1" applyBorder="1"/>
    <xf numFmtId="0" fontId="0" fillId="3" borderId="3" xfId="0" applyFill="1" applyBorder="1" applyAlignment="1">
      <alignment horizontal="left" vertical="top" wrapText="1"/>
    </xf>
    <xf numFmtId="0" fontId="0" fillId="3" borderId="3" xfId="0" applyFill="1" applyBorder="1" applyAlignment="1">
      <alignment horizontal="left" vertical="top"/>
    </xf>
    <xf numFmtId="0" fontId="0" fillId="3" borderId="3" xfId="0" applyFill="1" applyBorder="1"/>
    <xf numFmtId="0" fontId="0" fillId="11" borderId="3" xfId="0" applyFill="1" applyBorder="1" applyAlignment="1">
      <alignment vertical="top" wrapText="1"/>
    </xf>
    <xf numFmtId="0" fontId="0" fillId="11" borderId="3" xfId="0" applyFill="1" applyBorder="1" applyAlignment="1">
      <alignment horizontal="left" vertical="top" wrapText="1"/>
    </xf>
    <xf numFmtId="0" fontId="0" fillId="11" borderId="3" xfId="0" applyFill="1" applyBorder="1" applyAlignment="1">
      <alignment wrapText="1"/>
    </xf>
    <xf numFmtId="0" fontId="0" fillId="10" borderId="3" xfId="0" applyFill="1" applyBorder="1" applyAlignment="1">
      <alignment vertical="top" wrapText="1"/>
    </xf>
    <xf numFmtId="0" fontId="0" fillId="10" borderId="3" xfId="0" applyFill="1" applyBorder="1" applyAlignment="1"/>
    <xf numFmtId="0" fontId="0" fillId="10" borderId="3" xfId="0" applyFill="1" applyBorder="1" applyAlignment="1">
      <alignment wrapText="1"/>
    </xf>
    <xf numFmtId="0" fontId="0" fillId="10" borderId="1" xfId="0" applyFill="1" applyBorder="1" applyAlignment="1"/>
    <xf numFmtId="0" fontId="2" fillId="13" borderId="0" xfId="0" applyFont="1" applyFill="1" applyAlignment="1">
      <alignment vertical="center"/>
    </xf>
    <xf numFmtId="0" fontId="0" fillId="11" borderId="3" xfId="0" applyFill="1" applyBorder="1"/>
    <xf numFmtId="0" fontId="0" fillId="11" borderId="3" xfId="0" applyFill="1" applyBorder="1" applyAlignment="1">
      <alignment horizontal="left" vertical="top"/>
    </xf>
    <xf numFmtId="0" fontId="0" fillId="10" borderId="3" xfId="0" applyFont="1" applyFill="1" applyBorder="1" applyAlignment="1">
      <alignment horizontal="left" vertical="center"/>
    </xf>
    <xf numFmtId="0" fontId="0" fillId="10" borderId="3" xfId="0" applyFill="1" applyBorder="1" applyAlignment="1">
      <alignment horizontal="left" vertical="top"/>
    </xf>
    <xf numFmtId="0" fontId="0" fillId="10" borderId="3" xfId="0" applyFill="1" applyBorder="1"/>
    <xf numFmtId="0" fontId="0" fillId="9" borderId="3" xfId="0" applyFill="1" applyBorder="1"/>
    <xf numFmtId="0" fontId="0" fillId="10" borderId="4" xfId="0" applyFill="1" applyBorder="1" applyAlignment="1">
      <alignment wrapText="1"/>
    </xf>
    <xf numFmtId="0" fontId="0" fillId="0" borderId="3" xfId="0" applyBorder="1" applyAlignment="1">
      <alignment wrapText="1"/>
    </xf>
    <xf numFmtId="0" fontId="2" fillId="13" borderId="3" xfId="0" applyFont="1" applyFill="1" applyBorder="1" applyAlignment="1">
      <alignment vertical="center"/>
    </xf>
    <xf numFmtId="0" fontId="0" fillId="10" borderId="4" xfId="0" applyFill="1" applyBorder="1" applyAlignment="1">
      <alignment vertical="top" wrapText="1"/>
    </xf>
    <xf numFmtId="0" fontId="15" fillId="9" borderId="0" xfId="0" applyFont="1" applyFill="1"/>
    <xf numFmtId="0" fontId="0" fillId="8" borderId="0" xfId="0" applyFill="1" applyBorder="1" applyAlignment="1">
      <alignment wrapText="1"/>
    </xf>
    <xf numFmtId="0" fontId="16" fillId="3" borderId="0" xfId="0" applyFont="1" applyFill="1" applyBorder="1" applyAlignment="1">
      <alignment vertical="center"/>
    </xf>
    <xf numFmtId="0" fontId="0" fillId="3" borderId="0" xfId="0" applyFill="1" applyBorder="1" applyAlignment="1">
      <alignment vertical="center"/>
    </xf>
    <xf numFmtId="0" fontId="0" fillId="3" borderId="0" xfId="0" applyFill="1" applyAlignment="1">
      <alignment vertical="center"/>
    </xf>
    <xf numFmtId="0" fontId="0" fillId="0" borderId="3" xfId="0" applyBorder="1" applyAlignment="1">
      <alignment horizontal="left" vertical="top" wrapText="1"/>
    </xf>
    <xf numFmtId="0" fontId="0" fillId="0" borderId="0" xfId="0" applyAlignment="1">
      <alignment horizontal="left" vertical="top" wrapText="1"/>
    </xf>
    <xf numFmtId="0" fontId="0" fillId="0" borderId="0" xfId="0" applyAlignment="1">
      <alignment horizontal="left" vertical="top"/>
    </xf>
    <xf numFmtId="0" fontId="0" fillId="0" borderId="3" xfId="0" applyFill="1" applyBorder="1"/>
    <xf numFmtId="0" fontId="13" fillId="0" borderId="3" xfId="0" applyFont="1" applyBorder="1" applyAlignment="1">
      <alignment horizontal="center"/>
    </xf>
    <xf numFmtId="0" fontId="14" fillId="0" borderId="3" xfId="0" applyFont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N68"/>
  <sheetViews>
    <sheetView workbookViewId="0">
      <selection activeCell="D27" sqref="D27"/>
    </sheetView>
  </sheetViews>
  <sheetFormatPr defaultColWidth="8.85546875" defaultRowHeight="15" x14ac:dyDescent="0.25"/>
  <cols>
    <col min="1" max="1" width="3.42578125" customWidth="1"/>
    <col min="2" max="2" width="18.42578125" customWidth="1"/>
    <col min="3" max="5" width="26.140625" customWidth="1"/>
    <col min="6" max="6" width="29.42578125" customWidth="1"/>
    <col min="7" max="10" width="26.140625" customWidth="1"/>
    <col min="11" max="11" width="26.42578125" customWidth="1"/>
    <col min="12" max="12" width="27.7109375" customWidth="1"/>
    <col min="13" max="13" width="25.42578125" customWidth="1"/>
    <col min="14" max="18" width="18.42578125" customWidth="1"/>
  </cols>
  <sheetData>
    <row r="1" spans="1:7" ht="23.25" x14ac:dyDescent="0.35">
      <c r="A1" s="15" t="s">
        <v>74</v>
      </c>
    </row>
    <row r="2" spans="1:7" ht="15.75" x14ac:dyDescent="0.25">
      <c r="A2" s="1"/>
      <c r="B2" s="27" t="s">
        <v>196</v>
      </c>
    </row>
    <row r="3" spans="1:7" x14ac:dyDescent="0.25">
      <c r="A3" s="1"/>
      <c r="B3" s="1" t="s">
        <v>77</v>
      </c>
    </row>
    <row r="4" spans="1:7" x14ac:dyDescent="0.25">
      <c r="A4" s="1"/>
      <c r="B4" s="17" t="s">
        <v>76</v>
      </c>
    </row>
    <row r="5" spans="1:7" x14ac:dyDescent="0.25">
      <c r="A5" s="1"/>
      <c r="B5" s="17" t="s">
        <v>79</v>
      </c>
    </row>
    <row r="6" spans="1:7" x14ac:dyDescent="0.25">
      <c r="A6" s="1"/>
      <c r="B6" s="17" t="s">
        <v>87</v>
      </c>
    </row>
    <row r="7" spans="1:7" x14ac:dyDescent="0.25">
      <c r="A7" s="1"/>
      <c r="B7" s="17"/>
      <c r="C7" s="2" t="s">
        <v>97</v>
      </c>
      <c r="D7" s="2"/>
      <c r="E7" s="2"/>
      <c r="F7" s="2" t="s">
        <v>105</v>
      </c>
      <c r="G7" s="2" t="s">
        <v>285</v>
      </c>
    </row>
    <row r="8" spans="1:7" x14ac:dyDescent="0.25">
      <c r="A8" s="1"/>
      <c r="B8" s="17"/>
      <c r="C8" t="s">
        <v>89</v>
      </c>
      <c r="F8" s="1" t="s">
        <v>234</v>
      </c>
      <c r="G8" s="17" t="s">
        <v>234</v>
      </c>
    </row>
    <row r="9" spans="1:7" x14ac:dyDescent="0.25">
      <c r="A9" s="1"/>
      <c r="B9" s="17"/>
      <c r="C9" t="s">
        <v>88</v>
      </c>
      <c r="F9" s="1" t="s">
        <v>98</v>
      </c>
      <c r="G9" s="17" t="s">
        <v>98</v>
      </c>
    </row>
    <row r="10" spans="1:7" x14ac:dyDescent="0.25">
      <c r="A10" s="1"/>
      <c r="B10" s="17"/>
      <c r="D10" t="s">
        <v>89</v>
      </c>
      <c r="F10" s="1" t="s">
        <v>234</v>
      </c>
      <c r="G10" s="17" t="s">
        <v>286</v>
      </c>
    </row>
    <row r="11" spans="1:7" x14ac:dyDescent="0.25">
      <c r="A11" s="1"/>
      <c r="B11" s="17"/>
      <c r="D11" t="s">
        <v>90</v>
      </c>
      <c r="F11" s="1" t="s">
        <v>99</v>
      </c>
      <c r="G11" s="17" t="s">
        <v>287</v>
      </c>
    </row>
    <row r="12" spans="1:7" x14ac:dyDescent="0.25">
      <c r="A12" s="1"/>
      <c r="B12" s="17"/>
      <c r="D12" t="s">
        <v>91</v>
      </c>
      <c r="F12" s="1" t="s">
        <v>100</v>
      </c>
      <c r="G12" s="17" t="s">
        <v>288</v>
      </c>
    </row>
    <row r="13" spans="1:7" x14ac:dyDescent="0.25">
      <c r="A13" s="1"/>
      <c r="B13" s="17"/>
      <c r="D13" t="s">
        <v>92</v>
      </c>
      <c r="F13" s="1" t="s">
        <v>101</v>
      </c>
      <c r="G13" s="17" t="s">
        <v>289</v>
      </c>
    </row>
    <row r="14" spans="1:7" x14ac:dyDescent="0.25">
      <c r="A14" s="1"/>
      <c r="B14" s="17"/>
      <c r="D14" t="s">
        <v>325</v>
      </c>
      <c r="F14" s="1" t="s">
        <v>326</v>
      </c>
      <c r="G14" s="17" t="s">
        <v>327</v>
      </c>
    </row>
    <row r="15" spans="1:7" x14ac:dyDescent="0.25">
      <c r="A15" s="1"/>
      <c r="B15" s="17"/>
      <c r="D15" t="s">
        <v>93</v>
      </c>
      <c r="F15" s="1" t="s">
        <v>102</v>
      </c>
      <c r="G15" s="17" t="s">
        <v>290</v>
      </c>
    </row>
    <row r="16" spans="1:7" x14ac:dyDescent="0.25">
      <c r="A16" s="1"/>
      <c r="B16" s="17"/>
      <c r="D16" t="s">
        <v>94</v>
      </c>
      <c r="F16" s="1" t="s">
        <v>103</v>
      </c>
      <c r="G16" s="17" t="s">
        <v>291</v>
      </c>
    </row>
    <row r="17" spans="1:7" ht="12" customHeight="1" x14ac:dyDescent="0.25">
      <c r="A17" s="1"/>
      <c r="B17" s="17"/>
      <c r="D17" t="s">
        <v>271</v>
      </c>
      <c r="F17" s="1" t="s">
        <v>272</v>
      </c>
      <c r="G17" s="17" t="s">
        <v>292</v>
      </c>
    </row>
    <row r="18" spans="1:7" ht="12" customHeight="1" x14ac:dyDescent="0.25">
      <c r="A18" s="1"/>
      <c r="B18" s="17"/>
      <c r="D18" t="s">
        <v>307</v>
      </c>
      <c r="F18" s="1" t="s">
        <v>308</v>
      </c>
      <c r="G18" s="17" t="s">
        <v>309</v>
      </c>
    </row>
    <row r="19" spans="1:7" x14ac:dyDescent="0.25">
      <c r="A19" s="1"/>
      <c r="B19" s="17"/>
      <c r="C19" t="s">
        <v>91</v>
      </c>
      <c r="F19" s="1" t="s">
        <v>100</v>
      </c>
      <c r="G19" s="17" t="s">
        <v>100</v>
      </c>
    </row>
    <row r="20" spans="1:7" x14ac:dyDescent="0.25">
      <c r="A20" s="1"/>
      <c r="B20" s="17"/>
      <c r="D20" t="s">
        <v>95</v>
      </c>
      <c r="F20" s="1" t="s">
        <v>114</v>
      </c>
      <c r="G20" s="17" t="s">
        <v>293</v>
      </c>
    </row>
    <row r="21" spans="1:7" x14ac:dyDescent="0.25">
      <c r="A21" s="1"/>
      <c r="B21" s="17"/>
      <c r="D21" t="s">
        <v>96</v>
      </c>
      <c r="F21" s="1" t="s">
        <v>104</v>
      </c>
      <c r="G21" s="17" t="s">
        <v>294</v>
      </c>
    </row>
    <row r="22" spans="1:7" x14ac:dyDescent="0.25">
      <c r="A22" s="1"/>
      <c r="B22" s="17"/>
      <c r="C22" t="s">
        <v>92</v>
      </c>
      <c r="F22" s="1" t="s">
        <v>101</v>
      </c>
      <c r="G22" s="17" t="s">
        <v>101</v>
      </c>
    </row>
    <row r="23" spans="1:7" x14ac:dyDescent="0.25">
      <c r="A23" s="1"/>
      <c r="B23" s="17"/>
      <c r="D23" t="s">
        <v>95</v>
      </c>
      <c r="F23" s="1" t="s">
        <v>114</v>
      </c>
      <c r="G23" s="17" t="s">
        <v>303</v>
      </c>
    </row>
    <row r="24" spans="1:7" x14ac:dyDescent="0.25">
      <c r="A24" s="1"/>
      <c r="B24" s="17"/>
      <c r="C24" t="s">
        <v>90</v>
      </c>
      <c r="F24" s="1" t="s">
        <v>99</v>
      </c>
      <c r="G24" s="17" t="s">
        <v>99</v>
      </c>
    </row>
    <row r="25" spans="1:7" x14ac:dyDescent="0.25">
      <c r="A25" s="1"/>
      <c r="B25" s="17"/>
      <c r="D25" t="s">
        <v>95</v>
      </c>
      <c r="F25" s="1" t="s">
        <v>114</v>
      </c>
      <c r="G25" s="17" t="s">
        <v>302</v>
      </c>
    </row>
    <row r="26" spans="1:7" x14ac:dyDescent="0.25">
      <c r="A26" s="1"/>
      <c r="B26" s="17"/>
      <c r="C26" t="s">
        <v>93</v>
      </c>
      <c r="F26" s="1" t="s">
        <v>102</v>
      </c>
      <c r="G26" s="17" t="s">
        <v>102</v>
      </c>
    </row>
    <row r="27" spans="1:7" x14ac:dyDescent="0.25">
      <c r="A27" s="1"/>
      <c r="B27" s="17"/>
      <c r="C27" t="s">
        <v>271</v>
      </c>
      <c r="F27" s="1" t="s">
        <v>272</v>
      </c>
      <c r="G27" s="17" t="s">
        <v>272</v>
      </c>
    </row>
    <row r="28" spans="1:7" x14ac:dyDescent="0.25">
      <c r="A28" s="1"/>
      <c r="B28" s="17"/>
      <c r="D28" t="s">
        <v>273</v>
      </c>
      <c r="F28" s="1" t="s">
        <v>275</v>
      </c>
      <c r="G28" s="17" t="s">
        <v>295</v>
      </c>
    </row>
    <row r="29" spans="1:7" x14ac:dyDescent="0.25">
      <c r="A29" s="1"/>
      <c r="B29" s="17"/>
      <c r="D29" t="s">
        <v>276</v>
      </c>
      <c r="F29" s="1" t="s">
        <v>274</v>
      </c>
      <c r="G29" s="17" t="s">
        <v>296</v>
      </c>
    </row>
    <row r="30" spans="1:7" x14ac:dyDescent="0.25">
      <c r="A30" s="1"/>
      <c r="B30" s="17"/>
      <c r="D30" t="s">
        <v>277</v>
      </c>
      <c r="F30" s="1" t="s">
        <v>280</v>
      </c>
      <c r="G30" s="17" t="s">
        <v>297</v>
      </c>
    </row>
    <row r="31" spans="1:7" x14ac:dyDescent="0.25">
      <c r="A31" s="1"/>
      <c r="B31" s="17"/>
      <c r="D31" t="s">
        <v>278</v>
      </c>
      <c r="F31" s="1" t="s">
        <v>281</v>
      </c>
      <c r="G31" s="17" t="s">
        <v>298</v>
      </c>
    </row>
    <row r="32" spans="1:7" x14ac:dyDescent="0.25">
      <c r="A32" s="1"/>
      <c r="B32" s="17"/>
      <c r="D32" t="s">
        <v>279</v>
      </c>
      <c r="F32" s="1" t="s">
        <v>282</v>
      </c>
      <c r="G32" s="17" t="s">
        <v>299</v>
      </c>
    </row>
    <row r="33" spans="1:8" x14ac:dyDescent="0.25">
      <c r="A33" s="1"/>
      <c r="B33" s="17"/>
      <c r="D33" t="s">
        <v>284</v>
      </c>
      <c r="F33" s="1" t="s">
        <v>283</v>
      </c>
      <c r="G33" s="17" t="s">
        <v>300</v>
      </c>
    </row>
    <row r="34" spans="1:8" x14ac:dyDescent="0.25">
      <c r="A34" s="1"/>
      <c r="B34" s="17"/>
      <c r="C34" t="s">
        <v>307</v>
      </c>
      <c r="F34" s="1" t="s">
        <v>308</v>
      </c>
      <c r="G34" s="17" t="s">
        <v>308</v>
      </c>
    </row>
    <row r="35" spans="1:8" x14ac:dyDescent="0.25">
      <c r="A35" s="1"/>
      <c r="B35" s="17"/>
      <c r="D35" t="s">
        <v>310</v>
      </c>
      <c r="F35" s="1" t="s">
        <v>311</v>
      </c>
      <c r="G35" s="17" t="s">
        <v>312</v>
      </c>
    </row>
    <row r="36" spans="1:8" x14ac:dyDescent="0.25">
      <c r="A36" s="1"/>
      <c r="B36" s="17"/>
      <c r="D36" t="s">
        <v>96</v>
      </c>
      <c r="F36" s="1" t="s">
        <v>104</v>
      </c>
      <c r="G36" s="17" t="s">
        <v>313</v>
      </c>
    </row>
    <row r="37" spans="1:8" x14ac:dyDescent="0.25">
      <c r="A37" s="1"/>
      <c r="B37" s="17"/>
      <c r="D37" t="s">
        <v>314</v>
      </c>
      <c r="F37" s="1" t="s">
        <v>315</v>
      </c>
      <c r="G37" s="17" t="s">
        <v>316</v>
      </c>
    </row>
    <row r="38" spans="1:8" x14ac:dyDescent="0.25">
      <c r="A38" s="1"/>
      <c r="B38" s="17"/>
      <c r="D38" t="s">
        <v>317</v>
      </c>
      <c r="F38" s="1" t="s">
        <v>318</v>
      </c>
      <c r="G38" s="17" t="s">
        <v>319</v>
      </c>
    </row>
    <row r="39" spans="1:8" x14ac:dyDescent="0.25">
      <c r="A39" s="1"/>
      <c r="B39" s="17"/>
      <c r="C39" t="s">
        <v>320</v>
      </c>
      <c r="F39" s="1" t="s">
        <v>301</v>
      </c>
      <c r="G39" s="17" t="s">
        <v>301</v>
      </c>
    </row>
    <row r="40" spans="1:8" x14ac:dyDescent="0.25">
      <c r="A40" s="1"/>
      <c r="B40" s="17"/>
      <c r="D40" t="s">
        <v>304</v>
      </c>
      <c r="F40" s="1" t="s">
        <v>304</v>
      </c>
      <c r="G40" s="17" t="s">
        <v>305</v>
      </c>
      <c r="H40" s="17" t="s">
        <v>306</v>
      </c>
    </row>
    <row r="41" spans="1:8" x14ac:dyDescent="0.25">
      <c r="A41" s="1"/>
      <c r="B41" s="17"/>
      <c r="F41" s="1"/>
    </row>
    <row r="42" spans="1:8" x14ac:dyDescent="0.25">
      <c r="A42" s="1"/>
      <c r="B42" s="17"/>
    </row>
    <row r="43" spans="1:8" x14ac:dyDescent="0.25">
      <c r="A43" s="1"/>
      <c r="B43" s="17" t="s">
        <v>86</v>
      </c>
    </row>
    <row r="44" spans="1:8" x14ac:dyDescent="0.25">
      <c r="A44" s="1"/>
      <c r="B44" s="17" t="s">
        <v>83</v>
      </c>
    </row>
    <row r="45" spans="1:8" x14ac:dyDescent="0.25">
      <c r="A45" s="1"/>
      <c r="B45" s="17"/>
      <c r="C45" s="19" t="s">
        <v>80</v>
      </c>
    </row>
    <row r="46" spans="1:8" x14ac:dyDescent="0.25">
      <c r="A46" s="1"/>
      <c r="B46" s="17"/>
      <c r="C46" s="18" t="s">
        <v>81</v>
      </c>
    </row>
    <row r="47" spans="1:8" x14ac:dyDescent="0.25">
      <c r="A47" s="1"/>
      <c r="B47" s="17"/>
      <c r="C47" s="18" t="s">
        <v>82</v>
      </c>
    </row>
    <row r="48" spans="1:8" x14ac:dyDescent="0.25">
      <c r="A48" s="1"/>
      <c r="B48" s="17" t="s">
        <v>106</v>
      </c>
      <c r="C48" s="18"/>
    </row>
    <row r="49" spans="1:14" x14ac:dyDescent="0.25">
      <c r="A49" s="1"/>
      <c r="B49" s="17"/>
      <c r="C49" s="18" t="s">
        <v>107</v>
      </c>
    </row>
    <row r="50" spans="1:14" x14ac:dyDescent="0.25">
      <c r="A50" s="1"/>
      <c r="B50" s="17"/>
      <c r="C50" s="18" t="s">
        <v>108</v>
      </c>
    </row>
    <row r="51" spans="1:14" x14ac:dyDescent="0.25">
      <c r="A51" s="1"/>
      <c r="B51" s="17"/>
      <c r="C51" s="18" t="s">
        <v>109</v>
      </c>
    </row>
    <row r="52" spans="1:14" x14ac:dyDescent="0.25">
      <c r="A52" s="1"/>
      <c r="B52" s="17"/>
      <c r="C52" s="18" t="s">
        <v>111</v>
      </c>
    </row>
    <row r="53" spans="1:14" x14ac:dyDescent="0.25">
      <c r="A53" s="1"/>
      <c r="B53" s="17"/>
      <c r="C53" s="18" t="s">
        <v>113</v>
      </c>
    </row>
    <row r="54" spans="1:14" x14ac:dyDescent="0.25">
      <c r="A54" s="1"/>
      <c r="B54" s="17"/>
      <c r="C54" s="18" t="s">
        <v>112</v>
      </c>
    </row>
    <row r="55" spans="1:14" x14ac:dyDescent="0.25">
      <c r="A55" s="1"/>
      <c r="B55" s="17"/>
      <c r="C55" s="18" t="s">
        <v>110</v>
      </c>
    </row>
    <row r="56" spans="1:14" ht="21" customHeight="1" x14ac:dyDescent="0.25">
      <c r="B56" s="21" t="s">
        <v>78</v>
      </c>
    </row>
    <row r="57" spans="1:14" ht="21" customHeight="1" x14ac:dyDescent="0.25">
      <c r="B57" s="63" t="s">
        <v>231</v>
      </c>
    </row>
    <row r="58" spans="1:14" ht="15.75" thickBot="1" x14ac:dyDescent="0.3">
      <c r="C58" s="1" t="s">
        <v>72</v>
      </c>
      <c r="D58" s="1" t="s">
        <v>207</v>
      </c>
      <c r="E58" s="1" t="s">
        <v>208</v>
      </c>
      <c r="F58" s="1" t="s">
        <v>198</v>
      </c>
      <c r="G58" s="1" t="s">
        <v>199</v>
      </c>
      <c r="H58" s="1" t="s">
        <v>200</v>
      </c>
      <c r="I58" s="1" t="s">
        <v>201</v>
      </c>
      <c r="J58" s="1" t="s">
        <v>205</v>
      </c>
      <c r="K58" s="1" t="s">
        <v>209</v>
      </c>
      <c r="L58" s="1" t="s">
        <v>210</v>
      </c>
      <c r="M58" s="1" t="s">
        <v>211</v>
      </c>
      <c r="N58" s="1" t="s">
        <v>227</v>
      </c>
    </row>
    <row r="59" spans="1:14" s="16" customFormat="1" ht="21.75" customHeight="1" thickBot="1" x14ac:dyDescent="0.3">
      <c r="B59" s="52" t="s">
        <v>226</v>
      </c>
      <c r="C59" s="51" t="str">
        <f ca="1">A.Backend!J7</f>
        <v xml:space="preserve">using Abp.Domain.Entities;
using Abp.Domain.Entities.Auditing;
using Microsoft.EntityFrameworkCore;
using System;
using System.ComponentModel.DataAnnotations;
using System.ComponentModel.DataAnnotations.Schema;
namespace vovina.Painting.Bumper
{
	[Table("PtsBmpProgress")]
	[Index(nameof(PartId), Name="IX_PtsBmpProgress_PartId")]
	[Index(nameof(BackNo), Name="IX_PtsBmpProgress_BackNo")]
	[Index(nameof(PartTypeCode), Name="IX_PtsBmpProgress_PartTypeCode")]
	[Index(nameof(SequenceNo), Name="IX_PtsBmpProgress_SequenceNo")]
	[Index(nameof(ProdLine), Name="IX_PtsBmpProgress_ProdLine")]
	[Index(nameof(WorkingDate), Name="IX_PtsBmpProgress_WorkingDate")]
	[Index(nameof(Shift), Name="IX_PtsBmpProgress_Shift")]
	[Index(nameof(SignalId), Name="IX_PtsBmpProgress_SignalId")]
	[Index(nameof(Status), Name="IX_PtsBmpProgress_Status")]
	[Index(nameof(IsActive), Name="IX_PtsBmpProgress_IsActive")]	public class PtsBmpProgress: FullAuditedEntity&lt;long&gt;, IEntity&lt;long&gt;	
	{
		public const int MaxBackNoLength = 50;
		public const int MaxModelLength = 50;
		public const int MaxCfcLength = 50;
		public const int MaxGradeLength = 50;
		public const int MaxPartTypeCodeLength = 50;
		public const int MaxIsPunchLength = 1;
		public const int MaxIsBumperLength = 1;
		public const int MaxLotNoLength = 50;
		public const int MaxSequenceNoLength = 50;
		public const int MaxBodyNoLength = 50;
		public const int MaxColorLength = 50;
		public const int MaxSpecialColorLength = 50;
		public const int MaxProcessLength = 50;
		public const int MaxPkProcessLength = 50;
		public const int MaxProdLineLength = 50;
		public const int MaxShiftLength = 50;
		public const int MaxSignalCodeLength = 50;
		public const int MaxStatusLength = 50;
		public const int MaxIsActiveLength = 1;
		public virtual long PartId { get; set; }
		[StringLength(MaxBackNoLength)]
		public virtual string BackNo { get; set; }
		[StringLength(MaxModelLength)]
		public virtual string Model { get; set; }
		[StringLength(MaxCfcLength)]
		public virtual string Cfc { get; set; }
		[StringLength(MaxGradeLength)]
		public virtual string Grade { get; set; }
		[StringLength(MaxPartTypeCodeLength)]
		public virtual string PartTypeCode { get; set; }
		[StringLength(MaxIsPunchLength)]
		public virtual string IsPunch { get; set; }
		[StringLength(MaxIsBumperLength)]
		public virtual string IsBumper { get; set; }
		[StringLength(MaxLotNoLength)]
		public virtual string LotNo { get; set; }
		public virtual int NoInLot { get; set; }
		[StringLength(MaxSequenceNoLength)]
		public virtual string SequenceNo { get; set; }
		[StringLength(MaxBodyNoLength)]
		public virtual string BodyNo { get; set; }
		[StringLength(MaxColorLength)]
		public virtual string Color { get; set; }
		[StringLength(MaxSpecialColorLength)]
		public virtual string SpecialColor { get; set; }
		[StringLength(MaxProcessLength)]
		public virtual string Process { get; set; }
		[StringLength(MaxPkProcessLength)]
		public virtual string PkProcess { get; set; }
		[StringLength(MaxProdLineLength)]
		public virtual string ProdLine { get; set; }
		public virtual DateTime WorkingDate { get; set; }
		[StringLength(MaxShiftLength)]
		public virtual string Shift { get; set; }
		public virtual int NoInDate { get; set; }
		public virtual int NoInShift { get; set; }
		[Column(TypeName="datetime2(7)")]
		public virtual DateTime TaktTimeStart { get; set; }
		[Column(TypeName="datetime2(7)")]
		public virtual DateTime ToUpDate { get; set; }
		[Column(TypeName="datetime2(7)")]
		public virtual DateTime UpDate { get; set; }
		[Column(TypeName="datetime2(7)")]
		public virtual DateTime UpPunchDate { get; set; }
		[Column(TypeName="datetime2(7)")]
		public virtual DateTime UpSkipDate { get; set; }
		[Column(TypeName="datetime2(7)")]
		public virtual DateTime UpRecoatDate { get; set; }
		[Column(TypeName="datetime2(7)")]
		public virtual DateTime SubAssyDate { get; set; }
		[Column(TypeName="datetime2(7)")]
		public virtual DateTime SubAssyPunchDate { get; set; }
		[Column(TypeName="datetime2(7)")]
		public virtual DateTime SubAssySkipDate { get; set; }
		[Column(TypeName="datetime2(7)")]
		public virtual DateTime SubAssyRecoatDate { get; set; }
		public virtual long SignalId { get; set; }
		[StringLength(MaxSignalCodeLength)]
		public virtual string SignalCode { get; set; }
		[Column(TypeName="datetime2(7)")]
		public virtual DateTime UpSignalDate { get; set; }
		[Column(TypeName="datetime2(7)")]
		public virtual DateTime SubAssySignalDate { get; set; }
		[StringLength(MaxStatusLength)]
		public virtual string Status { get; set; }
		[StringLength(MaxIsActiveLength)]
		public virtual string IsActive { get; set; }
	}
}
</v>
      </c>
      <c r="D59" s="51" t="str">
        <f>A.Backend!O7</f>
        <v xml:space="preserve">		public const string Pages_Painting_Bumper_Progress = "Pages.Painting.Bumper.Progress";
		public const string Pages_Painting_Bumper_Progress_CreateEdit = "Pages.Painting.Bumper.Progress.CreateEdit";
		public const string Pages_Painting_Bumper_Progress_Delete = "Pages.Painting.Bumper.Progress.Delete";
</v>
      </c>
      <c r="E59" s="51" t="str">
        <f>A.Backend!N7</f>
        <v xml:space="preserve">		var perPtsBmpProgress = PARENTS.CreateChildPermission(AppPermissions.Pages_Painting_Bumper_Progress, L( "PaintingBumperProgress"), multiTenancySides: MultiTenancySides.Tenant);
		perPtsBmpProgress.CreateChildPermission(AppPermissions.Pages_Painting_Bumper_Progress_CreateEdit, L( "PaintingBumperProgressCreateEdit"), multiTenancySides: MultiTenancySides.Tenant);
		perPtsBmpProgress.CreateChildPermission(AppPermissions.Pages_Painting_Bumper_Progress_Delete, L( "PaintingBumperProgressDelete"), multiTenancySides: MultiTenancySides.Tenant);</v>
      </c>
      <c r="F59" s="51" t="str">
        <f>A.Backend!K7</f>
        <v>public virtual DbSet&lt;PtsBmpProgress&gt; PtsBmpProgresss { get; set; }</v>
      </c>
      <c r="G59" s="51" t="str">
        <f ca="1">A.Backend!L7</f>
        <v xml:space="preserve">namespace vovina.Painting.Bumper
{
	public class PtsBmpProgressConsts	
	{
		public const int MaxBackNoLength = 50;
		public const int MaxModelLength = 50;
		public const int MaxCfcLength = 50;
		public const int MaxGradeLength = 50;
		public const int MaxPartTypeCodeLength = 50;
		public const int MaxIsPunchLength = 1;
		public const int MaxIsBumperLength = 1;
		public const int MaxLotNoLength = 50;
		public const int MaxSequenceNoLength = 50;
		public const int MaxBodyNoLength = 50;
		public const int MaxColorLength = 50;
		public const int MaxSpecialColorLength = 50;
		public const int MaxProcessLength = 50;
		public const int MaxPkProcessLength = 50;
		public const int MaxProdLineLength = 50;
		public const int MaxShiftLength = 50;
		public const int MaxSignalCodeLength = 50;
		public const int MaxStatusLength = 50;
		public const int MaxIsActiveLength = 1;
		// Define Store Name: Format SP_ + &lt;Store Name&gt; = &lt;Store Name&gt;
	}
}
</v>
      </c>
      <c r="H59" s="51" t="str">
        <f ca="1">A.Backend!M7</f>
        <v xml:space="preserve">using Abp.Application.Services.Dto;
using System;
using System.ComponentModel.DataAnnotations;
namespace vovina.Painting.Bumper.Dto
{
	public class PtsBmpProgressDto : EntityDto&lt;long?&gt;	
	{
		public virtual long PartId { get; set; }
		public virtual string BackNo { get; set; }
		public virtual string Model { get; set; }
		public virtual string Cfc { get; set; }
		public virtual string Grade { get; set; }
		public virtual string PartTypeCode { get; set; }
		public virtual string IsPunch { get; set; }
		public virtual string IsBumper { get; set; }
		public virtual string LotNo { get; set; }
		public virtual int NoInLot { get; set; }
		public virtual string SequenceNo { get; set; }
		public virtual string BodyNo { get; set; }
		public virtual string Color { get; set; }
		public virtual string SpecialColor { get; set; }
		public virtual string Process { get; set; }
		public virtual string PkProcess { get; set; }
		public virtual string ProdLine { get; set; }
		public virtual DateTime? WorkingDate { get; set; }
		public virtual string Shift { get; set; }
		public virtual int NoInDate { get; set; }
		public virtual int NoInShift { get; set; }
		public virtual DateTime? TaktTimeStart { get; set; }
		public virtual DateTime? ToUpDate { get; set; }
		public virtual DateTime? UpDate { get; set; }
		public virtual DateTime? UpPunchDate { get; set; }
		public virtual DateTime? UpSkipDate { get; set; }
		public virtual DateTime? UpRecoatDate { get; set; }
		public virtual DateTime? SubAssyDate { get; set; }
		public virtual DateTime? SubAssyPunchDate { get; set; }
		public virtual DateTime? SubAssySkipDate { get; set; }
		public virtual DateTime? SubAssyRecoatDate { get; set; }
		public virtual long SignalId { get; set; }
		public virtual string SignalCode { get; set; }
		public virtual DateTime? UpSignalDate { get; set; }
		public virtual DateTime? SubAssySignalDate { get; set; }
		public virtual string Status { get; set; }
		public virtual string IsActive { get; set; }
	}
	public class CreateOrEditPtsBmpProgressDto : EntityDto&lt;long?&gt;	
	{
		public virtual long PartId { get; set; }
		[StringLength(PtsBmpProgressConsts.MaxBackNoLength)]
		public virtual string BackNo { get; set; }
		[StringLength(PtsBmpProgressConsts.MaxModelLength)]
		public virtual string Model { get; set; }
		[StringLength(PtsBmpProgressConsts.MaxCfcLength)]
		public virtual string Cfc { get; set; }
		[StringLength(PtsBmpProgressConsts.MaxGradeLength)]
		public virtual string Grade { get; set; }
		[StringLength(PtsBmpProgressConsts.MaxPartTypeCodeLength)]
		public virtual string PartTypeCode { get; set; }
		[StringLength(PtsBmpProgressConsts.MaxIsPunchLength)]
		public virtual string IsPunch { get; set; }
		[StringLength(PtsBmpProgressConsts.MaxIsBumperLength)]
		public virtual string IsBumper { get; set; }
		[StringLength(PtsBmpProgressConsts.MaxLotNoLength)]
		public virtual string LotNo { get; set; }
		public virtual int NoInLot { get; set; }
		[StringLength(PtsBmpProgressConsts.MaxSequenceNoLength)]
		public virtual string SequenceNo { get; set; }
		[StringLength(PtsBmpProgressConsts.MaxBodyNoLength)]
		public virtual string BodyNo { get; set; }
		[StringLength(PtsBmpProgressConsts.MaxColorLength)]
		public virtual string Color { get; set; }
		[StringLength(PtsBmpProgressConsts.MaxSpecialColorLength)]
		public virtual string SpecialColor { get; set; }
		[StringLength(PtsBmpProgressConsts.MaxProcessLength)]
		public virtual string Process { get; set; }
		[StringLength(PtsBmpProgressConsts.MaxPkProcessLength)]
		public virtual string PkProcess { get; set; }
		[StringLength(PtsBmpProgressConsts.MaxProdLineLength)]
		public virtual string ProdLine { get; set; }
		public virtual DateTime? WorkingDate { get; set; }
		[StringLength(PtsBmpProgressConsts.MaxShiftLength)]
		public virtual string Shift { get; set; }
		public virtual int NoInDate { get; set; }
		public virtual int NoInShift { get; set; }
		public virtual DateTime? TaktTimeStart { get; set; }
		public virtual DateTime? ToUpDate { get; set; }
		public virtual DateTime? UpDate { get; set; }
		public virtual DateTime? UpPunchDate { get; set; }
		public virtual DateTime? UpSkipDate { get; set; }
		public virtual DateTime? UpRecoatDate { get; set; }
		public virtual DateTime? SubAssyDate { get; set; }
		public virtual DateTime? SubAssyPunchDate { get; set; }
		public virtual DateTime? SubAssySkipDate { get; set; }
		public virtual DateTime? SubAssyRecoatDate { get; set; }
		public virtual long SignalId { get; set; }
		[StringLength(PtsBmpProgressConsts.MaxSignalCodeLength)]
		public virtual string SignalCode { get; set; }
		public virtual DateTime? UpSignalDate { get; set; }
		public virtual DateTime? SubAssySignalDate { get; set; }
		[StringLength(PtsBmpProgressConsts.MaxStatusLength)]
		public virtual string Status { get; set; }
		[StringLength(PtsBmpProgressConsts.MaxIsActiveLength)]
		public virtual string IsActive { get; set; }
	}
	public class GetPtsBmpProgressInput : PagedAndSortedResultRequestDto	
	{
		public virtual string BackNo { get; set; }
		public virtual string Model { get; set; }
		public virtual string Cfc { get; set; }
		public virtual string Grade { get; set; }
		public virtual string PartTypeCode { get; set; }
		public virtual string IsPunch { get; set; }
		public virtual string IsBumper { get; set; }
		public virtual string LotNo { get; set; }
		public virtual int NoInLot { get; set; }
		public virtual string SequenceNo { get; set; }
		public virtual string BodyNo { get; set; }
		public virtual string Color { get; set; }
		public virtual string SpecialColor { get; set; }
		public virtual string Process { get; set; }
		public virtual string PkProcess { get; set; }
		public virtual string ProdLine { get; set; }
		public virtual DateTime? WorkingDate { get; set; }
		public virtual string Shift { get; set; }
		public virtual int NoInDate { get; set; }
		public virtual int NoInShift { get; set; }
		public virtual DateTime? TaktTimeStart { get; set; }
		public virtual DateTime? ToUpDate { get; set; }
		public virtual DateTime? UpDate { get; set; }
		public virtual DateTime? UpPunchDate { get; set; }
		public virtual DateTime? UpSkipDate { get; set; }
		public virtual DateTime? UpRecoatDate { get; set; }
		public virtual DateTime? SubAssyDate { get; set; }
		public virtual DateTime? SubAssyPunchDate { get; set; }
		public virtual DateTime? SubAssySkipDate { get; set; }
		public virtual DateTime? SubAssyRecoatDate { get; set; }
		public virtual string SignalCode { get; set; }
		public virtual DateTime? UpSignalDate { get; set; }
		public virtual DateTime? SubAssySignalDate { get; set; }
		public virtual string Status { get; set; }
		public virtual string IsActive { get; set; }
	}
}
</v>
      </c>
      <c r="I59" s="51" t="str">
        <f ca="1">A.Backend!R7</f>
        <v xml:space="preserve">using Abp.Application.Services.Dto;
using System;
using System.ComponentModel.DataAnnotations;
namespace vovina.Painting.Bumper.Dto
{
	public class PtsBmpProgressExportInput{
		public virtual long PartId { get; set; }
		public virtual string BackNo { get; set; }
		public virtual string Model { get; set; }
		public virtual string Cfc { get; set; }
		public virtual string Grade { get; set; }
		public virtual string PartTypeCode { get; set; }
		public virtual string IsPunch { get; set; }
		public virtual string IsBumper { get; set; }
		public virtual string LotNo { get; set; }
		public virtual int NoInLot { get; set; }
		public virtual string SequenceNo { get; set; }
		public virtual string BodyNo { get; set; }
		public virtual string Color { get; set; }
		public virtual string SpecialColor { get; set; }
		public virtual string Process { get; set; }
		public virtual string PkProcess { get; set; }
		public virtual string ProdLine { get; set; }
		public virtual DateTime? WorkingDate { get; set; }
		public virtual string Shift { get; set; }
		public virtual int NoInDate { get; set; }
		public virtual int NoInShift { get; set; }
		public virtual DateTime? TaktTimeStart { get; set; }
		public virtual DateTime? ToUpDate { get; set; }
		public virtual DateTime? UpDate { get; set; }
		public virtual DateTime? UpPunchDate { get; set; }
		public virtual DateTime? UpSkipDate { get; set; }
		public virtual DateTime? UpRecoatDate { get; set; }
		public virtual DateTime? SubAssyDate { get; set; }
		public virtual DateTime? SubAssyPunchDate { get; set; }
		public virtual DateTime? SubAssySkipDate { get; set; }
		public virtual DateTime? SubAssyRecoatDate { get; set; }
		public virtual long SignalId { get; set; }
		public virtual string SignalCode { get; set; }
		public virtual DateTime? UpSignalDate { get; set; }
		public virtual DateTime? SubAssySignalDate { get; set; }
		public virtual string Status { get; set; }
		public virtual string IsActive { get; set; }
	}
}
</v>
      </c>
      <c r="J59" s="51" t="str">
        <f>A.Backend!P7</f>
        <v xml:space="preserve">using Abp.Application.Services;
using Abp.Application.Services.Dto;
using System.Collections.Generic;using vovina.Dto;
using System.Threading.Tasks;
using vovina.Painting.Bumper.Dto;
namespace vovina.Painting.Bumper
{
	public interface IPtsBmpProgressAppService : IApplicationService
	{
		Task&lt;PagedResultDto&lt;PtsBmpProgressDto&gt;&gt; GetAll(GetPtsBmpProgressInput input);
		Task CreateOrEdit(CreateOrEditPtsBmpProgressDto input);
		Task Delete(EntityDto input);
	}
}
</v>
      </c>
      <c r="K59" s="51" t="str">
        <f>A.Backend!S7</f>
        <v xml:space="preserve">using Abp.Application.Services;
using Abp.Application.Services.Dto;
using System.Collections.Generic;using vovina.Dto;
using System.Threading.Tasks;
using vovina.Painting.Bumper.Dto;
namespace vovina.Painting.Bumper.Exporting
{
	public interface IPtsBmpProgressExcelExporter : IApplicationService
	{
		FileDto ExportToFile(List&lt;PtsBmpProgressDto&gt; ptsbmpprogress);
	}
}
</v>
      </c>
      <c r="L59" s="51" t="str">
        <f ca="1">A.Backend!T7</f>
        <v>using System.Collections.Generic;
using vovina.DataExporting.Excel.NPOI;
using vovina.Dto;
using vovina.Painting.Bumper.Exporting;
using vovina.Painting.Bumper.Dto;
using vovina.Storage;
using vovina.Painting.Bumper.Dto;
namespace vovina.Painting.Bumper.Exporting
{
    public class PtsBmpProgressExcelExporter : NpoiExcelExporterBase, IPtsBmpProgressExcelExporter
    {
        public PtsBmpProgressExcelExporter(ITempFileCacheManager tempFileCacheManager) : base(tempFileCacheManager) { }
        public FileDto ExportToFile(List&lt;PtsBmpProgressDto&gt; progress)
        {
            return CreateExcelPackage(
				"PaintingBumperProgress.xlsx",
				excelPackage =&gt;
				 {
					var sheet = excelPackage.CreateSheet("Progress");
					AddHeader(
								sheet,
								("PartId"),
								("BackNo"),
								("Model"),
								("Cfc"),
								("Grade"),
								("PartTypeCode"),
								("IsPunch"),
								("IsBumper"),
								("LotNo"),
								("NoInLot"),
								("SequenceNo"),
								("BodyNo"),
								("Color"),
								("SpecialColor"),
								("Process"),
								("PkProcess"),
								("ProdLine"),
								("WorkingDate"),
								("Shift"),
								("NoInDate"),
								("NoInShift"),
								("TaktTimeStart"),
								("ToUpDate"),
								("UpDate"),
								("UpPunchDate"),
								("UpSkipDate"),
								("UpRecoatDate"),
								("SubAssyDate"),
								("SubAssyPunchDate"),
								("SubAssySkipDate"),
								("SubAssyRecoatDate"),
								("SignalId"),
								("SignalCode"),
								("UpSignalDate"),
								("SubAssySignalDate"),
								("Status"),
								("IsActive"),
							   );
					AddObjects(
						 sheet, 1, progress,                                       
								_ =&gt; _.PartId,
								_ =&gt; _.BackNo,
								_ =&gt; _.Model,
								_ =&gt; _.Cfc,
								_ =&gt; _.Grade,
								_ =&gt; _.PartTypeCode,
								_ =&gt; _.IsPunch,
								_ =&gt; _.IsBumper,
								_ =&gt; _.LotNo,
								_ =&gt; _.NoInLot,
								_ =&gt; _.SequenceNo,
								_ =&gt; _.BodyNo,
								_ =&gt; _.Color,
								_ =&gt; _.SpecialColor,
								_ =&gt; _.Process,
								_ =&gt; _.PkProcess,
								_ =&gt; _.ProdLine,
								_ =&gt; _.WorkingDate,
								_ =&gt; _.Shift,
								_ =&gt; _.NoInDate,
								_ =&gt; _.NoInShift,
								_ =&gt; _.TaktTimeStart,
								_ =&gt; _.ToUpDate,
								_ =&gt; _.UpDate,
								_ =&gt; _.UpPunchDate,
								_ =&gt; _.UpSkipDate,
								_ =&gt; _.UpRecoatDate,
								_ =&gt; _.SubAssyDate,
								_ =&gt; _.SubAssyPunchDate,
								_ =&gt; _.SubAssySkipDate,
								_ =&gt; _.SubAssyRecoatDate,
								_ =&gt; _.SignalId,
								_ =&gt; _.SignalCode,
								_ =&gt; _.UpSignalDate,
								_ =&gt; _.SubAssySignalDate,
								_ =&gt; _.Status,
								_ =&gt; _.IsActive,
								);
			for (var i = 0; i &lt; 8; i++)
				{
					sheet.AutoSizeColumn(i);
				}
			});
        }
    }
}</v>
      </c>
      <c r="M59" s="59" t="str">
        <f ca="1">A.Backend!Q7</f>
        <v>using Abp.Application.Services.Dto;
using Abp.Authorization;
using Abp.Dapper.Repositories;
using Abp.Domain.Repositories;
using Abp.Domain.Uow;
using Abp.EntityFrameworkCore.Uow;
using Abp.Extensions;
using Abp.Linq.Extensions;
using Abp.UI;
using Dapper;
using Microsoft.EntityFrameworkCore;
using NUglify.Helpers;
using System;
using System.Collections.Generic;
using System.Linq;
using System.Linq.Dynamic.Core;
using System.Threading.Tasks;
using vovina.Authorization;
using vovina.Dto;
using vovina.EntityFrameworkCore;
using vovina.Painting.Bumper.Dto;
using vovina.Painting.Bumper.Exporting;
namespace vovina.Painting.Bumper
{
    [AbpAuthorize(AppPermissions.Pages_Painting_Bumper_Progress)]
    public class PtsBmpProgressAppService : vovinaAppServiceBase, IPtsBmpProgressAppService
    {
        private readonly IDapperRepository&lt;PtsBmpProgress, long&gt; _dapperRepo;
        private readonly IRepository&lt;PtsBmpProgress, long&gt; _repo;
        private readonly IPtsBmpProgressExcelExporter _calendarListExcelExporter;
        public PtsBmpProgressAppService(IRepository&lt;PtsBmpProgress,long&gt; repo, 
                                         IDapperRepository&lt;PtsBmpProgress,long&gt; dapperRepo,
                                        IPtsBmpProgressExcelExporter calendarListExcelExporter
            )
        {
            _repo = repo;
            _dapperRepo = dapperRepo;
            _calendarListExcelExporter = calendarListExcelExporter;
        }
        [AbpAuthorize(AppPermissions.Pages_Painting_Bumper_Progress_CreateEdit)]
        public async Task CreateOrEdit(CreateOrEditPtsBmpProgressDto input)
        {
            if (input.Id == null) await Create(input);
            else await Update(input);
        }
        //CREATE
        private async Task Create(CreateOrEditPtsBmpProgressDto input)
        {          
            var mainObj = ObjectMapper.Map&lt;PtsBmpProgress&gt;(input);
            await CurrentUnitOfWork.GetDbContext&lt;vovinaDbContext&gt;().AddAsync(mainObj);
        }
        // EDIT
        private async Task Update(CreateOrEditPtsBmpProgressDto input)
        {
            using (CurrentUnitOfWork.DisableFilter(AbpDataFilters.MayHaveTenant))
            {
                var mainObj = await _repo.GetAll()
                .FirstOrDefaultAsync(e =&gt; e.Id == input.Id);
                var mainObjToUpdate = ObjectMapper.Map(input, mainObj);
            }
        }
        [AbpAuthorize(AppPermissions.Pages_Painting_Bumper_Progress_Delete)]
        public async Task Delete(EntityDto input)
        {
            var mainObj = await _repo.FirstOrDefaultAsync(input.Id);
            CurrentUnitOfWork.GetDbContext&lt;vovinaDbContext&gt;().Remove(mainObj);
        }
        public async Task&lt;PagedResultDto&lt;PtsBmpProgressDto&gt;&gt; GetAll(GetPtsBmpProgressInput input)
        {
            var filtered = _repo.GetAll()
				.WhereIf(!string.IsNullOrWhiteSpace(input.BackNo), e =&gt; e.BackNo.Contains(input.BackNo))
				.WhereIf(!string.IsNullOrWhiteSpace(input.Model), e =&gt; e.Model.Contains(input.Model))
				.WhereIf(!string.IsNullOrWhiteSpace(input.Cfc), e =&gt; e.Cfc.Contains(input.Cfc))
				.WhereIf(!string.IsNullOrWhiteSpace(input.Grade), e =&gt; e.Grade.Contains(input.Grade))
				.WhereIf(!string.IsNullOrWhiteSpace(input.PartTypeCode), e =&gt; e.PartTypeCode.Contains(input.PartTypeCode))
				.WhereIf(!string.IsNullOrWhiteSpace(input.IsPunch), e =&gt; e.IsPunch.Contains(input.IsPunch))
				.WhereIf(!string.IsNullOrWhiteSpace(input.IsBumper), e =&gt; e.IsBumper.Contains(input.IsBumper))
				.WhereIf(!string.IsNullOrWhiteSpace(input.LotNo), e =&gt; e.LotNo.Contains(input.LotNo))
				.WhereIf(!string.IsNullOrWhiteSpace(input.SequenceNo), e =&gt; e.SequenceNo.Contains(input.SequenceNo))
				.WhereIf(!string.IsNullOrWhiteSpace(input.BodyNo), e =&gt; e.BodyNo.Contains(input.BodyNo))
				.WhereIf(!string.IsNullOrWhiteSpace(input.Color), e =&gt; e.Color.Contains(input.Color))
				.WhereIf(!string.IsNullOrWhiteSpace(input.SpecialColor), e =&gt; e.SpecialColor.Contains(input.SpecialColor))
				.WhereIf(!string.IsNullOrWhiteSpace(input.Process), e =&gt; e.Process.Contains(input.Process))
				.WhereIf(!string.IsNullOrWhiteSpace(input.PkProcess), e =&gt; e.PkProcess.Contains(input.PkProcess))
				.WhereIf(!string.IsNullOrWhiteSpace(input.ProdLine), e =&gt; e.ProdLine.Contains(input.ProdLine))
				.WhereIf(input.WorkingDate.HasValue, t =&gt; t.WorkingDate == input.WorkingDate.Value)
				.WhereIf(!string.IsNullOrWhiteSpace(input.Shift), e =&gt; e.Shift.Contains(input.Shift))
				.WhereIf(input.TaktTimeStart.HasValue, t =&gt; t.TaktTimeStart == input.TaktTimeStart.Value)
				.WhereIf(input.ToUpDate.HasValue, t =&gt; t.ToUpDate == input.ToUpDate.Value)
				.WhereIf(input.UpDate.HasValue, t =&gt; t.UpDate == input.UpDate.Value)
				.WhereIf(input.UpPunchDate.HasValue, t =&gt; t.UpPunchDate == input.UpPunchDate.Value)
				.WhereIf(input.UpSkipDate.HasValue, t =&gt; t.UpSkipDate == input.UpSkipDate.Value)
				.WhereIf(input.UpRecoatDate.HasValue, t =&gt; t.UpRecoatDate == input.UpRecoatDate.Value)
				.WhereIf(input.SubAssyDate.HasValue, t =&gt; t.SubAssyDate == input.SubAssyDate.Value)
				.WhereIf(input.SubAssyPunchDate.HasValue, t =&gt; t.SubAssyPunchDate == input.SubAssyPunchDate.Value)
				.WhereIf(input.SubAssySkipDate.HasValue, t =&gt; t.SubAssySkipDate == input.SubAssySkipDate.Value)
				.WhereIf(input.SubAssyRecoatDate.HasValue, t =&gt; t.SubAssyRecoatDate == input.SubAssyRecoatDate.Value)
				.WhereIf(!string.IsNullOrWhiteSpace(input.SignalCode), e =&gt; e.SignalCode.Contains(input.SignalCode))
				.WhereIf(input.UpSignalDate.HasValue, t =&gt; t.UpSignalDate == input.UpSignalDate.Value)
				.WhereIf(input.SubAssySignalDate.HasValue, t =&gt; t.SubAssySignalDate == input.SubAssySignalDate.Value)
				.WhereIf(!string.IsNullOrWhiteSpace(input.Status), e =&gt; e.Status.Contains(input.Status))
				.WhereIf(!string.IsNullOrWhiteSpace(input.IsActive), e =&gt; e.IsActive.Contains(input.IsActive))                   
				;
            var pageAndFiltered = filtered.OrderBy(s =&gt; s.Id);
            var system = from o in pageAndFiltered
                         select new PtsBmpProgressDto
                        {
							Id = o.Id,
							PartId = o.PartId,
							BackNo = o.BackNo,
							Model = o.Model,
							Cfc = o.Cfc,
							Grade = o.Grade,
							PartTypeCode = o.PartTypeCode,
							IsPunch = o.IsPunch,
							IsBumper = o.IsBumper,
							LotNo = o.LotNo,
							NoInLot = o.NoInLot,
							SequenceNo = o.SequenceNo,
							BodyNo = o.BodyNo,
							Color = o.Color,
							SpecialColor = o.SpecialColor,
							Process = o.Process,
							PkProcess = o.PkProcess,
							ProdLine = o.ProdLine,
							WorkingDate = o.WorkingDate,
							Shift = o.Shift,
							NoInDate = o.NoInDate,
							NoInShift = o.NoInShift,
							TaktTimeStart = o.TaktTimeStart,
							ToUpDate = o.ToUpDate,
							UpDate = o.UpDate,
							UpPunchDate = o.UpPunchDate,
							UpSkipDate = o.UpSkipDate,
							UpRecoatDate = o.UpRecoatDate,
							SubAssyDate = o.SubAssyDate,
							SubAssyPunchDate = o.SubAssyPunchDate,
							SubAssySkipDate = o.SubAssySkipDate,
							SubAssyRecoatDate = o.SubAssyRecoatDate,
							SignalId = o.SignalId,
							SignalCode = o.SignalCode,
							UpSignalDate = o.UpSignalDate,
							SubAssySignalDate = o.SubAssySignalDate,
							Status = o.Status,
							IsActive = o.IsActive,
                        };
            var totalCount = await filtered.CountAsync();
			var paged = system.PageBy(input);
            return new PagedResultDto&lt;PtsBmpProgressDto&gt;(
                totalCount,
                 await paged.ToListAsync()
            );
        }
        public async Task&lt;FileDto&gt; GetProgressToExcel(PtsBmpProgressExportInput input)
        {
            var query = from o in _repo.GetAll()
                        select new PtsBmpProgressDto
                        {
							Id = o.Id,
							PartId = o.PartId,
							BackNo = o.BackNo,
							Model = o.Model,
							Cfc = o.Cfc,
							Grade = o.Grade,
							PartTypeCode = o.PartTypeCode,
							IsPunch = o.IsPunch,
							IsBumper = o.IsBumper,
							LotNo = o.LotNo,
							NoInLot = o.NoInLot,
							SequenceNo = o.SequenceNo,
							BodyNo = o.BodyNo,
							Color = o.Color,
							SpecialColor = o.SpecialColor,
							Process = o.Process,
							PkProcess = o.PkProcess,
							ProdLine = o.ProdLine,
							WorkingDate = o.WorkingDate,
							Shift = o.Shift,
							NoInDate = o.NoInDate,
							NoInShift = o.NoInShift,
							TaktTimeStart = o.TaktTimeStart,
							ToUpDate = o.ToUpDate,
							UpDate = o.UpDate,
							UpPunchDate = o.UpPunchDate,
							UpSkipDate = o.UpSkipDate,
							UpRecoatDate = o.UpRecoatDate,
							SubAssyDate = o.SubAssyDate,
							SubAssyPunchDate = o.SubAssyPunchDate,
							SubAssySkipDate = o.SubAssySkipDate,
							SubAssyRecoatDate = o.SubAssyRecoatDate,
							SignalId = o.SignalId,
							SignalCode = o.SignalCode,
							UpSignalDate = o.UpSignalDate,
							SubAssySignalDate = o.SubAssySignalDate,
							Status = o.Status,
							IsActive = o.IsActive,
                        };
            var exportToExcel = await query.ToListAsync();
            return _calendarListExcelExporter.ExportToFile(exportToExcel);
        }
       // public async Task GenerateAsync()
      //  {
        //    await _dapperRepo.ExecuteAsync(PtsBmpProgressConsts.SP_MST_WPT_CALENDAR_GENERATE);
       // }
    }
}</v>
      </c>
      <c r="N59" s="62" t="str">
        <f>A.Backend!U7</f>
        <v xml:space="preserve">  configuration.CreateMap&lt;PtsBmpProgressDto, PtsBmpProgress&gt;();
  configuration.CreateMap&lt;PtsBmpProgress, PtsBmpProgressDto&gt;();
  configuration.CreateMap&lt;CreateOrEditPtsBmpProgressDto, PtsBmpProgress&gt;();</v>
      </c>
    </row>
    <row r="60" spans="1:14" s="16" customFormat="1" ht="21.75" customHeight="1" x14ac:dyDescent="0.25">
      <c r="C60" s="65"/>
      <c r="D60" s="29"/>
      <c r="E60" s="29"/>
      <c r="F60" s="29"/>
      <c r="G60" s="29"/>
      <c r="H60" s="66"/>
      <c r="I60" s="67"/>
      <c r="J60" s="29"/>
      <c r="K60" s="29"/>
      <c r="M60" s="66"/>
    </row>
    <row r="61" spans="1:14" s="16" customFormat="1" ht="21.75" customHeight="1" x14ac:dyDescent="0.25">
      <c r="C61" s="29"/>
      <c r="D61" s="29"/>
      <c r="E61" s="29"/>
      <c r="F61" s="29"/>
      <c r="G61" s="29"/>
      <c r="H61" s="29"/>
      <c r="J61" s="29"/>
      <c r="K61" s="29"/>
      <c r="M61" s="29"/>
    </row>
    <row r="62" spans="1:14" s="16" customFormat="1" ht="21.75" customHeight="1" x14ac:dyDescent="0.25">
      <c r="C62" s="29"/>
      <c r="D62" s="29"/>
      <c r="E62" s="29"/>
      <c r="G62" s="29"/>
      <c r="H62" s="29"/>
    </row>
    <row r="63" spans="1:14" x14ac:dyDescent="0.25">
      <c r="B63" s="1" t="s">
        <v>73</v>
      </c>
    </row>
    <row r="64" spans="1:14" ht="21" x14ac:dyDescent="0.35">
      <c r="B64" t="str">
        <f>B.Frontend!B8</f>
        <v>progress</v>
      </c>
      <c r="C64" s="72" t="str">
        <f>"create folder " &amp;B64</f>
        <v>create folder progress</v>
      </c>
      <c r="D64" s="72"/>
      <c r="E64" s="72"/>
      <c r="F64" s="72"/>
      <c r="G64" s="72"/>
      <c r="H64" s="72"/>
      <c r="I64" s="72"/>
      <c r="J64" s="72"/>
      <c r="K64" s="73" t="s">
        <v>228</v>
      </c>
      <c r="L64" s="73"/>
      <c r="M64" s="31"/>
    </row>
    <row r="65" spans="2:13" s="28" customFormat="1" ht="18" customHeight="1" x14ac:dyDescent="0.25">
      <c r="B65" s="60" t="s">
        <v>229</v>
      </c>
      <c r="C65" s="31" t="str">
        <f>B.Frontend!H14</f>
        <v>progress.component.ts</v>
      </c>
      <c r="D65" s="31" t="str">
        <f>B.Frontend!I14</f>
        <v>progress.component.html</v>
      </c>
      <c r="E65" s="31" t="str">
        <f>B.Frontend!J14</f>
        <v>progress.component.less</v>
      </c>
      <c r="F65" s="31" t="str">
        <f>B.Frontend!K14</f>
        <v>create-or-edit-progress-modal.component.html</v>
      </c>
      <c r="G65" s="31" t="str">
        <f>B.Frontend!L14</f>
        <v>create-or-edit-progress-modal.component.ts</v>
      </c>
      <c r="H65" s="31" t="str">
        <f>B.Frontend!M14</f>
        <v>create-or-edit-progress-modal.component.less</v>
      </c>
      <c r="I65" s="31" t="str">
        <f>B.Frontend!N14</f>
        <v>progress.module.ts</v>
      </c>
      <c r="J65" s="31" t="str">
        <f>B.Frontend!O14</f>
        <v>progress-routing.module.ts</v>
      </c>
      <c r="K65" s="31" t="str">
        <f>B.Frontend!P14</f>
        <v>app.navigation.service.ts</v>
      </c>
      <c r="L65" s="31" t="str">
        <f>B.Frontend!Q14</f>
        <v>main.routing.module.ts</v>
      </c>
      <c r="M65" s="60" t="s">
        <v>232</v>
      </c>
    </row>
    <row r="66" spans="2:13" ht="21.75" customHeight="1" x14ac:dyDescent="0.25">
      <c r="B66" s="61" t="s">
        <v>226</v>
      </c>
      <c r="C66" s="49" t="str">
        <f ca="1">B.Frontend!H10</f>
        <v>import { GridApi, GridReadyEvent } from '@ag-grid-enterprise/all-modules';
import { Component, Injector, OnInit, ViewChild } from '@angular/core';
import { CustomColDef, GridParams, PaginationParamsModel,FrameworkComponent } from '@app/shared/common/models/base.model';
import { GridTableService } from '@app/shared/common/services/grid-table.service';
import { AppComponentBase } from '@shared/common/app-component-base';
import { PtsBmpProgressDto, PtsBmpProgressServiceProxy } from '@shared/service-proxies/service-proxies';
import { finalize } from 'rxjs/internal/operators/finalize';
import { CreateOrEditProgressModalComponent } from './create-or-edit-progress-modal.component';
import { DatePipe } from '@angular/common';
import { FileDownloadService } from '@shared/utils/file-download.service';
import ceil from 'lodash-es/ceil';
import { Paginator } from 'primeng/paginator';
@Component({
    templateUrl: './progress.component.html',
    styleUrls: ['./progress.component.less'],
})
export class ProgressComponent extends AppComponentBase implements OnInit {
    @ViewChild('createOrEditModalProgress', { static: true }) createOrEditModalProgress:| CreateOrEditProgressModalComponent| undefined;
    @ViewChild('paginator', { static: true }) paginator: Paginator;
    defaultColDefs: CustomColDef[] = [];
    paginationParams: PaginationParamsModel = {
        pageNum: 1,
        pageSize: 20,
        totalCount: 0,
        skipCount: 0,
        sorting: '',
        totalPage: 1,
    };
    selectedRow: PtsBmpProgressDto = new PtsBmpProgressDto();
    saveSelectedRow: PtsBmpProgressDto = new PtsBmpProgressDto();
    datas: PtsBmpProgressDto = new PtsBmpProgressDto();
    isLoading: boolean = false;
    dataParams: GridParams | undefined;
    rowData: any[] = [];
    gridApi!: GridApi;
    rowSelection = 'multiple';
    filter: string = '';
	pipe = new DatePipe('en-US');
	frameworkComponents: FrameworkComponent;
    	partId
	backNo : string = '' ; 
	model : string = '' ; 
	cfc : string = '' ; 
	grade : string = '' ; 
	partTypeCode : string = '' ; 
	isPunch : string = '' ; 
	isBumper : string = '' ; 
	lotNo : string = '' ; 
	noInLot : number = 0 ;
	sequenceNo : string = '' ; 
	bodyNo : string = '' ; 
	color : string = '' ; 
	specialColor : string = '' ; 
	process : string = '' ; 
	pkProcess : string = '' ; 
	prodLine : string = '' ; 
	workingDate : any ;
	shift : string = '' ; 
	noInDate : number = 0 ;
	noInShift : number = 0 ;
	taktTimeStart : any ;
	toUpDate : any ;
	upDate : any ;
	upPunchDate : any ;
	upSkipDate : any ;
	upRecoatDate : any ;
	subAssyDate : any ;
	subAssyPunchDate : any ;
	subAssySkipDate : any ;
	subAssyRecoatDate : any ;
	signalId
	signalCode : string = '' ; 
	upSignalDate : any ;
	subAssySignalDate : any ;
	status : string = '' ; 
	isActive : string = '' ; 
    defaultColDef = {
        resizable: true,
        sortable: true,
        floatingFilterComponentParams: { suppressFilterButton: true },
        filter: true,
        floatingFilter: true,
        suppressHorizontalScroll: true,
        textFormatter: function (r: any) {
            if (r == null) return null;
            return r.toLowerCase();
        },
        tooltip: (params) =&gt; params.value,
    };
    constructor(
        injector: Injector,
        private _service: PtsBmpProgressServiceProxy,
        private gridTableService: GridTableService,
        private _fileDownloadService: FileDownloadService
    ) {
        super(injector);
        this.defaultColDefs = [
            {headerName: this.l('STT'),headerTooltip: this.l('STT'),cellRenderer: (params) =&gt;params.rowIndex + 1 + this.paginationParams.pageSize * (this.paginationParams.pageNum - 1),cellClass: ['text-center'],width: 55,},
            			{headerName: this.l('Part Id'),headerTooltip: this.l('Part Id'),field: 'partId',flex: 1},
			{headerName: this.l('Back No'),headerTooltip: this.l('Back No'),field: 'backNo',flex: 1},
			{headerName: this.l('Model'),headerTooltip: this.l('Model'),field: 'model',flex: 1},
			{headerName: this.l('Cfc'),headerTooltip: this.l('Cfc'),field: 'cfc',flex: 1},
			{headerName: this.l('Grade'),headerTooltip: this.l('Grade'),field: 'grade',flex: 1},
			{headerName: this.l('Part Type Code'),headerTooltip: this.l('Part Type Code'),field: 'partTypeCode',flex: 1},
			{headerName: this.l('Is Punch'),headerTooltip: this.l('Is Punch'),field:  'isPunch', cellClass: ['text-center'], width: 120, cellRenderer: 'agCellButtonComponent',
buttonDefTwo: { text: params =&gt; (params.data?.'isPunch' == 'Y') ? 'Active' : 'Inactive',iconName: 'fa fa-circle',className: params =&gt; (params.data?.'isPunch' == 'Y') ? 'btnActive' : 'btnInActive',},}
			{headerName: this.l('Is Bumper'),headerTooltip: this.l('Is Bumper'),field:  'isBumper', cellClass: ['text-center'], width: 120, cellRenderer: 'agCellButtonComponent',
buttonDefTwo: { text: params =&gt; (params.data?.'isBumper' == 'Y') ? 'Active' : 'Inactive',iconName: 'fa fa-circle',className: params =&gt; (params.data?.'isBumper' == 'Y') ? 'btnActive' : 'btnInActive',},}
			{headerName: this.l('Lot No'),headerTooltip: this.l('Lot No'),field: 'lotNo',flex: 1},
			{headerName: this.l('No In Lot'),headerTooltip: this.l('No In Lot'),field: 'noInLot',flex: 1},
			{headerName: this.l('Sequence No'),headerTooltip: this.l('Sequence No'),field: 'sequenceNo',flex: 1},
			{headerName: this.l('Body No'),headerTooltip: this.l('Body No'),field: 'bodyNo',flex: 1},
			{headerName: this.l('Color'),headerTooltip: this.l('Color'),field: 'color',flex: 1},
			{headerName: this.l('Special Color'),headerTooltip: this.l('Special Color'),field: 'specialColor',flex: 1},
			{headerName: this.l('Process'),headerTooltip: this.l('Process'),field: 'process',flex: 1},
			{headerName: this.l('Pk Process'),headerTooltip: this.l('Pk Process'),field: 'pkProcess',flex: 1},
			{headerName: this.l('Prod Line'),headerTooltip: this.l('Prod Line'),field: 'prodLine',flex: 1},
			{headerName: this.l('Working Date'),headerTooltip: this.l('Working Date'),field: 'workingDate',valueGetter: (params) =&gt; this.pipe.transform(params.data?.workingDate, 'dd/MM/yyyy'),flex: 1},
			{headerName: this.l('Shift'),headerTooltip: this.l('Shift'),field: 'shift',flex: 1},
			{headerName: this.l('No In Date'),headerTooltip: this.l('No In Date'),field: 'noInDate',flex: 1},
			{headerName: this.l('No In Shift'),headerTooltip: this.l('No In Shift'),field: 'noInShift',flex: 1},
			{headerName: this.l('Takt Time Start'),headerTooltip: this.l('Takt Time Start'),field: 'taktTimeStart',valueGetter: (params) =&gt; this.pipe.transform(params.data?.taktTimeStart, 'dd/MM/yyyy'),flex: 1},
			{headerName: this.l('To Up Date'),headerTooltip: this.l('To Up Date'),field: 'toUpDate',valueGetter: (params) =&gt; this.pipe.transform(params.data?.toUpDate, 'dd/MM/yyyy'),flex: 1},
			{headerName: this.l('Up Date'),headerTooltip: this.l('Up Date'),field: 'upDate',valueGetter: (params) =&gt; this.pipe.transform(params.data?.upDate, 'dd/MM/yyyy'),flex: 1},
			{headerName: this.l('Up Punch Date'),headerTooltip: this.l('Up Punch Date'),field: 'upPunchDate',valueGetter: (params) =&gt; this.pipe.transform(params.data?.upPunchDate, 'dd/MM/yyyy'),flex: 1},
			{headerName: this.l('Up Skip Date'),headerTooltip: this.l('Up Skip Date'),field: 'upSkipDate',valueGetter: (params) =&gt; this.pipe.transform(params.data?.upSkipDate, 'dd/MM/yyyy'),flex: 1},
			{headerName: this.l('Up Recoat Date'),headerTooltip: this.l('Up Recoat Date'),field: 'upRecoatDate',valueGetter: (params) =&gt; this.pipe.transform(params.data?.upRecoatDate, 'dd/MM/yyyy'),flex: 1},
			{headerName: this.l('Sub Assy Date'),headerTooltip: this.l('Sub Assy Date'),field: 'subAssyDate',valueGetter: (params) =&gt; this.pipe.transform(params.data?.subAssyDate, 'dd/MM/yyyy'),flex: 1},
			{headerName: this.l('Sub Assy Punch Date'),headerTooltip: this.l('Sub Assy Punch Date'),field: 'subAssyPunchDate',valueGetter: (params) =&gt; this.pipe.transform(params.data?.subAssyPunchDate, 'dd/MM/yyyy'),flex: 1},
			{headerName: this.l('Sub Assy Skip Date'),headerTooltip: this.l('Sub Assy Skip Date'),field: 'subAssySkipDate',valueGetter: (params) =&gt; this.pipe.transform(params.data?.subAssySkipDate, 'dd/MM/yyyy'),flex: 1},
			{headerName: this.l('Sub Assy Recoat Date'),headerTooltip: this.l('Sub Assy Recoat Date'),field: 'subAssyRecoatDate',valueGetter: (params) =&gt; this.pipe.transform(params.data?.subAssyRecoatDate, 'dd/MM/yyyy'),flex: 1},
			{headerName: this.l('Signal Id'),headerTooltip: this.l('Signal Id'),field: 'signalId',flex: 1},
			{headerName: this.l('Signal Code'),headerTooltip: this.l('Signal Code'),field: 'signalCode',flex: 1},
			{headerName: this.l('Up Signal Date'),headerTooltip: this.l('Up Signal Date'),field: 'upSignalDate',valueGetter: (params) =&gt; this.pipe.transform(params.data?.upSignalDate, 'dd/MM/yyyy'),flex: 1},
			{headerName: this.l('Sub Assy Signal Date'),headerTooltip: this.l('Sub Assy Signal Date'),field: 'subAssySignalDate',valueGetter: (params) =&gt; this.pipe.transform(params.data?.subAssySignalDate, 'dd/MM/yyyy'),flex: 1},
			{headerName: this.l('Status'),headerTooltip: this.l('Status'),field: 'status',flex: 1},
			{headerName: this.l('Is Active'),headerTooltip: this.l('Is Active'),field:  'isActive', cellClass: ['text-center'], width: 120, cellRenderer: 'agCellButtonComponent',
buttonDefTwo: { text: params =&gt; (params.data?.'isActive' == 'Y') ? 'Active' : 'Inactive',iconName: 'fa fa-circle',className: params =&gt; (params.data?.'isActive' == 'Y') ? 'btnActive' : 'btnInActive',},}      	  
        ];
		this.frameworkComponents = {
            agCellButtonComponent: AgCellButtonRendererComponent,
        };
    }
    ngOnInit(): void {
        this.paginationParams = { pageNum: 1, pageSize: 20, totalCount: 0 };
    }
    searchDatas(): void {
        // this.paginator.changePage(this.paginator.getPage());
        this._service.getAll(
			this.partId,
			this.backNo,
			this.model,
			this.cfc,
			this.grade,
			this.partTypeCode,
			this.isPunch,
			this.isBumper,
			this.lotNo,
			this.noInLot,
			this.sequenceNo,
			this.bodyNo,
			this.color,
			this.specialColor,
			this.process,
			this.pkProcess,
			this.prodLine,
			this.workingDate,
			this.shift,
			this.noInDate,
			this.noInShift,
			this.taktTimeStart,
			this.toUpDate,
			this.upDate,
			this.upPunchDate,
			this.upSkipDate,
			this.upRecoatDate,
			this.subAssyDate,
			this.subAssyPunchDate,
			this.subAssySkipDate,
			this.subAssyRecoatDate,
			this.signalId,
			this.signalCode,
			this.upSignalDate,
			this.subAssySignalDate,
			this.status,
			this.isActive,
			'',
            this.paginationParams.skipCount,
            this.paginationParams.pageSize
        )
        .pipe(finalize(() =&gt; this.gridTableService.selectFirstRow(this.dataParams!.api)))
        .subscribe((result) =&gt; {
            this.paginationParams.totalCount = result.totalCount;
            this.rowData = result.items;
            this.paginationParams.totalPage = ceil(result.totalCount / (this.paginationParams.pageSize ?? 0));
        });
    }
    clearTextSearch() {
        		this.partId = '',
		this.backNo = '',
		this.model = '',
		this.cfc = '',
		this.grade = '',
		this.partTypeCode = '',
		this.isPunch = '',
		this.isBumper = '',
		this.lotNo = '',
		this.noInLot = 0,
		this.sequenceNo = '',
		this.bodyNo = '',
		this.color = '',
		this.specialColor = '',
		this.process = '',
		this.pkProcess = '',
		this.prodLine = '',
		this.workingDate = '',
		this.shift = '',
		this.noInDate = 0,
		this.noInShift = 0,
		this.taktTimeStart = '',
		this.toUpDate = '',
		this.upDate = '',
		this.upPunchDate = '',
		this.upSkipDate = '',
		this.upRecoatDate = '',
		this.subAssyDate = '',
		this.subAssyPunchDate = '',
		this.subAssySkipDate = '',
		this.subAssyRecoatDate = '',
		this.signalId = '',
		this.signalCode = '',
		this.upSignalDate = '',
		this.subAssySignalDate = '',
		this.status = '',
		this.isActive = '',
        this.searchDatas();
    }
    onSelectionMulti(params) {
        var selectedRows = this.gridApi.getSelectedRows();
        var selectedRowsString = '';
        var maxToShow = 5;
        selectedRows.forEach(function (selectedRow, index) {
            if (index &gt;= maxToShow) {
                return;
            }
            if (index &gt; 0) {
                selectedRowsString += ', ';
            }
            selectedRowsString += selectedRow.athlete;
        });
        if (selectedRows.length &gt; maxToShow) {
            var othersCount = selectedRows.length - maxToShow;
            selectedRowsString += ' and ' + othersCount + ' other' + (othersCount !== 1 ? 's' : '');
        }
        (document.querySelector('#selectedRows') as any).innerHTML = selectedRowsString;
    }
    getDatas(paginationParams?: PaginationParamsModel) {
        return this._service.getAll(
 			this.partId,
			this.backNo,
			this.model,
			this.cfc,
			this.grade,
			this.partTypeCode,
			this.isPunch,
			this.isBumper,
			this.lotNo,
			this.noInLot,
			this.sequenceNo,
			this.bodyNo,
			this.color,
			this.specialColor,
			this.process,
			this.pkProcess,
			this.prodLine,
			this.workingDate,
			this.shift,
			this.noInDate,
			this.noInShift,
			this.taktTimeStart,
			this.toUpDate,
			this.upDate,
			this.upPunchDate,
			this.upSkipDate,
			this.upRecoatDate,
			this.subAssyDate,
			this.subAssyPunchDate,
			this.subAssySkipDate,
			this.subAssyRecoatDate,
			this.signalId,
			this.signalCode,
			this.upSignalDate,
			this.subAssySignalDate,
			this.status,
			this.isActive,
			'',
            this.paginationParams.skipCount,
            this.paginationParams.pageSize
        );
    }
    onChangeRowSelection(params: { api: { getSelectedRows: () =&gt; PtsBmpProgressDto[] } }) {
        this.saveSelectedRow = params.api.getSelectedRows()[0] ?? new PtsBmpProgressDto();
        this.selectedRow = Object.assign({}, this.saveSelectedRow);
    }
    changePage(paginationParams) {
        this.isLoading = true;
        this.paginationParams = paginationParams;
        this.paginationParams.skipCount = (paginationParams.pageNum - 1) * paginationParams.pageSize;
        // this.maxResultCount = paginationParams.pageSize;
        this.getDatas(this.paginationParams).subscribe((result) =&gt; {
            this.paginationParams.totalCount = result.totalCount;
            this.rowData = result.items;
            this.paginationParams.totalPage = ceil(result.totalCount / (this.paginationParams.pageSize ?? 0));
            this.isLoading = false;
        });
    }
    callBackDataGrid(params: GridParams) {
        this.isLoading = true;
        this.dataParams = params;
        params.api.paginationSetPageSize(this.paginationParams.pageSize);
        this.paginationParams.skipCount =
            ((this.paginationParams.pageNum ?? 1) - 1) * (this.paginationParams.pageSize ?? 0);
        this.paginationParams.pageSize = this.paginationParams.pageSize;
        this.getDatas(this.paginationParams)
            .pipe(finalize(() =&gt; this.gridTableService.selectFirstRow(this.dataParams!.api)))
            .subscribe((result) =&gt; {
                this.paginationParams.totalCount = result.totalCount;
                this.rowData = result.items ?? [];
                this.paginationParams.totalPage = ceil(result.totalCount / (this.paginationParams.pageSize ?? 0));
                this.isLoading = false;
            });
    }
    deleteRow(system: PtsBmpProgressDto): void {
        this.message.confirm(this.l('AreYouSureToDelete'), 'Delete Row', (isConfirmed) =&gt; {
            if (isConfirmed) {
                this._service.delete(system.id).subscribe(() =&gt; {
                    this.callBackDataGrid(this.dataParams!);
                    this.notify.success(this.l('SuccessfullyDeleted'));
                    this.notify.info(this.l('SuccessfullyDeleted'));
                });
            }
        });
    }
    exportToExcel(): void {
        this._service.getProgressToExcel(
			this.partId,
			this.backNo,
			this.model,
			this.cfc,
			this.grade,
			this.partTypeCode,
			this.isPunch,
			this.isBumper,
			this.lotNo,
			this.noInLot,
			this.sequenceNo,
			this.bodyNo,
			this.color,
			this.specialColor,
			this.process,
			this.pkProcess,
			this.prodLine,
			this.workingDate,
			this.shift,
			this.noInDate,
			this.noInShift,
			this.taktTimeStart,
			this.toUpDate,
			this.upDate,
			this.upPunchDate,
			this.upSkipDate,
			this.upRecoatDate,
			this.subAssyDate,
			this.subAssyPunchDate,
			this.subAssySkipDate,
			this.subAssyRecoatDate,
			this.signalId,
			this.signalCode,
			this.upSignalDate,
			this.subAssySignalDate,
			this.status,
			this.isActive,
            )
            .subscribe((result) =&gt; {
                this._fileDownloadService.downloadTempFile(result);
        });
    }
}</v>
      </c>
      <c r="D66" s="49" t="str">
        <f ca="1">B.Frontend!I10</f>
        <v>&lt;div id="container" class="mt-2" [busyIf]="isLoading"&gt;
    &lt;div class="ui-g-12"&gt;
        &lt;fieldset class="fieldset-border grid-parent"&gt;
            &lt;div class="ui-g-12"&gt;
                &lt;div class="ui-g-12"&gt;
                    &lt;h6 class="card-header"&gt;
                         {{ l(' Painting Bumper Progress ') }}
                    &lt;/h6&gt;
                &lt;/div&gt;									
                &lt;div class="prod-cont"&gt;
                    &lt;div class="ui-g-12"&gt;
                        &lt;div class="form-group m-form__group align-items-center"&gt;
                            &lt;div class="input-group"&gt;
								&lt;div class='input-search'&gt;
									&lt;input [(ngModel)]='backNo' name='backNo'
									class='form-control' [placeholder]="l('Back No')"
									type='text' (keyup.enter)='searchDatas()'&gt;
								&lt;/div&gt;
								&lt;div class='input-search'&gt;
									&lt;input [(ngModel)]='model' name='model'
									class='form-control' [placeholder]="l('Model')"
									type='text' (keyup.enter)='searchDatas()'&gt;
								&lt;/div&gt;
								&lt;div class='input-search'&gt;
									&lt;input [(ngModel)]='cfc' name='cfc'
									class='form-control' [placeholder]="l('Cfc')"
									type='text' (keyup.enter)='searchDatas()'&gt;
								&lt;/div&gt;
								&lt;div class='input-search'&gt;
									&lt;input [(ngModel)]='grade' name='grade'
									class='form-control' [placeholder]="l('Grade')"
									type='text' (keyup.enter)='searchDatas()'&gt;
								&lt;/div&gt;
								&lt;div class='input-search'&gt;
									&lt;input [(ngModel)]='partTypeCode' name='partTypeCode'
									class='form-control' [placeholder]="l('Part Type Code')"
									type='text' (keyup.enter)='searchDatas()'&gt;
								&lt;/div&gt;
								&lt;div class='input-search'&gt;
									&lt;input [(ngModel)]='isPunch' name='isPunch'
									class='form-control' [placeholder]="l('Is Punch')"
									type='text' (keyup.enter)='searchDatas()'&gt;
								&lt;/div&gt;
								&lt;div class='input-search'&gt;
									&lt;input [(ngModel)]='isBumper' name='isBumper'
									class='form-control' [placeholder]="l('Is Bumper')"
									type='text' (keyup.enter)='searchDatas()'&gt;
								&lt;/div&gt;
								&lt;div class='input-search'&gt;
									&lt;input [(ngModel)]='lotNo' name='lotNo'
									class='form-control' [placeholder]="l('Lot No')"
									type='text' (keyup.enter)='searchDatas()'&gt;
								&lt;/div&gt;
								&lt;div class='input-search'&gt;
									&lt;input [(ngModel)]='sequenceNo' name='sequenceNo'
									class='form-control' [placeholder]="l('Sequence No')"
									type='text' (keyup.enter)='searchDatas()'&gt;
								&lt;/div&gt;
								&lt;div class='input-search'&gt;
									&lt;input [(ngModel)]='bodyNo' name='bodyNo'
									class='form-control' [placeholder]="l('Body No')"
									type='text' (keyup.enter)='searchDatas()'&gt;
								&lt;/div&gt;
								&lt;div class='input-search'&gt;
									&lt;input [(ngModel)]='color' name='color'
									class='form-control' [placeholder]="l('Color')"
									type='text' (keyup.enter)='searchDatas()'&gt;
								&lt;/div&gt;
								&lt;div class='input-search'&gt;
									&lt;input [(ngModel)]='specialColor' name='specialColor'
									class='form-control' [placeholder]="l('Special Color')"
									type='text' (keyup.enter)='searchDatas()'&gt;
								&lt;/div&gt;
								&lt;div class='input-search'&gt;
									&lt;input [(ngModel)]='process' name='process'
									class='form-control' [placeholder]="l('Process')"
									type='text' (keyup.enter)='searchDatas()'&gt;
								&lt;/div&gt;
								&lt;div class='input-search'&gt;
									&lt;input [(ngModel)]='pkProcess' name='pkProcess'
									class='form-control' [placeholder]="l('Pk Process')"
									type='text' (keyup.enter)='searchDatas()'&gt;
								&lt;/div&gt;
								&lt;div class='input-search'&gt;
									&lt;input [(ngModel)]='prodLine' name='prodLine'
									class='form-control' [placeholder]="l('Prod Line')"
									type='text' (keyup.enter)='searchDatas()'&gt;
								&lt;/div&gt;
								&lt;div class='input-search'&gt;
									&lt;input type='text' [placeholder]="l('Working Date')" [(ngModel)]='workingDate' 
									name='workingDate' (keydown)='searchDatas()' class='form-control' 
									bsDatepicker #d='bsDatepicker' placement='bottom left'&gt;
									&lt;i class='fa fa-calendar-alt' (click)='d.toggle()'&gt;&lt;/i&gt;
								&lt;/div&gt;
								&lt;div class='input-search'&gt;
									&lt;input [(ngModel)]='shift' name='shift'
									class='form-control' [placeholder]="l('Shift')"
									type='text' (keyup.enter)='searchDatas()'&gt;
								&lt;/div&gt;
								&lt;div class='input-search'&gt;
									&lt;input type='text' [placeholder]="l('Takt Time Start')" [(ngModel)]='taktTimeStart' 
									name='taktTimeStart' (keydown)='searchDatas()' class='form-control' 
									bsDatepicker #d='bsDatepicker' placement='bottom left'&gt;
									&lt;i class='fa fa-calendar-alt' (click)='d.toggle()'&gt;&lt;/i&gt;
								&lt;/div&gt;
								&lt;div class='input-search'&gt;
									&lt;input type='text' [placeholder]="l('To Up Date')" [(ngModel)]='toUpDate' 
									name='toUpDate' (keydown)='searchDatas()' class='form-control' 
									bsDatepicker #d='bsDatepicker' placement='bottom left'&gt;
									&lt;i class='fa fa-calendar-alt' (click)='d.toggle()'&gt;&lt;/i&gt;
								&lt;/div&gt;
								&lt;div class='input-search'&gt;
									&lt;input type='text' [placeholder]="l('Up Date')" [(ngModel)]='upDate' 
									name='upDate' (keydown)='searchDatas()' class='form-control' 
									bsDatepicker #d='bsDatepicker' placement='bottom left'&gt;
									&lt;i class='fa fa-calendar-alt' (click)='d.toggle()'&gt;&lt;/i&gt;
								&lt;/div&gt;
								&lt;div class='input-search'&gt;
									&lt;input type='text' [placeholder]="l('Up Punch Date')" [(ngModel)]='upPunchDate' 
									name='upPunchDate' (keydown)='searchDatas()' class='form-control' 
									bsDatepicker #d='bsDatepicker' placement='bottom left'&gt;
									&lt;i class='fa fa-calendar-alt' (click)='d.toggle()'&gt;&lt;/i&gt;
								&lt;/div&gt;
								&lt;div class='input-search'&gt;
									&lt;input type='text' [placeholder]="l('Up Skip Date')" [(ngModel)]='upSkipDate' 
									name='upSkipDate' (keydown)='searchDatas()' class='form-control' 
									bsDatepicker #d='bsDatepicker' placement='bottom left'&gt;
									&lt;i class='fa fa-calendar-alt' (click)='d.toggle()'&gt;&lt;/i&gt;
								&lt;/div&gt;
								&lt;div class='input-search'&gt;
									&lt;input type='text' [placeholder]="l('Up Recoat Date')" [(ngModel)]='upRecoatDate' 
									name='upRecoatDate' (keydown)='searchDatas()' class='form-control' 
									bsDatepicker #d='bsDatepicker' placement='bottom left'&gt;
									&lt;i class='fa fa-calendar-alt' (click)='d.toggle()'&gt;&lt;/i&gt;
								&lt;/div&gt;
								&lt;div class='input-search'&gt;
									&lt;input type='text' [placeholder]="l('Sub Assy Date')" [(ngModel)]='subAssyDate' 
									name='subAssyDate' (keydown)='searchDatas()' class='form-control' 
									bsDatepicker #d='bsDatepicker' placement='bottom left'&gt;
									&lt;i class='fa fa-calendar-alt' (click)='d.toggle()'&gt;&lt;/i&gt;
								&lt;/div&gt;
								&lt;div class='input-search'&gt;
									&lt;input type='text' [placeholder]="l('Sub Assy Punch Date')" [(ngModel)]='subAssyPunchDate' 
									name='subAssyPunchDate' (keydown)='searchDatas()' class='form-control' 
									bsDatepicker #d='bsDatepicker' placement='bottom left'&gt;
									&lt;i class='fa fa-calendar-alt' (click)='d.toggle()'&gt;&lt;/i&gt;
								&lt;/div&gt;
								&lt;div class='input-search'&gt;
									&lt;input type='text' [placeholder]="l('Sub Assy Skip Date')" [(ngModel)]='subAssySkipDate' 
									name='subAssySkipDate' (keydown)='searchDatas()' class='form-control' 
									bsDatepicker #d='bsDatepicker' placement='bottom left'&gt;
									&lt;i class='fa fa-calendar-alt' (click)='d.toggle()'&gt;&lt;/i&gt;
								&lt;/div&gt;
								&lt;div class='input-search'&gt;
									&lt;input type='text' [placeholder]="l('Sub Assy Recoat Date')" [(ngModel)]='subAssyRecoatDate' 
									name='subAssyRecoatDate' (keydown)='searchDatas()' class='form-control' 
									bsDatepicker #d='bsDatepicker' placement='bottom left'&gt;
									&lt;i class='fa fa-calendar-alt' (click)='d.toggle()'&gt;&lt;/i&gt;
								&lt;/div&gt;
								&lt;div class='input-search'&gt;
									&lt;input [(ngModel)]='signalCode' name='signalCode'
									class='form-control' [placeholder]="l('Signal Code')"
									type='text' (keyup.enter)='searchDatas()'&gt;
								&lt;/div&gt;
								&lt;div class='input-search'&gt;
									&lt;input type='text' [placeholder]="l('Up Signal Date')" [(ngModel)]='upSignalDate' 
									name='upSignalDate' (keydown)='searchDatas()' class='form-control' 
									bsDatepicker #d='bsDatepicker' placement='bottom left'&gt;
									&lt;i class='fa fa-calendar-alt' (click)='d.toggle()'&gt;&lt;/i&gt;
								&lt;/div&gt;
								&lt;div class='input-search'&gt;
									&lt;input type='text' [placeholder]="l('Sub Assy Signal Date')" [(ngModel)]='subAssySignalDate' 
									name='subAssySignalDate' (keydown)='searchDatas()' class='form-control' 
									bsDatepicker #d='bsDatepicker' placement='bottom left'&gt;
									&lt;i class='fa fa-calendar-alt' (click)='d.toggle()'&gt;&lt;/i&gt;
								&lt;/div&gt;
								&lt;div class='input-search'&gt;
									&lt;input [(ngModel)]='status' name='status'
									class='form-control' [placeholder]="l('Status')"
									type='text' (keyup.enter)='searchDatas()'&gt;
								&lt;/div&gt;
								&lt;div class='input-search'&gt;
									&lt;input [(ngModel)]='isActive' name='isActive'
									class='form-control' [placeholder]="l('Is Active')"
									type='text' (keyup.enter)='searchDatas()'&gt;
								&lt;/div&gt;
                                &lt;div class="btn-search"&gt;
                                    &lt;button (click)="searchDatas()"
                                        class="btn btn-primary" type="submit"&gt;
                                        &lt;i class="fas fa-search"&gt;&lt;/i&gt;
                                    &lt;/button&gt;
                                &lt;/div&gt;
                                &lt;div class="btn-search"&gt;
                                    &lt;button (click)="clearTextSearch()"
                                        class="btn btn-primary" type="submit"&gt;
                                        &lt;i class="fas fa-backspace"&gt;&lt;/i&gt;
                                    &lt;/button&gt;
                                &lt;/div&gt;
                            &lt;/div&gt;
                        &lt;/div&gt;
                    &lt;/div&gt;
                    &lt;div class="ui-g-12 ui-md-12"&gt;
                        &lt;form autocomplete="on"&gt;
                        &lt;div class="panel panel-default pt-1"&gt;
                            &lt;simple-ag-grid
                                [columnDefs]="defaultColDefs"
                                [paginationParams]="paginationParams"
                                [rowData]="rowData"
                                [defaultColDef]="defaultColDef"
                                (callBackEvent)="callBackDataGrid($event)"
                                (changePaginationParams)="changePage($event)"
                                (onChangeSelection)="onChangeRowSelection($event)"
                                [rowSelection]="rowSelection"
                                (selectionChanged)="onSelectionMulti($event)"
                                [height]="'620px'"
								[frameworkComponents]="frameworkComponents"
                            &gt;
                            &lt;/simple-ag-grid&gt;
                        &lt;/div&gt;
                        &lt;/form&gt;
                        &lt;hr&gt;
                        &lt;div class="text-right"&gt;
                            &lt;button class="btn btn-success font-weight-bold" (click)="exportToExcel()"&gt;
                                &lt;i class="fas fa-file-excel mr-1"&gt;&lt;/i&gt;{{ l('Export Excel') }}
                            &lt;/button&gt;
                            &lt;button class="btn btn-info font-weight-bold" (click)="createOrEditModalProgress.show()"&gt;
                                &lt;i class="fa fa-plus mr-1"&gt;&lt;/i&gt;{{ l('Add') }}
                            &lt;/button&gt;
                            &lt;button class="btn btn-warning font-weight-bold" [disabled]="!selectedRow.id" (click)="createOrEditModalProgress.show(selectedRow)"&gt;
                                &lt;i class="far fa-edit mr-1"&gt;&lt;/i&gt;{{'Edit'}}
                            &lt;/button&gt;
                            &lt;button class="btn btn-primary font-weight-bold" [disabled]="!selectedRow.id" (click)="deleteRow(selectedRow)"&gt;
                                &lt;i class="fas fa-trash-alt mr-1"&gt;&lt;/i&gt;{{'Delete'}}
                            &lt;/button&gt;
                        &lt;/div&gt;
                    &lt;/div&gt;
                &lt;/div&gt;
            &lt;/div&gt;
        &lt;/fieldset&gt;
    &lt;/div&gt;
&lt;/div&gt;
&lt;create-or-edit-progress-modal
    #createOrEditModalProgress
    (modalSave)="callBackDataGrid(dataParams)"
    (modalClose)="onChangeRowSelection(dataParams)"
&gt;
&lt;/create-or-edit-progress-modal&gt;</v>
      </c>
      <c r="E66" s="49" t="str">
        <f>B.Frontend!J10</f>
        <v>.input-search{
    width: 250px;
    border-radius: 10px;
    margin-left: 10px;
}
.btn-search{
    width: 50px;
    margin-left: 10px;
}</v>
      </c>
      <c r="F66" s="49" t="str">
        <f ca="1">B.Frontend!K10</f>
        <v>&lt;div bsModal #createOrEditModalProgress="bs-modal" class="modal fade col-md-12" role="dialog" [config]="{ backdrop: 'static' }"&gt;
    &lt;div class="modal-dialog modal-lg"&gt;
        &lt;div class="modal-content col-md-12"&gt;
            &lt;div class="modal-header col-md-12"&gt;
                &lt;div class="title-form"&gt;
                    &lt;h3 *ngIf="rowdata.id"&gt;{{('Edit Progress')}}&lt;/h3&gt;
                    &lt;h3 *ngIf="!rowdata.id"&gt;{{('Create New Progress')}}&lt;/h3&gt;
                &lt;/div&gt;
            &lt;/div&gt;
        &lt;/div&gt;
        &lt;div class="modal-content col-md-12"&gt;
            &lt;form #applyBpForm="ngForm" (ngSubmit)="save()" autocomplete="off" (keyup.enter)="save()" (keyup.ESC)="close()"&gt;
            &lt;!-- Form Basic--&gt;   
                &lt;div class="form-input"&gt;                   
					&lt;div class='col-md-12 form-group row'&gt;
						&lt;label class='col-md-2 form-control title'&gt;Back No&lt;/label&gt;
						&lt;input type='text' class='col-md-10 form-control input-text' name='BackNo' [(ngModel)]='rowdata.backNo'&gt;
					&lt;/div&gt;
					&lt;div class='col-md-12 form-group row'&gt;
						&lt;label class='col-md-2 form-control title'&gt;Model&lt;/label&gt;
						&lt;input type='text' class='col-md-10 form-control input-text' name='Model' [(ngModel)]='rowdata.model'&gt;
					&lt;/div&gt;
					&lt;div class='col-md-12 form-group row'&gt;
						&lt;label class='col-md-2 form-control title'&gt;Cfc&lt;/label&gt;
						&lt;input type='text' class='col-md-10 form-control input-text' name='Cfc' [(ngModel)]='rowdata.cfc'&gt;
					&lt;/div&gt;
					&lt;div class='col-md-12 form-group row'&gt;
						&lt;label class='col-md-2 form-control title'&gt;Grade&lt;/label&gt;
						&lt;input type='text' class='col-md-10 form-control input-text' name='Grade' [(ngModel)]='rowdata.grade'&gt;
					&lt;/div&gt;
					&lt;div class='col-md-12 form-group row'&gt;
						&lt;label class='col-md-2 form-control title'&gt;Part Type Code&lt;/label&gt;
						&lt;input type='text' class='col-md-10 form-control input-text' name='PartTypeCode' [(ngModel)]='rowdata.partTypeCode'&gt;
					&lt;/div&gt;
					&lt;div class='col-md-12 form-group row'&gt;
						&lt;label class='col-md-2 form-control title'&gt;Is Punch&lt;/label&gt;
						&lt;new-checkbox [(ngModel)]='_isPunch' name='isPunch' className='col-md-10' &gt; &lt;/new-checkbox&gt;
					&lt;/div&gt;
					&lt;div class='col-md-12 form-group row'&gt;
						&lt;label class='col-md-2 form-control title'&gt;Is Bumper&lt;/label&gt;
						&lt;new-checkbox [(ngModel)]='_isBumper' name='isBumper' className='col-md-10' &gt; &lt;/new-checkbox&gt;
					&lt;/div&gt;
					&lt;div class='col-md-12 form-group row'&gt;
						&lt;label class='col-md-2 form-control title'&gt;Lot No&lt;/label&gt;
						&lt;input type='text' class='col-md-10 form-control input-text' name='LotNo' [(ngModel)]='rowdata.lotNo'&gt;
					&lt;/div&gt;
					&lt;div class='col-md-12 form-group row'&gt;
						&lt;label class='col-md-2 form-control title'&gt;No In Lot&lt;/label&gt;
						&lt;input type='number' class='col-md-10 form-control input-text' name='NoInLot' [(ngModel)]='rowdata.noInLot'&gt;
					&lt;/div&gt;
					&lt;div class='col-md-12 form-group row'&gt;
						&lt;label class='col-md-2 form-control title'&gt;Sequence No&lt;/label&gt;
						&lt;input type='text' class='col-md-10 form-control input-text' name='SequenceNo' [(ngModel)]='rowdata.sequenceNo'&gt;
					&lt;/div&gt;
					&lt;div class='col-md-12 form-group row'&gt;
						&lt;label class='col-md-2 form-control title'&gt;Body No&lt;/label&gt;
						&lt;input type='text' class='col-md-10 form-control input-text' name='BodyNo' [(ngModel)]='rowdata.bodyNo'&gt;
					&lt;/div&gt;
					&lt;div class='col-md-12 form-group row'&gt;
						&lt;label class='col-md-2 form-control title'&gt;Color&lt;/label&gt;
						&lt;input type='text' class='col-md-10 form-control input-text' name='Color' [(ngModel)]='rowdata.color'&gt;
					&lt;/div&gt;
					&lt;div class='col-md-12 form-group row'&gt;
						&lt;label class='col-md-2 form-control title'&gt;Special Color&lt;/label&gt;
						&lt;input type='text' class='col-md-10 form-control input-text' name='SpecialColor' [(ngModel)]='rowdata.specialColor'&gt;
					&lt;/div&gt;
					&lt;div class='col-md-12 form-group row'&gt;
						&lt;label class='col-md-2 form-control title'&gt;Process&lt;/label&gt;
						&lt;input type='text' class='col-md-10 form-control input-text' name='Process' [(ngModel)]='rowdata.process'&gt;
					&lt;/div&gt;
					&lt;div class='col-md-12 form-group row'&gt;
						&lt;label class='col-md-2 form-control title'&gt;Pk Process&lt;/label&gt;
						&lt;input type='text' class='col-md-10 form-control input-text' name='PkProcess' [(ngModel)]='rowdata.pkProcess'&gt;
					&lt;/div&gt;
					&lt;div class='col-md-12 form-group row'&gt;
						&lt;label class='col-md-2 form-control title'&gt;Prod Line&lt;/label&gt;
						&lt;input type='text' class='col-md-10 form-control input-text' name='ProdLine' [(ngModel)]='rowdata.prodLine'&gt;
					&lt;/div&gt;
					&lt;div class='col-md-12 form-group row'&gt;
						&lt;label class='col-md-2 form-control title'&gt;Working Date&lt;/label&gt;
						&lt;input type='text' class='col-md-10 form-control input-text' name='workingDate' 
						#datepicker='bsDatepicker' [(ngModel)]='rowdata.workingDate'  bsDatepicker &gt;
					&lt;/div&gt;
					&lt;div class='col-md-12 form-group row'&gt;
						&lt;label class='col-md-2 form-control title'&gt;Shift&lt;/label&gt;
						&lt;input type='text' class='col-md-10 form-control input-text' name='Shift' [(ngModel)]='rowdata.shift'&gt;
					&lt;/div&gt;
					&lt;div class='col-md-12 form-group row'&gt;
						&lt;label class='col-md-2 form-control title'&gt;No In Date&lt;/label&gt;
						&lt;input type='number' class='col-md-10 form-control input-text' name='NoInDate' [(ngModel)]='rowdata.noInDate'&gt;
					&lt;/div&gt;
					&lt;div class='col-md-12 form-group row'&gt;
						&lt;label class='col-md-2 form-control title'&gt;No In Shift&lt;/label&gt;
						&lt;input type='number' class='col-md-10 form-control input-text' name='NoInShift' [(ngModel)]='rowdata.noInShift'&gt;
					&lt;/div&gt;
					&lt;div class='col-md-12 form-group row'&gt;
						&lt;label class='col-md-2 form-control title'&gt;Takt Time Start&lt;/label&gt;
						&lt;input type='text' class='col-md-10 form-control input-text' name='taktTimeStart' 
						#datepicker='bsDatepicker' [(ngModel)]='rowdata.taktTimeStart'  bsDatepicker &gt;
					&lt;/div&gt;
					&lt;div class='col-md-12 form-group row'&gt;
						&lt;label class='col-md-2 form-control title'&gt;To Up Date&lt;/label&gt;
						&lt;input type='text' class='col-md-10 form-control input-text' name='toUpDate' 
						#datepicker='bsDatepicker' [(ngModel)]='rowdata.toUpDate'  bsDatepicker &gt;
					&lt;/div&gt;
					&lt;div class='col-md-12 form-group row'&gt;
						&lt;label class='col-md-2 form-control title'&gt;Up Date&lt;/label&gt;
						&lt;input type='text' class='col-md-10 form-control input-text' name='upDate' 
						#datepicker='bsDatepicker' [(ngModel)]='rowdata.upDate'  bsDatepicker &gt;
					&lt;/div&gt;
					&lt;div class='col-md-12 form-group row'&gt;
						&lt;label class='col-md-2 form-control title'&gt;Up Punch Date&lt;/label&gt;
						&lt;input type='text' class='col-md-10 form-control input-text' name='upPunchDate' 
						#datepicker='bsDatepicker' [(ngModel)]='rowdata.upPunchDate'  bsDatepicker &gt;
					&lt;/div&gt;
					&lt;div class='col-md-12 form-group row'&gt;
						&lt;label class='col-md-2 form-control title'&gt;Up Skip Date&lt;/label&gt;
						&lt;input type='text' class='col-md-10 form-control input-text' name='upSkipDate' 
						#datepicker='bsDatepicker' [(ngModel)]='rowdata.upSkipDate'  bsDatepicker &gt;
					&lt;/div&gt;
					&lt;div class='col-md-12 form-group row'&gt;
						&lt;label class='col-md-2 form-control title'&gt;Up Recoat Date&lt;/label&gt;
						&lt;input type='text' class='col-md-10 form-control input-text' name='upRecoatDate' 
						#datepicker='bsDatepicker' [(ngModel)]='rowdata.upRecoatDate'  bsDatepicker &gt;
					&lt;/div&gt;
					&lt;div class='col-md-12 form-group row'&gt;
						&lt;label class='col-md-2 form-control title'&gt;Sub Assy Date&lt;/label&gt;
						&lt;input type='text' class='col-md-10 form-control input-text' name='subAssyDate' 
						#datepicker='bsDatepicker' [(ngModel)]='rowdata.subAssyDate'  bsDatepicker &gt;
					&lt;/div&gt;
					&lt;div class='col-md-12 form-group row'&gt;
						&lt;label class='col-md-2 form-control title'&gt;Sub Assy Punch Date&lt;/label&gt;
						&lt;input type='text' class='col-md-10 form-control input-text' name='subAssyPunchDate' 
						#datepicker='bsDatepicker' [(ngModel)]='rowdata.subAssyPunchDate'  bsDatepicker &gt;
					&lt;/div&gt;
					&lt;div class='col-md-12 form-group row'&gt;
						&lt;label class='col-md-2 form-control title'&gt;Sub Assy Skip Date&lt;/label&gt;
						&lt;input type='text' class='col-md-10 form-control input-text' name='subAssySkipDate' 
						#datepicker='bsDatepicker' [(ngModel)]='rowdata.subAssySkipDate'  bsDatepicker &gt;
					&lt;/div&gt;
					&lt;div class='col-md-12 form-group row'&gt;
						&lt;label class='col-md-2 form-control title'&gt;Sub Assy Recoat Date&lt;/label&gt;
						&lt;input type='text' class='col-md-10 form-control input-text' name='subAssyRecoatDate' 
						#datepicker='bsDatepicker' [(ngModel)]='rowdata.subAssyRecoatDate'  bsDatepicker &gt;
					&lt;/div&gt;
					&lt;div class='col-md-12 form-group row'&gt;
						&lt;label class='col-md-2 form-control title'&gt;Signal Code&lt;/label&gt;
						&lt;input type='text' class='col-md-10 form-control input-text' name='SignalCode' [(ngModel)]='rowdata.signalCode'&gt;
					&lt;/div&gt;
					&lt;div class='col-md-12 form-group row'&gt;
						&lt;label class='col-md-2 form-control title'&gt;Up Signal Date&lt;/label&gt;
						&lt;input type='text' class='col-md-10 form-control input-text' name='upSignalDate' 
						#datepicker='bsDatepicker' [(ngModel)]='rowdata.upSignalDate'  bsDatepicker &gt;
					&lt;/div&gt;
					&lt;div class='col-md-12 form-group row'&gt;
						&lt;label class='col-md-2 form-control title'&gt;Sub Assy Signal Date&lt;/label&gt;
						&lt;input type='text' class='col-md-10 form-control input-text' name='subAssySignalDate' 
						#datepicker='bsDatepicker' [(ngModel)]='rowdata.subAssySignalDate'  bsDatepicker &gt;
					&lt;/div&gt;
					&lt;div class='col-md-12 form-group row'&gt;
						&lt;label class='col-md-2 form-control title'&gt;Status&lt;/label&gt;
						&lt;input type='text' class='col-md-10 form-control input-text' name='Status' [(ngModel)]='rowdata.status'&gt;
					&lt;/div&gt;
					&lt;div class='col-md-12 form-group row'&gt;
						&lt;label class='col-md-2 form-control title'&gt;Is Active&lt;/label&gt;
						&lt;new-checkbox [(ngModel)]='_isActive' name='isActive' className='col-md-10' &gt; &lt;/new-checkbox&gt;
					&lt;/div&gt;              
                    &lt;div class="modal-footer"&gt;
                        &lt;button type="submit" class="btn btn-primary font-weight-bold"&gt;
                            &lt;i class="fa tmss-fa fa-save mr-1"&gt;&lt;/i&gt;
                            &lt;span&gt;{{ l('Save') }}&lt;/span&gt;
                        &lt;/button&gt;
                        &lt;button (click)="close()" type="button" class="btn btn-light-primary font-weight-bold"&gt;
                            &lt;i class="fa tmss-fa fa-times mr-1"&gt;&lt;/i&gt;
                            {{ l('Cancel') }}
                        &lt;/button&gt;
                    &lt;/div&gt;
                &lt;/div&gt;    
            &lt;/form&gt;
        &lt;/div&gt;
    &lt;/div&gt;
&lt;/div&gt;</v>
      </c>
      <c r="G66" s="49" t="str">
        <f ca="1">B.Frontend!L10</f>
        <v>import { Component, ViewChild, Injector, ElementRef, Output, EventEmitter, HostListener } from '@angular/core';
import { ModalDirective } from 'ngx-bootstrap/modal';
import { AppComponentBase } from '@shared/common/app-component-base';
import { finalize } from 'rxjs/operators';
import { CreateOrEditPtsBmpProgressDto, PtsBmpProgressServiceProxy } from '@shared/service-proxies/service-proxies';
import { BsDatepickerDirective } from 'ngx-bootstrap/datepicker';
@Component({
    selector: 'create-or-edit-progress-modal',
    templateUrl: './create-or-edit-progress-modal.component.html',
    styleUrls: ['./create-or-edit-progress-modal.component.less']
    })
export class CreateOrEditProgressModalComponent extends AppComponentBase {
    @ViewChild('createOrEditModalProgress', { static: true }) modal: ModalDirective | undefined;
    @ViewChild('nameInput') nameInput: ElementRef;
    @ViewChild('datepicker', { static: false }) datepicker!: BsDatepickerDirective;
    @Output() modalSave: EventEmitter&lt;any&gt; = new EventEmitter&lt;any&gt;();
    @Output() modalClose: EventEmitter&lt;any&gt; = new EventEmitter&lt;any&gt;();
    rowdata: CreateOrEditPtsBmpProgressDto = new CreateOrEditPtsBmpProgressDto();
    active: boolean = false;
    saving: boolean = false;
    _isPunch
isBumper
isActive: boolean;
    constructor(
        injector: Injector,
        private _mstwptProgressService: PtsBmpProgressServiceProxy,
    ) 
    {
        super(injector);
    }
    show(rowdata?: CreateOrEditPtsBmpProgressDto): void {
        if (!rowdata) this.rowdata = new CreateOrEditPtsBmpProgressDto();
        else this.rowdata = rowdata;
		const dateValue =  this.rowdata.workingDate ? new Date(this.rowdata.workingDate?.toString()) : new Date();
		this.datepicker?.bsValueChange.emit(dateValue);
		const dateValue =  this.rowdata.taktTimeStart ? new Date(this.rowdata.taktTimeStart?.toString()) : new Date();
		this.datepicker?.bsValueChange.emit(dateValue);
		const dateValue =  this.rowdata.toUpDate ? new Date(this.rowdata.toUpDate?.toString()) : new Date();
		this.datepicker?.bsValueChange.emit(dateValue);
		const dateValue =  this.rowdata.upDate ? new Date(this.rowdata.upDate?.toString()) : new Date();
		this.datepicker?.bsValueChange.emit(dateValue);
		const dateValue =  this.rowdata.upPunchDate ? new Date(this.rowdata.upPunchDate?.toString()) : new Date();
		this.datepicker?.bsValueChange.emit(dateValue);
		const dateValue =  this.rowdata.upSkipDate ? new Date(this.rowdata.upSkipDate?.toString()) : new Date();
		this.datepicker?.bsValueChange.emit(dateValue);
		const dateValue =  this.rowdata.upRecoatDate ? new Date(this.rowdata.upRecoatDate?.toString()) : new Date();
		this.datepicker?.bsValueChange.emit(dateValue);
		const dateValue =  this.rowdata.subAssyDate ? new Date(this.rowdata.subAssyDate?.toString()) : new Date();
		this.datepicker?.bsValueChange.emit(dateValue);
		const dateValue =  this.rowdata.subAssyPunchDate ? new Date(this.rowdata.subAssyPunchDate?.toString()) : new Date();
		this.datepicker?.bsValueChange.emit(dateValue);
		const dateValue =  this.rowdata.subAssySkipDate ? new Date(this.rowdata.subAssySkipDate?.toString()) : new Date();
		this.datepicker?.bsValueChange.emit(dateValue);
		const dateValue =  this.rowdata.subAssyRecoatDate ? new Date(this.rowdata.subAssyRecoatDate?.toString()) : new Date();
		this.datepicker?.bsValueChange.emit(dateValue);
		const dateValue =  this.rowdata.upSignalDate ? new Date(this.rowdata.upSignalDate?.toString()) : new Date();
		this.datepicker?.bsValueChange.emit(dateValue);
		const dateValue =  this.rowdata.subAssySignalDate ? new Date(this.rowdata.subAssySignalDate?.toString()) : new Date();
		this.datepicker?.bsValueChange.emit(dateValue);
        this._isPunch
isBumper
isActive = (this.rowdata.isPunch
isBumper
isActive == "N")? false: true;
        this.active = true;
        this.modal.show();
    } 
    changeActive(event){
        this._isPunch
isBumper
isActive = event.target.checked;
    }
    save(): void {
    this.saving = true; 
    this.rowdata.isPunch
isBumper
isActive = (this._isPunch
isBumper
isActive == true) ? 'Y' : 'N'
    this._mstwptProgressService.createOrEdit(this.rowdata)
        .pipe( finalize(() =&gt;  this.saving = false))
        .subscribe(() =&gt; {
            this.notify.info(this.l('SavedSuccessfully'));
            this.close();
            this.modal?.hide();
            this.modalSave.emit(this.rowdata);
        });
    this.saving = false;
    }
    close(): void {
        this.active = false;
        this.modal?.hide();
        this.modalClose.emit(null);
    }
    @HostListener('document:keydown', ['$event']) 
        onKeydownHandler(event: KeyboardEvent) {
            if (event.key === "Escape") {
                this.close();
            }
        }
}</v>
      </c>
      <c r="H66" s="49" t="str">
        <f>B.Frontend!M10</f>
        <v>.modal-header{
    border-bottom: none;
}
.title-form{
    margin-left: 40% !important;
}
.form-input{
    margin-left: 3%;
    margin-top: 2%;
}
.form-input .form-group .title{
    border-radius: 5px !important;
    padding-top: 1% !important;
    text-align: center;
    background-color: #b3ecec !important;
}
.form-input .form-group .input-text{
    border-radius: 5px !important;
    text-align: center;
    border: 1px solid #d8b3fb !important;
}
.form-input .form-group .checkboxActive{
    text-align: left !important;
    padding-left: 15%;
}</v>
      </c>
      <c r="I66" s="49" t="str">
        <f>B.Frontend!N10</f>
        <v>import {NgModule} from '@angular/core';
import {AppSharedModule} from '@app/shared/app-shared.module';
import { ProgressRoutingModule } from './progress-routing.module';
import { ProgressComponent } from './progress.component';
import { CreateOrEditProgressModalComponent } from './create-or-edit-progress-modal.component';
@NgModule({
    declarations: [
       ProgressComponent, 
        CreateOrEditProgressModalComponent
    ],
    imports: [
        AppSharedModule, ProgressRoutingModule]
})
export class ProgressModule {}</v>
      </c>
      <c r="J66" s="49" t="str">
        <f>B.Frontend!O10</f>
        <v>import {NgModule} from '@angular/core';
import {RouterModule, Routes} from '@angular/router';
import { ProgressComponent } from './progress.component';
const routes: Routes = [{
    path: '',
    component: ProgressComponent,
    pathMatch: 'full'
}];
@NgModule({
    imports: [RouterModule.forChild(routes)],
    exports: [RouterModule],
})
export class ProgressRoutingModule {}</v>
      </c>
      <c r="K66" s="49" t="str">
        <f>B.Frontend!P10</f>
        <v xml:space="preserve"> new AppMenuItem("Progress", "Pages.Painting.Bumper.Progress", "flaticon-book",   "/app/main/painting/bumper/progress"),</v>
      </c>
      <c r="L66" s="50" t="str">
        <f>B.Frontend!Q10</f>
        <v>{
    path: 'painting/bumper/progress',
    loadChildren: () =&gt; import('./painting/bumper/progress/progress.module').then(m =&gt; m.ProgressModule),
    data: { permission: 'Pages.Painting.Bumper.Progress' }
},</v>
      </c>
      <c r="M66" s="48" t="str">
        <f>B.Frontend!R10</f>
        <v>ApiServiceProxies.PtsBmpProgressServiceProxy,</v>
      </c>
    </row>
    <row r="68" spans="2:13" x14ac:dyDescent="0.25">
      <c r="B68" s="1" t="s">
        <v>75</v>
      </c>
    </row>
  </sheetData>
  <mergeCells count="2">
    <mergeCell ref="C64:J64"/>
    <mergeCell ref="K64:L64"/>
  </mergeCells>
  <pageMargins left="0.7" right="0.7" top="0.75" bottom="0.75" header="0.3" footer="0.3"/>
  <pageSetup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W47"/>
  <sheetViews>
    <sheetView workbookViewId="0">
      <pane xSplit="1" topLeftCell="B1" activePane="topRight" state="frozen"/>
      <selection pane="topRight" activeCell="A18" sqref="A18"/>
    </sheetView>
  </sheetViews>
  <sheetFormatPr defaultColWidth="9.140625" defaultRowHeight="15" x14ac:dyDescent="0.25"/>
  <cols>
    <col min="1" max="1" width="20.85546875" style="8" customWidth="1"/>
    <col min="2" max="2" width="20.42578125" style="9" customWidth="1"/>
    <col min="3" max="3" width="19.42578125" style="8" customWidth="1"/>
    <col min="4" max="4" width="23.42578125" style="8" customWidth="1"/>
    <col min="5" max="5" width="14.42578125" style="8" customWidth="1"/>
    <col min="6" max="6" width="14.85546875" style="8" customWidth="1"/>
    <col min="7" max="7" width="17.28515625" style="8" bestFit="1" customWidth="1"/>
    <col min="8" max="8" width="15" style="8" customWidth="1"/>
    <col min="9" max="9" width="16" style="8" customWidth="1"/>
    <col min="10" max="10" width="15.85546875" style="8" customWidth="1"/>
    <col min="11" max="11" width="16" style="8" customWidth="1"/>
    <col min="12" max="12" width="16.7109375" style="8" customWidth="1"/>
    <col min="13" max="13" width="17.42578125" style="8" customWidth="1"/>
    <col min="14" max="14" width="16.140625" style="8" customWidth="1"/>
    <col min="15" max="15" width="14.7109375" style="8" customWidth="1"/>
    <col min="16" max="16" width="16" style="8" customWidth="1"/>
    <col min="17" max="17" width="15.7109375" style="8" customWidth="1"/>
    <col min="18" max="18" width="19.42578125" style="8" customWidth="1"/>
    <col min="19" max="19" width="20.42578125" style="8" customWidth="1"/>
    <col min="20" max="20" width="17" style="8" customWidth="1"/>
    <col min="21" max="21" width="14" style="8" customWidth="1"/>
    <col min="22" max="22" width="15.140625" style="8" customWidth="1"/>
    <col min="23" max="23" width="27.85546875" style="9" customWidth="1"/>
    <col min="24" max="16384" width="9.140625" style="8"/>
  </cols>
  <sheetData>
    <row r="1" spans="1:23" s="11" customFormat="1" ht="14.25" customHeight="1" x14ac:dyDescent="0.25">
      <c r="A1" s="1" t="s">
        <v>11</v>
      </c>
      <c r="B1" s="10" t="s">
        <v>71</v>
      </c>
      <c r="C1" s="10" t="s">
        <v>54</v>
      </c>
      <c r="D1" s="10" t="str">
        <f>"using Abp.Application.Services;
using Abp.Application.Services.Dto;
using System.Collections.Generic;using vovina.Dto;
using System.Threading.Tasks;
"&amp;"using vovina."&amp;B2&amp;".Dto;"</f>
        <v>using Abp.Application.Services;
using Abp.Application.Services.Dto;
using System.Collections.Generic;using vovina.Dto;
using System.Threading.Tasks;
using vovina.Painting.Bumper.Dto;</v>
      </c>
      <c r="E1" s="10" t="s">
        <v>266</v>
      </c>
      <c r="F1" s="11" t="s">
        <v>239</v>
      </c>
      <c r="H1" s="11" t="s">
        <v>240</v>
      </c>
      <c r="J1" s="11" t="s">
        <v>241</v>
      </c>
      <c r="L1" s="11" t="s">
        <v>242</v>
      </c>
      <c r="M1" s="11" t="s">
        <v>243</v>
      </c>
      <c r="N1" s="11" t="s">
        <v>244</v>
      </c>
      <c r="O1" s="11" t="s">
        <v>245</v>
      </c>
      <c r="T1" s="10" t="s">
        <v>258</v>
      </c>
      <c r="U1" s="10" t="s">
        <v>230</v>
      </c>
      <c r="W1" s="10"/>
    </row>
    <row r="2" spans="1:23" s="11" customFormat="1" x14ac:dyDescent="0.25">
      <c r="A2" s="1" t="s">
        <v>12</v>
      </c>
      <c r="B2" s="30" t="s">
        <v>363</v>
      </c>
      <c r="C2" s="14" t="s">
        <v>40</v>
      </c>
      <c r="D2" s="14" t="s">
        <v>41</v>
      </c>
      <c r="E2" s="14" t="s">
        <v>42</v>
      </c>
      <c r="F2" s="14" t="s">
        <v>51</v>
      </c>
      <c r="G2" s="14" t="s">
        <v>49</v>
      </c>
      <c r="H2" s="14" t="s">
        <v>52</v>
      </c>
      <c r="I2" s="14" t="s">
        <v>45</v>
      </c>
      <c r="J2" s="14" t="s">
        <v>53</v>
      </c>
      <c r="K2" s="14" t="s">
        <v>55</v>
      </c>
      <c r="L2" s="14" t="s">
        <v>62</v>
      </c>
      <c r="M2" s="14" t="s">
        <v>61</v>
      </c>
      <c r="N2" s="14" t="s">
        <v>65</v>
      </c>
      <c r="O2" s="14" t="s">
        <v>85</v>
      </c>
      <c r="T2" s="11" t="s">
        <v>246</v>
      </c>
      <c r="V2" s="11" t="s">
        <v>247</v>
      </c>
      <c r="W2" s="10" t="s">
        <v>257</v>
      </c>
    </row>
    <row r="3" spans="1:23" s="11" customFormat="1" ht="33" customHeight="1" x14ac:dyDescent="0.25">
      <c r="A3" s="1" t="s">
        <v>5</v>
      </c>
      <c r="B3" s="30" t="s">
        <v>364</v>
      </c>
      <c r="C3" s="10" t="s">
        <v>43</v>
      </c>
      <c r="D3" s="10" t="s">
        <v>44</v>
      </c>
      <c r="E3" s="10" t="s">
        <v>39</v>
      </c>
      <c r="F3" s="11" t="str">
        <f>"J"&amp;COUNTA($A:$A)</f>
        <v>J45</v>
      </c>
      <c r="G3" s="4" t="s">
        <v>57</v>
      </c>
      <c r="H3" s="10" t="str">
        <f>"I"&amp;COUNTA($A:$A)</f>
        <v>I45</v>
      </c>
      <c r="I3" s="10" t="str">
        <f>REPT(CHAR(9),2)&amp;"[Required]"&amp;"
"</f>
        <v xml:space="preserve">		[Required]
</v>
      </c>
      <c r="J3" s="11" t="str">
        <f>"L"&amp;COUNTA($A:$A)</f>
        <v>L45</v>
      </c>
      <c r="K3" s="5" t="s">
        <v>56</v>
      </c>
      <c r="L3" s="11" t="str">
        <f>"M"&amp;COUNTA($A:$A)</f>
        <v>M45</v>
      </c>
      <c r="M3" s="11" t="str">
        <f>"N"&amp;COUNTA($A:$A)</f>
        <v>N45</v>
      </c>
      <c r="N3" s="11" t="str">
        <f>"O"&amp;COUNTA($A:$A)</f>
        <v>O45</v>
      </c>
      <c r="O3" s="11" t="str">
        <f>"P"&amp;COUNTA($A:$A)</f>
        <v>P45</v>
      </c>
      <c r="Q3" s="11" t="str">
        <f>RIGHT(B2,(LEN(B2)-FIND(".",B2,1)))</f>
        <v>Bumper</v>
      </c>
      <c r="R3" s="32" t="str">
        <f>REPT(CHAR(9),1)&amp;"public class "&amp;B3&amp;"ExportInput"&amp;C3</f>
        <v xml:space="preserve">	public class PtsBmpProgressExportInput{
</v>
      </c>
      <c r="S3" s="11" t="str">
        <f>"namespace "&amp;$B$6&amp;".Exporting
"&amp;$C$3</f>
        <v xml:space="preserve">namespace vovina.Painting.Bumper.Exporting
{
</v>
      </c>
      <c r="T3" s="11" t="str">
        <f>"T"&amp;COUNTA($A:$A)</f>
        <v>T45</v>
      </c>
      <c r="V3" s="11" t="str">
        <f>"V"&amp;COUNTA($A:$A)</f>
        <v>V45</v>
      </c>
      <c r="W3" s="10" t="str">
        <f>"W"&amp;COUNTA($A:$A)</f>
        <v>W45</v>
      </c>
    </row>
    <row r="4" spans="1:23" s="11" customFormat="1" ht="33" customHeight="1" x14ac:dyDescent="0.25">
      <c r="A4" s="1" t="s">
        <v>237</v>
      </c>
      <c r="B4" s="64" t="s">
        <v>91</v>
      </c>
      <c r="C4" s="10"/>
      <c r="D4" s="10"/>
      <c r="E4" s="10"/>
      <c r="G4" s="4"/>
      <c r="H4" s="10"/>
      <c r="I4" s="10"/>
      <c r="K4" s="5"/>
      <c r="R4" s="32"/>
      <c r="W4" s="10"/>
    </row>
    <row r="5" spans="1:23" s="11" customFormat="1" ht="33" customHeight="1" x14ac:dyDescent="0.25">
      <c r="A5" s="1" t="s">
        <v>238</v>
      </c>
      <c r="B5" s="64" t="s">
        <v>365</v>
      </c>
      <c r="C5" s="10"/>
      <c r="D5" s="10"/>
      <c r="E5" s="10"/>
      <c r="G5" s="4"/>
      <c r="H5" s="10"/>
      <c r="I5" s="10"/>
      <c r="K5" s="5"/>
      <c r="R5" s="32"/>
      <c r="W5" s="10"/>
    </row>
    <row r="6" spans="1:23" customFormat="1" ht="16.5" customHeight="1" x14ac:dyDescent="0.25">
      <c r="A6" s="1" t="s">
        <v>6</v>
      </c>
      <c r="B6" s="10" t="str">
        <f>"vovina."&amp;B2</f>
        <v>vovina.Painting.Bumper</v>
      </c>
      <c r="C6" s="11" t="str">
        <f>"namespace "&amp;$B$6&amp;"
"&amp;$C$3</f>
        <v xml:space="preserve">namespace vovina.Painting.Bumper
{
</v>
      </c>
      <c r="D6" s="11" t="str">
        <f>REPT(CHAR(9),1)&amp;"public class "&amp;B3&amp;G3&amp;REPT(CHAR(9),1)&amp;"
"&amp;REPT(CHAR(9),1)&amp;C3</f>
        <v xml:space="preserve">	public class PtsBmpProgress: FullAuditedEntity&lt;long&gt;, IEntity&lt;long&gt;	
	{
</v>
      </c>
      <c r="E6" s="11" t="str">
        <f>REPT(CHAR(9),1)&amp;"public class "&amp;B3&amp;"Consts"&amp;REPT(CHAR(9),1)&amp;"
"&amp;REPT(CHAR(9),1)&amp;C3</f>
        <v xml:space="preserve">	public class PtsBmpProgressConsts	
	{
</v>
      </c>
      <c r="F6" s="11" t="str">
        <f>REPT(CHAR(9),1)&amp;"public class "&amp;B3&amp;"Dto"&amp;K3&amp;REPT(CHAR(9),1)&amp;"
"&amp;REPT(CHAR(9),1)&amp;C3</f>
        <v xml:space="preserve">	public class PtsBmpProgressDto : EntityDto&lt;long?&gt;	
	{
</v>
      </c>
      <c r="G6" s="11" t="str">
        <f>REPT(CHAR(9),1)&amp;"public class CreateOrEdit"&amp;B3&amp;"Dto"&amp;K3&amp;REPT(CHAR(9),1)&amp;"
"&amp;REPT(CHAR(9),1)&amp;C3</f>
        <v xml:space="preserve">	public class CreateOrEditPtsBmpProgressDto : EntityDto&lt;long?&gt;	
	{
</v>
      </c>
      <c r="H6" s="11" t="str">
        <f>REPT(CHAR(9),1)&amp;"public class Get"&amp;B3&amp;"Input : PagedAndSortedResultRequestDto"&amp;REPT(CHAR(9),1)&amp;"
"&amp;REPT(CHAR(9),1)&amp;C3</f>
        <v xml:space="preserve">	public class GetPtsBmpProgressInput : PagedAndSortedResultRequestDto	
	{
</v>
      </c>
      <c r="I6" s="11"/>
      <c r="J6" s="1" t="s">
        <v>72</v>
      </c>
      <c r="K6" s="1" t="s">
        <v>66</v>
      </c>
      <c r="L6" s="1" t="s">
        <v>67</v>
      </c>
      <c r="M6" s="1" t="s">
        <v>68</v>
      </c>
      <c r="N6" s="1" t="s">
        <v>236</v>
      </c>
      <c r="O6" s="1" t="s">
        <v>235</v>
      </c>
      <c r="P6" s="1" t="s">
        <v>69</v>
      </c>
      <c r="Q6" s="1" t="s">
        <v>70</v>
      </c>
      <c r="R6" s="1" t="s">
        <v>202</v>
      </c>
      <c r="S6" s="1" t="s">
        <v>204</v>
      </c>
      <c r="T6" s="1" t="s">
        <v>203</v>
      </c>
      <c r="U6" s="1" t="s">
        <v>227</v>
      </c>
      <c r="W6" s="28"/>
    </row>
    <row r="7" spans="1:23" customFormat="1" ht="15.75" customHeight="1" x14ac:dyDescent="0.25">
      <c r="A7" s="1" t="s">
        <v>13</v>
      </c>
      <c r="B7" s="10" t="str">
        <f>B3</f>
        <v>PtsBmpProgress</v>
      </c>
      <c r="C7" s="11" t="str">
        <f>REPT(CHAR(9),1)&amp;"[Table("""&amp;B7&amp;""")]"&amp;"
"</f>
        <v xml:space="preserve">	[Table("PtsBmpProgress")]
</v>
      </c>
      <c r="D7" s="11"/>
      <c r="E7" s="11"/>
      <c r="F7" s="11"/>
      <c r="G7" s="11"/>
      <c r="H7" s="11"/>
      <c r="I7" s="11"/>
      <c r="J7" s="6" t="str">
        <f ca="1">SUBSTITUTE(SUBSTITUTE((B1&amp;C6&amp;C7&amp;K47&amp;D6&amp;I47&amp;E3&amp;J47&amp;""&amp;REPT(CHAR(9),1)&amp;D3&amp;D3),"WorkingPattern",$Q$3),"Master",$B$4)</f>
        <v xml:space="preserve">using Abp.Domain.Entities;
using Abp.Domain.Entities.Auditing;
using Microsoft.EntityFrameworkCore;
using System;
using System.ComponentModel.DataAnnotations;
using System.ComponentModel.DataAnnotations.Schema;
namespace vovina.Painting.Bumper
{
	[Table("PtsBmpProgress")]
	[Index(nameof(PartId), Name="IX_PtsBmpProgress_PartId")]
	[Index(nameof(BackNo), Name="IX_PtsBmpProgress_BackNo")]
	[Index(nameof(PartTypeCode), Name="IX_PtsBmpProgress_PartTypeCode")]
	[Index(nameof(SequenceNo), Name="IX_PtsBmpProgress_SequenceNo")]
	[Index(nameof(ProdLine), Name="IX_PtsBmpProgress_ProdLine")]
	[Index(nameof(WorkingDate), Name="IX_PtsBmpProgress_WorkingDate")]
	[Index(nameof(Shift), Name="IX_PtsBmpProgress_Shift")]
	[Index(nameof(SignalId), Name="IX_PtsBmpProgress_SignalId")]
	[Index(nameof(Status), Name="IX_PtsBmpProgress_Status")]
	[Index(nameof(IsActive), Name="IX_PtsBmpProgress_IsActive")]	public class PtsBmpProgress: FullAuditedEntity&lt;long&gt;, IEntity&lt;long&gt;	
	{
		public const int MaxBackNoLength = 50;
		public const int MaxModelLength = 50;
		public const int MaxCfcLength = 50;
		public const int MaxGradeLength = 50;
		public const int MaxPartTypeCodeLength = 50;
		public const int MaxIsPunchLength = 1;
		public const int MaxIsBumperLength = 1;
		public const int MaxLotNoLength = 50;
		public const int MaxSequenceNoLength = 50;
		public const int MaxBodyNoLength = 50;
		public const int MaxColorLength = 50;
		public const int MaxSpecialColorLength = 50;
		public const int MaxProcessLength = 50;
		public const int MaxPkProcessLength = 50;
		public const int MaxProdLineLength = 50;
		public const int MaxShiftLength = 50;
		public const int MaxSignalCodeLength = 50;
		public const int MaxStatusLength = 50;
		public const int MaxIsActiveLength = 1;
		public virtual long PartId { get; set; }
		[StringLength(MaxBackNoLength)]
		public virtual string BackNo { get; set; }
		[StringLength(MaxModelLength)]
		public virtual string Model { get; set; }
		[StringLength(MaxCfcLength)]
		public virtual string Cfc { get; set; }
		[StringLength(MaxGradeLength)]
		public virtual string Grade { get; set; }
		[StringLength(MaxPartTypeCodeLength)]
		public virtual string PartTypeCode { get; set; }
		[StringLength(MaxIsPunchLength)]
		public virtual string IsPunch { get; set; }
		[StringLength(MaxIsBumperLength)]
		public virtual string IsBumper { get; set; }
		[StringLength(MaxLotNoLength)]
		public virtual string LotNo { get; set; }
		public virtual int NoInLot { get; set; }
		[StringLength(MaxSequenceNoLength)]
		public virtual string SequenceNo { get; set; }
		[StringLength(MaxBodyNoLength)]
		public virtual string BodyNo { get; set; }
		[StringLength(MaxColorLength)]
		public virtual string Color { get; set; }
		[StringLength(MaxSpecialColorLength)]
		public virtual string SpecialColor { get; set; }
		[StringLength(MaxProcessLength)]
		public virtual string Process { get; set; }
		[StringLength(MaxPkProcessLength)]
		public virtual string PkProcess { get; set; }
		[StringLength(MaxProdLineLength)]
		public virtual string ProdLine { get; set; }
		public virtual DateTime WorkingDate { get; set; }
		[StringLength(MaxShiftLength)]
		public virtual string Shift { get; set; }
		public virtual int NoInDate { get; set; }
		public virtual int NoInShift { get; set; }
		[Column(TypeName="datetime2(7)")]
		public virtual DateTime TaktTimeStart { get; set; }
		[Column(TypeName="datetime2(7)")]
		public virtual DateTime ToUpDate { get; set; }
		[Column(TypeName="datetime2(7)")]
		public virtual DateTime UpDate { get; set; }
		[Column(TypeName="datetime2(7)")]
		public virtual DateTime UpPunchDate { get; set; }
		[Column(TypeName="datetime2(7)")]
		public virtual DateTime UpSkipDate { get; set; }
		[Column(TypeName="datetime2(7)")]
		public virtual DateTime UpRecoatDate { get; set; }
		[Column(TypeName="datetime2(7)")]
		public virtual DateTime SubAssyDate { get; set; }
		[Column(TypeName="datetime2(7)")]
		public virtual DateTime SubAssyPunchDate { get; set; }
		[Column(TypeName="datetime2(7)")]
		public virtual DateTime SubAssySkipDate { get; set; }
		[Column(TypeName="datetime2(7)")]
		public virtual DateTime SubAssyRecoatDate { get; set; }
		public virtual long SignalId { get; set; }
		[StringLength(MaxSignalCodeLength)]
		public virtual string SignalCode { get; set; }
		[Column(TypeName="datetime2(7)")]
		public virtual DateTime UpSignalDate { get; set; }
		[Column(TypeName="datetime2(7)")]
		public virtual DateTime SubAssySignalDate { get; set; }
		[StringLength(MaxStatusLength)]
		public virtual string Status { get; set; }
		[StringLength(MaxIsActiveLength)]
		public virtual string IsActive { get; set; }
	}
}
</v>
      </c>
      <c r="K7" t="str">
        <f>SUBSTITUTE(SUBSTITUTE(("public virtual DbSet&lt;"&amp;B3&amp;"&gt; "&amp;B3&amp;"s { get; set; }"),"WorkingPattern",$Q$3),"Master",$B$4)</f>
        <v>public virtual DbSet&lt;PtsBmpProgress&gt; PtsBmpProgresss { get; set; }</v>
      </c>
      <c r="L7" t="str">
        <f ca="1">SUBSTITUTE(SUBSTITUTE((C6&amp;E6&amp;I47&amp;"
"&amp;REPT(CHAR(9),2)&amp;"// Define Store Name: Format SP_ + &lt;Store Name&gt; = &lt;Store Name&gt;
"&amp;E3&amp;REPT(CHAR(9),1)&amp;D3&amp;D3),"WorkingPattern",$Q$3),"Master",$B$4)</f>
        <v xml:space="preserve">namespace vovina.Painting.Bumper
{
	public class PtsBmpProgressConsts	
	{
		public const int MaxBackNoLength = 50;
		public const int MaxModelLength = 50;
		public const int MaxCfcLength = 50;
		public const int MaxGradeLength = 50;
		public const int MaxPartTypeCodeLength = 50;
		public const int MaxIsPunchLength = 1;
		public const int MaxIsBumperLength = 1;
		public const int MaxLotNoLength = 50;
		public const int MaxSequenceNoLength = 50;
		public const int MaxBodyNoLength = 50;
		public const int MaxColorLength = 50;
		public const int MaxSpecialColorLength = 50;
		public const int MaxProcessLength = 50;
		public const int MaxPkProcessLength = 50;
		public const int MaxProdLineLength = 50;
		public const int MaxShiftLength = 50;
		public const int MaxSignalCodeLength = 50;
		public const int MaxStatusLength = 50;
		public const int MaxIsActiveLength = 1;
		// Define Store Name: Format SP_ + &lt;Store Name&gt; = &lt;Store Name&gt;
	}
}
</v>
      </c>
      <c r="M7" t="str">
        <f ca="1">SUBSTITUTE(SUBSTITUTE((C1&amp;"namespace "&amp;B6&amp;".Dto"&amp;E3&amp;C3&amp;F6&amp;M47&amp;E3&amp;REPT(CHAR(9),1)&amp;D3&amp;G6&amp;N47&amp;REPT(CHAR(9),1)&amp;D3&amp;H6&amp;O47&amp;"
"&amp;REPT(CHAR(9),1)&amp;D3&amp;D3),"WorkingPattern",$Q$3),"Master",$B$4)</f>
        <v xml:space="preserve">using Abp.Application.Services.Dto;
using System;
using System.ComponentModel.DataAnnotations;
namespace vovina.Painting.Bumper.Dto
{
	public class PtsBmpProgressDto : EntityDto&lt;long?&gt;	
	{
		public virtual long PartId { get; set; }
		public virtual string BackNo { get; set; }
		public virtual string Model { get; set; }
		public virtual string Cfc { get; set; }
		public virtual string Grade { get; set; }
		public virtual string PartTypeCode { get; set; }
		public virtual string IsPunch { get; set; }
		public virtual string IsBumper { get; set; }
		public virtual string LotNo { get; set; }
		public virtual int NoInLot { get; set; }
		public virtual string SequenceNo { get; set; }
		public virtual string BodyNo { get; set; }
		public virtual string Color { get; set; }
		public virtual string SpecialColor { get; set; }
		public virtual string Process { get; set; }
		public virtual string PkProcess { get; set; }
		public virtual string ProdLine { get; set; }
		public virtual DateTime? WorkingDate { get; set; }
		public virtual string Shift { get; set; }
		public virtual int NoInDate { get; set; }
		public virtual int NoInShift { get; set; }
		public virtual DateTime? TaktTimeStart { get; set; }
		public virtual DateTime? ToUpDate { get; set; }
		public virtual DateTime? UpDate { get; set; }
		public virtual DateTime? UpPunchDate { get; set; }
		public virtual DateTime? UpSkipDate { get; set; }
		public virtual DateTime? UpRecoatDate { get; set; }
		public virtual DateTime? SubAssyDate { get; set; }
		public virtual DateTime? SubAssyPunchDate { get; set; }
		public virtual DateTime? SubAssySkipDate { get; set; }
		public virtual DateTime? SubAssyRecoatDate { get; set; }
		public virtual long SignalId { get; set; }
		public virtual string SignalCode { get; set; }
		public virtual DateTime? UpSignalDate { get; set; }
		public virtual DateTime? SubAssySignalDate { get; set; }
		public virtual string Status { get; set; }
		public virtual string IsActive { get; set; }
	}
	public class CreateOrEditPtsBmpProgressDto : EntityDto&lt;long?&gt;	
	{
		public virtual long PartId { get; set; }
		[StringLength(PtsBmpProgressConsts.MaxBackNoLength)]
		public virtual string BackNo { get; set; }
		[StringLength(PtsBmpProgressConsts.MaxModelLength)]
		public virtual string Model { get; set; }
		[StringLength(PtsBmpProgressConsts.MaxCfcLength)]
		public virtual string Cfc { get; set; }
		[StringLength(PtsBmpProgressConsts.MaxGradeLength)]
		public virtual string Grade { get; set; }
		[StringLength(PtsBmpProgressConsts.MaxPartTypeCodeLength)]
		public virtual string PartTypeCode { get; set; }
		[StringLength(PtsBmpProgressConsts.MaxIsPunchLength)]
		public virtual string IsPunch { get; set; }
		[StringLength(PtsBmpProgressConsts.MaxIsBumperLength)]
		public virtual string IsBumper { get; set; }
		[StringLength(PtsBmpProgressConsts.MaxLotNoLength)]
		public virtual string LotNo { get; set; }
		public virtual int NoInLot { get; set; }
		[StringLength(PtsBmpProgressConsts.MaxSequenceNoLength)]
		public virtual string SequenceNo { get; set; }
		[StringLength(PtsBmpProgressConsts.MaxBodyNoLength)]
		public virtual string BodyNo { get; set; }
		[StringLength(PtsBmpProgressConsts.MaxColorLength)]
		public virtual string Color { get; set; }
		[StringLength(PtsBmpProgressConsts.MaxSpecialColorLength)]
		public virtual string SpecialColor { get; set; }
		[StringLength(PtsBmpProgressConsts.MaxProcessLength)]
		public virtual string Process { get; set; }
		[StringLength(PtsBmpProgressConsts.MaxPkProcessLength)]
		public virtual string PkProcess { get; set; }
		[StringLength(PtsBmpProgressConsts.MaxProdLineLength)]
		public virtual string ProdLine { get; set; }
		public virtual DateTime? WorkingDate { get; set; }
		[StringLength(PtsBmpProgressConsts.MaxShiftLength)]
		public virtual string Shift { get; set; }
		public virtual int NoInDate { get; set; }
		public virtual int NoInShift { get; set; }
		public virtual DateTime? TaktTimeStart { get; set; }
		public virtual DateTime? ToUpDate { get; set; }
		public virtual DateTime? UpDate { get; set; }
		public virtual DateTime? UpPunchDate { get; set; }
		public virtual DateTime? UpSkipDate { get; set; }
		public virtual DateTime? UpRecoatDate { get; set; }
		public virtual DateTime? SubAssyDate { get; set; }
		public virtual DateTime? SubAssyPunchDate { get; set; }
		public virtual DateTime? SubAssySkipDate { get; set; }
		public virtual DateTime? SubAssyRecoatDate { get; set; }
		public virtual long SignalId { get; set; }
		[StringLength(PtsBmpProgressConsts.MaxSignalCodeLength)]
		public virtual string SignalCode { get; set; }
		public virtual DateTime? UpSignalDate { get; set; }
		public virtual DateTime? SubAssySignalDate { get; set; }
		[StringLength(PtsBmpProgressConsts.MaxStatusLength)]
		public virtual string Status { get; set; }
		[StringLength(PtsBmpProgressConsts.MaxIsActiveLength)]
		public virtual string IsActive { get; set; }
	}
	public class GetPtsBmpProgressInput : PagedAndSortedResultRequestDto	
	{
		public virtual string BackNo { get; set; }
		public virtual string Model { get; set; }
		public virtual string Cfc { get; set; }
		public virtual string Grade { get; set; }
		public virtual string PartTypeCode { get; set; }
		public virtual string IsPunch { get; set; }
		public virtual string IsBumper { get; set; }
		public virtual string LotNo { get; set; }
		public virtual int NoInLot { get; set; }
		public virtual string SequenceNo { get; set; }
		public virtual string BodyNo { get; set; }
		public virtual string Color { get; set; }
		public virtual string SpecialColor { get; set; }
		public virtual string Process { get; set; }
		public virtual string PkProcess { get; set; }
		public virtual string ProdLine { get; set; }
		public virtual DateTime? WorkingDate { get; set; }
		public virtual string Shift { get; set; }
		public virtual int NoInDate { get; set; }
		public virtual int NoInShift { get; set; }
		public virtual DateTime? TaktTimeStart { get; set; }
		public virtual DateTime? ToUpDate { get; set; }
		public virtual DateTime? UpDate { get; set; }
		public virtual DateTime? UpPunchDate { get; set; }
		public virtual DateTime? UpSkipDate { get; set; }
		public virtual DateTime? UpRecoatDate { get; set; }
		public virtual DateTime? SubAssyDate { get; set; }
		public virtual DateTime? SubAssyPunchDate { get; set; }
		public virtual DateTime? SubAssySkipDate { get; set; }
		public virtual DateTime? SubAssyRecoatDate { get; set; }
		public virtual string SignalCode { get; set; }
		public virtual DateTime? UpSignalDate { get; set; }
		public virtual DateTime? SubAssySignalDate { get; set; }
		public virtual string Status { get; set; }
		public virtual string IsActive { get; set; }
	}
}
</v>
      </c>
      <c r="N7" t="str">
        <f>SUBSTITUTE(SUBSTITUTE((REPT(CHAR(9),2)&amp;"var per"&amp;B3&amp;" = PARENTS.CreateChildPermission(AppPermissions.Pages_"&amp;SUBSTITUTE(B2,".","_")&amp;"_"&amp;B5&amp;", L( """&amp;SUBSTITUTE(B2,".","")&amp;B5&amp;"""), multiTenancySides: MultiTenancySides.Tenant);"
&amp;E3&amp;REPT(CHAR(9),2)&amp;"per"&amp;B3&amp;".CreateChildPermission(AppPermissions.Pages_"&amp;SUBSTITUTE(B2,".","_")&amp;"_"&amp;B5&amp;"_CreateEdit, L( """&amp;SUBSTITUTE(B2,".","")&amp;B5&amp;"CreateEdit"&amp;"""), multiTenancySides: MultiTenancySides.Tenant);"
&amp;E3&amp;REPT(CHAR(9),2)&amp;"per"&amp;B3&amp;".CreateChildPermission(AppPermissions.Pages_"&amp;SUBSTITUTE(B2,".","_")&amp;"_"&amp;B5&amp;"_Delete, L( """&amp;SUBSTITUTE(B2,".","")&amp;B5&amp;"Delete"&amp;"""), multiTenancySides: MultiTenancySides.Tenant);"),"WorkingPattern",$Q$3),"Master",$B$4)</f>
        <v xml:space="preserve">		var perPtsBmpProgress = PARENTS.CreateChildPermission(AppPermissions.Pages_Painting_Bumper_Progress, L( "PaintingBumperProgress"), multiTenancySides: MultiTenancySides.Tenant);
		perPtsBmpProgress.CreateChildPermission(AppPermissions.Pages_Painting_Bumper_Progress_CreateEdit, L( "PaintingBumperProgressCreateEdit"), multiTenancySides: MultiTenancySides.Tenant);
		perPtsBmpProgress.CreateChildPermission(AppPermissions.Pages_Painting_Bumper_Progress_Delete, L( "PaintingBumperProgressDelete"), multiTenancySides: MultiTenancySides.Tenant);</v>
      </c>
      <c r="O7" s="28" t="str">
        <f>SUBSTITUTE(SUBSTITUTE((REPT(CHAR(9),2)&amp;"public const string Pages_"&amp;SUBSTITUTE(B2,".","_")&amp;"_"&amp;B5&amp;" = ""Pages."&amp;B2&amp;"."&amp;B5&amp;""";"
&amp;E3&amp;REPT(CHAR(9),2)&amp;"public const string Pages_"&amp;SUBSTITUTE(B2,".","_")&amp;"_"&amp;B5&amp;"_CreateEdit"&amp;" = ""Pages."&amp;B2&amp;"."&amp;B5&amp;".CreateEdit"";"
&amp;E3&amp;REPT(CHAR(9),2)&amp;"public const string Pages_"&amp;SUBSTITUTE(B2,".","_")&amp;"_"&amp;B5&amp;"_Delete"&amp;" = ""Pages."&amp;B2&amp;"."&amp;B5&amp;".Delete"";
"),"WorkingPattern",$Q$3),"Master",$B$4)</f>
        <v xml:space="preserve">		public const string Pages_Painting_Bumper_Progress = "Pages.Painting.Bumper.Progress";
		public const string Pages_Painting_Bumper_Progress_CreateEdit = "Pages.Painting.Bumper.Progress.CreateEdit";
		public const string Pages_Painting_Bumper_Progress_Delete = "Pages.Painting.Bumper.Progress.Delete";
</v>
      </c>
      <c r="P7" t="str">
        <f>SUBSTITUTE(SUBSTITUTE((D1&amp;E3&amp;E3
&amp;C6
&amp;REPT(CHAR(9),1)&amp;"public interface I"&amp;B3&amp;"AppService : IApplicationService"&amp;E3&amp;REPT(CHAR(9),1)&amp;C3
&amp;REPT(CHAR(9),2)&amp;"Task&lt;PagedResultDto&lt;"&amp;B3&amp;"Dto&gt;&gt; GetAll(Get"&amp;B3&amp;"Input input);"&amp;E3&amp;E3
&amp;REPT(CHAR(9),2)&amp;"Task CreateOrEdit(CreateOrEdit"&amp;B3&amp;"Dto input);"&amp;E3&amp;E3
&amp;REPT(CHAR(9),2)&amp;"Task Delete(EntityDto input);"&amp;E3&amp;E3
&amp;REPT(CHAR(9),1)&amp;D3&amp;D3),"WorkingPattern",$Q$3),"Master",$B$4)</f>
        <v xml:space="preserve">using Abp.Application.Services;
using Abp.Application.Services.Dto;
using System.Collections.Generic;using vovina.Dto;
using System.Threading.Tasks;
using vovina.Painting.Bumper.Dto;
namespace vovina.Painting.Bumper
{
	public interface IPtsBmpProgressAppService : IApplicationService
	{
		Task&lt;PagedResultDto&lt;PtsBmpProgressDto&gt;&gt; GetAll(GetPtsBmpProgressInput input);
		Task CreateOrEdit(CreateOrEditPtsBmpProgressDto input);
		Task Delete(EntityDto input);
	}
}
</v>
      </c>
      <c r="Q7" t="str">
        <f ca="1">SUBSTITUTE(SUBSTITUTE(SUBSTITUTE(SUBSTITUTE(SUBSTITUTE(SUBSTITUTE(E1,"MstWptCalendar",$B$3),"&lt;PROPERTIES&gt;",P47),"Calendar",$B$5),"WorkingPattern",$Q$3),"Master",$B$4),"&lt;PARAMS_SEARCH&gt;",$W$47)</f>
        <v>using Abp.Application.Services.Dto;
using Abp.Authorization;
using Abp.Dapper.Repositories;
using Abp.Domain.Repositories;
using Abp.Domain.Uow;
using Abp.EntityFrameworkCore.Uow;
using Abp.Extensions;
using Abp.Linq.Extensions;
using Abp.UI;
using Dapper;
using Microsoft.EntityFrameworkCore;
using NUglify.Helpers;
using System;
using System.Collections.Generic;
using System.Linq;
using System.Linq.Dynamic.Core;
using System.Threading.Tasks;
using vovina.Authorization;
using vovina.Dto;
using vovina.EntityFrameworkCore;
using vovina.Painting.Bumper.Dto;
using vovina.Painting.Bumper.Exporting;
namespace vovina.Painting.Bumper
{
    [AbpAuthorize(AppPermissions.Pages_Painting_Bumper_Progress)]
    public class PtsBmpProgressAppService : vovinaAppServiceBase, IPtsBmpProgressAppService
    {
        private readonly IDapperRepository&lt;PtsBmpProgress, long&gt; _dapperRepo;
        private readonly IRepository&lt;PtsBmpProgress, long&gt; _repo;
        private readonly IPtsBmpProgressExcelExporter _calendarListExcelExporter;
        public PtsBmpProgressAppService(IRepository&lt;PtsBmpProgress,long&gt; repo, 
                                         IDapperRepository&lt;PtsBmpProgress,long&gt; dapperRepo,
                                        IPtsBmpProgressExcelExporter calendarListExcelExporter
            )
        {
            _repo = repo;
            _dapperRepo = dapperRepo;
            _calendarListExcelExporter = calendarListExcelExporter;
        }
        [AbpAuthorize(AppPermissions.Pages_Painting_Bumper_Progress_CreateEdit)]
        public async Task CreateOrEdit(CreateOrEditPtsBmpProgressDto input)
        {
            if (input.Id == null) await Create(input);
            else await Update(input);
        }
        //CREATE
        private async Task Create(CreateOrEditPtsBmpProgressDto input)
        {          
            var mainObj = ObjectMapper.Map&lt;PtsBmpProgress&gt;(input);
            await CurrentUnitOfWork.GetDbContext&lt;vovinaDbContext&gt;().AddAsync(mainObj);
        }
        // EDIT
        private async Task Update(CreateOrEditPtsBmpProgressDto input)
        {
            using (CurrentUnitOfWork.DisableFilter(AbpDataFilters.MayHaveTenant))
            {
                var mainObj = await _repo.GetAll()
                .FirstOrDefaultAsync(e =&gt; e.Id == input.Id);
                var mainObjToUpdate = ObjectMapper.Map(input, mainObj);
            }
        }
        [AbpAuthorize(AppPermissions.Pages_Painting_Bumper_Progress_Delete)]
        public async Task Delete(EntityDto input)
        {
            var mainObj = await _repo.FirstOrDefaultAsync(input.Id);
            CurrentUnitOfWork.GetDbContext&lt;vovinaDbContext&gt;().Remove(mainObj);
        }
        public async Task&lt;PagedResultDto&lt;PtsBmpProgressDto&gt;&gt; GetAll(GetPtsBmpProgressInput input)
        {
            var filtered = _repo.GetAll()
				.WhereIf(!string.IsNullOrWhiteSpace(input.BackNo), e =&gt; e.BackNo.Contains(input.BackNo))
				.WhereIf(!string.IsNullOrWhiteSpace(input.Model), e =&gt; e.Model.Contains(input.Model))
				.WhereIf(!string.IsNullOrWhiteSpace(input.Cfc), e =&gt; e.Cfc.Contains(input.Cfc))
				.WhereIf(!string.IsNullOrWhiteSpace(input.Grade), e =&gt; e.Grade.Contains(input.Grade))
				.WhereIf(!string.IsNullOrWhiteSpace(input.PartTypeCode), e =&gt; e.PartTypeCode.Contains(input.PartTypeCode))
				.WhereIf(!string.IsNullOrWhiteSpace(input.IsPunch), e =&gt; e.IsPunch.Contains(input.IsPunch))
				.WhereIf(!string.IsNullOrWhiteSpace(input.IsBumper), e =&gt; e.IsBumper.Contains(input.IsBumper))
				.WhereIf(!string.IsNullOrWhiteSpace(input.LotNo), e =&gt; e.LotNo.Contains(input.LotNo))
				.WhereIf(!string.IsNullOrWhiteSpace(input.SequenceNo), e =&gt; e.SequenceNo.Contains(input.SequenceNo))
				.WhereIf(!string.IsNullOrWhiteSpace(input.BodyNo), e =&gt; e.BodyNo.Contains(input.BodyNo))
				.WhereIf(!string.IsNullOrWhiteSpace(input.Color), e =&gt; e.Color.Contains(input.Color))
				.WhereIf(!string.IsNullOrWhiteSpace(input.SpecialColor), e =&gt; e.SpecialColor.Contains(input.SpecialColor))
				.WhereIf(!string.IsNullOrWhiteSpace(input.Process), e =&gt; e.Process.Contains(input.Process))
				.WhereIf(!string.IsNullOrWhiteSpace(input.PkProcess), e =&gt; e.PkProcess.Contains(input.PkProcess))
				.WhereIf(!string.IsNullOrWhiteSpace(input.ProdLine), e =&gt; e.ProdLine.Contains(input.ProdLine))
				.WhereIf(input.WorkingDate.HasValue, t =&gt; t.WorkingDate == input.WorkingDate.Value)
				.WhereIf(!string.IsNullOrWhiteSpace(input.Shift), e =&gt; e.Shift.Contains(input.Shift))
				.WhereIf(input.TaktTimeStart.HasValue, t =&gt; t.TaktTimeStart == input.TaktTimeStart.Value)
				.WhereIf(input.ToUpDate.HasValue, t =&gt; t.ToUpDate == input.ToUpDate.Value)
				.WhereIf(input.UpDate.HasValue, t =&gt; t.UpDate == input.UpDate.Value)
				.WhereIf(input.UpPunchDate.HasValue, t =&gt; t.UpPunchDate == input.UpPunchDate.Value)
				.WhereIf(input.UpSkipDate.HasValue, t =&gt; t.UpSkipDate == input.UpSkipDate.Value)
				.WhereIf(input.UpRecoatDate.HasValue, t =&gt; t.UpRecoatDate == input.UpRecoatDate.Value)
				.WhereIf(input.SubAssyDate.HasValue, t =&gt; t.SubAssyDate == input.SubAssyDate.Value)
				.WhereIf(input.SubAssyPunchDate.HasValue, t =&gt; t.SubAssyPunchDate == input.SubAssyPunchDate.Value)
				.WhereIf(input.SubAssySkipDate.HasValue, t =&gt; t.SubAssySkipDate == input.SubAssySkipDate.Value)
				.WhereIf(input.SubAssyRecoatDate.HasValue, t =&gt; t.SubAssyRecoatDate == input.SubAssyRecoatDate.Value)
				.WhereIf(!string.IsNullOrWhiteSpace(input.SignalCode), e =&gt; e.SignalCode.Contains(input.SignalCode))
				.WhereIf(input.UpSignalDate.HasValue, t =&gt; t.UpSignalDate == input.UpSignalDate.Value)
				.WhereIf(input.SubAssySignalDate.HasValue, t =&gt; t.SubAssySignalDate == input.SubAssySignalDate.Value)
				.WhereIf(!string.IsNullOrWhiteSpace(input.Status), e =&gt; e.Status.Contains(input.Status))
				.WhereIf(!string.IsNullOrWhiteSpace(input.IsActive), e =&gt; e.IsActive.Contains(input.IsActive))                   
				;
            var pageAndFiltered = filtered.OrderBy(s =&gt; s.Id);
            var system = from o in pageAndFiltered
                         select new PtsBmpProgressDto
                        {
							Id = o.Id,
							PartId = o.PartId,
							BackNo = o.BackNo,
							Model = o.Model,
							Cfc = o.Cfc,
							Grade = o.Grade,
							PartTypeCode = o.PartTypeCode,
							IsPunch = o.IsPunch,
							IsBumper = o.IsBumper,
							LotNo = o.LotNo,
							NoInLot = o.NoInLot,
							SequenceNo = o.SequenceNo,
							BodyNo = o.BodyNo,
							Color = o.Color,
							SpecialColor = o.SpecialColor,
							Process = o.Process,
							PkProcess = o.PkProcess,
							ProdLine = o.ProdLine,
							WorkingDate = o.WorkingDate,
							Shift = o.Shift,
							NoInDate = o.NoInDate,
							NoInShift = o.NoInShift,
							TaktTimeStart = o.TaktTimeStart,
							ToUpDate = o.ToUpDate,
							UpDate = o.UpDate,
							UpPunchDate = o.UpPunchDate,
							UpSkipDate = o.UpSkipDate,
							UpRecoatDate = o.UpRecoatDate,
							SubAssyDate = o.SubAssyDate,
							SubAssyPunchDate = o.SubAssyPunchDate,
							SubAssySkipDate = o.SubAssySkipDate,
							SubAssyRecoatDate = o.SubAssyRecoatDate,
							SignalId = o.SignalId,
							SignalCode = o.SignalCode,
							UpSignalDate = o.UpSignalDate,
							SubAssySignalDate = o.SubAssySignalDate,
							Status = o.Status,
							IsActive = o.IsActive,
                        };
            var totalCount = await filtered.CountAsync();
			var paged = system.PageBy(input);
            return new PagedResultDto&lt;PtsBmpProgressDto&gt;(
                totalCount,
                 await paged.ToListAsync()
            );
        }
        public async Task&lt;FileDto&gt; GetProgressToExcel(PtsBmpProgressExportInput input)
        {
            var query = from o in _repo.GetAll()
                        select new PtsBmpProgressDto
                        {
							Id = o.Id,
							PartId = o.PartId,
							BackNo = o.BackNo,
							Model = o.Model,
							Cfc = o.Cfc,
							Grade = o.Grade,
							PartTypeCode = o.PartTypeCode,
							IsPunch = o.IsPunch,
							IsBumper = o.IsBumper,
							LotNo = o.LotNo,
							NoInLot = o.NoInLot,
							SequenceNo = o.SequenceNo,
							BodyNo = o.BodyNo,
							Color = o.Color,
							SpecialColor = o.SpecialColor,
							Process = o.Process,
							PkProcess = o.PkProcess,
							ProdLine = o.ProdLine,
							WorkingDate = o.WorkingDate,
							Shift = o.Shift,
							NoInDate = o.NoInDate,
							NoInShift = o.NoInShift,
							TaktTimeStart = o.TaktTimeStart,
							ToUpDate = o.ToUpDate,
							UpDate = o.UpDate,
							UpPunchDate = o.UpPunchDate,
							UpSkipDate = o.UpSkipDate,
							UpRecoatDate = o.UpRecoatDate,
							SubAssyDate = o.SubAssyDate,
							SubAssyPunchDate = o.SubAssyPunchDate,
							SubAssySkipDate = o.SubAssySkipDate,
							SubAssyRecoatDate = o.SubAssyRecoatDate,
							SignalId = o.SignalId,
							SignalCode = o.SignalCode,
							UpSignalDate = o.UpSignalDate,
							SubAssySignalDate = o.SubAssySignalDate,
							Status = o.Status,
							IsActive = o.IsActive,
                        };
            var exportToExcel = await query.ToListAsync();
            return _calendarListExcelExporter.ExportToFile(exportToExcel);
        }
       // public async Task GenerateAsync()
      //  {
        //    await _dapperRepo.ExecuteAsync(PtsBmpProgressConsts.SP_MST_WPT_CALENDAR_GENERATE);
       // }
    }
}</v>
      </c>
      <c r="R7" t="str">
        <f ca="1">SUBSTITUTE(SUBSTITUTE((C1&amp;"namespace "&amp;B6&amp;".Dto"&amp;E3&amp;C3&amp;R3&amp;M47&amp;E3&amp;REPT(CHAR(9),1)&amp;D3&amp;D3),"WorkingPattern",$Q$3),"Master",$B$4)</f>
        <v xml:space="preserve">using Abp.Application.Services.Dto;
using System;
using System.ComponentModel.DataAnnotations;
namespace vovina.Painting.Bumper.Dto
{
	public class PtsBmpProgressExportInput{
		public virtual long PartId { get; set; }
		public virtual string BackNo { get; set; }
		public virtual string Model { get; set; }
		public virtual string Cfc { get; set; }
		public virtual string Grade { get; set; }
		public virtual string PartTypeCode { get; set; }
		public virtual string IsPunch { get; set; }
		public virtual string IsBumper { get; set; }
		public virtual string LotNo { get; set; }
		public virtual int NoInLot { get; set; }
		public virtual string SequenceNo { get; set; }
		public virtual string BodyNo { get; set; }
		public virtual string Color { get; set; }
		public virtual string SpecialColor { get; set; }
		public virtual string Process { get; set; }
		public virtual string PkProcess { get; set; }
		public virtual string ProdLine { get; set; }
		public virtual DateTime? WorkingDate { get; set; }
		public virtual string Shift { get; set; }
		public virtual int NoInDate { get; set; }
		public virtual int NoInShift { get; set; }
		public virtual DateTime? TaktTimeStart { get; set; }
		public virtual DateTime? ToUpDate { get; set; }
		public virtual DateTime? UpDate { get; set; }
		public virtual DateTime? UpPunchDate { get; set; }
		public virtual DateTime? UpSkipDate { get; set; }
		public virtual DateTime? UpRecoatDate { get; set; }
		public virtual DateTime? SubAssyDate { get; set; }
		public virtual DateTime? SubAssyPunchDate { get; set; }
		public virtual DateTime? SubAssySkipDate { get; set; }
		public virtual DateTime? SubAssyRecoatDate { get; set; }
		public virtual long SignalId { get; set; }
		public virtual string SignalCode { get; set; }
		public virtual DateTime? UpSignalDate { get; set; }
		public virtual DateTime? SubAssySignalDate { get; set; }
		public virtual string Status { get; set; }
		public virtual string IsActive { get; set; }
	}
}
</v>
      </c>
      <c r="S7" t="str">
        <f>SUBSTITUTE(SUBSTITUTE((D1&amp;E3&amp;E3&amp;S3
&amp;REPT(CHAR(9),1)&amp;"public interface I"&amp;B3&amp;"ExcelExporter : IApplicationService"&amp;E3&amp;REPT(CHAR(9),1)&amp;C3&amp;REPT(CHAR(9),2)&amp;"FileDto ExportToFile(List&lt;"&amp;B3&amp;"Dto&gt; "&amp;LOWER(B3)&amp;");
"&amp;E3&amp;REPT(CHAR(9),1)&amp;D3&amp;D3),"WorkingPattern",$Q$3),"Master",$B$4)</f>
        <v xml:space="preserve">using Abp.Application.Services;
using Abp.Application.Services.Dto;
using System.Collections.Generic;using vovina.Dto;
using System.Threading.Tasks;
using vovina.Painting.Bumper.Dto;
namespace vovina.Painting.Bumper.Exporting
{
	public interface IPtsBmpProgressExcelExporter : IApplicationService
	{
		FileDto ExportToFile(List&lt;PtsBmpProgressDto&gt; ptsbmpprogress);
	}
}
</v>
      </c>
      <c r="T7" s="28" t="str">
        <f ca="1">SUBSTITUTE(SUBSTITUTE(SUBSTITUTE(SUBSTITUTE(SUBSTITUTE(SUBSTITUTE(SUBSTITUTE(T1,"MstWptCalendar",$B$3),"&lt;PROPERTIES1&gt;",V47),"&lt;PROPERTIES&gt;",T47),"Calendar",$B$5),"calendar",LOWER(B5)),"WorkingPattern",$Q$3),"Master",$B$4)</f>
        <v>using System.Collections.Generic;
using vovina.DataExporting.Excel.NPOI;
using vovina.Dto;
using vovina.Painting.Bumper.Exporting;
using vovina.Painting.Bumper.Dto;
using vovina.Storage;
using vovina.Painting.Bumper.Dto;
namespace vovina.Painting.Bumper.Exporting
{
    public class PtsBmpProgressExcelExporter : NpoiExcelExporterBase, IPtsBmpProgressExcelExporter
    {
        public PtsBmpProgressExcelExporter(ITempFileCacheManager tempFileCacheManager) : base(tempFileCacheManager) { }
        public FileDto ExportToFile(List&lt;PtsBmpProgressDto&gt; progress)
        {
            return CreateExcelPackage(
				"PaintingBumperProgress.xlsx",
				excelPackage =&gt;
				 {
					var sheet = excelPackage.CreateSheet("Progress");
					AddHeader(
								sheet,
								("PartId"),
								("BackNo"),
								("Model"),
								("Cfc"),
								("Grade"),
								("PartTypeCode"),
								("IsPunch"),
								("IsBumper"),
								("LotNo"),
								("NoInLot"),
								("SequenceNo"),
								("BodyNo"),
								("Color"),
								("SpecialColor"),
								("Process"),
								("PkProcess"),
								("ProdLine"),
								("WorkingDate"),
								("Shift"),
								("NoInDate"),
								("NoInShift"),
								("TaktTimeStart"),
								("ToUpDate"),
								("UpDate"),
								("UpPunchDate"),
								("UpSkipDate"),
								("UpRecoatDate"),
								("SubAssyDate"),
								("SubAssyPunchDate"),
								("SubAssySkipDate"),
								("SubAssyRecoatDate"),
								("SignalId"),
								("SignalCode"),
								("UpSignalDate"),
								("SubAssySignalDate"),
								("Status"),
								("IsActive"),
							   );
					AddObjects(
						 sheet, 1, progress,                                       
								_ =&gt; _.PartId,
								_ =&gt; _.BackNo,
								_ =&gt; _.Model,
								_ =&gt; _.Cfc,
								_ =&gt; _.Grade,
								_ =&gt; _.PartTypeCode,
								_ =&gt; _.IsPunch,
								_ =&gt; _.IsBumper,
								_ =&gt; _.LotNo,
								_ =&gt; _.NoInLot,
								_ =&gt; _.SequenceNo,
								_ =&gt; _.BodyNo,
								_ =&gt; _.Color,
								_ =&gt; _.SpecialColor,
								_ =&gt; _.Process,
								_ =&gt; _.PkProcess,
								_ =&gt; _.ProdLine,
								_ =&gt; _.WorkingDate,
								_ =&gt; _.Shift,
								_ =&gt; _.NoInDate,
								_ =&gt; _.NoInShift,
								_ =&gt; _.TaktTimeStart,
								_ =&gt; _.ToUpDate,
								_ =&gt; _.UpDate,
								_ =&gt; _.UpPunchDate,
								_ =&gt; _.UpSkipDate,
								_ =&gt; _.UpRecoatDate,
								_ =&gt; _.SubAssyDate,
								_ =&gt; _.SubAssyPunchDate,
								_ =&gt; _.SubAssySkipDate,
								_ =&gt; _.SubAssyRecoatDate,
								_ =&gt; _.SignalId,
								_ =&gt; _.SignalCode,
								_ =&gt; _.UpSignalDate,
								_ =&gt; _.SubAssySignalDate,
								_ =&gt; _.Status,
								_ =&gt; _.IsActive,
								);
			for (var i = 0; i &lt; 8; i++)
				{
					sheet.AutoSizeColumn(i);
				}
			});
        }
    }
}</v>
      </c>
      <c r="U7" s="28" t="str">
        <f>SUBSTITUTE(SUBSTITUTE(U1,"MstWptCalendar",$B$3),"Master",$B$4)</f>
        <v xml:space="preserve">  configuration.CreateMap&lt;PtsBmpProgressDto, PtsBmpProgress&gt;();
  configuration.CreateMap&lt;PtsBmpProgress, PtsBmpProgressDto&gt;();
  configuration.CreateMap&lt;CreateOrEditPtsBmpProgressDto, PtsBmpProgress&gt;();</v>
      </c>
      <c r="V7" s="28"/>
      <c r="W7" s="28"/>
    </row>
    <row r="8" spans="1:23" s="2" customFormat="1" x14ac:dyDescent="0.25">
      <c r="A8" s="2" t="s">
        <v>7</v>
      </c>
      <c r="B8" s="3" t="s">
        <v>8</v>
      </c>
      <c r="C8" s="2" t="s">
        <v>10</v>
      </c>
      <c r="D8" s="2" t="s">
        <v>14</v>
      </c>
      <c r="E8" s="2" t="s">
        <v>37</v>
      </c>
      <c r="F8" s="2" t="s">
        <v>59</v>
      </c>
      <c r="G8" s="2" t="s">
        <v>9</v>
      </c>
      <c r="H8" s="2" t="s">
        <v>15</v>
      </c>
      <c r="I8" s="2" t="s">
        <v>50</v>
      </c>
      <c r="J8" s="2" t="s">
        <v>38</v>
      </c>
      <c r="K8" s="2" t="s">
        <v>46</v>
      </c>
      <c r="L8" s="2" t="s">
        <v>47</v>
      </c>
      <c r="M8" s="2" t="s">
        <v>63</v>
      </c>
      <c r="N8" s="2" t="s">
        <v>58</v>
      </c>
      <c r="O8" s="2" t="s">
        <v>64</v>
      </c>
      <c r="P8" s="20" t="s">
        <v>84</v>
      </c>
      <c r="W8" s="3"/>
    </row>
    <row r="9" spans="1:23" customFormat="1" ht="18.75" customHeight="1" x14ac:dyDescent="0.25">
      <c r="A9" t="s">
        <v>328</v>
      </c>
      <c r="B9" t="s">
        <v>0</v>
      </c>
      <c r="C9" t="s">
        <v>1</v>
      </c>
      <c r="D9" t="str">
        <f t="shared" ref="D9" si="0">SUBSTITUTE(PROPER(A9),"_","")</f>
        <v>PartId</v>
      </c>
      <c r="E9" t="str">
        <f t="shared" ref="E9:E32" si="1">IFERROR(LEFT(B9, FIND("(",B9)-1),B9)</f>
        <v>bigint</v>
      </c>
      <c r="F9" s="7"/>
      <c r="G9" t="str">
        <f t="shared" ref="G9:G32" si="2">IFERROR(MID(B9,FIND("(",B9) +1, FIND(")",B9) - FIND("(",B9) - 1),"")</f>
        <v/>
      </c>
      <c r="H9" t="str">
        <f>+VLOOKUP(E9,'Data Type Mapping'!A:B,2,)</f>
        <v>long</v>
      </c>
      <c r="I9" t="str">
        <f t="shared" ref="I9:I32" si="3">IF(H9="string",REPT(CHAR(9),2)&amp;"public const int Max"&amp;D9&amp;"Length = "&amp;G9&amp;";"&amp;$E$3,"" )</f>
        <v/>
      </c>
      <c r="J9" t="str">
        <f t="shared" ref="J9:J32" si="4">IF(F9="","",REPT(CHAR(9),2)&amp;"[Column(TypeName="""&amp;F9&amp;""")]"&amp;$E$3)&amp;IF(C9="Checked","",$I$3)&amp;IF(H9="string",REPT(CHAR(9),2)&amp;"[StringLength(Max"&amp;D9&amp;"Length"&amp;")]"&amp;$E$3,"")&amp;REPT(CHAR(9),2)&amp;"public virtual "&amp;H9&amp;IF(C9="?","? "," ")&amp;D9&amp;" { get; set; }" &amp; "
"</f>
        <v xml:space="preserve">		public virtual long PartId { get; set; }
</v>
      </c>
      <c r="K9" s="7" t="s">
        <v>206</v>
      </c>
      <c r="L9" t="str">
        <f t="shared" ref="L9" si="5">IF(K9="","",REPT(CHAR(9),1)&amp;"[Index(nameof("&amp;IF(D9="","",""&amp;D9)&amp;")"&amp;", Name="&amp;"""IX_"&amp;$B$7&amp;"_"&amp;D9&amp;""")]")</f>
        <v xml:space="preserve">	[Index(nameof(PartId), Name="IX_PtsBmpProgress_PartId")]</v>
      </c>
      <c r="M9" t="str">
        <f t="shared" ref="M9:M32" si="6">REPT(CHAR(9),2)&amp;"public virtual "&amp;IF(OR(H9="DateTime",H9="TimeSpan"),H9&amp;"?",H9)&amp;IF(C9="?","? "," ")&amp;D9&amp;" { get; set; }" &amp; "
"</f>
        <v xml:space="preserve">		public virtual long PartId { get; set; }
</v>
      </c>
      <c r="N9" t="str">
        <f t="shared" ref="N9:N32" si="7">IF(C9="Checked","",$I$3)&amp;IF(H9="string",REPT(CHAR(9),2)&amp;"[StringLength("&amp;$B$3&amp;"Consts.Max"&amp;D9&amp;"Length"&amp;")]"&amp;$E$3,"")&amp;REPT(CHAR(9),2)&amp;"public virtual "&amp;IF(OR(H9="DateTime",H9="TimeSpan"),H9&amp;"?",H9)&amp;IF(C9="?","? "," ")&amp;D9&amp;" { get; set; }" &amp; "
"</f>
        <v xml:space="preserve">		public virtual long PartId { get; set; }
</v>
      </c>
      <c r="O9" t="str">
        <f t="shared" ref="O9:O32" si="8">IF(OR(H9="string",H9="DateTime",H9="int"),REPT(CHAR(9),2)&amp;"public virtual "&amp;IF(OR(H9="DateTime",H9="TimeSpan"),H9&amp;"?",H9)&amp;IF(C9="?","? "," ")&amp;D9&amp;" { get; set; }"&amp;$E$3,"")</f>
        <v/>
      </c>
      <c r="P9" t="str">
        <f t="shared" ref="P9:P32" si="9">REPT(CHAR(9),7)&amp;D9&amp;" = o." &amp;D9 &amp;","</f>
        <v xml:space="preserve">							PartId = o.PartId,</v>
      </c>
      <c r="T9" s="69" t="str">
        <f t="shared" ref="T9:T32" si="10">REPT(CHAR(9),8)&amp;"("""&amp;D9&amp;"""),"</f>
        <v xml:space="preserve">								("PartId"),</v>
      </c>
      <c r="V9" s="70" t="str">
        <f t="shared" ref="V9:V32" si="11">REPT(CHAR(9),8)&amp;"_ =&gt; _."&amp;D9&amp;","</f>
        <v xml:space="preserve">								_ =&gt; _.PartId,</v>
      </c>
      <c r="W9" s="69" t="str">
        <f t="shared" ref="W9:W32" si="12">IF(H9="string",REPT(CHAR(9),4)&amp;".WhereIf(!string.IsNullOrWhiteSpace(input."&amp;D9&amp;"), e =&gt; e."&amp;D9&amp;".Contains(input."&amp;D9&amp;"))",IF(H9="DateTime",REPT(CHAR(9),4)&amp;".WhereIf(input."&amp;D9&amp;".HasValue, t =&gt; t."&amp;D9&amp;" == input."&amp;D9&amp;".Value)",""))</f>
        <v/>
      </c>
    </row>
    <row r="10" spans="1:23" customFormat="1" ht="22.5" customHeight="1" x14ac:dyDescent="0.25">
      <c r="A10" t="s">
        <v>329</v>
      </c>
      <c r="B10" t="s">
        <v>321</v>
      </c>
      <c r="C10" t="s">
        <v>1</v>
      </c>
      <c r="D10" t="str">
        <f>SUBSTITUTE(PROPER(A10),"_","")</f>
        <v>BackNo</v>
      </c>
      <c r="E10" t="str">
        <f t="shared" si="1"/>
        <v>varchar</v>
      </c>
      <c r="F10" s="7"/>
      <c r="G10" t="str">
        <f t="shared" si="2"/>
        <v>50</v>
      </c>
      <c r="H10" t="str">
        <f>+VLOOKUP(E10,'Data Type Mapping'!A:B,2,)</f>
        <v>string</v>
      </c>
      <c r="I10" t="str">
        <f t="shared" si="3"/>
        <v xml:space="preserve">		public const int MaxBackNoLength = 50;
</v>
      </c>
      <c r="J10" t="str">
        <f t="shared" si="4"/>
        <v xml:space="preserve">		[StringLength(MaxBackNoLength)]
		public virtual string BackNo { get; set; }
</v>
      </c>
      <c r="K10" s="7" t="s">
        <v>206</v>
      </c>
      <c r="L10" t="str">
        <f>IF(K10="","",REPT(CHAR(9),1)&amp;"[Index(nameof("&amp;IF(D10="","",""&amp;D10)&amp;")"&amp;", Name="&amp;"""IX_"&amp;$B$7&amp;"_"&amp;D10&amp;""")]")</f>
        <v xml:space="preserve">	[Index(nameof(BackNo), Name="IX_PtsBmpProgress_BackNo")]</v>
      </c>
      <c r="M10" t="str">
        <f t="shared" si="6"/>
        <v xml:space="preserve">		public virtual string BackNo { get; set; }
</v>
      </c>
      <c r="N10" t="str">
        <f t="shared" si="7"/>
        <v xml:space="preserve">		[StringLength(PtsBmpProgressConsts.MaxBackNoLength)]
		public virtual string BackNo { get; set; }
</v>
      </c>
      <c r="O10" t="str">
        <f t="shared" si="8"/>
        <v xml:space="preserve">		public virtual string BackNo { get; set; }
</v>
      </c>
      <c r="P10" t="str">
        <f t="shared" si="9"/>
        <v xml:space="preserve">							BackNo = o.BackNo,</v>
      </c>
      <c r="T10" s="69" t="str">
        <f t="shared" si="10"/>
        <v xml:space="preserve">								("BackNo"),</v>
      </c>
      <c r="V10" s="70" t="str">
        <f t="shared" si="11"/>
        <v xml:space="preserve">								_ =&gt; _.BackNo,</v>
      </c>
      <c r="W10" s="69" t="str">
        <f t="shared" si="12"/>
        <v xml:space="preserve">				.WhereIf(!string.IsNullOrWhiteSpace(input.BackNo), e =&gt; e.BackNo.Contains(input.BackNo))</v>
      </c>
    </row>
    <row r="11" spans="1:23" customFormat="1" ht="18.75" customHeight="1" x14ac:dyDescent="0.25">
      <c r="A11" t="s">
        <v>330</v>
      </c>
      <c r="B11" t="s">
        <v>321</v>
      </c>
      <c r="C11" t="s">
        <v>1</v>
      </c>
      <c r="D11" t="str">
        <f t="shared" ref="D11" si="13">SUBSTITUTE(PROPER(A11),"_","")</f>
        <v>Model</v>
      </c>
      <c r="E11" t="str">
        <f t="shared" si="1"/>
        <v>varchar</v>
      </c>
      <c r="F11" s="7"/>
      <c r="G11" t="str">
        <f t="shared" si="2"/>
        <v>50</v>
      </c>
      <c r="H11" t="str">
        <f>+VLOOKUP(E11,'Data Type Mapping'!A:B,2,)</f>
        <v>string</v>
      </c>
      <c r="I11" t="str">
        <f t="shared" si="3"/>
        <v xml:space="preserve">		public const int MaxModelLength = 50;
</v>
      </c>
      <c r="J11" t="str">
        <f t="shared" si="4"/>
        <v xml:space="preserve">		[StringLength(MaxModelLength)]
		public virtual string Model { get; set; }
</v>
      </c>
      <c r="K11" s="7"/>
      <c r="L11" t="str">
        <f t="shared" ref="L11" si="14">IF(K11="","",REPT(CHAR(9),1)&amp;"[Index(nameof("&amp;IF(D11="","",""&amp;D11)&amp;")"&amp;", Name="&amp;"""IX_"&amp;$B$7&amp;"_"&amp;D11&amp;""")]")</f>
        <v/>
      </c>
      <c r="M11" t="str">
        <f t="shared" si="6"/>
        <v xml:space="preserve">		public virtual string Model { get; set; }
</v>
      </c>
      <c r="N11" t="str">
        <f t="shared" si="7"/>
        <v xml:space="preserve">		[StringLength(PtsBmpProgressConsts.MaxModelLength)]
		public virtual string Model { get; set; }
</v>
      </c>
      <c r="O11" t="str">
        <f t="shared" si="8"/>
        <v xml:space="preserve">		public virtual string Model { get; set; }
</v>
      </c>
      <c r="P11" t="str">
        <f t="shared" si="9"/>
        <v xml:space="preserve">							Model = o.Model,</v>
      </c>
      <c r="T11" s="69" t="str">
        <f t="shared" si="10"/>
        <v xml:space="preserve">								("Model"),</v>
      </c>
      <c r="V11" s="70" t="str">
        <f t="shared" si="11"/>
        <v xml:space="preserve">								_ =&gt; _.Model,</v>
      </c>
      <c r="W11" s="69" t="str">
        <f t="shared" si="12"/>
        <v xml:space="preserve">				.WhereIf(!string.IsNullOrWhiteSpace(input.Model), e =&gt; e.Model.Contains(input.Model))</v>
      </c>
    </row>
    <row r="12" spans="1:23" customFormat="1" ht="22.5" customHeight="1" x14ac:dyDescent="0.25">
      <c r="A12" t="s">
        <v>331</v>
      </c>
      <c r="B12" t="s">
        <v>321</v>
      </c>
      <c r="C12" t="s">
        <v>1</v>
      </c>
      <c r="D12" t="str">
        <f>SUBSTITUTE(PROPER(A12),"_","")</f>
        <v>Cfc</v>
      </c>
      <c r="E12" t="str">
        <f t="shared" si="1"/>
        <v>varchar</v>
      </c>
      <c r="F12" s="7"/>
      <c r="G12" t="str">
        <f t="shared" si="2"/>
        <v>50</v>
      </c>
      <c r="H12" t="str">
        <f>+VLOOKUP(E12,'Data Type Mapping'!A:B,2,)</f>
        <v>string</v>
      </c>
      <c r="I12" t="str">
        <f t="shared" si="3"/>
        <v xml:space="preserve">		public const int MaxCfcLength = 50;
</v>
      </c>
      <c r="J12" t="str">
        <f t="shared" si="4"/>
        <v xml:space="preserve">		[StringLength(MaxCfcLength)]
		public virtual string Cfc { get; set; }
</v>
      </c>
      <c r="K12" s="7"/>
      <c r="L12" t="str">
        <f>IF(K12="","",REPT(CHAR(9),1)&amp;"[Index(nameof("&amp;IF(D12="","",""&amp;D12)&amp;")"&amp;", Name="&amp;"""IX_"&amp;$B$7&amp;"_"&amp;D12&amp;""")]")</f>
        <v/>
      </c>
      <c r="M12" t="str">
        <f t="shared" si="6"/>
        <v xml:space="preserve">		public virtual string Cfc { get; set; }
</v>
      </c>
      <c r="N12" t="str">
        <f t="shared" si="7"/>
        <v xml:space="preserve">		[StringLength(PtsBmpProgressConsts.MaxCfcLength)]
		public virtual string Cfc { get; set; }
</v>
      </c>
      <c r="O12" t="str">
        <f t="shared" si="8"/>
        <v xml:space="preserve">		public virtual string Cfc { get; set; }
</v>
      </c>
      <c r="P12" t="str">
        <f t="shared" si="9"/>
        <v xml:space="preserve">							Cfc = o.Cfc,</v>
      </c>
      <c r="T12" s="69" t="str">
        <f t="shared" si="10"/>
        <v xml:space="preserve">								("Cfc"),</v>
      </c>
      <c r="V12" s="70" t="str">
        <f t="shared" si="11"/>
        <v xml:space="preserve">								_ =&gt; _.Cfc,</v>
      </c>
      <c r="W12" s="69" t="str">
        <f t="shared" si="12"/>
        <v xml:space="preserve">				.WhereIf(!string.IsNullOrWhiteSpace(input.Cfc), e =&gt; e.Cfc.Contains(input.Cfc))</v>
      </c>
    </row>
    <row r="13" spans="1:23" customFormat="1" ht="18.75" customHeight="1" x14ac:dyDescent="0.25">
      <c r="A13" t="s">
        <v>332</v>
      </c>
      <c r="B13" t="s">
        <v>321</v>
      </c>
      <c r="C13" t="s">
        <v>1</v>
      </c>
      <c r="D13" t="str">
        <f t="shared" ref="D13:D32" si="15">SUBSTITUTE(PROPER(A13),"_","")</f>
        <v>Grade</v>
      </c>
      <c r="E13" t="str">
        <f t="shared" si="1"/>
        <v>varchar</v>
      </c>
      <c r="F13" s="7"/>
      <c r="G13" t="str">
        <f t="shared" si="2"/>
        <v>50</v>
      </c>
      <c r="H13" t="str">
        <f>+VLOOKUP(E13,'Data Type Mapping'!A:B,2,)</f>
        <v>string</v>
      </c>
      <c r="I13" t="str">
        <f t="shared" si="3"/>
        <v xml:space="preserve">		public const int MaxGradeLength = 50;
</v>
      </c>
      <c r="J13" t="str">
        <f t="shared" si="4"/>
        <v xml:space="preserve">		[StringLength(MaxGradeLength)]
		public virtual string Grade { get; set; }
</v>
      </c>
      <c r="K13" s="7"/>
      <c r="L13" t="str">
        <f t="shared" ref="L13:L32" si="16">IF(K13="","",REPT(CHAR(9),1)&amp;"[Index(nameof("&amp;IF(D13="","",""&amp;D13)&amp;")"&amp;", Name="&amp;"""IX_"&amp;$B$7&amp;"_"&amp;D13&amp;""")]")</f>
        <v/>
      </c>
      <c r="M13" t="str">
        <f t="shared" si="6"/>
        <v xml:space="preserve">		public virtual string Grade { get; set; }
</v>
      </c>
      <c r="N13" t="str">
        <f t="shared" si="7"/>
        <v xml:space="preserve">		[StringLength(PtsBmpProgressConsts.MaxGradeLength)]
		public virtual string Grade { get; set; }
</v>
      </c>
      <c r="O13" t="str">
        <f t="shared" si="8"/>
        <v xml:space="preserve">		public virtual string Grade { get; set; }
</v>
      </c>
      <c r="P13" t="str">
        <f t="shared" si="9"/>
        <v xml:space="preserve">							Grade = o.Grade,</v>
      </c>
      <c r="T13" s="69" t="str">
        <f t="shared" si="10"/>
        <v xml:space="preserve">								("Grade"),</v>
      </c>
      <c r="V13" s="70" t="str">
        <f t="shared" si="11"/>
        <v xml:space="preserve">								_ =&gt; _.Grade,</v>
      </c>
      <c r="W13" s="69" t="str">
        <f t="shared" si="12"/>
        <v xml:space="preserve">				.WhereIf(!string.IsNullOrWhiteSpace(input.Grade), e =&gt; e.Grade.Contains(input.Grade))</v>
      </c>
    </row>
    <row r="14" spans="1:23" customFormat="1" ht="18.75" customHeight="1" x14ac:dyDescent="0.25">
      <c r="A14" t="s">
        <v>333</v>
      </c>
      <c r="B14" t="s">
        <v>321</v>
      </c>
      <c r="C14" t="s">
        <v>1</v>
      </c>
      <c r="D14" t="str">
        <f t="shared" si="15"/>
        <v>PartTypeCode</v>
      </c>
      <c r="E14" t="str">
        <f t="shared" si="1"/>
        <v>varchar</v>
      </c>
      <c r="F14" s="7"/>
      <c r="G14" t="str">
        <f t="shared" si="2"/>
        <v>50</v>
      </c>
      <c r="H14" t="str">
        <f>+VLOOKUP(E14,'Data Type Mapping'!A:B,2,)</f>
        <v>string</v>
      </c>
      <c r="I14" t="str">
        <f t="shared" si="3"/>
        <v xml:space="preserve">		public const int MaxPartTypeCodeLength = 50;
</v>
      </c>
      <c r="J14" t="str">
        <f t="shared" si="4"/>
        <v xml:space="preserve">		[StringLength(MaxPartTypeCodeLength)]
		public virtual string PartTypeCode { get; set; }
</v>
      </c>
      <c r="K14" s="7" t="s">
        <v>206</v>
      </c>
      <c r="L14" t="str">
        <f t="shared" si="16"/>
        <v xml:space="preserve">	[Index(nameof(PartTypeCode), Name="IX_PtsBmpProgress_PartTypeCode")]</v>
      </c>
      <c r="M14" t="str">
        <f t="shared" si="6"/>
        <v xml:space="preserve">		public virtual string PartTypeCode { get; set; }
</v>
      </c>
      <c r="N14" t="str">
        <f t="shared" si="7"/>
        <v xml:space="preserve">		[StringLength(PtsBmpProgressConsts.MaxPartTypeCodeLength)]
		public virtual string PartTypeCode { get; set; }
</v>
      </c>
      <c r="O14" t="str">
        <f t="shared" si="8"/>
        <v xml:space="preserve">		public virtual string PartTypeCode { get; set; }
</v>
      </c>
      <c r="P14" t="str">
        <f t="shared" si="9"/>
        <v xml:space="preserve">							PartTypeCode = o.PartTypeCode,</v>
      </c>
      <c r="T14" s="69" t="str">
        <f t="shared" si="10"/>
        <v xml:space="preserve">								("PartTypeCode"),</v>
      </c>
      <c r="V14" s="70" t="str">
        <f t="shared" si="11"/>
        <v xml:space="preserve">								_ =&gt; _.PartTypeCode,</v>
      </c>
      <c r="W14" s="69" t="str">
        <f t="shared" si="12"/>
        <v xml:space="preserve">				.WhereIf(!string.IsNullOrWhiteSpace(input.PartTypeCode), e =&gt; e.PartTypeCode.Contains(input.PartTypeCode))</v>
      </c>
    </row>
    <row r="15" spans="1:23" customFormat="1" ht="18.75" customHeight="1" x14ac:dyDescent="0.25">
      <c r="A15" t="s">
        <v>334</v>
      </c>
      <c r="B15" t="s">
        <v>324</v>
      </c>
      <c r="C15" t="s">
        <v>1</v>
      </c>
      <c r="D15" t="str">
        <f t="shared" si="15"/>
        <v>IsPunch</v>
      </c>
      <c r="E15" t="str">
        <f t="shared" si="1"/>
        <v>varchar</v>
      </c>
      <c r="F15" s="7"/>
      <c r="G15" t="str">
        <f t="shared" si="2"/>
        <v>1</v>
      </c>
      <c r="H15" t="str">
        <f>+VLOOKUP(E15,'Data Type Mapping'!A:B,2,)</f>
        <v>string</v>
      </c>
      <c r="I15" t="str">
        <f t="shared" si="3"/>
        <v xml:space="preserve">		public const int MaxIsPunchLength = 1;
</v>
      </c>
      <c r="J15" t="str">
        <f t="shared" si="4"/>
        <v xml:space="preserve">		[StringLength(MaxIsPunchLength)]
		public virtual string IsPunch { get; set; }
</v>
      </c>
      <c r="K15" s="7"/>
      <c r="L15" t="str">
        <f t="shared" si="16"/>
        <v/>
      </c>
      <c r="M15" t="str">
        <f t="shared" si="6"/>
        <v xml:space="preserve">		public virtual string IsPunch { get; set; }
</v>
      </c>
      <c r="N15" t="str">
        <f t="shared" si="7"/>
        <v xml:space="preserve">		[StringLength(PtsBmpProgressConsts.MaxIsPunchLength)]
		public virtual string IsPunch { get; set; }
</v>
      </c>
      <c r="O15" t="str">
        <f t="shared" si="8"/>
        <v xml:space="preserve">		public virtual string IsPunch { get; set; }
</v>
      </c>
      <c r="P15" t="str">
        <f t="shared" si="9"/>
        <v xml:space="preserve">							IsPunch = o.IsPunch,</v>
      </c>
      <c r="T15" s="69" t="str">
        <f t="shared" si="10"/>
        <v xml:space="preserve">								("IsPunch"),</v>
      </c>
      <c r="V15" s="70" t="str">
        <f t="shared" si="11"/>
        <v xml:space="preserve">								_ =&gt; _.IsPunch,</v>
      </c>
      <c r="W15" s="69" t="str">
        <f t="shared" si="12"/>
        <v xml:space="preserve">				.WhereIf(!string.IsNullOrWhiteSpace(input.IsPunch), e =&gt; e.IsPunch.Contains(input.IsPunch))</v>
      </c>
    </row>
    <row r="16" spans="1:23" customFormat="1" ht="18.75" customHeight="1" x14ac:dyDescent="0.25">
      <c r="A16" t="s">
        <v>367</v>
      </c>
      <c r="B16" t="s">
        <v>324</v>
      </c>
      <c r="C16" t="s">
        <v>1</v>
      </c>
      <c r="D16" t="str">
        <f t="shared" ref="D16" si="17">SUBSTITUTE(PROPER(A16),"_","")</f>
        <v>IsBumper</v>
      </c>
      <c r="E16" t="str">
        <f t="shared" ref="E16" si="18">IFERROR(LEFT(B16, FIND("(",B16)-1),B16)</f>
        <v>varchar</v>
      </c>
      <c r="F16" s="7"/>
      <c r="G16" t="str">
        <f t="shared" ref="G16" si="19">IFERROR(MID(B16,FIND("(",B16) +1, FIND(")",B16) - FIND("(",B16) - 1),"")</f>
        <v>1</v>
      </c>
      <c r="H16" t="str">
        <f>+VLOOKUP(E16,'Data Type Mapping'!A:B,2,)</f>
        <v>string</v>
      </c>
      <c r="I16" t="str">
        <f t="shared" ref="I16" si="20">IF(H16="string",REPT(CHAR(9),2)&amp;"public const int Max"&amp;D16&amp;"Length = "&amp;G16&amp;";"&amp;$E$3,"" )</f>
        <v xml:space="preserve">		public const int MaxIsBumperLength = 1;
</v>
      </c>
      <c r="J16" t="str">
        <f t="shared" ref="J16" si="21">IF(F16="","",REPT(CHAR(9),2)&amp;"[Column(TypeName="""&amp;F16&amp;""")]"&amp;$E$3)&amp;IF(C16="Checked","",$I$3)&amp;IF(H16="string",REPT(CHAR(9),2)&amp;"[StringLength(Max"&amp;D16&amp;"Length"&amp;")]"&amp;$E$3,"")&amp;REPT(CHAR(9),2)&amp;"public virtual "&amp;H16&amp;IF(C16="?","? "," ")&amp;D16&amp;" { get; set; }" &amp; "
"</f>
        <v xml:space="preserve">		[StringLength(MaxIsBumperLength)]
		public virtual string IsBumper { get; set; }
</v>
      </c>
      <c r="K16" s="7"/>
      <c r="L16" t="str">
        <f t="shared" ref="L16" si="22">IF(K16="","",REPT(CHAR(9),1)&amp;"[Index(nameof("&amp;IF(D16="","",""&amp;D16)&amp;")"&amp;", Name="&amp;"""IX_"&amp;$B$7&amp;"_"&amp;D16&amp;""")]")</f>
        <v/>
      </c>
      <c r="M16" t="str">
        <f t="shared" ref="M16" si="23">REPT(CHAR(9),2)&amp;"public virtual "&amp;IF(OR(H16="DateTime",H16="TimeSpan"),H16&amp;"?",H16)&amp;IF(C16="?","? "," ")&amp;D16&amp;" { get; set; }" &amp; "
"</f>
        <v xml:space="preserve">		public virtual string IsBumper { get; set; }
</v>
      </c>
      <c r="N16" t="str">
        <f t="shared" ref="N16" si="24">IF(C16="Checked","",$I$3)&amp;IF(H16="string",REPT(CHAR(9),2)&amp;"[StringLength("&amp;$B$3&amp;"Consts.Max"&amp;D16&amp;"Length"&amp;")]"&amp;$E$3,"")&amp;REPT(CHAR(9),2)&amp;"public virtual "&amp;IF(OR(H16="DateTime",H16="TimeSpan"),H16&amp;"?",H16)&amp;IF(C16="?","? "," ")&amp;D16&amp;" { get; set; }" &amp; "
"</f>
        <v xml:space="preserve">		[StringLength(PtsBmpProgressConsts.MaxIsBumperLength)]
		public virtual string IsBumper { get; set; }
</v>
      </c>
      <c r="O16" t="str">
        <f t="shared" ref="O16" si="25">IF(OR(H16="string",H16="DateTime",H16="int"),REPT(CHAR(9),2)&amp;"public virtual "&amp;IF(OR(H16="DateTime",H16="TimeSpan"),H16&amp;"?",H16)&amp;IF(C16="?","? "," ")&amp;D16&amp;" { get; set; }"&amp;$E$3,"")</f>
        <v xml:space="preserve">		public virtual string IsBumper { get; set; }
</v>
      </c>
      <c r="P16" t="str">
        <f t="shared" ref="P16" si="26">REPT(CHAR(9),7)&amp;D16&amp;" = o." &amp;D16 &amp;","</f>
        <v xml:space="preserve">							IsBumper = o.IsBumper,</v>
      </c>
      <c r="T16" s="69" t="str">
        <f t="shared" ref="T16" si="27">REPT(CHAR(9),8)&amp;"("""&amp;D16&amp;"""),"</f>
        <v xml:space="preserve">								("IsBumper"),</v>
      </c>
      <c r="V16" s="70" t="str">
        <f t="shared" ref="V16" si="28">REPT(CHAR(9),8)&amp;"_ =&gt; _."&amp;D16&amp;","</f>
        <v xml:space="preserve">								_ =&gt; _.IsBumper,</v>
      </c>
      <c r="W16" s="69" t="str">
        <f t="shared" ref="W16" si="29">IF(H16="string",REPT(CHAR(9),4)&amp;".WhereIf(!string.IsNullOrWhiteSpace(input."&amp;D16&amp;"), e =&gt; e."&amp;D16&amp;".Contains(input."&amp;D16&amp;"))",IF(H16="DateTime",REPT(CHAR(9),4)&amp;".WhereIf(input."&amp;D16&amp;".HasValue, t =&gt; t."&amp;D16&amp;" == input."&amp;D16&amp;".Value)",""))</f>
        <v xml:space="preserve">				.WhereIf(!string.IsNullOrWhiteSpace(input.IsBumper), e =&gt; e.IsBumper.Contains(input.IsBumper))</v>
      </c>
    </row>
    <row r="17" spans="1:23" customFormat="1" ht="18.75" customHeight="1" x14ac:dyDescent="0.25">
      <c r="A17" t="s">
        <v>335</v>
      </c>
      <c r="B17" t="s">
        <v>321</v>
      </c>
      <c r="C17" t="s">
        <v>1</v>
      </c>
      <c r="D17" t="str">
        <f t="shared" si="15"/>
        <v>LotNo</v>
      </c>
      <c r="E17" t="str">
        <f t="shared" si="1"/>
        <v>varchar</v>
      </c>
      <c r="F17" s="7"/>
      <c r="G17" t="str">
        <f t="shared" si="2"/>
        <v>50</v>
      </c>
      <c r="H17" t="str">
        <f>+VLOOKUP(E17,'Data Type Mapping'!A:B,2,)</f>
        <v>string</v>
      </c>
      <c r="I17" t="str">
        <f t="shared" si="3"/>
        <v xml:space="preserve">		public const int MaxLotNoLength = 50;
</v>
      </c>
      <c r="J17" t="str">
        <f t="shared" si="4"/>
        <v xml:space="preserve">		[StringLength(MaxLotNoLength)]
		public virtual string LotNo { get; set; }
</v>
      </c>
      <c r="K17" s="7"/>
      <c r="L17" t="str">
        <f t="shared" si="16"/>
        <v/>
      </c>
      <c r="M17" t="str">
        <f t="shared" si="6"/>
        <v xml:space="preserve">		public virtual string LotNo { get; set; }
</v>
      </c>
      <c r="N17" t="str">
        <f t="shared" si="7"/>
        <v xml:space="preserve">		[StringLength(PtsBmpProgressConsts.MaxLotNoLength)]
		public virtual string LotNo { get; set; }
</v>
      </c>
      <c r="O17" t="str">
        <f t="shared" si="8"/>
        <v xml:space="preserve">		public virtual string LotNo { get; set; }
</v>
      </c>
      <c r="P17" t="str">
        <f t="shared" si="9"/>
        <v xml:space="preserve">							LotNo = o.LotNo,</v>
      </c>
      <c r="T17" s="69" t="str">
        <f t="shared" si="10"/>
        <v xml:space="preserve">								("LotNo"),</v>
      </c>
      <c r="V17" s="70" t="str">
        <f t="shared" si="11"/>
        <v xml:space="preserve">								_ =&gt; _.LotNo,</v>
      </c>
      <c r="W17" s="69" t="str">
        <f t="shared" si="12"/>
        <v xml:space="preserve">				.WhereIf(!string.IsNullOrWhiteSpace(input.LotNo), e =&gt; e.LotNo.Contains(input.LotNo))</v>
      </c>
    </row>
    <row r="18" spans="1:23" customFormat="1" ht="18.75" customHeight="1" x14ac:dyDescent="0.25">
      <c r="A18" t="s">
        <v>336</v>
      </c>
      <c r="B18" t="s">
        <v>4</v>
      </c>
      <c r="C18" t="s">
        <v>1</v>
      </c>
      <c r="D18" t="str">
        <f t="shared" si="15"/>
        <v>NoInLot</v>
      </c>
      <c r="E18" t="str">
        <f t="shared" si="1"/>
        <v>int</v>
      </c>
      <c r="F18" s="7"/>
      <c r="G18" t="str">
        <f t="shared" si="2"/>
        <v/>
      </c>
      <c r="H18" t="str">
        <f>+VLOOKUP(E18,'Data Type Mapping'!A:B,2,)</f>
        <v>int</v>
      </c>
      <c r="I18" t="str">
        <f t="shared" si="3"/>
        <v/>
      </c>
      <c r="J18" t="str">
        <f t="shared" si="4"/>
        <v xml:space="preserve">		public virtual int NoInLot { get; set; }
</v>
      </c>
      <c r="K18" s="7"/>
      <c r="L18" t="str">
        <f t="shared" si="16"/>
        <v/>
      </c>
      <c r="M18" t="str">
        <f t="shared" si="6"/>
        <v xml:space="preserve">		public virtual int NoInLot { get; set; }
</v>
      </c>
      <c r="N18" t="str">
        <f t="shared" si="7"/>
        <v xml:space="preserve">		public virtual int NoInLot { get; set; }
</v>
      </c>
      <c r="O18" t="str">
        <f t="shared" si="8"/>
        <v xml:space="preserve">		public virtual int NoInLot { get; set; }
</v>
      </c>
      <c r="P18" t="str">
        <f t="shared" si="9"/>
        <v xml:space="preserve">							NoInLot = o.NoInLot,</v>
      </c>
      <c r="T18" s="69" t="str">
        <f t="shared" si="10"/>
        <v xml:space="preserve">								("NoInLot"),</v>
      </c>
      <c r="V18" s="70" t="str">
        <f t="shared" si="11"/>
        <v xml:space="preserve">								_ =&gt; _.NoInLot,</v>
      </c>
      <c r="W18" s="69" t="str">
        <f t="shared" si="12"/>
        <v/>
      </c>
    </row>
    <row r="19" spans="1:23" customFormat="1" ht="22.5" customHeight="1" x14ac:dyDescent="0.25">
      <c r="A19" t="s">
        <v>337</v>
      </c>
      <c r="B19" t="s">
        <v>321</v>
      </c>
      <c r="C19" t="s">
        <v>1</v>
      </c>
      <c r="D19" t="str">
        <f>SUBSTITUTE(PROPER(A19),"_","")</f>
        <v>SequenceNo</v>
      </c>
      <c r="E19" t="str">
        <f t="shared" si="1"/>
        <v>varchar</v>
      </c>
      <c r="F19" s="7"/>
      <c r="G19" t="str">
        <f t="shared" si="2"/>
        <v>50</v>
      </c>
      <c r="H19" t="str">
        <f>+VLOOKUP(E19,'Data Type Mapping'!A:B,2,)</f>
        <v>string</v>
      </c>
      <c r="I19" t="str">
        <f t="shared" si="3"/>
        <v xml:space="preserve">		public const int MaxSequenceNoLength = 50;
</v>
      </c>
      <c r="J19" t="str">
        <f t="shared" si="4"/>
        <v xml:space="preserve">		[StringLength(MaxSequenceNoLength)]
		public virtual string SequenceNo { get; set; }
</v>
      </c>
      <c r="K19" s="7" t="s">
        <v>206</v>
      </c>
      <c r="L19" t="str">
        <f>IF(K19="","",REPT(CHAR(9),1)&amp;"[Index(nameof("&amp;IF(D19="","",""&amp;D19)&amp;")"&amp;", Name="&amp;"""IX_"&amp;$B$7&amp;"_"&amp;D19&amp;""")]")</f>
        <v xml:space="preserve">	[Index(nameof(SequenceNo), Name="IX_PtsBmpProgress_SequenceNo")]</v>
      </c>
      <c r="M19" t="str">
        <f t="shared" si="6"/>
        <v xml:space="preserve">		public virtual string SequenceNo { get; set; }
</v>
      </c>
      <c r="N19" t="str">
        <f t="shared" si="7"/>
        <v xml:space="preserve">		[StringLength(PtsBmpProgressConsts.MaxSequenceNoLength)]
		public virtual string SequenceNo { get; set; }
</v>
      </c>
      <c r="O19" t="str">
        <f t="shared" si="8"/>
        <v xml:space="preserve">		public virtual string SequenceNo { get; set; }
</v>
      </c>
      <c r="P19" t="str">
        <f t="shared" si="9"/>
        <v xml:space="preserve">							SequenceNo = o.SequenceNo,</v>
      </c>
      <c r="T19" s="69" t="str">
        <f t="shared" si="10"/>
        <v xml:space="preserve">								("SequenceNo"),</v>
      </c>
      <c r="V19" s="70" t="str">
        <f t="shared" si="11"/>
        <v xml:space="preserve">								_ =&gt; _.SequenceNo,</v>
      </c>
      <c r="W19" s="69" t="str">
        <f t="shared" si="12"/>
        <v xml:space="preserve">				.WhereIf(!string.IsNullOrWhiteSpace(input.SequenceNo), e =&gt; e.SequenceNo.Contains(input.SequenceNo))</v>
      </c>
    </row>
    <row r="20" spans="1:23" customFormat="1" ht="18.75" customHeight="1" x14ac:dyDescent="0.25">
      <c r="A20" t="s">
        <v>338</v>
      </c>
      <c r="B20" t="s">
        <v>321</v>
      </c>
      <c r="C20" t="s">
        <v>1</v>
      </c>
      <c r="D20" t="str">
        <f t="shared" ref="D20" si="30">SUBSTITUTE(PROPER(A20),"_","")</f>
        <v>BodyNo</v>
      </c>
      <c r="E20" t="str">
        <f t="shared" si="1"/>
        <v>varchar</v>
      </c>
      <c r="F20" s="7"/>
      <c r="G20" t="str">
        <f t="shared" si="2"/>
        <v>50</v>
      </c>
      <c r="H20" t="str">
        <f>+VLOOKUP(E20,'Data Type Mapping'!A:B,2,)</f>
        <v>string</v>
      </c>
      <c r="I20" t="str">
        <f t="shared" si="3"/>
        <v xml:space="preserve">		public const int MaxBodyNoLength = 50;
</v>
      </c>
      <c r="J20" t="str">
        <f t="shared" si="4"/>
        <v xml:space="preserve">		[StringLength(MaxBodyNoLength)]
		public virtual string BodyNo { get; set; }
</v>
      </c>
      <c r="K20" s="7"/>
      <c r="L20" t="str">
        <f t="shared" ref="L20" si="31">IF(K20="","",REPT(CHAR(9),1)&amp;"[Index(nameof("&amp;IF(D20="","",""&amp;D20)&amp;")"&amp;", Name="&amp;"""IX_"&amp;$B$7&amp;"_"&amp;D20&amp;""")]")</f>
        <v/>
      </c>
      <c r="M20" t="str">
        <f t="shared" si="6"/>
        <v xml:space="preserve">		public virtual string BodyNo { get; set; }
</v>
      </c>
      <c r="N20" t="str">
        <f t="shared" si="7"/>
        <v xml:space="preserve">		[StringLength(PtsBmpProgressConsts.MaxBodyNoLength)]
		public virtual string BodyNo { get; set; }
</v>
      </c>
      <c r="O20" t="str">
        <f t="shared" si="8"/>
        <v xml:space="preserve">		public virtual string BodyNo { get; set; }
</v>
      </c>
      <c r="P20" t="str">
        <f t="shared" si="9"/>
        <v xml:space="preserve">							BodyNo = o.BodyNo,</v>
      </c>
      <c r="T20" s="69" t="str">
        <f t="shared" si="10"/>
        <v xml:space="preserve">								("BodyNo"),</v>
      </c>
      <c r="V20" s="70" t="str">
        <f t="shared" si="11"/>
        <v xml:space="preserve">								_ =&gt; _.BodyNo,</v>
      </c>
      <c r="W20" s="69" t="str">
        <f t="shared" si="12"/>
        <v xml:space="preserve">				.WhereIf(!string.IsNullOrWhiteSpace(input.BodyNo), e =&gt; e.BodyNo.Contains(input.BodyNo))</v>
      </c>
    </row>
    <row r="21" spans="1:23" customFormat="1" ht="22.5" customHeight="1" x14ac:dyDescent="0.25">
      <c r="A21" t="s">
        <v>339</v>
      </c>
      <c r="B21" t="s">
        <v>321</v>
      </c>
      <c r="C21" t="s">
        <v>1</v>
      </c>
      <c r="D21" t="str">
        <f>SUBSTITUTE(PROPER(A21),"_","")</f>
        <v>Color</v>
      </c>
      <c r="E21" t="str">
        <f t="shared" si="1"/>
        <v>varchar</v>
      </c>
      <c r="F21" s="7"/>
      <c r="G21" t="str">
        <f t="shared" si="2"/>
        <v>50</v>
      </c>
      <c r="H21" t="str">
        <f>+VLOOKUP(E21,'Data Type Mapping'!A:B,2,)</f>
        <v>string</v>
      </c>
      <c r="I21" t="str">
        <f t="shared" si="3"/>
        <v xml:space="preserve">		public const int MaxColorLength = 50;
</v>
      </c>
      <c r="J21" t="str">
        <f t="shared" si="4"/>
        <v xml:space="preserve">		[StringLength(MaxColorLength)]
		public virtual string Color { get; set; }
</v>
      </c>
      <c r="K21" s="7"/>
      <c r="L21" t="str">
        <f>IF(K21="","",REPT(CHAR(9),1)&amp;"[Index(nameof("&amp;IF(D21="","",""&amp;D21)&amp;")"&amp;", Name="&amp;"""IX_"&amp;$B$7&amp;"_"&amp;D21&amp;""")]")</f>
        <v/>
      </c>
      <c r="M21" t="str">
        <f t="shared" si="6"/>
        <v xml:space="preserve">		public virtual string Color { get; set; }
</v>
      </c>
      <c r="N21" t="str">
        <f t="shared" si="7"/>
        <v xml:space="preserve">		[StringLength(PtsBmpProgressConsts.MaxColorLength)]
		public virtual string Color { get; set; }
</v>
      </c>
      <c r="O21" t="str">
        <f t="shared" si="8"/>
        <v xml:space="preserve">		public virtual string Color { get; set; }
</v>
      </c>
      <c r="P21" t="str">
        <f t="shared" si="9"/>
        <v xml:space="preserve">							Color = o.Color,</v>
      </c>
      <c r="T21" s="69" t="str">
        <f t="shared" si="10"/>
        <v xml:space="preserve">								("Color"),</v>
      </c>
      <c r="V21" s="70" t="str">
        <f t="shared" si="11"/>
        <v xml:space="preserve">								_ =&gt; _.Color,</v>
      </c>
      <c r="W21" s="69" t="str">
        <f t="shared" si="12"/>
        <v xml:space="preserve">				.WhereIf(!string.IsNullOrWhiteSpace(input.Color), e =&gt; e.Color.Contains(input.Color))</v>
      </c>
    </row>
    <row r="22" spans="1:23" customFormat="1" ht="18.75" customHeight="1" x14ac:dyDescent="0.25">
      <c r="A22" t="s">
        <v>340</v>
      </c>
      <c r="B22" t="s">
        <v>321</v>
      </c>
      <c r="C22" t="s">
        <v>1</v>
      </c>
      <c r="D22" t="str">
        <f t="shared" ref="D22:D23" si="32">SUBSTITUTE(PROPER(A22),"_","")</f>
        <v>SpecialColor</v>
      </c>
      <c r="E22" t="str">
        <f t="shared" ref="E22:E24" si="33">IFERROR(LEFT(B22, FIND("(",B22)-1),B22)</f>
        <v>varchar</v>
      </c>
      <c r="F22" s="7"/>
      <c r="G22" t="str">
        <f t="shared" ref="G22:G24" si="34">IFERROR(MID(B22,FIND("(",B22) +1, FIND(")",B22) - FIND("(",B22) - 1),"")</f>
        <v>50</v>
      </c>
      <c r="H22" t="str">
        <f>+VLOOKUP(E22,'Data Type Mapping'!A:B,2,)</f>
        <v>string</v>
      </c>
      <c r="I22" t="str">
        <f t="shared" ref="I22:I24" si="35">IF(H22="string",REPT(CHAR(9),2)&amp;"public const int Max"&amp;D22&amp;"Length = "&amp;G22&amp;";"&amp;$E$3,"" )</f>
        <v xml:space="preserve">		public const int MaxSpecialColorLength = 50;
</v>
      </c>
      <c r="J22" t="str">
        <f t="shared" ref="J22:J24" si="36">IF(F22="","",REPT(CHAR(9),2)&amp;"[Column(TypeName="""&amp;F22&amp;""")]"&amp;$E$3)&amp;IF(C22="Checked","",$I$3)&amp;IF(H22="string",REPT(CHAR(9),2)&amp;"[StringLength(Max"&amp;D22&amp;"Length"&amp;")]"&amp;$E$3,"")&amp;REPT(CHAR(9),2)&amp;"public virtual "&amp;H22&amp;IF(C22="?","? "," ")&amp;D22&amp;" { get; set; }" &amp; "
"</f>
        <v xml:space="preserve">		[StringLength(MaxSpecialColorLength)]
		public virtual string SpecialColor { get; set; }
</v>
      </c>
      <c r="K22" s="7"/>
      <c r="L22" t="str">
        <f t="shared" ref="L22:L23" si="37">IF(K22="","",REPT(CHAR(9),1)&amp;"[Index(nameof("&amp;IF(D22="","",""&amp;D22)&amp;")"&amp;", Name="&amp;"""IX_"&amp;$B$7&amp;"_"&amp;D22&amp;""")]")</f>
        <v/>
      </c>
      <c r="M22" t="str">
        <f t="shared" ref="M22:M24" si="38">REPT(CHAR(9),2)&amp;"public virtual "&amp;IF(OR(H22="DateTime",H22="TimeSpan"),H22&amp;"?",H22)&amp;IF(C22="?","? "," ")&amp;D22&amp;" { get; set; }" &amp; "
"</f>
        <v xml:space="preserve">		public virtual string SpecialColor { get; set; }
</v>
      </c>
      <c r="N22" t="str">
        <f t="shared" ref="N22:N24" si="39">IF(C22="Checked","",$I$3)&amp;IF(H22="string",REPT(CHAR(9),2)&amp;"[StringLength("&amp;$B$3&amp;"Consts.Max"&amp;D22&amp;"Length"&amp;")]"&amp;$E$3,"")&amp;REPT(CHAR(9),2)&amp;"public virtual "&amp;IF(OR(H22="DateTime",H22="TimeSpan"),H22&amp;"?",H22)&amp;IF(C22="?","? "," ")&amp;D22&amp;" { get; set; }" &amp; "
"</f>
        <v xml:space="preserve">		[StringLength(PtsBmpProgressConsts.MaxSpecialColorLength)]
		public virtual string SpecialColor { get; set; }
</v>
      </c>
      <c r="O22" t="str">
        <f t="shared" ref="O22:O24" si="40">IF(OR(H22="string",H22="DateTime",H22="int"),REPT(CHAR(9),2)&amp;"public virtual "&amp;IF(OR(H22="DateTime",H22="TimeSpan"),H22&amp;"?",H22)&amp;IF(C22="?","? "," ")&amp;D22&amp;" { get; set; }"&amp;$E$3,"")</f>
        <v xml:space="preserve">		public virtual string SpecialColor { get; set; }
</v>
      </c>
      <c r="P22" t="str">
        <f t="shared" ref="P22:P24" si="41">REPT(CHAR(9),7)&amp;D22&amp;" = o." &amp;D22 &amp;","</f>
        <v xml:space="preserve">							SpecialColor = o.SpecialColor,</v>
      </c>
      <c r="T22" s="69" t="str">
        <f t="shared" ref="T22:T24" si="42">REPT(CHAR(9),8)&amp;"("""&amp;D22&amp;"""),"</f>
        <v xml:space="preserve">								("SpecialColor"),</v>
      </c>
      <c r="V22" s="70" t="str">
        <f t="shared" ref="V22:V24" si="43">REPT(CHAR(9),8)&amp;"_ =&gt; _."&amp;D22&amp;","</f>
        <v xml:space="preserve">								_ =&gt; _.SpecialColor,</v>
      </c>
      <c r="W22" s="69" t="str">
        <f t="shared" ref="W22:W24" si="44">IF(H22="string",REPT(CHAR(9),4)&amp;".WhereIf(!string.IsNullOrWhiteSpace(input."&amp;D22&amp;"), e =&gt; e."&amp;D22&amp;".Contains(input."&amp;D22&amp;"))",IF(H22="DateTime",REPT(CHAR(9),4)&amp;".WhereIf(input."&amp;D22&amp;".HasValue, t =&gt; t."&amp;D22&amp;" == input."&amp;D22&amp;".Value)",""))</f>
        <v xml:space="preserve">				.WhereIf(!string.IsNullOrWhiteSpace(input.SpecialColor), e =&gt; e.SpecialColor.Contains(input.SpecialColor))</v>
      </c>
    </row>
    <row r="23" spans="1:23" customFormat="1" ht="18.75" customHeight="1" x14ac:dyDescent="0.25">
      <c r="A23" t="s">
        <v>341</v>
      </c>
      <c r="B23" t="s">
        <v>321</v>
      </c>
      <c r="C23" t="s">
        <v>1</v>
      </c>
      <c r="D23" t="str">
        <f t="shared" si="32"/>
        <v>Process</v>
      </c>
      <c r="E23" t="str">
        <f t="shared" si="33"/>
        <v>varchar</v>
      </c>
      <c r="F23" s="7"/>
      <c r="G23" t="str">
        <f t="shared" si="34"/>
        <v>50</v>
      </c>
      <c r="H23" t="str">
        <f>+VLOOKUP(E23,'Data Type Mapping'!A:B,2,)</f>
        <v>string</v>
      </c>
      <c r="I23" t="str">
        <f t="shared" si="35"/>
        <v xml:space="preserve">		public const int MaxProcessLength = 50;
</v>
      </c>
      <c r="J23" t="str">
        <f t="shared" si="36"/>
        <v xml:space="preserve">		[StringLength(MaxProcessLength)]
		public virtual string Process { get; set; }
</v>
      </c>
      <c r="K23" s="7"/>
      <c r="L23" t="str">
        <f t="shared" si="37"/>
        <v/>
      </c>
      <c r="M23" t="str">
        <f t="shared" si="38"/>
        <v xml:space="preserve">		public virtual string Process { get; set; }
</v>
      </c>
      <c r="N23" t="str">
        <f t="shared" si="39"/>
        <v xml:space="preserve">		[StringLength(PtsBmpProgressConsts.MaxProcessLength)]
		public virtual string Process { get; set; }
</v>
      </c>
      <c r="O23" t="str">
        <f t="shared" si="40"/>
        <v xml:space="preserve">		public virtual string Process { get; set; }
</v>
      </c>
      <c r="P23" t="str">
        <f t="shared" si="41"/>
        <v xml:space="preserve">							Process = o.Process,</v>
      </c>
      <c r="T23" s="69" t="str">
        <f t="shared" si="42"/>
        <v xml:space="preserve">								("Process"),</v>
      </c>
      <c r="V23" s="70" t="str">
        <f t="shared" si="43"/>
        <v xml:space="preserve">								_ =&gt; _.Process,</v>
      </c>
      <c r="W23" s="69" t="str">
        <f t="shared" si="44"/>
        <v xml:space="preserve">				.WhereIf(!string.IsNullOrWhiteSpace(input.Process), e =&gt; e.Process.Contains(input.Process))</v>
      </c>
    </row>
    <row r="24" spans="1:23" customFormat="1" ht="22.5" customHeight="1" x14ac:dyDescent="0.25">
      <c r="A24" t="s">
        <v>342</v>
      </c>
      <c r="B24" t="s">
        <v>321</v>
      </c>
      <c r="C24" t="s">
        <v>1</v>
      </c>
      <c r="D24" t="str">
        <f>SUBSTITUTE(PROPER(A24),"_","")</f>
        <v>PkProcess</v>
      </c>
      <c r="E24" t="str">
        <f t="shared" si="33"/>
        <v>varchar</v>
      </c>
      <c r="F24" s="7"/>
      <c r="G24" t="str">
        <f t="shared" si="34"/>
        <v>50</v>
      </c>
      <c r="H24" t="str">
        <f>+VLOOKUP(E24,'Data Type Mapping'!A:B,2,)</f>
        <v>string</v>
      </c>
      <c r="I24" t="str">
        <f t="shared" si="35"/>
        <v xml:space="preserve">		public const int MaxPkProcessLength = 50;
</v>
      </c>
      <c r="J24" t="str">
        <f t="shared" si="36"/>
        <v xml:space="preserve">		[StringLength(MaxPkProcessLength)]
		public virtual string PkProcess { get; set; }
</v>
      </c>
      <c r="K24" s="7"/>
      <c r="L24" t="str">
        <f>IF(K24="","",REPT(CHAR(9),1)&amp;"[Index(nameof("&amp;IF(D24="","",""&amp;D24)&amp;")"&amp;", Name="&amp;"""IX_"&amp;$B$7&amp;"_"&amp;D24&amp;""")]")</f>
        <v/>
      </c>
      <c r="M24" t="str">
        <f t="shared" si="38"/>
        <v xml:space="preserve">		public virtual string PkProcess { get; set; }
</v>
      </c>
      <c r="N24" t="str">
        <f t="shared" si="39"/>
        <v xml:space="preserve">		[StringLength(PtsBmpProgressConsts.MaxPkProcessLength)]
		public virtual string PkProcess { get; set; }
</v>
      </c>
      <c r="O24" t="str">
        <f t="shared" si="40"/>
        <v xml:space="preserve">		public virtual string PkProcess { get; set; }
</v>
      </c>
      <c r="P24" t="str">
        <f t="shared" si="41"/>
        <v xml:space="preserve">							PkProcess = o.PkProcess,</v>
      </c>
      <c r="T24" s="69" t="str">
        <f t="shared" si="42"/>
        <v xml:space="preserve">								("PkProcess"),</v>
      </c>
      <c r="V24" s="70" t="str">
        <f t="shared" si="43"/>
        <v xml:space="preserve">								_ =&gt; _.PkProcess,</v>
      </c>
      <c r="W24" s="69" t="str">
        <f t="shared" si="44"/>
        <v xml:space="preserve">				.WhereIf(!string.IsNullOrWhiteSpace(input.PkProcess), e =&gt; e.PkProcess.Contains(input.PkProcess))</v>
      </c>
    </row>
    <row r="25" spans="1:23" customFormat="1" ht="18.75" customHeight="1" x14ac:dyDescent="0.25">
      <c r="A25" t="s">
        <v>322</v>
      </c>
      <c r="B25" t="s">
        <v>321</v>
      </c>
      <c r="C25" t="s">
        <v>1</v>
      </c>
      <c r="D25" t="str">
        <f t="shared" ref="D25:D26" si="45">SUBSTITUTE(PROPER(A25),"_","")</f>
        <v>ProdLine</v>
      </c>
      <c r="E25" t="str">
        <f t="shared" ref="E25:E29" si="46">IFERROR(LEFT(B25, FIND("(",B25)-1),B25)</f>
        <v>varchar</v>
      </c>
      <c r="F25" s="7"/>
      <c r="G25" t="str">
        <f t="shared" ref="G25:G29" si="47">IFERROR(MID(B25,FIND("(",B25) +1, FIND(")",B25) - FIND("(",B25) - 1),"")</f>
        <v>50</v>
      </c>
      <c r="H25" t="str">
        <f>+VLOOKUP(E25,'Data Type Mapping'!A:B,2,)</f>
        <v>string</v>
      </c>
      <c r="I25" t="str">
        <f t="shared" ref="I25:I29" si="48">IF(H25="string",REPT(CHAR(9),2)&amp;"public const int Max"&amp;D25&amp;"Length = "&amp;G25&amp;";"&amp;$E$3,"" )</f>
        <v xml:space="preserve">		public const int MaxProdLineLength = 50;
</v>
      </c>
      <c r="J25" t="str">
        <f t="shared" ref="J25:J29" si="49">IF(F25="","",REPT(CHAR(9),2)&amp;"[Column(TypeName="""&amp;F25&amp;""")]"&amp;$E$3)&amp;IF(C25="Checked","",$I$3)&amp;IF(H25="string",REPT(CHAR(9),2)&amp;"[StringLength(Max"&amp;D25&amp;"Length"&amp;")]"&amp;$E$3,"")&amp;REPT(CHAR(9),2)&amp;"public virtual "&amp;H25&amp;IF(C25="?","? "," ")&amp;D25&amp;" { get; set; }" &amp; "
"</f>
        <v xml:space="preserve">		[StringLength(MaxProdLineLength)]
		public virtual string ProdLine { get; set; }
</v>
      </c>
      <c r="K25" s="7" t="s">
        <v>206</v>
      </c>
      <c r="L25" t="str">
        <f t="shared" ref="L25:L26" si="50">IF(K25="","",REPT(CHAR(9),1)&amp;"[Index(nameof("&amp;IF(D25="","",""&amp;D25)&amp;")"&amp;", Name="&amp;"""IX_"&amp;$B$7&amp;"_"&amp;D25&amp;""")]")</f>
        <v xml:space="preserve">	[Index(nameof(ProdLine), Name="IX_PtsBmpProgress_ProdLine")]</v>
      </c>
      <c r="M25" t="str">
        <f t="shared" ref="M25:M29" si="51">REPT(CHAR(9),2)&amp;"public virtual "&amp;IF(OR(H25="DateTime",H25="TimeSpan"),H25&amp;"?",H25)&amp;IF(C25="?","? "," ")&amp;D25&amp;" { get; set; }" &amp; "
"</f>
        <v xml:space="preserve">		public virtual string ProdLine { get; set; }
</v>
      </c>
      <c r="N25" t="str">
        <f t="shared" ref="N25:N29" si="52">IF(C25="Checked","",$I$3)&amp;IF(H25="string",REPT(CHAR(9),2)&amp;"[StringLength("&amp;$B$3&amp;"Consts.Max"&amp;D25&amp;"Length"&amp;")]"&amp;$E$3,"")&amp;REPT(CHAR(9),2)&amp;"public virtual "&amp;IF(OR(H25="DateTime",H25="TimeSpan"),H25&amp;"?",H25)&amp;IF(C25="?","? "," ")&amp;D25&amp;" { get; set; }" &amp; "
"</f>
        <v xml:space="preserve">		[StringLength(PtsBmpProgressConsts.MaxProdLineLength)]
		public virtual string ProdLine { get; set; }
</v>
      </c>
      <c r="O25" t="str">
        <f t="shared" ref="O25:O29" si="53">IF(OR(H25="string",H25="DateTime",H25="int"),REPT(CHAR(9),2)&amp;"public virtual "&amp;IF(OR(H25="DateTime",H25="TimeSpan"),H25&amp;"?",H25)&amp;IF(C25="?","? "," ")&amp;D25&amp;" { get; set; }"&amp;$E$3,"")</f>
        <v xml:space="preserve">		public virtual string ProdLine { get; set; }
</v>
      </c>
      <c r="P25" t="str">
        <f t="shared" ref="P25:P29" si="54">REPT(CHAR(9),7)&amp;D25&amp;" = o." &amp;D25 &amp;","</f>
        <v xml:space="preserve">							ProdLine = o.ProdLine,</v>
      </c>
      <c r="T25" s="69" t="str">
        <f t="shared" ref="T25:T29" si="55">REPT(CHAR(9),8)&amp;"("""&amp;D25&amp;"""),"</f>
        <v xml:space="preserve">								("ProdLine"),</v>
      </c>
      <c r="V25" s="70" t="str">
        <f t="shared" ref="V25:V29" si="56">REPT(CHAR(9),8)&amp;"_ =&gt; _."&amp;D25&amp;","</f>
        <v xml:space="preserve">								_ =&gt; _.ProdLine,</v>
      </c>
      <c r="W25" s="69" t="str">
        <f t="shared" ref="W25:W29" si="57">IF(H25="string",REPT(CHAR(9),4)&amp;".WhereIf(!string.IsNullOrWhiteSpace(input."&amp;D25&amp;"), e =&gt; e."&amp;D25&amp;".Contains(input."&amp;D25&amp;"))",IF(H25="DateTime",REPT(CHAR(9),4)&amp;".WhereIf(input."&amp;D25&amp;".HasValue, t =&gt; t."&amp;D25&amp;" == input."&amp;D25&amp;".Value)",""))</f>
        <v xml:space="preserve">				.WhereIf(!string.IsNullOrWhiteSpace(input.ProdLine), e =&gt; e.ProdLine.Contains(input.ProdLine))</v>
      </c>
    </row>
    <row r="26" spans="1:23" customFormat="1" ht="18.75" customHeight="1" x14ac:dyDescent="0.25">
      <c r="A26" t="s">
        <v>343</v>
      </c>
      <c r="B26" t="s">
        <v>2</v>
      </c>
      <c r="C26" t="s">
        <v>1</v>
      </c>
      <c r="D26" t="str">
        <f t="shared" si="45"/>
        <v>WorkingDate</v>
      </c>
      <c r="E26" t="str">
        <f t="shared" si="46"/>
        <v>date</v>
      </c>
      <c r="F26" s="7"/>
      <c r="G26" t="str">
        <f t="shared" si="47"/>
        <v/>
      </c>
      <c r="H26" t="str">
        <f>+VLOOKUP(E26,'Data Type Mapping'!A:B,2,)</f>
        <v>DateTime</v>
      </c>
      <c r="I26" t="str">
        <f t="shared" si="48"/>
        <v/>
      </c>
      <c r="J26" t="str">
        <f t="shared" si="49"/>
        <v xml:space="preserve">		public virtual DateTime WorkingDate { get; set; }
</v>
      </c>
      <c r="K26" s="7" t="s">
        <v>206</v>
      </c>
      <c r="L26" t="str">
        <f t="shared" si="50"/>
        <v xml:space="preserve">	[Index(nameof(WorkingDate), Name="IX_PtsBmpProgress_WorkingDate")]</v>
      </c>
      <c r="M26" t="str">
        <f t="shared" si="51"/>
        <v xml:space="preserve">		public virtual DateTime? WorkingDate { get; set; }
</v>
      </c>
      <c r="N26" t="str">
        <f t="shared" si="52"/>
        <v xml:space="preserve">		public virtual DateTime? WorkingDate { get; set; }
</v>
      </c>
      <c r="O26" t="str">
        <f t="shared" si="53"/>
        <v xml:space="preserve">		public virtual DateTime? WorkingDate { get; set; }
</v>
      </c>
      <c r="P26" t="str">
        <f t="shared" si="54"/>
        <v xml:space="preserve">							WorkingDate = o.WorkingDate,</v>
      </c>
      <c r="T26" s="69" t="str">
        <f t="shared" si="55"/>
        <v xml:space="preserve">								("WorkingDate"),</v>
      </c>
      <c r="V26" s="70" t="str">
        <f t="shared" si="56"/>
        <v xml:space="preserve">								_ =&gt; _.WorkingDate,</v>
      </c>
      <c r="W26" s="69" t="str">
        <f t="shared" si="57"/>
        <v xml:space="preserve">				.WhereIf(input.WorkingDate.HasValue, t =&gt; t.WorkingDate == input.WorkingDate.Value)</v>
      </c>
    </row>
    <row r="27" spans="1:23" customFormat="1" ht="22.5" customHeight="1" x14ac:dyDescent="0.25">
      <c r="A27" t="s">
        <v>344</v>
      </c>
      <c r="B27" t="s">
        <v>321</v>
      </c>
      <c r="C27" t="s">
        <v>1</v>
      </c>
      <c r="D27" t="str">
        <f>SUBSTITUTE(PROPER(A27),"_","")</f>
        <v>Shift</v>
      </c>
      <c r="E27" t="str">
        <f t="shared" si="46"/>
        <v>varchar</v>
      </c>
      <c r="F27" s="7"/>
      <c r="G27" t="str">
        <f t="shared" si="47"/>
        <v>50</v>
      </c>
      <c r="H27" t="str">
        <f>+VLOOKUP(E27,'Data Type Mapping'!A:B,2,)</f>
        <v>string</v>
      </c>
      <c r="I27" t="str">
        <f t="shared" si="48"/>
        <v xml:space="preserve">		public const int MaxShiftLength = 50;
</v>
      </c>
      <c r="J27" t="str">
        <f t="shared" si="49"/>
        <v xml:space="preserve">		[StringLength(MaxShiftLength)]
		public virtual string Shift { get; set; }
</v>
      </c>
      <c r="K27" s="7" t="s">
        <v>206</v>
      </c>
      <c r="L27" t="str">
        <f>IF(K27="","",REPT(CHAR(9),1)&amp;"[Index(nameof("&amp;IF(D27="","",""&amp;D27)&amp;")"&amp;", Name="&amp;"""IX_"&amp;$B$7&amp;"_"&amp;D27&amp;""")]")</f>
        <v xml:space="preserve">	[Index(nameof(Shift), Name="IX_PtsBmpProgress_Shift")]</v>
      </c>
      <c r="M27" t="str">
        <f t="shared" si="51"/>
        <v xml:space="preserve">		public virtual string Shift { get; set; }
</v>
      </c>
      <c r="N27" t="str">
        <f t="shared" si="52"/>
        <v xml:space="preserve">		[StringLength(PtsBmpProgressConsts.MaxShiftLength)]
		public virtual string Shift { get; set; }
</v>
      </c>
      <c r="O27" t="str">
        <f t="shared" si="53"/>
        <v xml:space="preserve">		public virtual string Shift { get; set; }
</v>
      </c>
      <c r="P27" t="str">
        <f t="shared" si="54"/>
        <v xml:space="preserve">							Shift = o.Shift,</v>
      </c>
      <c r="T27" s="69" t="str">
        <f t="shared" si="55"/>
        <v xml:space="preserve">								("Shift"),</v>
      </c>
      <c r="V27" s="70" t="str">
        <f t="shared" si="56"/>
        <v xml:space="preserve">								_ =&gt; _.Shift,</v>
      </c>
      <c r="W27" s="69" t="str">
        <f t="shared" si="57"/>
        <v xml:space="preserve">				.WhereIf(!string.IsNullOrWhiteSpace(input.Shift), e =&gt; e.Shift.Contains(input.Shift))</v>
      </c>
    </row>
    <row r="28" spans="1:23" customFormat="1" ht="18.75" customHeight="1" x14ac:dyDescent="0.25">
      <c r="A28" t="s">
        <v>345</v>
      </c>
      <c r="B28" t="s">
        <v>4</v>
      </c>
      <c r="C28" t="s">
        <v>1</v>
      </c>
      <c r="D28" t="str">
        <f t="shared" ref="D28" si="58">SUBSTITUTE(PROPER(A28),"_","")</f>
        <v>NoInDate</v>
      </c>
      <c r="E28" t="str">
        <f t="shared" si="46"/>
        <v>int</v>
      </c>
      <c r="F28" s="7"/>
      <c r="G28" t="str">
        <f t="shared" si="47"/>
        <v/>
      </c>
      <c r="H28" t="str">
        <f>+VLOOKUP(E28,'Data Type Mapping'!A:B,2,)</f>
        <v>int</v>
      </c>
      <c r="I28" t="str">
        <f t="shared" si="48"/>
        <v/>
      </c>
      <c r="J28" t="str">
        <f t="shared" si="49"/>
        <v xml:space="preserve">		public virtual int NoInDate { get; set; }
</v>
      </c>
      <c r="K28" s="7"/>
      <c r="L28" t="str">
        <f t="shared" ref="L28" si="59">IF(K28="","",REPT(CHAR(9),1)&amp;"[Index(nameof("&amp;IF(D28="","",""&amp;D28)&amp;")"&amp;", Name="&amp;"""IX_"&amp;$B$7&amp;"_"&amp;D28&amp;""")]")</f>
        <v/>
      </c>
      <c r="M28" t="str">
        <f t="shared" si="51"/>
        <v xml:space="preserve">		public virtual int NoInDate { get; set; }
</v>
      </c>
      <c r="N28" t="str">
        <f t="shared" si="52"/>
        <v xml:space="preserve">		public virtual int NoInDate { get; set; }
</v>
      </c>
      <c r="O28" t="str">
        <f t="shared" si="53"/>
        <v xml:space="preserve">		public virtual int NoInDate { get; set; }
</v>
      </c>
      <c r="P28" t="str">
        <f t="shared" si="54"/>
        <v xml:space="preserve">							NoInDate = o.NoInDate,</v>
      </c>
      <c r="T28" s="69" t="str">
        <f t="shared" si="55"/>
        <v xml:space="preserve">								("NoInDate"),</v>
      </c>
      <c r="V28" s="70" t="str">
        <f t="shared" si="56"/>
        <v xml:space="preserve">								_ =&gt; _.NoInDate,</v>
      </c>
      <c r="W28" s="69" t="str">
        <f t="shared" si="57"/>
        <v/>
      </c>
    </row>
    <row r="29" spans="1:23" customFormat="1" ht="22.5" customHeight="1" x14ac:dyDescent="0.25">
      <c r="A29" t="s">
        <v>346</v>
      </c>
      <c r="B29" t="s">
        <v>4</v>
      </c>
      <c r="C29" t="s">
        <v>1</v>
      </c>
      <c r="D29" t="str">
        <f>SUBSTITUTE(PROPER(A29),"_","")</f>
        <v>NoInShift</v>
      </c>
      <c r="E29" t="str">
        <f t="shared" si="46"/>
        <v>int</v>
      </c>
      <c r="F29" s="7"/>
      <c r="G29" t="str">
        <f t="shared" si="47"/>
        <v/>
      </c>
      <c r="H29" t="str">
        <f>+VLOOKUP(E29,'Data Type Mapping'!A:B,2,)</f>
        <v>int</v>
      </c>
      <c r="I29" t="str">
        <f t="shared" si="48"/>
        <v/>
      </c>
      <c r="J29" t="str">
        <f t="shared" si="49"/>
        <v xml:space="preserve">		public virtual int NoInShift { get; set; }
</v>
      </c>
      <c r="K29" s="7"/>
      <c r="L29" t="str">
        <f>IF(K29="","",REPT(CHAR(9),1)&amp;"[Index(nameof("&amp;IF(D29="","",""&amp;D29)&amp;")"&amp;", Name="&amp;"""IX_"&amp;$B$7&amp;"_"&amp;D29&amp;""")]")</f>
        <v/>
      </c>
      <c r="M29" t="str">
        <f t="shared" si="51"/>
        <v xml:space="preserve">		public virtual int NoInShift { get; set; }
</v>
      </c>
      <c r="N29" t="str">
        <f t="shared" si="52"/>
        <v xml:space="preserve">		public virtual int NoInShift { get; set; }
</v>
      </c>
      <c r="O29" t="str">
        <f t="shared" si="53"/>
        <v xml:space="preserve">		public virtual int NoInShift { get; set; }
</v>
      </c>
      <c r="P29" t="str">
        <f t="shared" si="54"/>
        <v xml:space="preserve">							NoInShift = o.NoInShift,</v>
      </c>
      <c r="T29" s="69" t="str">
        <f t="shared" si="55"/>
        <v xml:space="preserve">								("NoInShift"),</v>
      </c>
      <c r="V29" s="70" t="str">
        <f t="shared" si="56"/>
        <v xml:space="preserve">								_ =&gt; _.NoInShift,</v>
      </c>
      <c r="W29" s="69" t="str">
        <f t="shared" si="57"/>
        <v/>
      </c>
    </row>
    <row r="30" spans="1:23" customFormat="1" ht="18.75" customHeight="1" x14ac:dyDescent="0.25">
      <c r="A30" t="s">
        <v>347</v>
      </c>
      <c r="B30" t="s">
        <v>3</v>
      </c>
      <c r="C30" t="s">
        <v>1</v>
      </c>
      <c r="D30" t="str">
        <f t="shared" si="15"/>
        <v>TaktTimeStart</v>
      </c>
      <c r="E30" t="str">
        <f t="shared" si="1"/>
        <v>datetime</v>
      </c>
      <c r="F30" s="7" t="s">
        <v>351</v>
      </c>
      <c r="G30" t="str">
        <f t="shared" si="2"/>
        <v/>
      </c>
      <c r="H30" t="str">
        <f>+VLOOKUP(E30,'Data Type Mapping'!A:B,2,)</f>
        <v>DateTime</v>
      </c>
      <c r="I30" t="str">
        <f t="shared" si="3"/>
        <v/>
      </c>
      <c r="J30" t="str">
        <f t="shared" si="4"/>
        <v xml:space="preserve">		[Column(TypeName="datetime2(7)")]
		public virtual DateTime TaktTimeStart { get; set; }
</v>
      </c>
      <c r="K30" s="7"/>
      <c r="L30" t="str">
        <f t="shared" si="16"/>
        <v/>
      </c>
      <c r="M30" t="str">
        <f t="shared" si="6"/>
        <v xml:space="preserve">		public virtual DateTime? TaktTimeStart { get; set; }
</v>
      </c>
      <c r="N30" t="str">
        <f t="shared" si="7"/>
        <v xml:space="preserve">		public virtual DateTime? TaktTimeStart { get; set; }
</v>
      </c>
      <c r="O30" t="str">
        <f t="shared" si="8"/>
        <v xml:space="preserve">		public virtual DateTime? TaktTimeStart { get; set; }
</v>
      </c>
      <c r="P30" t="str">
        <f t="shared" si="9"/>
        <v xml:space="preserve">							TaktTimeStart = o.TaktTimeStart,</v>
      </c>
      <c r="T30" s="69" t="str">
        <f t="shared" si="10"/>
        <v xml:space="preserve">								("TaktTimeStart"),</v>
      </c>
      <c r="V30" s="70" t="str">
        <f t="shared" si="11"/>
        <v xml:space="preserve">								_ =&gt; _.TaktTimeStart,</v>
      </c>
      <c r="W30" s="69" t="str">
        <f t="shared" si="12"/>
        <v xml:space="preserve">				.WhereIf(input.TaktTimeStart.HasValue, t =&gt; t.TaktTimeStart == input.TaktTimeStart.Value)</v>
      </c>
    </row>
    <row r="31" spans="1:23" customFormat="1" ht="18.75" customHeight="1" x14ac:dyDescent="0.25">
      <c r="A31" t="s">
        <v>356</v>
      </c>
      <c r="B31" t="s">
        <v>3</v>
      </c>
      <c r="C31" t="s">
        <v>1</v>
      </c>
      <c r="D31" t="str">
        <f t="shared" ref="D31" si="60">SUBSTITUTE(PROPER(A31),"_","")</f>
        <v>ToUpDate</v>
      </c>
      <c r="E31" t="str">
        <f t="shared" ref="E31" si="61">IFERROR(LEFT(B31, FIND("(",B31)-1),B31)</f>
        <v>datetime</v>
      </c>
      <c r="F31" s="7" t="s">
        <v>351</v>
      </c>
      <c r="G31" t="str">
        <f t="shared" ref="G31" si="62">IFERROR(MID(B31,FIND("(",B31) +1, FIND(")",B31) - FIND("(",B31) - 1),"")</f>
        <v/>
      </c>
      <c r="H31" t="str">
        <f>+VLOOKUP(E31,'Data Type Mapping'!A:B,2,)</f>
        <v>DateTime</v>
      </c>
      <c r="I31" t="str">
        <f t="shared" ref="I31" si="63">IF(H31="string",REPT(CHAR(9),2)&amp;"public const int Max"&amp;D31&amp;"Length = "&amp;G31&amp;";"&amp;$E$3,"" )</f>
        <v/>
      </c>
      <c r="J31" t="str">
        <f t="shared" ref="J31" si="64">IF(F31="","",REPT(CHAR(9),2)&amp;"[Column(TypeName="""&amp;F31&amp;""")]"&amp;$E$3)&amp;IF(C31="Checked","",$I$3)&amp;IF(H31="string",REPT(CHAR(9),2)&amp;"[StringLength(Max"&amp;D31&amp;"Length"&amp;")]"&amp;$E$3,"")&amp;REPT(CHAR(9),2)&amp;"public virtual "&amp;H31&amp;IF(C31="?","? "," ")&amp;D31&amp;" { get; set; }" &amp; "
"</f>
        <v xml:space="preserve">		[Column(TypeName="datetime2(7)")]
		public virtual DateTime ToUpDate { get; set; }
</v>
      </c>
      <c r="K31" s="7"/>
      <c r="L31" t="str">
        <f t="shared" ref="L31" si="65">IF(K31="","",REPT(CHAR(9),1)&amp;"[Index(nameof("&amp;IF(D31="","",""&amp;D31)&amp;")"&amp;", Name="&amp;"""IX_"&amp;$B$7&amp;"_"&amp;D31&amp;""")]")</f>
        <v/>
      </c>
      <c r="M31" t="str">
        <f t="shared" ref="M31" si="66">REPT(CHAR(9),2)&amp;"public virtual "&amp;IF(OR(H31="DateTime",H31="TimeSpan"),H31&amp;"?",H31)&amp;IF(C31="?","? "," ")&amp;D31&amp;" { get; set; }" &amp; "
"</f>
        <v xml:space="preserve">		public virtual DateTime? ToUpDate { get; set; }
</v>
      </c>
      <c r="N31" t="str">
        <f t="shared" ref="N31" si="67">IF(C31="Checked","",$I$3)&amp;IF(H31="string",REPT(CHAR(9),2)&amp;"[StringLength("&amp;$B$3&amp;"Consts.Max"&amp;D31&amp;"Length"&amp;")]"&amp;$E$3,"")&amp;REPT(CHAR(9),2)&amp;"public virtual "&amp;IF(OR(H31="DateTime",H31="TimeSpan"),H31&amp;"?",H31)&amp;IF(C31="?","? "," ")&amp;D31&amp;" { get; set; }" &amp; "
"</f>
        <v xml:space="preserve">		public virtual DateTime? ToUpDate { get; set; }
</v>
      </c>
      <c r="O31" t="str">
        <f t="shared" ref="O31" si="68">IF(OR(H31="string",H31="DateTime",H31="int"),REPT(CHAR(9),2)&amp;"public virtual "&amp;IF(OR(H31="DateTime",H31="TimeSpan"),H31&amp;"?",H31)&amp;IF(C31="?","? "," ")&amp;D31&amp;" { get; set; }"&amp;$E$3,"")</f>
        <v xml:space="preserve">		public virtual DateTime? ToUpDate { get; set; }
</v>
      </c>
      <c r="P31" t="str">
        <f t="shared" ref="P31" si="69">REPT(CHAR(9),7)&amp;D31&amp;" = o." &amp;D31 &amp;","</f>
        <v xml:space="preserve">							ToUpDate = o.ToUpDate,</v>
      </c>
      <c r="T31" s="69" t="str">
        <f t="shared" ref="T31" si="70">REPT(CHAR(9),8)&amp;"("""&amp;D31&amp;"""),"</f>
        <v xml:space="preserve">								("ToUpDate"),</v>
      </c>
      <c r="V31" s="70" t="str">
        <f t="shared" ref="V31" si="71">REPT(CHAR(9),8)&amp;"_ =&gt; _."&amp;D31&amp;","</f>
        <v xml:space="preserve">								_ =&gt; _.ToUpDate,</v>
      </c>
      <c r="W31" s="69" t="str">
        <f t="shared" ref="W31" si="72">IF(H31="string",REPT(CHAR(9),4)&amp;".WhereIf(!string.IsNullOrWhiteSpace(input."&amp;D31&amp;"), e =&gt; e."&amp;D31&amp;".Contains(input."&amp;D31&amp;"))",IF(H31="DateTime",REPT(CHAR(9),4)&amp;".WhereIf(input."&amp;D31&amp;".HasValue, t =&gt; t."&amp;D31&amp;" == input."&amp;D31&amp;".Value)",""))</f>
        <v xml:space="preserve">				.WhereIf(input.ToUpDate.HasValue, t =&gt; t.ToUpDate == input.ToUpDate.Value)</v>
      </c>
    </row>
    <row r="32" spans="1:23" customFormat="1" ht="18.75" customHeight="1" x14ac:dyDescent="0.25">
      <c r="A32" t="s">
        <v>366</v>
      </c>
      <c r="B32" t="s">
        <v>3</v>
      </c>
      <c r="C32" t="s">
        <v>1</v>
      </c>
      <c r="D32" t="str">
        <f t="shared" si="15"/>
        <v>UpDate</v>
      </c>
      <c r="E32" t="str">
        <f t="shared" si="1"/>
        <v>datetime</v>
      </c>
      <c r="F32" s="7" t="s">
        <v>351</v>
      </c>
      <c r="G32" t="str">
        <f t="shared" si="2"/>
        <v/>
      </c>
      <c r="H32" t="str">
        <f>+VLOOKUP(E32,'Data Type Mapping'!A:B,2,)</f>
        <v>DateTime</v>
      </c>
      <c r="I32" t="str">
        <f t="shared" si="3"/>
        <v/>
      </c>
      <c r="J32" t="str">
        <f t="shared" si="4"/>
        <v xml:space="preserve">		[Column(TypeName="datetime2(7)")]
		public virtual DateTime UpDate { get; set; }
</v>
      </c>
      <c r="K32" s="7"/>
      <c r="L32" t="str">
        <f t="shared" si="16"/>
        <v/>
      </c>
      <c r="M32" t="str">
        <f t="shared" si="6"/>
        <v xml:space="preserve">		public virtual DateTime? UpDate { get; set; }
</v>
      </c>
      <c r="N32" t="str">
        <f t="shared" si="7"/>
        <v xml:space="preserve">		public virtual DateTime? UpDate { get; set; }
</v>
      </c>
      <c r="O32" t="str">
        <f t="shared" si="8"/>
        <v xml:space="preserve">		public virtual DateTime? UpDate { get; set; }
</v>
      </c>
      <c r="P32" t="str">
        <f t="shared" si="9"/>
        <v xml:space="preserve">							UpDate = o.UpDate,</v>
      </c>
      <c r="T32" s="69" t="str">
        <f t="shared" si="10"/>
        <v xml:space="preserve">								("UpDate"),</v>
      </c>
      <c r="V32" s="70" t="str">
        <f t="shared" si="11"/>
        <v xml:space="preserve">								_ =&gt; _.UpDate,</v>
      </c>
      <c r="W32" s="69" t="str">
        <f t="shared" si="12"/>
        <v xml:space="preserve">				.WhereIf(input.UpDate.HasValue, t =&gt; t.UpDate == input.UpDate.Value)</v>
      </c>
    </row>
    <row r="33" spans="1:23" customFormat="1" ht="18.75" customHeight="1" x14ac:dyDescent="0.25">
      <c r="A33" t="s">
        <v>355</v>
      </c>
      <c r="B33" t="s">
        <v>3</v>
      </c>
      <c r="C33" t="s">
        <v>1</v>
      </c>
      <c r="D33" t="str">
        <f t="shared" ref="D33" si="73">SUBSTITUTE(PROPER(A33),"_","")</f>
        <v>UpPunchDate</v>
      </c>
      <c r="E33" t="str">
        <f t="shared" ref="E33" si="74">IFERROR(LEFT(B33, FIND("(",B33)-1),B33)</f>
        <v>datetime</v>
      </c>
      <c r="F33" s="7" t="s">
        <v>351</v>
      </c>
      <c r="G33" t="str">
        <f t="shared" ref="G33" si="75">IFERROR(MID(B33,FIND("(",B33) +1, FIND(")",B33) - FIND("(",B33) - 1),"")</f>
        <v/>
      </c>
      <c r="H33" t="str">
        <f>+VLOOKUP(E33,'Data Type Mapping'!A:B,2,)</f>
        <v>DateTime</v>
      </c>
      <c r="I33" t="str">
        <f t="shared" ref="I33" si="76">IF(H33="string",REPT(CHAR(9),2)&amp;"public const int Max"&amp;D33&amp;"Length = "&amp;G33&amp;";"&amp;$E$3,"" )</f>
        <v/>
      </c>
      <c r="J33" t="str">
        <f t="shared" ref="J33" si="77">IF(F33="","",REPT(CHAR(9),2)&amp;"[Column(TypeName="""&amp;F33&amp;""")]"&amp;$E$3)&amp;IF(C33="Checked","",$I$3)&amp;IF(H33="string",REPT(CHAR(9),2)&amp;"[StringLength(Max"&amp;D33&amp;"Length"&amp;")]"&amp;$E$3,"")&amp;REPT(CHAR(9),2)&amp;"public virtual "&amp;H33&amp;IF(C33="?","? "," ")&amp;D33&amp;" { get; set; }" &amp; "
"</f>
        <v xml:space="preserve">		[Column(TypeName="datetime2(7)")]
		public virtual DateTime UpPunchDate { get; set; }
</v>
      </c>
      <c r="K33" s="7"/>
      <c r="L33" t="str">
        <f t="shared" ref="L33" si="78">IF(K33="","",REPT(CHAR(9),1)&amp;"[Index(nameof("&amp;IF(D33="","",""&amp;D33)&amp;")"&amp;", Name="&amp;"""IX_"&amp;$B$7&amp;"_"&amp;D33&amp;""")]")</f>
        <v/>
      </c>
      <c r="M33" t="str">
        <f t="shared" ref="M33" si="79">REPT(CHAR(9),2)&amp;"public virtual "&amp;IF(OR(H33="DateTime",H33="TimeSpan"),H33&amp;"?",H33)&amp;IF(C33="?","? "," ")&amp;D33&amp;" { get; set; }" &amp; "
"</f>
        <v xml:space="preserve">		public virtual DateTime? UpPunchDate { get; set; }
</v>
      </c>
      <c r="N33" t="str">
        <f t="shared" ref="N33" si="80">IF(C33="Checked","",$I$3)&amp;IF(H33="string",REPT(CHAR(9),2)&amp;"[StringLength("&amp;$B$3&amp;"Consts.Max"&amp;D33&amp;"Length"&amp;")]"&amp;$E$3,"")&amp;REPT(CHAR(9),2)&amp;"public virtual "&amp;IF(OR(H33="DateTime",H33="TimeSpan"),H33&amp;"?",H33)&amp;IF(C33="?","? "," ")&amp;D33&amp;" { get; set; }" &amp; "
"</f>
        <v xml:space="preserve">		public virtual DateTime? UpPunchDate { get; set; }
</v>
      </c>
      <c r="O33" t="str">
        <f t="shared" ref="O33" si="81">IF(OR(H33="string",H33="DateTime",H33="int"),REPT(CHAR(9),2)&amp;"public virtual "&amp;IF(OR(H33="DateTime",H33="TimeSpan"),H33&amp;"?",H33)&amp;IF(C33="?","? "," ")&amp;D33&amp;" { get; set; }"&amp;$E$3,"")</f>
        <v xml:space="preserve">		public virtual DateTime? UpPunchDate { get; set; }
</v>
      </c>
      <c r="P33" t="str">
        <f t="shared" ref="P33" si="82">REPT(CHAR(9),7)&amp;D33&amp;" = o." &amp;D33 &amp;","</f>
        <v xml:space="preserve">							UpPunchDate = o.UpPunchDate,</v>
      </c>
      <c r="T33" s="69" t="str">
        <f t="shared" ref="T33" si="83">REPT(CHAR(9),8)&amp;"("""&amp;D33&amp;"""),"</f>
        <v xml:space="preserve">								("UpPunchDate"),</v>
      </c>
      <c r="V33" s="70" t="str">
        <f t="shared" ref="V33" si="84">REPT(CHAR(9),8)&amp;"_ =&gt; _."&amp;D33&amp;","</f>
        <v xml:space="preserve">								_ =&gt; _.UpPunchDate,</v>
      </c>
      <c r="W33" s="69" t="str">
        <f t="shared" ref="W33" si="85">IF(H33="string",REPT(CHAR(9),4)&amp;".WhereIf(!string.IsNullOrWhiteSpace(input."&amp;D33&amp;"), e =&gt; e."&amp;D33&amp;".Contains(input."&amp;D33&amp;"))",IF(H33="DateTime",REPT(CHAR(9),4)&amp;".WhereIf(input."&amp;D33&amp;".HasValue, t =&gt; t."&amp;D33&amp;" == input."&amp;D33&amp;".Value)",""))</f>
        <v xml:space="preserve">				.WhereIf(input.UpPunchDate.HasValue, t =&gt; t.UpPunchDate == input.UpPunchDate.Value)</v>
      </c>
    </row>
    <row r="34" spans="1:23" customFormat="1" ht="22.5" customHeight="1" x14ac:dyDescent="0.25">
      <c r="A34" t="s">
        <v>353</v>
      </c>
      <c r="B34" t="s">
        <v>3</v>
      </c>
      <c r="C34" t="s">
        <v>1</v>
      </c>
      <c r="D34" t="str">
        <f>SUBSTITUTE(PROPER(A34),"_","")</f>
        <v>UpSkipDate</v>
      </c>
      <c r="E34" t="str">
        <f t="shared" ref="E34:E45" si="86">IFERROR(LEFT(B34, FIND("(",B34)-1),B34)</f>
        <v>datetime</v>
      </c>
      <c r="F34" s="7" t="s">
        <v>351</v>
      </c>
      <c r="G34" t="str">
        <f t="shared" ref="G34:G45" si="87">IFERROR(MID(B34,FIND("(",B34) +1, FIND(")",B34) - FIND("(",B34) - 1),"")</f>
        <v/>
      </c>
      <c r="H34" t="str">
        <f>+VLOOKUP(E34,'Data Type Mapping'!A:B,2,)</f>
        <v>DateTime</v>
      </c>
      <c r="I34" t="str">
        <f t="shared" ref="I34:I45" si="88">IF(H34="string",REPT(CHAR(9),2)&amp;"public const int Max"&amp;D34&amp;"Length = "&amp;G34&amp;";"&amp;$E$3,"" )</f>
        <v/>
      </c>
      <c r="J34" t="str">
        <f t="shared" ref="J34:J45" si="89">IF(F34="","",REPT(CHAR(9),2)&amp;"[Column(TypeName="""&amp;F34&amp;""")]"&amp;$E$3)&amp;IF(C34="Checked","",$I$3)&amp;IF(H34="string",REPT(CHAR(9),2)&amp;"[StringLength(Max"&amp;D34&amp;"Length"&amp;")]"&amp;$E$3,"")&amp;REPT(CHAR(9),2)&amp;"public virtual "&amp;H34&amp;IF(C34="?","? "," ")&amp;D34&amp;" { get; set; }" &amp; "
"</f>
        <v xml:space="preserve">		[Column(TypeName="datetime2(7)")]
		public virtual DateTime UpSkipDate { get; set; }
</v>
      </c>
      <c r="K34" s="7"/>
      <c r="L34" t="str">
        <f>IF(K34="","",REPT(CHAR(9),1)&amp;"[Index(nameof("&amp;IF(D34="","",""&amp;D34)&amp;")"&amp;", Name="&amp;"""IX_"&amp;$B$7&amp;"_"&amp;D34&amp;""")]")</f>
        <v/>
      </c>
      <c r="M34" t="str">
        <f t="shared" ref="M34:M45" si="90">REPT(CHAR(9),2)&amp;"public virtual "&amp;IF(OR(H34="DateTime",H34="TimeSpan"),H34&amp;"?",H34)&amp;IF(C34="?","? "," ")&amp;D34&amp;" { get; set; }" &amp; "
"</f>
        <v xml:space="preserve">		public virtual DateTime? UpSkipDate { get; set; }
</v>
      </c>
      <c r="N34" t="str">
        <f t="shared" ref="N34:N45" si="91">IF(C34="Checked","",$I$3)&amp;IF(H34="string",REPT(CHAR(9),2)&amp;"[StringLength("&amp;$B$3&amp;"Consts.Max"&amp;D34&amp;"Length"&amp;")]"&amp;$E$3,"")&amp;REPT(CHAR(9),2)&amp;"public virtual "&amp;IF(OR(H34="DateTime",H34="TimeSpan"),H34&amp;"?",H34)&amp;IF(C34="?","? "," ")&amp;D34&amp;" { get; set; }" &amp; "
"</f>
        <v xml:space="preserve">		public virtual DateTime? UpSkipDate { get; set; }
</v>
      </c>
      <c r="O34" t="str">
        <f t="shared" ref="O34:O45" si="92">IF(OR(H34="string",H34="DateTime",H34="int"),REPT(CHAR(9),2)&amp;"public virtual "&amp;IF(OR(H34="DateTime",H34="TimeSpan"),H34&amp;"?",H34)&amp;IF(C34="?","? "," ")&amp;D34&amp;" { get; set; }"&amp;$E$3,"")</f>
        <v xml:space="preserve">		public virtual DateTime? UpSkipDate { get; set; }
</v>
      </c>
      <c r="P34" t="str">
        <f t="shared" ref="P34:P45" si="93">REPT(CHAR(9),7)&amp;D34&amp;" = o." &amp;D34 &amp;","</f>
        <v xml:space="preserve">							UpSkipDate = o.UpSkipDate,</v>
      </c>
      <c r="T34" s="69" t="str">
        <f t="shared" ref="T34:T45" si="94">REPT(CHAR(9),8)&amp;"("""&amp;D34&amp;"""),"</f>
        <v xml:space="preserve">								("UpSkipDate"),</v>
      </c>
      <c r="V34" s="70" t="str">
        <f t="shared" ref="V34:V45" si="95">REPT(CHAR(9),8)&amp;"_ =&gt; _."&amp;D34&amp;","</f>
        <v xml:space="preserve">								_ =&gt; _.UpSkipDate,</v>
      </c>
      <c r="W34" s="69" t="str">
        <f t="shared" ref="W34:W45" si="96">IF(H34="string",REPT(CHAR(9),4)&amp;".WhereIf(!string.IsNullOrWhiteSpace(input."&amp;D34&amp;"), e =&gt; e."&amp;D34&amp;".Contains(input."&amp;D34&amp;"))",IF(H34="DateTime",REPT(CHAR(9),4)&amp;".WhereIf(input."&amp;D34&amp;".HasValue, t =&gt; t."&amp;D34&amp;" == input."&amp;D34&amp;".Value)",""))</f>
        <v xml:space="preserve">				.WhereIf(input.UpSkipDate.HasValue, t =&gt; t.UpSkipDate == input.UpSkipDate.Value)</v>
      </c>
    </row>
    <row r="35" spans="1:23" customFormat="1" ht="22.5" customHeight="1" x14ac:dyDescent="0.25">
      <c r="A35" t="s">
        <v>354</v>
      </c>
      <c r="B35" t="s">
        <v>3</v>
      </c>
      <c r="C35" t="s">
        <v>1</v>
      </c>
      <c r="D35" t="str">
        <f>SUBSTITUTE(PROPER(A35),"_","")</f>
        <v>UpRecoatDate</v>
      </c>
      <c r="E35" t="str">
        <f t="shared" ref="E35" si="97">IFERROR(LEFT(B35, FIND("(",B35)-1),B35)</f>
        <v>datetime</v>
      </c>
      <c r="F35" s="7" t="s">
        <v>351</v>
      </c>
      <c r="G35" t="str">
        <f t="shared" ref="G35" si="98">IFERROR(MID(B35,FIND("(",B35) +1, FIND(")",B35) - FIND("(",B35) - 1),"")</f>
        <v/>
      </c>
      <c r="H35" t="str">
        <f>+VLOOKUP(E35,'Data Type Mapping'!A:B,2,)</f>
        <v>DateTime</v>
      </c>
      <c r="I35" t="str">
        <f t="shared" ref="I35" si="99">IF(H35="string",REPT(CHAR(9),2)&amp;"public const int Max"&amp;D35&amp;"Length = "&amp;G35&amp;";"&amp;$E$3,"" )</f>
        <v/>
      </c>
      <c r="J35" t="str">
        <f t="shared" ref="J35" si="100">IF(F35="","",REPT(CHAR(9),2)&amp;"[Column(TypeName="""&amp;F35&amp;""")]"&amp;$E$3)&amp;IF(C35="Checked","",$I$3)&amp;IF(H35="string",REPT(CHAR(9),2)&amp;"[StringLength(Max"&amp;D35&amp;"Length"&amp;")]"&amp;$E$3,"")&amp;REPT(CHAR(9),2)&amp;"public virtual "&amp;H35&amp;IF(C35="?","? "," ")&amp;D35&amp;" { get; set; }" &amp; "
"</f>
        <v xml:space="preserve">		[Column(TypeName="datetime2(7)")]
		public virtual DateTime UpRecoatDate { get; set; }
</v>
      </c>
      <c r="K35" s="7"/>
      <c r="L35" t="str">
        <f>IF(K35="","",REPT(CHAR(9),1)&amp;"[Index(nameof("&amp;IF(D35="","",""&amp;D35)&amp;")"&amp;", Name="&amp;"""IX_"&amp;$B$7&amp;"_"&amp;D35&amp;""")]")</f>
        <v/>
      </c>
      <c r="M35" t="str">
        <f t="shared" ref="M35" si="101">REPT(CHAR(9),2)&amp;"public virtual "&amp;IF(OR(H35="DateTime",H35="TimeSpan"),H35&amp;"?",H35)&amp;IF(C35="?","? "," ")&amp;D35&amp;" { get; set; }" &amp; "
"</f>
        <v xml:space="preserve">		public virtual DateTime? UpRecoatDate { get; set; }
</v>
      </c>
      <c r="N35" t="str">
        <f t="shared" ref="N35" si="102">IF(C35="Checked","",$I$3)&amp;IF(H35="string",REPT(CHAR(9),2)&amp;"[StringLength("&amp;$B$3&amp;"Consts.Max"&amp;D35&amp;"Length"&amp;")]"&amp;$E$3,"")&amp;REPT(CHAR(9),2)&amp;"public virtual "&amp;IF(OR(H35="DateTime",H35="TimeSpan"),H35&amp;"?",H35)&amp;IF(C35="?","? "," ")&amp;D35&amp;" { get; set; }" &amp; "
"</f>
        <v xml:space="preserve">		public virtual DateTime? UpRecoatDate { get; set; }
</v>
      </c>
      <c r="O35" t="str">
        <f t="shared" ref="O35" si="103">IF(OR(H35="string",H35="DateTime",H35="int"),REPT(CHAR(9),2)&amp;"public virtual "&amp;IF(OR(H35="DateTime",H35="TimeSpan"),H35&amp;"?",H35)&amp;IF(C35="?","? "," ")&amp;D35&amp;" { get; set; }"&amp;$E$3,"")</f>
        <v xml:space="preserve">		public virtual DateTime? UpRecoatDate { get; set; }
</v>
      </c>
      <c r="P35" t="str">
        <f t="shared" ref="P35" si="104">REPT(CHAR(9),7)&amp;D35&amp;" = o." &amp;D35 &amp;","</f>
        <v xml:space="preserve">							UpRecoatDate = o.UpRecoatDate,</v>
      </c>
      <c r="T35" s="69" t="str">
        <f t="shared" ref="T35" si="105">REPT(CHAR(9),8)&amp;"("""&amp;D35&amp;"""),"</f>
        <v xml:space="preserve">								("UpRecoatDate"),</v>
      </c>
      <c r="V35" s="70" t="str">
        <f t="shared" ref="V35" si="106">REPT(CHAR(9),8)&amp;"_ =&gt; _."&amp;D35&amp;","</f>
        <v xml:space="preserve">								_ =&gt; _.UpRecoatDate,</v>
      </c>
      <c r="W35" s="69" t="str">
        <f t="shared" ref="W35" si="107">IF(H35="string",REPT(CHAR(9),4)&amp;".WhereIf(!string.IsNullOrWhiteSpace(input."&amp;D35&amp;"), e =&gt; e."&amp;D35&amp;".Contains(input."&amp;D35&amp;"))",IF(H35="DateTime",REPT(CHAR(9),4)&amp;".WhereIf(input."&amp;D35&amp;".HasValue, t =&gt; t."&amp;D35&amp;" == input."&amp;D35&amp;".Value)",""))</f>
        <v xml:space="preserve">				.WhereIf(input.UpRecoatDate.HasValue, t =&gt; t.UpRecoatDate == input.UpRecoatDate.Value)</v>
      </c>
    </row>
    <row r="36" spans="1:23" customFormat="1" ht="18.75" customHeight="1" x14ac:dyDescent="0.25">
      <c r="A36" t="s">
        <v>352</v>
      </c>
      <c r="B36" t="s">
        <v>3</v>
      </c>
      <c r="C36" t="s">
        <v>1</v>
      </c>
      <c r="D36" t="str">
        <f t="shared" ref="D36:D37" si="108">SUBSTITUTE(PROPER(A36),"_","")</f>
        <v>SubAssyDate</v>
      </c>
      <c r="E36" t="str">
        <f>IFERROR(LEFT(B36, FIND("(",B36)-1),B36)</f>
        <v>datetime</v>
      </c>
      <c r="F36" s="7" t="s">
        <v>351</v>
      </c>
      <c r="G36" t="str">
        <f>IFERROR(MID(B36,FIND("(",B36) +1, FIND(")",B36) - FIND("(",B36) - 1),"")</f>
        <v/>
      </c>
      <c r="H36" t="str">
        <f>+VLOOKUP(E36,'Data Type Mapping'!A:B,2,)</f>
        <v>DateTime</v>
      </c>
      <c r="I36" t="str">
        <f>IF(H36="string",REPT(CHAR(9),2)&amp;"public const int Max"&amp;D36&amp;"Length = "&amp;G36&amp;";"&amp;$E$3,"" )</f>
        <v/>
      </c>
      <c r="J36" t="str">
        <f>IF(F36="","",REPT(CHAR(9),2)&amp;"[Column(TypeName="""&amp;F36&amp;""")]"&amp;$E$3)&amp;IF(C36="Checked","",$I$3)&amp;IF(H36="string",REPT(CHAR(9),2)&amp;"[StringLength(Max"&amp;D36&amp;"Length"&amp;")]"&amp;$E$3,"")&amp;REPT(CHAR(9),2)&amp;"public virtual "&amp;H36&amp;IF(C36="?","? "," ")&amp;D36&amp;" { get; set; }" &amp; "
"</f>
        <v xml:space="preserve">		[Column(TypeName="datetime2(7)")]
		public virtual DateTime SubAssyDate { get; set; }
</v>
      </c>
      <c r="K36" s="7"/>
      <c r="L36" t="str">
        <f t="shared" ref="L36:L37" si="109">IF(K36="","",REPT(CHAR(9),1)&amp;"[Index(nameof("&amp;IF(D36="","",""&amp;D36)&amp;")"&amp;", Name="&amp;"""IX_"&amp;$B$7&amp;"_"&amp;D36&amp;""")]")</f>
        <v/>
      </c>
      <c r="M36" t="str">
        <f>REPT(CHAR(9),2)&amp;"public virtual "&amp;IF(OR(H36="DateTime",H36="TimeSpan"),H36&amp;"?",H36)&amp;IF(C36="?","? "," ")&amp;D36&amp;" { get; set; }" &amp; "
"</f>
        <v xml:space="preserve">		public virtual DateTime? SubAssyDate { get; set; }
</v>
      </c>
      <c r="N36" t="str">
        <f>IF(C36="Checked","",$I$3)&amp;IF(H36="string",REPT(CHAR(9),2)&amp;"[StringLength("&amp;$B$3&amp;"Consts.Max"&amp;D36&amp;"Length"&amp;")]"&amp;$E$3,"")&amp;REPT(CHAR(9),2)&amp;"public virtual "&amp;IF(OR(H36="DateTime",H36="TimeSpan"),H36&amp;"?",H36)&amp;IF(C36="?","? "," ")&amp;D36&amp;" { get; set; }" &amp; "
"</f>
        <v xml:space="preserve">		public virtual DateTime? SubAssyDate { get; set; }
</v>
      </c>
      <c r="O36" t="str">
        <f>IF(OR(H36="string",H36="DateTime",H36="int"),REPT(CHAR(9),2)&amp;"public virtual "&amp;IF(OR(H36="DateTime",H36="TimeSpan"),H36&amp;"?",H36)&amp;IF(C36="?","? "," ")&amp;D36&amp;" { get; set; }"&amp;$E$3,"")</f>
        <v xml:space="preserve">		public virtual DateTime? SubAssyDate { get; set; }
</v>
      </c>
      <c r="P36" t="str">
        <f>REPT(CHAR(9),7)&amp;D36&amp;" = o." &amp;D36 &amp;","</f>
        <v xml:space="preserve">							SubAssyDate = o.SubAssyDate,</v>
      </c>
      <c r="T36" s="69" t="str">
        <f>REPT(CHAR(9),8)&amp;"("""&amp;D36&amp;"""),"</f>
        <v xml:space="preserve">								("SubAssyDate"),</v>
      </c>
      <c r="V36" s="70" t="str">
        <f>REPT(CHAR(9),8)&amp;"_ =&gt; _."&amp;D36&amp;","</f>
        <v xml:space="preserve">								_ =&gt; _.SubAssyDate,</v>
      </c>
      <c r="W36" s="69" t="str">
        <f>IF(H36="string",REPT(CHAR(9),4)&amp;".WhereIf(!string.IsNullOrWhiteSpace(input."&amp;D36&amp;"), e =&gt; e."&amp;D36&amp;".Contains(input."&amp;D36&amp;"))",IF(H36="DateTime",REPT(CHAR(9),4)&amp;".WhereIf(input."&amp;D36&amp;".HasValue, t =&gt; t."&amp;D36&amp;" == input."&amp;D36&amp;".Value)",""))</f>
        <v xml:space="preserve">				.WhereIf(input.SubAssyDate.HasValue, t =&gt; t.SubAssyDate == input.SubAssyDate.Value)</v>
      </c>
    </row>
    <row r="37" spans="1:23" customFormat="1" ht="18.75" customHeight="1" x14ac:dyDescent="0.25">
      <c r="A37" t="s">
        <v>357</v>
      </c>
      <c r="B37" t="s">
        <v>3</v>
      </c>
      <c r="C37" t="s">
        <v>1</v>
      </c>
      <c r="D37" t="str">
        <f t="shared" si="108"/>
        <v>SubAssyPunchDate</v>
      </c>
      <c r="E37" t="str">
        <f t="shared" ref="E37:E39" si="110">IFERROR(LEFT(B37, FIND("(",B37)-1),B37)</f>
        <v>datetime</v>
      </c>
      <c r="F37" s="7" t="s">
        <v>351</v>
      </c>
      <c r="G37" t="str">
        <f t="shared" ref="G37:G39" si="111">IFERROR(MID(B37,FIND("(",B37) +1, FIND(")",B37) - FIND("(",B37) - 1),"")</f>
        <v/>
      </c>
      <c r="H37" t="str">
        <f>+VLOOKUP(E37,'Data Type Mapping'!A:B,2,)</f>
        <v>DateTime</v>
      </c>
      <c r="I37" t="str">
        <f t="shared" ref="I37:I39" si="112">IF(H37="string",REPT(CHAR(9),2)&amp;"public const int Max"&amp;D37&amp;"Length = "&amp;G37&amp;";"&amp;$E$3,"" )</f>
        <v/>
      </c>
      <c r="J37" t="str">
        <f t="shared" ref="J37:J39" si="113">IF(F37="","",REPT(CHAR(9),2)&amp;"[Column(TypeName="""&amp;F37&amp;""")]"&amp;$E$3)&amp;IF(C37="Checked","",$I$3)&amp;IF(H37="string",REPT(CHAR(9),2)&amp;"[StringLength(Max"&amp;D37&amp;"Length"&amp;")]"&amp;$E$3,"")&amp;REPT(CHAR(9),2)&amp;"public virtual "&amp;H37&amp;IF(C37="?","? "," ")&amp;D37&amp;" { get; set; }" &amp; "
"</f>
        <v xml:space="preserve">		[Column(TypeName="datetime2(7)")]
		public virtual DateTime SubAssyPunchDate { get; set; }
</v>
      </c>
      <c r="K37" s="7"/>
      <c r="L37" t="str">
        <f t="shared" si="109"/>
        <v/>
      </c>
      <c r="M37" t="str">
        <f t="shared" ref="M37:M39" si="114">REPT(CHAR(9),2)&amp;"public virtual "&amp;IF(OR(H37="DateTime",H37="TimeSpan"),H37&amp;"?",H37)&amp;IF(C37="?","? "," ")&amp;D37&amp;" { get; set; }" &amp; "
"</f>
        <v xml:space="preserve">		public virtual DateTime? SubAssyPunchDate { get; set; }
</v>
      </c>
      <c r="N37" t="str">
        <f t="shared" ref="N37:N39" si="115">IF(C37="Checked","",$I$3)&amp;IF(H37="string",REPT(CHAR(9),2)&amp;"[StringLength("&amp;$B$3&amp;"Consts.Max"&amp;D37&amp;"Length"&amp;")]"&amp;$E$3,"")&amp;REPT(CHAR(9),2)&amp;"public virtual "&amp;IF(OR(H37="DateTime",H37="TimeSpan"),H37&amp;"?",H37)&amp;IF(C37="?","? "," ")&amp;D37&amp;" { get; set; }" &amp; "
"</f>
        <v xml:space="preserve">		public virtual DateTime? SubAssyPunchDate { get; set; }
</v>
      </c>
      <c r="O37" t="str">
        <f t="shared" ref="O37:O39" si="116">IF(OR(H37="string",H37="DateTime",H37="int"),REPT(CHAR(9),2)&amp;"public virtual "&amp;IF(OR(H37="DateTime",H37="TimeSpan"),H37&amp;"?",H37)&amp;IF(C37="?","? "," ")&amp;D37&amp;" { get; set; }"&amp;$E$3,"")</f>
        <v xml:space="preserve">		public virtual DateTime? SubAssyPunchDate { get; set; }
</v>
      </c>
      <c r="P37" t="str">
        <f t="shared" ref="P37:P39" si="117">REPT(CHAR(9),7)&amp;D37&amp;" = o." &amp;D37 &amp;","</f>
        <v xml:space="preserve">							SubAssyPunchDate = o.SubAssyPunchDate,</v>
      </c>
      <c r="T37" s="69" t="str">
        <f t="shared" ref="T37:T39" si="118">REPT(CHAR(9),8)&amp;"("""&amp;D37&amp;"""),"</f>
        <v xml:space="preserve">								("SubAssyPunchDate"),</v>
      </c>
      <c r="V37" s="70" t="str">
        <f t="shared" ref="V37:V39" si="119">REPT(CHAR(9),8)&amp;"_ =&gt; _."&amp;D37&amp;","</f>
        <v xml:space="preserve">								_ =&gt; _.SubAssyPunchDate,</v>
      </c>
      <c r="W37" s="69" t="str">
        <f t="shared" ref="W37:W39" si="120">IF(H37="string",REPT(CHAR(9),4)&amp;".WhereIf(!string.IsNullOrWhiteSpace(input."&amp;D37&amp;"), e =&gt; e."&amp;D37&amp;".Contains(input."&amp;D37&amp;"))",IF(H37="DateTime",REPT(CHAR(9),4)&amp;".WhereIf(input."&amp;D37&amp;".HasValue, t =&gt; t."&amp;D37&amp;" == input."&amp;D37&amp;".Value)",""))</f>
        <v xml:space="preserve">				.WhereIf(input.SubAssyPunchDate.HasValue, t =&gt; t.SubAssyPunchDate == input.SubAssyPunchDate.Value)</v>
      </c>
    </row>
    <row r="38" spans="1:23" customFormat="1" ht="22.5" customHeight="1" x14ac:dyDescent="0.25">
      <c r="A38" t="s">
        <v>358</v>
      </c>
      <c r="B38" t="s">
        <v>3</v>
      </c>
      <c r="C38" t="s">
        <v>1</v>
      </c>
      <c r="D38" t="str">
        <f>SUBSTITUTE(PROPER(A38),"_","")</f>
        <v>SubAssySkipDate</v>
      </c>
      <c r="E38" t="str">
        <f t="shared" si="110"/>
        <v>datetime</v>
      </c>
      <c r="F38" s="7" t="s">
        <v>351</v>
      </c>
      <c r="G38" t="str">
        <f t="shared" si="111"/>
        <v/>
      </c>
      <c r="H38" t="str">
        <f>+VLOOKUP(E38,'Data Type Mapping'!A:B,2,)</f>
        <v>DateTime</v>
      </c>
      <c r="I38" t="str">
        <f t="shared" si="112"/>
        <v/>
      </c>
      <c r="J38" t="str">
        <f t="shared" si="113"/>
        <v xml:space="preserve">		[Column(TypeName="datetime2(7)")]
		public virtual DateTime SubAssySkipDate { get; set; }
</v>
      </c>
      <c r="K38" s="7"/>
      <c r="L38" t="str">
        <f>IF(K38="","",REPT(CHAR(9),1)&amp;"[Index(nameof("&amp;IF(D38="","",""&amp;D38)&amp;")"&amp;", Name="&amp;"""IX_"&amp;$B$7&amp;"_"&amp;D38&amp;""")]")</f>
        <v/>
      </c>
      <c r="M38" t="str">
        <f t="shared" si="114"/>
        <v xml:space="preserve">		public virtual DateTime? SubAssySkipDate { get; set; }
</v>
      </c>
      <c r="N38" t="str">
        <f t="shared" si="115"/>
        <v xml:space="preserve">		public virtual DateTime? SubAssySkipDate { get; set; }
</v>
      </c>
      <c r="O38" t="str">
        <f t="shared" si="116"/>
        <v xml:space="preserve">		public virtual DateTime? SubAssySkipDate { get; set; }
</v>
      </c>
      <c r="P38" t="str">
        <f t="shared" si="117"/>
        <v xml:space="preserve">							SubAssySkipDate = o.SubAssySkipDate,</v>
      </c>
      <c r="T38" s="69" t="str">
        <f t="shared" si="118"/>
        <v xml:space="preserve">								("SubAssySkipDate"),</v>
      </c>
      <c r="V38" s="70" t="str">
        <f t="shared" si="119"/>
        <v xml:space="preserve">								_ =&gt; _.SubAssySkipDate,</v>
      </c>
      <c r="W38" s="69" t="str">
        <f t="shared" si="120"/>
        <v xml:space="preserve">				.WhereIf(input.SubAssySkipDate.HasValue, t =&gt; t.SubAssySkipDate == input.SubAssySkipDate.Value)</v>
      </c>
    </row>
    <row r="39" spans="1:23" customFormat="1" ht="22.5" customHeight="1" x14ac:dyDescent="0.25">
      <c r="A39" t="s">
        <v>359</v>
      </c>
      <c r="B39" t="s">
        <v>3</v>
      </c>
      <c r="C39" t="s">
        <v>1</v>
      </c>
      <c r="D39" t="str">
        <f>SUBSTITUTE(PROPER(A39),"_","")</f>
        <v>SubAssyRecoatDate</v>
      </c>
      <c r="E39" t="str">
        <f t="shared" si="110"/>
        <v>datetime</v>
      </c>
      <c r="F39" s="7" t="s">
        <v>351</v>
      </c>
      <c r="G39" t="str">
        <f t="shared" si="111"/>
        <v/>
      </c>
      <c r="H39" t="str">
        <f>+VLOOKUP(E39,'Data Type Mapping'!A:B,2,)</f>
        <v>DateTime</v>
      </c>
      <c r="I39" t="str">
        <f t="shared" si="112"/>
        <v/>
      </c>
      <c r="J39" t="str">
        <f t="shared" si="113"/>
        <v xml:space="preserve">		[Column(TypeName="datetime2(7)")]
		public virtual DateTime SubAssyRecoatDate { get; set; }
</v>
      </c>
      <c r="K39" s="7"/>
      <c r="L39" t="str">
        <f>IF(K39="","",REPT(CHAR(9),1)&amp;"[Index(nameof("&amp;IF(D39="","",""&amp;D39)&amp;")"&amp;", Name="&amp;"""IX_"&amp;$B$7&amp;"_"&amp;D39&amp;""")]")</f>
        <v/>
      </c>
      <c r="M39" t="str">
        <f t="shared" si="114"/>
        <v xml:space="preserve">		public virtual DateTime? SubAssyRecoatDate { get; set; }
</v>
      </c>
      <c r="N39" t="str">
        <f t="shared" si="115"/>
        <v xml:space="preserve">		public virtual DateTime? SubAssyRecoatDate { get; set; }
</v>
      </c>
      <c r="O39" t="str">
        <f t="shared" si="116"/>
        <v xml:space="preserve">		public virtual DateTime? SubAssyRecoatDate { get; set; }
</v>
      </c>
      <c r="P39" t="str">
        <f t="shared" si="117"/>
        <v xml:space="preserve">							SubAssyRecoatDate = o.SubAssyRecoatDate,</v>
      </c>
      <c r="T39" s="69" t="str">
        <f t="shared" si="118"/>
        <v xml:space="preserve">								("SubAssyRecoatDate"),</v>
      </c>
      <c r="V39" s="70" t="str">
        <f t="shared" si="119"/>
        <v xml:space="preserve">								_ =&gt; _.SubAssyRecoatDate,</v>
      </c>
      <c r="W39" s="69" t="str">
        <f t="shared" si="120"/>
        <v xml:space="preserve">				.WhereIf(input.SubAssyRecoatDate.HasValue, t =&gt; t.SubAssyRecoatDate == input.SubAssyRecoatDate.Value)</v>
      </c>
    </row>
    <row r="40" spans="1:23" customFormat="1" ht="18.75" customHeight="1" x14ac:dyDescent="0.25">
      <c r="A40" t="s">
        <v>348</v>
      </c>
      <c r="B40" t="s">
        <v>0</v>
      </c>
      <c r="C40" t="s">
        <v>1</v>
      </c>
      <c r="D40" t="str">
        <f t="shared" ref="D40:D41" si="121">SUBSTITUTE(PROPER(A40),"_","")</f>
        <v>SignalId</v>
      </c>
      <c r="E40" t="str">
        <f t="shared" ref="E40:E41" si="122">IFERROR(LEFT(B40, FIND("(",B40)-1),B40)</f>
        <v>bigint</v>
      </c>
      <c r="F40" s="7"/>
      <c r="G40" t="str">
        <f t="shared" ref="G40:G41" si="123">IFERROR(MID(B40,FIND("(",B40) +1, FIND(")",B40) - FIND("(",B40) - 1),"")</f>
        <v/>
      </c>
      <c r="H40" t="str">
        <f>+VLOOKUP(E40,'Data Type Mapping'!A:B,2,)</f>
        <v>long</v>
      </c>
      <c r="I40" t="str">
        <f t="shared" ref="I40:I41" si="124">IF(H40="string",REPT(CHAR(9),2)&amp;"public const int Max"&amp;D40&amp;"Length = "&amp;G40&amp;";"&amp;$E$3,"" )</f>
        <v/>
      </c>
      <c r="J40" t="str">
        <f t="shared" ref="J40:J41" si="125">IF(F40="","",REPT(CHAR(9),2)&amp;"[Column(TypeName="""&amp;F40&amp;""")]"&amp;$E$3)&amp;IF(C40="Checked","",$I$3)&amp;IF(H40="string",REPT(CHAR(9),2)&amp;"[StringLength(Max"&amp;D40&amp;"Length"&amp;")]"&amp;$E$3,"")&amp;REPT(CHAR(9),2)&amp;"public virtual "&amp;H40&amp;IF(C40="?","? "," ")&amp;D40&amp;" { get; set; }" &amp; "
"</f>
        <v xml:space="preserve">		public virtual long SignalId { get; set; }
</v>
      </c>
      <c r="K40" s="7" t="s">
        <v>206</v>
      </c>
      <c r="L40" t="str">
        <f t="shared" ref="L40:L41" si="126">IF(K40="","",REPT(CHAR(9),1)&amp;"[Index(nameof("&amp;IF(D40="","",""&amp;D40)&amp;")"&amp;", Name="&amp;"""IX_"&amp;$B$7&amp;"_"&amp;D40&amp;""")]")</f>
        <v xml:space="preserve">	[Index(nameof(SignalId), Name="IX_PtsBmpProgress_SignalId")]</v>
      </c>
      <c r="M40" t="str">
        <f t="shared" ref="M40:M41" si="127">REPT(CHAR(9),2)&amp;"public virtual "&amp;IF(OR(H40="DateTime",H40="TimeSpan"),H40&amp;"?",H40)&amp;IF(C40="?","? "," ")&amp;D40&amp;" { get; set; }" &amp; "
"</f>
        <v xml:space="preserve">		public virtual long SignalId { get; set; }
</v>
      </c>
      <c r="N40" t="str">
        <f t="shared" ref="N40:N41" si="128">IF(C40="Checked","",$I$3)&amp;IF(H40="string",REPT(CHAR(9),2)&amp;"[StringLength("&amp;$B$3&amp;"Consts.Max"&amp;D40&amp;"Length"&amp;")]"&amp;$E$3,"")&amp;REPT(CHAR(9),2)&amp;"public virtual "&amp;IF(OR(H40="DateTime",H40="TimeSpan"),H40&amp;"?",H40)&amp;IF(C40="?","? "," ")&amp;D40&amp;" { get; set; }" &amp; "
"</f>
        <v xml:space="preserve">		public virtual long SignalId { get; set; }
</v>
      </c>
      <c r="O40" t="str">
        <f t="shared" ref="O40:O41" si="129">IF(OR(H40="string",H40="DateTime",H40="int"),REPT(CHAR(9),2)&amp;"public virtual "&amp;IF(OR(H40="DateTime",H40="TimeSpan"),H40&amp;"?",H40)&amp;IF(C40="?","? "," ")&amp;D40&amp;" { get; set; }"&amp;$E$3,"")</f>
        <v/>
      </c>
      <c r="P40" t="str">
        <f t="shared" ref="P40:P41" si="130">REPT(CHAR(9),7)&amp;D40&amp;" = o." &amp;D40 &amp;","</f>
        <v xml:space="preserve">							SignalId = o.SignalId,</v>
      </c>
      <c r="T40" s="69" t="str">
        <f t="shared" ref="T40:T41" si="131">REPT(CHAR(9),8)&amp;"("""&amp;D40&amp;"""),"</f>
        <v xml:space="preserve">								("SignalId"),</v>
      </c>
      <c r="V40" s="70" t="str">
        <f t="shared" ref="V40:V41" si="132">REPT(CHAR(9),8)&amp;"_ =&gt; _."&amp;D40&amp;","</f>
        <v xml:space="preserve">								_ =&gt; _.SignalId,</v>
      </c>
      <c r="W40" s="69" t="str">
        <f t="shared" ref="W40:W41" si="133">IF(H40="string",REPT(CHAR(9),4)&amp;".WhereIf(!string.IsNullOrWhiteSpace(input."&amp;D40&amp;"), e =&gt; e."&amp;D40&amp;".Contains(input."&amp;D40&amp;"))",IF(H40="DateTime",REPT(CHAR(9),4)&amp;".WhereIf(input."&amp;D40&amp;".HasValue, t =&gt; t."&amp;D40&amp;" == input."&amp;D40&amp;".Value)",""))</f>
        <v/>
      </c>
    </row>
    <row r="41" spans="1:23" customFormat="1" ht="18.75" customHeight="1" x14ac:dyDescent="0.25">
      <c r="A41" t="s">
        <v>349</v>
      </c>
      <c r="B41" t="s">
        <v>321</v>
      </c>
      <c r="C41" t="s">
        <v>1</v>
      </c>
      <c r="D41" t="str">
        <f t="shared" si="121"/>
        <v>SignalCode</v>
      </c>
      <c r="E41" t="str">
        <f t="shared" si="122"/>
        <v>varchar</v>
      </c>
      <c r="F41" s="7"/>
      <c r="G41" t="str">
        <f t="shared" si="123"/>
        <v>50</v>
      </c>
      <c r="H41" t="str">
        <f>+VLOOKUP(E41,'Data Type Mapping'!A:B,2,)</f>
        <v>string</v>
      </c>
      <c r="I41" t="str">
        <f t="shared" si="124"/>
        <v xml:space="preserve">		public const int MaxSignalCodeLength = 50;
</v>
      </c>
      <c r="J41" t="str">
        <f t="shared" si="125"/>
        <v xml:space="preserve">		[StringLength(MaxSignalCodeLength)]
		public virtual string SignalCode { get; set; }
</v>
      </c>
      <c r="K41" s="7"/>
      <c r="L41" t="str">
        <f t="shared" si="126"/>
        <v/>
      </c>
      <c r="M41" t="str">
        <f t="shared" si="127"/>
        <v xml:space="preserve">		public virtual string SignalCode { get; set; }
</v>
      </c>
      <c r="N41" t="str">
        <f t="shared" si="128"/>
        <v xml:space="preserve">		[StringLength(PtsBmpProgressConsts.MaxSignalCodeLength)]
		public virtual string SignalCode { get; set; }
</v>
      </c>
      <c r="O41" t="str">
        <f t="shared" si="129"/>
        <v xml:space="preserve">		public virtual string SignalCode { get; set; }
</v>
      </c>
      <c r="P41" t="str">
        <f t="shared" si="130"/>
        <v xml:space="preserve">							SignalCode = o.SignalCode,</v>
      </c>
      <c r="T41" s="69" t="str">
        <f t="shared" si="131"/>
        <v xml:space="preserve">								("SignalCode"),</v>
      </c>
      <c r="V41" s="70" t="str">
        <f t="shared" si="132"/>
        <v xml:space="preserve">								_ =&gt; _.SignalCode,</v>
      </c>
      <c r="W41" s="69" t="str">
        <f t="shared" si="133"/>
        <v xml:space="preserve">				.WhereIf(!string.IsNullOrWhiteSpace(input.SignalCode), e =&gt; e.SignalCode.Contains(input.SignalCode))</v>
      </c>
    </row>
    <row r="42" spans="1:23" customFormat="1" ht="18.75" customHeight="1" x14ac:dyDescent="0.25">
      <c r="A42" t="s">
        <v>360</v>
      </c>
      <c r="B42" t="s">
        <v>3</v>
      </c>
      <c r="C42" t="s">
        <v>1</v>
      </c>
      <c r="D42" t="str">
        <f t="shared" ref="D42" si="134">SUBSTITUTE(PROPER(A42),"_","")</f>
        <v>UpSignalDate</v>
      </c>
      <c r="E42" t="str">
        <f t="shared" ref="E42" si="135">IFERROR(LEFT(B42, FIND("(",B42)-1),B42)</f>
        <v>datetime</v>
      </c>
      <c r="F42" s="7" t="s">
        <v>351</v>
      </c>
      <c r="G42" t="str">
        <f t="shared" ref="G42" si="136">IFERROR(MID(B42,FIND("(",B42) +1, FIND(")",B42) - FIND("(",B42) - 1),"")</f>
        <v/>
      </c>
      <c r="H42" t="str">
        <f>+VLOOKUP(E42,'Data Type Mapping'!A:B,2,)</f>
        <v>DateTime</v>
      </c>
      <c r="I42" t="str">
        <f t="shared" ref="I42" si="137">IF(H42="string",REPT(CHAR(9),2)&amp;"public const int Max"&amp;D42&amp;"Length = "&amp;G42&amp;";"&amp;$E$3,"" )</f>
        <v/>
      </c>
      <c r="J42" t="str">
        <f t="shared" ref="J42" si="138">IF(F42="","",REPT(CHAR(9),2)&amp;"[Column(TypeName="""&amp;F42&amp;""")]"&amp;$E$3)&amp;IF(C42="Checked","",$I$3)&amp;IF(H42="string",REPT(CHAR(9),2)&amp;"[StringLength(Max"&amp;D42&amp;"Length"&amp;")]"&amp;$E$3,"")&amp;REPT(CHAR(9),2)&amp;"public virtual "&amp;H42&amp;IF(C42="?","? "," ")&amp;D42&amp;" { get; set; }" &amp; "
"</f>
        <v xml:space="preserve">		[Column(TypeName="datetime2(7)")]
		public virtual DateTime UpSignalDate { get; set; }
</v>
      </c>
      <c r="K42" s="7"/>
      <c r="L42" t="str">
        <f t="shared" ref="L42" si="139">IF(K42="","",REPT(CHAR(9),1)&amp;"[Index(nameof("&amp;IF(D42="","",""&amp;D42)&amp;")"&amp;", Name="&amp;"""IX_"&amp;$B$7&amp;"_"&amp;D42&amp;""")]")</f>
        <v/>
      </c>
      <c r="M42" t="str">
        <f t="shared" ref="M42" si="140">REPT(CHAR(9),2)&amp;"public virtual "&amp;IF(OR(H42="DateTime",H42="TimeSpan"),H42&amp;"?",H42)&amp;IF(C42="?","? "," ")&amp;D42&amp;" { get; set; }" &amp; "
"</f>
        <v xml:space="preserve">		public virtual DateTime? UpSignalDate { get; set; }
</v>
      </c>
      <c r="N42" t="str">
        <f t="shared" ref="N42" si="141">IF(C42="Checked","",$I$3)&amp;IF(H42="string",REPT(CHAR(9),2)&amp;"[StringLength("&amp;$B$3&amp;"Consts.Max"&amp;D42&amp;"Length"&amp;")]"&amp;$E$3,"")&amp;REPT(CHAR(9),2)&amp;"public virtual "&amp;IF(OR(H42="DateTime",H42="TimeSpan"),H42&amp;"?",H42)&amp;IF(C42="?","? "," ")&amp;D42&amp;" { get; set; }" &amp; "
"</f>
        <v xml:space="preserve">		public virtual DateTime? UpSignalDate { get; set; }
</v>
      </c>
      <c r="O42" t="str">
        <f t="shared" ref="O42" si="142">IF(OR(H42="string",H42="DateTime",H42="int"),REPT(CHAR(9),2)&amp;"public virtual "&amp;IF(OR(H42="DateTime",H42="TimeSpan"),H42&amp;"?",H42)&amp;IF(C42="?","? "," ")&amp;D42&amp;" { get; set; }"&amp;$E$3,"")</f>
        <v xml:space="preserve">		public virtual DateTime? UpSignalDate { get; set; }
</v>
      </c>
      <c r="P42" t="str">
        <f t="shared" ref="P42" si="143">REPT(CHAR(9),7)&amp;D42&amp;" = o." &amp;D42 &amp;","</f>
        <v xml:space="preserve">							UpSignalDate = o.UpSignalDate,</v>
      </c>
      <c r="T42" s="69" t="str">
        <f t="shared" ref="T42" si="144">REPT(CHAR(9),8)&amp;"("""&amp;D42&amp;"""),"</f>
        <v xml:space="preserve">								("UpSignalDate"),</v>
      </c>
      <c r="V42" s="70" t="str">
        <f t="shared" ref="V42" si="145">REPT(CHAR(9),8)&amp;"_ =&gt; _."&amp;D42&amp;","</f>
        <v xml:space="preserve">								_ =&gt; _.UpSignalDate,</v>
      </c>
      <c r="W42" s="69" t="str">
        <f t="shared" ref="W42" si="146">IF(H42="string",REPT(CHAR(9),4)&amp;".WhereIf(!string.IsNullOrWhiteSpace(input."&amp;D42&amp;"), e =&gt; e."&amp;D42&amp;".Contains(input."&amp;D42&amp;"))",IF(H42="DateTime",REPT(CHAR(9),4)&amp;".WhereIf(input."&amp;D42&amp;".HasValue, t =&gt; t."&amp;D42&amp;" == input."&amp;D42&amp;".Value)",""))</f>
        <v xml:space="preserve">				.WhereIf(input.UpSignalDate.HasValue, t =&gt; t.UpSignalDate == input.UpSignalDate.Value)</v>
      </c>
    </row>
    <row r="43" spans="1:23" customFormat="1" ht="18.75" customHeight="1" x14ac:dyDescent="0.25">
      <c r="A43" t="s">
        <v>361</v>
      </c>
      <c r="B43" t="s">
        <v>3</v>
      </c>
      <c r="C43" t="s">
        <v>1</v>
      </c>
      <c r="D43" t="str">
        <f t="shared" ref="D43" si="147">SUBSTITUTE(PROPER(A43),"_","")</f>
        <v>SubAssySignalDate</v>
      </c>
      <c r="E43" t="str">
        <f t="shared" ref="E43" si="148">IFERROR(LEFT(B43, FIND("(",B43)-1),B43)</f>
        <v>datetime</v>
      </c>
      <c r="F43" s="7" t="s">
        <v>351</v>
      </c>
      <c r="G43" t="str">
        <f t="shared" ref="G43" si="149">IFERROR(MID(B43,FIND("(",B43) +1, FIND(")",B43) - FIND("(",B43) - 1),"")</f>
        <v/>
      </c>
      <c r="H43" t="str">
        <f>+VLOOKUP(E43,'Data Type Mapping'!A:B,2,)</f>
        <v>DateTime</v>
      </c>
      <c r="I43" t="str">
        <f t="shared" ref="I43" si="150">IF(H43="string",REPT(CHAR(9),2)&amp;"public const int Max"&amp;D43&amp;"Length = "&amp;G43&amp;";"&amp;$E$3,"" )</f>
        <v/>
      </c>
      <c r="J43" t="str">
        <f t="shared" ref="J43" si="151">IF(F43="","",REPT(CHAR(9),2)&amp;"[Column(TypeName="""&amp;F43&amp;""")]"&amp;$E$3)&amp;IF(C43="Checked","",$I$3)&amp;IF(H43="string",REPT(CHAR(9),2)&amp;"[StringLength(Max"&amp;D43&amp;"Length"&amp;")]"&amp;$E$3,"")&amp;REPT(CHAR(9),2)&amp;"public virtual "&amp;H43&amp;IF(C43="?","? "," ")&amp;D43&amp;" { get; set; }" &amp; "
"</f>
        <v xml:space="preserve">		[Column(TypeName="datetime2(7)")]
		public virtual DateTime SubAssySignalDate { get; set; }
</v>
      </c>
      <c r="K43" s="7"/>
      <c r="L43" t="str">
        <f t="shared" ref="L43" si="152">IF(K43="","",REPT(CHAR(9),1)&amp;"[Index(nameof("&amp;IF(D43="","",""&amp;D43)&amp;")"&amp;", Name="&amp;"""IX_"&amp;$B$7&amp;"_"&amp;D43&amp;""")]")</f>
        <v/>
      </c>
      <c r="M43" t="str">
        <f t="shared" ref="M43" si="153">REPT(CHAR(9),2)&amp;"public virtual "&amp;IF(OR(H43="DateTime",H43="TimeSpan"),H43&amp;"?",H43)&amp;IF(C43="?","? "," ")&amp;D43&amp;" { get; set; }" &amp; "
"</f>
        <v xml:space="preserve">		public virtual DateTime? SubAssySignalDate { get; set; }
</v>
      </c>
      <c r="N43" t="str">
        <f t="shared" ref="N43" si="154">IF(C43="Checked","",$I$3)&amp;IF(H43="string",REPT(CHAR(9),2)&amp;"[StringLength("&amp;$B$3&amp;"Consts.Max"&amp;D43&amp;"Length"&amp;")]"&amp;$E$3,"")&amp;REPT(CHAR(9),2)&amp;"public virtual "&amp;IF(OR(H43="DateTime",H43="TimeSpan"),H43&amp;"?",H43)&amp;IF(C43="?","? "," ")&amp;D43&amp;" { get; set; }" &amp; "
"</f>
        <v xml:space="preserve">		public virtual DateTime? SubAssySignalDate { get; set; }
</v>
      </c>
      <c r="O43" t="str">
        <f t="shared" ref="O43" si="155">IF(OR(H43="string",H43="DateTime",H43="int"),REPT(CHAR(9),2)&amp;"public virtual "&amp;IF(OR(H43="DateTime",H43="TimeSpan"),H43&amp;"?",H43)&amp;IF(C43="?","? "," ")&amp;D43&amp;" { get; set; }"&amp;$E$3,"")</f>
        <v xml:space="preserve">		public virtual DateTime? SubAssySignalDate { get; set; }
</v>
      </c>
      <c r="P43" t="str">
        <f t="shared" ref="P43" si="156">REPT(CHAR(9),7)&amp;D43&amp;" = o." &amp;D43 &amp;","</f>
        <v xml:space="preserve">							SubAssySignalDate = o.SubAssySignalDate,</v>
      </c>
      <c r="T43" s="69" t="str">
        <f t="shared" ref="T43" si="157">REPT(CHAR(9),8)&amp;"("""&amp;D43&amp;"""),"</f>
        <v xml:space="preserve">								("SubAssySignalDate"),</v>
      </c>
      <c r="V43" s="70" t="str">
        <f t="shared" ref="V43" si="158">REPT(CHAR(9),8)&amp;"_ =&gt; _."&amp;D43&amp;","</f>
        <v xml:space="preserve">								_ =&gt; _.SubAssySignalDate,</v>
      </c>
      <c r="W43" s="69" t="str">
        <f t="shared" ref="W43" si="159">IF(H43="string",REPT(CHAR(9),4)&amp;".WhereIf(!string.IsNullOrWhiteSpace(input."&amp;D43&amp;"), e =&gt; e."&amp;D43&amp;".Contains(input."&amp;D43&amp;"))",IF(H43="DateTime",REPT(CHAR(9),4)&amp;".WhereIf(input."&amp;D43&amp;".HasValue, t =&gt; t."&amp;D43&amp;" == input."&amp;D43&amp;".Value)",""))</f>
        <v xml:space="preserve">				.WhereIf(input.SubAssySignalDate.HasValue, t =&gt; t.SubAssySignalDate == input.SubAssySignalDate.Value)</v>
      </c>
    </row>
    <row r="44" spans="1:23" customFormat="1" ht="18.75" customHeight="1" x14ac:dyDescent="0.25">
      <c r="A44" t="s">
        <v>350</v>
      </c>
      <c r="B44" t="s">
        <v>321</v>
      </c>
      <c r="C44" t="s">
        <v>1</v>
      </c>
      <c r="D44" t="str">
        <f t="shared" ref="D44" si="160">SUBSTITUTE(PROPER(A44),"_","")</f>
        <v>Status</v>
      </c>
      <c r="E44" t="str">
        <f t="shared" si="86"/>
        <v>varchar</v>
      </c>
      <c r="F44" s="7"/>
      <c r="G44" t="str">
        <f t="shared" si="87"/>
        <v>50</v>
      </c>
      <c r="H44" t="str">
        <f>+VLOOKUP(E44,'Data Type Mapping'!A:B,2,)</f>
        <v>string</v>
      </c>
      <c r="I44" t="str">
        <f t="shared" si="88"/>
        <v xml:space="preserve">		public const int MaxStatusLength = 50;
</v>
      </c>
      <c r="J44" t="str">
        <f t="shared" si="89"/>
        <v xml:space="preserve">		[StringLength(MaxStatusLength)]
		public virtual string Status { get; set; }
</v>
      </c>
      <c r="K44" s="7" t="s">
        <v>206</v>
      </c>
      <c r="L44" t="str">
        <f t="shared" ref="L44" si="161">IF(K44="","",REPT(CHAR(9),1)&amp;"[Index(nameof("&amp;IF(D44="","",""&amp;D44)&amp;")"&amp;", Name="&amp;"""IX_"&amp;$B$7&amp;"_"&amp;D44&amp;""")]")</f>
        <v xml:space="preserve">	[Index(nameof(Status), Name="IX_PtsBmpProgress_Status")]</v>
      </c>
      <c r="M44" t="str">
        <f t="shared" si="90"/>
        <v xml:space="preserve">		public virtual string Status { get; set; }
</v>
      </c>
      <c r="N44" t="str">
        <f t="shared" si="91"/>
        <v xml:space="preserve">		[StringLength(PtsBmpProgressConsts.MaxStatusLength)]
		public virtual string Status { get; set; }
</v>
      </c>
      <c r="O44" t="str">
        <f t="shared" si="92"/>
        <v xml:space="preserve">		public virtual string Status { get; set; }
</v>
      </c>
      <c r="P44" t="str">
        <f t="shared" si="93"/>
        <v xml:space="preserve">							Status = o.Status,</v>
      </c>
      <c r="T44" s="69" t="str">
        <f t="shared" si="94"/>
        <v xml:space="preserve">								("Status"),</v>
      </c>
      <c r="V44" s="70" t="str">
        <f t="shared" si="95"/>
        <v xml:space="preserve">								_ =&gt; _.Status,</v>
      </c>
      <c r="W44" s="69" t="str">
        <f t="shared" si="96"/>
        <v xml:space="preserve">				.WhereIf(!string.IsNullOrWhiteSpace(input.Status), e =&gt; e.Status.Contains(input.Status))</v>
      </c>
    </row>
    <row r="45" spans="1:23" customFormat="1" ht="22.5" customHeight="1" x14ac:dyDescent="0.25">
      <c r="A45" t="s">
        <v>323</v>
      </c>
      <c r="B45" t="s">
        <v>324</v>
      </c>
      <c r="C45" t="s">
        <v>1</v>
      </c>
      <c r="D45" t="str">
        <f>SUBSTITUTE(PROPER(A45),"_","")</f>
        <v>IsActive</v>
      </c>
      <c r="E45" t="str">
        <f t="shared" si="86"/>
        <v>varchar</v>
      </c>
      <c r="F45" s="7"/>
      <c r="G45" t="str">
        <f t="shared" si="87"/>
        <v>1</v>
      </c>
      <c r="H45" t="str">
        <f>+VLOOKUP(E45,'Data Type Mapping'!A:B,2,)</f>
        <v>string</v>
      </c>
      <c r="I45" t="str">
        <f t="shared" si="88"/>
        <v xml:space="preserve">		public const int MaxIsActiveLength = 1;
</v>
      </c>
      <c r="J45" t="str">
        <f t="shared" si="89"/>
        <v xml:space="preserve">		[StringLength(MaxIsActiveLength)]
		public virtual string IsActive { get; set; }
</v>
      </c>
      <c r="K45" s="7" t="s">
        <v>206</v>
      </c>
      <c r="L45" t="str">
        <f>IF(K45="","",REPT(CHAR(9),1)&amp;"[Index(nameof("&amp;IF(D45="","",""&amp;D45)&amp;")"&amp;", Name="&amp;"""IX_"&amp;$B$7&amp;"_"&amp;D45&amp;""")]")</f>
        <v xml:space="preserve">	[Index(nameof(IsActive), Name="IX_PtsBmpProgress_IsActive")]</v>
      </c>
      <c r="M45" t="str">
        <f t="shared" si="90"/>
        <v xml:space="preserve">		public virtual string IsActive { get; set; }
</v>
      </c>
      <c r="N45" t="str">
        <f t="shared" si="91"/>
        <v xml:space="preserve">		[StringLength(PtsBmpProgressConsts.MaxIsActiveLength)]
		public virtual string IsActive { get; set; }
</v>
      </c>
      <c r="O45" t="str">
        <f t="shared" si="92"/>
        <v xml:space="preserve">		public virtual string IsActive { get; set; }
</v>
      </c>
      <c r="P45" t="str">
        <f t="shared" si="93"/>
        <v xml:space="preserve">							IsActive = o.IsActive,</v>
      </c>
      <c r="T45" s="69" t="str">
        <f t="shared" si="94"/>
        <v xml:space="preserve">								("IsActive"),</v>
      </c>
      <c r="V45" s="70" t="str">
        <f t="shared" si="95"/>
        <v xml:space="preserve">								_ =&gt; _.IsActive,</v>
      </c>
      <c r="W45" s="69" t="str">
        <f t="shared" si="96"/>
        <v xml:space="preserve">				.WhereIf(!string.IsNullOrWhiteSpace(input.IsActive), e =&gt; e.IsActive.Contains(input.IsActive))</v>
      </c>
    </row>
    <row r="47" spans="1:23" ht="45.75" customHeight="1" x14ac:dyDescent="0.25">
      <c r="H47" s="12"/>
      <c r="I47" s="34" t="str">
        <f ca="1">TEXTJOIN2("
", TRUE,INDIRECT( $H$1):INDIRECT( $H$3))</f>
        <v xml:space="preserve">		public const int MaxBackNoLength = 50;
		public const int MaxModelLength = 50;
		public const int MaxCfcLength = 50;
		public const int MaxGradeLength = 50;
		public const int MaxPartTypeCodeLength = 50;
		public const int MaxIsPunchLength = 1;
		public const int MaxIsBumperLength = 1;
		public const int MaxLotNoLength = 50;
		public const int MaxSequenceNoLength = 50;
		public const int MaxBodyNoLength = 50;
		public const int MaxColorLength = 50;
		public const int MaxSpecialColorLength = 50;
		public const int MaxProcessLength = 50;
		public const int MaxPkProcessLength = 50;
		public const int MaxProdLineLength = 50;
		public const int MaxShiftLength = 50;
		public const int MaxSignalCodeLength = 50;
		public const int MaxStatusLength = 50;
		public const int MaxIsActiveLength = 1;
</v>
      </c>
      <c r="J47" s="33" t="str">
        <f ca="1">TEXTJOIN2("
", TRUE,INDIRECT( $F$1):INDIRECT( $F$3))</f>
        <v xml:space="preserve">		public virtual long PartId { get; set; }
		[StringLength(MaxBackNoLength)]
		public virtual string BackNo { get; set; }
		[StringLength(MaxModelLength)]
		public virtual string Model { get; set; }
		[StringLength(MaxCfcLength)]
		public virtual string Cfc { get; set; }
		[StringLength(MaxGradeLength)]
		public virtual string Grade { get; set; }
		[StringLength(MaxPartTypeCodeLength)]
		public virtual string PartTypeCode { get; set; }
		[StringLength(MaxIsPunchLength)]
		public virtual string IsPunch { get; set; }
		[StringLength(MaxIsBumperLength)]
		public virtual string IsBumper { get; set; }
		[StringLength(MaxLotNoLength)]
		public virtual string LotNo { get; set; }
		public virtual int NoInLot { get; set; }
		[StringLength(MaxSequenceNoLength)]
		public virtual string SequenceNo { get; set; }
		[StringLength(MaxBodyNoLength)]
		public virtual string BodyNo { get; set; }
		[StringLength(MaxColorLength)]
		public virtual string Color { get; set; }
		[StringLength(MaxSpecialColorLength)]
		public virtual string SpecialColor { get; set; }
		[StringLength(MaxProcessLength)]
		public virtual string Process { get; set; }
		[StringLength(MaxPkProcessLength)]
		public virtual string PkProcess { get; set; }
		[StringLength(MaxProdLineLength)]
		public virtual string ProdLine { get; set; }
		public virtual DateTime WorkingDate { get; set; }
		[StringLength(MaxShiftLength)]
		public virtual string Shift { get; set; }
		public virtual int NoInDate { get; set; }
		public virtual int NoInShift { get; set; }
		[Column(TypeName="datetime2(7)")]
		public virtual DateTime TaktTimeStart { get; set; }
		[Column(TypeName="datetime2(7)")]
		public virtual DateTime ToUpDate { get; set; }
		[Column(TypeName="datetime2(7)")]
		public virtual DateTime UpDate { get; set; }
		[Column(TypeName="datetime2(7)")]
		public virtual DateTime UpPunchDate { get; set; }
		[Column(TypeName="datetime2(7)")]
		public virtual DateTime UpSkipDate { get; set; }
		[Column(TypeName="datetime2(7)")]
		public virtual DateTime UpRecoatDate { get; set; }
		[Column(TypeName="datetime2(7)")]
		public virtual DateTime SubAssyDate { get; set; }
		[Column(TypeName="datetime2(7)")]
		public virtual DateTime SubAssyPunchDate { get; set; }
		[Column(TypeName="datetime2(7)")]
		public virtual DateTime SubAssySkipDate { get; set; }
		[Column(TypeName="datetime2(7)")]
		public virtual DateTime SubAssyRecoatDate { get; set; }
		public virtual long SignalId { get; set; }
		[StringLength(MaxSignalCodeLength)]
		public virtual string SignalCode { get; set; }
		[Column(TypeName="datetime2(7)")]
		public virtual DateTime UpSignalDate { get; set; }
		[Column(TypeName="datetime2(7)")]
		public virtual DateTime SubAssySignalDate { get; set; }
		[StringLength(MaxStatusLength)]
		public virtual string Status { get; set; }
		[StringLength(MaxIsActiveLength)]
		public virtual string IsActive { get; set; }
</v>
      </c>
      <c r="K47" s="35" t="str">
        <f ca="1">TEXTJOIN2("
", TRUE,INDIRECT( $J$1):INDIRECT( $J$3))</f>
        <v xml:space="preserve">	[Index(nameof(PartId), Name="IX_PtsBmpProgress_PartId")]
	[Index(nameof(BackNo), Name="IX_PtsBmpProgress_BackNo")]
	[Index(nameof(PartTypeCode), Name="IX_PtsBmpProgress_PartTypeCode")]
	[Index(nameof(SequenceNo), Name="IX_PtsBmpProgress_SequenceNo")]
	[Index(nameof(ProdLine), Name="IX_PtsBmpProgress_ProdLine")]
	[Index(nameof(WorkingDate), Name="IX_PtsBmpProgress_WorkingDate")]
	[Index(nameof(Shift), Name="IX_PtsBmpProgress_Shift")]
	[Index(nameof(SignalId), Name="IX_PtsBmpProgress_SignalId")]
	[Index(nameof(Status), Name="IX_PtsBmpProgress_Status")]
	[Index(nameof(IsActive), Name="IX_PtsBmpProgress_IsActive")]</v>
      </c>
      <c r="L47" s="13" t="s">
        <v>60</v>
      </c>
      <c r="M47" s="36" t="str">
        <f ca="1">TEXTJOIN2("
",TRUE,INDIRECT( $L$1):INDIRECT($L$3))</f>
        <v xml:space="preserve">		public virtual long PartId { get; set; }
		public virtual string BackNo { get; set; }
		public virtual string Model { get; set; }
		public virtual string Cfc { get; set; }
		public virtual string Grade { get; set; }
		public virtual string PartTypeCode { get; set; }
		public virtual string IsPunch { get; set; }
		public virtual string IsBumper { get; set; }
		public virtual string LotNo { get; set; }
		public virtual int NoInLot { get; set; }
		public virtual string SequenceNo { get; set; }
		public virtual string BodyNo { get; set; }
		public virtual string Color { get; set; }
		public virtual string SpecialColor { get; set; }
		public virtual string Process { get; set; }
		public virtual string PkProcess { get; set; }
		public virtual string ProdLine { get; set; }
		public virtual DateTime? WorkingDate { get; set; }
		public virtual string Shift { get; set; }
		public virtual int NoInDate { get; set; }
		public virtual int NoInShift { get; set; }
		public virtual DateTime? TaktTimeStart { get; set; }
		public virtual DateTime? ToUpDate { get; set; }
		public virtual DateTime? UpDate { get; set; }
		public virtual DateTime? UpPunchDate { get; set; }
		public virtual DateTime? UpSkipDate { get; set; }
		public virtual DateTime? UpRecoatDate { get; set; }
		public virtual DateTime? SubAssyDate { get; set; }
		public virtual DateTime? SubAssyPunchDate { get; set; }
		public virtual DateTime? SubAssySkipDate { get; set; }
		public virtual DateTime? SubAssyRecoatDate { get; set; }
		public virtual long SignalId { get; set; }
		public virtual string SignalCode { get; set; }
		public virtual DateTime? UpSignalDate { get; set; }
		public virtual DateTime? SubAssySignalDate { get; set; }
		public virtual string Status { get; set; }
		public virtual string IsActive { get; set; }
</v>
      </c>
      <c r="N47" s="33" t="str">
        <f ca="1">TEXTJOIN2("
",TRUE,INDIRECT( $M$1):INDIRECT($M$3))</f>
        <v xml:space="preserve">		public virtual long PartId { get; set; }
		[StringLength(PtsBmpProgressConsts.MaxBackNoLength)]
		public virtual string BackNo { get; set; }
		[StringLength(PtsBmpProgressConsts.MaxModelLength)]
		public virtual string Model { get; set; }
		[StringLength(PtsBmpProgressConsts.MaxCfcLength)]
		public virtual string Cfc { get; set; }
		[StringLength(PtsBmpProgressConsts.MaxGradeLength)]
		public virtual string Grade { get; set; }
		[StringLength(PtsBmpProgressConsts.MaxPartTypeCodeLength)]
		public virtual string PartTypeCode { get; set; }
		[StringLength(PtsBmpProgressConsts.MaxIsPunchLength)]
		public virtual string IsPunch { get; set; }
		[StringLength(PtsBmpProgressConsts.MaxIsBumperLength)]
		public virtual string IsBumper { get; set; }
		[StringLength(PtsBmpProgressConsts.MaxLotNoLength)]
		public virtual string LotNo { get; set; }
		public virtual int NoInLot { get; set; }
		[StringLength(PtsBmpProgressConsts.MaxSequenceNoLength)]
		public virtual string SequenceNo { get; set; }
		[StringLength(PtsBmpProgressConsts.MaxBodyNoLength)]
		public virtual string BodyNo { get; set; }
		[StringLength(PtsBmpProgressConsts.MaxColorLength)]
		public virtual string Color { get; set; }
		[StringLength(PtsBmpProgressConsts.MaxSpecialColorLength)]
		public virtual string SpecialColor { get; set; }
		[StringLength(PtsBmpProgressConsts.MaxProcessLength)]
		public virtual string Process { get; set; }
		[StringLength(PtsBmpProgressConsts.MaxPkProcessLength)]
		public virtual string PkProcess { get; set; }
		[StringLength(PtsBmpProgressConsts.MaxProdLineLength)]
		public virtual string ProdLine { get; set; }
		public virtual DateTime? WorkingDate { get; set; }
		[StringLength(PtsBmpProgressConsts.MaxShiftLength)]
		public virtual string Shift { get; set; }
		public virtual int NoInDate { get; set; }
		public virtual int NoInShift { get; set; }
		public virtual DateTime? TaktTimeStart { get; set; }
		public virtual DateTime? ToUpDate { get; set; }
		public virtual DateTime? UpDate { get; set; }
		public virtual DateTime? UpPunchDate { get; set; }
		public virtual DateTime? UpSkipDate { get; set; }
		public virtual DateTime? UpRecoatDate { get; set; }
		public virtual DateTime? SubAssyDate { get; set; }
		public virtual DateTime? SubAssyPunchDate { get; set; }
		public virtual DateTime? SubAssySkipDate { get; set; }
		public virtual DateTime? SubAssyRecoatDate { get; set; }
		public virtual long SignalId { get; set; }
		[StringLength(PtsBmpProgressConsts.MaxSignalCodeLength)]
		public virtual string SignalCode { get; set; }
		public virtual DateTime? UpSignalDate { get; set; }
		public virtual DateTime? SubAssySignalDate { get; set; }
		[StringLength(PtsBmpProgressConsts.MaxStatusLength)]
		public virtual string Status { get; set; }
		[StringLength(PtsBmpProgressConsts.MaxIsActiveLength)]
		public virtual string IsActive { get; set; }
</v>
      </c>
      <c r="O47" s="33" t="str">
        <f ca="1">TEXTJOIN2("
",TRUE,INDIRECT( $N$1):INDIRECT($N$3))</f>
        <v xml:space="preserve">		public virtual string BackNo { get; set; }
		public virtual string Model { get; set; }
		public virtual string Cfc { get; set; }
		public virtual string Grade { get; set; }
		public virtual string PartTypeCode { get; set; }
		public virtual string IsPunch { get; set; }
		public virtual string IsBumper { get; set; }
		public virtual string LotNo { get; set; }
		public virtual int NoInLot { get; set; }
		public virtual string SequenceNo { get; set; }
		public virtual string BodyNo { get; set; }
		public virtual string Color { get; set; }
		public virtual string SpecialColor { get; set; }
		public virtual string Process { get; set; }
		public virtual string PkProcess { get; set; }
		public virtual string ProdLine { get; set; }
		public virtual DateTime? WorkingDate { get; set; }
		public virtual string Shift { get; set; }
		public virtual int NoInDate { get; set; }
		public virtual int NoInShift { get; set; }
		public virtual DateTime? TaktTimeStart { get; set; }
		public virtual DateTime? ToUpDate { get; set; }
		public virtual DateTime? UpDate { get; set; }
		public virtual DateTime? UpPunchDate { get; set; }
		public virtual DateTime? UpSkipDate { get; set; }
		public virtual DateTime? UpRecoatDate { get; set; }
		public virtual DateTime? SubAssyDate { get; set; }
		public virtual DateTime? SubAssyPunchDate { get; set; }
		public virtual DateTime? SubAssySkipDate { get; set; }
		public virtual DateTime? SubAssyRecoatDate { get; set; }
		public virtual string SignalCode { get; set; }
		public virtual DateTime? UpSignalDate { get; set; }
		public virtual DateTime? SubAssySignalDate { get; set; }
		public virtual string Status { get; set; }
		public virtual string IsActive { get; set; }
</v>
      </c>
      <c r="P47" s="9" t="str">
        <f ca="1">TEXTJOIN2("
",TRUE,INDIRECT( $O$1):INDIRECT($O$3))</f>
        <v xml:space="preserve">							PartId = o.PartId,
							BackNo = o.BackNo,
							Model = o.Model,
							Cfc = o.Cfc,
							Grade = o.Grade,
							PartTypeCode = o.PartTypeCode,
							IsPunch = o.IsPunch,
							IsBumper = o.IsBumper,
							LotNo = o.LotNo,
							NoInLot = o.NoInLot,
							SequenceNo = o.SequenceNo,
							BodyNo = o.BodyNo,
							Color = o.Color,
							SpecialColor = o.SpecialColor,
							Process = o.Process,
							PkProcess = o.PkProcess,
							ProdLine = o.ProdLine,
							WorkingDate = o.WorkingDate,
							Shift = o.Shift,
							NoInDate = o.NoInDate,
							NoInShift = o.NoInShift,
							TaktTimeStart = o.TaktTimeStart,
							ToUpDate = o.ToUpDate,
							UpDate = o.UpDate,
							UpPunchDate = o.UpPunchDate,
							UpSkipDate = o.UpSkipDate,
							UpRecoatDate = o.UpRecoatDate,
							SubAssyDate = o.SubAssyDate,
							SubAssyPunchDate = o.SubAssyPunchDate,
							SubAssySkipDate = o.SubAssySkipDate,
							SubAssyRecoatDate = o.SubAssyRecoatDate,
							SignalId = o.SignalId,
							SignalCode = o.SignalCode,
							UpSignalDate = o.UpSignalDate,
							SubAssySignalDate = o.SubAssySignalDate,
							Status = o.Status,
							IsActive = o.IsActive,</v>
      </c>
      <c r="T47" s="9" t="str">
        <f ca="1">TEXTJOIN2("
",TRUE,INDIRECT( $T$2):INDIRECT($T$3))</f>
        <v xml:space="preserve">								("PartId"),
								("BackNo"),
								("Model"),
								("Cfc"),
								("Grade"),
								("PartTypeCode"),
								("IsPunch"),
								("IsBumper"),
								("LotNo"),
								("NoInLot"),
								("SequenceNo"),
								("BodyNo"),
								("Color"),
								("SpecialColor"),
								("Process"),
								("PkProcess"),
								("ProdLine"),
								("WorkingDate"),
								("Shift"),
								("NoInDate"),
								("NoInShift"),
								("TaktTimeStart"),
								("ToUpDate"),
								("UpDate"),
								("UpPunchDate"),
								("UpSkipDate"),
								("UpRecoatDate"),
								("SubAssyDate"),
								("SubAssyPunchDate"),
								("SubAssySkipDate"),
								("SubAssyRecoatDate"),
								("SignalId"),
								("SignalCode"),
								("UpSignalDate"),
								("SubAssySignalDate"),
								("Status"),
								("IsActive"),</v>
      </c>
      <c r="V47" s="9" t="str">
        <f ca="1">TEXTJOIN2("
",TRUE,INDIRECT( $V$2):INDIRECT($V$3))</f>
        <v xml:space="preserve">								_ =&gt; _.PartId,
								_ =&gt; _.BackNo,
								_ =&gt; _.Model,
								_ =&gt; _.Cfc,
								_ =&gt; _.Grade,
								_ =&gt; _.PartTypeCode,
								_ =&gt; _.IsPunch,
								_ =&gt; _.IsBumper,
								_ =&gt; _.LotNo,
								_ =&gt; _.NoInLot,
								_ =&gt; _.SequenceNo,
								_ =&gt; _.BodyNo,
								_ =&gt; _.Color,
								_ =&gt; _.SpecialColor,
								_ =&gt; _.Process,
								_ =&gt; _.PkProcess,
								_ =&gt; _.ProdLine,
								_ =&gt; _.WorkingDate,
								_ =&gt; _.Shift,
								_ =&gt; _.NoInDate,
								_ =&gt; _.NoInShift,
								_ =&gt; _.TaktTimeStart,
								_ =&gt; _.ToUpDate,
								_ =&gt; _.UpDate,
								_ =&gt; _.UpPunchDate,
								_ =&gt; _.UpSkipDate,
								_ =&gt; _.UpRecoatDate,
								_ =&gt; _.SubAssyDate,
								_ =&gt; _.SubAssyPunchDate,
								_ =&gt; _.SubAssySkipDate,
								_ =&gt; _.SubAssyRecoatDate,
								_ =&gt; _.SignalId,
								_ =&gt; _.SignalCode,
								_ =&gt; _.UpSignalDate,
								_ =&gt; _.SubAssySignalDate,
								_ =&gt; _.Status,
								_ =&gt; _.IsActive,</v>
      </c>
      <c r="W47" s="9" t="str">
        <f ca="1">TEXTJOIN2("
",TRUE,INDIRECT( $W$2):INDIRECT($W$3))</f>
        <v xml:space="preserve">				.WhereIf(!string.IsNullOrWhiteSpace(input.BackNo), e =&gt; e.BackNo.Contains(input.BackNo))
				.WhereIf(!string.IsNullOrWhiteSpace(input.Model), e =&gt; e.Model.Contains(input.Model))
				.WhereIf(!string.IsNullOrWhiteSpace(input.Cfc), e =&gt; e.Cfc.Contains(input.Cfc))
				.WhereIf(!string.IsNullOrWhiteSpace(input.Grade), e =&gt; e.Grade.Contains(input.Grade))
				.WhereIf(!string.IsNullOrWhiteSpace(input.PartTypeCode), e =&gt; e.PartTypeCode.Contains(input.PartTypeCode))
				.WhereIf(!string.IsNullOrWhiteSpace(input.IsPunch), e =&gt; e.IsPunch.Contains(input.IsPunch))
				.WhereIf(!string.IsNullOrWhiteSpace(input.IsBumper), e =&gt; e.IsBumper.Contains(input.IsBumper))
				.WhereIf(!string.IsNullOrWhiteSpace(input.LotNo), e =&gt; e.LotNo.Contains(input.LotNo))
				.WhereIf(!string.IsNullOrWhiteSpace(input.SequenceNo), e =&gt; e.SequenceNo.Contains(input.SequenceNo))
				.WhereIf(!string.IsNullOrWhiteSpace(input.BodyNo), e =&gt; e.BodyNo.Contains(input.BodyNo))
				.WhereIf(!string.IsNullOrWhiteSpace(input.Color), e =&gt; e.Color.Contains(input.Color))
				.WhereIf(!string.IsNullOrWhiteSpace(input.SpecialColor), e =&gt; e.SpecialColor.Contains(input.SpecialColor))
				.WhereIf(!string.IsNullOrWhiteSpace(input.Process), e =&gt; e.Process.Contains(input.Process))
				.WhereIf(!string.IsNullOrWhiteSpace(input.PkProcess), e =&gt; e.PkProcess.Contains(input.PkProcess))
				.WhereIf(!string.IsNullOrWhiteSpace(input.ProdLine), e =&gt; e.ProdLine.Contains(input.ProdLine))
				.WhereIf(input.WorkingDate.HasValue, t =&gt; t.WorkingDate == input.WorkingDate.Value)
				.WhereIf(!string.IsNullOrWhiteSpace(input.Shift), e =&gt; e.Shift.Contains(input.Shift))
				.WhereIf(input.TaktTimeStart.HasValue, t =&gt; t.TaktTimeStart == input.TaktTimeStart.Value)
				.WhereIf(input.ToUpDate.HasValue, t =&gt; t.ToUpDate == input.ToUpDate.Value)
				.WhereIf(input.UpDate.HasValue, t =&gt; t.UpDate == input.UpDate.Value)
				.WhereIf(input.UpPunchDate.HasValue, t =&gt; t.UpPunchDate == input.UpPunchDate.Value)
				.WhereIf(input.UpSkipDate.HasValue, t =&gt; t.UpSkipDate == input.UpSkipDate.Value)
				.WhereIf(input.UpRecoatDate.HasValue, t =&gt; t.UpRecoatDate == input.UpRecoatDate.Value)
				.WhereIf(input.SubAssyDate.HasValue, t =&gt; t.SubAssyDate == input.SubAssyDate.Value)
				.WhereIf(input.SubAssyPunchDate.HasValue, t =&gt; t.SubAssyPunchDate == input.SubAssyPunchDate.Value)
				.WhereIf(input.SubAssySkipDate.HasValue, t =&gt; t.SubAssySkipDate == input.SubAssySkipDate.Value)
				.WhereIf(input.SubAssyRecoatDate.HasValue, t =&gt; t.SubAssyRecoatDate == input.SubAssyRecoatDate.Value)
				.WhereIf(!string.IsNullOrWhiteSpace(input.SignalCode), e =&gt; e.SignalCode.Contains(input.SignalCode))
				.WhereIf(input.UpSignalDate.HasValue, t =&gt; t.UpSignalDate == input.UpSignalDate.Value)
				.WhereIf(input.SubAssySignalDate.HasValue, t =&gt; t.SubAssySignalDate == input.SubAssySignalDate.Value)
				.WhereIf(!string.IsNullOrWhiteSpace(input.Status), e =&gt; e.Status.Contains(input.Status))
				.WhereIf(!string.IsNullOrWhiteSpace(input.IsActive), e =&gt; e.IsActive.Contains(input.IsActive))</v>
      </c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V54"/>
  <sheetViews>
    <sheetView tabSelected="1" topLeftCell="A6" zoomScaleNormal="100" workbookViewId="0">
      <selection activeCell="A15" sqref="A15"/>
    </sheetView>
  </sheetViews>
  <sheetFormatPr defaultColWidth="8.85546875" defaultRowHeight="15" x14ac:dyDescent="0.25"/>
  <cols>
    <col min="1" max="1" width="17.7109375" customWidth="1"/>
    <col min="2" max="2" width="15.42578125" customWidth="1"/>
    <col min="3" max="3" width="16.85546875" customWidth="1"/>
    <col min="4" max="7" width="15.140625" customWidth="1"/>
    <col min="8" max="8" width="24.42578125" customWidth="1"/>
    <col min="9" max="9" width="26.140625" customWidth="1"/>
    <col min="10" max="10" width="22.28515625" customWidth="1"/>
    <col min="11" max="11" width="25.85546875" customWidth="1"/>
    <col min="12" max="12" width="23.7109375" customWidth="1"/>
    <col min="13" max="13" width="23.42578125" customWidth="1"/>
    <col min="14" max="15" width="20.42578125" customWidth="1"/>
    <col min="16" max="16" width="25.85546875" customWidth="1"/>
    <col min="17" max="18" width="25.42578125" customWidth="1"/>
    <col min="19" max="19" width="24" customWidth="1"/>
    <col min="20" max="20" width="19.140625" customWidth="1"/>
    <col min="21" max="21" width="19.85546875" customWidth="1"/>
    <col min="22" max="22" width="13.7109375" customWidth="1"/>
  </cols>
  <sheetData>
    <row r="1" spans="1:22" ht="45" x14ac:dyDescent="0.25">
      <c r="A1" s="41" t="s">
        <v>212</v>
      </c>
      <c r="B1" s="42" t="s">
        <v>362</v>
      </c>
      <c r="C1" s="31"/>
      <c r="D1" s="31"/>
      <c r="E1" s="31"/>
      <c r="F1" s="31"/>
      <c r="G1" s="31"/>
      <c r="H1" s="31"/>
      <c r="I1" s="31"/>
      <c r="J1" s="31"/>
      <c r="K1" s="31"/>
      <c r="L1" s="31"/>
      <c r="M1" s="31"/>
      <c r="N1" s="31"/>
      <c r="O1" s="31"/>
      <c r="P1" s="31"/>
      <c r="Q1" s="31"/>
      <c r="R1" s="31"/>
    </row>
    <row r="2" spans="1:22" x14ac:dyDescent="0.25">
      <c r="A2" s="41" t="s">
        <v>237</v>
      </c>
      <c r="B2" s="42" t="str">
        <f>A.Backend!B4</f>
        <v>Painting</v>
      </c>
      <c r="C2" s="31"/>
      <c r="D2" s="31"/>
      <c r="E2" s="31"/>
      <c r="F2" s="31"/>
      <c r="G2" s="31"/>
      <c r="H2" s="31"/>
      <c r="I2" s="31"/>
      <c r="J2" s="31"/>
      <c r="K2" s="31"/>
      <c r="L2" s="31"/>
      <c r="M2" s="31"/>
      <c r="N2" s="31"/>
      <c r="O2" s="31"/>
      <c r="P2" s="31"/>
      <c r="Q2" s="31"/>
      <c r="R2" s="31"/>
    </row>
    <row r="3" spans="1:22" x14ac:dyDescent="0.25">
      <c r="A3" s="41" t="s">
        <v>237</v>
      </c>
      <c r="B3" s="42" t="str">
        <f>LOWER(B2)</f>
        <v>painting</v>
      </c>
      <c r="C3" s="31"/>
      <c r="D3" s="31"/>
      <c r="E3" s="31"/>
      <c r="F3" s="31"/>
      <c r="G3" s="31"/>
      <c r="H3" s="31"/>
      <c r="I3" s="31"/>
      <c r="J3" s="31"/>
      <c r="K3" s="31"/>
      <c r="L3" s="31"/>
      <c r="M3" s="31"/>
      <c r="N3" s="31"/>
      <c r="O3" s="31"/>
      <c r="P3" s="31"/>
      <c r="Q3" s="31"/>
      <c r="R3" s="31"/>
    </row>
    <row r="4" spans="1:22" x14ac:dyDescent="0.25">
      <c r="A4" s="41" t="s">
        <v>214</v>
      </c>
      <c r="B4" s="43" t="str">
        <f>A.Backend!Q3</f>
        <v>Bumper</v>
      </c>
      <c r="C4" s="31"/>
      <c r="D4" s="31"/>
      <c r="E4" s="31"/>
      <c r="F4" s="31"/>
      <c r="G4" s="31"/>
      <c r="H4" s="31"/>
      <c r="I4" s="31"/>
      <c r="J4" s="31"/>
      <c r="K4" s="31"/>
      <c r="L4" s="31"/>
      <c r="M4" s="31"/>
      <c r="N4" s="31"/>
      <c r="O4" s="31"/>
      <c r="P4" s="31"/>
      <c r="Q4" s="31"/>
      <c r="R4" s="31"/>
    </row>
    <row r="5" spans="1:22" x14ac:dyDescent="0.25">
      <c r="A5" s="41" t="s">
        <v>214</v>
      </c>
      <c r="B5" s="43" t="str">
        <f>LOWER(B4)</f>
        <v>bumper</v>
      </c>
      <c r="C5" s="31"/>
      <c r="D5" s="31"/>
      <c r="E5" s="31"/>
      <c r="F5" s="31"/>
      <c r="G5" s="31"/>
      <c r="H5" s="31"/>
      <c r="I5" s="31"/>
      <c r="J5" s="31"/>
      <c r="K5" s="31"/>
      <c r="L5" s="31"/>
      <c r="M5" s="31"/>
      <c r="N5" s="31"/>
      <c r="O5" s="31"/>
      <c r="P5" s="31"/>
      <c r="Q5" s="31"/>
      <c r="R5" s="31"/>
    </row>
    <row r="6" spans="1:22" x14ac:dyDescent="0.25">
      <c r="A6" s="41" t="s">
        <v>224</v>
      </c>
      <c r="B6" s="44" t="str">
        <f>A.Backend!B3</f>
        <v>PtsBmpProgress</v>
      </c>
      <c r="C6" s="31"/>
      <c r="D6" s="31"/>
      <c r="E6" s="31"/>
      <c r="F6" s="31"/>
      <c r="G6" s="31"/>
      <c r="H6" s="31"/>
      <c r="I6" s="31"/>
      <c r="J6" s="31"/>
      <c r="K6" s="31"/>
      <c r="L6" s="31"/>
      <c r="M6" s="31"/>
      <c r="N6" s="31"/>
      <c r="O6" s="31"/>
      <c r="P6" s="31"/>
      <c r="Q6" s="31"/>
      <c r="R6" s="31"/>
    </row>
    <row r="7" spans="1:22" x14ac:dyDescent="0.25">
      <c r="A7" s="41" t="s">
        <v>215</v>
      </c>
      <c r="B7" s="43" t="str">
        <f>A.Backend!B5</f>
        <v>Progress</v>
      </c>
      <c r="C7" s="31"/>
      <c r="D7" s="31"/>
      <c r="E7" s="31"/>
      <c r="F7" s="31"/>
      <c r="G7" s="31"/>
      <c r="H7" s="31"/>
      <c r="I7" s="31"/>
      <c r="J7" s="31"/>
      <c r="K7" s="31"/>
      <c r="L7" s="31"/>
      <c r="M7" s="31"/>
      <c r="N7" s="31"/>
      <c r="O7" s="31"/>
      <c r="P7" s="31"/>
      <c r="Q7" s="31"/>
      <c r="R7" s="31"/>
    </row>
    <row r="8" spans="1:22" x14ac:dyDescent="0.25">
      <c r="A8" s="41" t="s">
        <v>213</v>
      </c>
      <c r="B8" s="43" t="str">
        <f>LOWER(B7)</f>
        <v>progress</v>
      </c>
      <c r="C8" s="31"/>
      <c r="D8" s="31"/>
      <c r="E8" s="31"/>
      <c r="F8" s="31"/>
      <c r="G8" s="31"/>
      <c r="H8" s="31"/>
      <c r="I8" s="31"/>
      <c r="J8" s="31"/>
      <c r="K8" s="31"/>
      <c r="L8" s="31"/>
      <c r="M8" s="31"/>
      <c r="N8" s="31"/>
      <c r="O8" s="31"/>
      <c r="P8" s="31"/>
      <c r="Q8" s="31"/>
      <c r="R8" s="31"/>
    </row>
    <row r="9" spans="1:22" ht="18.75" customHeight="1" x14ac:dyDescent="0.25">
      <c r="A9" s="53" t="s">
        <v>216</v>
      </c>
      <c r="B9" s="54"/>
      <c r="C9" s="53"/>
      <c r="D9" s="53"/>
      <c r="E9" s="53"/>
      <c r="F9" s="53"/>
      <c r="G9" s="53"/>
      <c r="H9" s="45" t="s">
        <v>269</v>
      </c>
      <c r="I9" s="46" t="s">
        <v>270</v>
      </c>
      <c r="J9" s="45" t="s">
        <v>219</v>
      </c>
      <c r="K9" s="47" t="s">
        <v>256</v>
      </c>
      <c r="L9" s="46" t="s">
        <v>260</v>
      </c>
      <c r="M9" s="45" t="s">
        <v>249</v>
      </c>
      <c r="N9" s="45" t="s">
        <v>220</v>
      </c>
      <c r="O9" s="45" t="s">
        <v>221</v>
      </c>
      <c r="P9" s="46" t="s">
        <v>223</v>
      </c>
      <c r="Q9" s="45" t="s">
        <v>250</v>
      </c>
      <c r="R9" s="45" t="s">
        <v>233</v>
      </c>
      <c r="S9" s="31"/>
      <c r="T9" s="31"/>
      <c r="U9" s="31"/>
      <c r="V9" s="31"/>
    </row>
    <row r="10" spans="1:22" ht="18.75" customHeight="1" x14ac:dyDescent="0.25">
      <c r="A10" s="55" t="s">
        <v>217</v>
      </c>
      <c r="B10" s="56"/>
      <c r="C10" s="57"/>
      <c r="D10" s="57"/>
      <c r="E10" s="57"/>
      <c r="F10" s="57"/>
      <c r="G10" s="57"/>
      <c r="H10" s="48" t="str">
        <f ca="1">SUBSTITUTE(SUBSTITUTE(SUBSTITUTE(SUBSTITUTE(SUBSTITUTE(SUBSTITUTE(SUBSTITUTE(H9,"MstWptCalendar",$B$6),"Calendar",$B$7),"calendar",$B$8),"&lt;PROPERTIES&gt;",H13),"&lt;DECLARE&gt;",S13),"&lt;PARAMS&gt;",T13),"&lt;CLEARPARAMS&gt;",U13)</f>
        <v>import { GridApi, GridReadyEvent } from '@ag-grid-enterprise/all-modules';
import { Component, Injector, OnInit, ViewChild } from '@angular/core';
import { CustomColDef, GridParams, PaginationParamsModel,FrameworkComponent } from '@app/shared/common/models/base.model';
import { GridTableService } from '@app/shared/common/services/grid-table.service';
import { AppComponentBase } from '@shared/common/app-component-base';
import { PtsBmpProgressDto, PtsBmpProgressServiceProxy } from '@shared/service-proxies/service-proxies';
import { finalize } from 'rxjs/internal/operators/finalize';
import { CreateOrEditProgressModalComponent } from './create-or-edit-progress-modal.component';
import { DatePipe } from '@angular/common';
import { FileDownloadService } from '@shared/utils/file-download.service';
import ceil from 'lodash-es/ceil';
import { Paginator } from 'primeng/paginator';
@Component({
    templateUrl: './progress.component.html',
    styleUrls: ['./progress.component.less'],
})
export class ProgressComponent extends AppComponentBase implements OnInit {
    @ViewChild('createOrEditModalProgress', { static: true }) createOrEditModalProgress:| CreateOrEditProgressModalComponent| undefined;
    @ViewChild('paginator', { static: true }) paginator: Paginator;
    defaultColDefs: CustomColDef[] = [];
    paginationParams: PaginationParamsModel = {
        pageNum: 1,
        pageSize: 20,
        totalCount: 0,
        skipCount: 0,
        sorting: '',
        totalPage: 1,
    };
    selectedRow: PtsBmpProgressDto = new PtsBmpProgressDto();
    saveSelectedRow: PtsBmpProgressDto = new PtsBmpProgressDto();
    datas: PtsBmpProgressDto = new PtsBmpProgressDto();
    isLoading: boolean = false;
    dataParams: GridParams | undefined;
    rowData: any[] = [];
    gridApi!: GridApi;
    rowSelection = 'multiple';
    filter: string = '';
	pipe = new DatePipe('en-US');
	frameworkComponents: FrameworkComponent;
    	partId
	backNo : string = '' ; 
	model : string = '' ; 
	cfc : string = '' ; 
	grade : string = '' ; 
	partTypeCode : string = '' ; 
	isPunch : string = '' ; 
	isBumper : string = '' ; 
	lotNo : string = '' ; 
	noInLot : number = 0 ;
	sequenceNo : string = '' ; 
	bodyNo : string = '' ; 
	color : string = '' ; 
	specialColor : string = '' ; 
	process : string = '' ; 
	pkProcess : string = '' ; 
	prodLine : string = '' ; 
	workingDate : any ;
	shift : string = '' ; 
	noInDate : number = 0 ;
	noInShift : number = 0 ;
	taktTimeStart : any ;
	toUpDate : any ;
	upDate : any ;
	upPunchDate : any ;
	upSkipDate : any ;
	upRecoatDate : any ;
	subAssyDate : any ;
	subAssyPunchDate : any ;
	subAssySkipDate : any ;
	subAssyRecoatDate : any ;
	signalId
	signalCode : string = '' ; 
	upSignalDate : any ;
	subAssySignalDate : any ;
	status : string = '' ; 
	isActive : string = '' ; 
    defaultColDef = {
        resizable: true,
        sortable: true,
        floatingFilterComponentParams: { suppressFilterButton: true },
        filter: true,
        floatingFilter: true,
        suppressHorizontalScroll: true,
        textFormatter: function (r: any) {
            if (r == null) return null;
            return r.toLowerCase();
        },
        tooltip: (params) =&gt; params.value,
    };
    constructor(
        injector: Injector,
        private _service: PtsBmpProgressServiceProxy,
        private gridTableService: GridTableService,
        private _fileDownloadService: FileDownloadService
    ) {
        super(injector);
        this.defaultColDefs = [
            {headerName: this.l('STT'),headerTooltip: this.l('STT'),cellRenderer: (params) =&gt;params.rowIndex + 1 + this.paginationParams.pageSize * (this.paginationParams.pageNum - 1),cellClass: ['text-center'],width: 55,},
            			{headerName: this.l('Part Id'),headerTooltip: this.l('Part Id'),field: 'partId',flex: 1},
			{headerName: this.l('Back No'),headerTooltip: this.l('Back No'),field: 'backNo',flex: 1},
			{headerName: this.l('Model'),headerTooltip: this.l('Model'),field: 'model',flex: 1},
			{headerName: this.l('Cfc'),headerTooltip: this.l('Cfc'),field: 'cfc',flex: 1},
			{headerName: this.l('Grade'),headerTooltip: this.l('Grade'),field: 'grade',flex: 1},
			{headerName: this.l('Part Type Code'),headerTooltip: this.l('Part Type Code'),field: 'partTypeCode',flex: 1},
			{headerName: this.l('Is Punch'),headerTooltip: this.l('Is Punch'),field:  'isPunch', cellClass: ['text-center'], width: 120, cellRenderer: 'agCellButtonComponent',
buttonDefTwo: { text: params =&gt; (params.data?.'isPunch' == 'Y') ? 'Active' : 'Inactive',iconName: 'fa fa-circle',className: params =&gt; (params.data?.'isPunch' == 'Y') ? 'btnActive' : 'btnInActive',},}
			{headerName: this.l('Is Bumper'),headerTooltip: this.l('Is Bumper'),field:  'isBumper', cellClass: ['text-center'], width: 120, cellRenderer: 'agCellButtonComponent',
buttonDefTwo: { text: params =&gt; (params.data?.'isBumper' == 'Y') ? 'Active' : 'Inactive',iconName: 'fa fa-circle',className: params =&gt; (params.data?.'isBumper' == 'Y') ? 'btnActive' : 'btnInActive',},}
			{headerName: this.l('Lot No'),headerTooltip: this.l('Lot No'),field: 'lotNo',flex: 1},
			{headerName: this.l('No In Lot'),headerTooltip: this.l('No In Lot'),field: 'noInLot',flex: 1},
			{headerName: this.l('Sequence No'),headerTooltip: this.l('Sequence No'),field: 'sequenceNo',flex: 1},
			{headerName: this.l('Body No'),headerTooltip: this.l('Body No'),field: 'bodyNo',flex: 1},
			{headerName: this.l('Color'),headerTooltip: this.l('Color'),field: 'color',flex: 1},
			{headerName: this.l('Special Color'),headerTooltip: this.l('Special Color'),field: 'specialColor',flex: 1},
			{headerName: this.l('Process'),headerTooltip: this.l('Process'),field: 'process',flex: 1},
			{headerName: this.l('Pk Process'),headerTooltip: this.l('Pk Process'),field: 'pkProcess',flex: 1},
			{headerName: this.l('Prod Line'),headerTooltip: this.l('Prod Line'),field: 'prodLine',flex: 1},
			{headerName: this.l('Working Date'),headerTooltip: this.l('Working Date'),field: 'workingDate',valueGetter: (params) =&gt; this.pipe.transform(params.data?.workingDate, 'dd/MM/yyyy'),flex: 1},
			{headerName: this.l('Shift'),headerTooltip: this.l('Shift'),field: 'shift',flex: 1},
			{headerName: this.l('No In Date'),headerTooltip: this.l('No In Date'),field: 'noInDate',flex: 1},
			{headerName: this.l('No In Shift'),headerTooltip: this.l('No In Shift'),field: 'noInShift',flex: 1},
			{headerName: this.l('Takt Time Start'),headerTooltip: this.l('Takt Time Start'),field: 'taktTimeStart',valueGetter: (params) =&gt; this.pipe.transform(params.data?.taktTimeStart, 'dd/MM/yyyy'),flex: 1},
			{headerName: this.l('To Up Date'),headerTooltip: this.l('To Up Date'),field: 'toUpDate',valueGetter: (params) =&gt; this.pipe.transform(params.data?.toUpDate, 'dd/MM/yyyy'),flex: 1},
			{headerName: this.l('Up Date'),headerTooltip: this.l('Up Date'),field: 'upDate',valueGetter: (params) =&gt; this.pipe.transform(params.data?.upDate, 'dd/MM/yyyy'),flex: 1},
			{headerName: this.l('Up Punch Date'),headerTooltip: this.l('Up Punch Date'),field: 'upPunchDate',valueGetter: (params) =&gt; this.pipe.transform(params.data?.upPunchDate, 'dd/MM/yyyy'),flex: 1},
			{headerName: this.l('Up Skip Date'),headerTooltip: this.l('Up Skip Date'),field: 'upSkipDate',valueGetter: (params) =&gt; this.pipe.transform(params.data?.upSkipDate, 'dd/MM/yyyy'),flex: 1},
			{headerName: this.l('Up Recoat Date'),headerTooltip: this.l('Up Recoat Date'),field: 'upRecoatDate',valueGetter: (params) =&gt; this.pipe.transform(params.data?.upRecoatDate, 'dd/MM/yyyy'),flex: 1},
			{headerName: this.l('Sub Assy Date'),headerTooltip: this.l('Sub Assy Date'),field: 'subAssyDate',valueGetter: (params) =&gt; this.pipe.transform(params.data?.subAssyDate, 'dd/MM/yyyy'),flex: 1},
			{headerName: this.l('Sub Assy Punch Date'),headerTooltip: this.l('Sub Assy Punch Date'),field: 'subAssyPunchDate',valueGetter: (params) =&gt; this.pipe.transform(params.data?.subAssyPunchDate, 'dd/MM/yyyy'),flex: 1},
			{headerName: this.l('Sub Assy Skip Date'),headerTooltip: this.l('Sub Assy Skip Date'),field: 'subAssySkipDate',valueGetter: (params) =&gt; this.pipe.transform(params.data?.subAssySkipDate, 'dd/MM/yyyy'),flex: 1},
			{headerName: this.l('Sub Assy Recoat Date'),headerTooltip: this.l('Sub Assy Recoat Date'),field: 'subAssyRecoatDate',valueGetter: (params) =&gt; this.pipe.transform(params.data?.subAssyRecoatDate, 'dd/MM/yyyy'),flex: 1},
			{headerName: this.l('Signal Id'),headerTooltip: this.l('Signal Id'),field: 'signalId',flex: 1},
			{headerName: this.l('Signal Code'),headerTooltip: this.l('Signal Code'),field: 'signalCode',flex: 1},
			{headerName: this.l('Up Signal Date'),headerTooltip: this.l('Up Signal Date'),field: 'upSignalDate',valueGetter: (params) =&gt; this.pipe.transform(params.data?.upSignalDate, 'dd/MM/yyyy'),flex: 1},
			{headerName: this.l('Sub Assy Signal Date'),headerTooltip: this.l('Sub Assy Signal Date'),field: 'subAssySignalDate',valueGetter: (params) =&gt; this.pipe.transform(params.data?.subAssySignalDate, 'dd/MM/yyyy'),flex: 1},
			{headerName: this.l('Status'),headerTooltip: this.l('Status'),field: 'status',flex: 1},
			{headerName: this.l('Is Active'),headerTooltip: this.l('Is Active'),field:  'isActive', cellClass: ['text-center'], width: 120, cellRenderer: 'agCellButtonComponent',
buttonDefTwo: { text: params =&gt; (params.data?.'isActive' == 'Y') ? 'Active' : 'Inactive',iconName: 'fa fa-circle',className: params =&gt; (params.data?.'isActive' == 'Y') ? 'btnActive' : 'btnInActive',},}      	  
        ];
		this.frameworkComponents = {
            agCellButtonComponent: AgCellButtonRendererComponent,
        };
    }
    ngOnInit(): void {
        this.paginationParams = { pageNum: 1, pageSize: 20, totalCount: 0 };
    }
    searchDatas(): void {
        // this.paginator.changePage(this.paginator.getPage());
        this._service.getAll(
			this.partId,
			this.backNo,
			this.model,
			this.cfc,
			this.grade,
			this.partTypeCode,
			this.isPunch,
			this.isBumper,
			this.lotNo,
			this.noInLot,
			this.sequenceNo,
			this.bodyNo,
			this.color,
			this.specialColor,
			this.process,
			this.pkProcess,
			this.prodLine,
			this.workingDate,
			this.shift,
			this.noInDate,
			this.noInShift,
			this.taktTimeStart,
			this.toUpDate,
			this.upDate,
			this.upPunchDate,
			this.upSkipDate,
			this.upRecoatDate,
			this.subAssyDate,
			this.subAssyPunchDate,
			this.subAssySkipDate,
			this.subAssyRecoatDate,
			this.signalId,
			this.signalCode,
			this.upSignalDate,
			this.subAssySignalDate,
			this.status,
			this.isActive,
			'',
            this.paginationParams.skipCount,
            this.paginationParams.pageSize
        )
        .pipe(finalize(() =&gt; this.gridTableService.selectFirstRow(this.dataParams!.api)))
        .subscribe((result) =&gt; {
            this.paginationParams.totalCount = result.totalCount;
            this.rowData = result.items;
            this.paginationParams.totalPage = ceil(result.totalCount / (this.paginationParams.pageSize ?? 0));
        });
    }
    clearTextSearch() {
        		this.partId = '',
		this.backNo = '',
		this.model = '',
		this.cfc = '',
		this.grade = '',
		this.partTypeCode = '',
		this.isPunch = '',
		this.isBumper = '',
		this.lotNo = '',
		this.noInLot = 0,
		this.sequenceNo = '',
		this.bodyNo = '',
		this.color = '',
		this.specialColor = '',
		this.process = '',
		this.pkProcess = '',
		this.prodLine = '',
		this.workingDate = '',
		this.shift = '',
		this.noInDate = 0,
		this.noInShift = 0,
		this.taktTimeStart = '',
		this.toUpDate = '',
		this.upDate = '',
		this.upPunchDate = '',
		this.upSkipDate = '',
		this.upRecoatDate = '',
		this.subAssyDate = '',
		this.subAssyPunchDate = '',
		this.subAssySkipDate = '',
		this.subAssyRecoatDate = '',
		this.signalId = '',
		this.signalCode = '',
		this.upSignalDate = '',
		this.subAssySignalDate = '',
		this.status = '',
		this.isActive = '',
        this.searchDatas();
    }
    onSelectionMulti(params) {
        var selectedRows = this.gridApi.getSelectedRows();
        var selectedRowsString = '';
        var maxToShow = 5;
        selectedRows.forEach(function (selectedRow, index) {
            if (index &gt;= maxToShow) {
                return;
            }
            if (index &gt; 0) {
                selectedRowsString += ', ';
            }
            selectedRowsString += selectedRow.athlete;
        });
        if (selectedRows.length &gt; maxToShow) {
            var othersCount = selectedRows.length - maxToShow;
            selectedRowsString += ' and ' + othersCount + ' other' + (othersCount !== 1 ? 's' : '');
        }
        (document.querySelector('#selectedRows') as any).innerHTML = selectedRowsString;
    }
    getDatas(paginationParams?: PaginationParamsModel) {
        return this._service.getAll(
 			this.partId,
			this.backNo,
			this.model,
			this.cfc,
			this.grade,
			this.partTypeCode,
			this.isPunch,
			this.isBumper,
			this.lotNo,
			this.noInLot,
			this.sequenceNo,
			this.bodyNo,
			this.color,
			this.specialColor,
			this.process,
			this.pkProcess,
			this.prodLine,
			this.workingDate,
			this.shift,
			this.noInDate,
			this.noInShift,
			this.taktTimeStart,
			this.toUpDate,
			this.upDate,
			this.upPunchDate,
			this.upSkipDate,
			this.upRecoatDate,
			this.subAssyDate,
			this.subAssyPunchDate,
			this.subAssySkipDate,
			this.subAssyRecoatDate,
			this.signalId,
			this.signalCode,
			this.upSignalDate,
			this.subAssySignalDate,
			this.status,
			this.isActive,
			'',
            this.paginationParams.skipCount,
            this.paginationParams.pageSize
        );
    }
    onChangeRowSelection(params: { api: { getSelectedRows: () =&gt; PtsBmpProgressDto[] } }) {
        this.saveSelectedRow = params.api.getSelectedRows()[0] ?? new PtsBmpProgressDto();
        this.selectedRow = Object.assign({}, this.saveSelectedRow);
    }
    changePage(paginationParams) {
        this.isLoading = true;
        this.paginationParams = paginationParams;
        this.paginationParams.skipCount = (paginationParams.pageNum - 1) * paginationParams.pageSize;
        // this.maxResultCount = paginationParams.pageSize;
        this.getDatas(this.paginationParams).subscribe((result) =&gt; {
            this.paginationParams.totalCount = result.totalCount;
            this.rowData = result.items;
            this.paginationParams.totalPage = ceil(result.totalCount / (this.paginationParams.pageSize ?? 0));
            this.isLoading = false;
        });
    }
    callBackDataGrid(params: GridParams) {
        this.isLoading = true;
        this.dataParams = params;
        params.api.paginationSetPageSize(this.paginationParams.pageSize);
        this.paginationParams.skipCount =
            ((this.paginationParams.pageNum ?? 1) - 1) * (this.paginationParams.pageSize ?? 0);
        this.paginationParams.pageSize = this.paginationParams.pageSize;
        this.getDatas(this.paginationParams)
            .pipe(finalize(() =&gt; this.gridTableService.selectFirstRow(this.dataParams!.api)))
            .subscribe((result) =&gt; {
                this.paginationParams.totalCount = result.totalCount;
                this.rowData = result.items ?? [];
                this.paginationParams.totalPage = ceil(result.totalCount / (this.paginationParams.pageSize ?? 0));
                this.isLoading = false;
            });
    }
    deleteRow(system: PtsBmpProgressDto): void {
        this.message.confirm(this.l('AreYouSureToDelete'), 'Delete Row', (isConfirmed) =&gt; {
            if (isConfirmed) {
                this._service.delete(system.id).subscribe(() =&gt; {
                    this.callBackDataGrid(this.dataParams!);
                    this.notify.success(this.l('SuccessfullyDeleted'));
                    this.notify.info(this.l('SuccessfullyDeleted'));
                });
            }
        });
    }
    exportToExcel(): void {
        this._service.getProgressToExcel(
			this.partId,
			this.backNo,
			this.model,
			this.cfc,
			this.grade,
			this.partTypeCode,
			this.isPunch,
			this.isBumper,
			this.lotNo,
			this.noInLot,
			this.sequenceNo,
			this.bodyNo,
			this.color,
			this.specialColor,
			this.process,
			this.pkProcess,
			this.prodLine,
			this.workingDate,
			this.shift,
			this.noInDate,
			this.noInShift,
			this.taktTimeStart,
			this.toUpDate,
			this.upDate,
			this.upPunchDate,
			this.upSkipDate,
			this.upRecoatDate,
			this.subAssyDate,
			this.subAssyPunchDate,
			this.subAssySkipDate,
			this.subAssyRecoatDate,
			this.signalId,
			this.signalCode,
			this.upSignalDate,
			this.subAssySignalDate,
			this.status,
			this.isActive,
            )
            .subscribe((result) =&gt; {
                this._fileDownloadService.downloadTempFile(result);
        });
    }
}</v>
      </c>
      <c r="I10" s="48" t="str">
        <f ca="1">SUBSTITUTE(SUBSTITUTE(SUBSTITUTE(SUBSTITUTE(SUBSTITUTE(I9,"MstWptCalendar",$B$6),"Calendar",$B$7),"calendar",$B$8),"&lt;PROPERTIES&gt;",I13),"&lt;FULL_TITLE&gt;",B1)</f>
        <v>&lt;div id="container" class="mt-2" [busyIf]="isLoading"&gt;
    &lt;div class="ui-g-12"&gt;
        &lt;fieldset class="fieldset-border grid-parent"&gt;
            &lt;div class="ui-g-12"&gt;
                &lt;div class="ui-g-12"&gt;
                    &lt;h6 class="card-header"&gt;
                         {{ l(' Painting Bumper Progress ') }}
                    &lt;/h6&gt;
                &lt;/div&gt;									
                &lt;div class="prod-cont"&gt;
                    &lt;div class="ui-g-12"&gt;
                        &lt;div class="form-group m-form__group align-items-center"&gt;
                            &lt;div class="input-group"&gt;
								&lt;div class='input-search'&gt;
									&lt;input [(ngModel)]='backNo' name='backNo'
									class='form-control' [placeholder]="l('Back No')"
									type='text' (keyup.enter)='searchDatas()'&gt;
								&lt;/div&gt;
								&lt;div class='input-search'&gt;
									&lt;input [(ngModel)]='model' name='model'
									class='form-control' [placeholder]="l('Model')"
									type='text' (keyup.enter)='searchDatas()'&gt;
								&lt;/div&gt;
								&lt;div class='input-search'&gt;
									&lt;input [(ngModel)]='cfc' name='cfc'
									class='form-control' [placeholder]="l('Cfc')"
									type='text' (keyup.enter)='searchDatas()'&gt;
								&lt;/div&gt;
								&lt;div class='input-search'&gt;
									&lt;input [(ngModel)]='grade' name='grade'
									class='form-control' [placeholder]="l('Grade')"
									type='text' (keyup.enter)='searchDatas()'&gt;
								&lt;/div&gt;
								&lt;div class='input-search'&gt;
									&lt;input [(ngModel)]='partTypeCode' name='partTypeCode'
									class='form-control' [placeholder]="l('Part Type Code')"
									type='text' (keyup.enter)='searchDatas()'&gt;
								&lt;/div&gt;
								&lt;div class='input-search'&gt;
									&lt;input [(ngModel)]='isPunch' name='isPunch'
									class='form-control' [placeholder]="l('Is Punch')"
									type='text' (keyup.enter)='searchDatas()'&gt;
								&lt;/div&gt;
								&lt;div class='input-search'&gt;
									&lt;input [(ngModel)]='isBumper' name='isBumper'
									class='form-control' [placeholder]="l('Is Bumper')"
									type='text' (keyup.enter)='searchDatas()'&gt;
								&lt;/div&gt;
								&lt;div class='input-search'&gt;
									&lt;input [(ngModel)]='lotNo' name='lotNo'
									class='form-control' [placeholder]="l('Lot No')"
									type='text' (keyup.enter)='searchDatas()'&gt;
								&lt;/div&gt;
								&lt;div class='input-search'&gt;
									&lt;input [(ngModel)]='sequenceNo' name='sequenceNo'
									class='form-control' [placeholder]="l('Sequence No')"
									type='text' (keyup.enter)='searchDatas()'&gt;
								&lt;/div&gt;
								&lt;div class='input-search'&gt;
									&lt;input [(ngModel)]='bodyNo' name='bodyNo'
									class='form-control' [placeholder]="l('Body No')"
									type='text' (keyup.enter)='searchDatas()'&gt;
								&lt;/div&gt;
								&lt;div class='input-search'&gt;
									&lt;input [(ngModel)]='color' name='color'
									class='form-control' [placeholder]="l('Color')"
									type='text' (keyup.enter)='searchDatas()'&gt;
								&lt;/div&gt;
								&lt;div class='input-search'&gt;
									&lt;input [(ngModel)]='specialColor' name='specialColor'
									class='form-control' [placeholder]="l('Special Color')"
									type='text' (keyup.enter)='searchDatas()'&gt;
								&lt;/div&gt;
								&lt;div class='input-search'&gt;
									&lt;input [(ngModel)]='process' name='process'
									class='form-control' [placeholder]="l('Process')"
									type='text' (keyup.enter)='searchDatas()'&gt;
								&lt;/div&gt;
								&lt;div class='input-search'&gt;
									&lt;input [(ngModel)]='pkProcess' name='pkProcess'
									class='form-control' [placeholder]="l('Pk Process')"
									type='text' (keyup.enter)='searchDatas()'&gt;
								&lt;/div&gt;
								&lt;div class='input-search'&gt;
									&lt;input [(ngModel)]='prodLine' name='prodLine'
									class='form-control' [placeholder]="l('Prod Line')"
									type='text' (keyup.enter)='searchDatas()'&gt;
								&lt;/div&gt;
								&lt;div class='input-search'&gt;
									&lt;input type='text' [placeholder]="l('Working Date')" [(ngModel)]='workingDate' 
									name='workingDate' (keydown)='searchDatas()' class='form-control' 
									bsDatepicker #d='bsDatepicker' placement='bottom left'&gt;
									&lt;i class='fa fa-calendar-alt' (click)='d.toggle()'&gt;&lt;/i&gt;
								&lt;/div&gt;
								&lt;div class='input-search'&gt;
									&lt;input [(ngModel)]='shift' name='shift'
									class='form-control' [placeholder]="l('Shift')"
									type='text' (keyup.enter)='searchDatas()'&gt;
								&lt;/div&gt;
								&lt;div class='input-search'&gt;
									&lt;input type='text' [placeholder]="l('Takt Time Start')" [(ngModel)]='taktTimeStart' 
									name='taktTimeStart' (keydown)='searchDatas()' class='form-control' 
									bsDatepicker #d='bsDatepicker' placement='bottom left'&gt;
									&lt;i class='fa fa-calendar-alt' (click)='d.toggle()'&gt;&lt;/i&gt;
								&lt;/div&gt;
								&lt;div class='input-search'&gt;
									&lt;input type='text' [placeholder]="l('To Up Date')" [(ngModel)]='toUpDate' 
									name='toUpDate' (keydown)='searchDatas()' class='form-control' 
									bsDatepicker #d='bsDatepicker' placement='bottom left'&gt;
									&lt;i class='fa fa-calendar-alt' (click)='d.toggle()'&gt;&lt;/i&gt;
								&lt;/div&gt;
								&lt;div class='input-search'&gt;
									&lt;input type='text' [placeholder]="l('Up Date')" [(ngModel)]='upDate' 
									name='upDate' (keydown)='searchDatas()' class='form-control' 
									bsDatepicker #d='bsDatepicker' placement='bottom left'&gt;
									&lt;i class='fa fa-calendar-alt' (click)='d.toggle()'&gt;&lt;/i&gt;
								&lt;/div&gt;
								&lt;div class='input-search'&gt;
									&lt;input type='text' [placeholder]="l('Up Punch Date')" [(ngModel)]='upPunchDate' 
									name='upPunchDate' (keydown)='searchDatas()' class='form-control' 
									bsDatepicker #d='bsDatepicker' placement='bottom left'&gt;
									&lt;i class='fa fa-calendar-alt' (click)='d.toggle()'&gt;&lt;/i&gt;
								&lt;/div&gt;
								&lt;div class='input-search'&gt;
									&lt;input type='text' [placeholder]="l('Up Skip Date')" [(ngModel)]='upSkipDate' 
									name='upSkipDate' (keydown)='searchDatas()' class='form-control' 
									bsDatepicker #d='bsDatepicker' placement='bottom left'&gt;
									&lt;i class='fa fa-calendar-alt' (click)='d.toggle()'&gt;&lt;/i&gt;
								&lt;/div&gt;
								&lt;div class='input-search'&gt;
									&lt;input type='text' [placeholder]="l('Up Recoat Date')" [(ngModel)]='upRecoatDate' 
									name='upRecoatDate' (keydown)='searchDatas()' class='form-control' 
									bsDatepicker #d='bsDatepicker' placement='bottom left'&gt;
									&lt;i class='fa fa-calendar-alt' (click)='d.toggle()'&gt;&lt;/i&gt;
								&lt;/div&gt;
								&lt;div class='input-search'&gt;
									&lt;input type='text' [placeholder]="l('Sub Assy Date')" [(ngModel)]='subAssyDate' 
									name='subAssyDate' (keydown)='searchDatas()' class='form-control' 
									bsDatepicker #d='bsDatepicker' placement='bottom left'&gt;
									&lt;i class='fa fa-calendar-alt' (click)='d.toggle()'&gt;&lt;/i&gt;
								&lt;/div&gt;
								&lt;div class='input-search'&gt;
									&lt;input type='text' [placeholder]="l('Sub Assy Punch Date')" [(ngModel)]='subAssyPunchDate' 
									name='subAssyPunchDate' (keydown)='searchDatas()' class='form-control' 
									bsDatepicker #d='bsDatepicker' placement='bottom left'&gt;
									&lt;i class='fa fa-calendar-alt' (click)='d.toggle()'&gt;&lt;/i&gt;
								&lt;/div&gt;
								&lt;div class='input-search'&gt;
									&lt;input type='text' [placeholder]="l('Sub Assy Skip Date')" [(ngModel)]='subAssySkipDate' 
									name='subAssySkipDate' (keydown)='searchDatas()' class='form-control' 
									bsDatepicker #d='bsDatepicker' placement='bottom left'&gt;
									&lt;i class='fa fa-calendar-alt' (click)='d.toggle()'&gt;&lt;/i&gt;
								&lt;/div&gt;
								&lt;div class='input-search'&gt;
									&lt;input type='text' [placeholder]="l('Sub Assy Recoat Date')" [(ngModel)]='subAssyRecoatDate' 
									name='subAssyRecoatDate' (keydown)='searchDatas()' class='form-control' 
									bsDatepicker #d='bsDatepicker' placement='bottom left'&gt;
									&lt;i class='fa fa-calendar-alt' (click)='d.toggle()'&gt;&lt;/i&gt;
								&lt;/div&gt;
								&lt;div class='input-search'&gt;
									&lt;input [(ngModel)]='signalCode' name='signalCode'
									class='form-control' [placeholder]="l('Signal Code')"
									type='text' (keyup.enter)='searchDatas()'&gt;
								&lt;/div&gt;
								&lt;div class='input-search'&gt;
									&lt;input type='text' [placeholder]="l('Up Signal Date')" [(ngModel)]='upSignalDate' 
									name='upSignalDate' (keydown)='searchDatas()' class='form-control' 
									bsDatepicker #d='bsDatepicker' placement='bottom left'&gt;
									&lt;i class='fa fa-calendar-alt' (click)='d.toggle()'&gt;&lt;/i&gt;
								&lt;/div&gt;
								&lt;div class='input-search'&gt;
									&lt;input type='text' [placeholder]="l('Sub Assy Signal Date')" [(ngModel)]='subAssySignalDate' 
									name='subAssySignalDate' (keydown)='searchDatas()' class='form-control' 
									bsDatepicker #d='bsDatepicker' placement='bottom left'&gt;
									&lt;i class='fa fa-calendar-alt' (click)='d.toggle()'&gt;&lt;/i&gt;
								&lt;/div&gt;
								&lt;div class='input-search'&gt;
									&lt;input [(ngModel)]='status' name='status'
									class='form-control' [placeholder]="l('Status')"
									type='text' (keyup.enter)='searchDatas()'&gt;
								&lt;/div&gt;
								&lt;div class='input-search'&gt;
									&lt;input [(ngModel)]='isActive' name='isActive'
									class='form-control' [placeholder]="l('Is Active')"
									type='text' (keyup.enter)='searchDatas()'&gt;
								&lt;/div&gt;
                                &lt;div class="btn-search"&gt;
                                    &lt;button (click)="searchDatas()"
                                        class="btn btn-primary" type="submit"&gt;
                                        &lt;i class="fas fa-search"&gt;&lt;/i&gt;
                                    &lt;/button&gt;
                                &lt;/div&gt;
                                &lt;div class="btn-search"&gt;
                                    &lt;button (click)="clearTextSearch()"
                                        class="btn btn-primary" type="submit"&gt;
                                        &lt;i class="fas fa-backspace"&gt;&lt;/i&gt;
                                    &lt;/button&gt;
                                &lt;/div&gt;
                            &lt;/div&gt;
                        &lt;/div&gt;
                    &lt;/div&gt;
                    &lt;div class="ui-g-12 ui-md-12"&gt;
                        &lt;form autocomplete="on"&gt;
                        &lt;div class="panel panel-default pt-1"&gt;
                            &lt;simple-ag-grid
                                [columnDefs]="defaultColDefs"
                                [paginationParams]="paginationParams"
                                [rowData]="rowData"
                                [defaultColDef]="defaultColDef"
                                (callBackEvent)="callBackDataGrid($event)"
                                (changePaginationParams)="changePage($event)"
                                (onChangeSelection)="onChangeRowSelection($event)"
                                [rowSelection]="rowSelection"
                                (selectionChanged)="onSelectionMulti($event)"
                                [height]="'620px'"
								[frameworkComponents]="frameworkComponents"
                            &gt;
                            &lt;/simple-ag-grid&gt;
                        &lt;/div&gt;
                        &lt;/form&gt;
                        &lt;hr&gt;
                        &lt;div class="text-right"&gt;
                            &lt;button class="btn btn-success font-weight-bold" (click)="exportToExcel()"&gt;
                                &lt;i class="fas fa-file-excel mr-1"&gt;&lt;/i&gt;{{ l('Export Excel') }}
                            &lt;/button&gt;
                            &lt;button class="btn btn-info font-weight-bold" (click)="createOrEditModalProgress.show()"&gt;
                                &lt;i class="fa fa-plus mr-1"&gt;&lt;/i&gt;{{ l('Add') }}
                            &lt;/button&gt;
                            &lt;button class="btn btn-warning font-weight-bold" [disabled]="!selectedRow.id" (click)="createOrEditModalProgress.show(selectedRow)"&gt;
                                &lt;i class="far fa-edit mr-1"&gt;&lt;/i&gt;{{'Edit'}}
                            &lt;/button&gt;
                            &lt;button class="btn btn-primary font-weight-bold" [disabled]="!selectedRow.id" (click)="deleteRow(selectedRow)"&gt;
                                &lt;i class="fas fa-trash-alt mr-1"&gt;&lt;/i&gt;{{'Delete'}}
                            &lt;/button&gt;
                        &lt;/div&gt;
                    &lt;/div&gt;
                &lt;/div&gt;
            &lt;/div&gt;
        &lt;/fieldset&gt;
    &lt;/div&gt;
&lt;/div&gt;
&lt;create-or-edit-progress-modal
    #createOrEditModalProgress
    (modalSave)="callBackDataGrid(dataParams)"
    (modalClose)="onChangeRowSelection(dataParams)"
&gt;
&lt;/create-or-edit-progress-modal&gt;</v>
      </c>
      <c r="J10" s="48" t="str">
        <f>J9</f>
        <v>.input-search{
    width: 250px;
    border-radius: 10px;
    margin-left: 10px;
}
.btn-search{
    width: 50px;
    margin-left: 10px;
}</v>
      </c>
      <c r="K10" s="48" t="str">
        <f ca="1">SUBSTITUTE(SUBSTITUTE(SUBSTITUTE(SUBSTITUTE(K9,"MstWptCalendar",$B$6),"Calendar",$B$7),"calendar",$B$8),"&lt;PROPERTIES&gt;",K13)</f>
        <v>&lt;div bsModal #createOrEditModalProgress="bs-modal" class="modal fade col-md-12" role="dialog" [config]="{ backdrop: 'static' }"&gt;
    &lt;div class="modal-dialog modal-lg"&gt;
        &lt;div class="modal-content col-md-12"&gt;
            &lt;div class="modal-header col-md-12"&gt;
                &lt;div class="title-form"&gt;
                    &lt;h3 *ngIf="rowdata.id"&gt;{{('Edit Progress')}}&lt;/h3&gt;
                    &lt;h3 *ngIf="!rowdata.id"&gt;{{('Create New Progress')}}&lt;/h3&gt;
                &lt;/div&gt;
            &lt;/div&gt;
        &lt;/div&gt;
        &lt;div class="modal-content col-md-12"&gt;
            &lt;form #applyBpForm="ngForm" (ngSubmit)="save()" autocomplete="off" (keyup.enter)="save()" (keyup.ESC)="close()"&gt;
            &lt;!-- Form Basic--&gt;   
                &lt;div class="form-input"&gt;                   
					&lt;div class='col-md-12 form-group row'&gt;
						&lt;label class='col-md-2 form-control title'&gt;Back No&lt;/label&gt;
						&lt;input type='text' class='col-md-10 form-control input-text' name='BackNo' [(ngModel)]='rowdata.backNo'&gt;
					&lt;/div&gt;
					&lt;div class='col-md-12 form-group row'&gt;
						&lt;label class='col-md-2 form-control title'&gt;Model&lt;/label&gt;
						&lt;input type='text' class='col-md-10 form-control input-text' name='Model' [(ngModel)]='rowdata.model'&gt;
					&lt;/div&gt;
					&lt;div class='col-md-12 form-group row'&gt;
						&lt;label class='col-md-2 form-control title'&gt;Cfc&lt;/label&gt;
						&lt;input type='text' class='col-md-10 form-control input-text' name='Cfc' [(ngModel)]='rowdata.cfc'&gt;
					&lt;/div&gt;
					&lt;div class='col-md-12 form-group row'&gt;
						&lt;label class='col-md-2 form-control title'&gt;Grade&lt;/label&gt;
						&lt;input type='text' class='col-md-10 form-control input-text' name='Grade' [(ngModel)]='rowdata.grade'&gt;
					&lt;/div&gt;
					&lt;div class='col-md-12 form-group row'&gt;
						&lt;label class='col-md-2 form-control title'&gt;Part Type Code&lt;/label&gt;
						&lt;input type='text' class='col-md-10 form-control input-text' name='PartTypeCode' [(ngModel)]='rowdata.partTypeCode'&gt;
					&lt;/div&gt;
					&lt;div class='col-md-12 form-group row'&gt;
						&lt;label class='col-md-2 form-control title'&gt;Is Punch&lt;/label&gt;
						&lt;new-checkbox [(ngModel)]='_isPunch' name='isPunch' className='col-md-10' &gt; &lt;/new-checkbox&gt;
					&lt;/div&gt;
					&lt;div class='col-md-12 form-group row'&gt;
						&lt;label class='col-md-2 form-control title'&gt;Is Bumper&lt;/label&gt;
						&lt;new-checkbox [(ngModel)]='_isBumper' name='isBumper' className='col-md-10' &gt; &lt;/new-checkbox&gt;
					&lt;/div&gt;
					&lt;div class='col-md-12 form-group row'&gt;
						&lt;label class='col-md-2 form-control title'&gt;Lot No&lt;/label&gt;
						&lt;input type='text' class='col-md-10 form-control input-text' name='LotNo' [(ngModel)]='rowdata.lotNo'&gt;
					&lt;/div&gt;
					&lt;div class='col-md-12 form-group row'&gt;
						&lt;label class='col-md-2 form-control title'&gt;No In Lot&lt;/label&gt;
						&lt;input type='number' class='col-md-10 form-control input-text' name='NoInLot' [(ngModel)]='rowdata.noInLot'&gt;
					&lt;/div&gt;
					&lt;div class='col-md-12 form-group row'&gt;
						&lt;label class='col-md-2 form-control title'&gt;Sequence No&lt;/label&gt;
						&lt;input type='text' class='col-md-10 form-control input-text' name='SequenceNo' [(ngModel)]='rowdata.sequenceNo'&gt;
					&lt;/div&gt;
					&lt;div class='col-md-12 form-group row'&gt;
						&lt;label class='col-md-2 form-control title'&gt;Body No&lt;/label&gt;
						&lt;input type='text' class='col-md-10 form-control input-text' name='BodyNo' [(ngModel)]='rowdata.bodyNo'&gt;
					&lt;/div&gt;
					&lt;div class='col-md-12 form-group row'&gt;
						&lt;label class='col-md-2 form-control title'&gt;Color&lt;/label&gt;
						&lt;input type='text' class='col-md-10 form-control input-text' name='Color' [(ngModel)]='rowdata.color'&gt;
					&lt;/div&gt;
					&lt;div class='col-md-12 form-group row'&gt;
						&lt;label class='col-md-2 form-control title'&gt;Special Color&lt;/label&gt;
						&lt;input type='text' class='col-md-10 form-control input-text' name='SpecialColor' [(ngModel)]='rowdata.specialColor'&gt;
					&lt;/div&gt;
					&lt;div class='col-md-12 form-group row'&gt;
						&lt;label class='col-md-2 form-control title'&gt;Process&lt;/label&gt;
						&lt;input type='text' class='col-md-10 form-control input-text' name='Process' [(ngModel)]='rowdata.process'&gt;
					&lt;/div&gt;
					&lt;div class='col-md-12 form-group row'&gt;
						&lt;label class='col-md-2 form-control title'&gt;Pk Process&lt;/label&gt;
						&lt;input type='text' class='col-md-10 form-control input-text' name='PkProcess' [(ngModel)]='rowdata.pkProcess'&gt;
					&lt;/div&gt;
					&lt;div class='col-md-12 form-group row'&gt;
						&lt;label class='col-md-2 form-control title'&gt;Prod Line&lt;/label&gt;
						&lt;input type='text' class='col-md-10 form-control input-text' name='ProdLine' [(ngModel)]='rowdata.prodLine'&gt;
					&lt;/div&gt;
					&lt;div class='col-md-12 form-group row'&gt;
						&lt;label class='col-md-2 form-control title'&gt;Working Date&lt;/label&gt;
						&lt;input type='text' class='col-md-10 form-control input-text' name='workingDate' 
						#datepicker='bsDatepicker' [(ngModel)]='rowdata.workingDate'  bsDatepicker &gt;
					&lt;/div&gt;
					&lt;div class='col-md-12 form-group row'&gt;
						&lt;label class='col-md-2 form-control title'&gt;Shift&lt;/label&gt;
						&lt;input type='text' class='col-md-10 form-control input-text' name='Shift' [(ngModel)]='rowdata.shift'&gt;
					&lt;/div&gt;
					&lt;div class='col-md-12 form-group row'&gt;
						&lt;label class='col-md-2 form-control title'&gt;No In Date&lt;/label&gt;
						&lt;input type='number' class='col-md-10 form-control input-text' name='NoInDate' [(ngModel)]='rowdata.noInDate'&gt;
					&lt;/div&gt;
					&lt;div class='col-md-12 form-group row'&gt;
						&lt;label class='col-md-2 form-control title'&gt;No In Shift&lt;/label&gt;
						&lt;input type='number' class='col-md-10 form-control input-text' name='NoInShift' [(ngModel)]='rowdata.noInShift'&gt;
					&lt;/div&gt;
					&lt;div class='col-md-12 form-group row'&gt;
						&lt;label class='col-md-2 form-control title'&gt;Takt Time Start&lt;/label&gt;
						&lt;input type='text' class='col-md-10 form-control input-text' name='taktTimeStart' 
						#datepicker='bsDatepicker' [(ngModel)]='rowdata.taktTimeStart'  bsDatepicker &gt;
					&lt;/div&gt;
					&lt;div class='col-md-12 form-group row'&gt;
						&lt;label class='col-md-2 form-control title'&gt;To Up Date&lt;/label&gt;
						&lt;input type='text' class='col-md-10 form-control input-text' name='toUpDate' 
						#datepicker='bsDatepicker' [(ngModel)]='rowdata.toUpDate'  bsDatepicker &gt;
					&lt;/div&gt;
					&lt;div class='col-md-12 form-group row'&gt;
						&lt;label class='col-md-2 form-control title'&gt;Up Date&lt;/label&gt;
						&lt;input type='text' class='col-md-10 form-control input-text' name='upDate' 
						#datepicker='bsDatepicker' [(ngModel)]='rowdata.upDate'  bsDatepicker &gt;
					&lt;/div&gt;
					&lt;div class='col-md-12 form-group row'&gt;
						&lt;label class='col-md-2 form-control title'&gt;Up Punch Date&lt;/label&gt;
						&lt;input type='text' class='col-md-10 form-control input-text' name='upPunchDate' 
						#datepicker='bsDatepicker' [(ngModel)]='rowdata.upPunchDate'  bsDatepicker &gt;
					&lt;/div&gt;
					&lt;div class='col-md-12 form-group row'&gt;
						&lt;label class='col-md-2 form-control title'&gt;Up Skip Date&lt;/label&gt;
						&lt;input type='text' class='col-md-10 form-control input-text' name='upSkipDate' 
						#datepicker='bsDatepicker' [(ngModel)]='rowdata.upSkipDate'  bsDatepicker &gt;
					&lt;/div&gt;
					&lt;div class='col-md-12 form-group row'&gt;
						&lt;label class='col-md-2 form-control title'&gt;Up Recoat Date&lt;/label&gt;
						&lt;input type='text' class='col-md-10 form-control input-text' name='upRecoatDate' 
						#datepicker='bsDatepicker' [(ngModel)]='rowdata.upRecoatDate'  bsDatepicker &gt;
					&lt;/div&gt;
					&lt;div class='col-md-12 form-group row'&gt;
						&lt;label class='col-md-2 form-control title'&gt;Sub Assy Date&lt;/label&gt;
						&lt;input type='text' class='col-md-10 form-control input-text' name='subAssyDate' 
						#datepicker='bsDatepicker' [(ngModel)]='rowdata.subAssyDate'  bsDatepicker &gt;
					&lt;/div&gt;
					&lt;div class='col-md-12 form-group row'&gt;
						&lt;label class='col-md-2 form-control title'&gt;Sub Assy Punch Date&lt;/label&gt;
						&lt;input type='text' class='col-md-10 form-control input-text' name='subAssyPunchDate' 
						#datepicker='bsDatepicker' [(ngModel)]='rowdata.subAssyPunchDate'  bsDatepicker &gt;
					&lt;/div&gt;
					&lt;div class='col-md-12 form-group row'&gt;
						&lt;label class='col-md-2 form-control title'&gt;Sub Assy Skip Date&lt;/label&gt;
						&lt;input type='text' class='col-md-10 form-control input-text' name='subAssySkipDate' 
						#datepicker='bsDatepicker' [(ngModel)]='rowdata.subAssySkipDate'  bsDatepicker &gt;
					&lt;/div&gt;
					&lt;div class='col-md-12 form-group row'&gt;
						&lt;label class='col-md-2 form-control title'&gt;Sub Assy Recoat Date&lt;/label&gt;
						&lt;input type='text' class='col-md-10 form-control input-text' name='subAssyRecoatDate' 
						#datepicker='bsDatepicker' [(ngModel)]='rowdata.subAssyRecoatDate'  bsDatepicker &gt;
					&lt;/div&gt;
					&lt;div class='col-md-12 form-group row'&gt;
						&lt;label class='col-md-2 form-control title'&gt;Signal Code&lt;/label&gt;
						&lt;input type='text' class='col-md-10 form-control input-text' name='SignalCode' [(ngModel)]='rowdata.signalCode'&gt;
					&lt;/div&gt;
					&lt;div class='col-md-12 form-group row'&gt;
						&lt;label class='col-md-2 form-control title'&gt;Up Signal Date&lt;/label&gt;
						&lt;input type='text' class='col-md-10 form-control input-text' name='upSignalDate' 
						#datepicker='bsDatepicker' [(ngModel)]='rowdata.upSignalDate'  bsDatepicker &gt;
					&lt;/div&gt;
					&lt;div class='col-md-12 form-group row'&gt;
						&lt;label class='col-md-2 form-control title'&gt;Sub Assy Signal Date&lt;/label&gt;
						&lt;input type='text' class='col-md-10 form-control input-text' name='subAssySignalDate' 
						#datepicker='bsDatepicker' [(ngModel)]='rowdata.subAssySignalDate'  bsDatepicker &gt;
					&lt;/div&gt;
					&lt;div class='col-md-12 form-group row'&gt;
						&lt;label class='col-md-2 form-control title'&gt;Status&lt;/label&gt;
						&lt;input type='text' class='col-md-10 form-control input-text' name='Status' [(ngModel)]='rowdata.status'&gt;
					&lt;/div&gt;
					&lt;div class='col-md-12 form-group row'&gt;
						&lt;label class='col-md-2 form-control title'&gt;Is Active&lt;/label&gt;
						&lt;new-checkbox [(ngModel)]='_isActive' name='isActive' className='col-md-10' &gt; &lt;/new-checkbox&gt;
					&lt;/div&gt;              
                    &lt;div class="modal-footer"&gt;
                        &lt;button type="submit" class="btn btn-primary font-weight-bold"&gt;
                            &lt;i class="fa tmss-fa fa-save mr-1"&gt;&lt;/i&gt;
                            &lt;span&gt;{{ l('Save') }}&lt;/span&gt;
                        &lt;/button&gt;
                        &lt;button (click)="close()" type="button" class="btn btn-light-primary font-weight-bold"&gt;
                            &lt;i class="fa tmss-fa fa-times mr-1"&gt;&lt;/i&gt;
                            {{ l('Cancel') }}
                        &lt;/button&gt;
                    &lt;/div&gt;
                &lt;/div&gt;    
            &lt;/form&gt;
        &lt;/div&gt;
    &lt;/div&gt;
&lt;/div&gt;</v>
      </c>
      <c r="L10" s="48" t="str">
        <f ca="1">SUBSTITUTE(SUBSTITUTE(SUBSTITUTE(SUBSTITUTE(SUBSTITUTE(L9,"MstWptCalendar",$B$6),"Calendar",$B$7),"calendar",$B$8),"&lt;VIEWDATETIME&gt;",$L$13),"isActive",$V$13)</f>
        <v>import { Component, ViewChild, Injector, ElementRef, Output, EventEmitter, HostListener } from '@angular/core';
import { ModalDirective } from 'ngx-bootstrap/modal';
import { AppComponentBase } from '@shared/common/app-component-base';
import { finalize } from 'rxjs/operators';
import { CreateOrEditPtsBmpProgressDto, PtsBmpProgressServiceProxy } from '@shared/service-proxies/service-proxies';
import { BsDatepickerDirective } from 'ngx-bootstrap/datepicker';
@Component({
    selector: 'create-or-edit-progress-modal',
    templateUrl: './create-or-edit-progress-modal.component.html',
    styleUrls: ['./create-or-edit-progress-modal.component.less']
    })
export class CreateOrEditProgressModalComponent extends AppComponentBase {
    @ViewChild('createOrEditModalProgress', { static: true }) modal: ModalDirective | undefined;
    @ViewChild('nameInput') nameInput: ElementRef;
    @ViewChild('datepicker', { static: false }) datepicker!: BsDatepickerDirective;
    @Output() modalSave: EventEmitter&lt;any&gt; = new EventEmitter&lt;any&gt;();
    @Output() modalClose: EventEmitter&lt;any&gt; = new EventEmitter&lt;any&gt;();
    rowdata: CreateOrEditPtsBmpProgressDto = new CreateOrEditPtsBmpProgressDto();
    active: boolean = false;
    saving: boolean = false;
    _isPunch
isBumper
isActive: boolean;
    constructor(
        injector: Injector,
        private _mstwptProgressService: PtsBmpProgressServiceProxy,
    ) 
    {
        super(injector);
    }
    show(rowdata?: CreateOrEditPtsBmpProgressDto): void {
        if (!rowdata) this.rowdata = new CreateOrEditPtsBmpProgressDto();
        else this.rowdata = rowdata;
		const dateValue =  this.rowdata.workingDate ? new Date(this.rowdata.workingDate?.toString()) : new Date();
		this.datepicker?.bsValueChange.emit(dateValue);
		const dateValue =  this.rowdata.taktTimeStart ? new Date(this.rowdata.taktTimeStart?.toString()) : new Date();
		this.datepicker?.bsValueChange.emit(dateValue);
		const dateValue =  this.rowdata.toUpDate ? new Date(this.rowdata.toUpDate?.toString()) : new Date();
		this.datepicker?.bsValueChange.emit(dateValue);
		const dateValue =  this.rowdata.upDate ? new Date(this.rowdata.upDate?.toString()) : new Date();
		this.datepicker?.bsValueChange.emit(dateValue);
		const dateValue =  this.rowdata.upPunchDate ? new Date(this.rowdata.upPunchDate?.toString()) : new Date();
		this.datepicker?.bsValueChange.emit(dateValue);
		const dateValue =  this.rowdata.upSkipDate ? new Date(this.rowdata.upSkipDate?.toString()) : new Date();
		this.datepicker?.bsValueChange.emit(dateValue);
		const dateValue =  this.rowdata.upRecoatDate ? new Date(this.rowdata.upRecoatDate?.toString()) : new Date();
		this.datepicker?.bsValueChange.emit(dateValue);
		const dateValue =  this.rowdata.subAssyDate ? new Date(this.rowdata.subAssyDate?.toString()) : new Date();
		this.datepicker?.bsValueChange.emit(dateValue);
		const dateValue =  this.rowdata.subAssyPunchDate ? new Date(this.rowdata.subAssyPunchDate?.toString()) : new Date();
		this.datepicker?.bsValueChange.emit(dateValue);
		const dateValue =  this.rowdata.subAssySkipDate ? new Date(this.rowdata.subAssySkipDate?.toString()) : new Date();
		this.datepicker?.bsValueChange.emit(dateValue);
		const dateValue =  this.rowdata.subAssyRecoatDate ? new Date(this.rowdata.subAssyRecoatDate?.toString()) : new Date();
		this.datepicker?.bsValueChange.emit(dateValue);
		const dateValue =  this.rowdata.upSignalDate ? new Date(this.rowdata.upSignalDate?.toString()) : new Date();
		this.datepicker?.bsValueChange.emit(dateValue);
		const dateValue =  this.rowdata.subAssySignalDate ? new Date(this.rowdata.subAssySignalDate?.toString()) : new Date();
		this.datepicker?.bsValueChange.emit(dateValue);
        this._isPunch
isBumper
isActive = (this.rowdata.isPunch
isBumper
isActive == "N")? false: true;
        this.active = true;
        this.modal.show();
    } 
    changeActive(event){
        this._isPunch
isBumper
isActive = event.target.checked;
    }
    save(): void {
    this.saving = true; 
    this.rowdata.isPunch
isBumper
isActive = (this._isPunch
isBumper
isActive == true) ? 'Y' : 'N'
    this._mstwptProgressService.createOrEdit(this.rowdata)
        .pipe( finalize(() =&gt;  this.saving = false))
        .subscribe(() =&gt; {
            this.notify.info(this.l('SavedSuccessfully'));
            this.close();
            this.modal?.hide();
            this.modalSave.emit(this.rowdata);
        });
    this.saving = false;
    }
    close(): void {
        this.active = false;
        this.modal?.hide();
        this.modalClose.emit(null);
    }
    @HostListener('document:keydown', ['$event']) 
        onKeydownHandler(event: KeyboardEvent) {
            if (event.key === "Escape") {
                this.close();
            }
        }
}</v>
      </c>
      <c r="M10" s="48" t="str">
        <f>M9</f>
        <v>.modal-header{
    border-bottom: none;
}
.title-form{
    margin-left: 40% !important;
}
.form-input{
    margin-left: 3%;
    margin-top: 2%;
}
.form-input .form-group .title{
    border-radius: 5px !important;
    padding-top: 1% !important;
    text-align: center;
    background-color: #b3ecec !important;
}
.form-input .form-group .input-text{
    border-radius: 5px !important;
    text-align: center;
    border: 1px solid #d8b3fb !important;
}
.form-input .form-group .checkboxActive{
    text-align: left !important;
    padding-left: 15%;
}</v>
      </c>
      <c r="N10" s="48" t="str">
        <f>SUBSTITUTE(SUBSTITUTE(SUBSTITUTE(N9,"MstWptCalendar",$B$6),"Calendar",$B$7),"calendar",$B$8)</f>
        <v>import {NgModule} from '@angular/core';
import {AppSharedModule} from '@app/shared/app-shared.module';
import { ProgressRoutingModule } from './progress-routing.module';
import { ProgressComponent } from './progress.component';
import { CreateOrEditProgressModalComponent } from './create-or-edit-progress-modal.component';
@NgModule({
    declarations: [
       ProgressComponent, 
        CreateOrEditProgressModalComponent
    ],
    imports: [
        AppSharedModule, ProgressRoutingModule]
})
export class ProgressModule {}</v>
      </c>
      <c r="O10" s="48" t="str">
        <f>SUBSTITUTE(SUBSTITUTE(SUBSTITUTE(O9,"MstWptCalendar",$B$6),"Calendar",$B$7),"calendar",$B$8)</f>
        <v>import {NgModule} from '@angular/core';
import {RouterModule, Routes} from '@angular/router';
import { ProgressComponent } from './progress.component';
const routes: Routes = [{
    path: '',
    component: ProgressComponent,
    pathMatch: 'full'
}];
@NgModule({
    imports: [RouterModule.forChild(routes)],
    exports: [RouterModule],
})
export class ProgressRoutingModule {}</v>
      </c>
      <c r="P10" s="48" t="str">
        <f>SUBSTITUTE(SUBSTITUTE(SUBSTITUTE(SUBSTITUTE(SUBSTITUTE(SUBSTITUTE(SUBSTITUTE(P9,"MstWptCalendar",$B$6),"Calendar",$B$7),"calendar",$B$8),"WorkingPattern",$B$4),"workingpattern",$B$5),"Master",$B$2),"master",$B$3)</f>
        <v xml:space="preserve"> new AppMenuItem("Progress", "Pages.Painting.Bumper.Progress", "flaticon-book",   "/app/main/painting/bumper/progress"),</v>
      </c>
      <c r="Q10" s="48" t="str">
        <f>SUBSTITUTE(SUBSTITUTE(SUBSTITUTE(SUBSTITUTE(SUBSTITUTE(SUBSTITUTE(SUBSTITUTE(Q9,"MstWptCalendar",$B$6),"Calendar",$B$7),"calendar",$B$8),"WorkingPattern",$B$4),"workingpattern",$B$5),"Master",$B$2),"master",$B$3)</f>
        <v>{
    path: 'painting/bumper/progress',
    loadChildren: () =&gt; import('./painting/bumper/progress/progress.module').then(m =&gt; m.ProgressModule),
    data: { permission: 'Pages.Painting.Bumper.Progress' }
},</v>
      </c>
      <c r="R10" s="50" t="str">
        <f>SUBSTITUTE(R9,"MstWptCalendar",$B$6)</f>
        <v>ApiServiceProxies.PtsBmpProgressServiceProxy,</v>
      </c>
      <c r="S10" s="31"/>
      <c r="T10" s="31"/>
      <c r="U10" s="31"/>
      <c r="V10" s="31"/>
    </row>
    <row r="11" spans="1:22" x14ac:dyDescent="0.25">
      <c r="A11" s="58">
        <v>1</v>
      </c>
      <c r="B11" s="37">
        <v>1</v>
      </c>
      <c r="C11" s="31"/>
      <c r="D11" s="31"/>
      <c r="E11" s="31"/>
      <c r="F11" s="31"/>
      <c r="G11" s="31"/>
      <c r="H11" s="31" t="s">
        <v>248</v>
      </c>
      <c r="I11" s="31" t="s">
        <v>261</v>
      </c>
      <c r="J11" s="31"/>
      <c r="K11" s="31" t="s">
        <v>259</v>
      </c>
      <c r="L11" s="31" t="s">
        <v>262</v>
      </c>
      <c r="M11" s="38"/>
      <c r="N11" s="31"/>
      <c r="O11" s="31"/>
      <c r="P11" s="31"/>
      <c r="Q11" s="31"/>
      <c r="R11" s="31"/>
      <c r="S11" s="31" t="s">
        <v>253</v>
      </c>
      <c r="T11" s="31" t="s">
        <v>254</v>
      </c>
      <c r="U11" s="31" t="s">
        <v>263</v>
      </c>
      <c r="V11" s="71" t="s">
        <v>265</v>
      </c>
    </row>
    <row r="12" spans="1:22" x14ac:dyDescent="0.25">
      <c r="A12" s="58">
        <v>2</v>
      </c>
      <c r="B12" s="37"/>
      <c r="C12" s="31"/>
      <c r="D12" s="31"/>
      <c r="E12" s="31"/>
      <c r="F12" s="31"/>
      <c r="G12" s="31"/>
      <c r="H12" s="31" t="str">
        <f>"H"&amp;COUNTA($A:$A)</f>
        <v>H51</v>
      </c>
      <c r="I12" s="31" t="str">
        <f>"I"&amp;COUNTA($A:$A)</f>
        <v>I51</v>
      </c>
      <c r="J12" s="31"/>
      <c r="K12" s="31" t="str">
        <f>"K"&amp;COUNTA($A:$A)</f>
        <v>K51</v>
      </c>
      <c r="L12" s="31" t="str">
        <f>"L"&amp;COUNTA($A:$A)</f>
        <v>L51</v>
      </c>
      <c r="M12" s="31"/>
      <c r="N12" s="31"/>
      <c r="O12" s="31"/>
      <c r="P12" s="31"/>
      <c r="Q12" s="31"/>
      <c r="R12" s="31"/>
      <c r="S12" s="31" t="str">
        <f>"S"&amp;COUNTA($A:$A)</f>
        <v>S51</v>
      </c>
      <c r="T12" s="31" t="str">
        <f>"T"&amp;COUNTA($A:$A)</f>
        <v>T51</v>
      </c>
      <c r="U12" s="31" t="str">
        <f>"U"&amp;COUNTA($A:$A)</f>
        <v>U51</v>
      </c>
      <c r="V12" s="31" t="str">
        <f>"V"&amp;COUNTA($A:$A)</f>
        <v>V51</v>
      </c>
    </row>
    <row r="13" spans="1:22" ht="17.25" customHeight="1" x14ac:dyDescent="0.25">
      <c r="A13" s="58">
        <v>3</v>
      </c>
      <c r="B13" s="31"/>
      <c r="C13" s="31"/>
      <c r="D13" s="31"/>
      <c r="E13" s="31"/>
      <c r="F13" s="31"/>
      <c r="G13" s="31"/>
      <c r="H13" s="38" t="str">
        <f ca="1">TEXTJOIN2("
",TRUE,INDIRECT(H11):INDIRECT(H12))</f>
        <v xml:space="preserve">			{headerName: this.l('Part Id'),headerTooltip: this.l('Part Id'),field: 'partId',flex: 1},
			{headerName: this.l('Back No'),headerTooltip: this.l('Back No'),field: 'backNo',flex: 1},
			{headerName: this.l('Model'),headerTooltip: this.l('Model'),field: 'model',flex: 1},
			{headerName: this.l('Cfc'),headerTooltip: this.l('Cfc'),field: 'cfc',flex: 1},
			{headerName: this.l('Grade'),headerTooltip: this.l('Grade'),field: 'grade',flex: 1},
			{headerName: this.l('Part Type Code'),headerTooltip: this.l('Part Type Code'),field: 'partTypeCode',flex: 1},
			{headerName: this.l('Is Punch'),headerTooltip: this.l('Is Punch'),field:  'isPunch', cellClass: ['text-center'], width: 120, cellRenderer: 'agCellButtonComponent',
buttonDefTwo: { text: params =&gt; (params.data?.'isPunch' == 'Y') ? 'Active' : 'Inactive',iconName: 'fa fa-circle',className: params =&gt; (params.data?.'isPunch' == 'Y') ? 'btnActive' : 'btnInActive',},}
			{headerName: this.l('Is Bumper'),headerTooltip: this.l('Is Bumper'),field:  'isBumper', cellClass: ['text-center'], width: 120, cellRenderer: 'agCellButtonComponent',
buttonDefTwo: { text: params =&gt; (params.data?.'isBumper' == 'Y') ? 'Active' : 'Inactive',iconName: 'fa fa-circle',className: params =&gt; (params.data?.'isBumper' == 'Y') ? 'btnActive' : 'btnInActive',},}
			{headerName: this.l('Lot No'),headerTooltip: this.l('Lot No'),field: 'lotNo',flex: 1},
			{headerName: this.l('No In Lot'),headerTooltip: this.l('No In Lot'),field: 'noInLot',flex: 1},
			{headerName: this.l('Sequence No'),headerTooltip: this.l('Sequence No'),field: 'sequenceNo',flex: 1},
			{headerName: this.l('Body No'),headerTooltip: this.l('Body No'),field: 'bodyNo',flex: 1},
			{headerName: this.l('Color'),headerTooltip: this.l('Color'),field: 'color',flex: 1},
			{headerName: this.l('Special Color'),headerTooltip: this.l('Special Color'),field: 'specialColor',flex: 1},
			{headerName: this.l('Process'),headerTooltip: this.l('Process'),field: 'process',flex: 1},
			{headerName: this.l('Pk Process'),headerTooltip: this.l('Pk Process'),field: 'pkProcess',flex: 1},
			{headerName: this.l('Prod Line'),headerTooltip: this.l('Prod Line'),field: 'prodLine',flex: 1},
			{headerName: this.l('Working Date'),headerTooltip: this.l('Working Date'),field: 'workingDate',valueGetter: (params) =&gt; this.pipe.transform(params.data?.workingDate, 'dd/MM/yyyy'),flex: 1},
			{headerName: this.l('Shift'),headerTooltip: this.l('Shift'),field: 'shift',flex: 1},
			{headerName: this.l('No In Date'),headerTooltip: this.l('No In Date'),field: 'noInDate',flex: 1},
			{headerName: this.l('No In Shift'),headerTooltip: this.l('No In Shift'),field: 'noInShift',flex: 1},
			{headerName: this.l('Takt Time Start'),headerTooltip: this.l('Takt Time Start'),field: 'taktTimeStart',valueGetter: (params) =&gt; this.pipe.transform(params.data?.taktTimeStart, 'dd/MM/yyyy'),flex: 1},
			{headerName: this.l('To Up Date'),headerTooltip: this.l('To Up Date'),field: 'toUpDate',valueGetter: (params) =&gt; this.pipe.transform(params.data?.toUpDate, 'dd/MM/yyyy'),flex: 1},
			{headerName: this.l('Up Date'),headerTooltip: this.l('Up Date'),field: 'upDate',valueGetter: (params) =&gt; this.pipe.transform(params.data?.upDate, 'dd/MM/yyyy'),flex: 1},
			{headerName: this.l('Up Punch Date'),headerTooltip: this.l('Up Punch Date'),field: 'upPunchDate',valueGetter: (params) =&gt; this.pipe.transform(params.data?.upPunchDate, 'dd/MM/yyyy'),flex: 1},
			{headerName: this.l('Up Skip Date'),headerTooltip: this.l('Up Skip Date'),field: 'upSkipDate',valueGetter: (params) =&gt; this.pipe.transform(params.data?.upSkipDate, 'dd/MM/yyyy'),flex: 1},
			{headerName: this.l('Up Recoat Date'),headerTooltip: this.l('Up Recoat Date'),field: 'upRecoatDate',valueGetter: (params) =&gt; this.pipe.transform(params.data?.upRecoatDate, 'dd/MM/yyyy'),flex: 1},
			{headerName: this.l('Sub Assy Date'),headerTooltip: this.l('Sub Assy Date'),field: 'subAssyDate',valueGetter: (params) =&gt; this.pipe.transform(params.data?.subAssyDate, 'dd/MM/yyyy'),flex: 1},
			{headerName: this.l('Sub Assy Punch Date'),headerTooltip: this.l('Sub Assy Punch Date'),field: 'subAssyPunchDate',valueGetter: (params) =&gt; this.pipe.transform(params.data?.subAssyPunchDate, 'dd/MM/yyyy'),flex: 1},
			{headerName: this.l('Sub Assy Skip Date'),headerTooltip: this.l('Sub Assy Skip Date'),field: 'subAssySkipDate',valueGetter: (params) =&gt; this.pipe.transform(params.data?.subAssySkipDate, 'dd/MM/yyyy'),flex: 1},
			{headerName: this.l('Sub Assy Recoat Date'),headerTooltip: this.l('Sub Assy Recoat Date'),field: 'subAssyRecoatDate',valueGetter: (params) =&gt; this.pipe.transform(params.data?.subAssyRecoatDate, 'dd/MM/yyyy'),flex: 1},
			{headerName: this.l('Signal Id'),headerTooltip: this.l('Signal Id'),field: 'signalId',flex: 1},
			{headerName: this.l('Signal Code'),headerTooltip: this.l('Signal Code'),field: 'signalCode',flex: 1},
			{headerName: this.l('Up Signal Date'),headerTooltip: this.l('Up Signal Date'),field: 'upSignalDate',valueGetter: (params) =&gt; this.pipe.transform(params.data?.upSignalDate, 'dd/MM/yyyy'),flex: 1},
			{headerName: this.l('Sub Assy Signal Date'),headerTooltip: this.l('Sub Assy Signal Date'),field: 'subAssySignalDate',valueGetter: (params) =&gt; this.pipe.transform(params.data?.subAssySignalDate, 'dd/MM/yyyy'),flex: 1},
			{headerName: this.l('Status'),headerTooltip: this.l('Status'),field: 'status',flex: 1},
			{headerName: this.l('Is Active'),headerTooltip: this.l('Is Active'),field:  'isActive', cellClass: ['text-center'], width: 120, cellRenderer: 'agCellButtonComponent',
buttonDefTwo: { text: params =&gt; (params.data?.'isActive' == 'Y') ? 'Active' : 'Inactive',iconName: 'fa fa-circle',className: params =&gt; (params.data?.'isActive' == 'Y') ? 'btnActive' : 'btnInActive',},}</v>
      </c>
      <c r="I13" s="38" t="str">
        <f ca="1">TEXTJOIN2("
",TRUE,INDIRECT(I11):INDIRECT(I12))</f>
        <v xml:space="preserve">								&lt;div class='input-search'&gt;
									&lt;input [(ngModel)]='backNo' name='backNo'
									class='form-control' [placeholder]="l('Back No')"
									type='text' (keyup.enter)='searchDatas()'&gt;
								&lt;/div&gt;
								&lt;div class='input-search'&gt;
									&lt;input [(ngModel)]='model' name='model'
									class='form-control' [placeholder]="l('Model')"
									type='text' (keyup.enter)='searchDatas()'&gt;
								&lt;/div&gt;
								&lt;div class='input-search'&gt;
									&lt;input [(ngModel)]='cfc' name='cfc'
									class='form-control' [placeholder]="l('Cfc')"
									type='text' (keyup.enter)='searchDatas()'&gt;
								&lt;/div&gt;
								&lt;div class='input-search'&gt;
									&lt;input [(ngModel)]='grade' name='grade'
									class='form-control' [placeholder]="l('Grade')"
									type='text' (keyup.enter)='searchDatas()'&gt;
								&lt;/div&gt;
								&lt;div class='input-search'&gt;
									&lt;input [(ngModel)]='partTypeCode' name='partTypeCode'
									class='form-control' [placeholder]="l('Part Type Code')"
									type='text' (keyup.enter)='searchDatas()'&gt;
								&lt;/div&gt;
								&lt;div class='input-search'&gt;
									&lt;input [(ngModel)]='isPunch' name='isPunch'
									class='form-control' [placeholder]="l('Is Punch')"
									type='text' (keyup.enter)='searchDatas()'&gt;
								&lt;/div&gt;
								&lt;div class='input-search'&gt;
									&lt;input [(ngModel)]='isBumper' name='isBumper'
									class='form-control' [placeholder]="l('Is Bumper')"
									type='text' (keyup.enter)='searchDatas()'&gt;
								&lt;/div&gt;
								&lt;div class='input-search'&gt;
									&lt;input [(ngModel)]='lotNo' name='lotNo'
									class='form-control' [placeholder]="l('Lot No')"
									type='text' (keyup.enter)='searchDatas()'&gt;
								&lt;/div&gt;
								&lt;div class='input-search'&gt;
									&lt;input [(ngModel)]='sequenceNo' name='sequenceNo'
									class='form-control' [placeholder]="l('Sequence No')"
									type='text' (keyup.enter)='searchDatas()'&gt;
								&lt;/div&gt;
								&lt;div class='input-search'&gt;
									&lt;input [(ngModel)]='bodyNo' name='bodyNo'
									class='form-control' [placeholder]="l('Body No')"
									type='text' (keyup.enter)='searchDatas()'&gt;
								&lt;/div&gt;
								&lt;div class='input-search'&gt;
									&lt;input [(ngModel)]='color' name='color'
									class='form-control' [placeholder]="l('Color')"
									type='text' (keyup.enter)='searchDatas()'&gt;
								&lt;/div&gt;
								&lt;div class='input-search'&gt;
									&lt;input [(ngModel)]='specialColor' name='specialColor'
									class='form-control' [placeholder]="l('Special Color')"
									type='text' (keyup.enter)='searchDatas()'&gt;
								&lt;/div&gt;
								&lt;div class='input-search'&gt;
									&lt;input [(ngModel)]='process' name='process'
									class='form-control' [placeholder]="l('Process')"
									type='text' (keyup.enter)='searchDatas()'&gt;
								&lt;/div&gt;
								&lt;div class='input-search'&gt;
									&lt;input [(ngModel)]='pkProcess' name='pkProcess'
									class='form-control' [placeholder]="l('Pk Process')"
									type='text' (keyup.enter)='searchDatas()'&gt;
								&lt;/div&gt;
								&lt;div class='input-search'&gt;
									&lt;input [(ngModel)]='prodLine' name='prodLine'
									class='form-control' [placeholder]="l('Prod Line')"
									type='text' (keyup.enter)='searchDatas()'&gt;
								&lt;/div&gt;
								&lt;div class='input-search'&gt;
									&lt;input type='text' [placeholder]="l('Working Date')" [(ngModel)]='workingDate' 
									name='workingDate' (keydown)='searchDatas()' class='form-control' 
									bsDatepicker #d='bsDatepicker' placement='bottom left'&gt;
									&lt;i class='fa fa-calendar-alt' (click)='d.toggle()'&gt;&lt;/i&gt;
								&lt;/div&gt;
								&lt;div class='input-search'&gt;
									&lt;input [(ngModel)]='shift' name='shift'
									class='form-control' [placeholder]="l('Shift')"
									type='text' (keyup.enter)='searchDatas()'&gt;
								&lt;/div&gt;
								&lt;div class='input-search'&gt;
									&lt;input type='text' [placeholder]="l('Takt Time Start')" [(ngModel)]='taktTimeStart' 
									name='taktTimeStart' (keydown)='searchDatas()' class='form-control' 
									bsDatepicker #d='bsDatepicker' placement='bottom left'&gt;
									&lt;i class='fa fa-calendar-alt' (click)='d.toggle()'&gt;&lt;/i&gt;
								&lt;/div&gt;
								&lt;div class='input-search'&gt;
									&lt;input type='text' [placeholder]="l('To Up Date')" [(ngModel)]='toUpDate' 
									name='toUpDate' (keydown)='searchDatas()' class='form-control' 
									bsDatepicker #d='bsDatepicker' placement='bottom left'&gt;
									&lt;i class='fa fa-calendar-alt' (click)='d.toggle()'&gt;&lt;/i&gt;
								&lt;/div&gt;
								&lt;div class='input-search'&gt;
									&lt;input type='text' [placeholder]="l('Up Date')" [(ngModel)]='upDate' 
									name='upDate' (keydown)='searchDatas()' class='form-control' 
									bsDatepicker #d='bsDatepicker' placement='bottom left'&gt;
									&lt;i class='fa fa-calendar-alt' (click)='d.toggle()'&gt;&lt;/i&gt;
								&lt;/div&gt;
								&lt;div class='input-search'&gt;
									&lt;input type='text' [placeholder]="l('Up Punch Date')" [(ngModel)]='upPunchDate' 
									name='upPunchDate' (keydown)='searchDatas()' class='form-control' 
									bsDatepicker #d='bsDatepicker' placement='bottom left'&gt;
									&lt;i class='fa fa-calendar-alt' (click)='d.toggle()'&gt;&lt;/i&gt;
								&lt;/div&gt;
								&lt;div class='input-search'&gt;
									&lt;input type='text' [placeholder]="l('Up Skip Date')" [(ngModel)]='upSkipDate' 
									name='upSkipDate' (keydown)='searchDatas()' class='form-control' 
									bsDatepicker #d='bsDatepicker' placement='bottom left'&gt;
									&lt;i class='fa fa-calendar-alt' (click)='d.toggle()'&gt;&lt;/i&gt;
								&lt;/div&gt;
								&lt;div class='input-search'&gt;
									&lt;input type='text' [placeholder]="l('Up Recoat Date')" [(ngModel)]='upRecoatDate' 
									name='upRecoatDate' (keydown)='searchDatas()' class='form-control' 
									bsDatepicker #d='bsDatepicker' placement='bottom left'&gt;
									&lt;i class='fa fa-calendar-alt' (click)='d.toggle()'&gt;&lt;/i&gt;
								&lt;/div&gt;
								&lt;div class='input-search'&gt;
									&lt;input type='text' [placeholder]="l('Sub Assy Date')" [(ngModel)]='subAssyDate' 
									name='subAssyDate' (keydown)='searchDatas()' class='form-control' 
									bsDatepicker #d='bsDatepicker' placement='bottom left'&gt;
									&lt;i class='fa fa-calendar-alt' (click)='d.toggle()'&gt;&lt;/i&gt;
								&lt;/div&gt;
								&lt;div class='input-search'&gt;
									&lt;input type='text' [placeholder]="l('Sub Assy Punch Date')" [(ngModel)]='subAssyPunchDate' 
									name='subAssyPunchDate' (keydown)='searchDatas()' class='form-control' 
									bsDatepicker #d='bsDatepicker' placement='bottom left'&gt;
									&lt;i class='fa fa-calendar-alt' (click)='d.toggle()'&gt;&lt;/i&gt;
								&lt;/div&gt;
								&lt;div class='input-search'&gt;
									&lt;input type='text' [placeholder]="l('Sub Assy Skip Date')" [(ngModel)]='subAssySkipDate' 
									name='subAssySkipDate' (keydown)='searchDatas()' class='form-control' 
									bsDatepicker #d='bsDatepicker' placement='bottom left'&gt;
									&lt;i class='fa fa-calendar-alt' (click)='d.toggle()'&gt;&lt;/i&gt;
								&lt;/div&gt;
								&lt;div class='input-search'&gt;
									&lt;input type='text' [placeholder]="l('Sub Assy Recoat Date')" [(ngModel)]='subAssyRecoatDate' 
									name='subAssyRecoatDate' (keydown)='searchDatas()' class='form-control' 
									bsDatepicker #d='bsDatepicker' placement='bottom left'&gt;
									&lt;i class='fa fa-calendar-alt' (click)='d.toggle()'&gt;&lt;/i&gt;
								&lt;/div&gt;
								&lt;div class='input-search'&gt;
									&lt;input [(ngModel)]='signalCode' name='signalCode'
									class='form-control' [placeholder]="l('Signal Code')"
									type='text' (keyup.enter)='searchDatas()'&gt;
								&lt;/div&gt;
								&lt;div class='input-search'&gt;
									&lt;input type='text' [placeholder]="l('Up Signal Date')" [(ngModel)]='upSignalDate' 
									name='upSignalDate' (keydown)='searchDatas()' class='form-control' 
									bsDatepicker #d='bsDatepicker' placement='bottom left'&gt;
									&lt;i class='fa fa-calendar-alt' (click)='d.toggle()'&gt;&lt;/i&gt;
								&lt;/div&gt;
								&lt;div class='input-search'&gt;
									&lt;input type='text' [placeholder]="l('Sub Assy Signal Date')" [(ngModel)]='subAssySignalDate' 
									name='subAssySignalDate' (keydown)='searchDatas()' class='form-control' 
									bsDatepicker #d='bsDatepicker' placement='bottom left'&gt;
									&lt;i class='fa fa-calendar-alt' (click)='d.toggle()'&gt;&lt;/i&gt;
								&lt;/div&gt;
								&lt;div class='input-search'&gt;
									&lt;input [(ngModel)]='status' name='status'
									class='form-control' [placeholder]="l('Status')"
									type='text' (keyup.enter)='searchDatas()'&gt;
								&lt;/div&gt;
								&lt;div class='input-search'&gt;
									&lt;input [(ngModel)]='isActive' name='isActive'
									class='form-control' [placeholder]="l('Is Active')"
									type='text' (keyup.enter)='searchDatas()'&gt;
								&lt;/div&gt;</v>
      </c>
      <c r="J13" s="31"/>
      <c r="K13" s="38" t="str">
        <f ca="1">TEXTJOIN2("
",TRUE,INDIRECT(K11):INDIRECT(K12))</f>
        <v xml:space="preserve">					&lt;div class='col-md-12 form-group row'&gt;
						&lt;label class='col-md-2 form-control title'&gt;Back No&lt;/label&gt;
						&lt;input type='text' class='col-md-10 form-control input-text' name='BackNo' [(ngModel)]='rowdata.backNo'&gt;
					&lt;/div&gt;
					&lt;div class='col-md-12 form-group row'&gt;
						&lt;label class='col-md-2 form-control title'&gt;Model&lt;/label&gt;
						&lt;input type='text' class='col-md-10 form-control input-text' name='Model' [(ngModel)]='rowdata.model'&gt;
					&lt;/div&gt;
					&lt;div class='col-md-12 form-group row'&gt;
						&lt;label class='col-md-2 form-control title'&gt;Cfc&lt;/label&gt;
						&lt;input type='text' class='col-md-10 form-control input-text' name='Cfc' [(ngModel)]='rowdata.cfc'&gt;
					&lt;/div&gt;
					&lt;div class='col-md-12 form-group row'&gt;
						&lt;label class='col-md-2 form-control title'&gt;Grade&lt;/label&gt;
						&lt;input type='text' class='col-md-10 form-control input-text' name='Grade' [(ngModel)]='rowdata.grade'&gt;
					&lt;/div&gt;
					&lt;div class='col-md-12 form-group row'&gt;
						&lt;label class='col-md-2 form-control title'&gt;Part Type Code&lt;/label&gt;
						&lt;input type='text' class='col-md-10 form-control input-text' name='PartTypeCode' [(ngModel)]='rowdata.partTypeCode'&gt;
					&lt;/div&gt;
					&lt;div class='col-md-12 form-group row'&gt;
						&lt;label class='col-md-2 form-control title'&gt;Is Punch&lt;/label&gt;
						&lt;new-checkbox [(ngModel)]='_isPunch' name='isPunch' className='col-md-10' &gt; &lt;/new-checkbox&gt;
					&lt;/div&gt;
					&lt;div class='col-md-12 form-group row'&gt;
						&lt;label class='col-md-2 form-control title'&gt;Is Bumper&lt;/label&gt;
						&lt;new-checkbox [(ngModel)]='_isBumper' name='isBumper' className='col-md-10' &gt; &lt;/new-checkbox&gt;
					&lt;/div&gt;
					&lt;div class='col-md-12 form-group row'&gt;
						&lt;label class='col-md-2 form-control title'&gt;Lot No&lt;/label&gt;
						&lt;input type='text' class='col-md-10 form-control input-text' name='LotNo' [(ngModel)]='rowdata.lotNo'&gt;
					&lt;/div&gt;
					&lt;div class='col-md-12 form-group row'&gt;
						&lt;label class='col-md-2 form-control title'&gt;No In Lot&lt;/label&gt;
						&lt;input type='number' class='col-md-10 form-control input-text' name='NoInLot' [(ngModel)]='rowdata.noInLot'&gt;
					&lt;/div&gt;
					&lt;div class='col-md-12 form-group row'&gt;
						&lt;label class='col-md-2 form-control title'&gt;Sequence No&lt;/label&gt;
						&lt;input type='text' class='col-md-10 form-control input-text' name='SequenceNo' [(ngModel)]='rowdata.sequenceNo'&gt;
					&lt;/div&gt;
					&lt;div class='col-md-12 form-group row'&gt;
						&lt;label class='col-md-2 form-control title'&gt;Body No&lt;/label&gt;
						&lt;input type='text' class='col-md-10 form-control input-text' name='BodyNo' [(ngModel)]='rowdata.bodyNo'&gt;
					&lt;/div&gt;
					&lt;div class='col-md-12 form-group row'&gt;
						&lt;label class='col-md-2 form-control title'&gt;Color&lt;/label&gt;
						&lt;input type='text' class='col-md-10 form-control input-text' name='Color' [(ngModel)]='rowdata.color'&gt;
					&lt;/div&gt;
					&lt;div class='col-md-12 form-group row'&gt;
						&lt;label class='col-md-2 form-control title'&gt;Special Color&lt;/label&gt;
						&lt;input type='text' class='col-md-10 form-control input-text' name='SpecialColor' [(ngModel)]='rowdata.specialColor'&gt;
					&lt;/div&gt;
					&lt;div class='col-md-12 form-group row'&gt;
						&lt;label class='col-md-2 form-control title'&gt;Process&lt;/label&gt;
						&lt;input type='text' class='col-md-10 form-control input-text' name='Process' [(ngModel)]='rowdata.process'&gt;
					&lt;/div&gt;
					&lt;div class='col-md-12 form-group row'&gt;
						&lt;label class='col-md-2 form-control title'&gt;Pk Process&lt;/label&gt;
						&lt;input type='text' class='col-md-10 form-control input-text' name='PkProcess' [(ngModel)]='rowdata.pkProcess'&gt;
					&lt;/div&gt;
					&lt;div class='col-md-12 form-group row'&gt;
						&lt;label class='col-md-2 form-control title'&gt;Prod Line&lt;/label&gt;
						&lt;input type='text' class='col-md-10 form-control input-text' name='ProdLine' [(ngModel)]='rowdata.prodLine'&gt;
					&lt;/div&gt;
					&lt;div class='col-md-12 form-group row'&gt;
						&lt;label class='col-md-2 form-control title'&gt;Working Date&lt;/label&gt;
						&lt;input type='text' class='col-md-10 form-control input-text' name='workingDate' 
						#datepicker='bsDatepicker' [(ngModel)]='rowdata.workingDate'  bsDatepicker &gt;
					&lt;/div&gt;
					&lt;div class='col-md-12 form-group row'&gt;
						&lt;label class='col-md-2 form-control title'&gt;Shift&lt;/label&gt;
						&lt;input type='text' class='col-md-10 form-control input-text' name='Shift' [(ngModel)]='rowdata.shift'&gt;
					&lt;/div&gt;
					&lt;div class='col-md-12 form-group row'&gt;
						&lt;label class='col-md-2 form-control title'&gt;No In Date&lt;/label&gt;
						&lt;input type='number' class='col-md-10 form-control input-text' name='NoInDate' [(ngModel)]='rowdata.noInDate'&gt;
					&lt;/div&gt;
					&lt;div class='col-md-12 form-group row'&gt;
						&lt;label class='col-md-2 form-control title'&gt;No In Shift&lt;/label&gt;
						&lt;input type='number' class='col-md-10 form-control input-text' name='NoInShift' [(ngModel)]='rowdata.noInShift'&gt;
					&lt;/div&gt;
					&lt;div class='col-md-12 form-group row'&gt;
						&lt;label class='col-md-2 form-control title'&gt;Takt Time Start&lt;/label&gt;
						&lt;input type='text' class='col-md-10 form-control input-text' name='taktTimeStart' 
						#datepicker='bsDatepicker' [(ngModel)]='rowdata.taktTimeStart'  bsDatepicker &gt;
					&lt;/div&gt;
					&lt;div class='col-md-12 form-group row'&gt;
						&lt;label class='col-md-2 form-control title'&gt;To Up Date&lt;/label&gt;
						&lt;input type='text' class='col-md-10 form-control input-text' name='toUpDate' 
						#datepicker='bsDatepicker' [(ngModel)]='rowdata.toUpDate'  bsDatepicker &gt;
					&lt;/div&gt;
					&lt;div class='col-md-12 form-group row'&gt;
						&lt;label class='col-md-2 form-control title'&gt;Up Date&lt;/label&gt;
						&lt;input type='text' class='col-md-10 form-control input-text' name='upDate' 
						#datepicker='bsDatepicker' [(ngModel)]='rowdata.upDate'  bsDatepicker &gt;
					&lt;/div&gt;
					&lt;div class='col-md-12 form-group row'&gt;
						&lt;label class='col-md-2 form-control title'&gt;Up Punch Date&lt;/label&gt;
						&lt;input type='text' class='col-md-10 form-control input-text' name='upPunchDate' 
						#datepicker='bsDatepicker' [(ngModel)]='rowdata.upPunchDate'  bsDatepicker &gt;
					&lt;/div&gt;
					&lt;div class='col-md-12 form-group row'&gt;
						&lt;label class='col-md-2 form-control title'&gt;Up Skip Date&lt;/label&gt;
						&lt;input type='text' class='col-md-10 form-control input-text' name='upSkipDate' 
						#datepicker='bsDatepicker' [(ngModel)]='rowdata.upSkipDate'  bsDatepicker &gt;
					&lt;/div&gt;
					&lt;div class='col-md-12 form-group row'&gt;
						&lt;label class='col-md-2 form-control title'&gt;Up Recoat Date&lt;/label&gt;
						&lt;input type='text' class='col-md-10 form-control input-text' name='upRecoatDate' 
						#datepicker='bsDatepicker' [(ngModel)]='rowdata.upRecoatDate'  bsDatepicker &gt;
					&lt;/div&gt;
					&lt;div class='col-md-12 form-group row'&gt;
						&lt;label class='col-md-2 form-control title'&gt;Sub Assy Date&lt;/label&gt;
						&lt;input type='text' class='col-md-10 form-control input-text' name='subAssyDate' 
						#datepicker='bsDatepicker' [(ngModel)]='rowdata.subAssyDate'  bsDatepicker &gt;
					&lt;/div&gt;
					&lt;div class='col-md-12 form-group row'&gt;
						&lt;label class='col-md-2 form-control title'&gt;Sub Assy Punch Date&lt;/label&gt;
						&lt;input type='text' class='col-md-10 form-control input-text' name='subAssyPunchDate' 
						#datepicker='bsDatepicker' [(ngModel)]='rowdata.subAssyPunchDate'  bsDatepicker &gt;
					&lt;/div&gt;
					&lt;div class='col-md-12 form-group row'&gt;
						&lt;label class='col-md-2 form-control title'&gt;Sub Assy Skip Date&lt;/label&gt;
						&lt;input type='text' class='col-md-10 form-control input-text' name='subAssySkipDate' 
						#datepicker='bsDatepicker' [(ngModel)]='rowdata.subAssySkipDate'  bsDatepicker &gt;
					&lt;/div&gt;
					&lt;div class='col-md-12 form-group row'&gt;
						&lt;label class='col-md-2 form-control title'&gt;Sub Assy Recoat Date&lt;/label&gt;
						&lt;input type='text' class='col-md-10 form-control input-text' name='subAssyRecoatDate' 
						#datepicker='bsDatepicker' [(ngModel)]='rowdata.subAssyRecoatDate'  bsDatepicker &gt;
					&lt;/div&gt;
					&lt;div class='col-md-12 form-group row'&gt;
						&lt;label class='col-md-2 form-control title'&gt;Signal Code&lt;/label&gt;
						&lt;input type='text' class='col-md-10 form-control input-text' name='SignalCode' [(ngModel)]='rowdata.signalCode'&gt;
					&lt;/div&gt;
					&lt;div class='col-md-12 form-group row'&gt;
						&lt;label class='col-md-2 form-control title'&gt;Up Signal Date&lt;/label&gt;
						&lt;input type='text' class='col-md-10 form-control input-text' name='upSignalDate' 
						#datepicker='bsDatepicker' [(ngModel)]='rowdata.upSignalDate'  bsDatepicker &gt;
					&lt;/div&gt;
					&lt;div class='col-md-12 form-group row'&gt;
						&lt;label class='col-md-2 form-control title'&gt;Sub Assy Signal Date&lt;/label&gt;
						&lt;input type='text' class='col-md-10 form-control input-text' name='subAssySignalDate' 
						#datepicker='bsDatepicker' [(ngModel)]='rowdata.subAssySignalDate'  bsDatepicker &gt;
					&lt;/div&gt;
					&lt;div class='col-md-12 form-group row'&gt;
						&lt;label class='col-md-2 form-control title'&gt;Status&lt;/label&gt;
						&lt;input type='text' class='col-md-10 form-control input-text' name='Status' [(ngModel)]='rowdata.status'&gt;
					&lt;/div&gt;
					&lt;div class='col-md-12 form-group row'&gt;
						&lt;label class='col-md-2 form-control title'&gt;Is Active&lt;/label&gt;
						&lt;new-checkbox [(ngModel)]='_isActive' name='isActive' className='col-md-10' &gt; &lt;/new-checkbox&gt;
					&lt;/div&gt;</v>
      </c>
      <c r="L13" s="60" t="str">
        <f ca="1">TEXTJOIN2("
",TRUE,INDIRECT(L11):INDIRECT(L12))</f>
        <v xml:space="preserve">		const dateValue =  this.rowdata.workingDate ? new Date(this.rowdata.workingDate?.toString()) : new Date();
		this.datepicker?.bsValueChange.emit(dateValue);
		const dateValue =  this.rowdata.taktTimeStart ? new Date(this.rowdata.taktTimeStart?.toString()) : new Date();
		this.datepicker?.bsValueChange.emit(dateValue);
		const dateValue =  this.rowdata.toUpDate ? new Date(this.rowdata.toUpDate?.toString()) : new Date();
		this.datepicker?.bsValueChange.emit(dateValue);
		const dateValue =  this.rowdata.upDate ? new Date(this.rowdata.upDate?.toString()) : new Date();
		this.datepicker?.bsValueChange.emit(dateValue);
		const dateValue =  this.rowdata.upPunchDate ? new Date(this.rowdata.upPunchDate?.toString()) : new Date();
		this.datepicker?.bsValueChange.emit(dateValue);
		const dateValue =  this.rowdata.upSkipDate ? new Date(this.rowdata.upSkipDate?.toString()) : new Date();
		this.datepicker?.bsValueChange.emit(dateValue);
		const dateValue =  this.rowdata.upRecoatDate ? new Date(this.rowdata.upRecoatDate?.toString()) : new Date();
		this.datepicker?.bsValueChange.emit(dateValue);
		const dateValue =  this.rowdata.subAssyDate ? new Date(this.rowdata.subAssyDate?.toString()) : new Date();
		this.datepicker?.bsValueChange.emit(dateValue);
		const dateValue =  this.rowdata.subAssyPunchDate ? new Date(this.rowdata.subAssyPunchDate?.toString()) : new Date();
		this.datepicker?.bsValueChange.emit(dateValue);
		const dateValue =  this.rowdata.subAssySkipDate ? new Date(this.rowdata.subAssySkipDate?.toString()) : new Date();
		this.datepicker?.bsValueChange.emit(dateValue);
		const dateValue =  this.rowdata.subAssyRecoatDate ? new Date(this.rowdata.subAssyRecoatDate?.toString()) : new Date();
		this.datepicker?.bsValueChange.emit(dateValue);
		const dateValue =  this.rowdata.upSignalDate ? new Date(this.rowdata.upSignalDate?.toString()) : new Date();
		this.datepicker?.bsValueChange.emit(dateValue);
		const dateValue =  this.rowdata.subAssySignalDate ? new Date(this.rowdata.subAssySignalDate?.toString()) : new Date();
		this.datepicker?.bsValueChange.emit(dateValue);
</v>
      </c>
      <c r="M13" s="31"/>
      <c r="N13" s="31"/>
      <c r="O13" s="31"/>
      <c r="P13" s="31"/>
      <c r="Q13" s="31"/>
      <c r="R13" s="31"/>
      <c r="S13" s="68" t="str">
        <f ca="1">TEXTJOIN2("
",TRUE,INDIRECT(S11):INDIRECT(S12))</f>
        <v xml:space="preserve">	partId
	backNo : string = '' ; 
	model : string = '' ; 
	cfc : string = '' ; 
	grade : string = '' ; 
	partTypeCode : string = '' ; 
	isPunch : string = '' ; 
	isBumper : string = '' ; 
	lotNo : string = '' ; 
	noInLot : number = 0 ;
	sequenceNo : string = '' ; 
	bodyNo : string = '' ; 
	color : string = '' ; 
	specialColor : string = '' ; 
	process : string = '' ; 
	pkProcess : string = '' ; 
	prodLine : string = '' ; 
	workingDate : any ;
	shift : string = '' ; 
	noInDate : number = 0 ;
	noInShift : number = 0 ;
	taktTimeStart : any ;
	toUpDate : any ;
	upDate : any ;
	upPunchDate : any ;
	upSkipDate : any ;
	upRecoatDate : any ;
	subAssyDate : any ;
	subAssyPunchDate : any ;
	subAssySkipDate : any ;
	subAssyRecoatDate : any ;
	signalId
	signalCode : string = '' ; 
	upSignalDate : any ;
	subAssySignalDate : any ;
	status : string = '' ; 
	isActive : string = '' ; </v>
      </c>
      <c r="T13" s="68" t="str">
        <f ca="1">TEXTJOIN2("
",TRUE,INDIRECT(T11):INDIRECT(T12))</f>
        <v xml:space="preserve">			this.partId,
			this.backNo,
			this.model,
			this.cfc,
			this.grade,
			this.partTypeCode,
			this.isPunch,
			this.isBumper,
			this.lotNo,
			this.noInLot,
			this.sequenceNo,
			this.bodyNo,
			this.color,
			this.specialColor,
			this.process,
			this.pkProcess,
			this.prodLine,
			this.workingDate,
			this.shift,
			this.noInDate,
			this.noInShift,
			this.taktTimeStart,
			this.toUpDate,
			this.upDate,
			this.upPunchDate,
			this.upSkipDate,
			this.upRecoatDate,
			this.subAssyDate,
			this.subAssyPunchDate,
			this.subAssySkipDate,
			this.subAssyRecoatDate,
			this.signalId,
			this.signalCode,
			this.upSignalDate,
			this.subAssySignalDate,
			this.status,
			this.isActive,</v>
      </c>
      <c r="U13" s="68" t="str">
        <f ca="1">TEXTJOIN2("
",TRUE,INDIRECT(U11):INDIRECT(U12))</f>
        <v xml:space="preserve">		this.partId = '',
		this.backNo = '',
		this.model = '',
		this.cfc = '',
		this.grade = '',
		this.partTypeCode = '',
		this.isPunch = '',
		this.isBumper = '',
		this.lotNo = '',
		this.noInLot = 0,
		this.sequenceNo = '',
		this.bodyNo = '',
		this.color = '',
		this.specialColor = '',
		this.process = '',
		this.pkProcess = '',
		this.prodLine = '',
		this.workingDate = '',
		this.shift = '',
		this.noInDate = 0,
		this.noInShift = 0,
		this.taktTimeStart = '',
		this.toUpDate = '',
		this.upDate = '',
		this.upPunchDate = '',
		this.upSkipDate = '',
		this.upRecoatDate = '',
		this.subAssyDate = '',
		this.subAssyPunchDate = '',
		this.subAssySkipDate = '',
		this.subAssyRecoatDate = '',
		this.signalId = '',
		this.signalCode = '',
		this.upSignalDate = '',
		this.subAssySignalDate = '',
		this.status = '',
		this.isActive = '',</v>
      </c>
      <c r="V13" s="31" t="str">
        <f ca="1">TEXTJOIN2("
",TRUE,INDIRECT(V11):INDIRECT(V12))</f>
        <v>isPunch
isBumper
isActive</v>
      </c>
    </row>
    <row r="14" spans="1:22" x14ac:dyDescent="0.25">
      <c r="A14" s="41" t="s">
        <v>218</v>
      </c>
      <c r="B14" s="31"/>
      <c r="C14" s="31"/>
      <c r="D14" s="31"/>
      <c r="E14" s="31"/>
      <c r="F14" s="31"/>
      <c r="G14" s="31"/>
      <c r="H14" s="39" t="str">
        <f>B8&amp;".component.ts"</f>
        <v>progress.component.ts</v>
      </c>
      <c r="I14" s="40" t="str">
        <f>B8&amp;".component.html"</f>
        <v>progress.component.html</v>
      </c>
      <c r="J14" s="39" t="str">
        <f>B8&amp;".component.less"</f>
        <v>progress.component.less</v>
      </c>
      <c r="K14" s="40" t="str">
        <f>"create-or-edit-"&amp;B8&amp;"-modal.component.html"</f>
        <v>create-or-edit-progress-modal.component.html</v>
      </c>
      <c r="L14" s="40" t="str">
        <f>"create-or-edit-"&amp;B8&amp;"-modal.component.ts"</f>
        <v>create-or-edit-progress-modal.component.ts</v>
      </c>
      <c r="M14" s="40" t="str">
        <f>"create-or-edit-"&amp;B8&amp;"-modal.component.less"</f>
        <v>create-or-edit-progress-modal.component.less</v>
      </c>
      <c r="N14" s="40" t="str">
        <f>B8&amp;".module.ts"</f>
        <v>progress.module.ts</v>
      </c>
      <c r="O14" s="40" t="str">
        <f>B8&amp;"-routing.module.ts"</f>
        <v>progress-routing.module.ts</v>
      </c>
      <c r="P14" s="40" t="s">
        <v>222</v>
      </c>
      <c r="Q14" s="40" t="s">
        <v>225</v>
      </c>
      <c r="R14" s="41" t="s">
        <v>232</v>
      </c>
      <c r="S14" s="40" t="s">
        <v>251</v>
      </c>
      <c r="T14" s="40" t="s">
        <v>252</v>
      </c>
      <c r="U14" s="40" t="s">
        <v>255</v>
      </c>
      <c r="V14" s="40" t="s">
        <v>264</v>
      </c>
    </row>
    <row r="15" spans="1:22" ht="18" customHeight="1" x14ac:dyDescent="0.25">
      <c r="A15" s="31" t="s">
        <v>328</v>
      </c>
      <c r="B15" s="31" t="str">
        <f t="shared" ref="B15:B18" si="0">SUBSTITUTE(PROPER(A15),"_","")</f>
        <v>PartId</v>
      </c>
      <c r="C15" s="31" t="str">
        <f t="shared" ref="C15:C18" si="1">SUBSTITUTE(PROPER(A15),"_"," ")</f>
        <v>Part Id</v>
      </c>
      <c r="D15" s="31" t="str">
        <f t="shared" ref="D15:D18" si="2">LOWER(LEFT(B15,1))&amp;RIGHT(B15,LEN(B15) - 1)</f>
        <v>partId</v>
      </c>
      <c r="E15" s="31" t="str">
        <f>A.Backend!H9</f>
        <v>long</v>
      </c>
      <c r="F15" s="31" t="str">
        <f>A.Backend!G9</f>
        <v/>
      </c>
      <c r="G15" s="31" t="str">
        <f t="shared" ref="G15:G18" si="3">IF(E15="string"," : string = '' ; ",IF(OR(E15="DateTime",E15="TimeSpan")," : any ;",IF(E15="int"," : number = 0 ;","")))</f>
        <v/>
      </c>
      <c r="H15" s="38" t="str">
        <f t="shared" ref="H15:H18" si="4">IF(E15="DateTime",
REPT(CHAR(9),3)&amp;"{headerName: this.l('"&amp;C15&amp;"'),headerTooltip: this.l('"&amp;C15&amp;"'),field: '"&amp;D15&amp;"',valueGetter: (params) =&gt; this.pipe.transform(params.data?."&amp;D15&amp;", 'dd/MM/yyyy'),flex: 1},",
IF(AND(E15="string",F15="1"),
REPT(CHAR(9),3)&amp;"{headerName: this.l('"&amp;C15&amp;"'),headerTooltip: this.l('"&amp;C15&amp;"'),field:  '"&amp;D15&amp;"', cellClass: ['text-center'], width: 120, cellRenderer: 'agCellButtonComponent',
buttonDefTwo: { text: params =&gt; (params.data?.'"&amp;D15&amp;"' == 'Y') ? 'Active' : 'Inactive',iconName: 'fa fa-circle',className: params =&gt; (params.data?.'"&amp;D15&amp;"' == 'Y') ? 'btnActive' : 'btnInActive',},}",
REPT(CHAR(9),3)&amp;"{headerName: this.l('"&amp;C15&amp;"'),headerTooltip: this.l('"&amp;C15&amp;"'),field: '"&amp;D15&amp;"',flex: 1},"))</f>
        <v xml:space="preserve">			{headerName: this.l('Part Id'),headerTooltip: this.l('Part Id'),field: 'partId',flex: 1},</v>
      </c>
      <c r="I15" s="38" t="str">
        <f t="shared" ref="I15:I18" si="5">IF(E15="DateTime",
REPT(CHAR(9),8)&amp;"&lt;div class='input-search'&gt;
"&amp;REPT(CHAR(9),9)&amp;"&lt;input type='text' [placeholder]=""l('"&amp;C15&amp;"')"" [(ngModel)]='"&amp;D15&amp;"' 
"&amp;REPT(CHAR(9),9)&amp;"name='"&amp;D15&amp;"' (keydown)='searchDatas()' class='form-control' 
"&amp;REPT(CHAR(9),9)&amp;"bsDatepicker #d='bsDatepicker' placement='bottom left'&gt;
"&amp;REPT(CHAR(9),9)&amp;"&lt;i class='fa fa-calendar-alt' (click)='d.toggle()'&gt;&lt;/i&gt;
"&amp;REPT(CHAR(9),8)&amp;"&lt;/div&gt;",
IF(E15="string",
REPT(CHAR(9),8)&amp;"&lt;div class='input-search'&gt;
"&amp;REPT(CHAR(9),9)&amp;"&lt;input [(ngModel)]='"&amp;D15&amp;"' name='"&amp;D15&amp;"'
"&amp;REPT(CHAR(9),9)&amp;"class='form-control' [placeholder]=""l('"&amp;C15&amp;"')""
"&amp;REPT(CHAR(9),9)&amp;"type='text' (keyup.enter)='searchDatas()'&gt;
"&amp;REPT(CHAR(9),8)&amp;"&lt;/div&gt;",""))</f>
        <v/>
      </c>
      <c r="J15" s="31"/>
      <c r="K15" s="38" t="str">
        <f t="shared" ref="K15:K18" si="6">IF(OR(E15="DateTime",E15="TimeSpan"),
REPT(CHAR(9),5)&amp;"&lt;div class='col-md-12 form-group row'&gt;
"&amp;REPT(CHAR(9),6)&amp;"&lt;label class='col-md-2 form-control title'&gt;"&amp;C15&amp;"&lt;/label&gt;
"&amp;REPT(CHAR(9),6)&amp;"&lt;input type='text' class='col-md-10 form-control input-text' name='"&amp;D15&amp;"' 
"&amp;REPT(CHAR(9),6)&amp;"#datepicker='bsDatepicker' [(ngModel)]='rowdata."&amp;D15&amp;"'  bsDatepicker &gt;
"&amp;REPT(CHAR(9),5)&amp;"&lt;/div&gt;",
IF(AND(E15="string",F15="1"),
REPT(CHAR(9),5)&amp;"&lt;div class='col-md-12 form-group row'&gt;
"&amp;REPT(CHAR(9),6)&amp;"&lt;label class='col-md-2 form-control title'&gt;"&amp;C15&amp;"&lt;/label&gt;
"&amp;REPT(CHAR(9),6)&amp;"&lt;new-checkbox [(ngModel)]='_"&amp;D15&amp;"' name='"&amp;D15&amp;"' className='col-md-10' &gt; &lt;/new-checkbox&gt;
"&amp;REPT(CHAR(9),5)&amp;"&lt;/div&gt;",
IF(E15="string",
REPT(CHAR(9),5)&amp;"&lt;div class='col-md-12 form-group row'&gt;
"&amp;REPT(CHAR(9),6)&amp;"&lt;label class='col-md-2 form-control title'&gt;"&amp;C15&amp;"&lt;/label&gt;
"&amp;REPT(CHAR(9),6)&amp;"&lt;input type='text' class='col-md-10 form-control input-text' name='"&amp;B15&amp;"' [(ngModel)]='rowdata."&amp;D15&amp;"'&gt;
"&amp;REPT(CHAR(9),5)&amp;"&lt;/div&gt;",
IF(E15="int",
REPT(CHAR(9),5)&amp;"&lt;div class='col-md-12 form-group row'&gt;
"&amp;REPT(CHAR(9),6)&amp;"&lt;label class='col-md-2 form-control title'&gt;"&amp;C15&amp;"&lt;/label&gt;
"&amp;REPT(CHAR(9),6)&amp;"&lt;input type='number' class='col-md-10 form-control input-text' name='"&amp;B15&amp;"' [(ngModel)]='rowdata."&amp;D15&amp;"'&gt;
"&amp;REPT(CHAR(9),5)&amp;"&lt;/div&gt;",""))))</f>
        <v/>
      </c>
      <c r="L15" s="60" t="str">
        <f t="shared" ref="L15:L18" si="7">IF(E15="DateTime",
REPT(CHAR(9),2)&amp;"const dateValue =  this.rowdata."&amp;D15&amp;" ? new Date(this.rowdata."&amp;D15&amp;"?.toString()) : new Date();
"&amp;REPT(CHAR(9),2)&amp;"this.datepicker?.bsValueChange.emit(dateValue);","")</f>
        <v/>
      </c>
      <c r="M15" s="31"/>
      <c r="N15" s="31"/>
      <c r="O15" s="31"/>
      <c r="P15" s="31"/>
      <c r="Q15" s="31"/>
      <c r="R15" s="31"/>
      <c r="S15" s="31" t="str">
        <f t="shared" ref="S15:S18" si="8">REPT(CHAR(9),1)&amp;D15&amp;G15</f>
        <v xml:space="preserve">	partId</v>
      </c>
      <c r="T15" s="31" t="str">
        <f t="shared" ref="T15:T18" si="9">REPT(CHAR(9),3)&amp;"this."&amp;D15&amp;","</f>
        <v xml:space="preserve">			this.partId,</v>
      </c>
      <c r="U15" s="31" t="str">
        <f t="shared" ref="U15:U18" si="10">IF(E15="int",REPT(CHAR(9),2)&amp;"this."&amp;D15&amp;" = 0,",REPT(CHAR(9),2)&amp;"this."&amp;D15&amp;" = '',")</f>
        <v xml:space="preserve">		this.partId = '',</v>
      </c>
      <c r="V15" s="31" t="str">
        <f t="shared" ref="V15:V18" si="11">IF(AND(E15="string",F15="1"),D15,"")</f>
        <v/>
      </c>
    </row>
    <row r="16" spans="1:22" ht="18" customHeight="1" x14ac:dyDescent="0.25">
      <c r="A16" s="31" t="s">
        <v>329</v>
      </c>
      <c r="B16" s="31" t="str">
        <f t="shared" si="0"/>
        <v>BackNo</v>
      </c>
      <c r="C16" s="31" t="str">
        <f t="shared" si="1"/>
        <v>Back No</v>
      </c>
      <c r="D16" s="31" t="str">
        <f t="shared" si="2"/>
        <v>backNo</v>
      </c>
      <c r="E16" s="31" t="str">
        <f>A.Backend!H10</f>
        <v>string</v>
      </c>
      <c r="F16" s="31" t="str">
        <f>A.Backend!G10</f>
        <v>50</v>
      </c>
      <c r="G16" s="31" t="str">
        <f t="shared" si="3"/>
        <v xml:space="preserve"> : string = '' ; </v>
      </c>
      <c r="H16" s="38" t="str">
        <f t="shared" si="4"/>
        <v xml:space="preserve">			{headerName: this.l('Back No'),headerTooltip: this.l('Back No'),field: 'backNo',flex: 1},</v>
      </c>
      <c r="I16" s="38" t="str">
        <f t="shared" si="5"/>
        <v xml:space="preserve">								&lt;div class='input-search'&gt;
									&lt;input [(ngModel)]='backNo' name='backNo'
									class='form-control' [placeholder]="l('Back No')"
									type='text' (keyup.enter)='searchDatas()'&gt;
								&lt;/div&gt;</v>
      </c>
      <c r="J16" s="31"/>
      <c r="K16" s="38" t="str">
        <f t="shared" si="6"/>
        <v xml:space="preserve">					&lt;div class='col-md-12 form-group row'&gt;
						&lt;label class='col-md-2 form-control title'&gt;Back No&lt;/label&gt;
						&lt;input type='text' class='col-md-10 form-control input-text' name='BackNo' [(ngModel)]='rowdata.backNo'&gt;
					&lt;/div&gt;</v>
      </c>
      <c r="L16" s="60" t="str">
        <f t="shared" si="7"/>
        <v/>
      </c>
      <c r="M16" s="31"/>
      <c r="N16" s="31"/>
      <c r="O16" s="31"/>
      <c r="P16" s="31"/>
      <c r="Q16" s="31"/>
      <c r="R16" s="31"/>
      <c r="S16" s="31" t="str">
        <f t="shared" si="8"/>
        <v xml:space="preserve">	backNo : string = '' ; </v>
      </c>
      <c r="T16" s="31" t="str">
        <f t="shared" si="9"/>
        <v xml:space="preserve">			this.backNo,</v>
      </c>
      <c r="U16" s="31" t="str">
        <f t="shared" si="10"/>
        <v xml:space="preserve">		this.backNo = '',</v>
      </c>
      <c r="V16" s="31" t="str">
        <f t="shared" si="11"/>
        <v/>
      </c>
    </row>
    <row r="17" spans="1:22" ht="15" customHeight="1" x14ac:dyDescent="0.25">
      <c r="A17" s="31" t="s">
        <v>330</v>
      </c>
      <c r="B17" s="31" t="str">
        <f t="shared" si="0"/>
        <v>Model</v>
      </c>
      <c r="C17" s="31" t="str">
        <f t="shared" si="1"/>
        <v>Model</v>
      </c>
      <c r="D17" s="31" t="str">
        <f t="shared" si="2"/>
        <v>model</v>
      </c>
      <c r="E17" s="31" t="str">
        <f>A.Backend!H11</f>
        <v>string</v>
      </c>
      <c r="F17" s="31" t="str">
        <f>A.Backend!G11</f>
        <v>50</v>
      </c>
      <c r="G17" s="31" t="str">
        <f t="shared" si="3"/>
        <v xml:space="preserve"> : string = '' ; </v>
      </c>
      <c r="H17" s="38" t="str">
        <f t="shared" si="4"/>
        <v xml:space="preserve">			{headerName: this.l('Model'),headerTooltip: this.l('Model'),field: 'model',flex: 1},</v>
      </c>
      <c r="I17" s="38" t="str">
        <f t="shared" si="5"/>
        <v xml:space="preserve">								&lt;div class='input-search'&gt;
									&lt;input [(ngModel)]='model' name='model'
									class='form-control' [placeholder]="l('Model')"
									type='text' (keyup.enter)='searchDatas()'&gt;
								&lt;/div&gt;</v>
      </c>
      <c r="J17" s="31"/>
      <c r="K17" s="38" t="str">
        <f t="shared" si="6"/>
        <v xml:space="preserve">					&lt;div class='col-md-12 form-group row'&gt;
						&lt;label class='col-md-2 form-control title'&gt;Model&lt;/label&gt;
						&lt;input type='text' class='col-md-10 form-control input-text' name='Model' [(ngModel)]='rowdata.model'&gt;
					&lt;/div&gt;</v>
      </c>
      <c r="L17" s="60" t="str">
        <f t="shared" si="7"/>
        <v/>
      </c>
      <c r="M17" s="31"/>
      <c r="N17" s="31"/>
      <c r="O17" s="31"/>
      <c r="P17" s="31"/>
      <c r="Q17" s="31"/>
      <c r="R17" s="31"/>
      <c r="S17" s="31" t="str">
        <f t="shared" si="8"/>
        <v xml:space="preserve">	model : string = '' ; </v>
      </c>
      <c r="T17" s="31" t="str">
        <f t="shared" si="9"/>
        <v xml:space="preserve">			this.model,</v>
      </c>
      <c r="U17" s="31" t="str">
        <f t="shared" si="10"/>
        <v xml:space="preserve">		this.model = '',</v>
      </c>
      <c r="V17" s="31" t="str">
        <f t="shared" si="11"/>
        <v/>
      </c>
    </row>
    <row r="18" spans="1:22" ht="15" customHeight="1" x14ac:dyDescent="0.25">
      <c r="A18" s="31" t="s">
        <v>331</v>
      </c>
      <c r="B18" s="31" t="str">
        <f t="shared" si="0"/>
        <v>Cfc</v>
      </c>
      <c r="C18" s="31" t="str">
        <f t="shared" si="1"/>
        <v>Cfc</v>
      </c>
      <c r="D18" s="31" t="str">
        <f t="shared" si="2"/>
        <v>cfc</v>
      </c>
      <c r="E18" s="31" t="str">
        <f>A.Backend!H12</f>
        <v>string</v>
      </c>
      <c r="F18" s="31" t="str">
        <f>A.Backend!G12</f>
        <v>50</v>
      </c>
      <c r="G18" s="31" t="str">
        <f t="shared" si="3"/>
        <v xml:space="preserve"> : string = '' ; </v>
      </c>
      <c r="H18" s="38" t="str">
        <f t="shared" si="4"/>
        <v xml:space="preserve">			{headerName: this.l('Cfc'),headerTooltip: this.l('Cfc'),field: 'cfc',flex: 1},</v>
      </c>
      <c r="I18" s="38" t="str">
        <f t="shared" si="5"/>
        <v xml:space="preserve">								&lt;div class='input-search'&gt;
									&lt;input [(ngModel)]='cfc' name='cfc'
									class='form-control' [placeholder]="l('Cfc')"
									type='text' (keyup.enter)='searchDatas()'&gt;
								&lt;/div&gt;</v>
      </c>
      <c r="J18" s="31"/>
      <c r="K18" s="38" t="str">
        <f t="shared" si="6"/>
        <v xml:space="preserve">					&lt;div class='col-md-12 form-group row'&gt;
						&lt;label class='col-md-2 form-control title'&gt;Cfc&lt;/label&gt;
						&lt;input type='text' class='col-md-10 form-control input-text' name='Cfc' [(ngModel)]='rowdata.cfc'&gt;
					&lt;/div&gt;</v>
      </c>
      <c r="L18" s="60" t="str">
        <f t="shared" si="7"/>
        <v/>
      </c>
      <c r="M18" s="31"/>
      <c r="N18" s="31"/>
      <c r="O18" s="31"/>
      <c r="P18" s="31"/>
      <c r="Q18" s="31"/>
      <c r="R18" s="31"/>
      <c r="S18" s="31" t="str">
        <f t="shared" si="8"/>
        <v xml:space="preserve">	cfc : string = '' ; </v>
      </c>
      <c r="T18" s="31" t="str">
        <f t="shared" si="9"/>
        <v xml:space="preserve">			this.cfc,</v>
      </c>
      <c r="U18" s="31" t="str">
        <f t="shared" si="10"/>
        <v xml:space="preserve">		this.cfc = '',</v>
      </c>
      <c r="V18" s="31" t="str">
        <f t="shared" si="11"/>
        <v/>
      </c>
    </row>
    <row r="19" spans="1:22" ht="15" customHeight="1" x14ac:dyDescent="0.25">
      <c r="A19" s="31" t="s">
        <v>332</v>
      </c>
      <c r="B19" s="31" t="str">
        <f>SUBSTITUTE(PROPER(A19),"_","")</f>
        <v>Grade</v>
      </c>
      <c r="C19" s="31" t="str">
        <f>SUBSTITUTE(PROPER(A19),"_"," ")</f>
        <v>Grade</v>
      </c>
      <c r="D19" s="31" t="str">
        <f>LOWER(LEFT(B19,1))&amp;RIGHT(B19,LEN(B19) - 1)</f>
        <v>grade</v>
      </c>
      <c r="E19" s="31" t="str">
        <f>A.Backend!H13</f>
        <v>string</v>
      </c>
      <c r="F19" s="31" t="str">
        <f>A.Backend!G13</f>
        <v>50</v>
      </c>
      <c r="G19" s="31" t="str">
        <f>IF(E19="string"," : string = '' ; ",IF(OR(E19="DateTime",E19="TimeSpan")," : any ;",IF(E19="int"," : number = 0 ;","")))</f>
        <v xml:space="preserve"> : string = '' ; </v>
      </c>
      <c r="H19" s="38" t="str">
        <f>IF(E19="DateTime",
REPT(CHAR(9),3)&amp;"{headerName: this.l('"&amp;C19&amp;"'),headerTooltip: this.l('"&amp;C19&amp;"'),field: '"&amp;D19&amp;"',valueGetter: (params) =&gt; this.pipe.transform(params.data?."&amp;D19&amp;", 'dd/MM/yyyy'),flex: 1},",
IF(AND(E19="string",F19="1"),
REPT(CHAR(9),3)&amp;"{headerName: this.l('"&amp;C19&amp;"'),headerTooltip: this.l('"&amp;C19&amp;"'),field:  '"&amp;D19&amp;"', cellClass: ['text-center'], width: 120, cellRenderer: 'agCellButtonComponent',
buttonDefTwo: { text: params =&gt; (params.data?.'"&amp;D19&amp;"' == 'Y') ? 'Active' : 'Inactive',iconName: 'fa fa-circle',className: params =&gt; (params.data?.'"&amp;D19&amp;"' == 'Y') ? 'btnActive' : 'btnInActive',},}",
REPT(CHAR(9),3)&amp;"{headerName: this.l('"&amp;C19&amp;"'),headerTooltip: this.l('"&amp;C19&amp;"'),field: '"&amp;D19&amp;"',flex: 1},"))</f>
        <v xml:space="preserve">			{headerName: this.l('Grade'),headerTooltip: this.l('Grade'),field: 'grade',flex: 1},</v>
      </c>
      <c r="I19" s="38" t="str">
        <f>IF(E19="DateTime",
REPT(CHAR(9),8)&amp;"&lt;div class='input-search'&gt;
"&amp;REPT(CHAR(9),9)&amp;"&lt;input type='text' [placeholder]=""l('"&amp;C19&amp;"')"" [(ngModel)]='"&amp;D19&amp;"' 
"&amp;REPT(CHAR(9),9)&amp;"name='"&amp;D19&amp;"' (keydown)='searchDatas()' class='form-control' 
"&amp;REPT(CHAR(9),9)&amp;"bsDatepicker #d='bsDatepicker' placement='bottom left'&gt;
"&amp;REPT(CHAR(9),9)&amp;"&lt;i class='fa fa-calendar-alt' (click)='d.toggle()'&gt;&lt;/i&gt;
"&amp;REPT(CHAR(9),8)&amp;"&lt;/div&gt;",
IF(E19="string",
REPT(CHAR(9),8)&amp;"&lt;div class='input-search'&gt;
"&amp;REPT(CHAR(9),9)&amp;"&lt;input [(ngModel)]='"&amp;D19&amp;"' name='"&amp;D19&amp;"'
"&amp;REPT(CHAR(9),9)&amp;"class='form-control' [placeholder]=""l('"&amp;C19&amp;"')""
"&amp;REPT(CHAR(9),9)&amp;"type='text' (keyup.enter)='searchDatas()'&gt;
"&amp;REPT(CHAR(9),8)&amp;"&lt;/div&gt;",""))</f>
        <v xml:space="preserve">								&lt;div class='input-search'&gt;
									&lt;input [(ngModel)]='grade' name='grade'
									class='form-control' [placeholder]="l('Grade')"
									type='text' (keyup.enter)='searchDatas()'&gt;
								&lt;/div&gt;</v>
      </c>
      <c r="J19" s="31"/>
      <c r="K19" s="38" t="str">
        <f>IF(OR(E19="DateTime",E19="TimeSpan"),
REPT(CHAR(9),5)&amp;"&lt;div class='col-md-12 form-group row'&gt;
"&amp;REPT(CHAR(9),6)&amp;"&lt;label class='col-md-2 form-control title'&gt;"&amp;C19&amp;"&lt;/label&gt;
"&amp;REPT(CHAR(9),6)&amp;"&lt;input type='text' class='col-md-10 form-control input-text' name='"&amp;D19&amp;"' 
"&amp;REPT(CHAR(9),6)&amp;"#datepicker='bsDatepicker' [(ngModel)]='rowdata."&amp;D19&amp;"'  bsDatepicker &gt;
"&amp;REPT(CHAR(9),5)&amp;"&lt;/div&gt;",
IF(AND(E19="string",F19="1"),
REPT(CHAR(9),5)&amp;"&lt;div class='col-md-12 form-group row'&gt;
"&amp;REPT(CHAR(9),6)&amp;"&lt;label class='col-md-2 form-control title'&gt;"&amp;C19&amp;"&lt;/label&gt;
"&amp;REPT(CHAR(9),6)&amp;"&lt;new-checkbox [(ngModel)]='_"&amp;D19&amp;"' name='"&amp;D19&amp;"' className='col-md-10' &gt; &lt;/new-checkbox&gt;
"&amp;REPT(CHAR(9),5)&amp;"&lt;/div&gt;",
IF(E19="string",
REPT(CHAR(9),5)&amp;"&lt;div class='col-md-12 form-group row'&gt;
"&amp;REPT(CHAR(9),6)&amp;"&lt;label class='col-md-2 form-control title'&gt;"&amp;C19&amp;"&lt;/label&gt;
"&amp;REPT(CHAR(9),6)&amp;"&lt;input type='text' class='col-md-10 form-control input-text' name='"&amp;B19&amp;"' [(ngModel)]='rowdata."&amp;D19&amp;"'&gt;
"&amp;REPT(CHAR(9),5)&amp;"&lt;/div&gt;",
IF(E19="int",
REPT(CHAR(9),5)&amp;"&lt;div class='col-md-12 form-group row'&gt;
"&amp;REPT(CHAR(9),6)&amp;"&lt;label class='col-md-2 form-control title'&gt;"&amp;C19&amp;"&lt;/label&gt;
"&amp;REPT(CHAR(9),6)&amp;"&lt;input type='number' class='col-md-10 form-control input-text' name='"&amp;B19&amp;"' [(ngModel)]='rowdata."&amp;D19&amp;"'&gt;
"&amp;REPT(CHAR(9),5)&amp;"&lt;/div&gt;",""))))</f>
        <v xml:space="preserve">					&lt;div class='col-md-12 form-group row'&gt;
						&lt;label class='col-md-2 form-control title'&gt;Grade&lt;/label&gt;
						&lt;input type='text' class='col-md-10 form-control input-text' name='Grade' [(ngModel)]='rowdata.grade'&gt;
					&lt;/div&gt;</v>
      </c>
      <c r="L19" s="60" t="str">
        <f>IF(E19="DateTime",
REPT(CHAR(9),2)&amp;"const dateValue =  this.rowdata."&amp;D19&amp;" ? new Date(this.rowdata."&amp;D19&amp;"?.toString()) : new Date();
"&amp;REPT(CHAR(9),2)&amp;"this.datepicker?.bsValueChange.emit(dateValue);","")</f>
        <v/>
      </c>
      <c r="M19" s="31"/>
      <c r="N19" s="31"/>
      <c r="O19" s="31"/>
      <c r="P19" s="31"/>
      <c r="Q19" s="31"/>
      <c r="R19" s="31"/>
      <c r="S19" s="31" t="str">
        <f>REPT(CHAR(9),1)&amp;D19&amp;G19</f>
        <v xml:space="preserve">	grade : string = '' ; </v>
      </c>
      <c r="T19" s="31" t="str">
        <f>REPT(CHAR(9),3)&amp;"this."&amp;D19&amp;","</f>
        <v xml:space="preserve">			this.grade,</v>
      </c>
      <c r="U19" s="31" t="str">
        <f>IF(E19="int",REPT(CHAR(9),2)&amp;"this."&amp;D19&amp;" = 0,",REPT(CHAR(9),2)&amp;"this."&amp;D19&amp;" = '',")</f>
        <v xml:space="preserve">		this.grade = '',</v>
      </c>
      <c r="V19" s="31" t="str">
        <f>IF(AND(E19="string",F19="1"),D19,"")</f>
        <v/>
      </c>
    </row>
    <row r="20" spans="1:22" ht="15" customHeight="1" x14ac:dyDescent="0.25">
      <c r="A20" s="31" t="s">
        <v>333</v>
      </c>
      <c r="B20" s="31" t="str">
        <f>SUBSTITUTE(PROPER(A20),"_","")</f>
        <v>PartTypeCode</v>
      </c>
      <c r="C20" s="31" t="str">
        <f>SUBSTITUTE(PROPER(A20),"_"," ")</f>
        <v>Part Type Code</v>
      </c>
      <c r="D20" s="31" t="str">
        <f>LOWER(LEFT(B20,1))&amp;RIGHT(B20,LEN(B20) - 1)</f>
        <v>partTypeCode</v>
      </c>
      <c r="E20" s="31" t="str">
        <f>A.Backend!H14</f>
        <v>string</v>
      </c>
      <c r="F20" s="31" t="str">
        <f>A.Backend!G14</f>
        <v>50</v>
      </c>
      <c r="G20" s="31" t="str">
        <f>IF(E20="string"," : string = '' ; ",IF(OR(E20="DateTime",E20="TimeSpan")," : any ;",IF(E20="int"," : number = 0 ;","")))</f>
        <v xml:space="preserve"> : string = '' ; </v>
      </c>
      <c r="H20" s="38" t="str">
        <f>IF(E20="DateTime",
REPT(CHAR(9),3)&amp;"{headerName: this.l('"&amp;C20&amp;"'),headerTooltip: this.l('"&amp;C20&amp;"'),field: '"&amp;D20&amp;"',valueGetter: (params) =&gt; this.pipe.transform(params.data?."&amp;D20&amp;", 'dd/MM/yyyy'),flex: 1},",
IF(AND(E20="string",F20="1"),
REPT(CHAR(9),3)&amp;"{headerName: this.l('"&amp;C20&amp;"'),headerTooltip: this.l('"&amp;C20&amp;"'),field:  '"&amp;D20&amp;"', cellClass: ['text-center'], width: 120, cellRenderer: 'agCellButtonComponent',
buttonDefTwo: { text: params =&gt; (params.data?.'"&amp;D20&amp;"' == 'Y') ? 'Active' : 'Inactive',iconName: 'fa fa-circle',className: params =&gt; (params.data?.'"&amp;D20&amp;"' == 'Y') ? 'btnActive' : 'btnInActive',},}",
REPT(CHAR(9),3)&amp;"{headerName: this.l('"&amp;C20&amp;"'),headerTooltip: this.l('"&amp;C20&amp;"'),field: '"&amp;D20&amp;"',flex: 1},"))</f>
        <v xml:space="preserve">			{headerName: this.l('Part Type Code'),headerTooltip: this.l('Part Type Code'),field: 'partTypeCode',flex: 1},</v>
      </c>
      <c r="I20" s="38" t="str">
        <f>IF(E20="DateTime",
REPT(CHAR(9),8)&amp;"&lt;div class='input-search'&gt;
"&amp;REPT(CHAR(9),9)&amp;"&lt;input type='text' [placeholder]=""l('"&amp;C20&amp;"')"" [(ngModel)]='"&amp;D20&amp;"' 
"&amp;REPT(CHAR(9),9)&amp;"name='"&amp;D20&amp;"' (keydown)='searchDatas()' class='form-control' 
"&amp;REPT(CHAR(9),9)&amp;"bsDatepicker #d='bsDatepicker' placement='bottom left'&gt;
"&amp;REPT(CHAR(9),9)&amp;"&lt;i class='fa fa-calendar-alt' (click)='d.toggle()'&gt;&lt;/i&gt;
"&amp;REPT(CHAR(9),8)&amp;"&lt;/div&gt;",
IF(E20="string",
REPT(CHAR(9),8)&amp;"&lt;div class='input-search'&gt;
"&amp;REPT(CHAR(9),9)&amp;"&lt;input [(ngModel)]='"&amp;D20&amp;"' name='"&amp;D20&amp;"'
"&amp;REPT(CHAR(9),9)&amp;"class='form-control' [placeholder]=""l('"&amp;C20&amp;"')""
"&amp;REPT(CHAR(9),9)&amp;"type='text' (keyup.enter)='searchDatas()'&gt;
"&amp;REPT(CHAR(9),8)&amp;"&lt;/div&gt;",""))</f>
        <v xml:space="preserve">								&lt;div class='input-search'&gt;
									&lt;input [(ngModel)]='partTypeCode' name='partTypeCode'
									class='form-control' [placeholder]="l('Part Type Code')"
									type='text' (keyup.enter)='searchDatas()'&gt;
								&lt;/div&gt;</v>
      </c>
      <c r="J20" s="31"/>
      <c r="K20" s="38" t="str">
        <f>IF(OR(E20="DateTime",E20="TimeSpan"),
REPT(CHAR(9),5)&amp;"&lt;div class='col-md-12 form-group row'&gt;
"&amp;REPT(CHAR(9),6)&amp;"&lt;label class='col-md-2 form-control title'&gt;"&amp;C20&amp;"&lt;/label&gt;
"&amp;REPT(CHAR(9),6)&amp;"&lt;input type='text' class='col-md-10 form-control input-text' name='"&amp;D20&amp;"' 
"&amp;REPT(CHAR(9),6)&amp;"#datepicker='bsDatepicker' [(ngModel)]='rowdata."&amp;D20&amp;"'  bsDatepicker &gt;
"&amp;REPT(CHAR(9),5)&amp;"&lt;/div&gt;",
IF(AND(E20="string",F20="1"),
REPT(CHAR(9),5)&amp;"&lt;div class='col-md-12 form-group row'&gt;
"&amp;REPT(CHAR(9),6)&amp;"&lt;label class='col-md-2 form-control title'&gt;"&amp;C20&amp;"&lt;/label&gt;
"&amp;REPT(CHAR(9),6)&amp;"&lt;new-checkbox [(ngModel)]='_"&amp;D20&amp;"' name='"&amp;D20&amp;"' className='col-md-10' &gt; &lt;/new-checkbox&gt;
"&amp;REPT(CHAR(9),5)&amp;"&lt;/div&gt;",
IF(E20="string",
REPT(CHAR(9),5)&amp;"&lt;div class='col-md-12 form-group row'&gt;
"&amp;REPT(CHAR(9),6)&amp;"&lt;label class='col-md-2 form-control title'&gt;"&amp;C20&amp;"&lt;/label&gt;
"&amp;REPT(CHAR(9),6)&amp;"&lt;input type='text' class='col-md-10 form-control input-text' name='"&amp;B20&amp;"' [(ngModel)]='rowdata."&amp;D20&amp;"'&gt;
"&amp;REPT(CHAR(9),5)&amp;"&lt;/div&gt;",
IF(E20="int",
REPT(CHAR(9),5)&amp;"&lt;div class='col-md-12 form-group row'&gt;
"&amp;REPT(CHAR(9),6)&amp;"&lt;label class='col-md-2 form-control title'&gt;"&amp;C20&amp;"&lt;/label&gt;
"&amp;REPT(CHAR(9),6)&amp;"&lt;input type='number' class='col-md-10 form-control input-text' name='"&amp;B20&amp;"' [(ngModel)]='rowdata."&amp;D20&amp;"'&gt;
"&amp;REPT(CHAR(9),5)&amp;"&lt;/div&gt;",""))))</f>
        <v xml:space="preserve">					&lt;div class='col-md-12 form-group row'&gt;
						&lt;label class='col-md-2 form-control title'&gt;Part Type Code&lt;/label&gt;
						&lt;input type='text' class='col-md-10 form-control input-text' name='PartTypeCode' [(ngModel)]='rowdata.partTypeCode'&gt;
					&lt;/div&gt;</v>
      </c>
      <c r="L20" s="60" t="str">
        <f>IF(E20="DateTime",
REPT(CHAR(9),2)&amp;"const dateValue =  this.rowdata."&amp;D20&amp;" ? new Date(this.rowdata."&amp;D20&amp;"?.toString()) : new Date();
"&amp;REPT(CHAR(9),2)&amp;"this.datepicker?.bsValueChange.emit(dateValue);","")</f>
        <v/>
      </c>
      <c r="M20" s="31"/>
      <c r="N20" s="31"/>
      <c r="O20" s="31"/>
      <c r="P20" s="31"/>
      <c r="Q20" s="31"/>
      <c r="R20" s="31"/>
      <c r="S20" s="31" t="str">
        <f>REPT(CHAR(9),1)&amp;D20&amp;G20</f>
        <v xml:space="preserve">	partTypeCode : string = '' ; </v>
      </c>
      <c r="T20" s="31" t="str">
        <f>REPT(CHAR(9),3)&amp;"this."&amp;D20&amp;","</f>
        <v xml:space="preserve">			this.partTypeCode,</v>
      </c>
      <c r="U20" s="31" t="str">
        <f>IF(E20="int",REPT(CHAR(9),2)&amp;"this."&amp;D20&amp;" = 0,",REPT(CHAR(9),2)&amp;"this."&amp;D20&amp;" = '',")</f>
        <v xml:space="preserve">		this.partTypeCode = '',</v>
      </c>
      <c r="V20" s="31" t="str">
        <f>IF(AND(E20="string",F20="1"),D20,"")</f>
        <v/>
      </c>
    </row>
    <row r="21" spans="1:22" ht="15" customHeight="1" x14ac:dyDescent="0.25">
      <c r="A21" s="31" t="s">
        <v>334</v>
      </c>
      <c r="B21" s="31" t="str">
        <f t="shared" ref="B21:B23" si="12">SUBSTITUTE(PROPER(A21),"_","")</f>
        <v>IsPunch</v>
      </c>
      <c r="C21" s="31" t="str">
        <f t="shared" ref="C21:C23" si="13">SUBSTITUTE(PROPER(A21),"_"," ")</f>
        <v>Is Punch</v>
      </c>
      <c r="D21" s="31" t="str">
        <f t="shared" ref="D21:D23" si="14">LOWER(LEFT(B21,1))&amp;RIGHT(B21,LEN(B21) - 1)</f>
        <v>isPunch</v>
      </c>
      <c r="E21" s="31" t="str">
        <f>A.Backend!H15</f>
        <v>string</v>
      </c>
      <c r="F21" s="31" t="str">
        <f>A.Backend!G15</f>
        <v>1</v>
      </c>
      <c r="G21" s="31" t="str">
        <f t="shared" ref="G21:G23" si="15">IF(E21="string"," : string = '' ; ",IF(OR(E21="DateTime",E21="TimeSpan")," : any ;",IF(E21="int"," : number = 0 ;","")))</f>
        <v xml:space="preserve"> : string = '' ; </v>
      </c>
      <c r="H21" s="38" t="str">
        <f t="shared" ref="H21:H23" si="16">IF(E21="DateTime",
REPT(CHAR(9),3)&amp;"{headerName: this.l('"&amp;C21&amp;"'),headerTooltip: this.l('"&amp;C21&amp;"'),field: '"&amp;D21&amp;"',valueGetter: (params) =&gt; this.pipe.transform(params.data?."&amp;D21&amp;", 'dd/MM/yyyy'),flex: 1},",
IF(AND(E21="string",F21="1"),
REPT(CHAR(9),3)&amp;"{headerName: this.l('"&amp;C21&amp;"'),headerTooltip: this.l('"&amp;C21&amp;"'),field:  '"&amp;D21&amp;"', cellClass: ['text-center'], width: 120, cellRenderer: 'agCellButtonComponent',
buttonDefTwo: { text: params =&gt; (params.data?.'"&amp;D21&amp;"' == 'Y') ? 'Active' : 'Inactive',iconName: 'fa fa-circle',className: params =&gt; (params.data?.'"&amp;D21&amp;"' == 'Y') ? 'btnActive' : 'btnInActive',},}",
REPT(CHAR(9),3)&amp;"{headerName: this.l('"&amp;C21&amp;"'),headerTooltip: this.l('"&amp;C21&amp;"'),field: '"&amp;D21&amp;"',flex: 1},"))</f>
        <v xml:space="preserve">			{headerName: this.l('Is Punch'),headerTooltip: this.l('Is Punch'),field:  'isPunch', cellClass: ['text-center'], width: 120, cellRenderer: 'agCellButtonComponent',
buttonDefTwo: { text: params =&gt; (params.data?.'isPunch' == 'Y') ? 'Active' : 'Inactive',iconName: 'fa fa-circle',className: params =&gt; (params.data?.'isPunch' == 'Y') ? 'btnActive' : 'btnInActive',},}</v>
      </c>
      <c r="I21" s="38" t="str">
        <f t="shared" ref="I21:I23" si="17">IF(E21="DateTime",
REPT(CHAR(9),8)&amp;"&lt;div class='input-search'&gt;
"&amp;REPT(CHAR(9),9)&amp;"&lt;input type='text' [placeholder]=""l('"&amp;C21&amp;"')"" [(ngModel)]='"&amp;D21&amp;"' 
"&amp;REPT(CHAR(9),9)&amp;"name='"&amp;D21&amp;"' (keydown)='searchDatas()' class='form-control' 
"&amp;REPT(CHAR(9),9)&amp;"bsDatepicker #d='bsDatepicker' placement='bottom left'&gt;
"&amp;REPT(CHAR(9),9)&amp;"&lt;i class='fa fa-calendar-alt' (click)='d.toggle()'&gt;&lt;/i&gt;
"&amp;REPT(CHAR(9),8)&amp;"&lt;/div&gt;",
IF(E21="string",
REPT(CHAR(9),8)&amp;"&lt;div class='input-search'&gt;
"&amp;REPT(CHAR(9),9)&amp;"&lt;input [(ngModel)]='"&amp;D21&amp;"' name='"&amp;D21&amp;"'
"&amp;REPT(CHAR(9),9)&amp;"class='form-control' [placeholder]=""l('"&amp;C21&amp;"')""
"&amp;REPT(CHAR(9),9)&amp;"type='text' (keyup.enter)='searchDatas()'&gt;
"&amp;REPT(CHAR(9),8)&amp;"&lt;/div&gt;",""))</f>
        <v xml:space="preserve">								&lt;div class='input-search'&gt;
									&lt;input [(ngModel)]='isPunch' name='isPunch'
									class='form-control' [placeholder]="l('Is Punch')"
									type='text' (keyup.enter)='searchDatas()'&gt;
								&lt;/div&gt;</v>
      </c>
      <c r="J21" s="31"/>
      <c r="K21" s="38" t="str">
        <f t="shared" ref="K21:K23" si="18">IF(OR(E21="DateTime",E21="TimeSpan"),
REPT(CHAR(9),5)&amp;"&lt;div class='col-md-12 form-group row'&gt;
"&amp;REPT(CHAR(9),6)&amp;"&lt;label class='col-md-2 form-control title'&gt;"&amp;C21&amp;"&lt;/label&gt;
"&amp;REPT(CHAR(9),6)&amp;"&lt;input type='text' class='col-md-10 form-control input-text' name='"&amp;D21&amp;"' 
"&amp;REPT(CHAR(9),6)&amp;"#datepicker='bsDatepicker' [(ngModel)]='rowdata."&amp;D21&amp;"'  bsDatepicker &gt;
"&amp;REPT(CHAR(9),5)&amp;"&lt;/div&gt;",
IF(AND(E21="string",F21="1"),
REPT(CHAR(9),5)&amp;"&lt;div class='col-md-12 form-group row'&gt;
"&amp;REPT(CHAR(9),6)&amp;"&lt;label class='col-md-2 form-control title'&gt;"&amp;C21&amp;"&lt;/label&gt;
"&amp;REPT(CHAR(9),6)&amp;"&lt;new-checkbox [(ngModel)]='_"&amp;D21&amp;"' name='"&amp;D21&amp;"' className='col-md-10' &gt; &lt;/new-checkbox&gt;
"&amp;REPT(CHAR(9),5)&amp;"&lt;/div&gt;",
IF(E21="string",
REPT(CHAR(9),5)&amp;"&lt;div class='col-md-12 form-group row'&gt;
"&amp;REPT(CHAR(9),6)&amp;"&lt;label class='col-md-2 form-control title'&gt;"&amp;C21&amp;"&lt;/label&gt;
"&amp;REPT(CHAR(9),6)&amp;"&lt;input type='text' class='col-md-10 form-control input-text' name='"&amp;B21&amp;"' [(ngModel)]='rowdata."&amp;D21&amp;"'&gt;
"&amp;REPT(CHAR(9),5)&amp;"&lt;/div&gt;",
IF(E21="int",
REPT(CHAR(9),5)&amp;"&lt;div class='col-md-12 form-group row'&gt;
"&amp;REPT(CHAR(9),6)&amp;"&lt;label class='col-md-2 form-control title'&gt;"&amp;C21&amp;"&lt;/label&gt;
"&amp;REPT(CHAR(9),6)&amp;"&lt;input type='number' class='col-md-10 form-control input-text' name='"&amp;B21&amp;"' [(ngModel)]='rowdata."&amp;D21&amp;"'&gt;
"&amp;REPT(CHAR(9),5)&amp;"&lt;/div&gt;",""))))</f>
        <v xml:space="preserve">					&lt;div class='col-md-12 form-group row'&gt;
						&lt;label class='col-md-2 form-control title'&gt;Is Punch&lt;/label&gt;
						&lt;new-checkbox [(ngModel)]='_isPunch' name='isPunch' className='col-md-10' &gt; &lt;/new-checkbox&gt;
					&lt;/div&gt;</v>
      </c>
      <c r="L21" s="60" t="str">
        <f t="shared" ref="L21:L23" si="19">IF(E21="DateTime",
REPT(CHAR(9),2)&amp;"const dateValue =  this.rowdata."&amp;D21&amp;" ? new Date(this.rowdata."&amp;D21&amp;"?.toString()) : new Date();
"&amp;REPT(CHAR(9),2)&amp;"this.datepicker?.bsValueChange.emit(dateValue);","")</f>
        <v/>
      </c>
      <c r="M21" s="31"/>
      <c r="N21" s="31"/>
      <c r="O21" s="31"/>
      <c r="P21" s="31"/>
      <c r="Q21" s="31"/>
      <c r="R21" s="31"/>
      <c r="S21" s="31" t="str">
        <f t="shared" ref="S21:S23" si="20">REPT(CHAR(9),1)&amp;D21&amp;G21</f>
        <v xml:space="preserve">	isPunch : string = '' ; </v>
      </c>
      <c r="T21" s="31" t="str">
        <f t="shared" ref="T21:T23" si="21">REPT(CHAR(9),3)&amp;"this."&amp;D21&amp;","</f>
        <v xml:space="preserve">			this.isPunch,</v>
      </c>
      <c r="U21" s="31" t="str">
        <f t="shared" ref="U21:U23" si="22">IF(E21="int",REPT(CHAR(9),2)&amp;"this."&amp;D21&amp;" = 0,",REPT(CHAR(9),2)&amp;"this."&amp;D21&amp;" = '',")</f>
        <v xml:space="preserve">		this.isPunch = '',</v>
      </c>
      <c r="V21" s="31" t="str">
        <f t="shared" ref="V21:V23" si="23">IF(AND(E21="string",F21="1"),D21,"")</f>
        <v>isPunch</v>
      </c>
    </row>
    <row r="22" spans="1:22" ht="15" customHeight="1" x14ac:dyDescent="0.25">
      <c r="A22" s="31" t="s">
        <v>367</v>
      </c>
      <c r="B22" s="31" t="str">
        <f t="shared" ref="B22" si="24">SUBSTITUTE(PROPER(A22),"_","")</f>
        <v>IsBumper</v>
      </c>
      <c r="C22" s="31" t="str">
        <f t="shared" ref="C22" si="25">SUBSTITUTE(PROPER(A22),"_"," ")</f>
        <v>Is Bumper</v>
      </c>
      <c r="D22" s="31" t="str">
        <f t="shared" ref="D22" si="26">LOWER(LEFT(B22,1))&amp;RIGHT(B22,LEN(B22) - 1)</f>
        <v>isBumper</v>
      </c>
      <c r="E22" s="31" t="str">
        <f>A.Backend!H16</f>
        <v>string</v>
      </c>
      <c r="F22" s="31" t="str">
        <f>A.Backend!G16</f>
        <v>1</v>
      </c>
      <c r="G22" s="31" t="str">
        <f t="shared" ref="G22" si="27">IF(E22="string"," : string = '' ; ",IF(OR(E22="DateTime",E22="TimeSpan")," : any ;",IF(E22="int"," : number = 0 ;","")))</f>
        <v xml:space="preserve"> : string = '' ; </v>
      </c>
      <c r="H22" s="38" t="str">
        <f t="shared" ref="H22" si="28">IF(E22="DateTime",
REPT(CHAR(9),3)&amp;"{headerName: this.l('"&amp;C22&amp;"'),headerTooltip: this.l('"&amp;C22&amp;"'),field: '"&amp;D22&amp;"',valueGetter: (params) =&gt; this.pipe.transform(params.data?."&amp;D22&amp;", 'dd/MM/yyyy'),flex: 1},",
IF(AND(E22="string",F22="1"),
REPT(CHAR(9),3)&amp;"{headerName: this.l('"&amp;C22&amp;"'),headerTooltip: this.l('"&amp;C22&amp;"'),field:  '"&amp;D22&amp;"', cellClass: ['text-center'], width: 120, cellRenderer: 'agCellButtonComponent',
buttonDefTwo: { text: params =&gt; (params.data?.'"&amp;D22&amp;"' == 'Y') ? 'Active' : 'Inactive',iconName: 'fa fa-circle',className: params =&gt; (params.data?.'"&amp;D22&amp;"' == 'Y') ? 'btnActive' : 'btnInActive',},}",
REPT(CHAR(9),3)&amp;"{headerName: this.l('"&amp;C22&amp;"'),headerTooltip: this.l('"&amp;C22&amp;"'),field: '"&amp;D22&amp;"',flex: 1},"))</f>
        <v xml:space="preserve">			{headerName: this.l('Is Bumper'),headerTooltip: this.l('Is Bumper'),field:  'isBumper', cellClass: ['text-center'], width: 120, cellRenderer: 'agCellButtonComponent',
buttonDefTwo: { text: params =&gt; (params.data?.'isBumper' == 'Y') ? 'Active' : 'Inactive',iconName: 'fa fa-circle',className: params =&gt; (params.data?.'isBumper' == 'Y') ? 'btnActive' : 'btnInActive',},}</v>
      </c>
      <c r="I22" s="38" t="str">
        <f t="shared" ref="I22" si="29">IF(E22="DateTime",
REPT(CHAR(9),8)&amp;"&lt;div class='input-search'&gt;
"&amp;REPT(CHAR(9),9)&amp;"&lt;input type='text' [placeholder]=""l('"&amp;C22&amp;"')"" [(ngModel)]='"&amp;D22&amp;"' 
"&amp;REPT(CHAR(9),9)&amp;"name='"&amp;D22&amp;"' (keydown)='searchDatas()' class='form-control' 
"&amp;REPT(CHAR(9),9)&amp;"bsDatepicker #d='bsDatepicker' placement='bottom left'&gt;
"&amp;REPT(CHAR(9),9)&amp;"&lt;i class='fa fa-calendar-alt' (click)='d.toggle()'&gt;&lt;/i&gt;
"&amp;REPT(CHAR(9),8)&amp;"&lt;/div&gt;",
IF(E22="string",
REPT(CHAR(9),8)&amp;"&lt;div class='input-search'&gt;
"&amp;REPT(CHAR(9),9)&amp;"&lt;input [(ngModel)]='"&amp;D22&amp;"' name='"&amp;D22&amp;"'
"&amp;REPT(CHAR(9),9)&amp;"class='form-control' [placeholder]=""l('"&amp;C22&amp;"')""
"&amp;REPT(CHAR(9),9)&amp;"type='text' (keyup.enter)='searchDatas()'&gt;
"&amp;REPT(CHAR(9),8)&amp;"&lt;/div&gt;",""))</f>
        <v xml:space="preserve">								&lt;div class='input-search'&gt;
									&lt;input [(ngModel)]='isBumper' name='isBumper'
									class='form-control' [placeholder]="l('Is Bumper')"
									type='text' (keyup.enter)='searchDatas()'&gt;
								&lt;/div&gt;</v>
      </c>
      <c r="J22" s="31"/>
      <c r="K22" s="38" t="str">
        <f t="shared" ref="K22" si="30">IF(OR(E22="DateTime",E22="TimeSpan"),
REPT(CHAR(9),5)&amp;"&lt;div class='col-md-12 form-group row'&gt;
"&amp;REPT(CHAR(9),6)&amp;"&lt;label class='col-md-2 form-control title'&gt;"&amp;C22&amp;"&lt;/label&gt;
"&amp;REPT(CHAR(9),6)&amp;"&lt;input type='text' class='col-md-10 form-control input-text' name='"&amp;D22&amp;"' 
"&amp;REPT(CHAR(9),6)&amp;"#datepicker='bsDatepicker' [(ngModel)]='rowdata."&amp;D22&amp;"'  bsDatepicker &gt;
"&amp;REPT(CHAR(9),5)&amp;"&lt;/div&gt;",
IF(AND(E22="string",F22="1"),
REPT(CHAR(9),5)&amp;"&lt;div class='col-md-12 form-group row'&gt;
"&amp;REPT(CHAR(9),6)&amp;"&lt;label class='col-md-2 form-control title'&gt;"&amp;C22&amp;"&lt;/label&gt;
"&amp;REPT(CHAR(9),6)&amp;"&lt;new-checkbox [(ngModel)]='_"&amp;D22&amp;"' name='"&amp;D22&amp;"' className='col-md-10' &gt; &lt;/new-checkbox&gt;
"&amp;REPT(CHAR(9),5)&amp;"&lt;/div&gt;",
IF(E22="string",
REPT(CHAR(9),5)&amp;"&lt;div class='col-md-12 form-group row'&gt;
"&amp;REPT(CHAR(9),6)&amp;"&lt;label class='col-md-2 form-control title'&gt;"&amp;C22&amp;"&lt;/label&gt;
"&amp;REPT(CHAR(9),6)&amp;"&lt;input type='text' class='col-md-10 form-control input-text' name='"&amp;B22&amp;"' [(ngModel)]='rowdata."&amp;D22&amp;"'&gt;
"&amp;REPT(CHAR(9),5)&amp;"&lt;/div&gt;",
IF(E22="int",
REPT(CHAR(9),5)&amp;"&lt;div class='col-md-12 form-group row'&gt;
"&amp;REPT(CHAR(9),6)&amp;"&lt;label class='col-md-2 form-control title'&gt;"&amp;C22&amp;"&lt;/label&gt;
"&amp;REPT(CHAR(9),6)&amp;"&lt;input type='number' class='col-md-10 form-control input-text' name='"&amp;B22&amp;"' [(ngModel)]='rowdata."&amp;D22&amp;"'&gt;
"&amp;REPT(CHAR(9),5)&amp;"&lt;/div&gt;",""))))</f>
        <v xml:space="preserve">					&lt;div class='col-md-12 form-group row'&gt;
						&lt;label class='col-md-2 form-control title'&gt;Is Bumper&lt;/label&gt;
						&lt;new-checkbox [(ngModel)]='_isBumper' name='isBumper' className='col-md-10' &gt; &lt;/new-checkbox&gt;
					&lt;/div&gt;</v>
      </c>
      <c r="L22" s="60" t="str">
        <f t="shared" ref="L22" si="31">IF(E22="DateTime",
REPT(CHAR(9),2)&amp;"const dateValue =  this.rowdata."&amp;D22&amp;" ? new Date(this.rowdata."&amp;D22&amp;"?.toString()) : new Date();
"&amp;REPT(CHAR(9),2)&amp;"this.datepicker?.bsValueChange.emit(dateValue);","")</f>
        <v/>
      </c>
      <c r="M22" s="31"/>
      <c r="N22" s="31"/>
      <c r="O22" s="31"/>
      <c r="P22" s="31"/>
      <c r="Q22" s="31"/>
      <c r="R22" s="31"/>
      <c r="S22" s="31" t="str">
        <f t="shared" ref="S22" si="32">REPT(CHAR(9),1)&amp;D22&amp;G22</f>
        <v xml:space="preserve">	isBumper : string = '' ; </v>
      </c>
      <c r="T22" s="31" t="str">
        <f t="shared" ref="T22" si="33">REPT(CHAR(9),3)&amp;"this."&amp;D22&amp;","</f>
        <v xml:space="preserve">			this.isBumper,</v>
      </c>
      <c r="U22" s="31" t="str">
        <f t="shared" ref="U22" si="34">IF(E22="int",REPT(CHAR(9),2)&amp;"this."&amp;D22&amp;" = 0,",REPT(CHAR(9),2)&amp;"this."&amp;D22&amp;" = '',")</f>
        <v xml:space="preserve">		this.isBumper = '',</v>
      </c>
      <c r="V22" s="31" t="str">
        <f t="shared" ref="V22" si="35">IF(AND(E22="string",F22="1"),D22,"")</f>
        <v>isBumper</v>
      </c>
    </row>
    <row r="23" spans="1:22" ht="15" customHeight="1" x14ac:dyDescent="0.25">
      <c r="A23" s="31" t="s">
        <v>335</v>
      </c>
      <c r="B23" s="31" t="str">
        <f t="shared" si="12"/>
        <v>LotNo</v>
      </c>
      <c r="C23" s="31" t="str">
        <f t="shared" si="13"/>
        <v>Lot No</v>
      </c>
      <c r="D23" s="31" t="str">
        <f t="shared" si="14"/>
        <v>lotNo</v>
      </c>
      <c r="E23" s="31" t="str">
        <f>A.Backend!H17</f>
        <v>string</v>
      </c>
      <c r="F23" s="31" t="str">
        <f>A.Backend!G17</f>
        <v>50</v>
      </c>
      <c r="G23" s="31" t="str">
        <f t="shared" si="15"/>
        <v xml:space="preserve"> : string = '' ; </v>
      </c>
      <c r="H23" s="38" t="str">
        <f t="shared" si="16"/>
        <v xml:space="preserve">			{headerName: this.l('Lot No'),headerTooltip: this.l('Lot No'),field: 'lotNo',flex: 1},</v>
      </c>
      <c r="I23" s="38" t="str">
        <f t="shared" si="17"/>
        <v xml:space="preserve">								&lt;div class='input-search'&gt;
									&lt;input [(ngModel)]='lotNo' name='lotNo'
									class='form-control' [placeholder]="l('Lot No')"
									type='text' (keyup.enter)='searchDatas()'&gt;
								&lt;/div&gt;</v>
      </c>
      <c r="J23" s="31"/>
      <c r="K23" s="38" t="str">
        <f t="shared" si="18"/>
        <v xml:space="preserve">					&lt;div class='col-md-12 form-group row'&gt;
						&lt;label class='col-md-2 form-control title'&gt;Lot No&lt;/label&gt;
						&lt;input type='text' class='col-md-10 form-control input-text' name='LotNo' [(ngModel)]='rowdata.lotNo'&gt;
					&lt;/div&gt;</v>
      </c>
      <c r="L23" s="60" t="str">
        <f t="shared" si="19"/>
        <v/>
      </c>
      <c r="M23" s="31"/>
      <c r="N23" s="31"/>
      <c r="O23" s="31"/>
      <c r="P23" s="31"/>
      <c r="Q23" s="31"/>
      <c r="R23" s="31"/>
      <c r="S23" s="31" t="str">
        <f t="shared" si="20"/>
        <v xml:space="preserve">	lotNo : string = '' ; </v>
      </c>
      <c r="T23" s="31" t="str">
        <f t="shared" si="21"/>
        <v xml:space="preserve">			this.lotNo,</v>
      </c>
      <c r="U23" s="31" t="str">
        <f t="shared" si="22"/>
        <v xml:space="preserve">		this.lotNo = '',</v>
      </c>
      <c r="V23" s="31" t="str">
        <f t="shared" si="23"/>
        <v/>
      </c>
    </row>
    <row r="24" spans="1:22" ht="15" customHeight="1" x14ac:dyDescent="0.25">
      <c r="A24" s="31" t="s">
        <v>336</v>
      </c>
      <c r="B24" s="31" t="str">
        <f>SUBSTITUTE(PROPER(A24),"_","")</f>
        <v>NoInLot</v>
      </c>
      <c r="C24" s="31" t="str">
        <f>SUBSTITUTE(PROPER(A24),"_"," ")</f>
        <v>No In Lot</v>
      </c>
      <c r="D24" s="31" t="str">
        <f>LOWER(LEFT(B24,1))&amp;RIGHT(B24,LEN(B24) - 1)</f>
        <v>noInLot</v>
      </c>
      <c r="E24" s="31" t="str">
        <f>A.Backend!H18</f>
        <v>int</v>
      </c>
      <c r="F24" s="31" t="str">
        <f>A.Backend!G18</f>
        <v/>
      </c>
      <c r="G24" s="31" t="str">
        <f>IF(E24="string"," : string = '' ; ",IF(OR(E24="DateTime",E24="TimeSpan")," : any ;",IF(E24="int"," : number = 0 ;","")))</f>
        <v xml:space="preserve"> : number = 0 ;</v>
      </c>
      <c r="H24" s="38" t="str">
        <f>IF(E24="DateTime",
REPT(CHAR(9),3)&amp;"{headerName: this.l('"&amp;C24&amp;"'),headerTooltip: this.l('"&amp;C24&amp;"'),field: '"&amp;D24&amp;"',valueGetter: (params) =&gt; this.pipe.transform(params.data?."&amp;D24&amp;", 'dd/MM/yyyy'),flex: 1},",
IF(AND(E24="string",F24="1"),
REPT(CHAR(9),3)&amp;"{headerName: this.l('"&amp;C24&amp;"'),headerTooltip: this.l('"&amp;C24&amp;"'),field:  '"&amp;D24&amp;"', cellClass: ['text-center'], width: 120, cellRenderer: 'agCellButtonComponent',
buttonDefTwo: { text: params =&gt; (params.data?.'"&amp;D24&amp;"' == 'Y') ? 'Active' : 'Inactive',iconName: 'fa fa-circle',className: params =&gt; (params.data?.'"&amp;D24&amp;"' == 'Y') ? 'btnActive' : 'btnInActive',},}",
REPT(CHAR(9),3)&amp;"{headerName: this.l('"&amp;C24&amp;"'),headerTooltip: this.l('"&amp;C24&amp;"'),field: '"&amp;D24&amp;"',flex: 1},"))</f>
        <v xml:space="preserve">			{headerName: this.l('No In Lot'),headerTooltip: this.l('No In Lot'),field: 'noInLot',flex: 1},</v>
      </c>
      <c r="I24" s="38" t="str">
        <f>IF(E24="DateTime",
REPT(CHAR(9),8)&amp;"&lt;div class='input-search'&gt;
"&amp;REPT(CHAR(9),9)&amp;"&lt;input type='text' [placeholder]=""l('"&amp;C24&amp;"')"" [(ngModel)]='"&amp;D24&amp;"' 
"&amp;REPT(CHAR(9),9)&amp;"name='"&amp;D24&amp;"' (keydown)='searchDatas()' class='form-control' 
"&amp;REPT(CHAR(9),9)&amp;"bsDatepicker #d='bsDatepicker' placement='bottom left'&gt;
"&amp;REPT(CHAR(9),9)&amp;"&lt;i class='fa fa-calendar-alt' (click)='d.toggle()'&gt;&lt;/i&gt;
"&amp;REPT(CHAR(9),8)&amp;"&lt;/div&gt;",
IF(E24="string",
REPT(CHAR(9),8)&amp;"&lt;div class='input-search'&gt;
"&amp;REPT(CHAR(9),9)&amp;"&lt;input [(ngModel)]='"&amp;D24&amp;"' name='"&amp;D24&amp;"'
"&amp;REPT(CHAR(9),9)&amp;"class='form-control' [placeholder]=""l('"&amp;C24&amp;"')""
"&amp;REPT(CHAR(9),9)&amp;"type='text' (keyup.enter)='searchDatas()'&gt;
"&amp;REPT(CHAR(9),8)&amp;"&lt;/div&gt;",""))</f>
        <v/>
      </c>
      <c r="J24" s="31"/>
      <c r="K24" s="38" t="str">
        <f>IF(OR(E24="DateTime",E24="TimeSpan"),
REPT(CHAR(9),5)&amp;"&lt;div class='col-md-12 form-group row'&gt;
"&amp;REPT(CHAR(9),6)&amp;"&lt;label class='col-md-2 form-control title'&gt;"&amp;C24&amp;"&lt;/label&gt;
"&amp;REPT(CHAR(9),6)&amp;"&lt;input type='text' class='col-md-10 form-control input-text' name='"&amp;D24&amp;"' 
"&amp;REPT(CHAR(9),6)&amp;"#datepicker='bsDatepicker' [(ngModel)]='rowdata."&amp;D24&amp;"'  bsDatepicker &gt;
"&amp;REPT(CHAR(9),5)&amp;"&lt;/div&gt;",
IF(AND(E24="string",F24="1"),
REPT(CHAR(9),5)&amp;"&lt;div class='col-md-12 form-group row'&gt;
"&amp;REPT(CHAR(9),6)&amp;"&lt;label class='col-md-2 form-control title'&gt;"&amp;C24&amp;"&lt;/label&gt;
"&amp;REPT(CHAR(9),6)&amp;"&lt;new-checkbox [(ngModel)]='_"&amp;D24&amp;"' name='"&amp;D24&amp;"' className='col-md-10' &gt; &lt;/new-checkbox&gt;
"&amp;REPT(CHAR(9),5)&amp;"&lt;/div&gt;",
IF(E24="string",
REPT(CHAR(9),5)&amp;"&lt;div class='col-md-12 form-group row'&gt;
"&amp;REPT(CHAR(9),6)&amp;"&lt;label class='col-md-2 form-control title'&gt;"&amp;C24&amp;"&lt;/label&gt;
"&amp;REPT(CHAR(9),6)&amp;"&lt;input type='text' class='col-md-10 form-control input-text' name='"&amp;B24&amp;"' [(ngModel)]='rowdata."&amp;D24&amp;"'&gt;
"&amp;REPT(CHAR(9),5)&amp;"&lt;/div&gt;",
IF(E24="int",
REPT(CHAR(9),5)&amp;"&lt;div class='col-md-12 form-group row'&gt;
"&amp;REPT(CHAR(9),6)&amp;"&lt;label class='col-md-2 form-control title'&gt;"&amp;C24&amp;"&lt;/label&gt;
"&amp;REPT(CHAR(9),6)&amp;"&lt;input type='number' class='col-md-10 form-control input-text' name='"&amp;B24&amp;"' [(ngModel)]='rowdata."&amp;D24&amp;"'&gt;
"&amp;REPT(CHAR(9),5)&amp;"&lt;/div&gt;",""))))</f>
        <v xml:space="preserve">					&lt;div class='col-md-12 form-group row'&gt;
						&lt;label class='col-md-2 form-control title'&gt;No In Lot&lt;/label&gt;
						&lt;input type='number' class='col-md-10 form-control input-text' name='NoInLot' [(ngModel)]='rowdata.noInLot'&gt;
					&lt;/div&gt;</v>
      </c>
      <c r="L24" s="60" t="str">
        <f>IF(E24="DateTime",
REPT(CHAR(9),2)&amp;"const dateValue =  this.rowdata."&amp;D24&amp;" ? new Date(this.rowdata."&amp;D24&amp;"?.toString()) : new Date();
"&amp;REPT(CHAR(9),2)&amp;"this.datepicker?.bsValueChange.emit(dateValue);","")</f>
        <v/>
      </c>
      <c r="M24" s="31"/>
      <c r="N24" s="31"/>
      <c r="O24" s="31"/>
      <c r="P24" s="31"/>
      <c r="Q24" s="31"/>
      <c r="R24" s="31"/>
      <c r="S24" s="31" t="str">
        <f>REPT(CHAR(9),1)&amp;D24&amp;G24</f>
        <v xml:space="preserve">	noInLot : number = 0 ;</v>
      </c>
      <c r="T24" s="31" t="str">
        <f>REPT(CHAR(9),3)&amp;"this."&amp;D24&amp;","</f>
        <v xml:space="preserve">			this.noInLot,</v>
      </c>
      <c r="U24" s="31" t="str">
        <f>IF(E24="int",REPT(CHAR(9),2)&amp;"this."&amp;D24&amp;" = 0,",REPT(CHAR(9),2)&amp;"this."&amp;D24&amp;" = '',")</f>
        <v xml:space="preserve">		this.noInLot = 0,</v>
      </c>
      <c r="V24" s="31" t="str">
        <f>IF(AND(E24="string",F24="1"),D24,"")</f>
        <v/>
      </c>
    </row>
    <row r="25" spans="1:22" ht="18" customHeight="1" x14ac:dyDescent="0.25">
      <c r="A25" s="31" t="s">
        <v>337</v>
      </c>
      <c r="B25" s="31" t="str">
        <f t="shared" ref="B25:B27" si="36">SUBSTITUTE(PROPER(A25),"_","")</f>
        <v>SequenceNo</v>
      </c>
      <c r="C25" s="31" t="str">
        <f t="shared" ref="C25:C27" si="37">SUBSTITUTE(PROPER(A25),"_"," ")</f>
        <v>Sequence No</v>
      </c>
      <c r="D25" s="31" t="str">
        <f t="shared" ref="D25:D27" si="38">LOWER(LEFT(B25,1))&amp;RIGHT(B25,LEN(B25) - 1)</f>
        <v>sequenceNo</v>
      </c>
      <c r="E25" s="31" t="str">
        <f>A.Backend!H19</f>
        <v>string</v>
      </c>
      <c r="F25" s="31" t="str">
        <f>A.Backend!G19</f>
        <v>50</v>
      </c>
      <c r="G25" s="31" t="str">
        <f t="shared" ref="G25:G27" si="39">IF(E25="string"," : string = '' ; ",IF(OR(E25="DateTime",E25="TimeSpan")," : any ;",IF(E25="int"," : number = 0 ;","")))</f>
        <v xml:space="preserve"> : string = '' ; </v>
      </c>
      <c r="H25" s="38" t="str">
        <f t="shared" ref="H25:H27" si="40">IF(E25="DateTime",
REPT(CHAR(9),3)&amp;"{headerName: this.l('"&amp;C25&amp;"'),headerTooltip: this.l('"&amp;C25&amp;"'),field: '"&amp;D25&amp;"',valueGetter: (params) =&gt; this.pipe.transform(params.data?."&amp;D25&amp;", 'dd/MM/yyyy'),flex: 1},",
IF(AND(E25="string",F25="1"),
REPT(CHAR(9),3)&amp;"{headerName: this.l('"&amp;C25&amp;"'),headerTooltip: this.l('"&amp;C25&amp;"'),field:  '"&amp;D25&amp;"', cellClass: ['text-center'], width: 120, cellRenderer: 'agCellButtonComponent',
buttonDefTwo: { text: params =&gt; (params.data?.'"&amp;D25&amp;"' == 'Y') ? 'Active' : 'Inactive',iconName: 'fa fa-circle',className: params =&gt; (params.data?.'"&amp;D25&amp;"' == 'Y') ? 'btnActive' : 'btnInActive',},}",
REPT(CHAR(9),3)&amp;"{headerName: this.l('"&amp;C25&amp;"'),headerTooltip: this.l('"&amp;C25&amp;"'),field: '"&amp;D25&amp;"',flex: 1},"))</f>
        <v xml:space="preserve">			{headerName: this.l('Sequence No'),headerTooltip: this.l('Sequence No'),field: 'sequenceNo',flex: 1},</v>
      </c>
      <c r="I25" s="38" t="str">
        <f t="shared" ref="I25:I27" si="41">IF(E25="DateTime",
REPT(CHAR(9),8)&amp;"&lt;div class='input-search'&gt;
"&amp;REPT(CHAR(9),9)&amp;"&lt;input type='text' [placeholder]=""l('"&amp;C25&amp;"')"" [(ngModel)]='"&amp;D25&amp;"' 
"&amp;REPT(CHAR(9),9)&amp;"name='"&amp;D25&amp;"' (keydown)='searchDatas()' class='form-control' 
"&amp;REPT(CHAR(9),9)&amp;"bsDatepicker #d='bsDatepicker' placement='bottom left'&gt;
"&amp;REPT(CHAR(9),9)&amp;"&lt;i class='fa fa-calendar-alt' (click)='d.toggle()'&gt;&lt;/i&gt;
"&amp;REPT(CHAR(9),8)&amp;"&lt;/div&gt;",
IF(E25="string",
REPT(CHAR(9),8)&amp;"&lt;div class='input-search'&gt;
"&amp;REPT(CHAR(9),9)&amp;"&lt;input [(ngModel)]='"&amp;D25&amp;"' name='"&amp;D25&amp;"'
"&amp;REPT(CHAR(9),9)&amp;"class='form-control' [placeholder]=""l('"&amp;C25&amp;"')""
"&amp;REPT(CHAR(9),9)&amp;"type='text' (keyup.enter)='searchDatas()'&gt;
"&amp;REPT(CHAR(9),8)&amp;"&lt;/div&gt;",""))</f>
        <v xml:space="preserve">								&lt;div class='input-search'&gt;
									&lt;input [(ngModel)]='sequenceNo' name='sequenceNo'
									class='form-control' [placeholder]="l('Sequence No')"
									type='text' (keyup.enter)='searchDatas()'&gt;
								&lt;/div&gt;</v>
      </c>
      <c r="J25" s="31"/>
      <c r="K25" s="38" t="str">
        <f t="shared" ref="K25:K27" si="42">IF(OR(E25="DateTime",E25="TimeSpan"),
REPT(CHAR(9),5)&amp;"&lt;div class='col-md-12 form-group row'&gt;
"&amp;REPT(CHAR(9),6)&amp;"&lt;label class='col-md-2 form-control title'&gt;"&amp;C25&amp;"&lt;/label&gt;
"&amp;REPT(CHAR(9),6)&amp;"&lt;input type='text' class='col-md-10 form-control input-text' name='"&amp;D25&amp;"' 
"&amp;REPT(CHAR(9),6)&amp;"#datepicker='bsDatepicker' [(ngModel)]='rowdata."&amp;D25&amp;"'  bsDatepicker &gt;
"&amp;REPT(CHAR(9),5)&amp;"&lt;/div&gt;",
IF(AND(E25="string",F25="1"),
REPT(CHAR(9),5)&amp;"&lt;div class='col-md-12 form-group row'&gt;
"&amp;REPT(CHAR(9),6)&amp;"&lt;label class='col-md-2 form-control title'&gt;"&amp;C25&amp;"&lt;/label&gt;
"&amp;REPT(CHAR(9),6)&amp;"&lt;new-checkbox [(ngModel)]='_"&amp;D25&amp;"' name='"&amp;D25&amp;"' className='col-md-10' &gt; &lt;/new-checkbox&gt;
"&amp;REPT(CHAR(9),5)&amp;"&lt;/div&gt;",
IF(E25="string",
REPT(CHAR(9),5)&amp;"&lt;div class='col-md-12 form-group row'&gt;
"&amp;REPT(CHAR(9),6)&amp;"&lt;label class='col-md-2 form-control title'&gt;"&amp;C25&amp;"&lt;/label&gt;
"&amp;REPT(CHAR(9),6)&amp;"&lt;input type='text' class='col-md-10 form-control input-text' name='"&amp;B25&amp;"' [(ngModel)]='rowdata."&amp;D25&amp;"'&gt;
"&amp;REPT(CHAR(9),5)&amp;"&lt;/div&gt;",
IF(E25="int",
REPT(CHAR(9),5)&amp;"&lt;div class='col-md-12 form-group row'&gt;
"&amp;REPT(CHAR(9),6)&amp;"&lt;label class='col-md-2 form-control title'&gt;"&amp;C25&amp;"&lt;/label&gt;
"&amp;REPT(CHAR(9),6)&amp;"&lt;input type='number' class='col-md-10 form-control input-text' name='"&amp;B25&amp;"' [(ngModel)]='rowdata."&amp;D25&amp;"'&gt;
"&amp;REPT(CHAR(9),5)&amp;"&lt;/div&gt;",""))))</f>
        <v xml:space="preserve">					&lt;div class='col-md-12 form-group row'&gt;
						&lt;label class='col-md-2 form-control title'&gt;Sequence No&lt;/label&gt;
						&lt;input type='text' class='col-md-10 form-control input-text' name='SequenceNo' [(ngModel)]='rowdata.sequenceNo'&gt;
					&lt;/div&gt;</v>
      </c>
      <c r="L25" s="60" t="str">
        <f t="shared" ref="L25:L27" si="43">IF(E25="DateTime",
REPT(CHAR(9),2)&amp;"const dateValue =  this.rowdata."&amp;D25&amp;" ? new Date(this.rowdata."&amp;D25&amp;"?.toString()) : new Date();
"&amp;REPT(CHAR(9),2)&amp;"this.datepicker?.bsValueChange.emit(dateValue);","")</f>
        <v/>
      </c>
      <c r="M25" s="31"/>
      <c r="N25" s="31"/>
      <c r="O25" s="31"/>
      <c r="P25" s="31"/>
      <c r="Q25" s="31"/>
      <c r="R25" s="31"/>
      <c r="S25" s="31" t="str">
        <f t="shared" ref="S25:S27" si="44">REPT(CHAR(9),1)&amp;D25&amp;G25</f>
        <v xml:space="preserve">	sequenceNo : string = '' ; </v>
      </c>
      <c r="T25" s="31" t="str">
        <f t="shared" ref="T25:T27" si="45">REPT(CHAR(9),3)&amp;"this."&amp;D25&amp;","</f>
        <v xml:space="preserve">			this.sequenceNo,</v>
      </c>
      <c r="U25" s="31" t="str">
        <f t="shared" ref="U25:U27" si="46">IF(E25="int",REPT(CHAR(9),2)&amp;"this."&amp;D25&amp;" = 0,",REPT(CHAR(9),2)&amp;"this."&amp;D25&amp;" = '',")</f>
        <v xml:space="preserve">		this.sequenceNo = '',</v>
      </c>
      <c r="V25" s="31" t="str">
        <f t="shared" ref="V25:V27" si="47">IF(AND(E25="string",F25="1"),D25,"")</f>
        <v/>
      </c>
    </row>
    <row r="26" spans="1:22" ht="15" customHeight="1" x14ac:dyDescent="0.25">
      <c r="A26" s="31" t="s">
        <v>338</v>
      </c>
      <c r="B26" s="31" t="str">
        <f t="shared" si="36"/>
        <v>BodyNo</v>
      </c>
      <c r="C26" s="31" t="str">
        <f t="shared" si="37"/>
        <v>Body No</v>
      </c>
      <c r="D26" s="31" t="str">
        <f t="shared" si="38"/>
        <v>bodyNo</v>
      </c>
      <c r="E26" s="31" t="str">
        <f>A.Backend!H20</f>
        <v>string</v>
      </c>
      <c r="F26" s="31" t="str">
        <f>A.Backend!G20</f>
        <v>50</v>
      </c>
      <c r="G26" s="31" t="str">
        <f t="shared" si="39"/>
        <v xml:space="preserve"> : string = '' ; </v>
      </c>
      <c r="H26" s="38" t="str">
        <f t="shared" si="40"/>
        <v xml:space="preserve">			{headerName: this.l('Body No'),headerTooltip: this.l('Body No'),field: 'bodyNo',flex: 1},</v>
      </c>
      <c r="I26" s="38" t="str">
        <f t="shared" si="41"/>
        <v xml:space="preserve">								&lt;div class='input-search'&gt;
									&lt;input [(ngModel)]='bodyNo' name='bodyNo'
									class='form-control' [placeholder]="l('Body No')"
									type='text' (keyup.enter)='searchDatas()'&gt;
								&lt;/div&gt;</v>
      </c>
      <c r="J26" s="31"/>
      <c r="K26" s="38" t="str">
        <f t="shared" si="42"/>
        <v xml:space="preserve">					&lt;div class='col-md-12 form-group row'&gt;
						&lt;label class='col-md-2 form-control title'&gt;Body No&lt;/label&gt;
						&lt;input type='text' class='col-md-10 form-control input-text' name='BodyNo' [(ngModel)]='rowdata.bodyNo'&gt;
					&lt;/div&gt;</v>
      </c>
      <c r="L26" s="60" t="str">
        <f t="shared" si="43"/>
        <v/>
      </c>
      <c r="M26" s="31"/>
      <c r="N26" s="31"/>
      <c r="O26" s="31"/>
      <c r="P26" s="31"/>
      <c r="Q26" s="31"/>
      <c r="R26" s="31"/>
      <c r="S26" s="31" t="str">
        <f t="shared" si="44"/>
        <v xml:space="preserve">	bodyNo : string = '' ; </v>
      </c>
      <c r="T26" s="31" t="str">
        <f t="shared" si="45"/>
        <v xml:space="preserve">			this.bodyNo,</v>
      </c>
      <c r="U26" s="31" t="str">
        <f t="shared" si="46"/>
        <v xml:space="preserve">		this.bodyNo = '',</v>
      </c>
      <c r="V26" s="31" t="str">
        <f t="shared" si="47"/>
        <v/>
      </c>
    </row>
    <row r="27" spans="1:22" ht="15" customHeight="1" x14ac:dyDescent="0.25">
      <c r="A27" s="31" t="s">
        <v>339</v>
      </c>
      <c r="B27" s="31" t="str">
        <f t="shared" si="36"/>
        <v>Color</v>
      </c>
      <c r="C27" s="31" t="str">
        <f t="shared" si="37"/>
        <v>Color</v>
      </c>
      <c r="D27" s="31" t="str">
        <f t="shared" si="38"/>
        <v>color</v>
      </c>
      <c r="E27" s="31" t="str">
        <f>A.Backend!H21</f>
        <v>string</v>
      </c>
      <c r="F27" s="31" t="str">
        <f>A.Backend!G21</f>
        <v>50</v>
      </c>
      <c r="G27" s="31" t="str">
        <f t="shared" si="39"/>
        <v xml:space="preserve"> : string = '' ; </v>
      </c>
      <c r="H27" s="38" t="str">
        <f t="shared" si="40"/>
        <v xml:space="preserve">			{headerName: this.l('Color'),headerTooltip: this.l('Color'),field: 'color',flex: 1},</v>
      </c>
      <c r="I27" s="38" t="str">
        <f t="shared" si="41"/>
        <v xml:space="preserve">								&lt;div class='input-search'&gt;
									&lt;input [(ngModel)]='color' name='color'
									class='form-control' [placeholder]="l('Color')"
									type='text' (keyup.enter)='searchDatas()'&gt;
								&lt;/div&gt;</v>
      </c>
      <c r="J27" s="31"/>
      <c r="K27" s="38" t="str">
        <f t="shared" si="42"/>
        <v xml:space="preserve">					&lt;div class='col-md-12 form-group row'&gt;
						&lt;label class='col-md-2 form-control title'&gt;Color&lt;/label&gt;
						&lt;input type='text' class='col-md-10 form-control input-text' name='Color' [(ngModel)]='rowdata.color'&gt;
					&lt;/div&gt;</v>
      </c>
      <c r="L27" s="60" t="str">
        <f t="shared" si="43"/>
        <v/>
      </c>
      <c r="M27" s="31"/>
      <c r="N27" s="31"/>
      <c r="O27" s="31"/>
      <c r="P27" s="31"/>
      <c r="Q27" s="31"/>
      <c r="R27" s="31"/>
      <c r="S27" s="31" t="str">
        <f t="shared" si="44"/>
        <v xml:space="preserve">	color : string = '' ; </v>
      </c>
      <c r="T27" s="31" t="str">
        <f t="shared" si="45"/>
        <v xml:space="preserve">			this.color,</v>
      </c>
      <c r="U27" s="31" t="str">
        <f t="shared" si="46"/>
        <v xml:space="preserve">		this.color = '',</v>
      </c>
      <c r="V27" s="31" t="str">
        <f t="shared" si="47"/>
        <v/>
      </c>
    </row>
    <row r="28" spans="1:22" ht="15" customHeight="1" x14ac:dyDescent="0.25">
      <c r="A28" s="31" t="s">
        <v>340</v>
      </c>
      <c r="B28" s="31" t="str">
        <f>SUBSTITUTE(PROPER(A28),"_","")</f>
        <v>SpecialColor</v>
      </c>
      <c r="C28" s="31" t="str">
        <f>SUBSTITUTE(PROPER(A28),"_"," ")</f>
        <v>Special Color</v>
      </c>
      <c r="D28" s="31" t="str">
        <f>LOWER(LEFT(B28,1))&amp;RIGHT(B28,LEN(B28) - 1)</f>
        <v>specialColor</v>
      </c>
      <c r="E28" s="31" t="str">
        <f>A.Backend!H22</f>
        <v>string</v>
      </c>
      <c r="F28" s="31" t="str">
        <f>A.Backend!G22</f>
        <v>50</v>
      </c>
      <c r="G28" s="31" t="str">
        <f>IF(E28="string"," : string = '' ; ",IF(OR(E28="DateTime",E28="TimeSpan")," : any ;",IF(E28="int"," : number = 0 ;","")))</f>
        <v xml:space="preserve"> : string = '' ; </v>
      </c>
      <c r="H28" s="38" t="str">
        <f>IF(E28="DateTime",
REPT(CHAR(9),3)&amp;"{headerName: this.l('"&amp;C28&amp;"'),headerTooltip: this.l('"&amp;C28&amp;"'),field: '"&amp;D28&amp;"',valueGetter: (params) =&gt; this.pipe.transform(params.data?."&amp;D28&amp;", 'dd/MM/yyyy'),flex: 1},",
IF(AND(E28="string",F28="1"),
REPT(CHAR(9),3)&amp;"{headerName: this.l('"&amp;C28&amp;"'),headerTooltip: this.l('"&amp;C28&amp;"'),field:  '"&amp;D28&amp;"', cellClass: ['text-center'], width: 120, cellRenderer: 'agCellButtonComponent',
buttonDefTwo: { text: params =&gt; (params.data?.'"&amp;D28&amp;"' == 'Y') ? 'Active' : 'Inactive',iconName: 'fa fa-circle',className: params =&gt; (params.data?.'"&amp;D28&amp;"' == 'Y') ? 'btnActive' : 'btnInActive',},}",
REPT(CHAR(9),3)&amp;"{headerName: this.l('"&amp;C28&amp;"'),headerTooltip: this.l('"&amp;C28&amp;"'),field: '"&amp;D28&amp;"',flex: 1},"))</f>
        <v xml:space="preserve">			{headerName: this.l('Special Color'),headerTooltip: this.l('Special Color'),field: 'specialColor',flex: 1},</v>
      </c>
      <c r="I28" s="38" t="str">
        <f>IF(E28="DateTime",
REPT(CHAR(9),8)&amp;"&lt;div class='input-search'&gt;
"&amp;REPT(CHAR(9),9)&amp;"&lt;input type='text' [placeholder]=""l('"&amp;C28&amp;"')"" [(ngModel)]='"&amp;D28&amp;"' 
"&amp;REPT(CHAR(9),9)&amp;"name='"&amp;D28&amp;"' (keydown)='searchDatas()' class='form-control' 
"&amp;REPT(CHAR(9),9)&amp;"bsDatepicker #d='bsDatepicker' placement='bottom left'&gt;
"&amp;REPT(CHAR(9),9)&amp;"&lt;i class='fa fa-calendar-alt' (click)='d.toggle()'&gt;&lt;/i&gt;
"&amp;REPT(CHAR(9),8)&amp;"&lt;/div&gt;",
IF(E28="string",
REPT(CHAR(9),8)&amp;"&lt;div class='input-search'&gt;
"&amp;REPT(CHAR(9),9)&amp;"&lt;input [(ngModel)]='"&amp;D28&amp;"' name='"&amp;D28&amp;"'
"&amp;REPT(CHAR(9),9)&amp;"class='form-control' [placeholder]=""l('"&amp;C28&amp;"')""
"&amp;REPT(CHAR(9),9)&amp;"type='text' (keyup.enter)='searchDatas()'&gt;
"&amp;REPT(CHAR(9),8)&amp;"&lt;/div&gt;",""))</f>
        <v xml:space="preserve">								&lt;div class='input-search'&gt;
									&lt;input [(ngModel)]='specialColor' name='specialColor'
									class='form-control' [placeholder]="l('Special Color')"
									type='text' (keyup.enter)='searchDatas()'&gt;
								&lt;/div&gt;</v>
      </c>
      <c r="J28" s="31"/>
      <c r="K28" s="38" t="str">
        <f>IF(OR(E28="DateTime",E28="TimeSpan"),
REPT(CHAR(9),5)&amp;"&lt;div class='col-md-12 form-group row'&gt;
"&amp;REPT(CHAR(9),6)&amp;"&lt;label class='col-md-2 form-control title'&gt;"&amp;C28&amp;"&lt;/label&gt;
"&amp;REPT(CHAR(9),6)&amp;"&lt;input type='text' class='col-md-10 form-control input-text' name='"&amp;D28&amp;"' 
"&amp;REPT(CHAR(9),6)&amp;"#datepicker='bsDatepicker' [(ngModel)]='rowdata."&amp;D28&amp;"'  bsDatepicker &gt;
"&amp;REPT(CHAR(9),5)&amp;"&lt;/div&gt;",
IF(AND(E28="string",F28="1"),
REPT(CHAR(9),5)&amp;"&lt;div class='col-md-12 form-group row'&gt;
"&amp;REPT(CHAR(9),6)&amp;"&lt;label class='col-md-2 form-control title'&gt;"&amp;C28&amp;"&lt;/label&gt;
"&amp;REPT(CHAR(9),6)&amp;"&lt;new-checkbox [(ngModel)]='_"&amp;D28&amp;"' name='"&amp;D28&amp;"' className='col-md-10' &gt; &lt;/new-checkbox&gt;
"&amp;REPT(CHAR(9),5)&amp;"&lt;/div&gt;",
IF(E28="string",
REPT(CHAR(9),5)&amp;"&lt;div class='col-md-12 form-group row'&gt;
"&amp;REPT(CHAR(9),6)&amp;"&lt;label class='col-md-2 form-control title'&gt;"&amp;C28&amp;"&lt;/label&gt;
"&amp;REPT(CHAR(9),6)&amp;"&lt;input type='text' class='col-md-10 form-control input-text' name='"&amp;B28&amp;"' [(ngModel)]='rowdata."&amp;D28&amp;"'&gt;
"&amp;REPT(CHAR(9),5)&amp;"&lt;/div&gt;",
IF(E28="int",
REPT(CHAR(9),5)&amp;"&lt;div class='col-md-12 form-group row'&gt;
"&amp;REPT(CHAR(9),6)&amp;"&lt;label class='col-md-2 form-control title'&gt;"&amp;C28&amp;"&lt;/label&gt;
"&amp;REPT(CHAR(9),6)&amp;"&lt;input type='number' class='col-md-10 form-control input-text' name='"&amp;B28&amp;"' [(ngModel)]='rowdata."&amp;D28&amp;"'&gt;
"&amp;REPT(CHAR(9),5)&amp;"&lt;/div&gt;",""))))</f>
        <v xml:space="preserve">					&lt;div class='col-md-12 form-group row'&gt;
						&lt;label class='col-md-2 form-control title'&gt;Special Color&lt;/label&gt;
						&lt;input type='text' class='col-md-10 form-control input-text' name='SpecialColor' [(ngModel)]='rowdata.specialColor'&gt;
					&lt;/div&gt;</v>
      </c>
      <c r="L28" s="60" t="str">
        <f>IF(E28="DateTime",
REPT(CHAR(9),2)&amp;"const dateValue =  this.rowdata."&amp;D28&amp;" ? new Date(this.rowdata."&amp;D28&amp;"?.toString()) : new Date();
"&amp;REPT(CHAR(9),2)&amp;"this.datepicker?.bsValueChange.emit(dateValue);","")</f>
        <v/>
      </c>
      <c r="M28" s="31"/>
      <c r="N28" s="31"/>
      <c r="O28" s="31"/>
      <c r="P28" s="31"/>
      <c r="Q28" s="31"/>
      <c r="R28" s="31"/>
      <c r="S28" s="31" t="str">
        <f>REPT(CHAR(9),1)&amp;D28&amp;G28</f>
        <v xml:space="preserve">	specialColor : string = '' ; </v>
      </c>
      <c r="T28" s="31" t="str">
        <f>REPT(CHAR(9),3)&amp;"this."&amp;D28&amp;","</f>
        <v xml:space="preserve">			this.specialColor,</v>
      </c>
      <c r="U28" s="31" t="str">
        <f>IF(E28="int",REPT(CHAR(9),2)&amp;"this."&amp;D28&amp;" = 0,",REPT(CHAR(9),2)&amp;"this."&amp;D28&amp;" = '',")</f>
        <v xml:space="preserve">		this.specialColor = '',</v>
      </c>
      <c r="V28" s="31" t="str">
        <f>IF(AND(E28="string",F28="1"),D28,"")</f>
        <v/>
      </c>
    </row>
    <row r="29" spans="1:22" ht="15" customHeight="1" x14ac:dyDescent="0.25">
      <c r="A29" s="31" t="s">
        <v>341</v>
      </c>
      <c r="B29" s="31" t="str">
        <f>SUBSTITUTE(PROPER(A29),"_","")</f>
        <v>Process</v>
      </c>
      <c r="C29" s="31" t="str">
        <f>SUBSTITUTE(PROPER(A29),"_"," ")</f>
        <v>Process</v>
      </c>
      <c r="D29" s="31" t="str">
        <f>LOWER(LEFT(B29,1))&amp;RIGHT(B29,LEN(B29) - 1)</f>
        <v>process</v>
      </c>
      <c r="E29" s="31" t="str">
        <f>A.Backend!H23</f>
        <v>string</v>
      </c>
      <c r="F29" s="31" t="str">
        <f>A.Backend!G23</f>
        <v>50</v>
      </c>
      <c r="G29" s="31" t="str">
        <f>IF(E29="string"," : string = '' ; ",IF(OR(E29="DateTime",E29="TimeSpan")," : any ;",IF(E29="int"," : number = 0 ;","")))</f>
        <v xml:space="preserve"> : string = '' ; </v>
      </c>
      <c r="H29" s="38" t="str">
        <f>IF(E29="DateTime",
REPT(CHAR(9),3)&amp;"{headerName: this.l('"&amp;C29&amp;"'),headerTooltip: this.l('"&amp;C29&amp;"'),field: '"&amp;D29&amp;"',valueGetter: (params) =&gt; this.pipe.transform(params.data?."&amp;D29&amp;", 'dd/MM/yyyy'),flex: 1},",
IF(AND(E29="string",F29="1"),
REPT(CHAR(9),3)&amp;"{headerName: this.l('"&amp;C29&amp;"'),headerTooltip: this.l('"&amp;C29&amp;"'),field:  '"&amp;D29&amp;"', cellClass: ['text-center'], width: 120, cellRenderer: 'agCellButtonComponent',
buttonDefTwo: { text: params =&gt; (params.data?.'"&amp;D29&amp;"' == 'Y') ? 'Active' : 'Inactive',iconName: 'fa fa-circle',className: params =&gt; (params.data?.'"&amp;D29&amp;"' == 'Y') ? 'btnActive' : 'btnInActive',},}",
REPT(CHAR(9),3)&amp;"{headerName: this.l('"&amp;C29&amp;"'),headerTooltip: this.l('"&amp;C29&amp;"'),field: '"&amp;D29&amp;"',flex: 1},"))</f>
        <v xml:space="preserve">			{headerName: this.l('Process'),headerTooltip: this.l('Process'),field: 'process',flex: 1},</v>
      </c>
      <c r="I29" s="38" t="str">
        <f>IF(E29="DateTime",
REPT(CHAR(9),8)&amp;"&lt;div class='input-search'&gt;
"&amp;REPT(CHAR(9),9)&amp;"&lt;input type='text' [placeholder]=""l('"&amp;C29&amp;"')"" [(ngModel)]='"&amp;D29&amp;"' 
"&amp;REPT(CHAR(9),9)&amp;"name='"&amp;D29&amp;"' (keydown)='searchDatas()' class='form-control' 
"&amp;REPT(CHAR(9),9)&amp;"bsDatepicker #d='bsDatepicker' placement='bottom left'&gt;
"&amp;REPT(CHAR(9),9)&amp;"&lt;i class='fa fa-calendar-alt' (click)='d.toggle()'&gt;&lt;/i&gt;
"&amp;REPT(CHAR(9),8)&amp;"&lt;/div&gt;",
IF(E29="string",
REPT(CHAR(9),8)&amp;"&lt;div class='input-search'&gt;
"&amp;REPT(CHAR(9),9)&amp;"&lt;input [(ngModel)]='"&amp;D29&amp;"' name='"&amp;D29&amp;"'
"&amp;REPT(CHAR(9),9)&amp;"class='form-control' [placeholder]=""l('"&amp;C29&amp;"')""
"&amp;REPT(CHAR(9),9)&amp;"type='text' (keyup.enter)='searchDatas()'&gt;
"&amp;REPT(CHAR(9),8)&amp;"&lt;/div&gt;",""))</f>
        <v xml:space="preserve">								&lt;div class='input-search'&gt;
									&lt;input [(ngModel)]='process' name='process'
									class='form-control' [placeholder]="l('Process')"
									type='text' (keyup.enter)='searchDatas()'&gt;
								&lt;/div&gt;</v>
      </c>
      <c r="J29" s="31"/>
      <c r="K29" s="38" t="str">
        <f>IF(OR(E29="DateTime",E29="TimeSpan"),
REPT(CHAR(9),5)&amp;"&lt;div class='col-md-12 form-group row'&gt;
"&amp;REPT(CHAR(9),6)&amp;"&lt;label class='col-md-2 form-control title'&gt;"&amp;C29&amp;"&lt;/label&gt;
"&amp;REPT(CHAR(9),6)&amp;"&lt;input type='text' class='col-md-10 form-control input-text' name='"&amp;D29&amp;"' 
"&amp;REPT(CHAR(9),6)&amp;"#datepicker='bsDatepicker' [(ngModel)]='rowdata."&amp;D29&amp;"'  bsDatepicker &gt;
"&amp;REPT(CHAR(9),5)&amp;"&lt;/div&gt;",
IF(AND(E29="string",F29="1"),
REPT(CHAR(9),5)&amp;"&lt;div class='col-md-12 form-group row'&gt;
"&amp;REPT(CHAR(9),6)&amp;"&lt;label class='col-md-2 form-control title'&gt;"&amp;C29&amp;"&lt;/label&gt;
"&amp;REPT(CHAR(9),6)&amp;"&lt;new-checkbox [(ngModel)]='_"&amp;D29&amp;"' name='"&amp;D29&amp;"' className='col-md-10' &gt; &lt;/new-checkbox&gt;
"&amp;REPT(CHAR(9),5)&amp;"&lt;/div&gt;",
IF(E29="string",
REPT(CHAR(9),5)&amp;"&lt;div class='col-md-12 form-group row'&gt;
"&amp;REPT(CHAR(9),6)&amp;"&lt;label class='col-md-2 form-control title'&gt;"&amp;C29&amp;"&lt;/label&gt;
"&amp;REPT(CHAR(9),6)&amp;"&lt;input type='text' class='col-md-10 form-control input-text' name='"&amp;B29&amp;"' [(ngModel)]='rowdata."&amp;D29&amp;"'&gt;
"&amp;REPT(CHAR(9),5)&amp;"&lt;/div&gt;",
IF(E29="int",
REPT(CHAR(9),5)&amp;"&lt;div class='col-md-12 form-group row'&gt;
"&amp;REPT(CHAR(9),6)&amp;"&lt;label class='col-md-2 form-control title'&gt;"&amp;C29&amp;"&lt;/label&gt;
"&amp;REPT(CHAR(9),6)&amp;"&lt;input type='number' class='col-md-10 form-control input-text' name='"&amp;B29&amp;"' [(ngModel)]='rowdata."&amp;D29&amp;"'&gt;
"&amp;REPT(CHAR(9),5)&amp;"&lt;/div&gt;",""))))</f>
        <v xml:space="preserve">					&lt;div class='col-md-12 form-group row'&gt;
						&lt;label class='col-md-2 form-control title'&gt;Process&lt;/label&gt;
						&lt;input type='text' class='col-md-10 form-control input-text' name='Process' [(ngModel)]='rowdata.process'&gt;
					&lt;/div&gt;</v>
      </c>
      <c r="L29" s="60" t="str">
        <f>IF(E29="DateTime",
REPT(CHAR(9),2)&amp;"const dateValue =  this.rowdata."&amp;D29&amp;" ? new Date(this.rowdata."&amp;D29&amp;"?.toString()) : new Date();
"&amp;REPT(CHAR(9),2)&amp;"this.datepicker?.bsValueChange.emit(dateValue);","")</f>
        <v/>
      </c>
      <c r="M29" s="31"/>
      <c r="N29" s="31"/>
      <c r="O29" s="31"/>
      <c r="P29" s="31"/>
      <c r="Q29" s="31"/>
      <c r="R29" s="31"/>
      <c r="S29" s="31" t="str">
        <f>REPT(CHAR(9),1)&amp;D29&amp;G29</f>
        <v xml:space="preserve">	process : string = '' ; </v>
      </c>
      <c r="T29" s="31" t="str">
        <f>REPT(CHAR(9),3)&amp;"this."&amp;D29&amp;","</f>
        <v xml:space="preserve">			this.process,</v>
      </c>
      <c r="U29" s="31" t="str">
        <f>IF(E29="int",REPT(CHAR(9),2)&amp;"this."&amp;D29&amp;" = 0,",REPT(CHAR(9),2)&amp;"this."&amp;D29&amp;" = '',")</f>
        <v xml:space="preserve">		this.process = '',</v>
      </c>
      <c r="V29" s="31" t="str">
        <f>IF(AND(E29="string",F29="1"),D29,"")</f>
        <v/>
      </c>
    </row>
    <row r="30" spans="1:22" ht="15" customHeight="1" x14ac:dyDescent="0.25">
      <c r="A30" s="31" t="s">
        <v>342</v>
      </c>
      <c r="B30" s="31" t="str">
        <f t="shared" ref="B30:B31" si="48">SUBSTITUTE(PROPER(A30),"_","")</f>
        <v>PkProcess</v>
      </c>
      <c r="C30" s="31" t="str">
        <f t="shared" ref="C30:C31" si="49">SUBSTITUTE(PROPER(A30),"_"," ")</f>
        <v>Pk Process</v>
      </c>
      <c r="D30" s="31" t="str">
        <f t="shared" ref="D30:D31" si="50">LOWER(LEFT(B30,1))&amp;RIGHT(B30,LEN(B30) - 1)</f>
        <v>pkProcess</v>
      </c>
      <c r="E30" s="31" t="str">
        <f>A.Backend!H24</f>
        <v>string</v>
      </c>
      <c r="F30" s="31" t="str">
        <f>A.Backend!G24</f>
        <v>50</v>
      </c>
      <c r="G30" s="31" t="str">
        <f t="shared" ref="G30:G31" si="51">IF(E30="string"," : string = '' ; ",IF(OR(E30="DateTime",E30="TimeSpan")," : any ;",IF(E30="int"," : number = 0 ;","")))</f>
        <v xml:space="preserve"> : string = '' ; </v>
      </c>
      <c r="H30" s="38" t="str">
        <f t="shared" ref="H30:H31" si="52">IF(E30="DateTime",
REPT(CHAR(9),3)&amp;"{headerName: this.l('"&amp;C30&amp;"'),headerTooltip: this.l('"&amp;C30&amp;"'),field: '"&amp;D30&amp;"',valueGetter: (params) =&gt; this.pipe.transform(params.data?."&amp;D30&amp;", 'dd/MM/yyyy'),flex: 1},",
IF(AND(E30="string",F30="1"),
REPT(CHAR(9),3)&amp;"{headerName: this.l('"&amp;C30&amp;"'),headerTooltip: this.l('"&amp;C30&amp;"'),field:  '"&amp;D30&amp;"', cellClass: ['text-center'], width: 120, cellRenderer: 'agCellButtonComponent',
buttonDefTwo: { text: params =&gt; (params.data?.'"&amp;D30&amp;"' == 'Y') ? 'Active' : 'Inactive',iconName: 'fa fa-circle',className: params =&gt; (params.data?.'"&amp;D30&amp;"' == 'Y') ? 'btnActive' : 'btnInActive',},}",
REPT(CHAR(9),3)&amp;"{headerName: this.l('"&amp;C30&amp;"'),headerTooltip: this.l('"&amp;C30&amp;"'),field: '"&amp;D30&amp;"',flex: 1},"))</f>
        <v xml:space="preserve">			{headerName: this.l('Pk Process'),headerTooltip: this.l('Pk Process'),field: 'pkProcess',flex: 1},</v>
      </c>
      <c r="I30" s="38" t="str">
        <f t="shared" ref="I30:I31" si="53">IF(E30="DateTime",
REPT(CHAR(9),8)&amp;"&lt;div class='input-search'&gt;
"&amp;REPT(CHAR(9),9)&amp;"&lt;input type='text' [placeholder]=""l('"&amp;C30&amp;"')"" [(ngModel)]='"&amp;D30&amp;"' 
"&amp;REPT(CHAR(9),9)&amp;"name='"&amp;D30&amp;"' (keydown)='searchDatas()' class='form-control' 
"&amp;REPT(CHAR(9),9)&amp;"bsDatepicker #d='bsDatepicker' placement='bottom left'&gt;
"&amp;REPT(CHAR(9),9)&amp;"&lt;i class='fa fa-calendar-alt' (click)='d.toggle()'&gt;&lt;/i&gt;
"&amp;REPT(CHAR(9),8)&amp;"&lt;/div&gt;",
IF(E30="string",
REPT(CHAR(9),8)&amp;"&lt;div class='input-search'&gt;
"&amp;REPT(CHAR(9),9)&amp;"&lt;input [(ngModel)]='"&amp;D30&amp;"' name='"&amp;D30&amp;"'
"&amp;REPT(CHAR(9),9)&amp;"class='form-control' [placeholder]=""l('"&amp;C30&amp;"')""
"&amp;REPT(CHAR(9),9)&amp;"type='text' (keyup.enter)='searchDatas()'&gt;
"&amp;REPT(CHAR(9),8)&amp;"&lt;/div&gt;",""))</f>
        <v xml:space="preserve">								&lt;div class='input-search'&gt;
									&lt;input [(ngModel)]='pkProcess' name='pkProcess'
									class='form-control' [placeholder]="l('Pk Process')"
									type='text' (keyup.enter)='searchDatas()'&gt;
								&lt;/div&gt;</v>
      </c>
      <c r="J30" s="31"/>
      <c r="K30" s="38" t="str">
        <f t="shared" ref="K30:K31" si="54">IF(OR(E30="DateTime",E30="TimeSpan"),
REPT(CHAR(9),5)&amp;"&lt;div class='col-md-12 form-group row'&gt;
"&amp;REPT(CHAR(9),6)&amp;"&lt;label class='col-md-2 form-control title'&gt;"&amp;C30&amp;"&lt;/label&gt;
"&amp;REPT(CHAR(9),6)&amp;"&lt;input type='text' class='col-md-10 form-control input-text' name='"&amp;D30&amp;"' 
"&amp;REPT(CHAR(9),6)&amp;"#datepicker='bsDatepicker' [(ngModel)]='rowdata."&amp;D30&amp;"'  bsDatepicker &gt;
"&amp;REPT(CHAR(9),5)&amp;"&lt;/div&gt;",
IF(AND(E30="string",F30="1"),
REPT(CHAR(9),5)&amp;"&lt;div class='col-md-12 form-group row'&gt;
"&amp;REPT(CHAR(9),6)&amp;"&lt;label class='col-md-2 form-control title'&gt;"&amp;C30&amp;"&lt;/label&gt;
"&amp;REPT(CHAR(9),6)&amp;"&lt;new-checkbox [(ngModel)]='_"&amp;D30&amp;"' name='"&amp;D30&amp;"' className='col-md-10' &gt; &lt;/new-checkbox&gt;
"&amp;REPT(CHAR(9),5)&amp;"&lt;/div&gt;",
IF(E30="string",
REPT(CHAR(9),5)&amp;"&lt;div class='col-md-12 form-group row'&gt;
"&amp;REPT(CHAR(9),6)&amp;"&lt;label class='col-md-2 form-control title'&gt;"&amp;C30&amp;"&lt;/label&gt;
"&amp;REPT(CHAR(9),6)&amp;"&lt;input type='text' class='col-md-10 form-control input-text' name='"&amp;B30&amp;"' [(ngModel)]='rowdata."&amp;D30&amp;"'&gt;
"&amp;REPT(CHAR(9),5)&amp;"&lt;/div&gt;",
IF(E30="int",
REPT(CHAR(9),5)&amp;"&lt;div class='col-md-12 form-group row'&gt;
"&amp;REPT(CHAR(9),6)&amp;"&lt;label class='col-md-2 form-control title'&gt;"&amp;C30&amp;"&lt;/label&gt;
"&amp;REPT(CHAR(9),6)&amp;"&lt;input type='number' class='col-md-10 form-control input-text' name='"&amp;B30&amp;"' [(ngModel)]='rowdata."&amp;D30&amp;"'&gt;
"&amp;REPT(CHAR(9),5)&amp;"&lt;/div&gt;",""))))</f>
        <v xml:space="preserve">					&lt;div class='col-md-12 form-group row'&gt;
						&lt;label class='col-md-2 form-control title'&gt;Pk Process&lt;/label&gt;
						&lt;input type='text' class='col-md-10 form-control input-text' name='PkProcess' [(ngModel)]='rowdata.pkProcess'&gt;
					&lt;/div&gt;</v>
      </c>
      <c r="L30" s="60" t="str">
        <f t="shared" ref="L30:L31" si="55">IF(E30="DateTime",
REPT(CHAR(9),2)&amp;"const dateValue =  this.rowdata."&amp;D30&amp;" ? new Date(this.rowdata."&amp;D30&amp;"?.toString()) : new Date();
"&amp;REPT(CHAR(9),2)&amp;"this.datepicker?.bsValueChange.emit(dateValue);","")</f>
        <v/>
      </c>
      <c r="M30" s="31"/>
      <c r="N30" s="31"/>
      <c r="O30" s="31"/>
      <c r="P30" s="31"/>
      <c r="Q30" s="31"/>
      <c r="R30" s="31"/>
      <c r="S30" s="31" t="str">
        <f t="shared" ref="S30:S31" si="56">REPT(CHAR(9),1)&amp;D30&amp;G30</f>
        <v xml:space="preserve">	pkProcess : string = '' ; </v>
      </c>
      <c r="T30" s="31" t="str">
        <f t="shared" ref="T30:T31" si="57">REPT(CHAR(9),3)&amp;"this."&amp;D30&amp;","</f>
        <v xml:space="preserve">			this.pkProcess,</v>
      </c>
      <c r="U30" s="31" t="str">
        <f t="shared" ref="U30:U31" si="58">IF(E30="int",REPT(CHAR(9),2)&amp;"this."&amp;D30&amp;" = 0,",REPT(CHAR(9),2)&amp;"this."&amp;D30&amp;" = '',")</f>
        <v xml:space="preserve">		this.pkProcess = '',</v>
      </c>
      <c r="V30" s="31" t="str">
        <f t="shared" ref="V30:V31" si="59">IF(AND(E30="string",F30="1"),D30,"")</f>
        <v/>
      </c>
    </row>
    <row r="31" spans="1:22" ht="15" customHeight="1" x14ac:dyDescent="0.25">
      <c r="A31" s="31" t="s">
        <v>322</v>
      </c>
      <c r="B31" s="31" t="str">
        <f t="shared" si="48"/>
        <v>ProdLine</v>
      </c>
      <c r="C31" s="31" t="str">
        <f t="shared" si="49"/>
        <v>Prod Line</v>
      </c>
      <c r="D31" s="31" t="str">
        <f t="shared" si="50"/>
        <v>prodLine</v>
      </c>
      <c r="E31" s="31" t="str">
        <f>A.Backend!H25</f>
        <v>string</v>
      </c>
      <c r="F31" s="31" t="str">
        <f>A.Backend!G25</f>
        <v>50</v>
      </c>
      <c r="G31" s="31" t="str">
        <f t="shared" si="51"/>
        <v xml:space="preserve"> : string = '' ; </v>
      </c>
      <c r="H31" s="38" t="str">
        <f t="shared" si="52"/>
        <v xml:space="preserve">			{headerName: this.l('Prod Line'),headerTooltip: this.l('Prod Line'),field: 'prodLine',flex: 1},</v>
      </c>
      <c r="I31" s="38" t="str">
        <f t="shared" si="53"/>
        <v xml:space="preserve">								&lt;div class='input-search'&gt;
									&lt;input [(ngModel)]='prodLine' name='prodLine'
									class='form-control' [placeholder]="l('Prod Line')"
									type='text' (keyup.enter)='searchDatas()'&gt;
								&lt;/div&gt;</v>
      </c>
      <c r="J31" s="31"/>
      <c r="K31" s="38" t="str">
        <f t="shared" si="54"/>
        <v xml:space="preserve">					&lt;div class='col-md-12 form-group row'&gt;
						&lt;label class='col-md-2 form-control title'&gt;Prod Line&lt;/label&gt;
						&lt;input type='text' class='col-md-10 form-control input-text' name='ProdLine' [(ngModel)]='rowdata.prodLine'&gt;
					&lt;/div&gt;</v>
      </c>
      <c r="L31" s="60" t="str">
        <f t="shared" si="55"/>
        <v/>
      </c>
      <c r="M31" s="31"/>
      <c r="N31" s="31"/>
      <c r="O31" s="31"/>
      <c r="P31" s="31"/>
      <c r="Q31" s="31"/>
      <c r="R31" s="31"/>
      <c r="S31" s="31" t="str">
        <f t="shared" si="56"/>
        <v xml:space="preserve">	prodLine : string = '' ; </v>
      </c>
      <c r="T31" s="31" t="str">
        <f t="shared" si="57"/>
        <v xml:space="preserve">			this.prodLine,</v>
      </c>
      <c r="U31" s="31" t="str">
        <f t="shared" si="58"/>
        <v xml:space="preserve">		this.prodLine = '',</v>
      </c>
      <c r="V31" s="31" t="str">
        <f t="shared" si="59"/>
        <v/>
      </c>
    </row>
    <row r="32" spans="1:22" ht="15" customHeight="1" x14ac:dyDescent="0.25">
      <c r="A32" s="31" t="s">
        <v>343</v>
      </c>
      <c r="B32" s="31" t="str">
        <f>SUBSTITUTE(PROPER(A32),"_","")</f>
        <v>WorkingDate</v>
      </c>
      <c r="C32" s="31" t="str">
        <f>SUBSTITUTE(PROPER(A32),"_"," ")</f>
        <v>Working Date</v>
      </c>
      <c r="D32" s="31" t="str">
        <f>LOWER(LEFT(B32,1))&amp;RIGHT(B32,LEN(B32) - 1)</f>
        <v>workingDate</v>
      </c>
      <c r="E32" s="31" t="str">
        <f>A.Backend!H26</f>
        <v>DateTime</v>
      </c>
      <c r="F32" s="31" t="str">
        <f>A.Backend!G26</f>
        <v/>
      </c>
      <c r="G32" s="31" t="str">
        <f>IF(E32="string"," : string = '' ; ",IF(OR(E32="DateTime",E32="TimeSpan")," : any ;",IF(E32="int"," : number = 0 ;","")))</f>
        <v xml:space="preserve"> : any ;</v>
      </c>
      <c r="H32" s="38" t="str">
        <f>IF(E32="DateTime",
REPT(CHAR(9),3)&amp;"{headerName: this.l('"&amp;C32&amp;"'),headerTooltip: this.l('"&amp;C32&amp;"'),field: '"&amp;D32&amp;"',valueGetter: (params) =&gt; this.pipe.transform(params.data?."&amp;D32&amp;", 'dd/MM/yyyy'),flex: 1},",
IF(AND(E32="string",F32="1"),
REPT(CHAR(9),3)&amp;"{headerName: this.l('"&amp;C32&amp;"'),headerTooltip: this.l('"&amp;C32&amp;"'),field:  '"&amp;D32&amp;"', cellClass: ['text-center'], width: 120, cellRenderer: 'agCellButtonComponent',
buttonDefTwo: { text: params =&gt; (params.data?.'"&amp;D32&amp;"' == 'Y') ? 'Active' : 'Inactive',iconName: 'fa fa-circle',className: params =&gt; (params.data?.'"&amp;D32&amp;"' == 'Y') ? 'btnActive' : 'btnInActive',},}",
REPT(CHAR(9),3)&amp;"{headerName: this.l('"&amp;C32&amp;"'),headerTooltip: this.l('"&amp;C32&amp;"'),field: '"&amp;D32&amp;"',flex: 1},"))</f>
        <v xml:space="preserve">			{headerName: this.l('Working Date'),headerTooltip: this.l('Working Date'),field: 'workingDate',valueGetter: (params) =&gt; this.pipe.transform(params.data?.workingDate, 'dd/MM/yyyy'),flex: 1},</v>
      </c>
      <c r="I32" s="38" t="str">
        <f>IF(E32="DateTime",
REPT(CHAR(9),8)&amp;"&lt;div class='input-search'&gt;
"&amp;REPT(CHAR(9),9)&amp;"&lt;input type='text' [placeholder]=""l('"&amp;C32&amp;"')"" [(ngModel)]='"&amp;D32&amp;"' 
"&amp;REPT(CHAR(9),9)&amp;"name='"&amp;D32&amp;"' (keydown)='searchDatas()' class='form-control' 
"&amp;REPT(CHAR(9),9)&amp;"bsDatepicker #d='bsDatepicker' placement='bottom left'&gt;
"&amp;REPT(CHAR(9),9)&amp;"&lt;i class='fa fa-calendar-alt' (click)='d.toggle()'&gt;&lt;/i&gt;
"&amp;REPT(CHAR(9),8)&amp;"&lt;/div&gt;",
IF(E32="string",
REPT(CHAR(9),8)&amp;"&lt;div class='input-search'&gt;
"&amp;REPT(CHAR(9),9)&amp;"&lt;input [(ngModel)]='"&amp;D32&amp;"' name='"&amp;D32&amp;"'
"&amp;REPT(CHAR(9),9)&amp;"class='form-control' [placeholder]=""l('"&amp;C32&amp;"')""
"&amp;REPT(CHAR(9),9)&amp;"type='text' (keyup.enter)='searchDatas()'&gt;
"&amp;REPT(CHAR(9),8)&amp;"&lt;/div&gt;",""))</f>
        <v xml:space="preserve">								&lt;div class='input-search'&gt;
									&lt;input type='text' [placeholder]="l('Working Date')" [(ngModel)]='workingDate' 
									name='workingDate' (keydown)='searchDatas()' class='form-control' 
									bsDatepicker #d='bsDatepicker' placement='bottom left'&gt;
									&lt;i class='fa fa-calendar-alt' (click)='d.toggle()'&gt;&lt;/i&gt;
								&lt;/div&gt;</v>
      </c>
      <c r="J32" s="31"/>
      <c r="K32" s="38" t="str">
        <f>IF(OR(E32="DateTime",E32="TimeSpan"),
REPT(CHAR(9),5)&amp;"&lt;div class='col-md-12 form-group row'&gt;
"&amp;REPT(CHAR(9),6)&amp;"&lt;label class='col-md-2 form-control title'&gt;"&amp;C32&amp;"&lt;/label&gt;
"&amp;REPT(CHAR(9),6)&amp;"&lt;input type='text' class='col-md-10 form-control input-text' name='"&amp;D32&amp;"' 
"&amp;REPT(CHAR(9),6)&amp;"#datepicker='bsDatepicker' [(ngModel)]='rowdata."&amp;D32&amp;"'  bsDatepicker &gt;
"&amp;REPT(CHAR(9),5)&amp;"&lt;/div&gt;",
IF(AND(E32="string",F32="1"),
REPT(CHAR(9),5)&amp;"&lt;div class='col-md-12 form-group row'&gt;
"&amp;REPT(CHAR(9),6)&amp;"&lt;label class='col-md-2 form-control title'&gt;"&amp;C32&amp;"&lt;/label&gt;
"&amp;REPT(CHAR(9),6)&amp;"&lt;new-checkbox [(ngModel)]='_"&amp;D32&amp;"' name='"&amp;D32&amp;"' className='col-md-10' &gt; &lt;/new-checkbox&gt;
"&amp;REPT(CHAR(9),5)&amp;"&lt;/div&gt;",
IF(E32="string",
REPT(CHAR(9),5)&amp;"&lt;div class='col-md-12 form-group row'&gt;
"&amp;REPT(CHAR(9),6)&amp;"&lt;label class='col-md-2 form-control title'&gt;"&amp;C32&amp;"&lt;/label&gt;
"&amp;REPT(CHAR(9),6)&amp;"&lt;input type='text' class='col-md-10 form-control input-text' name='"&amp;B32&amp;"' [(ngModel)]='rowdata."&amp;D32&amp;"'&gt;
"&amp;REPT(CHAR(9),5)&amp;"&lt;/div&gt;",
IF(E32="int",
REPT(CHAR(9),5)&amp;"&lt;div class='col-md-12 form-group row'&gt;
"&amp;REPT(CHAR(9),6)&amp;"&lt;label class='col-md-2 form-control title'&gt;"&amp;C32&amp;"&lt;/label&gt;
"&amp;REPT(CHAR(9),6)&amp;"&lt;input type='number' class='col-md-10 form-control input-text' name='"&amp;B32&amp;"' [(ngModel)]='rowdata."&amp;D32&amp;"'&gt;
"&amp;REPT(CHAR(9),5)&amp;"&lt;/div&gt;",""))))</f>
        <v xml:space="preserve">					&lt;div class='col-md-12 form-group row'&gt;
						&lt;label class='col-md-2 form-control title'&gt;Working Date&lt;/label&gt;
						&lt;input type='text' class='col-md-10 form-control input-text' name='workingDate' 
						#datepicker='bsDatepicker' [(ngModel)]='rowdata.workingDate'  bsDatepicker &gt;
					&lt;/div&gt;</v>
      </c>
      <c r="L32" s="60" t="str">
        <f>IF(E32="DateTime",
REPT(CHAR(9),2)&amp;"const dateValue =  this.rowdata."&amp;D32&amp;" ? new Date(this.rowdata."&amp;D32&amp;"?.toString()) : new Date();
"&amp;REPT(CHAR(9),2)&amp;"this.datepicker?.bsValueChange.emit(dateValue);","")</f>
        <v xml:space="preserve">		const dateValue =  this.rowdata.workingDate ? new Date(this.rowdata.workingDate?.toString()) : new Date();
		this.datepicker?.bsValueChange.emit(dateValue);</v>
      </c>
      <c r="M32" s="31"/>
      <c r="N32" s="31"/>
      <c r="O32" s="31"/>
      <c r="P32" s="31"/>
      <c r="Q32" s="31"/>
      <c r="R32" s="31"/>
      <c r="S32" s="31" t="str">
        <f>REPT(CHAR(9),1)&amp;D32&amp;G32</f>
        <v xml:space="preserve">	workingDate : any ;</v>
      </c>
      <c r="T32" s="31" t="str">
        <f>REPT(CHAR(9),3)&amp;"this."&amp;D32&amp;","</f>
        <v xml:space="preserve">			this.workingDate,</v>
      </c>
      <c r="U32" s="31" t="str">
        <f>IF(E32="int",REPT(CHAR(9),2)&amp;"this."&amp;D32&amp;" = 0,",REPT(CHAR(9),2)&amp;"this."&amp;D32&amp;" = '',")</f>
        <v xml:space="preserve">		this.workingDate = '',</v>
      </c>
      <c r="V32" s="31" t="str">
        <f>IF(AND(E32="string",F32="1"),D32,"")</f>
        <v/>
      </c>
    </row>
    <row r="33" spans="1:22" ht="18" customHeight="1" x14ac:dyDescent="0.25">
      <c r="A33" s="31" t="s">
        <v>344</v>
      </c>
      <c r="B33" s="31" t="str">
        <f t="shared" ref="B33:B35" si="60">SUBSTITUTE(PROPER(A33),"_","")</f>
        <v>Shift</v>
      </c>
      <c r="C33" s="31" t="str">
        <f t="shared" ref="C33:C35" si="61">SUBSTITUTE(PROPER(A33),"_"," ")</f>
        <v>Shift</v>
      </c>
      <c r="D33" s="31" t="str">
        <f t="shared" ref="D33:D35" si="62">LOWER(LEFT(B33,1))&amp;RIGHT(B33,LEN(B33) - 1)</f>
        <v>shift</v>
      </c>
      <c r="E33" s="31" t="str">
        <f>A.Backend!H27</f>
        <v>string</v>
      </c>
      <c r="F33" s="31" t="str">
        <f>A.Backend!G27</f>
        <v>50</v>
      </c>
      <c r="G33" s="31" t="str">
        <f t="shared" ref="G33:G35" si="63">IF(E33="string"," : string = '' ; ",IF(OR(E33="DateTime",E33="TimeSpan")," : any ;",IF(E33="int"," : number = 0 ;","")))</f>
        <v xml:space="preserve"> : string = '' ; </v>
      </c>
      <c r="H33" s="38" t="str">
        <f t="shared" ref="H33:H35" si="64">IF(E33="DateTime",
REPT(CHAR(9),3)&amp;"{headerName: this.l('"&amp;C33&amp;"'),headerTooltip: this.l('"&amp;C33&amp;"'),field: '"&amp;D33&amp;"',valueGetter: (params) =&gt; this.pipe.transform(params.data?."&amp;D33&amp;", 'dd/MM/yyyy'),flex: 1},",
IF(AND(E33="string",F33="1"),
REPT(CHAR(9),3)&amp;"{headerName: this.l('"&amp;C33&amp;"'),headerTooltip: this.l('"&amp;C33&amp;"'),field:  '"&amp;D33&amp;"', cellClass: ['text-center'], width: 120, cellRenderer: 'agCellButtonComponent',
buttonDefTwo: { text: params =&gt; (params.data?.'"&amp;D33&amp;"' == 'Y') ? 'Active' : 'Inactive',iconName: 'fa fa-circle',className: params =&gt; (params.data?.'"&amp;D33&amp;"' == 'Y') ? 'btnActive' : 'btnInActive',},}",
REPT(CHAR(9),3)&amp;"{headerName: this.l('"&amp;C33&amp;"'),headerTooltip: this.l('"&amp;C33&amp;"'),field: '"&amp;D33&amp;"',flex: 1},"))</f>
        <v xml:space="preserve">			{headerName: this.l('Shift'),headerTooltip: this.l('Shift'),field: 'shift',flex: 1},</v>
      </c>
      <c r="I33" s="38" t="str">
        <f t="shared" ref="I33:I35" si="65">IF(E33="DateTime",
REPT(CHAR(9),8)&amp;"&lt;div class='input-search'&gt;
"&amp;REPT(CHAR(9),9)&amp;"&lt;input type='text' [placeholder]=""l('"&amp;C33&amp;"')"" [(ngModel)]='"&amp;D33&amp;"' 
"&amp;REPT(CHAR(9),9)&amp;"name='"&amp;D33&amp;"' (keydown)='searchDatas()' class='form-control' 
"&amp;REPT(CHAR(9),9)&amp;"bsDatepicker #d='bsDatepicker' placement='bottom left'&gt;
"&amp;REPT(CHAR(9),9)&amp;"&lt;i class='fa fa-calendar-alt' (click)='d.toggle()'&gt;&lt;/i&gt;
"&amp;REPT(CHAR(9),8)&amp;"&lt;/div&gt;",
IF(E33="string",
REPT(CHAR(9),8)&amp;"&lt;div class='input-search'&gt;
"&amp;REPT(CHAR(9),9)&amp;"&lt;input [(ngModel)]='"&amp;D33&amp;"' name='"&amp;D33&amp;"'
"&amp;REPT(CHAR(9),9)&amp;"class='form-control' [placeholder]=""l('"&amp;C33&amp;"')""
"&amp;REPT(CHAR(9),9)&amp;"type='text' (keyup.enter)='searchDatas()'&gt;
"&amp;REPT(CHAR(9),8)&amp;"&lt;/div&gt;",""))</f>
        <v xml:space="preserve">								&lt;div class='input-search'&gt;
									&lt;input [(ngModel)]='shift' name='shift'
									class='form-control' [placeholder]="l('Shift')"
									type='text' (keyup.enter)='searchDatas()'&gt;
								&lt;/div&gt;</v>
      </c>
      <c r="J33" s="31"/>
      <c r="K33" s="38" t="str">
        <f t="shared" ref="K33:K35" si="66">IF(OR(E33="DateTime",E33="TimeSpan"),
REPT(CHAR(9),5)&amp;"&lt;div class='col-md-12 form-group row'&gt;
"&amp;REPT(CHAR(9),6)&amp;"&lt;label class='col-md-2 form-control title'&gt;"&amp;C33&amp;"&lt;/label&gt;
"&amp;REPT(CHAR(9),6)&amp;"&lt;input type='text' class='col-md-10 form-control input-text' name='"&amp;D33&amp;"' 
"&amp;REPT(CHAR(9),6)&amp;"#datepicker='bsDatepicker' [(ngModel)]='rowdata."&amp;D33&amp;"'  bsDatepicker &gt;
"&amp;REPT(CHAR(9),5)&amp;"&lt;/div&gt;",
IF(AND(E33="string",F33="1"),
REPT(CHAR(9),5)&amp;"&lt;div class='col-md-12 form-group row'&gt;
"&amp;REPT(CHAR(9),6)&amp;"&lt;label class='col-md-2 form-control title'&gt;"&amp;C33&amp;"&lt;/label&gt;
"&amp;REPT(CHAR(9),6)&amp;"&lt;new-checkbox [(ngModel)]='_"&amp;D33&amp;"' name='"&amp;D33&amp;"' className='col-md-10' &gt; &lt;/new-checkbox&gt;
"&amp;REPT(CHAR(9),5)&amp;"&lt;/div&gt;",
IF(E33="string",
REPT(CHAR(9),5)&amp;"&lt;div class='col-md-12 form-group row'&gt;
"&amp;REPT(CHAR(9),6)&amp;"&lt;label class='col-md-2 form-control title'&gt;"&amp;C33&amp;"&lt;/label&gt;
"&amp;REPT(CHAR(9),6)&amp;"&lt;input type='text' class='col-md-10 form-control input-text' name='"&amp;B33&amp;"' [(ngModel)]='rowdata."&amp;D33&amp;"'&gt;
"&amp;REPT(CHAR(9),5)&amp;"&lt;/div&gt;",
IF(E33="int",
REPT(CHAR(9),5)&amp;"&lt;div class='col-md-12 form-group row'&gt;
"&amp;REPT(CHAR(9),6)&amp;"&lt;label class='col-md-2 form-control title'&gt;"&amp;C33&amp;"&lt;/label&gt;
"&amp;REPT(CHAR(9),6)&amp;"&lt;input type='number' class='col-md-10 form-control input-text' name='"&amp;B33&amp;"' [(ngModel)]='rowdata."&amp;D33&amp;"'&gt;
"&amp;REPT(CHAR(9),5)&amp;"&lt;/div&gt;",""))))</f>
        <v xml:space="preserve">					&lt;div class='col-md-12 form-group row'&gt;
						&lt;label class='col-md-2 form-control title'&gt;Shift&lt;/label&gt;
						&lt;input type='text' class='col-md-10 form-control input-text' name='Shift' [(ngModel)]='rowdata.shift'&gt;
					&lt;/div&gt;</v>
      </c>
      <c r="L33" s="60" t="str">
        <f t="shared" ref="L33:L35" si="67">IF(E33="DateTime",
REPT(CHAR(9),2)&amp;"const dateValue =  this.rowdata."&amp;D33&amp;" ? new Date(this.rowdata."&amp;D33&amp;"?.toString()) : new Date();
"&amp;REPT(CHAR(9),2)&amp;"this.datepicker?.bsValueChange.emit(dateValue);","")</f>
        <v/>
      </c>
      <c r="M33" s="31"/>
      <c r="N33" s="31"/>
      <c r="O33" s="31"/>
      <c r="P33" s="31"/>
      <c r="Q33" s="31"/>
      <c r="R33" s="31"/>
      <c r="S33" s="31" t="str">
        <f t="shared" ref="S33:S35" si="68">REPT(CHAR(9),1)&amp;D33&amp;G33</f>
        <v xml:space="preserve">	shift : string = '' ; </v>
      </c>
      <c r="T33" s="31" t="str">
        <f t="shared" ref="T33:T35" si="69">REPT(CHAR(9),3)&amp;"this."&amp;D33&amp;","</f>
        <v xml:space="preserve">			this.shift,</v>
      </c>
      <c r="U33" s="31" t="str">
        <f t="shared" ref="U33:U35" si="70">IF(E33="int",REPT(CHAR(9),2)&amp;"this."&amp;D33&amp;" = 0,",REPT(CHAR(9),2)&amp;"this."&amp;D33&amp;" = '',")</f>
        <v xml:space="preserve">		this.shift = '',</v>
      </c>
      <c r="V33" s="31" t="str">
        <f t="shared" ref="V33:V35" si="71">IF(AND(E33="string",F33="1"),D33,"")</f>
        <v/>
      </c>
    </row>
    <row r="34" spans="1:22" ht="15" customHeight="1" x14ac:dyDescent="0.25">
      <c r="A34" s="31" t="s">
        <v>345</v>
      </c>
      <c r="B34" s="31" t="str">
        <f t="shared" si="60"/>
        <v>NoInDate</v>
      </c>
      <c r="C34" s="31" t="str">
        <f t="shared" si="61"/>
        <v>No In Date</v>
      </c>
      <c r="D34" s="31" t="str">
        <f t="shared" si="62"/>
        <v>noInDate</v>
      </c>
      <c r="E34" s="31" t="str">
        <f>A.Backend!H28</f>
        <v>int</v>
      </c>
      <c r="F34" s="31" t="str">
        <f>A.Backend!G28</f>
        <v/>
      </c>
      <c r="G34" s="31" t="str">
        <f t="shared" si="63"/>
        <v xml:space="preserve"> : number = 0 ;</v>
      </c>
      <c r="H34" s="38" t="str">
        <f t="shared" si="64"/>
        <v xml:space="preserve">			{headerName: this.l('No In Date'),headerTooltip: this.l('No In Date'),field: 'noInDate',flex: 1},</v>
      </c>
      <c r="I34" s="38" t="str">
        <f t="shared" si="65"/>
        <v/>
      </c>
      <c r="J34" s="31"/>
      <c r="K34" s="38" t="str">
        <f t="shared" si="66"/>
        <v xml:space="preserve">					&lt;div class='col-md-12 form-group row'&gt;
						&lt;label class='col-md-2 form-control title'&gt;No In Date&lt;/label&gt;
						&lt;input type='number' class='col-md-10 form-control input-text' name='NoInDate' [(ngModel)]='rowdata.noInDate'&gt;
					&lt;/div&gt;</v>
      </c>
      <c r="L34" s="60" t="str">
        <f t="shared" si="67"/>
        <v/>
      </c>
      <c r="M34" s="31"/>
      <c r="N34" s="31"/>
      <c r="O34" s="31"/>
      <c r="P34" s="31"/>
      <c r="Q34" s="31"/>
      <c r="R34" s="31"/>
      <c r="S34" s="31" t="str">
        <f t="shared" si="68"/>
        <v xml:space="preserve">	noInDate : number = 0 ;</v>
      </c>
      <c r="T34" s="31" t="str">
        <f t="shared" si="69"/>
        <v xml:space="preserve">			this.noInDate,</v>
      </c>
      <c r="U34" s="31" t="str">
        <f t="shared" si="70"/>
        <v xml:space="preserve">		this.noInDate = 0,</v>
      </c>
      <c r="V34" s="31" t="str">
        <f t="shared" si="71"/>
        <v/>
      </c>
    </row>
    <row r="35" spans="1:22" ht="15" customHeight="1" x14ac:dyDescent="0.25">
      <c r="A35" s="31" t="s">
        <v>346</v>
      </c>
      <c r="B35" s="31" t="str">
        <f t="shared" si="60"/>
        <v>NoInShift</v>
      </c>
      <c r="C35" s="31" t="str">
        <f t="shared" si="61"/>
        <v>No In Shift</v>
      </c>
      <c r="D35" s="31" t="str">
        <f t="shared" si="62"/>
        <v>noInShift</v>
      </c>
      <c r="E35" s="31" t="str">
        <f>A.Backend!H29</f>
        <v>int</v>
      </c>
      <c r="F35" s="31" t="str">
        <f>A.Backend!G29</f>
        <v/>
      </c>
      <c r="G35" s="31" t="str">
        <f t="shared" si="63"/>
        <v xml:space="preserve"> : number = 0 ;</v>
      </c>
      <c r="H35" s="38" t="str">
        <f t="shared" si="64"/>
        <v xml:space="preserve">			{headerName: this.l('No In Shift'),headerTooltip: this.l('No In Shift'),field: 'noInShift',flex: 1},</v>
      </c>
      <c r="I35" s="38" t="str">
        <f t="shared" si="65"/>
        <v/>
      </c>
      <c r="J35" s="31"/>
      <c r="K35" s="38" t="str">
        <f t="shared" si="66"/>
        <v xml:space="preserve">					&lt;div class='col-md-12 form-group row'&gt;
						&lt;label class='col-md-2 form-control title'&gt;No In Shift&lt;/label&gt;
						&lt;input type='number' class='col-md-10 form-control input-text' name='NoInShift' [(ngModel)]='rowdata.noInShift'&gt;
					&lt;/div&gt;</v>
      </c>
      <c r="L35" s="60" t="str">
        <f t="shared" si="67"/>
        <v/>
      </c>
      <c r="M35" s="31"/>
      <c r="N35" s="31"/>
      <c r="O35" s="31"/>
      <c r="P35" s="31"/>
      <c r="Q35" s="31"/>
      <c r="R35" s="31"/>
      <c r="S35" s="31" t="str">
        <f t="shared" si="68"/>
        <v xml:space="preserve">	noInShift : number = 0 ;</v>
      </c>
      <c r="T35" s="31" t="str">
        <f t="shared" si="69"/>
        <v xml:space="preserve">			this.noInShift,</v>
      </c>
      <c r="U35" s="31" t="str">
        <f t="shared" si="70"/>
        <v xml:space="preserve">		this.noInShift = 0,</v>
      </c>
      <c r="V35" s="31" t="str">
        <f t="shared" si="71"/>
        <v/>
      </c>
    </row>
    <row r="36" spans="1:22" ht="15" customHeight="1" x14ac:dyDescent="0.25">
      <c r="A36" s="31" t="s">
        <v>347</v>
      </c>
      <c r="B36" s="31" t="str">
        <f>SUBSTITUTE(PROPER(A36),"_","")</f>
        <v>TaktTimeStart</v>
      </c>
      <c r="C36" s="31" t="str">
        <f>SUBSTITUTE(PROPER(A36),"_"," ")</f>
        <v>Takt Time Start</v>
      </c>
      <c r="D36" s="31" t="str">
        <f>LOWER(LEFT(B36,1))&amp;RIGHT(B36,LEN(B36) - 1)</f>
        <v>taktTimeStart</v>
      </c>
      <c r="E36" s="31" t="str">
        <f>A.Backend!H30</f>
        <v>DateTime</v>
      </c>
      <c r="F36" s="31" t="str">
        <f>A.Backend!G30</f>
        <v/>
      </c>
      <c r="G36" s="31" t="str">
        <f>IF(E36="string"," : string = '' ; ",IF(OR(E36="DateTime",E36="TimeSpan")," : any ;",IF(E36="int"," : number = 0 ;","")))</f>
        <v xml:space="preserve"> : any ;</v>
      </c>
      <c r="H36" s="38" t="str">
        <f>IF(E36="DateTime",
REPT(CHAR(9),3)&amp;"{headerName: this.l('"&amp;C36&amp;"'),headerTooltip: this.l('"&amp;C36&amp;"'),field: '"&amp;D36&amp;"',valueGetter: (params) =&gt; this.pipe.transform(params.data?."&amp;D36&amp;", 'dd/MM/yyyy'),flex: 1},",
IF(AND(E36="string",F36="1"),
REPT(CHAR(9),3)&amp;"{headerName: this.l('"&amp;C36&amp;"'),headerTooltip: this.l('"&amp;C36&amp;"'),field:  '"&amp;D36&amp;"', cellClass: ['text-center'], width: 120, cellRenderer: 'agCellButtonComponent',
buttonDefTwo: { text: params =&gt; (params.data?.'"&amp;D36&amp;"' == 'Y') ? 'Active' : 'Inactive',iconName: 'fa fa-circle',className: params =&gt; (params.data?.'"&amp;D36&amp;"' == 'Y') ? 'btnActive' : 'btnInActive',},}",
REPT(CHAR(9),3)&amp;"{headerName: this.l('"&amp;C36&amp;"'),headerTooltip: this.l('"&amp;C36&amp;"'),field: '"&amp;D36&amp;"',flex: 1},"))</f>
        <v xml:space="preserve">			{headerName: this.l('Takt Time Start'),headerTooltip: this.l('Takt Time Start'),field: 'taktTimeStart',valueGetter: (params) =&gt; this.pipe.transform(params.data?.taktTimeStart, 'dd/MM/yyyy'),flex: 1},</v>
      </c>
      <c r="I36" s="38" t="str">
        <f>IF(E36="DateTime",
REPT(CHAR(9),8)&amp;"&lt;div class='input-search'&gt;
"&amp;REPT(CHAR(9),9)&amp;"&lt;input type='text' [placeholder]=""l('"&amp;C36&amp;"')"" [(ngModel)]='"&amp;D36&amp;"' 
"&amp;REPT(CHAR(9),9)&amp;"name='"&amp;D36&amp;"' (keydown)='searchDatas()' class='form-control' 
"&amp;REPT(CHAR(9),9)&amp;"bsDatepicker #d='bsDatepicker' placement='bottom left'&gt;
"&amp;REPT(CHAR(9),9)&amp;"&lt;i class='fa fa-calendar-alt' (click)='d.toggle()'&gt;&lt;/i&gt;
"&amp;REPT(CHAR(9),8)&amp;"&lt;/div&gt;",
IF(E36="string",
REPT(CHAR(9),8)&amp;"&lt;div class='input-search'&gt;
"&amp;REPT(CHAR(9),9)&amp;"&lt;input [(ngModel)]='"&amp;D36&amp;"' name='"&amp;D36&amp;"'
"&amp;REPT(CHAR(9),9)&amp;"class='form-control' [placeholder]=""l('"&amp;C36&amp;"')""
"&amp;REPT(CHAR(9),9)&amp;"type='text' (keyup.enter)='searchDatas()'&gt;
"&amp;REPT(CHAR(9),8)&amp;"&lt;/div&gt;",""))</f>
        <v xml:space="preserve">								&lt;div class='input-search'&gt;
									&lt;input type='text' [placeholder]="l('Takt Time Start')" [(ngModel)]='taktTimeStart' 
									name='taktTimeStart' (keydown)='searchDatas()' class='form-control' 
									bsDatepicker #d='bsDatepicker' placement='bottom left'&gt;
									&lt;i class='fa fa-calendar-alt' (click)='d.toggle()'&gt;&lt;/i&gt;
								&lt;/div&gt;</v>
      </c>
      <c r="J36" s="31"/>
      <c r="K36" s="38" t="str">
        <f>IF(OR(E36="DateTime",E36="TimeSpan"),
REPT(CHAR(9),5)&amp;"&lt;div class='col-md-12 form-group row'&gt;
"&amp;REPT(CHAR(9),6)&amp;"&lt;label class='col-md-2 form-control title'&gt;"&amp;C36&amp;"&lt;/label&gt;
"&amp;REPT(CHAR(9),6)&amp;"&lt;input type='text' class='col-md-10 form-control input-text' name='"&amp;D36&amp;"' 
"&amp;REPT(CHAR(9),6)&amp;"#datepicker='bsDatepicker' [(ngModel)]='rowdata."&amp;D36&amp;"'  bsDatepicker &gt;
"&amp;REPT(CHAR(9),5)&amp;"&lt;/div&gt;",
IF(AND(E36="string",F36="1"),
REPT(CHAR(9),5)&amp;"&lt;div class='col-md-12 form-group row'&gt;
"&amp;REPT(CHAR(9),6)&amp;"&lt;label class='col-md-2 form-control title'&gt;"&amp;C36&amp;"&lt;/label&gt;
"&amp;REPT(CHAR(9),6)&amp;"&lt;new-checkbox [(ngModel)]='_"&amp;D36&amp;"' name='"&amp;D36&amp;"' className='col-md-10' &gt; &lt;/new-checkbox&gt;
"&amp;REPT(CHAR(9),5)&amp;"&lt;/div&gt;",
IF(E36="string",
REPT(CHAR(9),5)&amp;"&lt;div class='col-md-12 form-group row'&gt;
"&amp;REPT(CHAR(9),6)&amp;"&lt;label class='col-md-2 form-control title'&gt;"&amp;C36&amp;"&lt;/label&gt;
"&amp;REPT(CHAR(9),6)&amp;"&lt;input type='text' class='col-md-10 form-control input-text' name='"&amp;B36&amp;"' [(ngModel)]='rowdata."&amp;D36&amp;"'&gt;
"&amp;REPT(CHAR(9),5)&amp;"&lt;/div&gt;",
IF(E36="int",
REPT(CHAR(9),5)&amp;"&lt;div class='col-md-12 form-group row'&gt;
"&amp;REPT(CHAR(9),6)&amp;"&lt;label class='col-md-2 form-control title'&gt;"&amp;C36&amp;"&lt;/label&gt;
"&amp;REPT(CHAR(9),6)&amp;"&lt;input type='number' class='col-md-10 form-control input-text' name='"&amp;B36&amp;"' [(ngModel)]='rowdata."&amp;D36&amp;"'&gt;
"&amp;REPT(CHAR(9),5)&amp;"&lt;/div&gt;",""))))</f>
        <v xml:space="preserve">					&lt;div class='col-md-12 form-group row'&gt;
						&lt;label class='col-md-2 form-control title'&gt;Takt Time Start&lt;/label&gt;
						&lt;input type='text' class='col-md-10 form-control input-text' name='taktTimeStart' 
						#datepicker='bsDatepicker' [(ngModel)]='rowdata.taktTimeStart'  bsDatepicker &gt;
					&lt;/div&gt;</v>
      </c>
      <c r="L36" s="60" t="str">
        <f>IF(E36="DateTime",
REPT(CHAR(9),2)&amp;"const dateValue =  this.rowdata."&amp;D36&amp;" ? new Date(this.rowdata."&amp;D36&amp;"?.toString()) : new Date();
"&amp;REPT(CHAR(9),2)&amp;"this.datepicker?.bsValueChange.emit(dateValue);","")</f>
        <v xml:space="preserve">		const dateValue =  this.rowdata.taktTimeStart ? new Date(this.rowdata.taktTimeStart?.toString()) : new Date();
		this.datepicker?.bsValueChange.emit(dateValue);</v>
      </c>
      <c r="M36" s="31"/>
      <c r="N36" s="31"/>
      <c r="O36" s="31"/>
      <c r="P36" s="31"/>
      <c r="Q36" s="31"/>
      <c r="R36" s="31"/>
      <c r="S36" s="31" t="str">
        <f>REPT(CHAR(9),1)&amp;D36&amp;G36</f>
        <v xml:space="preserve">	taktTimeStart : any ;</v>
      </c>
      <c r="T36" s="31" t="str">
        <f>REPT(CHAR(9),3)&amp;"this."&amp;D36&amp;","</f>
        <v xml:space="preserve">			this.taktTimeStart,</v>
      </c>
      <c r="U36" s="31" t="str">
        <f>IF(E36="int",REPT(CHAR(9),2)&amp;"this."&amp;D36&amp;" = 0,",REPT(CHAR(9),2)&amp;"this."&amp;D36&amp;" = '',")</f>
        <v xml:space="preserve">		this.taktTimeStart = '',</v>
      </c>
      <c r="V36" s="31" t="str">
        <f>IF(AND(E36="string",F36="1"),D36,"")</f>
        <v/>
      </c>
    </row>
    <row r="37" spans="1:22" ht="15" customHeight="1" x14ac:dyDescent="0.25">
      <c r="A37" s="31" t="s">
        <v>356</v>
      </c>
      <c r="B37" s="31" t="str">
        <f>SUBSTITUTE(PROPER(A37),"_","")</f>
        <v>ToUpDate</v>
      </c>
      <c r="C37" s="31" t="str">
        <f>SUBSTITUTE(PROPER(A37),"_"," ")</f>
        <v>To Up Date</v>
      </c>
      <c r="D37" s="31" t="str">
        <f>LOWER(LEFT(B37,1))&amp;RIGHT(B37,LEN(B37) - 1)</f>
        <v>toUpDate</v>
      </c>
      <c r="E37" s="31" t="str">
        <f>A.Backend!H31</f>
        <v>DateTime</v>
      </c>
      <c r="F37" s="31" t="str">
        <f>A.Backend!G31</f>
        <v/>
      </c>
      <c r="G37" s="31" t="str">
        <f>IF(E37="string"," : string = '' ; ",IF(OR(E37="DateTime",E37="TimeSpan")," : any ;",IF(E37="int"," : number = 0 ;","")))</f>
        <v xml:space="preserve"> : any ;</v>
      </c>
      <c r="H37" s="38" t="str">
        <f>IF(E37="DateTime",
REPT(CHAR(9),3)&amp;"{headerName: this.l('"&amp;C37&amp;"'),headerTooltip: this.l('"&amp;C37&amp;"'),field: '"&amp;D37&amp;"',valueGetter: (params) =&gt; this.pipe.transform(params.data?."&amp;D37&amp;", 'dd/MM/yyyy'),flex: 1},",
IF(AND(E37="string",F37="1"),
REPT(CHAR(9),3)&amp;"{headerName: this.l('"&amp;C37&amp;"'),headerTooltip: this.l('"&amp;C37&amp;"'),field:  '"&amp;D37&amp;"', cellClass: ['text-center'], width: 120, cellRenderer: 'agCellButtonComponent',
buttonDefTwo: { text: params =&gt; (params.data?.'"&amp;D37&amp;"' == 'Y') ? 'Active' : 'Inactive',iconName: 'fa fa-circle',className: params =&gt; (params.data?.'"&amp;D37&amp;"' == 'Y') ? 'btnActive' : 'btnInActive',},}",
REPT(CHAR(9),3)&amp;"{headerName: this.l('"&amp;C37&amp;"'),headerTooltip: this.l('"&amp;C37&amp;"'),field: '"&amp;D37&amp;"',flex: 1},"))</f>
        <v xml:space="preserve">			{headerName: this.l('To Up Date'),headerTooltip: this.l('To Up Date'),field: 'toUpDate',valueGetter: (params) =&gt; this.pipe.transform(params.data?.toUpDate, 'dd/MM/yyyy'),flex: 1},</v>
      </c>
      <c r="I37" s="38" t="str">
        <f>IF(E37="DateTime",
REPT(CHAR(9),8)&amp;"&lt;div class='input-search'&gt;
"&amp;REPT(CHAR(9),9)&amp;"&lt;input type='text' [placeholder]=""l('"&amp;C37&amp;"')"" [(ngModel)]='"&amp;D37&amp;"' 
"&amp;REPT(CHAR(9),9)&amp;"name='"&amp;D37&amp;"' (keydown)='searchDatas()' class='form-control' 
"&amp;REPT(CHAR(9),9)&amp;"bsDatepicker #d='bsDatepicker' placement='bottom left'&gt;
"&amp;REPT(CHAR(9),9)&amp;"&lt;i class='fa fa-calendar-alt' (click)='d.toggle()'&gt;&lt;/i&gt;
"&amp;REPT(CHAR(9),8)&amp;"&lt;/div&gt;",
IF(E37="string",
REPT(CHAR(9),8)&amp;"&lt;div class='input-search'&gt;
"&amp;REPT(CHAR(9),9)&amp;"&lt;input [(ngModel)]='"&amp;D37&amp;"' name='"&amp;D37&amp;"'
"&amp;REPT(CHAR(9),9)&amp;"class='form-control' [placeholder]=""l('"&amp;C37&amp;"')""
"&amp;REPT(CHAR(9),9)&amp;"type='text' (keyup.enter)='searchDatas()'&gt;
"&amp;REPT(CHAR(9),8)&amp;"&lt;/div&gt;",""))</f>
        <v xml:space="preserve">								&lt;div class='input-search'&gt;
									&lt;input type='text' [placeholder]="l('To Up Date')" [(ngModel)]='toUpDate' 
									name='toUpDate' (keydown)='searchDatas()' class='form-control' 
									bsDatepicker #d='bsDatepicker' placement='bottom left'&gt;
									&lt;i class='fa fa-calendar-alt' (click)='d.toggle()'&gt;&lt;/i&gt;
								&lt;/div&gt;</v>
      </c>
      <c r="J37" s="31"/>
      <c r="K37" s="38" t="str">
        <f>IF(OR(E37="DateTime",E37="TimeSpan"),
REPT(CHAR(9),5)&amp;"&lt;div class='col-md-12 form-group row'&gt;
"&amp;REPT(CHAR(9),6)&amp;"&lt;label class='col-md-2 form-control title'&gt;"&amp;C37&amp;"&lt;/label&gt;
"&amp;REPT(CHAR(9),6)&amp;"&lt;input type='text' class='col-md-10 form-control input-text' name='"&amp;D37&amp;"' 
"&amp;REPT(CHAR(9),6)&amp;"#datepicker='bsDatepicker' [(ngModel)]='rowdata."&amp;D37&amp;"'  bsDatepicker &gt;
"&amp;REPT(CHAR(9),5)&amp;"&lt;/div&gt;",
IF(AND(E37="string",F37="1"),
REPT(CHAR(9),5)&amp;"&lt;div class='col-md-12 form-group row'&gt;
"&amp;REPT(CHAR(9),6)&amp;"&lt;label class='col-md-2 form-control title'&gt;"&amp;C37&amp;"&lt;/label&gt;
"&amp;REPT(CHAR(9),6)&amp;"&lt;new-checkbox [(ngModel)]='_"&amp;D37&amp;"' name='"&amp;D37&amp;"' className='col-md-10' &gt; &lt;/new-checkbox&gt;
"&amp;REPT(CHAR(9),5)&amp;"&lt;/div&gt;",
IF(E37="string",
REPT(CHAR(9),5)&amp;"&lt;div class='col-md-12 form-group row'&gt;
"&amp;REPT(CHAR(9),6)&amp;"&lt;label class='col-md-2 form-control title'&gt;"&amp;C37&amp;"&lt;/label&gt;
"&amp;REPT(CHAR(9),6)&amp;"&lt;input type='text' class='col-md-10 form-control input-text' name='"&amp;B37&amp;"' [(ngModel)]='rowdata."&amp;D37&amp;"'&gt;
"&amp;REPT(CHAR(9),5)&amp;"&lt;/div&gt;",
IF(E37="int",
REPT(CHAR(9),5)&amp;"&lt;div class='col-md-12 form-group row'&gt;
"&amp;REPT(CHAR(9),6)&amp;"&lt;label class='col-md-2 form-control title'&gt;"&amp;C37&amp;"&lt;/label&gt;
"&amp;REPT(CHAR(9),6)&amp;"&lt;input type='number' class='col-md-10 form-control input-text' name='"&amp;B37&amp;"' [(ngModel)]='rowdata."&amp;D37&amp;"'&gt;
"&amp;REPT(CHAR(9),5)&amp;"&lt;/div&gt;",""))))</f>
        <v xml:space="preserve">					&lt;div class='col-md-12 form-group row'&gt;
						&lt;label class='col-md-2 form-control title'&gt;To Up Date&lt;/label&gt;
						&lt;input type='text' class='col-md-10 form-control input-text' name='toUpDate' 
						#datepicker='bsDatepicker' [(ngModel)]='rowdata.toUpDate'  bsDatepicker &gt;
					&lt;/div&gt;</v>
      </c>
      <c r="L37" s="60" t="str">
        <f>IF(E37="DateTime",
REPT(CHAR(9),2)&amp;"const dateValue =  this.rowdata."&amp;D37&amp;" ? new Date(this.rowdata."&amp;D37&amp;"?.toString()) : new Date();
"&amp;REPT(CHAR(9),2)&amp;"this.datepicker?.bsValueChange.emit(dateValue);","")</f>
        <v xml:space="preserve">		const dateValue =  this.rowdata.toUpDate ? new Date(this.rowdata.toUpDate?.toString()) : new Date();
		this.datepicker?.bsValueChange.emit(dateValue);</v>
      </c>
      <c r="M37" s="31"/>
      <c r="N37" s="31"/>
      <c r="O37" s="31"/>
      <c r="P37" s="31"/>
      <c r="Q37" s="31"/>
      <c r="R37" s="31"/>
      <c r="S37" s="31" t="str">
        <f>REPT(CHAR(9),1)&amp;D37&amp;G37</f>
        <v xml:space="preserve">	toUpDate : any ;</v>
      </c>
      <c r="T37" s="31" t="str">
        <f>REPT(CHAR(9),3)&amp;"this."&amp;D37&amp;","</f>
        <v xml:space="preserve">			this.toUpDate,</v>
      </c>
      <c r="U37" s="31" t="str">
        <f>IF(E37="int",REPT(CHAR(9),2)&amp;"this."&amp;D37&amp;" = 0,",REPT(CHAR(9),2)&amp;"this."&amp;D37&amp;" = '',")</f>
        <v xml:space="preserve">		this.toUpDate = '',</v>
      </c>
      <c r="V37" s="31" t="str">
        <f>IF(AND(E37="string",F37="1"),D37,"")</f>
        <v/>
      </c>
    </row>
    <row r="38" spans="1:22" ht="15" customHeight="1" x14ac:dyDescent="0.25">
      <c r="A38" s="31" t="s">
        <v>366</v>
      </c>
      <c r="B38" s="31" t="str">
        <f t="shared" ref="B38" si="72">SUBSTITUTE(PROPER(A38),"_","")</f>
        <v>UpDate</v>
      </c>
      <c r="C38" s="31" t="str">
        <f t="shared" ref="C38" si="73">SUBSTITUTE(PROPER(A38),"_"," ")</f>
        <v>Up Date</v>
      </c>
      <c r="D38" s="31" t="str">
        <f t="shared" ref="D38" si="74">LOWER(LEFT(B38,1))&amp;RIGHT(B38,LEN(B38) - 1)</f>
        <v>upDate</v>
      </c>
      <c r="E38" s="31" t="str">
        <f>A.Backend!H32</f>
        <v>DateTime</v>
      </c>
      <c r="F38" s="31" t="str">
        <f>A.Backend!G32</f>
        <v/>
      </c>
      <c r="G38" s="31" t="str">
        <f t="shared" ref="G38" si="75">IF(E38="string"," : string = '' ; ",IF(OR(E38="DateTime",E38="TimeSpan")," : any ;",IF(E38="int"," : number = 0 ;","")))</f>
        <v xml:space="preserve"> : any ;</v>
      </c>
      <c r="H38" s="38" t="str">
        <f t="shared" ref="H38" si="76">IF(E38="DateTime",
REPT(CHAR(9),3)&amp;"{headerName: this.l('"&amp;C38&amp;"'),headerTooltip: this.l('"&amp;C38&amp;"'),field: '"&amp;D38&amp;"',valueGetter: (params) =&gt; this.pipe.transform(params.data?."&amp;D38&amp;", 'dd/MM/yyyy'),flex: 1},",
IF(AND(E38="string",F38="1"),
REPT(CHAR(9),3)&amp;"{headerName: this.l('"&amp;C38&amp;"'),headerTooltip: this.l('"&amp;C38&amp;"'),field:  '"&amp;D38&amp;"', cellClass: ['text-center'], width: 120, cellRenderer: 'agCellButtonComponent',
buttonDefTwo: { text: params =&gt; (params.data?.'"&amp;D38&amp;"' == 'Y') ? 'Active' : 'Inactive',iconName: 'fa fa-circle',className: params =&gt; (params.data?.'"&amp;D38&amp;"' == 'Y') ? 'btnActive' : 'btnInActive',},}",
REPT(CHAR(9),3)&amp;"{headerName: this.l('"&amp;C38&amp;"'),headerTooltip: this.l('"&amp;C38&amp;"'),field: '"&amp;D38&amp;"',flex: 1},"))</f>
        <v xml:space="preserve">			{headerName: this.l('Up Date'),headerTooltip: this.l('Up Date'),field: 'upDate',valueGetter: (params) =&gt; this.pipe.transform(params.data?.upDate, 'dd/MM/yyyy'),flex: 1},</v>
      </c>
      <c r="I38" s="38" t="str">
        <f t="shared" ref="I38" si="77">IF(E38="DateTime",
REPT(CHAR(9),8)&amp;"&lt;div class='input-search'&gt;
"&amp;REPT(CHAR(9),9)&amp;"&lt;input type='text' [placeholder]=""l('"&amp;C38&amp;"')"" [(ngModel)]='"&amp;D38&amp;"' 
"&amp;REPT(CHAR(9),9)&amp;"name='"&amp;D38&amp;"' (keydown)='searchDatas()' class='form-control' 
"&amp;REPT(CHAR(9),9)&amp;"bsDatepicker #d='bsDatepicker' placement='bottom left'&gt;
"&amp;REPT(CHAR(9),9)&amp;"&lt;i class='fa fa-calendar-alt' (click)='d.toggle()'&gt;&lt;/i&gt;
"&amp;REPT(CHAR(9),8)&amp;"&lt;/div&gt;",
IF(E38="string",
REPT(CHAR(9),8)&amp;"&lt;div class='input-search'&gt;
"&amp;REPT(CHAR(9),9)&amp;"&lt;input [(ngModel)]='"&amp;D38&amp;"' name='"&amp;D38&amp;"'
"&amp;REPT(CHAR(9),9)&amp;"class='form-control' [placeholder]=""l('"&amp;C38&amp;"')""
"&amp;REPT(CHAR(9),9)&amp;"type='text' (keyup.enter)='searchDatas()'&gt;
"&amp;REPT(CHAR(9),8)&amp;"&lt;/div&gt;",""))</f>
        <v xml:space="preserve">								&lt;div class='input-search'&gt;
									&lt;input type='text' [placeholder]="l('Up Date')" [(ngModel)]='upDate' 
									name='upDate' (keydown)='searchDatas()' class='form-control' 
									bsDatepicker #d='bsDatepicker' placement='bottom left'&gt;
									&lt;i class='fa fa-calendar-alt' (click)='d.toggle()'&gt;&lt;/i&gt;
								&lt;/div&gt;</v>
      </c>
      <c r="J38" s="31"/>
      <c r="K38" s="38" t="str">
        <f t="shared" ref="K38" si="78">IF(OR(E38="DateTime",E38="TimeSpan"),
REPT(CHAR(9),5)&amp;"&lt;div class='col-md-12 form-group row'&gt;
"&amp;REPT(CHAR(9),6)&amp;"&lt;label class='col-md-2 form-control title'&gt;"&amp;C38&amp;"&lt;/label&gt;
"&amp;REPT(CHAR(9),6)&amp;"&lt;input type='text' class='col-md-10 form-control input-text' name='"&amp;D38&amp;"' 
"&amp;REPT(CHAR(9),6)&amp;"#datepicker='bsDatepicker' [(ngModel)]='rowdata."&amp;D38&amp;"'  bsDatepicker &gt;
"&amp;REPT(CHAR(9),5)&amp;"&lt;/div&gt;",
IF(AND(E38="string",F38="1"),
REPT(CHAR(9),5)&amp;"&lt;div class='col-md-12 form-group row'&gt;
"&amp;REPT(CHAR(9),6)&amp;"&lt;label class='col-md-2 form-control title'&gt;"&amp;C38&amp;"&lt;/label&gt;
"&amp;REPT(CHAR(9),6)&amp;"&lt;new-checkbox [(ngModel)]='_"&amp;D38&amp;"' name='"&amp;D38&amp;"' className='col-md-10' &gt; &lt;/new-checkbox&gt;
"&amp;REPT(CHAR(9),5)&amp;"&lt;/div&gt;",
IF(E38="string",
REPT(CHAR(9),5)&amp;"&lt;div class='col-md-12 form-group row'&gt;
"&amp;REPT(CHAR(9),6)&amp;"&lt;label class='col-md-2 form-control title'&gt;"&amp;C38&amp;"&lt;/label&gt;
"&amp;REPT(CHAR(9),6)&amp;"&lt;input type='text' class='col-md-10 form-control input-text' name='"&amp;B38&amp;"' [(ngModel)]='rowdata."&amp;D38&amp;"'&gt;
"&amp;REPT(CHAR(9),5)&amp;"&lt;/div&gt;",
IF(E38="int",
REPT(CHAR(9),5)&amp;"&lt;div class='col-md-12 form-group row'&gt;
"&amp;REPT(CHAR(9),6)&amp;"&lt;label class='col-md-2 form-control title'&gt;"&amp;C38&amp;"&lt;/label&gt;
"&amp;REPT(CHAR(9),6)&amp;"&lt;input type='number' class='col-md-10 form-control input-text' name='"&amp;B38&amp;"' [(ngModel)]='rowdata."&amp;D38&amp;"'&gt;
"&amp;REPT(CHAR(9),5)&amp;"&lt;/div&gt;",""))))</f>
        <v xml:space="preserve">					&lt;div class='col-md-12 form-group row'&gt;
						&lt;label class='col-md-2 form-control title'&gt;Up Date&lt;/label&gt;
						&lt;input type='text' class='col-md-10 form-control input-text' name='upDate' 
						#datepicker='bsDatepicker' [(ngModel)]='rowdata.upDate'  bsDatepicker &gt;
					&lt;/div&gt;</v>
      </c>
      <c r="L38" s="60" t="str">
        <f t="shared" ref="L38" si="79">IF(E38="DateTime",
REPT(CHAR(9),2)&amp;"const dateValue =  this.rowdata."&amp;D38&amp;" ? new Date(this.rowdata."&amp;D38&amp;"?.toString()) : new Date();
"&amp;REPT(CHAR(9),2)&amp;"this.datepicker?.bsValueChange.emit(dateValue);","")</f>
        <v xml:space="preserve">		const dateValue =  this.rowdata.upDate ? new Date(this.rowdata.upDate?.toString()) : new Date();
		this.datepicker?.bsValueChange.emit(dateValue);</v>
      </c>
      <c r="M38" s="31"/>
      <c r="N38" s="31"/>
      <c r="O38" s="31"/>
      <c r="P38" s="31"/>
      <c r="Q38" s="31"/>
      <c r="R38" s="31"/>
      <c r="S38" s="31" t="str">
        <f t="shared" ref="S38" si="80">REPT(CHAR(9),1)&amp;D38&amp;G38</f>
        <v xml:space="preserve">	upDate : any ;</v>
      </c>
      <c r="T38" s="31" t="str">
        <f t="shared" ref="T38" si="81">REPT(CHAR(9),3)&amp;"this."&amp;D38&amp;","</f>
        <v xml:space="preserve">			this.upDate,</v>
      </c>
      <c r="U38" s="31" t="str">
        <f t="shared" ref="U38" si="82">IF(E38="int",REPT(CHAR(9),2)&amp;"this."&amp;D38&amp;" = 0,",REPT(CHAR(9),2)&amp;"this."&amp;D38&amp;" = '',")</f>
        <v xml:space="preserve">		this.upDate = '',</v>
      </c>
      <c r="V38" s="31" t="str">
        <f t="shared" ref="V38" si="83">IF(AND(E38="string",F38="1"),D38,"")</f>
        <v/>
      </c>
    </row>
    <row r="39" spans="1:22" ht="15" customHeight="1" x14ac:dyDescent="0.25">
      <c r="A39" s="31" t="s">
        <v>355</v>
      </c>
      <c r="B39" s="31" t="str">
        <f t="shared" ref="B39" si="84">SUBSTITUTE(PROPER(A39),"_","")</f>
        <v>UpPunchDate</v>
      </c>
      <c r="C39" s="31" t="str">
        <f t="shared" ref="C39" si="85">SUBSTITUTE(PROPER(A39),"_"," ")</f>
        <v>Up Punch Date</v>
      </c>
      <c r="D39" s="31" t="str">
        <f t="shared" ref="D39" si="86">LOWER(LEFT(B39,1))&amp;RIGHT(B39,LEN(B39) - 1)</f>
        <v>upPunchDate</v>
      </c>
      <c r="E39" s="31" t="str">
        <f>A.Backend!H33</f>
        <v>DateTime</v>
      </c>
      <c r="F39" s="31" t="str">
        <f>A.Backend!G33</f>
        <v/>
      </c>
      <c r="G39" s="31" t="str">
        <f t="shared" ref="G39" si="87">IF(E39="string"," : string = '' ; ",IF(OR(E39="DateTime",E39="TimeSpan")," : any ;",IF(E39="int"," : number = 0 ;","")))</f>
        <v xml:space="preserve"> : any ;</v>
      </c>
      <c r="H39" s="38" t="str">
        <f t="shared" ref="H39" si="88">IF(E39="DateTime",
REPT(CHAR(9),3)&amp;"{headerName: this.l('"&amp;C39&amp;"'),headerTooltip: this.l('"&amp;C39&amp;"'),field: '"&amp;D39&amp;"',valueGetter: (params) =&gt; this.pipe.transform(params.data?."&amp;D39&amp;", 'dd/MM/yyyy'),flex: 1},",
IF(AND(E39="string",F39="1"),
REPT(CHAR(9),3)&amp;"{headerName: this.l('"&amp;C39&amp;"'),headerTooltip: this.l('"&amp;C39&amp;"'),field:  '"&amp;D39&amp;"', cellClass: ['text-center'], width: 120, cellRenderer: 'agCellButtonComponent',
buttonDefTwo: { text: params =&gt; (params.data?.'"&amp;D39&amp;"' == 'Y') ? 'Active' : 'Inactive',iconName: 'fa fa-circle',className: params =&gt; (params.data?.'"&amp;D39&amp;"' == 'Y') ? 'btnActive' : 'btnInActive',},}",
REPT(CHAR(9),3)&amp;"{headerName: this.l('"&amp;C39&amp;"'),headerTooltip: this.l('"&amp;C39&amp;"'),field: '"&amp;D39&amp;"',flex: 1},"))</f>
        <v xml:space="preserve">			{headerName: this.l('Up Punch Date'),headerTooltip: this.l('Up Punch Date'),field: 'upPunchDate',valueGetter: (params) =&gt; this.pipe.transform(params.data?.upPunchDate, 'dd/MM/yyyy'),flex: 1},</v>
      </c>
      <c r="I39" s="38" t="str">
        <f t="shared" ref="I39" si="89">IF(E39="DateTime",
REPT(CHAR(9),8)&amp;"&lt;div class='input-search'&gt;
"&amp;REPT(CHAR(9),9)&amp;"&lt;input type='text' [placeholder]=""l('"&amp;C39&amp;"')"" [(ngModel)]='"&amp;D39&amp;"' 
"&amp;REPT(CHAR(9),9)&amp;"name='"&amp;D39&amp;"' (keydown)='searchDatas()' class='form-control' 
"&amp;REPT(CHAR(9),9)&amp;"bsDatepicker #d='bsDatepicker' placement='bottom left'&gt;
"&amp;REPT(CHAR(9),9)&amp;"&lt;i class='fa fa-calendar-alt' (click)='d.toggle()'&gt;&lt;/i&gt;
"&amp;REPT(CHAR(9),8)&amp;"&lt;/div&gt;",
IF(E39="string",
REPT(CHAR(9),8)&amp;"&lt;div class='input-search'&gt;
"&amp;REPT(CHAR(9),9)&amp;"&lt;input [(ngModel)]='"&amp;D39&amp;"' name='"&amp;D39&amp;"'
"&amp;REPT(CHAR(9),9)&amp;"class='form-control' [placeholder]=""l('"&amp;C39&amp;"')""
"&amp;REPT(CHAR(9),9)&amp;"type='text' (keyup.enter)='searchDatas()'&gt;
"&amp;REPT(CHAR(9),8)&amp;"&lt;/div&gt;",""))</f>
        <v xml:space="preserve">								&lt;div class='input-search'&gt;
									&lt;input type='text' [placeholder]="l('Up Punch Date')" [(ngModel)]='upPunchDate' 
									name='upPunchDate' (keydown)='searchDatas()' class='form-control' 
									bsDatepicker #d='bsDatepicker' placement='bottom left'&gt;
									&lt;i class='fa fa-calendar-alt' (click)='d.toggle()'&gt;&lt;/i&gt;
								&lt;/div&gt;</v>
      </c>
      <c r="J39" s="31"/>
      <c r="K39" s="38" t="str">
        <f t="shared" ref="K39" si="90">IF(OR(E39="DateTime",E39="TimeSpan"),
REPT(CHAR(9),5)&amp;"&lt;div class='col-md-12 form-group row'&gt;
"&amp;REPT(CHAR(9),6)&amp;"&lt;label class='col-md-2 form-control title'&gt;"&amp;C39&amp;"&lt;/label&gt;
"&amp;REPT(CHAR(9),6)&amp;"&lt;input type='text' class='col-md-10 form-control input-text' name='"&amp;D39&amp;"' 
"&amp;REPT(CHAR(9),6)&amp;"#datepicker='bsDatepicker' [(ngModel)]='rowdata."&amp;D39&amp;"'  bsDatepicker &gt;
"&amp;REPT(CHAR(9),5)&amp;"&lt;/div&gt;",
IF(AND(E39="string",F39="1"),
REPT(CHAR(9),5)&amp;"&lt;div class='col-md-12 form-group row'&gt;
"&amp;REPT(CHAR(9),6)&amp;"&lt;label class='col-md-2 form-control title'&gt;"&amp;C39&amp;"&lt;/label&gt;
"&amp;REPT(CHAR(9),6)&amp;"&lt;new-checkbox [(ngModel)]='_"&amp;D39&amp;"' name='"&amp;D39&amp;"' className='col-md-10' &gt; &lt;/new-checkbox&gt;
"&amp;REPT(CHAR(9),5)&amp;"&lt;/div&gt;",
IF(E39="string",
REPT(CHAR(9),5)&amp;"&lt;div class='col-md-12 form-group row'&gt;
"&amp;REPT(CHAR(9),6)&amp;"&lt;label class='col-md-2 form-control title'&gt;"&amp;C39&amp;"&lt;/label&gt;
"&amp;REPT(CHAR(9),6)&amp;"&lt;input type='text' class='col-md-10 form-control input-text' name='"&amp;B39&amp;"' [(ngModel)]='rowdata."&amp;D39&amp;"'&gt;
"&amp;REPT(CHAR(9),5)&amp;"&lt;/div&gt;",
IF(E39="int",
REPT(CHAR(9),5)&amp;"&lt;div class='col-md-12 form-group row'&gt;
"&amp;REPT(CHAR(9),6)&amp;"&lt;label class='col-md-2 form-control title'&gt;"&amp;C39&amp;"&lt;/label&gt;
"&amp;REPT(CHAR(9),6)&amp;"&lt;input type='number' class='col-md-10 form-control input-text' name='"&amp;B39&amp;"' [(ngModel)]='rowdata."&amp;D39&amp;"'&gt;
"&amp;REPT(CHAR(9),5)&amp;"&lt;/div&gt;",""))))</f>
        <v xml:space="preserve">					&lt;div class='col-md-12 form-group row'&gt;
						&lt;label class='col-md-2 form-control title'&gt;Up Punch Date&lt;/label&gt;
						&lt;input type='text' class='col-md-10 form-control input-text' name='upPunchDate' 
						#datepicker='bsDatepicker' [(ngModel)]='rowdata.upPunchDate'  bsDatepicker &gt;
					&lt;/div&gt;</v>
      </c>
      <c r="L39" s="60" t="str">
        <f t="shared" ref="L39" si="91">IF(E39="DateTime",
REPT(CHAR(9),2)&amp;"const dateValue =  this.rowdata."&amp;D39&amp;" ? new Date(this.rowdata."&amp;D39&amp;"?.toString()) : new Date();
"&amp;REPT(CHAR(9),2)&amp;"this.datepicker?.bsValueChange.emit(dateValue);","")</f>
        <v xml:space="preserve">		const dateValue =  this.rowdata.upPunchDate ? new Date(this.rowdata.upPunchDate?.toString()) : new Date();
		this.datepicker?.bsValueChange.emit(dateValue);</v>
      </c>
      <c r="M39" s="31"/>
      <c r="N39" s="31"/>
      <c r="O39" s="31"/>
      <c r="P39" s="31"/>
      <c r="Q39" s="31"/>
      <c r="R39" s="31"/>
      <c r="S39" s="31" t="str">
        <f t="shared" ref="S39" si="92">REPT(CHAR(9),1)&amp;D39&amp;G39</f>
        <v xml:space="preserve">	upPunchDate : any ;</v>
      </c>
      <c r="T39" s="31" t="str">
        <f t="shared" ref="T39" si="93">REPT(CHAR(9),3)&amp;"this."&amp;D39&amp;","</f>
        <v xml:space="preserve">			this.upPunchDate,</v>
      </c>
      <c r="U39" s="31" t="str">
        <f t="shared" ref="U39" si="94">IF(E39="int",REPT(CHAR(9),2)&amp;"this."&amp;D39&amp;" = 0,",REPT(CHAR(9),2)&amp;"this."&amp;D39&amp;" = '',")</f>
        <v xml:space="preserve">		this.upPunchDate = '',</v>
      </c>
      <c r="V39" s="31" t="str">
        <f t="shared" ref="V39" si="95">IF(AND(E39="string",F39="1"),D39,"")</f>
        <v/>
      </c>
    </row>
    <row r="40" spans="1:22" ht="15" customHeight="1" x14ac:dyDescent="0.25">
      <c r="A40" s="31" t="s">
        <v>353</v>
      </c>
      <c r="B40" s="31" t="str">
        <f>SUBSTITUTE(PROPER(A40),"_","")</f>
        <v>UpSkipDate</v>
      </c>
      <c r="C40" s="31" t="str">
        <f>SUBSTITUTE(PROPER(A40),"_"," ")</f>
        <v>Up Skip Date</v>
      </c>
      <c r="D40" s="31" t="str">
        <f>LOWER(LEFT(B40,1))&amp;RIGHT(B40,LEN(B40) - 1)</f>
        <v>upSkipDate</v>
      </c>
      <c r="E40" s="31" t="str">
        <f>A.Backend!H34</f>
        <v>DateTime</v>
      </c>
      <c r="F40" s="31" t="str">
        <f>A.Backend!G34</f>
        <v/>
      </c>
      <c r="G40" s="31" t="str">
        <f>IF(E40="string"," : string = '' ; ",IF(OR(E40="DateTime",E40="TimeSpan")," : any ;",IF(E40="int"," : number = 0 ;","")))</f>
        <v xml:space="preserve"> : any ;</v>
      </c>
      <c r="H40" s="38" t="str">
        <f>IF(E40="DateTime",
REPT(CHAR(9),3)&amp;"{headerName: this.l('"&amp;C40&amp;"'),headerTooltip: this.l('"&amp;C40&amp;"'),field: '"&amp;D40&amp;"',valueGetter: (params) =&gt; this.pipe.transform(params.data?."&amp;D40&amp;", 'dd/MM/yyyy'),flex: 1},",
IF(AND(E40="string",F40="1"),
REPT(CHAR(9),3)&amp;"{headerName: this.l('"&amp;C40&amp;"'),headerTooltip: this.l('"&amp;C40&amp;"'),field:  '"&amp;D40&amp;"', cellClass: ['text-center'], width: 120, cellRenderer: 'agCellButtonComponent',
buttonDefTwo: { text: params =&gt; (params.data?.'"&amp;D40&amp;"' == 'Y') ? 'Active' : 'Inactive',iconName: 'fa fa-circle',className: params =&gt; (params.data?.'"&amp;D40&amp;"' == 'Y') ? 'btnActive' : 'btnInActive',},}",
REPT(CHAR(9),3)&amp;"{headerName: this.l('"&amp;C40&amp;"'),headerTooltip: this.l('"&amp;C40&amp;"'),field: '"&amp;D40&amp;"',flex: 1},"))</f>
        <v xml:space="preserve">			{headerName: this.l('Up Skip Date'),headerTooltip: this.l('Up Skip Date'),field: 'upSkipDate',valueGetter: (params) =&gt; this.pipe.transform(params.data?.upSkipDate, 'dd/MM/yyyy'),flex: 1},</v>
      </c>
      <c r="I40" s="38" t="str">
        <f>IF(E40="DateTime",
REPT(CHAR(9),8)&amp;"&lt;div class='input-search'&gt;
"&amp;REPT(CHAR(9),9)&amp;"&lt;input type='text' [placeholder]=""l('"&amp;C40&amp;"')"" [(ngModel)]='"&amp;D40&amp;"' 
"&amp;REPT(CHAR(9),9)&amp;"name='"&amp;D40&amp;"' (keydown)='searchDatas()' class='form-control' 
"&amp;REPT(CHAR(9),9)&amp;"bsDatepicker #d='bsDatepicker' placement='bottom left'&gt;
"&amp;REPT(CHAR(9),9)&amp;"&lt;i class='fa fa-calendar-alt' (click)='d.toggle()'&gt;&lt;/i&gt;
"&amp;REPT(CHAR(9),8)&amp;"&lt;/div&gt;",
IF(E40="string",
REPT(CHAR(9),8)&amp;"&lt;div class='input-search'&gt;
"&amp;REPT(CHAR(9),9)&amp;"&lt;input [(ngModel)]='"&amp;D40&amp;"' name='"&amp;D40&amp;"'
"&amp;REPT(CHAR(9),9)&amp;"class='form-control' [placeholder]=""l('"&amp;C40&amp;"')""
"&amp;REPT(CHAR(9),9)&amp;"type='text' (keyup.enter)='searchDatas()'&gt;
"&amp;REPT(CHAR(9),8)&amp;"&lt;/div&gt;",""))</f>
        <v xml:space="preserve">								&lt;div class='input-search'&gt;
									&lt;input type='text' [placeholder]="l('Up Skip Date')" [(ngModel)]='upSkipDate' 
									name='upSkipDate' (keydown)='searchDatas()' class='form-control' 
									bsDatepicker #d='bsDatepicker' placement='bottom left'&gt;
									&lt;i class='fa fa-calendar-alt' (click)='d.toggle()'&gt;&lt;/i&gt;
								&lt;/div&gt;</v>
      </c>
      <c r="J40" s="31"/>
      <c r="K40" s="38" t="str">
        <f>IF(OR(E40="DateTime",E40="TimeSpan"),
REPT(CHAR(9),5)&amp;"&lt;div class='col-md-12 form-group row'&gt;
"&amp;REPT(CHAR(9),6)&amp;"&lt;label class='col-md-2 form-control title'&gt;"&amp;C40&amp;"&lt;/label&gt;
"&amp;REPT(CHAR(9),6)&amp;"&lt;input type='text' class='col-md-10 form-control input-text' name='"&amp;D40&amp;"' 
"&amp;REPT(CHAR(9),6)&amp;"#datepicker='bsDatepicker' [(ngModel)]='rowdata."&amp;D40&amp;"'  bsDatepicker &gt;
"&amp;REPT(CHAR(9),5)&amp;"&lt;/div&gt;",
IF(AND(E40="string",F40="1"),
REPT(CHAR(9),5)&amp;"&lt;div class='col-md-12 form-group row'&gt;
"&amp;REPT(CHAR(9),6)&amp;"&lt;label class='col-md-2 form-control title'&gt;"&amp;C40&amp;"&lt;/label&gt;
"&amp;REPT(CHAR(9),6)&amp;"&lt;new-checkbox [(ngModel)]='_"&amp;D40&amp;"' name='"&amp;D40&amp;"' className='col-md-10' &gt; &lt;/new-checkbox&gt;
"&amp;REPT(CHAR(9),5)&amp;"&lt;/div&gt;",
IF(E40="string",
REPT(CHAR(9),5)&amp;"&lt;div class='col-md-12 form-group row'&gt;
"&amp;REPT(CHAR(9),6)&amp;"&lt;label class='col-md-2 form-control title'&gt;"&amp;C40&amp;"&lt;/label&gt;
"&amp;REPT(CHAR(9),6)&amp;"&lt;input type='text' class='col-md-10 form-control input-text' name='"&amp;B40&amp;"' [(ngModel)]='rowdata."&amp;D40&amp;"'&gt;
"&amp;REPT(CHAR(9),5)&amp;"&lt;/div&gt;",
IF(E40="int",
REPT(CHAR(9),5)&amp;"&lt;div class='col-md-12 form-group row'&gt;
"&amp;REPT(CHAR(9),6)&amp;"&lt;label class='col-md-2 form-control title'&gt;"&amp;C40&amp;"&lt;/label&gt;
"&amp;REPT(CHAR(9),6)&amp;"&lt;input type='number' class='col-md-10 form-control input-text' name='"&amp;B40&amp;"' [(ngModel)]='rowdata."&amp;D40&amp;"'&gt;
"&amp;REPT(CHAR(9),5)&amp;"&lt;/div&gt;",""))))</f>
        <v xml:space="preserve">					&lt;div class='col-md-12 form-group row'&gt;
						&lt;label class='col-md-2 form-control title'&gt;Up Skip Date&lt;/label&gt;
						&lt;input type='text' class='col-md-10 form-control input-text' name='upSkipDate' 
						#datepicker='bsDatepicker' [(ngModel)]='rowdata.upSkipDate'  bsDatepicker &gt;
					&lt;/div&gt;</v>
      </c>
      <c r="L40" s="60" t="str">
        <f>IF(E40="DateTime",
REPT(CHAR(9),2)&amp;"const dateValue =  this.rowdata."&amp;D40&amp;" ? new Date(this.rowdata."&amp;D40&amp;"?.toString()) : new Date();
"&amp;REPT(CHAR(9),2)&amp;"this.datepicker?.bsValueChange.emit(dateValue);","")</f>
        <v xml:space="preserve">		const dateValue =  this.rowdata.upSkipDate ? new Date(this.rowdata.upSkipDate?.toString()) : new Date();
		this.datepicker?.bsValueChange.emit(dateValue);</v>
      </c>
      <c r="M40" s="31"/>
      <c r="N40" s="31"/>
      <c r="O40" s="31"/>
      <c r="P40" s="31"/>
      <c r="Q40" s="31"/>
      <c r="R40" s="31"/>
      <c r="S40" s="31" t="str">
        <f>REPT(CHAR(9),1)&amp;D40&amp;G40</f>
        <v xml:space="preserve">	upSkipDate : any ;</v>
      </c>
      <c r="T40" s="31" t="str">
        <f>REPT(CHAR(9),3)&amp;"this."&amp;D40&amp;","</f>
        <v xml:space="preserve">			this.upSkipDate,</v>
      </c>
      <c r="U40" s="31" t="str">
        <f>IF(E40="int",REPT(CHAR(9),2)&amp;"this."&amp;D40&amp;" = 0,",REPT(CHAR(9),2)&amp;"this."&amp;D40&amp;" = '',")</f>
        <v xml:space="preserve">		this.upSkipDate = '',</v>
      </c>
      <c r="V40" s="31" t="str">
        <f>IF(AND(E40="string",F40="1"),D40,"")</f>
        <v/>
      </c>
    </row>
    <row r="41" spans="1:22" ht="18" customHeight="1" x14ac:dyDescent="0.25">
      <c r="A41" s="31" t="s">
        <v>354</v>
      </c>
      <c r="B41" s="31" t="str">
        <f t="shared" ref="B41:B43" si="96">SUBSTITUTE(PROPER(A41),"_","")</f>
        <v>UpRecoatDate</v>
      </c>
      <c r="C41" s="31" t="str">
        <f t="shared" ref="C41:C43" si="97">SUBSTITUTE(PROPER(A41),"_"," ")</f>
        <v>Up Recoat Date</v>
      </c>
      <c r="D41" s="31" t="str">
        <f t="shared" ref="D41:D43" si="98">LOWER(LEFT(B41,1))&amp;RIGHT(B41,LEN(B41) - 1)</f>
        <v>upRecoatDate</v>
      </c>
      <c r="E41" s="31" t="str">
        <f>A.Backend!H35</f>
        <v>DateTime</v>
      </c>
      <c r="F41" s="31" t="str">
        <f>A.Backend!G35</f>
        <v/>
      </c>
      <c r="G41" s="31" t="str">
        <f t="shared" ref="G41:G43" si="99">IF(E41="string"," : string = '' ; ",IF(OR(E41="DateTime",E41="TimeSpan")," : any ;",IF(E41="int"," : number = 0 ;","")))</f>
        <v xml:space="preserve"> : any ;</v>
      </c>
      <c r="H41" s="38" t="str">
        <f t="shared" ref="H41:H43" si="100">IF(E41="DateTime",
REPT(CHAR(9),3)&amp;"{headerName: this.l('"&amp;C41&amp;"'),headerTooltip: this.l('"&amp;C41&amp;"'),field: '"&amp;D41&amp;"',valueGetter: (params) =&gt; this.pipe.transform(params.data?."&amp;D41&amp;", 'dd/MM/yyyy'),flex: 1},",
IF(AND(E41="string",F41="1"),
REPT(CHAR(9),3)&amp;"{headerName: this.l('"&amp;C41&amp;"'),headerTooltip: this.l('"&amp;C41&amp;"'),field:  '"&amp;D41&amp;"', cellClass: ['text-center'], width: 120, cellRenderer: 'agCellButtonComponent',
buttonDefTwo: { text: params =&gt; (params.data?.'"&amp;D41&amp;"' == 'Y') ? 'Active' : 'Inactive',iconName: 'fa fa-circle',className: params =&gt; (params.data?.'"&amp;D41&amp;"' == 'Y') ? 'btnActive' : 'btnInActive',},}",
REPT(CHAR(9),3)&amp;"{headerName: this.l('"&amp;C41&amp;"'),headerTooltip: this.l('"&amp;C41&amp;"'),field: '"&amp;D41&amp;"',flex: 1},"))</f>
        <v xml:space="preserve">			{headerName: this.l('Up Recoat Date'),headerTooltip: this.l('Up Recoat Date'),field: 'upRecoatDate',valueGetter: (params) =&gt; this.pipe.transform(params.data?.upRecoatDate, 'dd/MM/yyyy'),flex: 1},</v>
      </c>
      <c r="I41" s="38" t="str">
        <f t="shared" ref="I41:I43" si="101">IF(E41="DateTime",
REPT(CHAR(9),8)&amp;"&lt;div class='input-search'&gt;
"&amp;REPT(CHAR(9),9)&amp;"&lt;input type='text' [placeholder]=""l('"&amp;C41&amp;"')"" [(ngModel)]='"&amp;D41&amp;"' 
"&amp;REPT(CHAR(9),9)&amp;"name='"&amp;D41&amp;"' (keydown)='searchDatas()' class='form-control' 
"&amp;REPT(CHAR(9),9)&amp;"bsDatepicker #d='bsDatepicker' placement='bottom left'&gt;
"&amp;REPT(CHAR(9),9)&amp;"&lt;i class='fa fa-calendar-alt' (click)='d.toggle()'&gt;&lt;/i&gt;
"&amp;REPT(CHAR(9),8)&amp;"&lt;/div&gt;",
IF(E41="string",
REPT(CHAR(9),8)&amp;"&lt;div class='input-search'&gt;
"&amp;REPT(CHAR(9),9)&amp;"&lt;input [(ngModel)]='"&amp;D41&amp;"' name='"&amp;D41&amp;"'
"&amp;REPT(CHAR(9),9)&amp;"class='form-control' [placeholder]=""l('"&amp;C41&amp;"')""
"&amp;REPT(CHAR(9),9)&amp;"type='text' (keyup.enter)='searchDatas()'&gt;
"&amp;REPT(CHAR(9),8)&amp;"&lt;/div&gt;",""))</f>
        <v xml:space="preserve">								&lt;div class='input-search'&gt;
									&lt;input type='text' [placeholder]="l('Up Recoat Date')" [(ngModel)]='upRecoatDate' 
									name='upRecoatDate' (keydown)='searchDatas()' class='form-control' 
									bsDatepicker #d='bsDatepicker' placement='bottom left'&gt;
									&lt;i class='fa fa-calendar-alt' (click)='d.toggle()'&gt;&lt;/i&gt;
								&lt;/div&gt;</v>
      </c>
      <c r="J41" s="31"/>
      <c r="K41" s="38" t="str">
        <f t="shared" ref="K41:K43" si="102">IF(OR(E41="DateTime",E41="TimeSpan"),
REPT(CHAR(9),5)&amp;"&lt;div class='col-md-12 form-group row'&gt;
"&amp;REPT(CHAR(9),6)&amp;"&lt;label class='col-md-2 form-control title'&gt;"&amp;C41&amp;"&lt;/label&gt;
"&amp;REPT(CHAR(9),6)&amp;"&lt;input type='text' class='col-md-10 form-control input-text' name='"&amp;D41&amp;"' 
"&amp;REPT(CHAR(9),6)&amp;"#datepicker='bsDatepicker' [(ngModel)]='rowdata."&amp;D41&amp;"'  bsDatepicker &gt;
"&amp;REPT(CHAR(9),5)&amp;"&lt;/div&gt;",
IF(AND(E41="string",F41="1"),
REPT(CHAR(9),5)&amp;"&lt;div class='col-md-12 form-group row'&gt;
"&amp;REPT(CHAR(9),6)&amp;"&lt;label class='col-md-2 form-control title'&gt;"&amp;C41&amp;"&lt;/label&gt;
"&amp;REPT(CHAR(9),6)&amp;"&lt;new-checkbox [(ngModel)]='_"&amp;D41&amp;"' name='"&amp;D41&amp;"' className='col-md-10' &gt; &lt;/new-checkbox&gt;
"&amp;REPT(CHAR(9),5)&amp;"&lt;/div&gt;",
IF(E41="string",
REPT(CHAR(9),5)&amp;"&lt;div class='col-md-12 form-group row'&gt;
"&amp;REPT(CHAR(9),6)&amp;"&lt;label class='col-md-2 form-control title'&gt;"&amp;C41&amp;"&lt;/label&gt;
"&amp;REPT(CHAR(9),6)&amp;"&lt;input type='text' class='col-md-10 form-control input-text' name='"&amp;B41&amp;"' [(ngModel)]='rowdata."&amp;D41&amp;"'&gt;
"&amp;REPT(CHAR(9),5)&amp;"&lt;/div&gt;",
IF(E41="int",
REPT(CHAR(9),5)&amp;"&lt;div class='col-md-12 form-group row'&gt;
"&amp;REPT(CHAR(9),6)&amp;"&lt;label class='col-md-2 form-control title'&gt;"&amp;C41&amp;"&lt;/label&gt;
"&amp;REPT(CHAR(9),6)&amp;"&lt;input type='number' class='col-md-10 form-control input-text' name='"&amp;B41&amp;"' [(ngModel)]='rowdata."&amp;D41&amp;"'&gt;
"&amp;REPT(CHAR(9),5)&amp;"&lt;/div&gt;",""))))</f>
        <v xml:space="preserve">					&lt;div class='col-md-12 form-group row'&gt;
						&lt;label class='col-md-2 form-control title'&gt;Up Recoat Date&lt;/label&gt;
						&lt;input type='text' class='col-md-10 form-control input-text' name='upRecoatDate' 
						#datepicker='bsDatepicker' [(ngModel)]='rowdata.upRecoatDate'  bsDatepicker &gt;
					&lt;/div&gt;</v>
      </c>
      <c r="L41" s="60" t="str">
        <f t="shared" ref="L41:L43" si="103">IF(E41="DateTime",
REPT(CHAR(9),2)&amp;"const dateValue =  this.rowdata."&amp;D41&amp;" ? new Date(this.rowdata."&amp;D41&amp;"?.toString()) : new Date();
"&amp;REPT(CHAR(9),2)&amp;"this.datepicker?.bsValueChange.emit(dateValue);","")</f>
        <v xml:space="preserve">		const dateValue =  this.rowdata.upRecoatDate ? new Date(this.rowdata.upRecoatDate?.toString()) : new Date();
		this.datepicker?.bsValueChange.emit(dateValue);</v>
      </c>
      <c r="M41" s="31"/>
      <c r="N41" s="31"/>
      <c r="O41" s="31"/>
      <c r="P41" s="31"/>
      <c r="Q41" s="31"/>
      <c r="R41" s="31"/>
      <c r="S41" s="31" t="str">
        <f t="shared" ref="S41:S43" si="104">REPT(CHAR(9),1)&amp;D41&amp;G41</f>
        <v xml:space="preserve">	upRecoatDate : any ;</v>
      </c>
      <c r="T41" s="31" t="str">
        <f t="shared" ref="T41:T43" si="105">REPT(CHAR(9),3)&amp;"this."&amp;D41&amp;","</f>
        <v xml:space="preserve">			this.upRecoatDate,</v>
      </c>
      <c r="U41" s="31" t="str">
        <f t="shared" ref="U41:U43" si="106">IF(E41="int",REPT(CHAR(9),2)&amp;"this."&amp;D41&amp;" = 0,",REPT(CHAR(9),2)&amp;"this."&amp;D41&amp;" = '',")</f>
        <v xml:space="preserve">		this.upRecoatDate = '',</v>
      </c>
      <c r="V41" s="31" t="str">
        <f t="shared" ref="V41:V43" si="107">IF(AND(E41="string",F41="1"),D41,"")</f>
        <v/>
      </c>
    </row>
    <row r="42" spans="1:22" ht="15" customHeight="1" x14ac:dyDescent="0.25">
      <c r="A42" s="31" t="s">
        <v>352</v>
      </c>
      <c r="B42" s="31" t="str">
        <f t="shared" si="96"/>
        <v>SubAssyDate</v>
      </c>
      <c r="C42" s="31" t="str">
        <f t="shared" si="97"/>
        <v>Sub Assy Date</v>
      </c>
      <c r="D42" s="31" t="str">
        <f t="shared" si="98"/>
        <v>subAssyDate</v>
      </c>
      <c r="E42" s="31" t="str">
        <f>A.Backend!H36</f>
        <v>DateTime</v>
      </c>
      <c r="F42" s="31" t="str">
        <f>A.Backend!G36</f>
        <v/>
      </c>
      <c r="G42" s="31" t="str">
        <f t="shared" si="99"/>
        <v xml:space="preserve"> : any ;</v>
      </c>
      <c r="H42" s="38" t="str">
        <f t="shared" si="100"/>
        <v xml:space="preserve">			{headerName: this.l('Sub Assy Date'),headerTooltip: this.l('Sub Assy Date'),field: 'subAssyDate',valueGetter: (params) =&gt; this.pipe.transform(params.data?.subAssyDate, 'dd/MM/yyyy'),flex: 1},</v>
      </c>
      <c r="I42" s="38" t="str">
        <f t="shared" si="101"/>
        <v xml:space="preserve">								&lt;div class='input-search'&gt;
									&lt;input type='text' [placeholder]="l('Sub Assy Date')" [(ngModel)]='subAssyDate' 
									name='subAssyDate' (keydown)='searchDatas()' class='form-control' 
									bsDatepicker #d='bsDatepicker' placement='bottom left'&gt;
									&lt;i class='fa fa-calendar-alt' (click)='d.toggle()'&gt;&lt;/i&gt;
								&lt;/div&gt;</v>
      </c>
      <c r="J42" s="31"/>
      <c r="K42" s="38" t="str">
        <f t="shared" si="102"/>
        <v xml:space="preserve">					&lt;div class='col-md-12 form-group row'&gt;
						&lt;label class='col-md-2 form-control title'&gt;Sub Assy Date&lt;/label&gt;
						&lt;input type='text' class='col-md-10 form-control input-text' name='subAssyDate' 
						#datepicker='bsDatepicker' [(ngModel)]='rowdata.subAssyDate'  bsDatepicker &gt;
					&lt;/div&gt;</v>
      </c>
      <c r="L42" s="60" t="str">
        <f t="shared" si="103"/>
        <v xml:space="preserve">		const dateValue =  this.rowdata.subAssyDate ? new Date(this.rowdata.subAssyDate?.toString()) : new Date();
		this.datepicker?.bsValueChange.emit(dateValue);</v>
      </c>
      <c r="M42" s="31"/>
      <c r="N42" s="31"/>
      <c r="O42" s="31"/>
      <c r="P42" s="31"/>
      <c r="Q42" s="31"/>
      <c r="R42" s="31"/>
      <c r="S42" s="31" t="str">
        <f t="shared" si="104"/>
        <v xml:space="preserve">	subAssyDate : any ;</v>
      </c>
      <c r="T42" s="31" t="str">
        <f t="shared" si="105"/>
        <v xml:space="preserve">			this.subAssyDate,</v>
      </c>
      <c r="U42" s="31" t="str">
        <f t="shared" si="106"/>
        <v xml:space="preserve">		this.subAssyDate = '',</v>
      </c>
      <c r="V42" s="31" t="str">
        <f t="shared" si="107"/>
        <v/>
      </c>
    </row>
    <row r="43" spans="1:22" ht="15" customHeight="1" x14ac:dyDescent="0.25">
      <c r="A43" s="31" t="s">
        <v>357</v>
      </c>
      <c r="B43" s="31" t="str">
        <f t="shared" si="96"/>
        <v>SubAssyPunchDate</v>
      </c>
      <c r="C43" s="31" t="str">
        <f t="shared" si="97"/>
        <v>Sub Assy Punch Date</v>
      </c>
      <c r="D43" s="31" t="str">
        <f t="shared" si="98"/>
        <v>subAssyPunchDate</v>
      </c>
      <c r="E43" s="31" t="str">
        <f>A.Backend!H37</f>
        <v>DateTime</v>
      </c>
      <c r="F43" s="31" t="str">
        <f>A.Backend!G37</f>
        <v/>
      </c>
      <c r="G43" s="31" t="str">
        <f t="shared" si="99"/>
        <v xml:space="preserve"> : any ;</v>
      </c>
      <c r="H43" s="38" t="str">
        <f t="shared" si="100"/>
        <v xml:space="preserve">			{headerName: this.l('Sub Assy Punch Date'),headerTooltip: this.l('Sub Assy Punch Date'),field: 'subAssyPunchDate',valueGetter: (params) =&gt; this.pipe.transform(params.data?.subAssyPunchDate, 'dd/MM/yyyy'),flex: 1},</v>
      </c>
      <c r="I43" s="38" t="str">
        <f t="shared" si="101"/>
        <v xml:space="preserve">								&lt;div class='input-search'&gt;
									&lt;input type='text' [placeholder]="l('Sub Assy Punch Date')" [(ngModel)]='subAssyPunchDate' 
									name='subAssyPunchDate' (keydown)='searchDatas()' class='form-control' 
									bsDatepicker #d='bsDatepicker' placement='bottom left'&gt;
									&lt;i class='fa fa-calendar-alt' (click)='d.toggle()'&gt;&lt;/i&gt;
								&lt;/div&gt;</v>
      </c>
      <c r="J43" s="31"/>
      <c r="K43" s="38" t="str">
        <f t="shared" si="102"/>
        <v xml:space="preserve">					&lt;div class='col-md-12 form-group row'&gt;
						&lt;label class='col-md-2 form-control title'&gt;Sub Assy Punch Date&lt;/label&gt;
						&lt;input type='text' class='col-md-10 form-control input-text' name='subAssyPunchDate' 
						#datepicker='bsDatepicker' [(ngModel)]='rowdata.subAssyPunchDate'  bsDatepicker &gt;
					&lt;/div&gt;</v>
      </c>
      <c r="L43" s="60" t="str">
        <f t="shared" si="103"/>
        <v xml:space="preserve">		const dateValue =  this.rowdata.subAssyPunchDate ? new Date(this.rowdata.subAssyPunchDate?.toString()) : new Date();
		this.datepicker?.bsValueChange.emit(dateValue);</v>
      </c>
      <c r="M43" s="31"/>
      <c r="N43" s="31"/>
      <c r="O43" s="31"/>
      <c r="P43" s="31"/>
      <c r="Q43" s="31"/>
      <c r="R43" s="31"/>
      <c r="S43" s="31" t="str">
        <f t="shared" si="104"/>
        <v xml:space="preserve">	subAssyPunchDate : any ;</v>
      </c>
      <c r="T43" s="31" t="str">
        <f t="shared" si="105"/>
        <v xml:space="preserve">			this.subAssyPunchDate,</v>
      </c>
      <c r="U43" s="31" t="str">
        <f t="shared" si="106"/>
        <v xml:space="preserve">		this.subAssyPunchDate = '',</v>
      </c>
      <c r="V43" s="31" t="str">
        <f t="shared" si="107"/>
        <v/>
      </c>
    </row>
    <row r="44" spans="1:22" ht="15" customHeight="1" x14ac:dyDescent="0.25">
      <c r="A44" s="31" t="s">
        <v>358</v>
      </c>
      <c r="B44" s="31" t="str">
        <f>SUBSTITUTE(PROPER(A44),"_","")</f>
        <v>SubAssySkipDate</v>
      </c>
      <c r="C44" s="31" t="str">
        <f>SUBSTITUTE(PROPER(A44),"_"," ")</f>
        <v>Sub Assy Skip Date</v>
      </c>
      <c r="D44" s="31" t="str">
        <f>LOWER(LEFT(B44,1))&amp;RIGHT(B44,LEN(B44) - 1)</f>
        <v>subAssySkipDate</v>
      </c>
      <c r="E44" s="31" t="str">
        <f>A.Backend!H38</f>
        <v>DateTime</v>
      </c>
      <c r="F44" s="31" t="str">
        <f>A.Backend!G38</f>
        <v/>
      </c>
      <c r="G44" s="31" t="str">
        <f>IF(E44="string"," : string = '' ; ",IF(OR(E44="DateTime",E44="TimeSpan")," : any ;",IF(E44="int"," : number = 0 ;","")))</f>
        <v xml:space="preserve"> : any ;</v>
      </c>
      <c r="H44" s="38" t="str">
        <f>IF(E44="DateTime",
REPT(CHAR(9),3)&amp;"{headerName: this.l('"&amp;C44&amp;"'),headerTooltip: this.l('"&amp;C44&amp;"'),field: '"&amp;D44&amp;"',valueGetter: (params) =&gt; this.pipe.transform(params.data?."&amp;D44&amp;", 'dd/MM/yyyy'),flex: 1},",
IF(AND(E44="string",F44="1"),
REPT(CHAR(9),3)&amp;"{headerName: this.l('"&amp;C44&amp;"'),headerTooltip: this.l('"&amp;C44&amp;"'),field:  '"&amp;D44&amp;"', cellClass: ['text-center'], width: 120, cellRenderer: 'agCellButtonComponent',
buttonDefTwo: { text: params =&gt; (params.data?.'"&amp;D44&amp;"' == 'Y') ? 'Active' : 'Inactive',iconName: 'fa fa-circle',className: params =&gt; (params.data?.'"&amp;D44&amp;"' == 'Y') ? 'btnActive' : 'btnInActive',},}",
REPT(CHAR(9),3)&amp;"{headerName: this.l('"&amp;C44&amp;"'),headerTooltip: this.l('"&amp;C44&amp;"'),field: '"&amp;D44&amp;"',flex: 1},"))</f>
        <v xml:space="preserve">			{headerName: this.l('Sub Assy Skip Date'),headerTooltip: this.l('Sub Assy Skip Date'),field: 'subAssySkipDate',valueGetter: (params) =&gt; this.pipe.transform(params.data?.subAssySkipDate, 'dd/MM/yyyy'),flex: 1},</v>
      </c>
      <c r="I44" s="38" t="str">
        <f>IF(E44="DateTime",
REPT(CHAR(9),8)&amp;"&lt;div class='input-search'&gt;
"&amp;REPT(CHAR(9),9)&amp;"&lt;input type='text' [placeholder]=""l('"&amp;C44&amp;"')"" [(ngModel)]='"&amp;D44&amp;"' 
"&amp;REPT(CHAR(9),9)&amp;"name='"&amp;D44&amp;"' (keydown)='searchDatas()' class='form-control' 
"&amp;REPT(CHAR(9),9)&amp;"bsDatepicker #d='bsDatepicker' placement='bottom left'&gt;
"&amp;REPT(CHAR(9),9)&amp;"&lt;i class='fa fa-calendar-alt' (click)='d.toggle()'&gt;&lt;/i&gt;
"&amp;REPT(CHAR(9),8)&amp;"&lt;/div&gt;",
IF(E44="string",
REPT(CHAR(9),8)&amp;"&lt;div class='input-search'&gt;
"&amp;REPT(CHAR(9),9)&amp;"&lt;input [(ngModel)]='"&amp;D44&amp;"' name='"&amp;D44&amp;"'
"&amp;REPT(CHAR(9),9)&amp;"class='form-control' [placeholder]=""l('"&amp;C44&amp;"')""
"&amp;REPT(CHAR(9),9)&amp;"type='text' (keyup.enter)='searchDatas()'&gt;
"&amp;REPT(CHAR(9),8)&amp;"&lt;/div&gt;",""))</f>
        <v xml:space="preserve">								&lt;div class='input-search'&gt;
									&lt;input type='text' [placeholder]="l('Sub Assy Skip Date')" [(ngModel)]='subAssySkipDate' 
									name='subAssySkipDate' (keydown)='searchDatas()' class='form-control' 
									bsDatepicker #d='bsDatepicker' placement='bottom left'&gt;
									&lt;i class='fa fa-calendar-alt' (click)='d.toggle()'&gt;&lt;/i&gt;
								&lt;/div&gt;</v>
      </c>
      <c r="J44" s="31"/>
      <c r="K44" s="38" t="str">
        <f>IF(OR(E44="DateTime",E44="TimeSpan"),
REPT(CHAR(9),5)&amp;"&lt;div class='col-md-12 form-group row'&gt;
"&amp;REPT(CHAR(9),6)&amp;"&lt;label class='col-md-2 form-control title'&gt;"&amp;C44&amp;"&lt;/label&gt;
"&amp;REPT(CHAR(9),6)&amp;"&lt;input type='text' class='col-md-10 form-control input-text' name='"&amp;D44&amp;"' 
"&amp;REPT(CHAR(9),6)&amp;"#datepicker='bsDatepicker' [(ngModel)]='rowdata."&amp;D44&amp;"'  bsDatepicker &gt;
"&amp;REPT(CHAR(9),5)&amp;"&lt;/div&gt;",
IF(AND(E44="string",F44="1"),
REPT(CHAR(9),5)&amp;"&lt;div class='col-md-12 form-group row'&gt;
"&amp;REPT(CHAR(9),6)&amp;"&lt;label class='col-md-2 form-control title'&gt;"&amp;C44&amp;"&lt;/label&gt;
"&amp;REPT(CHAR(9),6)&amp;"&lt;new-checkbox [(ngModel)]='_"&amp;D44&amp;"' name='"&amp;D44&amp;"' className='col-md-10' &gt; &lt;/new-checkbox&gt;
"&amp;REPT(CHAR(9),5)&amp;"&lt;/div&gt;",
IF(E44="string",
REPT(CHAR(9),5)&amp;"&lt;div class='col-md-12 form-group row'&gt;
"&amp;REPT(CHAR(9),6)&amp;"&lt;label class='col-md-2 form-control title'&gt;"&amp;C44&amp;"&lt;/label&gt;
"&amp;REPT(CHAR(9),6)&amp;"&lt;input type='text' class='col-md-10 form-control input-text' name='"&amp;B44&amp;"' [(ngModel)]='rowdata."&amp;D44&amp;"'&gt;
"&amp;REPT(CHAR(9),5)&amp;"&lt;/div&gt;",
IF(E44="int",
REPT(CHAR(9),5)&amp;"&lt;div class='col-md-12 form-group row'&gt;
"&amp;REPT(CHAR(9),6)&amp;"&lt;label class='col-md-2 form-control title'&gt;"&amp;C44&amp;"&lt;/label&gt;
"&amp;REPT(CHAR(9),6)&amp;"&lt;input type='number' class='col-md-10 form-control input-text' name='"&amp;B44&amp;"' [(ngModel)]='rowdata."&amp;D44&amp;"'&gt;
"&amp;REPT(CHAR(9),5)&amp;"&lt;/div&gt;",""))))</f>
        <v xml:space="preserve">					&lt;div class='col-md-12 form-group row'&gt;
						&lt;label class='col-md-2 form-control title'&gt;Sub Assy Skip Date&lt;/label&gt;
						&lt;input type='text' class='col-md-10 form-control input-text' name='subAssySkipDate' 
						#datepicker='bsDatepicker' [(ngModel)]='rowdata.subAssySkipDate'  bsDatepicker &gt;
					&lt;/div&gt;</v>
      </c>
      <c r="L44" s="60" t="str">
        <f>IF(E44="DateTime",
REPT(CHAR(9),2)&amp;"const dateValue =  this.rowdata."&amp;D44&amp;" ? new Date(this.rowdata."&amp;D44&amp;"?.toString()) : new Date();
"&amp;REPT(CHAR(9),2)&amp;"this.datepicker?.bsValueChange.emit(dateValue);","")</f>
        <v xml:space="preserve">		const dateValue =  this.rowdata.subAssySkipDate ? new Date(this.rowdata.subAssySkipDate?.toString()) : new Date();
		this.datepicker?.bsValueChange.emit(dateValue);</v>
      </c>
      <c r="M44" s="31"/>
      <c r="N44" s="31"/>
      <c r="O44" s="31"/>
      <c r="P44" s="31"/>
      <c r="Q44" s="31"/>
      <c r="R44" s="31"/>
      <c r="S44" s="31" t="str">
        <f>REPT(CHAR(9),1)&amp;D44&amp;G44</f>
        <v xml:space="preserve">	subAssySkipDate : any ;</v>
      </c>
      <c r="T44" s="31" t="str">
        <f>REPT(CHAR(9),3)&amp;"this."&amp;D44&amp;","</f>
        <v xml:space="preserve">			this.subAssySkipDate,</v>
      </c>
      <c r="U44" s="31" t="str">
        <f>IF(E44="int",REPT(CHAR(9),2)&amp;"this."&amp;D44&amp;" = 0,",REPT(CHAR(9),2)&amp;"this."&amp;D44&amp;" = '',")</f>
        <v xml:space="preserve">		this.subAssySkipDate = '',</v>
      </c>
      <c r="V44" s="31" t="str">
        <f>IF(AND(E44="string",F44="1"),D44,"")</f>
        <v/>
      </c>
    </row>
    <row r="45" spans="1:22" ht="15" customHeight="1" x14ac:dyDescent="0.25">
      <c r="A45" s="31" t="s">
        <v>359</v>
      </c>
      <c r="B45" s="31" t="str">
        <f>SUBSTITUTE(PROPER(A45),"_","")</f>
        <v>SubAssyRecoatDate</v>
      </c>
      <c r="C45" s="31" t="str">
        <f>SUBSTITUTE(PROPER(A45),"_"," ")</f>
        <v>Sub Assy Recoat Date</v>
      </c>
      <c r="D45" s="31" t="str">
        <f>LOWER(LEFT(B45,1))&amp;RIGHT(B45,LEN(B45) - 1)</f>
        <v>subAssyRecoatDate</v>
      </c>
      <c r="E45" s="31" t="str">
        <f>A.Backend!H39</f>
        <v>DateTime</v>
      </c>
      <c r="F45" s="31" t="str">
        <f>A.Backend!G39</f>
        <v/>
      </c>
      <c r="G45" s="31" t="str">
        <f>IF(E45="string"," : string = '' ; ",IF(OR(E45="DateTime",E45="TimeSpan")," : any ;",IF(E45="int"," : number = 0 ;","")))</f>
        <v xml:space="preserve"> : any ;</v>
      </c>
      <c r="H45" s="38" t="str">
        <f>IF(E45="DateTime",
REPT(CHAR(9),3)&amp;"{headerName: this.l('"&amp;C45&amp;"'),headerTooltip: this.l('"&amp;C45&amp;"'),field: '"&amp;D45&amp;"',valueGetter: (params) =&gt; this.pipe.transform(params.data?."&amp;D45&amp;", 'dd/MM/yyyy'),flex: 1},",
IF(AND(E45="string",F45="1"),
REPT(CHAR(9),3)&amp;"{headerName: this.l('"&amp;C45&amp;"'),headerTooltip: this.l('"&amp;C45&amp;"'),field:  '"&amp;D45&amp;"', cellClass: ['text-center'], width: 120, cellRenderer: 'agCellButtonComponent',
buttonDefTwo: { text: params =&gt; (params.data?.'"&amp;D45&amp;"' == 'Y') ? 'Active' : 'Inactive',iconName: 'fa fa-circle',className: params =&gt; (params.data?.'"&amp;D45&amp;"' == 'Y') ? 'btnActive' : 'btnInActive',},}",
REPT(CHAR(9),3)&amp;"{headerName: this.l('"&amp;C45&amp;"'),headerTooltip: this.l('"&amp;C45&amp;"'),field: '"&amp;D45&amp;"',flex: 1},"))</f>
        <v xml:space="preserve">			{headerName: this.l('Sub Assy Recoat Date'),headerTooltip: this.l('Sub Assy Recoat Date'),field: 'subAssyRecoatDate',valueGetter: (params) =&gt; this.pipe.transform(params.data?.subAssyRecoatDate, 'dd/MM/yyyy'),flex: 1},</v>
      </c>
      <c r="I45" s="38" t="str">
        <f>IF(E45="DateTime",
REPT(CHAR(9),8)&amp;"&lt;div class='input-search'&gt;
"&amp;REPT(CHAR(9),9)&amp;"&lt;input type='text' [placeholder]=""l('"&amp;C45&amp;"')"" [(ngModel)]='"&amp;D45&amp;"' 
"&amp;REPT(CHAR(9),9)&amp;"name='"&amp;D45&amp;"' (keydown)='searchDatas()' class='form-control' 
"&amp;REPT(CHAR(9),9)&amp;"bsDatepicker #d='bsDatepicker' placement='bottom left'&gt;
"&amp;REPT(CHAR(9),9)&amp;"&lt;i class='fa fa-calendar-alt' (click)='d.toggle()'&gt;&lt;/i&gt;
"&amp;REPT(CHAR(9),8)&amp;"&lt;/div&gt;",
IF(E45="string",
REPT(CHAR(9),8)&amp;"&lt;div class='input-search'&gt;
"&amp;REPT(CHAR(9),9)&amp;"&lt;input [(ngModel)]='"&amp;D45&amp;"' name='"&amp;D45&amp;"'
"&amp;REPT(CHAR(9),9)&amp;"class='form-control' [placeholder]=""l('"&amp;C45&amp;"')""
"&amp;REPT(CHAR(9),9)&amp;"type='text' (keyup.enter)='searchDatas()'&gt;
"&amp;REPT(CHAR(9),8)&amp;"&lt;/div&gt;",""))</f>
        <v xml:space="preserve">								&lt;div class='input-search'&gt;
									&lt;input type='text' [placeholder]="l('Sub Assy Recoat Date')" [(ngModel)]='subAssyRecoatDate' 
									name='subAssyRecoatDate' (keydown)='searchDatas()' class='form-control' 
									bsDatepicker #d='bsDatepicker' placement='bottom left'&gt;
									&lt;i class='fa fa-calendar-alt' (click)='d.toggle()'&gt;&lt;/i&gt;
								&lt;/div&gt;</v>
      </c>
      <c r="J45" s="31"/>
      <c r="K45" s="38" t="str">
        <f>IF(OR(E45="DateTime",E45="TimeSpan"),
REPT(CHAR(9),5)&amp;"&lt;div class='col-md-12 form-group row'&gt;
"&amp;REPT(CHAR(9),6)&amp;"&lt;label class='col-md-2 form-control title'&gt;"&amp;C45&amp;"&lt;/label&gt;
"&amp;REPT(CHAR(9),6)&amp;"&lt;input type='text' class='col-md-10 form-control input-text' name='"&amp;D45&amp;"' 
"&amp;REPT(CHAR(9),6)&amp;"#datepicker='bsDatepicker' [(ngModel)]='rowdata."&amp;D45&amp;"'  bsDatepicker &gt;
"&amp;REPT(CHAR(9),5)&amp;"&lt;/div&gt;",
IF(AND(E45="string",F45="1"),
REPT(CHAR(9),5)&amp;"&lt;div class='col-md-12 form-group row'&gt;
"&amp;REPT(CHAR(9),6)&amp;"&lt;label class='col-md-2 form-control title'&gt;"&amp;C45&amp;"&lt;/label&gt;
"&amp;REPT(CHAR(9),6)&amp;"&lt;new-checkbox [(ngModel)]='_"&amp;D45&amp;"' name='"&amp;D45&amp;"' className='col-md-10' &gt; &lt;/new-checkbox&gt;
"&amp;REPT(CHAR(9),5)&amp;"&lt;/div&gt;",
IF(E45="string",
REPT(CHAR(9),5)&amp;"&lt;div class='col-md-12 form-group row'&gt;
"&amp;REPT(CHAR(9),6)&amp;"&lt;label class='col-md-2 form-control title'&gt;"&amp;C45&amp;"&lt;/label&gt;
"&amp;REPT(CHAR(9),6)&amp;"&lt;input type='text' class='col-md-10 form-control input-text' name='"&amp;B45&amp;"' [(ngModel)]='rowdata."&amp;D45&amp;"'&gt;
"&amp;REPT(CHAR(9),5)&amp;"&lt;/div&gt;",
IF(E45="int",
REPT(CHAR(9),5)&amp;"&lt;div class='col-md-12 form-group row'&gt;
"&amp;REPT(CHAR(9),6)&amp;"&lt;label class='col-md-2 form-control title'&gt;"&amp;C45&amp;"&lt;/label&gt;
"&amp;REPT(CHAR(9),6)&amp;"&lt;input type='number' class='col-md-10 form-control input-text' name='"&amp;B45&amp;"' [(ngModel)]='rowdata."&amp;D45&amp;"'&gt;
"&amp;REPT(CHAR(9),5)&amp;"&lt;/div&gt;",""))))</f>
        <v xml:space="preserve">					&lt;div class='col-md-12 form-group row'&gt;
						&lt;label class='col-md-2 form-control title'&gt;Sub Assy Recoat Date&lt;/label&gt;
						&lt;input type='text' class='col-md-10 form-control input-text' name='subAssyRecoatDate' 
						#datepicker='bsDatepicker' [(ngModel)]='rowdata.subAssyRecoatDate'  bsDatepicker &gt;
					&lt;/div&gt;</v>
      </c>
      <c r="L45" s="60" t="str">
        <f>IF(E45="DateTime",
REPT(CHAR(9),2)&amp;"const dateValue =  this.rowdata."&amp;D45&amp;" ? new Date(this.rowdata."&amp;D45&amp;"?.toString()) : new Date();
"&amp;REPT(CHAR(9),2)&amp;"this.datepicker?.bsValueChange.emit(dateValue);","")</f>
        <v xml:space="preserve">		const dateValue =  this.rowdata.subAssyRecoatDate ? new Date(this.rowdata.subAssyRecoatDate?.toString()) : new Date();
		this.datepicker?.bsValueChange.emit(dateValue);</v>
      </c>
      <c r="M45" s="31"/>
      <c r="N45" s="31"/>
      <c r="O45" s="31"/>
      <c r="P45" s="31"/>
      <c r="Q45" s="31"/>
      <c r="R45" s="31"/>
      <c r="S45" s="31" t="str">
        <f>REPT(CHAR(9),1)&amp;D45&amp;G45</f>
        <v xml:space="preserve">	subAssyRecoatDate : any ;</v>
      </c>
      <c r="T45" s="31" t="str">
        <f>REPT(CHAR(9),3)&amp;"this."&amp;D45&amp;","</f>
        <v xml:space="preserve">			this.subAssyRecoatDate,</v>
      </c>
      <c r="U45" s="31" t="str">
        <f>IF(E45="int",REPT(CHAR(9),2)&amp;"this."&amp;D45&amp;" = 0,",REPT(CHAR(9),2)&amp;"this."&amp;D45&amp;" = '',")</f>
        <v xml:space="preserve">		this.subAssyRecoatDate = '',</v>
      </c>
      <c r="V45" s="31" t="str">
        <f>IF(AND(E45="string",F45="1"),D45,"")</f>
        <v/>
      </c>
    </row>
    <row r="46" spans="1:22" ht="15" customHeight="1" x14ac:dyDescent="0.25">
      <c r="A46" s="31" t="s">
        <v>348</v>
      </c>
      <c r="B46" s="31" t="str">
        <f t="shared" ref="B46:B47" si="108">SUBSTITUTE(PROPER(A46),"_","")</f>
        <v>SignalId</v>
      </c>
      <c r="C46" s="31" t="str">
        <f t="shared" ref="C46:C47" si="109">SUBSTITUTE(PROPER(A46),"_"," ")</f>
        <v>Signal Id</v>
      </c>
      <c r="D46" s="31" t="str">
        <f t="shared" ref="D46:D47" si="110">LOWER(LEFT(B46,1))&amp;RIGHT(B46,LEN(B46) - 1)</f>
        <v>signalId</v>
      </c>
      <c r="E46" s="31" t="str">
        <f>A.Backend!H40</f>
        <v>long</v>
      </c>
      <c r="F46" s="31" t="str">
        <f>A.Backend!G40</f>
        <v/>
      </c>
      <c r="G46" s="31" t="str">
        <f t="shared" ref="G46:G47" si="111">IF(E46="string"," : string = '' ; ",IF(OR(E46="DateTime",E46="TimeSpan")," : any ;",IF(E46="int"," : number = 0 ;","")))</f>
        <v/>
      </c>
      <c r="H46" s="38" t="str">
        <f t="shared" ref="H46:H47" si="112">IF(E46="DateTime",
REPT(CHAR(9),3)&amp;"{headerName: this.l('"&amp;C46&amp;"'),headerTooltip: this.l('"&amp;C46&amp;"'),field: '"&amp;D46&amp;"',valueGetter: (params) =&gt; this.pipe.transform(params.data?."&amp;D46&amp;", 'dd/MM/yyyy'),flex: 1},",
IF(AND(E46="string",F46="1"),
REPT(CHAR(9),3)&amp;"{headerName: this.l('"&amp;C46&amp;"'),headerTooltip: this.l('"&amp;C46&amp;"'),field:  '"&amp;D46&amp;"', cellClass: ['text-center'], width: 120, cellRenderer: 'agCellButtonComponent',
buttonDefTwo: { text: params =&gt; (params.data?.'"&amp;D46&amp;"' == 'Y') ? 'Active' : 'Inactive',iconName: 'fa fa-circle',className: params =&gt; (params.data?.'"&amp;D46&amp;"' == 'Y') ? 'btnActive' : 'btnInActive',},}",
REPT(CHAR(9),3)&amp;"{headerName: this.l('"&amp;C46&amp;"'),headerTooltip: this.l('"&amp;C46&amp;"'),field: '"&amp;D46&amp;"',flex: 1},"))</f>
        <v xml:space="preserve">			{headerName: this.l('Signal Id'),headerTooltip: this.l('Signal Id'),field: 'signalId',flex: 1},</v>
      </c>
      <c r="I46" s="38" t="str">
        <f t="shared" ref="I46:I47" si="113">IF(E46="DateTime",
REPT(CHAR(9),8)&amp;"&lt;div class='input-search'&gt;
"&amp;REPT(CHAR(9),9)&amp;"&lt;input type='text' [placeholder]=""l('"&amp;C46&amp;"')"" [(ngModel)]='"&amp;D46&amp;"' 
"&amp;REPT(CHAR(9),9)&amp;"name='"&amp;D46&amp;"' (keydown)='searchDatas()' class='form-control' 
"&amp;REPT(CHAR(9),9)&amp;"bsDatepicker #d='bsDatepicker' placement='bottom left'&gt;
"&amp;REPT(CHAR(9),9)&amp;"&lt;i class='fa fa-calendar-alt' (click)='d.toggle()'&gt;&lt;/i&gt;
"&amp;REPT(CHAR(9),8)&amp;"&lt;/div&gt;",
IF(E46="string",
REPT(CHAR(9),8)&amp;"&lt;div class='input-search'&gt;
"&amp;REPT(CHAR(9),9)&amp;"&lt;input [(ngModel)]='"&amp;D46&amp;"' name='"&amp;D46&amp;"'
"&amp;REPT(CHAR(9),9)&amp;"class='form-control' [placeholder]=""l('"&amp;C46&amp;"')""
"&amp;REPT(CHAR(9),9)&amp;"type='text' (keyup.enter)='searchDatas()'&gt;
"&amp;REPT(CHAR(9),8)&amp;"&lt;/div&gt;",""))</f>
        <v/>
      </c>
      <c r="J46" s="31"/>
      <c r="K46" s="38" t="str">
        <f t="shared" ref="K46:K47" si="114">IF(OR(E46="DateTime",E46="TimeSpan"),
REPT(CHAR(9),5)&amp;"&lt;div class='col-md-12 form-group row'&gt;
"&amp;REPT(CHAR(9),6)&amp;"&lt;label class='col-md-2 form-control title'&gt;"&amp;C46&amp;"&lt;/label&gt;
"&amp;REPT(CHAR(9),6)&amp;"&lt;input type='text' class='col-md-10 form-control input-text' name='"&amp;D46&amp;"' 
"&amp;REPT(CHAR(9),6)&amp;"#datepicker='bsDatepicker' [(ngModel)]='rowdata."&amp;D46&amp;"'  bsDatepicker &gt;
"&amp;REPT(CHAR(9),5)&amp;"&lt;/div&gt;",
IF(AND(E46="string",F46="1"),
REPT(CHAR(9),5)&amp;"&lt;div class='col-md-12 form-group row'&gt;
"&amp;REPT(CHAR(9),6)&amp;"&lt;label class='col-md-2 form-control title'&gt;"&amp;C46&amp;"&lt;/label&gt;
"&amp;REPT(CHAR(9),6)&amp;"&lt;new-checkbox [(ngModel)]='_"&amp;D46&amp;"' name='"&amp;D46&amp;"' className='col-md-10' &gt; &lt;/new-checkbox&gt;
"&amp;REPT(CHAR(9),5)&amp;"&lt;/div&gt;",
IF(E46="string",
REPT(CHAR(9),5)&amp;"&lt;div class='col-md-12 form-group row'&gt;
"&amp;REPT(CHAR(9),6)&amp;"&lt;label class='col-md-2 form-control title'&gt;"&amp;C46&amp;"&lt;/label&gt;
"&amp;REPT(CHAR(9),6)&amp;"&lt;input type='text' class='col-md-10 form-control input-text' name='"&amp;B46&amp;"' [(ngModel)]='rowdata."&amp;D46&amp;"'&gt;
"&amp;REPT(CHAR(9),5)&amp;"&lt;/div&gt;",
IF(E46="int",
REPT(CHAR(9),5)&amp;"&lt;div class='col-md-12 form-group row'&gt;
"&amp;REPT(CHAR(9),6)&amp;"&lt;label class='col-md-2 form-control title'&gt;"&amp;C46&amp;"&lt;/label&gt;
"&amp;REPT(CHAR(9),6)&amp;"&lt;input type='number' class='col-md-10 form-control input-text' name='"&amp;B46&amp;"' [(ngModel)]='rowdata."&amp;D46&amp;"'&gt;
"&amp;REPT(CHAR(9),5)&amp;"&lt;/div&gt;",""))))</f>
        <v/>
      </c>
      <c r="L46" s="60" t="str">
        <f t="shared" ref="L46:L47" si="115">IF(E46="DateTime",
REPT(CHAR(9),2)&amp;"const dateValue =  this.rowdata."&amp;D46&amp;" ? new Date(this.rowdata."&amp;D46&amp;"?.toString()) : new Date();
"&amp;REPT(CHAR(9),2)&amp;"this.datepicker?.bsValueChange.emit(dateValue);","")</f>
        <v/>
      </c>
      <c r="M46" s="31"/>
      <c r="N46" s="31"/>
      <c r="O46" s="31"/>
      <c r="P46" s="31"/>
      <c r="Q46" s="31"/>
      <c r="R46" s="31"/>
      <c r="S46" s="31" t="str">
        <f t="shared" ref="S46:S47" si="116">REPT(CHAR(9),1)&amp;D46&amp;G46</f>
        <v xml:space="preserve">	signalId</v>
      </c>
      <c r="T46" s="31" t="str">
        <f t="shared" ref="T46:T47" si="117">REPT(CHAR(9),3)&amp;"this."&amp;D46&amp;","</f>
        <v xml:space="preserve">			this.signalId,</v>
      </c>
      <c r="U46" s="31" t="str">
        <f t="shared" ref="U46:U47" si="118">IF(E46="int",REPT(CHAR(9),2)&amp;"this."&amp;D46&amp;" = 0,",REPT(CHAR(9),2)&amp;"this."&amp;D46&amp;" = '',")</f>
        <v xml:space="preserve">		this.signalId = '',</v>
      </c>
      <c r="V46" s="31" t="str">
        <f t="shared" ref="V46:V47" si="119">IF(AND(E46="string",F46="1"),D46,"")</f>
        <v/>
      </c>
    </row>
    <row r="47" spans="1:22" ht="15" customHeight="1" x14ac:dyDescent="0.25">
      <c r="A47" s="31" t="s">
        <v>349</v>
      </c>
      <c r="B47" s="31" t="str">
        <f t="shared" si="108"/>
        <v>SignalCode</v>
      </c>
      <c r="C47" s="31" t="str">
        <f t="shared" si="109"/>
        <v>Signal Code</v>
      </c>
      <c r="D47" s="31" t="str">
        <f t="shared" si="110"/>
        <v>signalCode</v>
      </c>
      <c r="E47" s="31" t="str">
        <f>A.Backend!H41</f>
        <v>string</v>
      </c>
      <c r="F47" s="31" t="str">
        <f>A.Backend!G41</f>
        <v>50</v>
      </c>
      <c r="G47" s="31" t="str">
        <f t="shared" si="111"/>
        <v xml:space="preserve"> : string = '' ; </v>
      </c>
      <c r="H47" s="38" t="str">
        <f t="shared" si="112"/>
        <v xml:space="preserve">			{headerName: this.l('Signal Code'),headerTooltip: this.l('Signal Code'),field: 'signalCode',flex: 1},</v>
      </c>
      <c r="I47" s="38" t="str">
        <f t="shared" si="113"/>
        <v xml:space="preserve">								&lt;div class='input-search'&gt;
									&lt;input [(ngModel)]='signalCode' name='signalCode'
									class='form-control' [placeholder]="l('Signal Code')"
									type='text' (keyup.enter)='searchDatas()'&gt;
								&lt;/div&gt;</v>
      </c>
      <c r="J47" s="31"/>
      <c r="K47" s="38" t="str">
        <f t="shared" si="114"/>
        <v xml:space="preserve">					&lt;div class='col-md-12 form-group row'&gt;
						&lt;label class='col-md-2 form-control title'&gt;Signal Code&lt;/label&gt;
						&lt;input type='text' class='col-md-10 form-control input-text' name='SignalCode' [(ngModel)]='rowdata.signalCode'&gt;
					&lt;/div&gt;</v>
      </c>
      <c r="L47" s="60" t="str">
        <f t="shared" si="115"/>
        <v/>
      </c>
      <c r="M47" s="31"/>
      <c r="N47" s="31"/>
      <c r="O47" s="31"/>
      <c r="P47" s="31"/>
      <c r="Q47" s="31"/>
      <c r="R47" s="31"/>
      <c r="S47" s="31" t="str">
        <f t="shared" si="116"/>
        <v xml:space="preserve">	signalCode : string = '' ; </v>
      </c>
      <c r="T47" s="31" t="str">
        <f t="shared" si="117"/>
        <v xml:space="preserve">			this.signalCode,</v>
      </c>
      <c r="U47" s="31" t="str">
        <f t="shared" si="118"/>
        <v xml:space="preserve">		this.signalCode = '',</v>
      </c>
      <c r="V47" s="31" t="str">
        <f t="shared" si="119"/>
        <v/>
      </c>
    </row>
    <row r="48" spans="1:22" ht="15" customHeight="1" x14ac:dyDescent="0.25">
      <c r="A48" s="31" t="s">
        <v>360</v>
      </c>
      <c r="B48" s="31" t="str">
        <f t="shared" ref="B48:B49" si="120">SUBSTITUTE(PROPER(A48),"_","")</f>
        <v>UpSignalDate</v>
      </c>
      <c r="C48" s="31" t="str">
        <f t="shared" ref="C48:C49" si="121">SUBSTITUTE(PROPER(A48),"_"," ")</f>
        <v>Up Signal Date</v>
      </c>
      <c r="D48" s="31" t="str">
        <f t="shared" ref="D48:D49" si="122">LOWER(LEFT(B48,1))&amp;RIGHT(B48,LEN(B48) - 1)</f>
        <v>upSignalDate</v>
      </c>
      <c r="E48" s="31" t="str">
        <f>A.Backend!H42</f>
        <v>DateTime</v>
      </c>
      <c r="F48" s="31" t="str">
        <f>A.Backend!G42</f>
        <v/>
      </c>
      <c r="G48" s="31" t="str">
        <f t="shared" ref="G48:G49" si="123">IF(E48="string"," : string = '' ; ",IF(OR(E48="DateTime",E48="TimeSpan")," : any ;",IF(E48="int"," : number = 0 ;","")))</f>
        <v xml:space="preserve"> : any ;</v>
      </c>
      <c r="H48" s="38" t="str">
        <f t="shared" ref="H48:H49" si="124">IF(E48="DateTime",
REPT(CHAR(9),3)&amp;"{headerName: this.l('"&amp;C48&amp;"'),headerTooltip: this.l('"&amp;C48&amp;"'),field: '"&amp;D48&amp;"',valueGetter: (params) =&gt; this.pipe.transform(params.data?."&amp;D48&amp;", 'dd/MM/yyyy'),flex: 1},",
IF(AND(E48="string",F48="1"),
REPT(CHAR(9),3)&amp;"{headerName: this.l('"&amp;C48&amp;"'),headerTooltip: this.l('"&amp;C48&amp;"'),field:  '"&amp;D48&amp;"', cellClass: ['text-center'], width: 120, cellRenderer: 'agCellButtonComponent',
buttonDefTwo: { text: params =&gt; (params.data?.'"&amp;D48&amp;"' == 'Y') ? 'Active' : 'Inactive',iconName: 'fa fa-circle',className: params =&gt; (params.data?.'"&amp;D48&amp;"' == 'Y') ? 'btnActive' : 'btnInActive',},}",
REPT(CHAR(9),3)&amp;"{headerName: this.l('"&amp;C48&amp;"'),headerTooltip: this.l('"&amp;C48&amp;"'),field: '"&amp;D48&amp;"',flex: 1},"))</f>
        <v xml:space="preserve">			{headerName: this.l('Up Signal Date'),headerTooltip: this.l('Up Signal Date'),field: 'upSignalDate',valueGetter: (params) =&gt; this.pipe.transform(params.data?.upSignalDate, 'dd/MM/yyyy'),flex: 1},</v>
      </c>
      <c r="I48" s="38" t="str">
        <f t="shared" ref="I48:I49" si="125">IF(E48="DateTime",
REPT(CHAR(9),8)&amp;"&lt;div class='input-search'&gt;
"&amp;REPT(CHAR(9),9)&amp;"&lt;input type='text' [placeholder]=""l('"&amp;C48&amp;"')"" [(ngModel)]='"&amp;D48&amp;"' 
"&amp;REPT(CHAR(9),9)&amp;"name='"&amp;D48&amp;"' (keydown)='searchDatas()' class='form-control' 
"&amp;REPT(CHAR(9),9)&amp;"bsDatepicker #d='bsDatepicker' placement='bottom left'&gt;
"&amp;REPT(CHAR(9),9)&amp;"&lt;i class='fa fa-calendar-alt' (click)='d.toggle()'&gt;&lt;/i&gt;
"&amp;REPT(CHAR(9),8)&amp;"&lt;/div&gt;",
IF(E48="string",
REPT(CHAR(9),8)&amp;"&lt;div class='input-search'&gt;
"&amp;REPT(CHAR(9),9)&amp;"&lt;input [(ngModel)]='"&amp;D48&amp;"' name='"&amp;D48&amp;"'
"&amp;REPT(CHAR(9),9)&amp;"class='form-control' [placeholder]=""l('"&amp;C48&amp;"')""
"&amp;REPT(CHAR(9),9)&amp;"type='text' (keyup.enter)='searchDatas()'&gt;
"&amp;REPT(CHAR(9),8)&amp;"&lt;/div&gt;",""))</f>
        <v xml:space="preserve">								&lt;div class='input-search'&gt;
									&lt;input type='text' [placeholder]="l('Up Signal Date')" [(ngModel)]='upSignalDate' 
									name='upSignalDate' (keydown)='searchDatas()' class='form-control' 
									bsDatepicker #d='bsDatepicker' placement='bottom left'&gt;
									&lt;i class='fa fa-calendar-alt' (click)='d.toggle()'&gt;&lt;/i&gt;
								&lt;/div&gt;</v>
      </c>
      <c r="J48" s="31"/>
      <c r="K48" s="38" t="str">
        <f t="shared" ref="K48:K49" si="126">IF(OR(E48="DateTime",E48="TimeSpan"),
REPT(CHAR(9),5)&amp;"&lt;div class='col-md-12 form-group row'&gt;
"&amp;REPT(CHAR(9),6)&amp;"&lt;label class='col-md-2 form-control title'&gt;"&amp;C48&amp;"&lt;/label&gt;
"&amp;REPT(CHAR(9),6)&amp;"&lt;input type='text' class='col-md-10 form-control input-text' name='"&amp;D48&amp;"' 
"&amp;REPT(CHAR(9),6)&amp;"#datepicker='bsDatepicker' [(ngModel)]='rowdata."&amp;D48&amp;"'  bsDatepicker &gt;
"&amp;REPT(CHAR(9),5)&amp;"&lt;/div&gt;",
IF(AND(E48="string",F48="1"),
REPT(CHAR(9),5)&amp;"&lt;div class='col-md-12 form-group row'&gt;
"&amp;REPT(CHAR(9),6)&amp;"&lt;label class='col-md-2 form-control title'&gt;"&amp;C48&amp;"&lt;/label&gt;
"&amp;REPT(CHAR(9),6)&amp;"&lt;new-checkbox [(ngModel)]='_"&amp;D48&amp;"' name='"&amp;D48&amp;"' className='col-md-10' &gt; &lt;/new-checkbox&gt;
"&amp;REPT(CHAR(9),5)&amp;"&lt;/div&gt;",
IF(E48="string",
REPT(CHAR(9),5)&amp;"&lt;div class='col-md-12 form-group row'&gt;
"&amp;REPT(CHAR(9),6)&amp;"&lt;label class='col-md-2 form-control title'&gt;"&amp;C48&amp;"&lt;/label&gt;
"&amp;REPT(CHAR(9),6)&amp;"&lt;input type='text' class='col-md-10 form-control input-text' name='"&amp;B48&amp;"' [(ngModel)]='rowdata."&amp;D48&amp;"'&gt;
"&amp;REPT(CHAR(9),5)&amp;"&lt;/div&gt;",
IF(E48="int",
REPT(CHAR(9),5)&amp;"&lt;div class='col-md-12 form-group row'&gt;
"&amp;REPT(CHAR(9),6)&amp;"&lt;label class='col-md-2 form-control title'&gt;"&amp;C48&amp;"&lt;/label&gt;
"&amp;REPT(CHAR(9),6)&amp;"&lt;input type='number' class='col-md-10 form-control input-text' name='"&amp;B48&amp;"' [(ngModel)]='rowdata."&amp;D48&amp;"'&gt;
"&amp;REPT(CHAR(9),5)&amp;"&lt;/div&gt;",""))))</f>
        <v xml:space="preserve">					&lt;div class='col-md-12 form-group row'&gt;
						&lt;label class='col-md-2 form-control title'&gt;Up Signal Date&lt;/label&gt;
						&lt;input type='text' class='col-md-10 form-control input-text' name='upSignalDate' 
						#datepicker='bsDatepicker' [(ngModel)]='rowdata.upSignalDate'  bsDatepicker &gt;
					&lt;/div&gt;</v>
      </c>
      <c r="L48" s="60" t="str">
        <f t="shared" ref="L48:L49" si="127">IF(E48="DateTime",
REPT(CHAR(9),2)&amp;"const dateValue =  this.rowdata."&amp;D48&amp;" ? new Date(this.rowdata."&amp;D48&amp;"?.toString()) : new Date();
"&amp;REPT(CHAR(9),2)&amp;"this.datepicker?.bsValueChange.emit(dateValue);","")</f>
        <v xml:space="preserve">		const dateValue =  this.rowdata.upSignalDate ? new Date(this.rowdata.upSignalDate?.toString()) : new Date();
		this.datepicker?.bsValueChange.emit(dateValue);</v>
      </c>
      <c r="M48" s="31"/>
      <c r="N48" s="31"/>
      <c r="O48" s="31"/>
      <c r="P48" s="31"/>
      <c r="Q48" s="31"/>
      <c r="R48" s="31"/>
      <c r="S48" s="31" t="str">
        <f t="shared" ref="S48:S49" si="128">REPT(CHAR(9),1)&amp;D48&amp;G48</f>
        <v xml:space="preserve">	upSignalDate : any ;</v>
      </c>
      <c r="T48" s="31" t="str">
        <f t="shared" ref="T48:T49" si="129">REPT(CHAR(9),3)&amp;"this."&amp;D48&amp;","</f>
        <v xml:space="preserve">			this.upSignalDate,</v>
      </c>
      <c r="U48" s="31" t="str">
        <f t="shared" ref="U48:U49" si="130">IF(E48="int",REPT(CHAR(9),2)&amp;"this."&amp;D48&amp;" = 0,",REPT(CHAR(9),2)&amp;"this."&amp;D48&amp;" = '',")</f>
        <v xml:space="preserve">		this.upSignalDate = '',</v>
      </c>
      <c r="V48" s="31" t="str">
        <f t="shared" ref="V48:V49" si="131">IF(AND(E48="string",F48="1"),D48,"")</f>
        <v/>
      </c>
    </row>
    <row r="49" spans="1:22" ht="15" customHeight="1" x14ac:dyDescent="0.25">
      <c r="A49" s="31" t="s">
        <v>361</v>
      </c>
      <c r="B49" s="31" t="str">
        <f t="shared" si="120"/>
        <v>SubAssySignalDate</v>
      </c>
      <c r="C49" s="31" t="str">
        <f t="shared" si="121"/>
        <v>Sub Assy Signal Date</v>
      </c>
      <c r="D49" s="31" t="str">
        <f t="shared" si="122"/>
        <v>subAssySignalDate</v>
      </c>
      <c r="E49" s="31" t="str">
        <f>A.Backend!H43</f>
        <v>DateTime</v>
      </c>
      <c r="F49" s="31" t="str">
        <f>A.Backend!G43</f>
        <v/>
      </c>
      <c r="G49" s="31" t="str">
        <f t="shared" si="123"/>
        <v xml:space="preserve"> : any ;</v>
      </c>
      <c r="H49" s="38" t="str">
        <f t="shared" si="124"/>
        <v xml:space="preserve">			{headerName: this.l('Sub Assy Signal Date'),headerTooltip: this.l('Sub Assy Signal Date'),field: 'subAssySignalDate',valueGetter: (params) =&gt; this.pipe.transform(params.data?.subAssySignalDate, 'dd/MM/yyyy'),flex: 1},</v>
      </c>
      <c r="I49" s="38" t="str">
        <f t="shared" si="125"/>
        <v xml:space="preserve">								&lt;div class='input-search'&gt;
									&lt;input type='text' [placeholder]="l('Sub Assy Signal Date')" [(ngModel)]='subAssySignalDate' 
									name='subAssySignalDate' (keydown)='searchDatas()' class='form-control' 
									bsDatepicker #d='bsDatepicker' placement='bottom left'&gt;
									&lt;i class='fa fa-calendar-alt' (click)='d.toggle()'&gt;&lt;/i&gt;
								&lt;/div&gt;</v>
      </c>
      <c r="J49" s="31"/>
      <c r="K49" s="38" t="str">
        <f t="shared" si="126"/>
        <v xml:space="preserve">					&lt;div class='col-md-12 form-group row'&gt;
						&lt;label class='col-md-2 form-control title'&gt;Sub Assy Signal Date&lt;/label&gt;
						&lt;input type='text' class='col-md-10 form-control input-text' name='subAssySignalDate' 
						#datepicker='bsDatepicker' [(ngModel)]='rowdata.subAssySignalDate'  bsDatepicker &gt;
					&lt;/div&gt;</v>
      </c>
      <c r="L49" s="60" t="str">
        <f t="shared" si="127"/>
        <v xml:space="preserve">		const dateValue =  this.rowdata.subAssySignalDate ? new Date(this.rowdata.subAssySignalDate?.toString()) : new Date();
		this.datepicker?.bsValueChange.emit(dateValue);</v>
      </c>
      <c r="M49" s="31"/>
      <c r="N49" s="31"/>
      <c r="O49" s="31"/>
      <c r="P49" s="31"/>
      <c r="Q49" s="31"/>
      <c r="R49" s="31"/>
      <c r="S49" s="31" t="str">
        <f t="shared" si="128"/>
        <v xml:space="preserve">	subAssySignalDate : any ;</v>
      </c>
      <c r="T49" s="31" t="str">
        <f t="shared" si="129"/>
        <v xml:space="preserve">			this.subAssySignalDate,</v>
      </c>
      <c r="U49" s="31" t="str">
        <f t="shared" si="130"/>
        <v xml:space="preserve">		this.subAssySignalDate = '',</v>
      </c>
      <c r="V49" s="31" t="str">
        <f t="shared" si="131"/>
        <v/>
      </c>
    </row>
    <row r="50" spans="1:22" ht="15" customHeight="1" x14ac:dyDescent="0.25">
      <c r="A50" s="31" t="s">
        <v>350</v>
      </c>
      <c r="B50" s="31" t="str">
        <f>SUBSTITUTE(PROPER(A50),"_","")</f>
        <v>Status</v>
      </c>
      <c r="C50" s="31" t="str">
        <f>SUBSTITUTE(PROPER(A50),"_"," ")</f>
        <v>Status</v>
      </c>
      <c r="D50" s="31" t="str">
        <f>LOWER(LEFT(B50,1))&amp;RIGHT(B50,LEN(B50) - 1)</f>
        <v>status</v>
      </c>
      <c r="E50" s="31" t="str">
        <f>A.Backend!H44</f>
        <v>string</v>
      </c>
      <c r="F50" s="31" t="str">
        <f>A.Backend!G44</f>
        <v>50</v>
      </c>
      <c r="G50" s="31" t="str">
        <f>IF(E50="string"," : string = '' ; ",IF(OR(E50="DateTime",E50="TimeSpan")," : any ;",IF(E50="int"," : number = 0 ;","")))</f>
        <v xml:space="preserve"> : string = '' ; </v>
      </c>
      <c r="H50" s="38" t="str">
        <f>IF(E50="DateTime",
REPT(CHAR(9),3)&amp;"{headerName: this.l('"&amp;C50&amp;"'),headerTooltip: this.l('"&amp;C50&amp;"'),field: '"&amp;D50&amp;"',valueGetter: (params) =&gt; this.pipe.transform(params.data?."&amp;D50&amp;", 'dd/MM/yyyy'),flex: 1},",
IF(AND(E50="string",F50="1"),
REPT(CHAR(9),3)&amp;"{headerName: this.l('"&amp;C50&amp;"'),headerTooltip: this.l('"&amp;C50&amp;"'),field:  '"&amp;D50&amp;"', cellClass: ['text-center'], width: 120, cellRenderer: 'agCellButtonComponent',
buttonDefTwo: { text: params =&gt; (params.data?.'"&amp;D50&amp;"' == 'Y') ? 'Active' : 'Inactive',iconName: 'fa fa-circle',className: params =&gt; (params.data?.'"&amp;D50&amp;"' == 'Y') ? 'btnActive' : 'btnInActive',},}",
REPT(CHAR(9),3)&amp;"{headerName: this.l('"&amp;C50&amp;"'),headerTooltip: this.l('"&amp;C50&amp;"'),field: '"&amp;D50&amp;"',flex: 1},"))</f>
        <v xml:space="preserve">			{headerName: this.l('Status'),headerTooltip: this.l('Status'),field: 'status',flex: 1},</v>
      </c>
      <c r="I50" s="38" t="str">
        <f>IF(E50="DateTime",
REPT(CHAR(9),8)&amp;"&lt;div class='input-search'&gt;
"&amp;REPT(CHAR(9),9)&amp;"&lt;input type='text' [placeholder]=""l('"&amp;C50&amp;"')"" [(ngModel)]='"&amp;D50&amp;"' 
"&amp;REPT(CHAR(9),9)&amp;"name='"&amp;D50&amp;"' (keydown)='searchDatas()' class='form-control' 
"&amp;REPT(CHAR(9),9)&amp;"bsDatepicker #d='bsDatepicker' placement='bottom left'&gt;
"&amp;REPT(CHAR(9),9)&amp;"&lt;i class='fa fa-calendar-alt' (click)='d.toggle()'&gt;&lt;/i&gt;
"&amp;REPT(CHAR(9),8)&amp;"&lt;/div&gt;",
IF(E50="string",
REPT(CHAR(9),8)&amp;"&lt;div class='input-search'&gt;
"&amp;REPT(CHAR(9),9)&amp;"&lt;input [(ngModel)]='"&amp;D50&amp;"' name='"&amp;D50&amp;"'
"&amp;REPT(CHAR(9),9)&amp;"class='form-control' [placeholder]=""l('"&amp;C50&amp;"')""
"&amp;REPT(CHAR(9),9)&amp;"type='text' (keyup.enter)='searchDatas()'&gt;
"&amp;REPT(CHAR(9),8)&amp;"&lt;/div&gt;",""))</f>
        <v xml:space="preserve">								&lt;div class='input-search'&gt;
									&lt;input [(ngModel)]='status' name='status'
									class='form-control' [placeholder]="l('Status')"
									type='text' (keyup.enter)='searchDatas()'&gt;
								&lt;/div&gt;</v>
      </c>
      <c r="J50" s="31"/>
      <c r="K50" s="38" t="str">
        <f>IF(OR(E50="DateTime",E50="TimeSpan"),
REPT(CHAR(9),5)&amp;"&lt;div class='col-md-12 form-group row'&gt;
"&amp;REPT(CHAR(9),6)&amp;"&lt;label class='col-md-2 form-control title'&gt;"&amp;C50&amp;"&lt;/label&gt;
"&amp;REPT(CHAR(9),6)&amp;"&lt;input type='text' class='col-md-10 form-control input-text' name='"&amp;D50&amp;"' 
"&amp;REPT(CHAR(9),6)&amp;"#datepicker='bsDatepicker' [(ngModel)]='rowdata."&amp;D50&amp;"'  bsDatepicker &gt;
"&amp;REPT(CHAR(9),5)&amp;"&lt;/div&gt;",
IF(AND(E50="string",F50="1"),
REPT(CHAR(9),5)&amp;"&lt;div class='col-md-12 form-group row'&gt;
"&amp;REPT(CHAR(9),6)&amp;"&lt;label class='col-md-2 form-control title'&gt;"&amp;C50&amp;"&lt;/label&gt;
"&amp;REPT(CHAR(9),6)&amp;"&lt;new-checkbox [(ngModel)]='_"&amp;D50&amp;"' name='"&amp;D50&amp;"' className='col-md-10' &gt; &lt;/new-checkbox&gt;
"&amp;REPT(CHAR(9),5)&amp;"&lt;/div&gt;",
IF(E50="string",
REPT(CHAR(9),5)&amp;"&lt;div class='col-md-12 form-group row'&gt;
"&amp;REPT(CHAR(9),6)&amp;"&lt;label class='col-md-2 form-control title'&gt;"&amp;C50&amp;"&lt;/label&gt;
"&amp;REPT(CHAR(9),6)&amp;"&lt;input type='text' class='col-md-10 form-control input-text' name='"&amp;B50&amp;"' [(ngModel)]='rowdata."&amp;D50&amp;"'&gt;
"&amp;REPT(CHAR(9),5)&amp;"&lt;/div&gt;",
IF(E50="int",
REPT(CHAR(9),5)&amp;"&lt;div class='col-md-12 form-group row'&gt;
"&amp;REPT(CHAR(9),6)&amp;"&lt;label class='col-md-2 form-control title'&gt;"&amp;C50&amp;"&lt;/label&gt;
"&amp;REPT(CHAR(9),6)&amp;"&lt;input type='number' class='col-md-10 form-control input-text' name='"&amp;B50&amp;"' [(ngModel)]='rowdata."&amp;D50&amp;"'&gt;
"&amp;REPT(CHAR(9),5)&amp;"&lt;/div&gt;",""))))</f>
        <v xml:space="preserve">					&lt;div class='col-md-12 form-group row'&gt;
						&lt;label class='col-md-2 form-control title'&gt;Status&lt;/label&gt;
						&lt;input type='text' class='col-md-10 form-control input-text' name='Status' [(ngModel)]='rowdata.status'&gt;
					&lt;/div&gt;</v>
      </c>
      <c r="L50" s="60" t="str">
        <f>IF(E50="DateTime",
REPT(CHAR(9),2)&amp;"const dateValue =  this.rowdata."&amp;D50&amp;" ? new Date(this.rowdata."&amp;D50&amp;"?.toString()) : new Date();
"&amp;REPT(CHAR(9),2)&amp;"this.datepicker?.bsValueChange.emit(dateValue);","")</f>
        <v/>
      </c>
      <c r="M50" s="31"/>
      <c r="N50" s="31"/>
      <c r="O50" s="31"/>
      <c r="P50" s="31"/>
      <c r="Q50" s="31"/>
      <c r="R50" s="31"/>
      <c r="S50" s="31" t="str">
        <f>REPT(CHAR(9),1)&amp;D50&amp;G50</f>
        <v xml:space="preserve">	status : string = '' ; </v>
      </c>
      <c r="T50" s="31" t="str">
        <f>REPT(CHAR(9),3)&amp;"this."&amp;D50&amp;","</f>
        <v xml:space="preserve">			this.status,</v>
      </c>
      <c r="U50" s="31" t="str">
        <f>IF(E50="int",REPT(CHAR(9),2)&amp;"this."&amp;D50&amp;" = 0,",REPT(CHAR(9),2)&amp;"this."&amp;D50&amp;" = '',")</f>
        <v xml:space="preserve">		this.status = '',</v>
      </c>
      <c r="V50" s="31" t="str">
        <f>IF(AND(E50="string",F50="1"),D50,"")</f>
        <v/>
      </c>
    </row>
    <row r="51" spans="1:22" ht="18" customHeight="1" x14ac:dyDescent="0.25">
      <c r="A51" s="31" t="s">
        <v>323</v>
      </c>
      <c r="B51" s="31" t="str">
        <f t="shared" ref="B51" si="132">SUBSTITUTE(PROPER(A51),"_","")</f>
        <v>IsActive</v>
      </c>
      <c r="C51" s="31" t="str">
        <f t="shared" ref="C51" si="133">SUBSTITUTE(PROPER(A51),"_"," ")</f>
        <v>Is Active</v>
      </c>
      <c r="D51" s="31" t="str">
        <f t="shared" ref="D51" si="134">LOWER(LEFT(B51,1))&amp;RIGHT(B51,LEN(B51) - 1)</f>
        <v>isActive</v>
      </c>
      <c r="E51" s="31" t="str">
        <f>A.Backend!H45</f>
        <v>string</v>
      </c>
      <c r="F51" s="31" t="str">
        <f>A.Backend!G45</f>
        <v>1</v>
      </c>
      <c r="G51" s="31" t="str">
        <f t="shared" ref="G51" si="135">IF(E51="string"," : string = '' ; ",IF(OR(E51="DateTime",E51="TimeSpan")," : any ;",IF(E51="int"," : number = 0 ;","")))</f>
        <v xml:space="preserve"> : string = '' ; </v>
      </c>
      <c r="H51" s="38" t="str">
        <f t="shared" ref="H51" si="136">IF(E51="DateTime",
REPT(CHAR(9),3)&amp;"{headerName: this.l('"&amp;C51&amp;"'),headerTooltip: this.l('"&amp;C51&amp;"'),field: '"&amp;D51&amp;"',valueGetter: (params) =&gt; this.pipe.transform(params.data?."&amp;D51&amp;", 'dd/MM/yyyy'),flex: 1},",
IF(AND(E51="string",F51="1"),
REPT(CHAR(9),3)&amp;"{headerName: this.l('"&amp;C51&amp;"'),headerTooltip: this.l('"&amp;C51&amp;"'),field:  '"&amp;D51&amp;"', cellClass: ['text-center'], width: 120, cellRenderer: 'agCellButtonComponent',
buttonDefTwo: { text: params =&gt; (params.data?.'"&amp;D51&amp;"' == 'Y') ? 'Active' : 'Inactive',iconName: 'fa fa-circle',className: params =&gt; (params.data?.'"&amp;D51&amp;"' == 'Y') ? 'btnActive' : 'btnInActive',},}",
REPT(CHAR(9),3)&amp;"{headerName: this.l('"&amp;C51&amp;"'),headerTooltip: this.l('"&amp;C51&amp;"'),field: '"&amp;D51&amp;"',flex: 1},"))</f>
        <v xml:space="preserve">			{headerName: this.l('Is Active'),headerTooltip: this.l('Is Active'),field:  'isActive', cellClass: ['text-center'], width: 120, cellRenderer: 'agCellButtonComponent',
buttonDefTwo: { text: params =&gt; (params.data?.'isActive' == 'Y') ? 'Active' : 'Inactive',iconName: 'fa fa-circle',className: params =&gt; (params.data?.'isActive' == 'Y') ? 'btnActive' : 'btnInActive',},}</v>
      </c>
      <c r="I51" s="38" t="str">
        <f t="shared" ref="I51" si="137">IF(E51="DateTime",
REPT(CHAR(9),8)&amp;"&lt;div class='input-search'&gt;
"&amp;REPT(CHAR(9),9)&amp;"&lt;input type='text' [placeholder]=""l('"&amp;C51&amp;"')"" [(ngModel)]='"&amp;D51&amp;"' 
"&amp;REPT(CHAR(9),9)&amp;"name='"&amp;D51&amp;"' (keydown)='searchDatas()' class='form-control' 
"&amp;REPT(CHAR(9),9)&amp;"bsDatepicker #d='bsDatepicker' placement='bottom left'&gt;
"&amp;REPT(CHAR(9),9)&amp;"&lt;i class='fa fa-calendar-alt' (click)='d.toggle()'&gt;&lt;/i&gt;
"&amp;REPT(CHAR(9),8)&amp;"&lt;/div&gt;",
IF(E51="string",
REPT(CHAR(9),8)&amp;"&lt;div class='input-search'&gt;
"&amp;REPT(CHAR(9),9)&amp;"&lt;input [(ngModel)]='"&amp;D51&amp;"' name='"&amp;D51&amp;"'
"&amp;REPT(CHAR(9),9)&amp;"class='form-control' [placeholder]=""l('"&amp;C51&amp;"')""
"&amp;REPT(CHAR(9),9)&amp;"type='text' (keyup.enter)='searchDatas()'&gt;
"&amp;REPT(CHAR(9),8)&amp;"&lt;/div&gt;",""))</f>
        <v xml:space="preserve">								&lt;div class='input-search'&gt;
									&lt;input [(ngModel)]='isActive' name='isActive'
									class='form-control' [placeholder]="l('Is Active')"
									type='text' (keyup.enter)='searchDatas()'&gt;
								&lt;/div&gt;</v>
      </c>
      <c r="J51" s="31"/>
      <c r="K51" s="38" t="str">
        <f t="shared" ref="K51" si="138">IF(OR(E51="DateTime",E51="TimeSpan"),
REPT(CHAR(9),5)&amp;"&lt;div class='col-md-12 form-group row'&gt;
"&amp;REPT(CHAR(9),6)&amp;"&lt;label class='col-md-2 form-control title'&gt;"&amp;C51&amp;"&lt;/label&gt;
"&amp;REPT(CHAR(9),6)&amp;"&lt;input type='text' class='col-md-10 form-control input-text' name='"&amp;D51&amp;"' 
"&amp;REPT(CHAR(9),6)&amp;"#datepicker='bsDatepicker' [(ngModel)]='rowdata."&amp;D51&amp;"'  bsDatepicker &gt;
"&amp;REPT(CHAR(9),5)&amp;"&lt;/div&gt;",
IF(AND(E51="string",F51="1"),
REPT(CHAR(9),5)&amp;"&lt;div class='col-md-12 form-group row'&gt;
"&amp;REPT(CHAR(9),6)&amp;"&lt;label class='col-md-2 form-control title'&gt;"&amp;C51&amp;"&lt;/label&gt;
"&amp;REPT(CHAR(9),6)&amp;"&lt;new-checkbox [(ngModel)]='_"&amp;D51&amp;"' name='"&amp;D51&amp;"' className='col-md-10' &gt; &lt;/new-checkbox&gt;
"&amp;REPT(CHAR(9),5)&amp;"&lt;/div&gt;",
IF(E51="string",
REPT(CHAR(9),5)&amp;"&lt;div class='col-md-12 form-group row'&gt;
"&amp;REPT(CHAR(9),6)&amp;"&lt;label class='col-md-2 form-control title'&gt;"&amp;C51&amp;"&lt;/label&gt;
"&amp;REPT(CHAR(9),6)&amp;"&lt;input type='text' class='col-md-10 form-control input-text' name='"&amp;B51&amp;"' [(ngModel)]='rowdata."&amp;D51&amp;"'&gt;
"&amp;REPT(CHAR(9),5)&amp;"&lt;/div&gt;",
IF(E51="int",
REPT(CHAR(9),5)&amp;"&lt;div class='col-md-12 form-group row'&gt;
"&amp;REPT(CHAR(9),6)&amp;"&lt;label class='col-md-2 form-control title'&gt;"&amp;C51&amp;"&lt;/label&gt;
"&amp;REPT(CHAR(9),6)&amp;"&lt;input type='number' class='col-md-10 form-control input-text' name='"&amp;B51&amp;"' [(ngModel)]='rowdata."&amp;D51&amp;"'&gt;
"&amp;REPT(CHAR(9),5)&amp;"&lt;/div&gt;",""))))</f>
        <v xml:space="preserve">					&lt;div class='col-md-12 form-group row'&gt;
						&lt;label class='col-md-2 form-control title'&gt;Is Active&lt;/label&gt;
						&lt;new-checkbox [(ngModel)]='_isActive' name='isActive' className='col-md-10' &gt; &lt;/new-checkbox&gt;
					&lt;/div&gt;</v>
      </c>
      <c r="L51" s="60" t="str">
        <f t="shared" ref="L51" si="139">IF(E51="DateTime",
REPT(CHAR(9),2)&amp;"const dateValue =  this.rowdata."&amp;D51&amp;" ? new Date(this.rowdata."&amp;D51&amp;"?.toString()) : new Date();
"&amp;REPT(CHAR(9),2)&amp;"this.datepicker?.bsValueChange.emit(dateValue);","")</f>
        <v/>
      </c>
      <c r="M51" s="31"/>
      <c r="N51" s="31"/>
      <c r="O51" s="31"/>
      <c r="P51" s="31"/>
      <c r="Q51" s="31"/>
      <c r="R51" s="31"/>
      <c r="S51" s="31" t="str">
        <f t="shared" ref="S51" si="140">REPT(CHAR(9),1)&amp;D51&amp;G51</f>
        <v xml:space="preserve">	isActive : string = '' ; </v>
      </c>
      <c r="T51" s="31" t="str">
        <f t="shared" ref="T51" si="141">REPT(CHAR(9),3)&amp;"this."&amp;D51&amp;","</f>
        <v xml:space="preserve">			this.isActive,</v>
      </c>
      <c r="U51" s="31" t="str">
        <f t="shared" ref="U51" si="142">IF(E51="int",REPT(CHAR(9),2)&amp;"this."&amp;D51&amp;" = 0,",REPT(CHAR(9),2)&amp;"this."&amp;D51&amp;" = '',")</f>
        <v xml:space="preserve">		this.isActive = '',</v>
      </c>
      <c r="V51" s="31" t="str">
        <f t="shared" ref="V51" si="143">IF(AND(E51="string",F51="1"),D51,"")</f>
        <v>isActive</v>
      </c>
    </row>
    <row r="54" spans="1:22" ht="17.25" customHeight="1" x14ac:dyDescent="0.25"/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B20"/>
  <sheetViews>
    <sheetView topLeftCell="A4" workbookViewId="0">
      <selection activeCell="E18" sqref="E18"/>
    </sheetView>
  </sheetViews>
  <sheetFormatPr defaultColWidth="8.85546875" defaultRowHeight="15" x14ac:dyDescent="0.25"/>
  <cols>
    <col min="1" max="1" width="22.42578125" bestFit="1" customWidth="1"/>
    <col min="2" max="2" width="29.85546875" bestFit="1" customWidth="1"/>
  </cols>
  <sheetData>
    <row r="1" spans="1:2" x14ac:dyDescent="0.25">
      <c r="A1" s="1" t="s">
        <v>16</v>
      </c>
      <c r="B1" s="1" t="s">
        <v>17</v>
      </c>
    </row>
    <row r="2" spans="1:2" x14ac:dyDescent="0.25">
      <c r="A2" t="s">
        <v>19</v>
      </c>
      <c r="B2" t="s">
        <v>33</v>
      </c>
    </row>
    <row r="3" spans="1:2" x14ac:dyDescent="0.25">
      <c r="A3" t="s">
        <v>18</v>
      </c>
      <c r="B3" t="s">
        <v>33</v>
      </c>
    </row>
    <row r="4" spans="1:2" x14ac:dyDescent="0.25">
      <c r="A4" t="s">
        <v>20</v>
      </c>
      <c r="B4" t="s">
        <v>21</v>
      </c>
    </row>
    <row r="5" spans="1:2" x14ac:dyDescent="0.25">
      <c r="A5" t="s">
        <v>22</v>
      </c>
      <c r="B5" t="s">
        <v>36</v>
      </c>
    </row>
    <row r="6" spans="1:2" x14ac:dyDescent="0.25">
      <c r="A6" t="s">
        <v>23</v>
      </c>
      <c r="B6" t="s">
        <v>34</v>
      </c>
    </row>
    <row r="7" spans="1:2" x14ac:dyDescent="0.25">
      <c r="A7" t="s">
        <v>24</v>
      </c>
      <c r="B7" t="s">
        <v>4</v>
      </c>
    </row>
    <row r="8" spans="1:2" x14ac:dyDescent="0.25">
      <c r="A8" t="s">
        <v>4</v>
      </c>
      <c r="B8" t="s">
        <v>4</v>
      </c>
    </row>
    <row r="9" spans="1:2" x14ac:dyDescent="0.25">
      <c r="A9" t="s">
        <v>0</v>
      </c>
      <c r="B9" t="s">
        <v>48</v>
      </c>
    </row>
    <row r="10" spans="1:2" x14ac:dyDescent="0.25">
      <c r="A10" t="s">
        <v>25</v>
      </c>
      <c r="B10" t="s">
        <v>28</v>
      </c>
    </row>
    <row r="11" spans="1:2" x14ac:dyDescent="0.25">
      <c r="A11" t="s">
        <v>26</v>
      </c>
      <c r="B11" t="s">
        <v>28</v>
      </c>
    </row>
    <row r="12" spans="1:2" x14ac:dyDescent="0.25">
      <c r="A12" t="s">
        <v>27</v>
      </c>
      <c r="B12" t="s">
        <v>28</v>
      </c>
    </row>
    <row r="13" spans="1:2" x14ac:dyDescent="0.25">
      <c r="A13" t="s">
        <v>28</v>
      </c>
      <c r="B13" t="s">
        <v>28</v>
      </c>
    </row>
    <row r="14" spans="1:2" x14ac:dyDescent="0.25">
      <c r="A14" t="s">
        <v>29</v>
      </c>
      <c r="B14" t="s">
        <v>28</v>
      </c>
    </row>
    <row r="15" spans="1:2" x14ac:dyDescent="0.25">
      <c r="A15" t="s">
        <v>30</v>
      </c>
      <c r="B15" t="s">
        <v>28</v>
      </c>
    </row>
    <row r="16" spans="1:2" x14ac:dyDescent="0.25">
      <c r="A16" t="s">
        <v>31</v>
      </c>
      <c r="B16" t="s">
        <v>32</v>
      </c>
    </row>
    <row r="17" spans="1:2" x14ac:dyDescent="0.25">
      <c r="A17" t="s">
        <v>3</v>
      </c>
      <c r="B17" t="s">
        <v>32</v>
      </c>
    </row>
    <row r="18" spans="1:2" x14ac:dyDescent="0.25">
      <c r="A18" t="s">
        <v>35</v>
      </c>
      <c r="B18" t="s">
        <v>32</v>
      </c>
    </row>
    <row r="19" spans="1:2" x14ac:dyDescent="0.25">
      <c r="A19" t="s">
        <v>2</v>
      </c>
      <c r="B19" t="s">
        <v>32</v>
      </c>
    </row>
    <row r="20" spans="1:2" x14ac:dyDescent="0.25">
      <c r="A20" t="s">
        <v>267</v>
      </c>
      <c r="B20" t="s">
        <v>268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2:C103"/>
  <sheetViews>
    <sheetView topLeftCell="A76" workbookViewId="0">
      <selection activeCell="E95" sqref="E95"/>
    </sheetView>
  </sheetViews>
  <sheetFormatPr defaultColWidth="8.85546875" defaultRowHeight="15.75" x14ac:dyDescent="0.25"/>
  <cols>
    <col min="1" max="1" width="14.28515625" customWidth="1"/>
    <col min="2" max="2" width="71.7109375" style="22" customWidth="1"/>
  </cols>
  <sheetData>
    <row r="2" spans="1:2" x14ac:dyDescent="0.25">
      <c r="A2" s="24" t="s">
        <v>193</v>
      </c>
      <c r="B2" s="25" t="s">
        <v>190</v>
      </c>
    </row>
    <row r="3" spans="1:2" x14ac:dyDescent="0.25">
      <c r="B3" s="22" t="s">
        <v>115</v>
      </c>
    </row>
    <row r="4" spans="1:2" x14ac:dyDescent="0.25">
      <c r="B4" s="22" t="s">
        <v>116</v>
      </c>
    </row>
    <row r="5" spans="1:2" x14ac:dyDescent="0.25">
      <c r="B5" s="22" t="s">
        <v>117</v>
      </c>
    </row>
    <row r="6" spans="1:2" x14ac:dyDescent="0.25">
      <c r="B6" s="22" t="s">
        <v>118</v>
      </c>
    </row>
    <row r="7" spans="1:2" x14ac:dyDescent="0.25">
      <c r="B7" s="22" t="s">
        <v>119</v>
      </c>
    </row>
    <row r="8" spans="1:2" x14ac:dyDescent="0.25">
      <c r="B8" s="22" t="s">
        <v>120</v>
      </c>
    </row>
    <row r="9" spans="1:2" x14ac:dyDescent="0.25">
      <c r="B9" s="22" t="s">
        <v>121</v>
      </c>
    </row>
    <row r="10" spans="1:2" x14ac:dyDescent="0.25">
      <c r="B10" s="22" t="s">
        <v>122</v>
      </c>
    </row>
    <row r="11" spans="1:2" x14ac:dyDescent="0.25">
      <c r="B11" s="22" t="s">
        <v>123</v>
      </c>
    </row>
    <row r="12" spans="1:2" x14ac:dyDescent="0.25">
      <c r="B12" s="22" t="s">
        <v>124</v>
      </c>
    </row>
    <row r="13" spans="1:2" x14ac:dyDescent="0.25">
      <c r="B13" s="22" t="s">
        <v>125</v>
      </c>
    </row>
    <row r="14" spans="1:2" x14ac:dyDescent="0.25">
      <c r="B14" s="22" t="s">
        <v>126</v>
      </c>
    </row>
    <row r="15" spans="1:2" x14ac:dyDescent="0.25">
      <c r="B15" s="22" t="s">
        <v>127</v>
      </c>
    </row>
    <row r="16" spans="1:2" x14ac:dyDescent="0.25">
      <c r="B16" s="22" t="s">
        <v>128</v>
      </c>
    </row>
    <row r="17" spans="1:3" x14ac:dyDescent="0.25">
      <c r="B17" s="22" t="s">
        <v>129</v>
      </c>
    </row>
    <row r="18" spans="1:3" x14ac:dyDescent="0.25">
      <c r="B18" s="22" t="s">
        <v>130</v>
      </c>
      <c r="C18" t="s">
        <v>192</v>
      </c>
    </row>
    <row r="19" spans="1:3" x14ac:dyDescent="0.25">
      <c r="B19" s="22" t="s">
        <v>131</v>
      </c>
    </row>
    <row r="20" spans="1:3" x14ac:dyDescent="0.25">
      <c r="B20" s="22" t="s">
        <v>132</v>
      </c>
    </row>
    <row r="21" spans="1:3" x14ac:dyDescent="0.25">
      <c r="B21" s="22" t="s">
        <v>133</v>
      </c>
    </row>
    <row r="22" spans="1:3" x14ac:dyDescent="0.25">
      <c r="B22" s="22" t="s">
        <v>134</v>
      </c>
      <c r="C22" t="s">
        <v>197</v>
      </c>
    </row>
    <row r="23" spans="1:3" x14ac:dyDescent="0.25">
      <c r="B23" s="22" t="s">
        <v>135</v>
      </c>
    </row>
    <row r="24" spans="1:3" x14ac:dyDescent="0.25">
      <c r="B24" s="22" t="s">
        <v>136</v>
      </c>
    </row>
    <row r="25" spans="1:3" x14ac:dyDescent="0.25">
      <c r="B25" s="22" t="s">
        <v>137</v>
      </c>
    </row>
    <row r="26" spans="1:3" x14ac:dyDescent="0.25">
      <c r="A26" s="24" t="s">
        <v>194</v>
      </c>
      <c r="B26" s="25" t="s">
        <v>191</v>
      </c>
    </row>
    <row r="27" spans="1:3" x14ac:dyDescent="0.25">
      <c r="B27" s="22" t="s">
        <v>138</v>
      </c>
    </row>
    <row r="28" spans="1:3" x14ac:dyDescent="0.25">
      <c r="B28" s="23" t="s">
        <v>139</v>
      </c>
    </row>
    <row r="29" spans="1:3" x14ac:dyDescent="0.25">
      <c r="B29" s="22" t="s">
        <v>140</v>
      </c>
    </row>
    <row r="30" spans="1:3" x14ac:dyDescent="0.25">
      <c r="B30" s="22" t="s">
        <v>141</v>
      </c>
    </row>
    <row r="31" spans="1:3" x14ac:dyDescent="0.25">
      <c r="B31" s="22" t="s">
        <v>142</v>
      </c>
    </row>
    <row r="32" spans="1:3" x14ac:dyDescent="0.25">
      <c r="B32" s="22" t="s">
        <v>143</v>
      </c>
    </row>
    <row r="33" spans="2:2" x14ac:dyDescent="0.25">
      <c r="B33" s="22" t="s">
        <v>144</v>
      </c>
    </row>
    <row r="34" spans="2:2" x14ac:dyDescent="0.25">
      <c r="B34" s="22" t="s">
        <v>145</v>
      </c>
    </row>
    <row r="35" spans="2:2" x14ac:dyDescent="0.25">
      <c r="B35" s="22" t="s">
        <v>146</v>
      </c>
    </row>
    <row r="36" spans="2:2" x14ac:dyDescent="0.25">
      <c r="B36" s="22" t="s">
        <v>147</v>
      </c>
    </row>
    <row r="37" spans="2:2" x14ac:dyDescent="0.25">
      <c r="B37" s="22" t="s">
        <v>148</v>
      </c>
    </row>
    <row r="38" spans="2:2" x14ac:dyDescent="0.25">
      <c r="B38" s="22" t="s">
        <v>149</v>
      </c>
    </row>
    <row r="39" spans="2:2" x14ac:dyDescent="0.25">
      <c r="B39" s="22" t="s">
        <v>150</v>
      </c>
    </row>
    <row r="40" spans="2:2" x14ac:dyDescent="0.25">
      <c r="B40" s="22" t="s">
        <v>151</v>
      </c>
    </row>
    <row r="41" spans="2:2" x14ac:dyDescent="0.25">
      <c r="B41" s="22" t="s">
        <v>152</v>
      </c>
    </row>
    <row r="42" spans="2:2" x14ac:dyDescent="0.25">
      <c r="B42" s="22" t="s">
        <v>153</v>
      </c>
    </row>
    <row r="43" spans="2:2" x14ac:dyDescent="0.25">
      <c r="B43" s="23" t="s">
        <v>154</v>
      </c>
    </row>
    <row r="44" spans="2:2" x14ac:dyDescent="0.25">
      <c r="B44" s="22" t="s">
        <v>140</v>
      </c>
    </row>
    <row r="45" spans="2:2" x14ac:dyDescent="0.25">
      <c r="B45" s="22" t="s">
        <v>155</v>
      </c>
    </row>
    <row r="46" spans="2:2" x14ac:dyDescent="0.25">
      <c r="B46" s="22" t="s">
        <v>156</v>
      </c>
    </row>
    <row r="47" spans="2:2" x14ac:dyDescent="0.25">
      <c r="B47" s="22" t="s">
        <v>157</v>
      </c>
    </row>
    <row r="48" spans="2:2" x14ac:dyDescent="0.25">
      <c r="B48" s="22" t="s">
        <v>158</v>
      </c>
    </row>
    <row r="49" spans="2:2" x14ac:dyDescent="0.25">
      <c r="B49" s="22" t="s">
        <v>141</v>
      </c>
    </row>
    <row r="50" spans="2:2" x14ac:dyDescent="0.25">
      <c r="B50" s="22" t="s">
        <v>142</v>
      </c>
    </row>
    <row r="51" spans="2:2" x14ac:dyDescent="0.25">
      <c r="B51" s="22" t="s">
        <v>143</v>
      </c>
    </row>
    <row r="52" spans="2:2" x14ac:dyDescent="0.25">
      <c r="B52" s="22" t="s">
        <v>144</v>
      </c>
    </row>
    <row r="53" spans="2:2" x14ac:dyDescent="0.25">
      <c r="B53" s="22" t="s">
        <v>145</v>
      </c>
    </row>
    <row r="54" spans="2:2" x14ac:dyDescent="0.25">
      <c r="B54" s="22" t="s">
        <v>146</v>
      </c>
    </row>
    <row r="55" spans="2:2" x14ac:dyDescent="0.25">
      <c r="B55" s="22" t="s">
        <v>147</v>
      </c>
    </row>
    <row r="56" spans="2:2" x14ac:dyDescent="0.25">
      <c r="B56" s="22" t="s">
        <v>159</v>
      </c>
    </row>
    <row r="57" spans="2:2" x14ac:dyDescent="0.25">
      <c r="B57" s="22" t="s">
        <v>160</v>
      </c>
    </row>
    <row r="58" spans="2:2" x14ac:dyDescent="0.25">
      <c r="B58" s="22" t="s">
        <v>148</v>
      </c>
    </row>
    <row r="59" spans="2:2" x14ac:dyDescent="0.25">
      <c r="B59" s="22" t="s">
        <v>149</v>
      </c>
    </row>
    <row r="60" spans="2:2" x14ac:dyDescent="0.25">
      <c r="B60" s="22" t="s">
        <v>161</v>
      </c>
    </row>
    <row r="61" spans="2:2" x14ac:dyDescent="0.25">
      <c r="B61" s="22" t="s">
        <v>162</v>
      </c>
    </row>
    <row r="62" spans="2:2" x14ac:dyDescent="0.25">
      <c r="B62" s="22" t="s">
        <v>163</v>
      </c>
    </row>
    <row r="63" spans="2:2" x14ac:dyDescent="0.25">
      <c r="B63" s="22" t="s">
        <v>158</v>
      </c>
    </row>
    <row r="64" spans="2:2" x14ac:dyDescent="0.25">
      <c r="B64" s="22" t="s">
        <v>150</v>
      </c>
    </row>
    <row r="65" spans="2:2" x14ac:dyDescent="0.25">
      <c r="B65" s="22" t="s">
        <v>151</v>
      </c>
    </row>
    <row r="66" spans="2:2" x14ac:dyDescent="0.25">
      <c r="B66" s="22" t="s">
        <v>164</v>
      </c>
    </row>
    <row r="67" spans="2:2" x14ac:dyDescent="0.25">
      <c r="B67" s="22" t="s">
        <v>158</v>
      </c>
    </row>
    <row r="68" spans="2:2" x14ac:dyDescent="0.25">
      <c r="B68" s="22" t="s">
        <v>152</v>
      </c>
    </row>
    <row r="69" spans="2:2" x14ac:dyDescent="0.25">
      <c r="B69" s="22" t="s">
        <v>165</v>
      </c>
    </row>
    <row r="70" spans="2:2" x14ac:dyDescent="0.25">
      <c r="B70" s="23" t="s">
        <v>166</v>
      </c>
    </row>
    <row r="71" spans="2:2" x14ac:dyDescent="0.25">
      <c r="B71" s="22" t="s">
        <v>140</v>
      </c>
    </row>
    <row r="72" spans="2:2" x14ac:dyDescent="0.25">
      <c r="B72" s="22" t="s">
        <v>141</v>
      </c>
    </row>
    <row r="73" spans="2:2" x14ac:dyDescent="0.25">
      <c r="B73" s="22" t="s">
        <v>142</v>
      </c>
    </row>
    <row r="74" spans="2:2" x14ac:dyDescent="0.25">
      <c r="B74" s="22" t="s">
        <v>143</v>
      </c>
    </row>
    <row r="75" spans="2:2" x14ac:dyDescent="0.25">
      <c r="B75" s="22" t="s">
        <v>147</v>
      </c>
    </row>
    <row r="76" spans="2:2" x14ac:dyDescent="0.25">
      <c r="B76" s="22" t="s">
        <v>149</v>
      </c>
    </row>
    <row r="77" spans="2:2" x14ac:dyDescent="0.25">
      <c r="B77" s="22" t="s">
        <v>150</v>
      </c>
    </row>
    <row r="78" spans="2:2" x14ac:dyDescent="0.25">
      <c r="B78" s="22" t="s">
        <v>151</v>
      </c>
    </row>
    <row r="79" spans="2:2" x14ac:dyDescent="0.25">
      <c r="B79" s="22" t="s">
        <v>152</v>
      </c>
    </row>
    <row r="80" spans="2:2" x14ac:dyDescent="0.25">
      <c r="B80" s="22" t="s">
        <v>165</v>
      </c>
    </row>
    <row r="81" spans="1:2" x14ac:dyDescent="0.25">
      <c r="B81" s="23" t="s">
        <v>167</v>
      </c>
    </row>
    <row r="82" spans="1:2" x14ac:dyDescent="0.25">
      <c r="B82" s="23" t="s">
        <v>168</v>
      </c>
    </row>
    <row r="83" spans="1:2" x14ac:dyDescent="0.25">
      <c r="B83" s="23" t="s">
        <v>169</v>
      </c>
    </row>
    <row r="84" spans="1:2" x14ac:dyDescent="0.25">
      <c r="B84" s="23" t="s">
        <v>170</v>
      </c>
    </row>
    <row r="85" spans="1:2" x14ac:dyDescent="0.25">
      <c r="B85" s="23" t="s">
        <v>171</v>
      </c>
    </row>
    <row r="86" spans="1:2" x14ac:dyDescent="0.25">
      <c r="B86" s="23" t="s">
        <v>172</v>
      </c>
    </row>
    <row r="87" spans="1:2" x14ac:dyDescent="0.25">
      <c r="B87" s="23" t="s">
        <v>173</v>
      </c>
    </row>
    <row r="88" spans="1:2" x14ac:dyDescent="0.25">
      <c r="A88" s="24" t="s">
        <v>195</v>
      </c>
      <c r="B88" s="26" t="s">
        <v>174</v>
      </c>
    </row>
    <row r="89" spans="1:2" x14ac:dyDescent="0.25">
      <c r="B89" s="22" t="s">
        <v>175</v>
      </c>
    </row>
    <row r="90" spans="1:2" x14ac:dyDescent="0.25">
      <c r="B90" s="22" t="s">
        <v>176</v>
      </c>
    </row>
    <row r="91" spans="1:2" x14ac:dyDescent="0.25">
      <c r="B91" s="22" t="s">
        <v>177</v>
      </c>
    </row>
    <row r="92" spans="1:2" x14ac:dyDescent="0.25">
      <c r="B92" s="22" t="s">
        <v>178</v>
      </c>
    </row>
    <row r="93" spans="1:2" x14ac:dyDescent="0.25">
      <c r="B93" s="22" t="s">
        <v>179</v>
      </c>
    </row>
    <row r="94" spans="1:2" x14ac:dyDescent="0.25">
      <c r="B94" s="22" t="s">
        <v>180</v>
      </c>
    </row>
    <row r="95" spans="1:2" x14ac:dyDescent="0.25">
      <c r="B95" s="22" t="s">
        <v>181</v>
      </c>
    </row>
    <row r="96" spans="1:2" x14ac:dyDescent="0.25">
      <c r="B96" s="22" t="s">
        <v>182</v>
      </c>
    </row>
    <row r="97" spans="2:2" x14ac:dyDescent="0.25">
      <c r="B97" s="22" t="s">
        <v>183</v>
      </c>
    </row>
    <row r="98" spans="2:2" x14ac:dyDescent="0.25">
      <c r="B98" s="22" t="s">
        <v>184</v>
      </c>
    </row>
    <row r="99" spans="2:2" x14ac:dyDescent="0.25">
      <c r="B99" s="22" t="s">
        <v>185</v>
      </c>
    </row>
    <row r="100" spans="2:2" x14ac:dyDescent="0.25">
      <c r="B100" s="22" t="s">
        <v>186</v>
      </c>
    </row>
    <row r="101" spans="2:2" x14ac:dyDescent="0.25">
      <c r="B101" s="22" t="s">
        <v>187</v>
      </c>
    </row>
    <row r="102" spans="2:2" x14ac:dyDescent="0.25">
      <c r="B102" s="22" t="s">
        <v>188</v>
      </c>
    </row>
    <row r="103" spans="2:2" x14ac:dyDescent="0.25">
      <c r="B103" s="22" t="s">
        <v>189</v>
      </c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Dev Guide</vt:lpstr>
      <vt:lpstr>A.Backend</vt:lpstr>
      <vt:lpstr>B.Frontend</vt:lpstr>
      <vt:lpstr>Data Type Mapping</vt:lpstr>
      <vt:lpstr>Directory Tree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S_member</dc:creator>
  <cp:lastModifiedBy>S_member</cp:lastModifiedBy>
  <dcterms:created xsi:type="dcterms:W3CDTF">2022-04-01T07:31:40Z</dcterms:created>
  <dcterms:modified xsi:type="dcterms:W3CDTF">2023-02-15T11:42:17Z</dcterms:modified>
</cp:coreProperties>
</file>
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painting\andon\"/>
    </mc:Choice>
  </mc:AlternateContent>
  <bookViews>
    <workbookView xWindow="0" yWindow="495" windowWidth="28800" windowHeight="1642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externalReferences>
    <externalReference r:id="rId6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V27" i="5" s="1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5" i="5"/>
  <c r="F35" i="5"/>
  <c r="C34" i="5"/>
  <c r="B34" i="5"/>
  <c r="D34" i="5" s="1"/>
  <c r="G33" i="5"/>
  <c r="L33" i="5"/>
  <c r="C33" i="5"/>
  <c r="B33" i="5"/>
  <c r="D33" i="5" s="1"/>
  <c r="T33" i="5" s="1"/>
  <c r="C32" i="5"/>
  <c r="B32" i="5"/>
  <c r="D32" i="5" s="1"/>
  <c r="G31" i="5"/>
  <c r="L31" i="5"/>
  <c r="C31" i="5"/>
  <c r="B31" i="5"/>
  <c r="D31" i="5" s="1"/>
  <c r="S31" i="5" s="1"/>
  <c r="I30" i="5"/>
  <c r="C30" i="5"/>
  <c r="B30" i="5"/>
  <c r="D30" i="5" s="1"/>
  <c r="G29" i="5"/>
  <c r="L29" i="5"/>
  <c r="C29" i="5"/>
  <c r="B29" i="5"/>
  <c r="D29" i="5" s="1"/>
  <c r="C28" i="5"/>
  <c r="B28" i="5"/>
  <c r="D28" i="5" s="1"/>
  <c r="G27" i="5"/>
  <c r="C27" i="5"/>
  <c r="B27" i="5"/>
  <c r="D27" i="5" s="1"/>
  <c r="I26" i="5"/>
  <c r="C26" i="5"/>
  <c r="B26" i="5"/>
  <c r="D26" i="5" s="1"/>
  <c r="L28" i="1"/>
  <c r="G28" i="1"/>
  <c r="E28" i="1"/>
  <c r="H28" i="1" s="1"/>
  <c r="D28" i="1"/>
  <c r="T28" i="1" s="1"/>
  <c r="L27" i="1"/>
  <c r="G27" i="1"/>
  <c r="E27" i="1"/>
  <c r="H27" i="1" s="1"/>
  <c r="D27" i="1"/>
  <c r="V27" i="1" s="1"/>
  <c r="T26" i="1"/>
  <c r="L26" i="1"/>
  <c r="G26" i="1"/>
  <c r="E26" i="1"/>
  <c r="H26" i="1" s="1"/>
  <c r="W26" i="1" s="1"/>
  <c r="D26" i="1"/>
  <c r="V26" i="1" s="1"/>
  <c r="G25" i="1"/>
  <c r="E25" i="1"/>
  <c r="H25" i="1" s="1"/>
  <c r="D25" i="1"/>
  <c r="V25" i="1" s="1"/>
  <c r="H24" i="1"/>
  <c r="M24" i="1" s="1"/>
  <c r="G24" i="1"/>
  <c r="E24" i="1"/>
  <c r="D24" i="1"/>
  <c r="P24" i="1" s="1"/>
  <c r="L23" i="1"/>
  <c r="G23" i="1"/>
  <c r="E23" i="1"/>
  <c r="H23" i="1" s="1"/>
  <c r="D23" i="1"/>
  <c r="V23" i="1" s="1"/>
  <c r="L22" i="1"/>
  <c r="G22" i="1"/>
  <c r="E22" i="1"/>
  <c r="H22" i="1" s="1"/>
  <c r="W22" i="1" s="1"/>
  <c r="D22" i="1"/>
  <c r="P22" i="1" s="1"/>
  <c r="G21" i="1"/>
  <c r="E21" i="1"/>
  <c r="H21" i="1" s="1"/>
  <c r="D21" i="1"/>
  <c r="V21" i="1" s="1"/>
  <c r="H20" i="1"/>
  <c r="W20" i="1" s="1"/>
  <c r="G20" i="1"/>
  <c r="E20" i="1"/>
  <c r="D20" i="1"/>
  <c r="P20" i="1" s="1"/>
  <c r="M28" i="1" l="1"/>
  <c r="L25" i="1"/>
  <c r="S29" i="5"/>
  <c r="L27" i="5"/>
  <c r="U29" i="5"/>
  <c r="V29" i="5"/>
  <c r="K30" i="5"/>
  <c r="U31" i="5"/>
  <c r="V31" i="5"/>
  <c r="K32" i="5"/>
  <c r="U33" i="5"/>
  <c r="V33" i="5"/>
  <c r="K34" i="5"/>
  <c r="S27" i="5"/>
  <c r="H27" i="5"/>
  <c r="U27" i="5"/>
  <c r="T26" i="5"/>
  <c r="K26" i="5"/>
  <c r="U26" i="5"/>
  <c r="T28" i="5"/>
  <c r="K28" i="5"/>
  <c r="T30" i="5"/>
  <c r="U30" i="5"/>
  <c r="T32" i="5"/>
  <c r="U32" i="5"/>
  <c r="T34" i="5"/>
  <c r="U34" i="5"/>
  <c r="I28" i="5"/>
  <c r="I32" i="5"/>
  <c r="I34" i="5"/>
  <c r="H33" i="5"/>
  <c r="S33" i="5"/>
  <c r="G26" i="5"/>
  <c r="S26" i="5" s="1"/>
  <c r="L26" i="5"/>
  <c r="V26" i="5"/>
  <c r="I27" i="5"/>
  <c r="T27" i="5"/>
  <c r="G28" i="5"/>
  <c r="S28" i="5" s="1"/>
  <c r="L28" i="5"/>
  <c r="V28" i="5"/>
  <c r="I29" i="5"/>
  <c r="T29" i="5"/>
  <c r="G30" i="5"/>
  <c r="S30" i="5" s="1"/>
  <c r="L30" i="5"/>
  <c r="V30" i="5"/>
  <c r="I31" i="5"/>
  <c r="T31" i="5"/>
  <c r="G32" i="5"/>
  <c r="S32" i="5" s="1"/>
  <c r="L32" i="5"/>
  <c r="V32" i="5"/>
  <c r="I33" i="5"/>
  <c r="G34" i="5"/>
  <c r="S34" i="5" s="1"/>
  <c r="L34" i="5"/>
  <c r="V34" i="5"/>
  <c r="U28" i="5"/>
  <c r="H29" i="5"/>
  <c r="H31" i="5"/>
  <c r="H26" i="5"/>
  <c r="K27" i="5"/>
  <c r="H28" i="5"/>
  <c r="K29" i="5"/>
  <c r="H30" i="5"/>
  <c r="K31" i="5"/>
  <c r="H32" i="5"/>
  <c r="K33" i="5"/>
  <c r="H34" i="5"/>
  <c r="P26" i="1"/>
  <c r="T24" i="1"/>
  <c r="T22" i="1"/>
  <c r="T20" i="1"/>
  <c r="P21" i="1"/>
  <c r="P28" i="1"/>
  <c r="N23" i="1"/>
  <c r="I23" i="1"/>
  <c r="M23" i="1"/>
  <c r="W23" i="1"/>
  <c r="O23" i="1"/>
  <c r="J23" i="1"/>
  <c r="N27" i="1"/>
  <c r="I27" i="1"/>
  <c r="W27" i="1"/>
  <c r="J27" i="1"/>
  <c r="M27" i="1"/>
  <c r="O27" i="1"/>
  <c r="N21" i="1"/>
  <c r="I21" i="1"/>
  <c r="M21" i="1"/>
  <c r="W21" i="1"/>
  <c r="O21" i="1"/>
  <c r="J21" i="1"/>
  <c r="N25" i="1"/>
  <c r="I25" i="1"/>
  <c r="W25" i="1"/>
  <c r="O25" i="1"/>
  <c r="J25" i="1"/>
  <c r="M25" i="1"/>
  <c r="M22" i="1"/>
  <c r="M20" i="1"/>
  <c r="M26" i="1"/>
  <c r="I20" i="1"/>
  <c r="N20" i="1"/>
  <c r="V20" i="1"/>
  <c r="I22" i="1"/>
  <c r="N22" i="1"/>
  <c r="V22" i="1"/>
  <c r="P23" i="1"/>
  <c r="I24" i="1"/>
  <c r="N24" i="1"/>
  <c r="V24" i="1"/>
  <c r="P25" i="1"/>
  <c r="I26" i="1"/>
  <c r="N26" i="1"/>
  <c r="P27" i="1"/>
  <c r="I28" i="1"/>
  <c r="N28" i="1"/>
  <c r="V28" i="1"/>
  <c r="J20" i="1"/>
  <c r="O20" i="1"/>
  <c r="T21" i="1"/>
  <c r="J22" i="1"/>
  <c r="O22" i="1"/>
  <c r="T23" i="1"/>
  <c r="J24" i="1"/>
  <c r="O24" i="1"/>
  <c r="W24" i="1"/>
  <c r="T25" i="1"/>
  <c r="J26" i="1"/>
  <c r="O26" i="1"/>
  <c r="T27" i="1"/>
  <c r="J28" i="1"/>
  <c r="O28" i="1"/>
  <c r="W28" i="1"/>
  <c r="C21" i="5"/>
  <c r="B21" i="5"/>
  <c r="D21" i="5" s="1"/>
  <c r="T21" i="5" s="1"/>
  <c r="C20" i="5"/>
  <c r="B20" i="5"/>
  <c r="D20" i="5" s="1"/>
  <c r="G14" i="1"/>
  <c r="E14" i="1"/>
  <c r="H14" i="1" s="1"/>
  <c r="D14" i="1"/>
  <c r="V14" i="1" s="1"/>
  <c r="L15" i="1"/>
  <c r="G15" i="1"/>
  <c r="E15" i="1"/>
  <c r="H15" i="1" s="1"/>
  <c r="D15" i="1"/>
  <c r="V15" i="1" s="1"/>
  <c r="V21" i="5" l="1"/>
  <c r="G21" i="5"/>
  <c r="S21" i="5" s="1"/>
  <c r="L21" i="5"/>
  <c r="H21" i="5"/>
  <c r="U21" i="5"/>
  <c r="T20" i="5"/>
  <c r="H20" i="5"/>
  <c r="G20" i="5"/>
  <c r="S20" i="5" s="1"/>
  <c r="L20" i="5"/>
  <c r="V20" i="5"/>
  <c r="I21" i="5"/>
  <c r="I20" i="5"/>
  <c r="K20" i="5"/>
  <c r="U20" i="5"/>
  <c r="K21" i="5"/>
  <c r="T15" i="1"/>
  <c r="W15" i="1"/>
  <c r="P15" i="1"/>
  <c r="W14" i="1"/>
  <c r="O14" i="1"/>
  <c r="J14" i="1"/>
  <c r="N14" i="1"/>
  <c r="I14" i="1"/>
  <c r="M14" i="1"/>
  <c r="P14" i="1"/>
  <c r="T14" i="1"/>
  <c r="M15" i="1"/>
  <c r="I15" i="1"/>
  <c r="N15" i="1"/>
  <c r="J15" i="1"/>
  <c r="O15" i="1"/>
  <c r="C19" i="5" l="1"/>
  <c r="B19" i="5"/>
  <c r="D19" i="5" s="1"/>
  <c r="T19" i="5" s="1"/>
  <c r="L13" i="1"/>
  <c r="G13" i="1"/>
  <c r="E13" i="1"/>
  <c r="H13" i="1" s="1"/>
  <c r="D13" i="1"/>
  <c r="V13" i="1" s="1"/>
  <c r="W13" i="1" l="1"/>
  <c r="V19" i="5"/>
  <c r="P13" i="1"/>
  <c r="T13" i="1"/>
  <c r="I13" i="1"/>
  <c r="N13" i="1"/>
  <c r="M13" i="1"/>
  <c r="J13" i="1"/>
  <c r="O13" i="1"/>
  <c r="U19" i="5" l="1"/>
  <c r="K19" i="5"/>
  <c r="G19" i="5"/>
  <c r="S19" i="5" s="1"/>
  <c r="H19" i="5"/>
  <c r="L19" i="5"/>
  <c r="I19" i="5"/>
  <c r="C24" i="5"/>
  <c r="B24" i="5"/>
  <c r="D24" i="5" s="1"/>
  <c r="C23" i="5"/>
  <c r="B23" i="5"/>
  <c r="D23" i="5" s="1"/>
  <c r="D22" i="5"/>
  <c r="T22" i="5" s="1"/>
  <c r="C22" i="5"/>
  <c r="B22" i="5"/>
  <c r="L16" i="1"/>
  <c r="G16" i="1"/>
  <c r="E16" i="1"/>
  <c r="H16" i="1" s="1"/>
  <c r="D16" i="1"/>
  <c r="V16" i="1" s="1"/>
  <c r="L19" i="1"/>
  <c r="G19" i="1"/>
  <c r="E19" i="1"/>
  <c r="H19" i="1" s="1"/>
  <c r="D19" i="1"/>
  <c r="V19" i="1" s="1"/>
  <c r="W16" i="1" l="1"/>
  <c r="V22" i="5"/>
  <c r="P16" i="1"/>
  <c r="T16" i="1"/>
  <c r="T23" i="5"/>
  <c r="T24" i="5"/>
  <c r="M16" i="1"/>
  <c r="I16" i="1"/>
  <c r="N16" i="1"/>
  <c r="J16" i="1"/>
  <c r="O16" i="1"/>
  <c r="W19" i="1"/>
  <c r="O19" i="1"/>
  <c r="J19" i="1"/>
  <c r="N19" i="1"/>
  <c r="I19" i="1"/>
  <c r="M19" i="1"/>
  <c r="P19" i="1"/>
  <c r="T19" i="1"/>
  <c r="U22" i="5" l="1"/>
  <c r="K22" i="5"/>
  <c r="H22" i="5"/>
  <c r="L22" i="5"/>
  <c r="G22" i="5"/>
  <c r="S22" i="5" s="1"/>
  <c r="I22" i="5"/>
  <c r="C35" i="5"/>
  <c r="B35" i="5"/>
  <c r="D35" i="5" s="1"/>
  <c r="C25" i="5"/>
  <c r="B25" i="5"/>
  <c r="D25" i="5" s="1"/>
  <c r="T25" i="5" l="1"/>
  <c r="T35" i="5"/>
  <c r="L18" i="1" l="1"/>
  <c r="G18" i="1"/>
  <c r="E18" i="1"/>
  <c r="H18" i="1" s="1"/>
  <c r="D18" i="1"/>
  <c r="V18" i="1" s="1"/>
  <c r="V24" i="5" l="1"/>
  <c r="H24" i="5"/>
  <c r="I24" i="5"/>
  <c r="L24" i="5"/>
  <c r="K24" i="5"/>
  <c r="U24" i="5"/>
  <c r="G24" i="5"/>
  <c r="S24" i="5" s="1"/>
  <c r="N18" i="1"/>
  <c r="I18" i="1"/>
  <c r="M18" i="1"/>
  <c r="W18" i="1"/>
  <c r="O18" i="1"/>
  <c r="J18" i="1"/>
  <c r="P18" i="1"/>
  <c r="T18" i="1"/>
  <c r="Q3" i="1"/>
  <c r="B16" i="5" l="1"/>
  <c r="D16" i="5" s="1"/>
  <c r="C16" i="5"/>
  <c r="B17" i="5"/>
  <c r="D17" i="5" s="1"/>
  <c r="C17" i="5"/>
  <c r="B18" i="5"/>
  <c r="D18" i="5" s="1"/>
  <c r="C18" i="5"/>
  <c r="C15" i="5"/>
  <c r="B15" i="5"/>
  <c r="D15" i="5" s="1"/>
  <c r="T15" i="5" s="1"/>
  <c r="G29" i="1"/>
  <c r="E29" i="1"/>
  <c r="H29" i="1" s="1"/>
  <c r="D29" i="1"/>
  <c r="V29" i="1" s="1"/>
  <c r="L17" i="1"/>
  <c r="G17" i="1"/>
  <c r="E17" i="1"/>
  <c r="H17" i="1" s="1"/>
  <c r="D17" i="1"/>
  <c r="V17" i="1" s="1"/>
  <c r="L12" i="1"/>
  <c r="G12" i="1"/>
  <c r="E12" i="1"/>
  <c r="H12" i="1" s="1"/>
  <c r="D12" i="1"/>
  <c r="V12" i="1" s="1"/>
  <c r="G11" i="1"/>
  <c r="E11" i="1"/>
  <c r="H11" i="1" s="1"/>
  <c r="D11" i="1"/>
  <c r="V11" i="1" s="1"/>
  <c r="G10" i="1"/>
  <c r="E10" i="1"/>
  <c r="H10" i="1" s="1"/>
  <c r="D10" i="1"/>
  <c r="T10" i="1" s="1"/>
  <c r="G9" i="1"/>
  <c r="F15" i="5" s="1"/>
  <c r="E9" i="1"/>
  <c r="H9" i="1" s="1"/>
  <c r="E15" i="5" s="1"/>
  <c r="D9" i="1"/>
  <c r="T9" i="1" s="1"/>
  <c r="K35" i="5" l="1"/>
  <c r="I35" i="5"/>
  <c r="U35" i="5"/>
  <c r="L35" i="5"/>
  <c r="H35" i="5"/>
  <c r="V35" i="5"/>
  <c r="G35" i="5"/>
  <c r="S35" i="5" s="1"/>
  <c r="V23" i="5"/>
  <c r="G23" i="5"/>
  <c r="S23" i="5" s="1"/>
  <c r="I23" i="5"/>
  <c r="U23" i="5"/>
  <c r="K23" i="5"/>
  <c r="H23" i="5"/>
  <c r="L23" i="5"/>
  <c r="U25" i="5"/>
  <c r="L25" i="5"/>
  <c r="I25" i="5"/>
  <c r="K25" i="5"/>
  <c r="H25" i="5"/>
  <c r="V25" i="5"/>
  <c r="G25" i="5"/>
  <c r="S25" i="5" s="1"/>
  <c r="O29" i="1"/>
  <c r="G17" i="5"/>
  <c r="L17" i="5"/>
  <c r="O17" i="1"/>
  <c r="G16" i="5"/>
  <c r="V16" i="5"/>
  <c r="G18" i="5"/>
  <c r="S18" i="5" s="1"/>
  <c r="V18" i="5"/>
  <c r="G15" i="5"/>
  <c r="S15" i="5" s="1"/>
  <c r="V15" i="5"/>
  <c r="P11" i="1"/>
  <c r="I17" i="5"/>
  <c r="H17" i="5"/>
  <c r="I18" i="5"/>
  <c r="H18" i="5"/>
  <c r="H16" i="5"/>
  <c r="I16" i="5"/>
  <c r="L18" i="5"/>
  <c r="U18" i="5"/>
  <c r="U15" i="5"/>
  <c r="T18" i="5"/>
  <c r="K18" i="5"/>
  <c r="H15" i="5"/>
  <c r="I15" i="5"/>
  <c r="K15" i="5"/>
  <c r="L16" i="5"/>
  <c r="L15" i="5"/>
  <c r="V17" i="5"/>
  <c r="P17" i="1"/>
  <c r="V10" i="1"/>
  <c r="T17" i="1"/>
  <c r="P29" i="1"/>
  <c r="T29" i="1"/>
  <c r="M12" i="1"/>
  <c r="W12" i="1"/>
  <c r="J12" i="1"/>
  <c r="I12" i="1"/>
  <c r="O12" i="1"/>
  <c r="N12" i="1"/>
  <c r="I10" i="1"/>
  <c r="O10" i="1"/>
  <c r="J10" i="1"/>
  <c r="N10" i="1"/>
  <c r="M10" i="1"/>
  <c r="W10" i="1"/>
  <c r="W11" i="1"/>
  <c r="J11" i="1"/>
  <c r="M11" i="1"/>
  <c r="I11" i="1"/>
  <c r="O11" i="1"/>
  <c r="N11" i="1"/>
  <c r="P12" i="1"/>
  <c r="I17" i="1"/>
  <c r="I29" i="1"/>
  <c r="T12" i="1"/>
  <c r="J17" i="1"/>
  <c r="W17" i="1"/>
  <c r="J29" i="1"/>
  <c r="W29" i="1"/>
  <c r="T11" i="1"/>
  <c r="M17" i="1"/>
  <c r="M29" i="1"/>
  <c r="P10" i="1"/>
  <c r="N17" i="1"/>
  <c r="N29" i="1"/>
  <c r="P9" i="1"/>
  <c r="V9" i="1"/>
  <c r="W9" i="1"/>
  <c r="J9" i="1"/>
  <c r="I9" i="1"/>
  <c r="O9" i="1"/>
  <c r="N9" i="1"/>
  <c r="M9" i="1"/>
  <c r="K17" i="5" l="1"/>
  <c r="U17" i="5"/>
  <c r="T17" i="5"/>
  <c r="S17" i="5"/>
  <c r="U16" i="5"/>
  <c r="K16" i="5"/>
  <c r="T16" i="5"/>
  <c r="S16" i="5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59" i="3" s="1"/>
  <c r="B4" i="5"/>
  <c r="K7" i="1"/>
  <c r="H6" i="1"/>
  <c r="R10" i="5" l="1"/>
  <c r="M66" i="3" s="1"/>
  <c r="N59" i="3" l="1"/>
  <c r="B8" i="5"/>
  <c r="B5" i="5"/>
  <c r="P10" i="5" l="1"/>
  <c r="K66" i="3" s="1"/>
  <c r="Q10" i="5"/>
  <c r="L66" i="3" s="1"/>
  <c r="B64" i="3"/>
  <c r="C64" i="3" s="1"/>
  <c r="M14" i="5"/>
  <c r="H65" i="3" s="1"/>
  <c r="L14" i="5"/>
  <c r="G65" i="3" s="1"/>
  <c r="K14" i="5"/>
  <c r="F65" i="3" s="1"/>
  <c r="L65" i="3"/>
  <c r="K65" i="3"/>
  <c r="O14" i="5"/>
  <c r="J65" i="3" s="1"/>
  <c r="N14" i="5"/>
  <c r="I65" i="3" s="1"/>
  <c r="J14" i="5"/>
  <c r="E65" i="3" s="1"/>
  <c r="I14" i="5"/>
  <c r="D65" i="3" s="1"/>
  <c r="H14" i="5"/>
  <c r="C65" i="3" s="1"/>
  <c r="O10" i="5"/>
  <c r="J66" i="3" s="1"/>
  <c r="N10" i="5"/>
  <c r="I66" i="3" s="1"/>
  <c r="M10" i="5"/>
  <c r="H66" i="3" s="1"/>
  <c r="J10" i="5"/>
  <c r="E66" i="3" s="1"/>
  <c r="N3" i="1" l="1"/>
  <c r="M3" i="1"/>
  <c r="O3" i="1"/>
  <c r="V31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31" i="1"/>
  <c r="T7" i="1" l="1"/>
  <c r="W31" i="1"/>
  <c r="G6" i="1" l="1"/>
  <c r="K13" i="5"/>
  <c r="L13" i="5"/>
  <c r="I13" i="5"/>
  <c r="H13" i="5"/>
  <c r="V13" i="5"/>
  <c r="S13" i="5"/>
  <c r="U13" i="5"/>
  <c r="K10" i="5" l="1"/>
  <c r="F66" i="3" s="1"/>
  <c r="I10" i="5"/>
  <c r="D66" i="3" s="1"/>
  <c r="H10" i="5"/>
  <c r="C66" i="3" s="1"/>
  <c r="L10" i="5"/>
  <c r="G66" i="3" s="1"/>
  <c r="L59" i="3"/>
  <c r="D59" i="3"/>
  <c r="D6" i="1"/>
  <c r="B6" i="1" l="1"/>
  <c r="L3" i="1"/>
  <c r="J3" i="1"/>
  <c r="H3" i="1"/>
  <c r="C6" i="1" l="1"/>
  <c r="P7" i="1" s="1"/>
  <c r="S3" i="1"/>
  <c r="S7" i="1" s="1"/>
  <c r="E6" i="1"/>
  <c r="F59" i="3"/>
  <c r="I3" i="1" l="1"/>
  <c r="B7" i="1"/>
  <c r="L9" i="1" l="1"/>
  <c r="L21" i="1"/>
  <c r="L20" i="1"/>
  <c r="L24" i="1"/>
  <c r="L14" i="1"/>
  <c r="L11" i="1"/>
  <c r="L10" i="1"/>
  <c r="L29" i="1"/>
  <c r="C7" i="1"/>
  <c r="O31" i="1"/>
  <c r="P31" i="1"/>
  <c r="N31" i="1"/>
  <c r="I31" i="1"/>
  <c r="J31" i="1"/>
  <c r="Q7" i="1" l="1"/>
  <c r="M59" i="3" s="1"/>
  <c r="L7" i="1"/>
  <c r="G59" i="3" s="1"/>
  <c r="K59" i="3"/>
  <c r="J59" i="3"/>
  <c r="K31" i="1"/>
  <c r="M31" i="1"/>
  <c r="R7" i="1" l="1"/>
  <c r="I59" i="3" s="1"/>
  <c r="M7" i="1"/>
  <c r="H59" i="3" s="1"/>
  <c r="J7" i="1"/>
  <c r="C59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5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5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5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5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58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<sst xmlns="http://schemas.openxmlformats.org/spreadsheetml/2006/main" count="495" uniqueCount="354">
  <si>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</si>
  <si>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</si>
  <si>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</si>
  <si>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</si>
  <si>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</si>
  <si>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</si>
  <si>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</si>
  <si>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</si>
  <si>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</si>
  <si>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</si>
  <si>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</si>
  <si>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</si>
  <si>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</si>
  <si>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</si>
  <si>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</si>
  <si>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</si>
  <si>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</si>
  <si>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</si>
  <si>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</si>
  <si>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</si>
  <si>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</si>
  <si>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</si>
  <si>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</si>
  <si>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</si>
  <si>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</si>
  <si>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</si>
  <si>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</si>
  <si>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</si>
  <si>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</si>
  <si>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</si>
  <si>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</si>
  <si>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</si>
  <si>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</si>
  <si>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</si>
  <si>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</si>
  <si>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</si>
  <si>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</si>
  <si>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</si>
  <si>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</si>
  <si>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</si>
  <si>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</si>
  <si>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</si>
  <si>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</si>
  <si>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</si>
  <si>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</si>
  <si>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</si>
  <si>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</si>
  <si>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</si>
  <si>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</si>
  <si>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</si>
  <si>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</si>
  <si>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</si>
  <si>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</si>
  <si>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</si>
  <si>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</si>
  <si>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</si>
  <si>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</si>
  <si>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</si>
  <si>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</si>
  <si>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</si>
  <si>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</si>
  <si>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</si>
  <si>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</si>
  <si>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</si>
  <si>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</si>
  <si>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</si>
  <si>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</si>
  <si>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</si>
  <si>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</si>
  <si>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</si>
  <si>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</si>
  <si>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</si>
  <si>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</si>
  <si>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</si>
  <si>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</si>
  <si>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</si>
  <si>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</si>
  <si>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</si>
  <si>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</si>
  <si>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</si>
  <si>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</si>
  <si>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</si>
  <si>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</si>
  <si>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</si>
  <si>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</si>
  <si>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</si>
  <si>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</si>
  <si>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</si>
  <si>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</si>
  <si>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</si>
  <si>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</si>
  <si>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</si>
  <si>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</si>
  <si>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</si>
  <si>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</si>
  <si>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</si>
  <si>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</si>
  <si>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</si>
  <si>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</si>
  <si>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</si>
  <si>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</si>
  <si>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</si>
  <si>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</si>
  <si>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</si>
  <si>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</si>
  <si>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</si>
  <si>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</si>
  <si>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</si>
  <si>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</si>
  <si>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</si>
  <si>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</si>
  <si>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</si>
  <si>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</si>
  <si>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</si>
  <si>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</si>
  <si>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</si>
  <si>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</si>
  <si>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</si>
  <si>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</si>
  <si>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</si>
  <si>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</si>
  <si>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</si>
  <si>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</si>
  <si>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</si>
  <si>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</si>
  <si>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</si>
  <si>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</si>
  <si>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</si>
  <si>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</si>
  <si>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</si>
  <si>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</si>
  <si>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</si>
  <si>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</si>
  <si>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</si>
  <si>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</si>
  <si>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</si>
  <si>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</si>
  <si>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</si>
  <si>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</si>
  <si>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</si>
  <si>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</si>
  <si>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</si>
  <si>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</si>
  <si>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</si>
  <si>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</si>
  <si>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</si>
  <si>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</si>
  <si>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</si>
  <si>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</si>
  <si>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</si>
  <si>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</si>
  <si>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</si>
  <si>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</si>
  <si>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</si>
  <si>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</si>
  <si>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</si>
  <si>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</si>
  <si>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</si>
  <si>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</si>
  <si>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</si>
  <si>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</si>
  <si>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</si>
  <si>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</si>
  <si>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</si>
  <si>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</si>
  <si>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</si>
  <si>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</si>
  <si>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</si>
  <si>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</si>
  <si>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</si>
  <si>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</si>
  <si>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</si>
  <si>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</si>
  <si>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</si>
  <si>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</si>
  <si>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</si>
  <si>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</si>
  <si>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</si>
  <si>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</si>
  <si>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</si>
  <si>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</si>
  <si>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</si>
  <si>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</si>
  <si>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</si>
  <si>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</si>
  <si>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</si>
  <si>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</si>
  <si>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</si>
  <si>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</si>
  <si>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</si>
  <si>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</si>
  <si>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</si>
  <si>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</si>
  <si>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</si>
  <si>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</si>
  <si>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</si>
  <si>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</si>
  <si>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</si>
  <si>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</si>
  <si>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</si>
  <si>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</si>
  <si>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</si>
  <si>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</si>
  <si>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</si>
  <si>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</si>
  <si>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</si>
  <si>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</si>
  <si>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</si>
  <si>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</si>
  <si>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</si>
  <si>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</si>
  <si>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</si>
  <si>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</si>
  <si>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</si>
  <si>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</si>
  <si>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</si>
  <si>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</si>
  <si>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</si>
  <si>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</si>
  <si>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</si>
  <si>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</si>
  <si>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</si>
  <si>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</si>
  <si>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</si>
  <si>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</si>
  <si>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</si>
  <si>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</si>
  <si>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</si>
  <si>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</si>
  <si>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</si>
  <si>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</si>
  <si>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</si>
  <si>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</si>
  <si>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</si>
  <si>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</si>
  <si>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</si>
  <si>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</si>
  <si>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</si>
  <si>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</si>
  <si>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</si>
  <si>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</si>
  <si>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</si>
  <si>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</si>
  <si>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</si>
  <si>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</si>
  <si>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</si>
  <si>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</si>
  <si>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</si>
  <si>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</si>
  <si>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</si>
  <si>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</si>
  <si>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</si>
  <si>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</si>
  <si>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</si>
  <si>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</si>
  <si>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</si>
  <si>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</si>
  <si>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</si>
  <si>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</si>
  <si>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</si>
  <si>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</si>
  <si>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</si>
  <si>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</si>
  <si>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</si>
  <si>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</si>
  <si>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</si>
  <si>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</si>
  <si>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</si>
  <si>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</si>
  <si>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</si>
  <si>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</si>
  <si>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</si>
  <si>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</si>
  <si>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</si>
  <si>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</si>
  <si>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</si>
  <si>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</si>
  <si>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</si>
  <si>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</si>
  <si>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</si>
  <si>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</si>
  <si>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</si>
  <si>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</si>
  <si>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</si>
  <si>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</si>
  <si>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</si>
  <si>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</si>
  <si>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</si>
  <si>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</si>
  <si>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</si>
  <si>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</si>
  <si>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</si>
  <si>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</si>
  <si>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</si>
  <si>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</si>
  <si>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</si>
  <si>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</si>
  <si>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</si>
  <si>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</si>
  <si>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</si>
  <si>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</si>
  <si>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</si>
  <si>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</si>
  <si>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</si>
  <si>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</si>
  <si>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</si>
  <si>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CCR Plan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</si>
  <si>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</si>
  <si>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</si>
  <si>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</si>
  <si>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</si>
  <si>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</si>
  <si>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</si>
  <si>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</si>
  <si>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</si>
  <si>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</si>
  <si>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</si>
  <si>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</si>
  <si>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</si>
  <si>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</si>
  <si>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</si>
  <si>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PROD_LINE</t>
  </si>
  <si>
    <t>IS_ACTIVE</t>
  </si>
  <si>
    <t>varchar(1)</t>
  </si>
  <si>
    <t>WORKING_DATE</t>
  </si>
  <si>
    <t>SHIFT</t>
  </si>
  <si>
    <t>Barcode</t>
  </si>
  <si>
    <t>Bar</t>
  </si>
  <si>
    <t>LgaBar</t>
  </si>
  <si>
    <t>NO_IN_DATE</t>
  </si>
  <si>
    <t>PROCESS_CODE</t>
  </si>
  <si>
    <t>LIFETIME_NO</t>
  </si>
  <si>
    <t>MODEL</t>
  </si>
  <si>
    <t>varchar(10)</t>
  </si>
  <si>
    <t>CFC</t>
  </si>
  <si>
    <t>GRADE</t>
  </si>
  <si>
    <t>LOT_NO</t>
  </si>
  <si>
    <t>NO_IN_LOT</t>
  </si>
  <si>
    <t>BODY_NO</t>
  </si>
  <si>
    <t>COLOR</t>
  </si>
  <si>
    <t>PROCESS_GROUP</t>
  </si>
  <si>
    <t>SUB_GROUP</t>
  </si>
  <si>
    <t>PROCESS_SEQ</t>
  </si>
  <si>
    <t>FILLER</t>
  </si>
  <si>
    <t>varchar(40)</t>
  </si>
  <si>
    <t>INFO_PROCESS</t>
  </si>
  <si>
    <t>varchar(20)</t>
  </si>
  <si>
    <t>INFO_PROCESS_NO</t>
  </si>
  <si>
    <t>IS_PROJECT</t>
  </si>
  <si>
    <t>Painting.Andon</t>
  </si>
  <si>
    <t>PtsAdoPaintingData</t>
  </si>
  <si>
    <t>PaintingData</t>
  </si>
  <si>
    <t>PROCESS_NAME</t>
  </si>
  <si>
    <t>Painting Andon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</si>
</sst>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ing/Production/prod/docs/design/loga/ekb/LgaEkbProgressDetail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 Guide"/>
      <sheetName val="A.Backend"/>
      <sheetName val="B.Frontend"/>
      <sheetName val="Data Type Mapping"/>
      <sheetName val="Directory Tree"/>
    </sheetNames>
    <sheetDataSet>
      <sheetData sheetId="0"/>
      <sheetData sheetId="1"/>
      <sheetData sheetId="2"/>
      <sheetData sheetId="3">
        <row r="1">
          <cell r="A1" t="str">
            <v>SQL Server data type</v>
          </cell>
          <cell r="B1" t="str">
            <v>CLR data type (.NET Framework)</v>
          </cell>
        </row>
        <row r="2">
          <cell r="A2" t="str">
            <v>nvarchar</v>
          </cell>
          <cell r="B2" t="str">
            <v>string</v>
          </cell>
        </row>
        <row r="3">
          <cell r="A3" t="str">
            <v>varchar</v>
          </cell>
          <cell r="B3" t="str">
            <v>string</v>
          </cell>
        </row>
        <row r="4">
          <cell r="A4" t="str">
            <v>uniqueidentifier</v>
          </cell>
          <cell r="B4" t="str">
            <v>Guid</v>
          </cell>
        </row>
        <row r="5">
          <cell r="A5" t="str">
            <v>bit</v>
          </cell>
          <cell r="B5" t="str">
            <v>bool</v>
          </cell>
        </row>
        <row r="6">
          <cell r="A6" t="str">
            <v>tinyint</v>
          </cell>
          <cell r="B6" t="str">
            <v>byte</v>
          </cell>
        </row>
        <row r="7">
          <cell r="A7" t="str">
            <v>smallint</v>
          </cell>
          <cell r="B7" t="str">
            <v>int</v>
          </cell>
        </row>
        <row r="8">
          <cell r="A8" t="str">
            <v>int</v>
          </cell>
          <cell r="B8" t="str">
            <v>int</v>
          </cell>
        </row>
        <row r="9">
          <cell r="A9" t="str">
            <v>bigint</v>
          </cell>
          <cell r="B9" t="str">
            <v>long</v>
          </cell>
        </row>
        <row r="10">
          <cell r="A10" t="str">
            <v>smallmoney</v>
          </cell>
          <cell r="B10" t="str">
            <v>decimal</v>
          </cell>
        </row>
        <row r="11">
          <cell r="A11" t="str">
            <v>money</v>
          </cell>
          <cell r="B11" t="str">
            <v>decimal</v>
          </cell>
        </row>
        <row r="12">
          <cell r="A12" t="str">
            <v>numeric</v>
          </cell>
          <cell r="B12" t="str">
            <v>decimal</v>
          </cell>
        </row>
        <row r="13">
          <cell r="A13" t="str">
            <v>decimal</v>
          </cell>
          <cell r="B13" t="str">
            <v>decimal</v>
          </cell>
        </row>
        <row r="14">
          <cell r="A14" t="str">
            <v>real</v>
          </cell>
          <cell r="B14" t="str">
            <v>decimal</v>
          </cell>
        </row>
        <row r="15">
          <cell r="A15" t="str">
            <v>float</v>
          </cell>
          <cell r="B15" t="str">
            <v>decimal</v>
          </cell>
        </row>
        <row r="16">
          <cell r="A16" t="str">
            <v>smalldatetime</v>
          </cell>
          <cell r="B16" t="str">
            <v>DateTime</v>
          </cell>
        </row>
        <row r="17">
          <cell r="A17" t="str">
            <v>datetime</v>
          </cell>
          <cell r="B17" t="str">
            <v>DateTime</v>
          </cell>
        </row>
        <row r="18">
          <cell r="A18" t="str">
            <v>datetime2</v>
          </cell>
          <cell r="B18" t="str">
            <v>DateTime</v>
          </cell>
        </row>
        <row r="19">
          <cell r="A19" t="str">
            <v>date</v>
          </cell>
          <cell r="B19" t="str">
            <v>DateTime</v>
          </cell>
        </row>
        <row r="20">
          <cell r="A20" t="str">
            <v>time</v>
          </cell>
          <cell r="B20" t="str">
            <v>TimeSpan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68"/>
  <sheetViews>
    <sheetView topLeftCell="A11" workbookViewId="0">
      <selection activeCell="C32" sqref="C32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25">
      <c r="A17" s="1"/>
      <c r="B17" s="17"/>
      <c r="D17" t="s">
        <v>307</v>
      </c>
      <c r="F17" s="1" t="s">
        <v>308</v>
      </c>
      <c r="G17" s="17" t="s">
        <v>309</v>
      </c>
    </row>
    <row r="18" spans="1:7" x14ac:dyDescent="0.25">
      <c r="A18" s="1"/>
      <c r="B18" s="17"/>
      <c r="C18" t="s">
        <v>91</v>
      </c>
      <c r="F18" s="1" t="s">
        <v>100</v>
      </c>
      <c r="G18" s="17" t="s">
        <v>100</v>
      </c>
    </row>
    <row r="19" spans="1:7" x14ac:dyDescent="0.25">
      <c r="A19" s="1"/>
      <c r="B19" s="17"/>
      <c r="D19" t="s">
        <v>95</v>
      </c>
      <c r="F19" s="1" t="s">
        <v>114</v>
      </c>
      <c r="G19" s="17" t="s">
        <v>293</v>
      </c>
    </row>
    <row r="20" spans="1:7" x14ac:dyDescent="0.25">
      <c r="A20" s="1"/>
      <c r="B20" s="17"/>
      <c r="D20" t="s">
        <v>96</v>
      </c>
      <c r="F20" s="1" t="s">
        <v>104</v>
      </c>
      <c r="G20" s="17" t="s">
        <v>294</v>
      </c>
    </row>
    <row r="21" spans="1:7" x14ac:dyDescent="0.25">
      <c r="A21" s="1"/>
      <c r="B21" s="17"/>
      <c r="C21" t="s">
        <v>92</v>
      </c>
      <c r="F21" s="1" t="s">
        <v>101</v>
      </c>
      <c r="G21" s="17" t="s">
        <v>101</v>
      </c>
    </row>
    <row r="22" spans="1:7" x14ac:dyDescent="0.25">
      <c r="A22" s="1"/>
      <c r="B22" s="17"/>
      <c r="D22" t="s">
        <v>95</v>
      </c>
      <c r="F22" s="1" t="s">
        <v>114</v>
      </c>
      <c r="G22" s="17" t="s">
        <v>303</v>
      </c>
    </row>
    <row r="23" spans="1:7" x14ac:dyDescent="0.25">
      <c r="A23" s="1"/>
      <c r="B23" s="17"/>
      <c r="C23" t="s">
        <v>90</v>
      </c>
      <c r="F23" s="1" t="s">
        <v>99</v>
      </c>
      <c r="G23" s="17" t="s">
        <v>99</v>
      </c>
    </row>
    <row r="24" spans="1:7" x14ac:dyDescent="0.25">
      <c r="A24" s="1"/>
      <c r="B24" s="17"/>
      <c r="D24" t="s">
        <v>95</v>
      </c>
      <c r="F24" s="1" t="s">
        <v>114</v>
      </c>
      <c r="G24" s="17" t="s">
        <v>302</v>
      </c>
    </row>
    <row r="25" spans="1:7" x14ac:dyDescent="0.25">
      <c r="A25" s="1"/>
      <c r="B25" s="17"/>
      <c r="C25" t="s">
        <v>93</v>
      </c>
      <c r="F25" s="1" t="s">
        <v>102</v>
      </c>
      <c r="G25" s="17" t="s">
        <v>102</v>
      </c>
    </row>
    <row r="26" spans="1:7" x14ac:dyDescent="0.25">
      <c r="A26" s="1"/>
      <c r="B26" s="17"/>
      <c r="C26" t="s">
        <v>271</v>
      </c>
      <c r="F26" s="1" t="s">
        <v>272</v>
      </c>
      <c r="G26" s="17" t="s">
        <v>272</v>
      </c>
    </row>
    <row r="27" spans="1:7" x14ac:dyDescent="0.25">
      <c r="A27" s="1"/>
      <c r="B27" s="17"/>
      <c r="D27" t="s">
        <v>273</v>
      </c>
      <c r="F27" s="1" t="s">
        <v>275</v>
      </c>
      <c r="G27" s="17" t="s">
        <v>295</v>
      </c>
    </row>
    <row r="28" spans="1:7" x14ac:dyDescent="0.25">
      <c r="A28" s="1"/>
      <c r="B28" s="17"/>
      <c r="D28" t="s">
        <v>276</v>
      </c>
      <c r="F28" s="1" t="s">
        <v>274</v>
      </c>
      <c r="G28" s="17" t="s">
        <v>296</v>
      </c>
    </row>
    <row r="29" spans="1:7" x14ac:dyDescent="0.25">
      <c r="A29" s="1"/>
      <c r="B29" s="17"/>
      <c r="D29" t="s">
        <v>277</v>
      </c>
      <c r="F29" s="1" t="s">
        <v>280</v>
      </c>
      <c r="G29" s="17" t="s">
        <v>297</v>
      </c>
    </row>
    <row r="30" spans="1:7" x14ac:dyDescent="0.25">
      <c r="A30" s="1"/>
      <c r="B30" s="17"/>
      <c r="D30" t="s">
        <v>278</v>
      </c>
      <c r="F30" s="1" t="s">
        <v>281</v>
      </c>
      <c r="G30" s="17" t="s">
        <v>298</v>
      </c>
    </row>
    <row r="31" spans="1:7" x14ac:dyDescent="0.25">
      <c r="A31" s="1"/>
      <c r="B31" s="17"/>
      <c r="D31" t="s">
        <v>279</v>
      </c>
      <c r="F31" s="1" t="s">
        <v>282</v>
      </c>
      <c r="G31" s="17" t="s">
        <v>299</v>
      </c>
    </row>
    <row r="32" spans="1:7" x14ac:dyDescent="0.25">
      <c r="A32" s="1"/>
      <c r="B32" s="17"/>
      <c r="D32" t="s">
        <v>284</v>
      </c>
      <c r="F32" s="1" t="s">
        <v>283</v>
      </c>
      <c r="G32" s="17" t="s">
        <v>300</v>
      </c>
    </row>
    <row r="33" spans="1:8" x14ac:dyDescent="0.25">
      <c r="A33" s="1"/>
      <c r="B33" s="17"/>
      <c r="C33" t="s">
        <v>307</v>
      </c>
      <c r="F33" s="1" t="s">
        <v>308</v>
      </c>
      <c r="G33" s="17" t="s">
        <v>308</v>
      </c>
    </row>
    <row r="34" spans="1:8" x14ac:dyDescent="0.25">
      <c r="A34" s="1"/>
      <c r="B34" s="17"/>
      <c r="D34" t="s">
        <v>310</v>
      </c>
      <c r="F34" s="1" t="s">
        <v>311</v>
      </c>
      <c r="G34" s="17" t="s">
        <v>312</v>
      </c>
    </row>
    <row r="35" spans="1:8" x14ac:dyDescent="0.25">
      <c r="A35" s="1"/>
      <c r="B35" s="17"/>
      <c r="D35" t="s">
        <v>96</v>
      </c>
      <c r="F35" s="1" t="s">
        <v>104</v>
      </c>
      <c r="G35" s="17" t="s">
        <v>313</v>
      </c>
    </row>
    <row r="36" spans="1:8" x14ac:dyDescent="0.25">
      <c r="A36" s="1"/>
      <c r="B36" s="17"/>
      <c r="D36" t="s">
        <v>314</v>
      </c>
      <c r="F36" s="1" t="s">
        <v>315</v>
      </c>
      <c r="G36" s="17" t="s">
        <v>316</v>
      </c>
    </row>
    <row r="37" spans="1:8" x14ac:dyDescent="0.25">
      <c r="A37" s="1"/>
      <c r="B37" s="17"/>
      <c r="D37" t="s">
        <v>317</v>
      </c>
      <c r="F37" s="1" t="s">
        <v>318</v>
      </c>
      <c r="G37" s="17" t="s">
        <v>319</v>
      </c>
    </row>
    <row r="38" spans="1:8" x14ac:dyDescent="0.25">
      <c r="A38" s="1"/>
      <c r="B38" s="17"/>
      <c r="D38" t="s">
        <v>326</v>
      </c>
      <c r="F38" s="1" t="s">
        <v>327</v>
      </c>
      <c r="G38" s="17" t="s">
        <v>328</v>
      </c>
    </row>
    <row r="39" spans="1:8" x14ac:dyDescent="0.25">
      <c r="A39" s="1"/>
      <c r="B39" s="17"/>
      <c r="C39" t="s">
        <v>320</v>
      </c>
      <c r="F39" s="1" t="s">
        <v>301</v>
      </c>
      <c r="G39" s="17" t="s">
        <v>301</v>
      </c>
    </row>
    <row r="40" spans="1:8" x14ac:dyDescent="0.25">
      <c r="A40" s="1"/>
      <c r="B40" s="17"/>
      <c r="D40" t="s">
        <v>304</v>
      </c>
      <c r="F40" s="1" t="s">
        <v>304</v>
      </c>
      <c r="G40" s="17" t="s">
        <v>305</v>
      </c>
      <c r="H40" s="17" t="s">
        <v>306</v>
      </c>
    </row>
    <row r="41" spans="1:8" x14ac:dyDescent="0.25">
      <c r="A41" s="1"/>
      <c r="B41" s="17"/>
      <c r="F41" s="1"/>
    </row>
    <row r="42" spans="1:8" x14ac:dyDescent="0.25">
      <c r="A42" s="1"/>
      <c r="B42" s="17"/>
    </row>
    <row r="43" spans="1:8" x14ac:dyDescent="0.25">
      <c r="A43" s="1"/>
      <c r="B43" s="17" t="s">
        <v>86</v>
      </c>
    </row>
    <row r="44" spans="1:8" x14ac:dyDescent="0.25">
      <c r="A44" s="1"/>
      <c r="B44" s="17" t="s">
        <v>83</v>
      </c>
    </row>
    <row r="45" spans="1:8" x14ac:dyDescent="0.25">
      <c r="A45" s="1"/>
      <c r="B45" s="17"/>
      <c r="C45" s="19" t="s">
        <v>80</v>
      </c>
    </row>
    <row r="46" spans="1:8" x14ac:dyDescent="0.25">
      <c r="A46" s="1"/>
      <c r="B46" s="17"/>
      <c r="C46" s="18" t="s">
        <v>81</v>
      </c>
    </row>
    <row r="47" spans="1:8" x14ac:dyDescent="0.25">
      <c r="A47" s="1"/>
      <c r="B47" s="17"/>
      <c r="C47" s="18" t="s">
        <v>82</v>
      </c>
    </row>
    <row r="48" spans="1:8" x14ac:dyDescent="0.25">
      <c r="A48" s="1"/>
      <c r="B48" s="17" t="s">
        <v>106</v>
      </c>
      <c r="C48" s="18"/>
    </row>
    <row r="49" spans="1:14" x14ac:dyDescent="0.25">
      <c r="A49" s="1"/>
      <c r="B49" s="17"/>
      <c r="C49" s="18" t="s">
        <v>107</v>
      </c>
    </row>
    <row r="50" spans="1:14" x14ac:dyDescent="0.25">
      <c r="A50" s="1"/>
      <c r="B50" s="17"/>
      <c r="C50" s="18" t="s">
        <v>108</v>
      </c>
    </row>
    <row r="51" spans="1:14" x14ac:dyDescent="0.25">
      <c r="A51" s="1"/>
      <c r="B51" s="17"/>
      <c r="C51" s="18" t="s">
        <v>109</v>
      </c>
    </row>
    <row r="52" spans="1:14" x14ac:dyDescent="0.25">
      <c r="A52" s="1"/>
      <c r="B52" s="17"/>
      <c r="C52" s="18" t="s">
        <v>111</v>
      </c>
    </row>
    <row r="53" spans="1:14" x14ac:dyDescent="0.25">
      <c r="A53" s="1"/>
      <c r="B53" s="17"/>
      <c r="C53" s="18" t="s">
        <v>113</v>
      </c>
    </row>
    <row r="54" spans="1:14" x14ac:dyDescent="0.25">
      <c r="A54" s="1"/>
      <c r="B54" s="17"/>
      <c r="C54" s="18" t="s">
        <v>112</v>
      </c>
    </row>
    <row r="55" spans="1:14" x14ac:dyDescent="0.25">
      <c r="A55" s="1"/>
      <c r="B55" s="17"/>
      <c r="C55" s="18" t="s">
        <v>110</v>
      </c>
    </row>
    <row r="56" spans="1:14" ht="21" customHeight="1" x14ac:dyDescent="0.25">
      <c r="B56" s="21" t="s">
        <v>78</v>
      </c>
    </row>
    <row r="57" spans="1:14" ht="21" customHeight="1" x14ac:dyDescent="0.25">
      <c r="B57" s="63" t="s">
        <v>231</v>
      </c>
    </row>
    <row r="58" spans="1:14" ht="15.75" thickBot="1" x14ac:dyDescent="0.3">
      <c r="C58" s="1" t="s">
        <v>72</v>
      </c>
      <c r="D58" s="1" t="s">
        <v>207</v>
      </c>
      <c r="E58" s="1" t="s">
        <v>208</v>
      </c>
      <c r="F58" s="1" t="s">
        <v>198</v>
      </c>
      <c r="G58" s="1" t="s">
        <v>199</v>
      </c>
      <c r="H58" s="1" t="s">
        <v>200</v>
      </c>
      <c r="I58" s="1" t="s">
        <v>201</v>
      </c>
      <c r="J58" s="1" t="s">
        <v>205</v>
      </c>
      <c r="K58" s="1" t="s">
        <v>209</v>
      </c>
      <c r="L58" s="1" t="s">
        <v>210</v>
      </c>
      <c r="M58" s="1" t="s">
        <v>211</v>
      </c>
      <c r="N58" s="1" t="s">
        <v>227</v>
      </c>
    </row>
    <row r="59" spans="1:14" s="16" customFormat="1" ht="21.75" customHeight="1" thickBot="1" x14ac:dyDescent="0.3">
      <c r="B59" s="52" t="s">
        <v>226</v>
      </c>
      <c r="C59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vovina.Painting.Andon
{
	[Table("PtsAdoPaintingData")]
	[Index(nameof(LifetimeNo), Name="IX_PtsAdoPaintingData_LifetimeNo")]
	[Index(nameof(Model), Name="IX_PtsAdoPaintingData_Model")]
	[Index(nameof(Cfc), Name="IX_PtsAdoPaintingData_Cfc")]
	[Index(nameof(ProcessSeq), Name="IX_PtsAdoPaintingData_ProcessSeq")]
	[Index(nameof(WorkingDate), Name="IX_PtsAdoPaintingData_WorkingDate")]
	[Index(nameof(Shift), Name="IX_PtsAdoPaintingData_Shift")]
	[Index(nameof(NoInDate), Name="IX_PtsAdoPaintingData_NoInDate")]
	[Index(nameof(ProcessCode), Name="IX_PtsAdoPaintingData_ProcessCode")]
	[Index(nameof(IsActive), Name="IX_PtsAdoPaintingData_IsActive")]	public class PtsAdoPaintingData: FullAuditedEntity&lt;long&gt;, IEntity&lt;long&gt;	
	{
		public const int MaxModelLength = 10;
		public const int MaxCfcLength = 10;
		public const int MaxGradeLength = 10;
		public const int MaxLotNoLength = 10;
		public const int MaxBodyNoLength = 10;
		public const int MaxColorLength = 10;
		public const int MaxProdLineLength = 10;
		public const int MaxShiftLength = 10;
		public const int MaxProcessCodeLength = 40;
		public const int MaxInfoProcessLength = 20;
		public const int MaxIsProjectLength = 1;
		public const int MaxIsActiveLength = 1;
		public virtual long LifetimeNo { get; set; }
		[StringLength(MaxModelLength)]
		public virtual string Model { get; set; }
		[StringLength(MaxCfcLength)]
		public virtual string Cfc { get; set; }
		[StringLength(MaxGradeLength)]
		public virtual string Grade { get; set; }
		[StringLength(MaxLotNoLength)]
		public virtual string LotNo { get; set; }
		public virtual int NoInLot { get; set; }
		[StringLength(MaxBodyNoLength)]
		public virtual string BodyNo { get; set; }
		[StringLength(MaxColorLength)]
		public virtual string Color { get; set; }
		[StringLength(MaxProdLineLength)]
		public virtual string ProdLine { get; set; }
		public virtual int ProcessGroup { get; set; }
		public virtual int SubGroup { get; set; }
		public virtual int ProcessSeq { get; set; }
		public virtual int Filler { get; set; }
		[Column(TypeName="date")]
		public virtual DateTime WorkingDate { get; set; }
		[StringLength(MaxShiftLength)]
		public virtual string Shift { get; set; }
		public virtual int NoInDate { get; set; }
		[StringLength(MaxProcessCodeLength)]
		public virtual string ProcessCode { get; set; }
		[StringLength(MaxInfoProcessLength)]
		public virtual string InfoProcess { get; set; }
		public virtual int InfoProcessNo { get; set; }
		[StringLength(MaxIsProjectLength)]
		public virtual string IsProject { get; set; }
		[StringLength(MaxIsActiveLength)]
		public virtual string IsActive { get; set; }
	}
}
</v>
      </c>
      <c r="D59" s="51" t="str">
        <f>A.Backend!O7</f>
        <v xml:space="preserve">		public const string Pages_Painting_Andon_PaintingData = "Pages.Painting.Andon.PaintingData";
		public const string Pages_Painting_Andon_PaintingData_CreateEdit = "Pages.Painting.Andon.PaintingData.CreateEdit";
		public const string Pages_Painting_Andon_PaintingData_Delete = "Pages.Painting.Andon.PaintingData.Delete";
</v>
      </c>
      <c r="E59" s="51" t="str">
        <f>A.Backend!N7</f>
        <v xml:space="preserve">		var perPtsAdoPaintingData = PARENTS.CreateChildPermission(AppPermissions.Pages_Painting_Andon_PaintingData, L( "PaintingAndonPaintingData"), multiTenancySides: MultiTenancySides.Tenant);
		perPtsAdoPaintingData.CreateChildPermission(AppPermissions.Pages_Painting_Andon_PaintingData_CreateEdit, L( "PaintingAndonPaintingDataCreateEdit"), multiTenancySides: MultiTenancySides.Tenant);
		perPtsAdoPaintingData.CreateChildPermission(AppPermissions.Pages_Painting_Andon_PaintingData_Delete, L( "PaintingAndonPaintingDataDelete"), multiTenancySides: MultiTenancySides.Tenant);</v>
      </c>
      <c r="F59" s="51" t="str">
        <f>A.Backend!K7</f>
        <v>public virtual DbSet&lt;PtsAdoPaintingData&gt; PtsAdoPaintingDatas { get; set; }</v>
      </c>
      <c r="G59" s="51" t="str">
        <f ca="1">A.Backend!L7</f>
        <v xml:space="preserve">namespace vovina.Painting.Andon
{
	public class PtsAdoPaintingDataConsts	
	{
		public const int MaxModelLength = 10;
		public const int MaxCfcLength = 10;
		public const int MaxGradeLength = 10;
		public const int MaxLotNoLength = 10;
		public const int MaxBodyNoLength = 10;
		public const int MaxColorLength = 10;
		public const int MaxProdLineLength = 10;
		public const int MaxShiftLength = 10;
		public const int MaxProcessCodeLength = 40;
		public const int MaxInfoProcessLength = 20;
		public const int MaxIsProjectLength = 1;
		public const int MaxIsActiveLength = 1;
		// Define Store Name: Format SP_ + &lt;Store Name&gt; = &lt;Store Name&gt;
	}
}
</v>
      </c>
      <c r="H59" s="51" t="str">
        <f ca="1">A.Backend!M7</f>
        <v xml:space="preserve">using Abp.Application.Services.Dto;
using System;
using System.ComponentModel.DataAnnotations;
namespace vovina.Painting.Andon.Dto
{
	public class PtsAdoPaintingDataDto : EntityDto&lt;long?&gt;	
	{
		public virtual long LifetimeNo { get; set; }
		public virtual string Model { get; set; }
		public virtual string Cfc { get; set; }
		public virtual string Grade { get; set; }
		public virtual string LotNo { get; set; }
		public virtual int NoInLot { get; set; }
		public virtual string BodyNo { get; set; }
		public virtual string Color { get; set; }
		public virtual string ProdLine { get; set; }
		public virtual int ProcessGroup { get; set; }
		public virtual int SubGroup { get; set; }
		public virtual int ProcessSeq { get; set; }
		public virtual int Filler { get; set; }
		public virtual DateTime? WorkingDate { get; set; }
		public virtual string Shift { get; set; }
		public virtual int NoInDate { get; set; }
		public virtual string ProcessCode { get; set; }
		public virtual string InfoProcess { get; set; }
		public virtual int InfoProcessNo { get; set; }
		public virtual string IsProject { get; set; }
		public virtual string IsActive { get; set; }
	}
	public class CreateOrEditPtsAdoPaintingDataDto : EntityDto&lt;long?&gt;	
	{
		public virtual long LifetimeNo { get; set; }
		[StringLength(PtsAdoPaintingDataConsts.MaxModelLength)]
		public virtual string Model { get; set; }
		[StringLength(PtsAdoPaintingDataConsts.MaxCfcLength)]
		public virtual string Cfc { get; set; }
		[StringLength(PtsAdoPaintingDataConsts.MaxGradeLength)]
		public virtual string Grade { get; set; }
		[StringLength(PtsAdoPaintingDataConsts.MaxLotNoLength)]
		public virtual string LotNo { get; set; }
		public virtual int NoInLot { get; set; }
		[StringLength(PtsAdoPaintingDataConsts.MaxBodyNoLength)]
		public virtual string BodyNo { get; set; }
		[StringLength(PtsAdoPaintingDataConsts.MaxColorLength)]
		public virtual string Color { get; set; }
		[StringLength(PtsAdoPaintingDataConsts.MaxProdLineLength)]
		public virtual string ProdLine { get; set; }
		public virtual int ProcessGroup { get; set; }
		public virtual int SubGroup { get; set; }
		public virtual int ProcessSeq { get; set; }
		public virtual int Filler { get; set; }
		public virtual DateTime? WorkingDate { get; set; }
		[StringLength(PtsAdoPaintingDataConsts.MaxShiftLength)]
		public virtual string Shift { get; set; }
		public virtual int NoInDate { get; set; }
		[StringLength(PtsAdoPaintingDataConsts.MaxProcessCodeLength)]
		public virtual string ProcessCode { get; set; }
		[StringLength(PtsAdoPaintingDataConsts.MaxInfoProcessLength)]
		public virtual string InfoProcess { get; set; }
		public virtual int InfoProcessNo { get; set; }
		[StringLength(PtsAdoPaintingDataConsts.MaxIsProjectLength)]
		public virtual string IsProject { get; set; }
		[StringLength(PtsAdoPaintingDataConsts.MaxIsActiveLength)]
		public virtual string IsActive { get; set; }
	}
	public class GetPtsAdoPaintingDataInput : PagedAndSortedResultRequestDto	
	{
		public virtual string Model { get; set; }
		public virtual string Cfc { get; set; }
		public virtual string Grade { get; set; }
		public virtual string LotNo { get; set; }
		public virtual int NoInLot { get; set; }
		public virtual string BodyNo { get; set; }
		public virtual string Color { get; set; }
		public virtual string ProdLine { get; set; }
		public virtual int ProcessGroup { get; set; }
		public virtual int SubGroup { get; set; }
		public virtual int ProcessSeq { get; set; }
		public virtual int Filler { get; set; }
		public virtual DateTime? WorkingDate { get; set; }
		public virtual string Shift { get; set; }
		public virtual int NoInDate { get; set; }
		public virtual string ProcessCode { get; set; }
		public virtual string InfoProcess { get; set; }
		public virtual int InfoProcessNo { get; set; }
		public virtual string IsProject { get; set; }
		public virtual string IsActive { get; set; }
	}
}
</v>
      </c>
      <c r="I59" s="51" t="str">
        <f ca="1">A.Backend!R7</f>
        <v xml:space="preserve">using Abp.Application.Services.Dto;
using System;
using System.ComponentModel.DataAnnotations;
namespace vovina.Painting.Andon.Dto
{
	public class PtsAdoPaintingDataExportInput{
		public virtual long LifetimeNo { get; set; }
		public virtual string Model { get; set; }
		public virtual string Cfc { get; set; }
		public virtual string Grade { get; set; }
		public virtual string LotNo { get; set; }
		public virtual int NoInLot { get; set; }
		public virtual string BodyNo { get; set; }
		public virtual string Color { get; set; }
		public virtual string ProdLine { get; set; }
		public virtual int ProcessGroup { get; set; }
		public virtual int SubGroup { get; set; }
		public virtual int ProcessSeq { get; set; }
		public virtual int Filler { get; set; }
		public virtual DateTime? WorkingDate { get; set; }
		public virtual string Shift { get; set; }
		public virtual int NoInDate { get; set; }
		public virtual string ProcessCode { get; set; }
		public virtual string InfoProcess { get; set; }
		public virtual int InfoProcessNo { get; set; }
		public virtual string IsProject { get; set; }
		public virtual string IsActive { get; set; }
	}
}
</v>
      </c>
      <c r="J59" s="51" t="str">
        <f>A.Backend!P7</f>
        <v xml:space="preserve">using Abp.Application.Services;
using Abp.Application.Services.Dto;
using System.Collections.Generic;using vovina.Dto;
using System.Threading.Tasks;
using vovina.Painting.Andon.Dto;
namespace vovina.Painting.Andon
{
	public interface IPtsAdoPaintingDataAppService : IApplicationService
	{
		Task&lt;PagedResultDto&lt;PtsAdoPaintingDataDto&gt;&gt; GetAll(GetPtsAdoPaintingDataInput input);
		Task CreateOrEdit(CreateOrEditPtsAdoPaintingDataDto input);
		Task Delete(EntityDto input);
	}
}
</v>
      </c>
      <c r="K59" s="51" t="str">
        <f>A.Backend!S7</f>
        <v xml:space="preserve">using Abp.Application.Services;
using Abp.Application.Services.Dto;
using System.Collections.Generic;using vovina.Dto;
using System.Threading.Tasks;
using vovina.Painting.Andon.Dto;
namespace vovina.Painting.Andon.Exporting
{
	public interface IPtsAdoPaintingDataExcelExporter : IApplicationService
	{
		FileDto ExportToFile(List&lt;PtsAdoPaintingDataDto&gt; ptsadopaintingdata);
	}
}
</v>
      </c>
      <c r="L59" s="51" t="str">
        <f ca="1">A.Backend!T7</f>
        <v>using System.Collections.Generic;
using vovina.DataExporting.Excel.NPOI;
using vovina.Dto;
using vovina.Painting.Andon.Exporting;
using vovina.Painting.Andon.Dto;
using vovina.Storage;
using vovina.Painting.Andon.Dto;
namespace vovina.Painting.Andon.Exporting
{
    public class PtsAdoPaintingDataExcelExporter : NpoiExcelExporterBase, IPtsAdoPaintingDataExcelExporter
    {
        public PtsAdoPaintingDataExcelExporter(ITempFileCacheManager tempFileCacheManager) : base(tempFileCacheManager) { }
        public FileDto ExportToFile(List&lt;PtsAdoPaintingDataDto&gt; paintingdata)
        {
            return CreateExcelPackage(
				"PaintingAndonPaintingData.xlsx",
				excelPackage =&gt;
				 {
					var sheet = excelPackage.CreateSheet("PaintingData");
					AddHeader(
								sheet,
								("LifetimeNo"),
								("Model"),
								("Cfc"),
								("Grade"),
								("LotNo"),
								("NoInLot"),
								("BodyNo"),
								("Color"),
								("ProdLine"),
								("ProcessGroup"),
								("SubGroup"),
								("ProcessSeq"),
								("Filler"),
								("WorkingDate"),
								("Shift"),
								("NoInDate"),
								("ProcessCode"),
								("InfoProcess"),
								("InfoProcessNo"),
								("IsProject"),
								("IsActive"),
							   );
					AddObjects(
						 sheet, 1, paintingdata,                                       
								_ =&gt; _.LifetimeNo,
								_ =&gt; _.Model,
								_ =&gt; _.Cfc,
								_ =&gt; _.Grade,
								_ =&gt; _.LotNo,
								_ =&gt; _.NoInLot,
								_ =&gt; _.BodyNo,
								_ =&gt; _.Color,
								_ =&gt; _.ProdLine,
								_ =&gt; _.ProcessGroup,
								_ =&gt; _.SubGroup,
								_ =&gt; _.ProcessSeq,
								_ =&gt; _.Filler,
								_ =&gt; _.WorkingDate,
								_ =&gt; _.Shift,
								_ =&gt; _.NoInDate,
								_ =&gt; _.ProcessCode,
								_ =&gt; _.InfoProcess,
								_ =&gt; _.InfoProcessNo,
								_ =&gt; _.IsProject,
								_ =&gt; _.IsActive,
								);
			for (var i = 0; i &lt; 8; i++)
				{
					sheet.AutoSizeColumn(i);
				}
			});
        }
    }
}</v>
      </c>
      <c r="M59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vovina.Painting.Andon.Dto;
using vovina.Painting.Andon.Exporting;
namespace vovina.Painting.Andon
{
    [AbpAuthorize(AppPermissions.Pages_Painting_Andon_PaintingData)]
    public class PtsAdoPaintingDataAppService : vovinaAppServiceBase, IPtsAdoPaintingDataAppService
    {
        private readonly IDapperRepository&lt;PtsAdoPaintingData, long&gt; _dapperRepo;
        private readonly IRepository&lt;PtsAdoPaintingData, long&gt; _repo;
        private readonly IPtsAdoPaintingDataExcelExporter _calendarListExcelExporter;
        public PtsAdoPaintingDataAppService(IRepository&lt;PtsAdoPaintingData,long&gt; repo, 
                                         IDapperRepository&lt;PtsAdoPaintingData,long&gt; dapperRepo,
                                        IPtsAdoPaintingDataExcelExporter calendarListExcelExporter
            )
        {
            _repo = repo;
            _dapperRepo = dapperRepo;
            _calendarListExcelExporter = calendarListExcelExporter;
        }
        [AbpAuthorize(AppPermissions.Pages_Painting_Andon_PaintingData_CreateEdit)]
        public async Task CreateOrEdit(CreateOrEditPtsAdoPaintingDataDto input)
        {
            if (input.Id == null) await Create(input);
            else await Update(input);
        }
        //CREATE
        private async Task Create(CreateOrEditPtsAdoPaintingDataDto input)
        {          
            var mainObj = ObjectMapper.Map&lt;PtsAdoPaintingData&gt;(input);
            await CurrentUnitOfWork.GetDbContext&lt;vovinaDbContext&gt;().AddAsync(mainObj);
        }
        // EDIT
        private async Task Update(CreateOrEditPtsAdoPaintingDataDto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[AbpAuthorize(AppPermissions.Pages_Painting_Andon_PaintingData_Delete)]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Task&lt;PagedResultDto&lt;PtsAdoPaintingDataDto&gt;&gt; GetAll(GetPtsAdoPaintingDataInput input)
        {
            var filtered = _repo.GetAll()
				.WhereIf(!string.IsNullOrWhiteSpace(input.Model), e =&gt; e.Model.Contains(input.Model))
				.WhereIf(!string.IsNullOrWhiteSpace(input.Cfc), e =&gt; e.Cfc.Contains(input.Cfc))
				.WhereIf(!string.IsNullOrWhiteSpace(input.Grade), e =&gt; e.Grade.Contains(input.Grade))
				.WhereIf(!string.IsNullOrWhiteSpace(input.LotNo), e =&gt; e.LotNo.Contains(input.LotNo))
				.WhereIf(!string.IsNullOrWhiteSpace(input.BodyNo), e =&gt; e.BodyNo.Contains(input.BodyNo))
				.WhereIf(!string.IsNullOrWhiteSpace(input.Color), e =&gt; e.Color.Contains(input.Color))
				.WhereIf(!string.IsNullOrWhiteSpace(input.ProdLine), e =&gt; e.ProdLine.Contains(input.ProdLine))
				.WhereIf(input.WorkingDate.HasValue, t =&gt; t.WorkingDate == input.WorkingDate.Value)
				.WhereIf(!string.IsNullOrWhiteSpace(input.Shift), e =&gt; e.Shift.Contains(input.Shift))
				.WhereIf(!string.IsNullOrWhiteSpace(input.ProcessCode), e =&gt; e.ProcessCode.Contains(input.ProcessCode))
				.WhereIf(!string.IsNullOrWhiteSpace(input.InfoProcess), e =&gt; e.InfoProcess.Contains(input.InfoProcess))
				.WhereIf(!string.IsNullOrWhiteSpace(input.IsProject), e =&gt; e.IsProject.Contains(input.IsProject))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PtsAdoPaintingDataDto
                        {
							Id = o.Id,
							LifetimeNo = o.LifetimeNo,
							Model = o.Model,
							Cfc = o.Cfc,
							Grade = o.Grade,
							LotNo = o.LotNo,
							NoInLot = o.NoInLot,
							BodyNo = o.BodyNo,
							Color = o.Color,
							ProdLine = o.ProdLine,
							ProcessGroup = o.ProcessGroup,
							SubGroup = o.SubGroup,
							ProcessSeq = o.ProcessSeq,
							Filler = o.Filler,
							WorkingDate = o.WorkingDate,
							Shift = o.Shift,
							NoInDate = o.NoInDate,
							ProcessCode = o.ProcessCode,
							InfoProcess = o.InfoProcess,
							InfoProcessNo = o.InfoProcessNo,
							IsProject = o.IsProject,
							IsActive = o.IsActive,
                        };
            var totalCount = await filtered.CountAsync();
			var paged = system.PageBy(input);
            return new PagedResultDto&lt;PtsAdoPaintingDataDto&gt;(
                totalCount,
                 await paged.ToListAsync()
            );
        }
        public async Task&lt;FileDto&gt; GetPaintingDataToExcel(PtsAdoPaintingDataExportInput input)
        {
            var query = from o in _repo.GetAll()
                        select new PtsAdoPaintingDataDto
                        {
							Id = o.Id,
							LifetimeNo = o.LifetimeNo,
							Model = o.Model,
							Cfc = o.Cfc,
							Grade = o.Grade,
							LotNo = o.LotNo,
							NoInLot = o.NoInLot,
							BodyNo = o.BodyNo,
							Color = o.Color,
							ProdLine = o.ProdLine,
							ProcessGroup = o.ProcessGroup,
							SubGroup = o.SubGroup,
							ProcessSeq = o.ProcessSeq,
							Filler = o.Filler,
							WorkingDate = o.WorkingDate,
							Shift = o.Shift,
							NoInDate = o.NoInDate,
							ProcessCode = o.ProcessCode,
							InfoProcess = o.InfoProcess,
							InfoProcessNo = o.InfoProcessNo,
							IsProject = o.IsProject,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_dapperRepo.ExecuteAsync(PtsAdoPaintingDataConsts.SP_MST_WPT_CALENDAR_GENERATE);
       // }
    }
}</v>
      </c>
      <c r="N59" s="62" t="str">
        <f>A.Backend!U7</f>
        <v xml:space="preserve">  configuration.CreateMap&lt;PtsAdoPaintingDataDto, PtsAdoPaintingData&gt;();
  configuration.CreateMap&lt;PtsAdoPaintingData, PtsAdoPaintingDataDto&gt;();
  configuration.CreateMap&lt;CreateOrEditPtsAdoPaintingDataDto, PtsAdoPaintingData&gt;();</v>
      </c>
    </row>
    <row r="60" spans="1:14" s="16" customFormat="1" ht="21.75" customHeight="1" x14ac:dyDescent="0.25">
      <c r="C60" s="65"/>
      <c r="D60" s="29"/>
      <c r="E60" s="29"/>
      <c r="F60" s="29"/>
      <c r="G60" s="29"/>
      <c r="H60" s="66"/>
      <c r="I60" s="67"/>
      <c r="J60" s="29"/>
      <c r="K60" s="29"/>
      <c r="M60" s="66"/>
    </row>
    <row r="61" spans="1:14" s="16" customFormat="1" ht="21.75" customHeight="1" x14ac:dyDescent="0.25">
      <c r="C61" s="29"/>
      <c r="D61" s="29"/>
      <c r="E61" s="29"/>
      <c r="F61" s="29"/>
      <c r="G61" s="29"/>
      <c r="H61" s="29"/>
      <c r="J61" s="29"/>
      <c r="K61" s="29"/>
      <c r="M61" s="29"/>
    </row>
    <row r="62" spans="1:14" s="16" customFormat="1" ht="21.75" customHeight="1" x14ac:dyDescent="0.25">
      <c r="C62" s="29"/>
      <c r="D62" s="29"/>
      <c r="E62" s="29"/>
      <c r="G62" s="29"/>
      <c r="H62" s="29"/>
    </row>
    <row r="63" spans="1:14" x14ac:dyDescent="0.25">
      <c r="B63" s="1" t="s">
        <v>73</v>
      </c>
    </row>
    <row r="64" spans="1:14" ht="21" x14ac:dyDescent="0.35">
      <c r="B64" t="str">
        <f>B.Frontend!B8</f>
        <v>paintingdata</v>
      </c>
      <c r="C64" s="72" t="str">
        <f>"create folder " &amp;B64</f>
        <v>create folder paintingdata</v>
      </c>
      <c r="D64" s="72"/>
      <c r="E64" s="72"/>
      <c r="F64" s="72"/>
      <c r="G64" s="72"/>
      <c r="H64" s="72"/>
      <c r="I64" s="72"/>
      <c r="J64" s="72"/>
      <c r="K64" s="73" t="s">
        <v>228</v>
      </c>
      <c r="L64" s="73"/>
      <c r="M64" s="31"/>
    </row>
    <row r="65" spans="2:13" s="28" customFormat="1" ht="18" customHeight="1" x14ac:dyDescent="0.25">
      <c r="B65" s="60" t="s">
        <v>229</v>
      </c>
      <c r="C65" s="31" t="str">
        <f>B.Frontend!H14</f>
        <v>paintingdata.component.ts</v>
      </c>
      <c r="D65" s="31" t="str">
        <f>B.Frontend!I14</f>
        <v>paintingdata.component.html</v>
      </c>
      <c r="E65" s="31" t="str">
        <f>B.Frontend!J14</f>
        <v>paintingdata.component.less</v>
      </c>
      <c r="F65" s="31" t="str">
        <f>B.Frontend!K14</f>
        <v>create-or-edit-paintingdata-modal.component.html</v>
      </c>
      <c r="G65" s="31" t="str">
        <f>B.Frontend!L14</f>
        <v>create-or-edit-paintingdata-modal.component.ts</v>
      </c>
      <c r="H65" s="31" t="str">
        <f>B.Frontend!M14</f>
        <v>create-or-edit-paintingdata-modal.component.less</v>
      </c>
      <c r="I65" s="31" t="str">
        <f>B.Frontend!N14</f>
        <v>paintingdata.module.ts</v>
      </c>
      <c r="J65" s="31" t="str">
        <f>B.Frontend!O14</f>
        <v>paintingdata-routing.module.ts</v>
      </c>
      <c r="K65" s="31" t="str">
        <f>B.Frontend!P14</f>
        <v>app.navigation.service.ts</v>
      </c>
      <c r="L65" s="31" t="str">
        <f>B.Frontend!Q14</f>
        <v>main.routing.module.ts</v>
      </c>
      <c r="M65" s="60" t="s">
        <v>232</v>
      </c>
    </row>
    <row r="66" spans="2:13" ht="21.75" customHeight="1" x14ac:dyDescent="0.25">
      <c r="B66" s="61" t="s">
        <v>226</v>
      </c>
      <c r="C66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PtsAdoPaintingDataDto, PtsAdoPaintingDataServiceProxy } from '@shared/service-proxies/service-proxies';
import { finalize } from 'rxjs/internal/operators/finalize';
import { CreateOrEditPaintingDataModalComponent } from './create-or-edit-paintingdata-modal.component';
import { DatePipe } from '@angular/common';
import { FileDownloadService } from '@shared/utils/file-download.service';
import ceil from 'lodash-es/ceil';
import { Paginator } from 'primeng/paginator';
@Component({
    templateUrl: './paintingdata.component.html',
    styleUrls: ['./paintingdata.component.less'],
})
export class PaintingDataComponent extends AppComponentBase implements OnInit {
    @ViewChild('createOrEditModalPaintingData', { static: true }) createOrEditModalPaintingData:| CreateOrEditPaintingDataModalComponent|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PtsAdoPaintingDataDto = new PtsAdoPaintingDataDto();
    saveSelectedRow: PtsAdoPaintingDataDto = new PtsAdoPaintingDataDto();
    datas: PtsAdoPaintingDataDto = new PtsAdoPaintingDataDto();
    isLoading: boolean = false;
    dataParams: GridParams | undefined;
    rowData: any[] = [];
    gridApi!: GridApi;
    rowSelection = 'multiple';
    filter: string = '';
	pipe = new DatePipe('en-US');
	frameworkComponents: FrameworkComponent;
    lifetimeNo
	model : string = '' ; 
	cfc : string = '' ; 
	grade : string = '' ; 
	lotNo : string = '' ; 
	noInLot : number = 0 ;
	bodyNo : string = '' ; 
	color : string = '' ; 
	prodLine : string = '' ; 
	processGroup : number = 0 ;
	subGroup : number = 0 ;
	processSeq : number = 0 ;
	filler : number = 0 ;
	workingDate : any ;
	shift : string = '' ; 
	noInDate : number = 0 ;
	processName : string = '' ; 
	infoProcess : string = '' ; 
	infoProcessNo : number = 0 ;
	isProject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PtsAdoPaintingDataServiceProxy,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this.l('Lifetime No'),headerTooltip: this.l('Lifetime No'),field: 'lifetimeNo',flex: 1},
			{headerName: this.l('Model'),headerTooltip: this.l('Model'),field: 'model',flex: 1},
			{headerName: this.l('Cfc'),headerTooltip: this.l('Cfc'),field: 'cfc',flex: 1},
			{headerName: this.l('Grade'),headerTooltip: this.l('Grade'),field: 'grade',flex: 1},
			{headerName: this.l('Lot No'),headerTooltip: this.l('Lot No'),field: 'lotNo',flex: 1},
			{headerName: this.l('No In Lot'),headerTooltip: this.l('No In Lot'),field: 'noInLot',flex: 1},
			{headerName: this.l('Body No'),headerTooltip: this.l('Body No'),field: 'bodyNo',flex: 1},
			{headerName: this.l('Color'),headerTooltip: this.l('Color'),field: 'color',flex: 1},
			{headerName: this.l('Prod Line'),headerTooltip: this.l('Prod Line'),field: 'prodLine',flex: 1},
			{headerName: this.l('Process Group'),headerTooltip: this.l('Process Group'),field: 'processGroup',flex: 1},
			{headerName: this.l('Sub Group'),headerTooltip: this.l('Sub Group'),field: 'subGroup',flex: 1},
			{headerName: this.l('Process Seq'),headerTooltip: this.l('Process Seq'),field: 'processSeq',flex: 1},
			{headerName: this.l('Filler'),headerTooltip: this.l('Filler'),field: 'filler',flex: 1},
			{headerName: this.l('Working Date'),headerTooltip: this.l('Working Date'),field: 'workingDate',valueGetter: (params) =&gt; this.pipe.transform(params.data?.workingDate, 'dd/MM/yyyy'),flex: 1},
			{headerName: this.l('Shift'),headerTooltip: this.l('Shift'),field: 'shift',flex: 1},
			{headerName: this.l('No In Date'),headerTooltip: this.l('No In Date'),field: 'noInDate',flex: 1},
			{headerName: this.l('Process Name'),headerTooltip: this.l('Process Name'),field: 'processName',flex: 1},
			{headerName: this.l('Info Process'),headerTooltip: this.l('Info Process'),field: 'infoProcess',flex: 1},
			{headerName: this.l('Info Process No'),headerTooltip: this.l('Info Process No'),field: 'infoProcessNo',flex: 1},
			{headerName: this.l('Is Project'),headerTooltip: this.l('Is Project'),field:  'isProject', cellClass: ['text-center'], width: 120, cellRenderer: 'agCellButtonComponent',
buttonDefTwo: { text: params =&gt; (params.data?.'isProject' == 'Y') ? 'Active' : 'Inactive',iconName: 'fa fa-circle',className: params =&gt; (params.data?.'isProject' == 'Y') ? 'btnActive' : 'btnInActive',},}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this.lifetimeNo,
			this.model,
			this.cfc,
			this.grade,
			this.lotNo,
			this.noInLot,
			this.bodyNo,
			this.color,
			this.prodLine,
			this.processGroup,
			this.subGroup,
			this.processSeq,
			this.filler,
			this.workingDate,
			this.shift,
			this.noInDate,
			this.processName,
			this.infoProcess,
			this.infoProcessNo,
			this.isProject,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this.lifetimeNo = '',
		this.model = '',
		this.cfc = '',
		this.grade = '',
		this.lotNo = '',
		this.noInLot = 0,
		this.bodyNo = '',
		this.color = '',
		this.prodLine = '',
		this.processGroup = 0,
		this.subGroup = 0,
		this.processSeq = 0,
		this.filler = 0,
		this.workingDate = '',
		this.shift = '',
		this.noInDate = 0,
		this.processName = '',
		this.infoProcess = '',
		this.infoProcessNo = 0,
		this.isProject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this.lifetimeNo,
			this.model,
			this.cfc,
			this.grade,
			this.lotNo,
			this.noInLot,
			this.bodyNo,
			this.color,
			this.prodLine,
			this.processGroup,
			this.subGroup,
			this.processSeq,
			this.filler,
			this.workingDate,
			this.shift,
			this.noInDate,
			this.processName,
			this.infoProcess,
			this.infoProcessNo,
			this.isProject,
			this.isActive,
			'',
            this.paginationParams.skipCount,
            this.paginationParams.pageSize
        );
    }
    onChangeRowSelection(params: { api: { getSelectedRows: () =&gt; PtsAdoPaintingDataDto[] } }) {
        this.saveSelectedRow = params.api.getSelectedRows()[0] ?? new PtsAdoPaintingDataDto();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PtsAdoPaintingDataDto):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this._service.getPaintingDataToExcel(
			this.lifetimeNo,
			this.model,
			this.cfc,
			this.grade,
			this.lotNo,
			this.noInLot,
			this.bodyNo,
			this.color,
			this.prodLine,
			this.processGroup,
			this.subGroup,
			this.processSeq,
			this.filler,
			this.workingDate,
			this.shift,
			this.noInDate,
			this.processName,
			this.infoProcess,
			this.infoProcessNo,
			this.isProject,
			this.isActive,
            )
            .subscribe((result) =&gt; {
                this._fileDownloadService.downloadTempFile(result);
        });
    }
}</v>
      </c>
      <c r="D66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Painting Andon Data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[(ngModel)]='processName' name='processName'
									class='form-control' [placeholder]="l('Process Name')"
									type='text' (keyup.enter)='searchDatas()'&gt;
								&lt;/div&gt;
								&lt;div class='input-search'&gt;
									&lt;input [(ngModel)]='infoProcess' name='infoProcess'
									class='form-control' [placeholder]="l('Info Process')"
									type='text' (keyup.enter)='searchDatas()'&gt;
								&lt;/div&gt;
								&lt;div class='input-search'&gt;
									&lt;input [(ngModel)]='isProject' name='isProject'
									class='form-control' [placeholder]="l('Is Project')"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(click)="createOrEditModalPaintingData.show()"&gt;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(click)="createOrEditModalPaintingData.show(selectedRow)"&gt;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&lt;create-or-edit-paintingdata-modal
    #createOrEditModalPaintingData
    (modalSave)="callBackDataGrid(dataParams)"
    (modalClose)="onChangeRowSelection(dataParams)"
&gt;
&lt;/create-or-edit-paintingdata-modal&gt;</v>
      </c>
      <c r="E66" s="49" t="str">
        <f>B.Frontend!J10</f>
        <v>.input-search{
    width: 250px;
    border-radius: 10px;
    margin-left: 10px;
}
.btn-search{
    width: 50px;
    margin-left: 10px;
}</v>
      </c>
      <c r="F66" s="49" t="str">
        <f ca="1">B.Frontend!K10</f>
        <v>&lt;div bsModal #createOrEditModalPaintingData="bs-modal"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PaintingData')}}&lt;/h3&gt;
                    &lt;h3 *ngIf="!rowdata.id"&gt;{{('Create New PaintingData')}}&lt;/h3&gt;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title'&gt;No In Lot&lt;/label&gt;
						&lt;input type='number' class='col-md-10 form-control input-text' name='NoInLot' [(ngModel)]='rowdata.noInLot'&gt;
					&lt;/div&gt;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title'&gt;Process Group&lt;/label&gt;
						&lt;input type='number' class='col-md-10 form-control input-text' name='ProcessGroup' [(ngModel)]='rowdata.processGroup'&gt;
					&lt;/div&gt;
					&lt;div class='col-md-12 form-group row'&gt;
						&lt;label class='col-md-2 form-control title'&gt;Sub Group&lt;/label&gt;
						&lt;input type='number' class='col-md-10 form-control input-text' name='SubGroup' [(ngModel)]='rowdata.subGroup'&gt;
					&lt;/div&gt;
					&lt;div class='col-md-12 form-group row'&gt;
						&lt;label class='col-md-2 form-control title'&gt;Process Seq&lt;/label&gt;
						&lt;input type='number' class='col-md-10 form-control input-text' name='ProcessSeq' [(ngModel)]='rowdata.processSeq'&gt;
					&lt;/div&gt;
					&lt;div class='col-md-12 form-group row'&gt;
						&lt;label class='col-md-2 form-control title'&gt;Filler&lt;/label&gt;
						&lt;input type='number' class='col-md-10 form-control input-text' name='Filler' [(ngModel)]='rowdata.filler'&gt;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title'&gt;No In Date&lt;/label&gt;
						&lt;input type='number' class='col-md-10 form-control input-text' name='NoInDate' [(ngModel)]='rowdata.noInDate'&gt;
					&lt;/div&gt;
					&lt;div class='col-md-12 form-group row'&gt;
						&lt;label class='col-md-2 form-control title'&gt;Process Name&lt;/label&gt;
						&lt;input type='text' class='col-md-10 form-control input-text' name='ProcessName' [(ngModel)]='rowdata.processName'&gt;
					&lt;/div&gt;
					&lt;div class='col-md-12 form-group row'&gt;
						&lt;label class='col-md-2 form-control title'&gt;Info Process&lt;/label&gt;
						&lt;input type='text' class='col-md-10 form-control input-text' name='InfoProcess' [(ngModel)]='rowdata.infoProcess'&gt;
					&lt;/div&gt;
					&lt;div class='col-md-12 form-group row'&gt;
						&lt;label class='col-md-2 form-control title'&gt;Info Process No&lt;/label&gt;
						&lt;input type='number' class='col-md-10 form-control input-text' name='InfoProcessNo' [(ngModel)]='rowdata.infoProcessNo'&gt;
					&lt;/div&gt;
					&lt;div class='col-md-12 form-group row'&gt;
						&lt;label class='col-md-2 form-control title'&gt;Is Project&lt;/label&gt;
						&lt;new-checkbox [(ngModel)]='_isProject' name='isProject' className='col-md-10' &gt; &lt;/new-checkbox&gt;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66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CreateOrEditPtsAdoPaintingDataDto, PtsAdoPaintingDataServiceProxy } from '@shared/service-proxies/service-proxies';
import { BsDatepickerDirective } from 'ngx-bootstrap/datepicker';
@Component({
    selector: 'create-or-edit-paintingdata-modal',
    templateUrl: './create-or-edit-paintingdata-modal.component.html',
    styleUrls: ['./create-or-edit-paintingdata-modal.component.less']
    })
export class CreateOrEditPaintingDataModalComponent extends AppComponentBase {
    @ViewChild('createOrEditModalPaintingData',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CreateOrEditPtsAdoPaintingDataDto = new CreateOrEditPtsAdoPaintingDataDto();
    active: boolean = false;
    saving: boolean = false;
    _isProject
isActive: boolean;
    constructor(
        injector: Injector,
        private _mstwptPaintingDataService: PtsAdoPaintingDataServiceProxy,
    ) 
    {
        super(injector);
    }
    show(rowdata?: CreateOrEditPtsAdoPaintingDataDto): void {
        if (!rowdata) this.rowdata = new CreateOrEditPtsAdoPaintingDataDto();
        else this.rowdata = rowdata;
		const dateValue =  this.rowdata.workingDate ? new Date(this.rowdata.workingDate?.toString()) : new Date();
		this.datepicker?.bsValueChange.emit(dateValue);
        this._isProject
isActive = (this.rowdata.isProject
isActive == "N")? false: true;
        this.active = true;
        this.modal.show();
    } 
    changeActive(event){
        this._isProject
isActive = event.target.checked;
    }
    save(): void {
    this.saving = true; 
    this.rowdata.isProject
isActive = (this._isProject
isActive == true) ? 'Y' : 'N'
    this._mstwptPaintingDataService.createOrEdit(this.rowdata)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66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66" s="49" t="str">
        <f>B.Frontend!N10</f>
        <v>import {NgModule} from '@angular/core';
import {AppSharedModule} from '@app/shared/app-shared.module';
import { PaintingDataRoutingModule } from './paintingdata-routing.module';
import { PaintingDataComponent } from './paintingdata.component';
import { CreateOrEditPaintingDataModalComponent } from './create-or-edit-paintingdata-modal.component';
@NgModule({
    declarations: [
       PaintingDataComponent, 
        CreateOrEditPaintingDataModalComponent
    ],
    imports: [
        AppSharedModule, PaintingDataRoutingModule]
})
export class PaintingDataModule {}</v>
      </c>
      <c r="J66" s="49" t="str">
        <f>B.Frontend!O10</f>
        <v>import {NgModule} from '@angular/core';
import {RouterModule, Routes} from '@angular/router';
import { PaintingDataComponent } from './paintingdata.component';
const routes: Routes = [{
    path: '',
    component: PaintingDataComponent,
    pathMatch: 'full'
}];
@NgModule({
    imports: [RouterModule.forChild(routes)],
    exports: [RouterModule],
})
export class PaintingDataRoutingModule {}</v>
      </c>
      <c r="K66" s="49" t="str">
        <f>B.Frontend!P10</f>
        <v xml:space="preserve"> new AppMenuItem("PaintingData", "Pages.Painting.Andon.PaintingData", "flaticon-book",   "/app/main/painting/andon/paintingdata"),</v>
      </c>
      <c r="L66" s="50" t="str">
        <f>B.Frontend!Q10</f>
        <v>{
    path: 'painting/andon/paintingdata',
    loadChildren: () =&gt; import('./painting/andon/paintingdata/paintingdata.module').then(m =&gt; m.PaintingDataModule),
    data: { permission: 'Pages.Painting.Andon.PaintingData' }
},</v>
      </c>
      <c r="M66" s="48" t="str">
        <f>B.Frontend!R10</f>
        <v>ApiServiceProxies.PtsAdoPaintingDataServiceProxy,</v>
      </c>
    </row>
    <row r="68" spans="2:13" x14ac:dyDescent="0.25">
      <c r="B68" s="1" t="s">
        <v>75</v>
      </c>
    </row>
  </sheetData>
  <mergeCells count="2">
    <mergeCell ref="C64:J64"/>
    <mergeCell ref="K64:L64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31"/>
  <sheetViews>
    <sheetView tabSelected="1" topLeftCell="A6" workbookViewId="0">
      <pane xSplit="1" topLeftCell="B1" activePane="topRight" state="frozen"/>
      <selection pane="topRight" activeCell="B26" sqref="B26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42578125" style="8" customWidth="1"/>
    <col min="19" max="19" width="20.42578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vovina.Painting.Andon.Dto;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349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350</v>
      </c>
      <c r="C3" s="10" t="s">
        <v>43</v>
      </c>
      <c r="D3" s="10" t="s">
        <v>44</v>
      </c>
      <c r="E3" s="10" t="s">
        <v>39</v>
      </c>
      <c r="F3" s="11" t="str">
        <f>"J"&amp;COUNTA($A:$A)</f>
        <v>J29</v>
      </c>
      <c r="G3" s="4" t="s">
        <v>57</v>
      </c>
      <c r="H3" s="10" t="str">
        <f>"I"&amp;COUNTA($A:$A)</f>
        <v>I29</v>
      </c>
      <c r="I3" s="10" t="str">
        <f>REPT(CHAR(9),2)&amp;"[Required]"&amp;"
"</f>
        <v xml:space="preserve">		[Required]
</v>
      </c>
      <c r="J3" s="11" t="str">
        <f>"L"&amp;COUNTA($A:$A)</f>
        <v>L29</v>
      </c>
      <c r="K3" s="5" t="s">
        <v>56</v>
      </c>
      <c r="L3" s="11" t="str">
        <f>"M"&amp;COUNTA($A:$A)</f>
        <v>M29</v>
      </c>
      <c r="M3" s="11" t="str">
        <f>"N"&amp;COUNTA($A:$A)</f>
        <v>N29</v>
      </c>
      <c r="N3" s="11" t="str">
        <f>"O"&amp;COUNTA($A:$A)</f>
        <v>O29</v>
      </c>
      <c r="O3" s="11" t="str">
        <f>"P"&amp;COUNTA($A:$A)</f>
        <v>P29</v>
      </c>
      <c r="Q3" s="11" t="str">
        <f>RIGHT(B2,(LEN(B2)-FIND(".",B2,1)))</f>
        <v>Andon</v>
      </c>
      <c r="R3" s="32" t="str">
        <f>REPT(CHAR(9),1)&amp;"public class "&amp;B3&amp;"ExportInput"&amp;C3</f>
        <v xml:space="preserve">	public class PtsAdoPaintingDataExportInput{
</v>
      </c>
      <c r="S3" s="11" t="str">
        <f>"namespace "&amp;$B$6&amp;".Exporting
"&amp;$C$3</f>
        <v xml:space="preserve">namespace vovina.Painting.Andon.Exporting
{
</v>
      </c>
      <c r="T3" s="11" t="str">
        <f>"T"&amp;COUNTA($A:$A)</f>
        <v>T29</v>
      </c>
      <c r="V3" s="11" t="str">
        <f>"V"&amp;COUNTA($A:$A)</f>
        <v>V29</v>
      </c>
      <c r="W3" s="10" t="str">
        <f>"W"&amp;COUNTA($A:$A)</f>
        <v>W29</v>
      </c>
    </row>
    <row r="4" spans="1:23" s="11" customFormat="1" ht="33" customHeight="1" x14ac:dyDescent="0.25">
      <c r="A4" s="1" t="s">
        <v>237</v>
      </c>
      <c r="B4" s="64" t="s">
        <v>91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351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vovina.Painting.Andon</v>
      </c>
      <c r="C6" s="11" t="str">
        <f>"namespace "&amp;$B$6&amp;"
"&amp;$C$3</f>
        <v xml:space="preserve">namespace vovina.Painting.Andon
{
</v>
      </c>
      <c r="D6" s="11" t="str">
        <f>REPT(CHAR(9),1)&amp;"public class "&amp;B3&amp;G3&amp;REPT(CHAR(9),1)&amp;"
"&amp;REPT(CHAR(9),1)&amp;C3</f>
        <v xml:space="preserve">	public class PtsAdoPaintingData: FullAuditedEntity&lt;long&gt;, IEntity&lt;long&gt;	
	{
</v>
      </c>
      <c r="E6" s="11" t="str">
        <f>REPT(CHAR(9),1)&amp;"public class "&amp;B3&amp;"Consts"&amp;REPT(CHAR(9),1)&amp;"
"&amp;REPT(CHAR(9),1)&amp;C3</f>
        <v xml:space="preserve">	public class PtsAdoPaintingDataConsts	
	{
</v>
      </c>
      <c r="F6" s="11" t="str">
        <f>REPT(CHAR(9),1)&amp;"public class "&amp;B3&amp;"Dto"&amp;K3&amp;REPT(CHAR(9),1)&amp;"
"&amp;REPT(CHAR(9),1)&amp;C3</f>
        <v xml:space="preserve">	public class PtsAdoPaintingDataDto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CreateOrEditPtsAdoPaintingDataDto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GetPtsAdoPaintingDataInput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PtsAdoPaintingData</v>
      </c>
      <c r="C7" s="11" t="str">
        <f>REPT(CHAR(9),1)&amp;"[Table("""&amp;B7&amp;""")]"&amp;"
"</f>
        <v xml:space="preserve">	[Table("PtsAdoPaintingData")]
</v>
      </c>
      <c r="D7" s="11"/>
      <c r="E7" s="11"/>
      <c r="F7" s="11"/>
      <c r="G7" s="11"/>
      <c r="H7" s="11"/>
      <c r="I7" s="11"/>
      <c r="J7" s="6" t="str">
        <f ca="1">SUBSTITUTE(SUBSTITUTE((B1&amp;C6&amp;C7&amp;K31&amp;D6&amp;I31&amp;E3&amp;J31&amp;""&amp;REPT(CHAR(9),1)&amp;D3&amp;D3),"WorkingPattern",$Q$3),"Master",$B$4)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vovina.Painting.Andon
{
	[Table("PtsAdoPaintingData")]
	[Index(nameof(LifetimeNo), Name="IX_PtsAdoPaintingData_LifetimeNo")]
	[Index(nameof(Model), Name="IX_PtsAdoPaintingData_Model")]
	[Index(nameof(Cfc), Name="IX_PtsAdoPaintingData_Cfc")]
	[Index(nameof(ProcessSeq), Name="IX_PtsAdoPaintingData_ProcessSeq")]
	[Index(nameof(WorkingDate), Name="IX_PtsAdoPaintingData_WorkingDate")]
	[Index(nameof(Shift), Name="IX_PtsAdoPaintingData_Shift")]
	[Index(nameof(NoInDate), Name="IX_PtsAdoPaintingData_NoInDate")]
	[Index(nameof(ProcessCode), Name="IX_PtsAdoPaintingData_ProcessCode")]
	[Index(nameof(IsActive), Name="IX_PtsAdoPaintingData_IsActive")]	public class PtsAdoPaintingData: FullAuditedEntity&lt;long&gt;, IEntity&lt;long&gt;	
	{
		public const int MaxModelLength = 10;
		public const int MaxCfcLength = 10;
		public const int MaxGradeLength = 10;
		public const int MaxLotNoLength = 10;
		public const int MaxBodyNoLength = 10;
		public const int MaxColorLength = 10;
		public const int MaxProdLineLength = 10;
		public const int MaxShiftLength = 10;
		public const int MaxProcessCodeLength = 40;
		public const int MaxInfoProcessLength = 20;
		public const int MaxIsProjectLength = 1;
		public const int MaxIsActiveLength = 1;
		public virtual long LifetimeNo { get; set; }
		[StringLength(MaxModelLength)]
		public virtual string Model { get; set; }
		[StringLength(MaxCfcLength)]
		public virtual string Cfc { get; set; }
		[StringLength(MaxGradeLength)]
		public virtual string Grade { get; set; }
		[StringLength(MaxLotNoLength)]
		public virtual string LotNo { get; set; }
		public virtual int NoInLot { get; set; }
		[StringLength(MaxBodyNoLength)]
		public virtual string BodyNo { get; set; }
		[StringLength(MaxColorLength)]
		public virtual string Color { get; set; }
		[StringLength(MaxProdLineLength)]
		public virtual string ProdLine { get; set; }
		public virtual int ProcessGroup { get; set; }
		public virtual int SubGroup { get; set; }
		public virtual int ProcessSeq { get; set; }
		public virtual int Filler { get; set; }
		[Column(TypeName="date")]
		public virtual DateTime WorkingDate { get; set; }
		[StringLength(MaxShiftLength)]
		public virtual string Shift { get; set; }
		public virtual int NoInDate { get; set; }
		[StringLength(MaxProcessCodeLength)]
		public virtual string ProcessCode { get; set; }
		[StringLength(MaxInfoProcessLength)]
		public virtual string InfoProcess { get; set; }
		public virtual int InfoProcessNo { get; set; }
		[StringLength(MaxIsProjectLength)]
		public virtual string IsProject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DbSet&lt;PtsAdoPaintingData&gt; PtsAdoPaintingDatas { get; set; }</v>
      </c>
      <c r="L7" t="str">
        <f ca="1">SUBSTITUTE(SUBSTITUTE((C6&amp;E6&amp;I31&amp;"
"&amp;REPT(CHAR(9),2)&amp;"// Define Store Name: Format SP_ + &lt;Store Name&gt; = &lt;Store Name&gt;
"&amp;E3&amp;REPT(CHAR(9),1)&amp;D3&amp;D3),"WorkingPattern",$Q$3),"Master",$B$4)</f>
        <v xml:space="preserve">namespace vovina.Painting.Andon
{
	public class PtsAdoPaintingDataConsts	
	{
		public const int MaxModelLength = 10;
		public const int MaxCfcLength = 10;
		public const int MaxGradeLength = 10;
		public const int MaxLotNoLength = 10;
		public const int MaxBodyNoLength = 10;
		public const int MaxColorLength = 10;
		public const int MaxProdLineLength = 10;
		public const int MaxShiftLength = 10;
		public const int MaxProcessCodeLength = 40;
		public const int MaxInfoProcessLength = 20;
		public const int MaxIsProjectLength = 1;
		public const int MaxIsActiveLength = 1;
		// Define Store Name: Format SP_ + &lt;Store Name&gt; = &lt;Store Name&gt;
	}
}
</v>
      </c>
      <c r="M7" t="str">
        <f ca="1">SUBSTITUTE(SUBSTITUTE((C1&amp;"namespace "&amp;B6&amp;".Dto"&amp;E3&amp;C3&amp;F6&amp;M31&amp;E3&amp;REPT(CHAR(9),1)&amp;D3&amp;G6&amp;N31&amp;REPT(CHAR(9),1)&amp;D3&amp;H6&amp;O31&amp;"
"&amp;REPT(CHAR(9),1)&amp;D3&amp;D3),"WorkingPattern",$Q$3),"Master",$B$4)</f>
        <v xml:space="preserve">using Abp.Application.Services.Dto;
using System;
using System.ComponentModel.DataAnnotations;
namespace vovina.Painting.Andon.Dto
{
	public class PtsAdoPaintingDataDto : EntityDto&lt;long?&gt;	
	{
		public virtual long LifetimeNo { get; set; }
		public virtual string Model { get; set; }
		public virtual string Cfc { get; set; }
		public virtual string Grade { get; set; }
		public virtual string LotNo { get; set; }
		public virtual int NoInLot { get; set; }
		public virtual string BodyNo { get; set; }
		public virtual string Color { get; set; }
		public virtual string ProdLine { get; set; }
		public virtual int ProcessGroup { get; set; }
		public virtual int SubGroup { get; set; }
		public virtual int ProcessSeq { get; set; }
		public virtual int Filler { get; set; }
		public virtual DateTime? WorkingDate { get; set; }
		public virtual string Shift { get; set; }
		public virtual int NoInDate { get; set; }
		public virtual string ProcessCode { get; set; }
		public virtual string InfoProcess { get; set; }
		public virtual int InfoProcessNo { get; set; }
		public virtual string IsProject { get; set; }
		public virtual string IsActive { get; set; }
	}
	public class CreateOrEditPtsAdoPaintingDataDto : EntityDto&lt;long?&gt;	
	{
		public virtual long LifetimeNo { get; set; }
		[StringLength(PtsAdoPaintingDataConsts.MaxModelLength)]
		public virtual string Model { get; set; }
		[StringLength(PtsAdoPaintingDataConsts.MaxCfcLength)]
		public virtual string Cfc { get; set; }
		[StringLength(PtsAdoPaintingDataConsts.MaxGradeLength)]
		public virtual string Grade { get; set; }
		[StringLength(PtsAdoPaintingDataConsts.MaxLotNoLength)]
		public virtual string LotNo { get; set; }
		public virtual int NoInLot { get; set; }
		[StringLength(PtsAdoPaintingDataConsts.MaxBodyNoLength)]
		public virtual string BodyNo { get; set; }
		[StringLength(PtsAdoPaintingDataConsts.MaxColorLength)]
		public virtual string Color { get; set; }
		[StringLength(PtsAdoPaintingDataConsts.MaxProdLineLength)]
		public virtual string ProdLine { get; set; }
		public virtual int ProcessGroup { get; set; }
		public virtual int SubGroup { get; set; }
		public virtual int ProcessSeq { get; set; }
		public virtual int Filler { get; set; }
		public virtual DateTime? WorkingDate { get; set; }
		[StringLength(PtsAdoPaintingDataConsts.MaxShiftLength)]
		public virtual string Shift { get; set; }
		public virtual int NoInDate { get; set; }
		[StringLength(PtsAdoPaintingDataConsts.MaxProcessCodeLength)]
		public virtual string ProcessCode { get; set; }
		[StringLength(PtsAdoPaintingDataConsts.MaxInfoProcessLength)]
		public virtual string InfoProcess { get; set; }
		public virtual int InfoProcessNo { get; set; }
		[StringLength(PtsAdoPaintingDataConsts.MaxIsProjectLength)]
		public virtual string IsProject { get; set; }
		[StringLength(PtsAdoPaintingDataConsts.MaxIsActiveLength)]
		public virtual string IsActive { get; set; }
	}
	public class GetPtsAdoPaintingDataInput : PagedAndSortedResultRequestDto	
	{
		public virtual string Model { get; set; }
		public virtual string Cfc { get; set; }
		public virtual string Grade { get; set; }
		public virtual string LotNo { get; set; }
		public virtual int NoInLot { get; set; }
		public virtual string BodyNo { get; set; }
		public virtual string Color { get; set; }
		public virtual string ProdLine { get; set; }
		public virtual int ProcessGroup { get; set; }
		public virtual int SubGroup { get; set; }
		public virtual int ProcessSeq { get; set; }
		public virtual int Filler { get; set; }
		public virtual DateTime? WorkingDate { get; set; }
		public virtual string Shift { get; set; }
		public virtual int NoInDate { get; set; }
		public virtual string ProcessCode { get; set; }
		public virtual string InfoProcess { get; set; }
		public virtual int InfoProcessNo { get; set; }
		public virtual string IsProject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perPtsAdoPaintingData = PARENTS.CreateChildPermission(AppPermissions.Pages_Painting_Andon_PaintingData, L( "PaintingAndonPaintingData"), multiTenancySides: MultiTenancySides.Tenant);
		perPtsAdoPaintingData.CreateChildPermission(AppPermissions.Pages_Painting_Andon_PaintingData_CreateEdit, L( "PaintingAndonPaintingDataCreateEdit"), multiTenancySides: MultiTenancySides.Tenant);
		perPtsAdoPaintingData.CreateChildPermission(AppPermissions.Pages_Painting_Andon_PaintingData_Delete, L( "PaintingAndonPaintingDataDelete"),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Pages_Painting_Andon_PaintingData = "Pages.Painting.Andon.PaintingData";
		public const string Pages_Painting_Andon_PaintingData_CreateEdit = "Pages.Painting.Andon.PaintingData.CreateEdit";
		public const string Pages_Painting_Andon_PaintingData_Delete = "Pages.Painting.Andon.PaintingData.Delete";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vovina.Painting.Andon.Dto;
namespace vovina.Painting.Andon
{
	public interface IPtsAdoPaintingDataAppService : IApplicationService
	{
		Task&lt;PagedResultDto&lt;PtsAdoPaintingDataDto&gt;&gt; GetAll(GetPtsAdoPaintingDataInput input);
		Task CreateOrEdit(CreateOrEditPtsAdoPaintingDataDto input);
		Task Delete(EntityDto input);
	}
}
</v>
      </c>
      <c r="Q7" t="str">
        <f ca="1">SUBSTITUTE(SUBSTITUTE(SUBSTITUTE(SUBSTITUTE(SUBSTITUTE(SUBSTITUTE(E1,"MstWptCalendar",$B$3),"&lt;PROPERTIES&gt;",P31),"Calendar",$B$5),"WorkingPattern",$Q$3),"Master",$B$4),"&lt;PARAMS_SEARCH&gt;",$W$31)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vovina.Painting.Andon.Dto;
using vovina.Painting.Andon.Exporting;
namespace vovina.Painting.Andon
{
    [AbpAuthorize(AppPermissions.Pages_Painting_Andon_PaintingData)]
    public class PtsAdoPaintingDataAppService : vovinaAppServiceBase, IPtsAdoPaintingDataAppService
    {
        private readonly IDapperRepository&lt;PtsAdoPaintingData, long&gt; _dapperRepo;
        private readonly IRepository&lt;PtsAdoPaintingData, long&gt; _repo;
        private readonly IPtsAdoPaintingDataExcelExporter _calendarListExcelExporter;
        public PtsAdoPaintingDataAppService(IRepository&lt;PtsAdoPaintingData,long&gt; repo, 
                                         IDapperRepository&lt;PtsAdoPaintingData,long&gt; dapperRepo,
                                        IPtsAdoPaintingDataExcelExporter calendarListExcelExporter
            )
        {
            _repo = repo;
            _dapperRepo = dapperRepo;
            _calendarListExcelExporter = calendarListExcelExporter;
        }
        [AbpAuthorize(AppPermissions.Pages_Painting_Andon_PaintingData_CreateEdit)]
        public async Task CreateOrEdit(CreateOrEditPtsAdoPaintingDataDto input)
        {
            if (input.Id == null) await Create(input);
            else await Update(input);
        }
        //CREATE
        private async Task Create(CreateOrEditPtsAdoPaintingDataDto input)
        {          
            var mainObj = ObjectMapper.Map&lt;PtsAdoPaintingData&gt;(input);
            await CurrentUnitOfWork.GetDbContext&lt;vovinaDbContext&gt;().AddAsync(mainObj);
        }
        // EDIT
        private async Task Update(CreateOrEditPtsAdoPaintingDataDto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[AbpAuthorize(AppPermissions.Pages_Painting_Andon_PaintingData_Delete)]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Task&lt;PagedResultDto&lt;PtsAdoPaintingDataDto&gt;&gt; GetAll(GetPtsAdoPaintingDataInput input)
        {
            var filtered = _repo.GetAll()
				.WhereIf(!string.IsNullOrWhiteSpace(input.Model), e =&gt; e.Model.Contains(input.Model))
				.WhereIf(!string.IsNullOrWhiteSpace(input.Cfc), e =&gt; e.Cfc.Contains(input.Cfc))
				.WhereIf(!string.IsNullOrWhiteSpace(input.Grade), e =&gt; e.Grade.Contains(input.Grade))
				.WhereIf(!string.IsNullOrWhiteSpace(input.LotNo), e =&gt; e.LotNo.Contains(input.LotNo))
				.WhereIf(!string.IsNullOrWhiteSpace(input.BodyNo), e =&gt; e.BodyNo.Contains(input.BodyNo))
				.WhereIf(!string.IsNullOrWhiteSpace(input.Color), e =&gt; e.Color.Contains(input.Color))
				.WhereIf(!string.IsNullOrWhiteSpace(input.ProdLine), e =&gt; e.ProdLine.Contains(input.ProdLine))
				.WhereIf(input.WorkingDate.HasValue, t =&gt; t.WorkingDate == input.WorkingDate.Value)
				.WhereIf(!string.IsNullOrWhiteSpace(input.Shift), e =&gt; e.Shift.Contains(input.Shift))
				.WhereIf(!string.IsNullOrWhiteSpace(input.ProcessCode), e =&gt; e.ProcessCode.Contains(input.ProcessCode))
				.WhereIf(!string.IsNullOrWhiteSpace(input.InfoProcess), e =&gt; e.InfoProcess.Contains(input.InfoProcess))
				.WhereIf(!string.IsNullOrWhiteSpace(input.IsProject), e =&gt; e.IsProject.Contains(input.IsProject))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PtsAdoPaintingDataDto
                        {
							Id = o.Id,
							LifetimeNo = o.LifetimeNo,
							Model = o.Model,
							Cfc = o.Cfc,
							Grade = o.Grade,
							LotNo = o.LotNo,
							NoInLot = o.NoInLot,
							BodyNo = o.BodyNo,
							Color = o.Color,
							ProdLine = o.ProdLine,
							ProcessGroup = o.ProcessGroup,
							SubGroup = o.SubGroup,
							ProcessSeq = o.ProcessSeq,
							Filler = o.Filler,
							WorkingDate = o.WorkingDate,
							Shift = o.Shift,
							NoInDate = o.NoInDate,
							ProcessCode = o.ProcessCode,
							InfoProcess = o.InfoProcess,
							InfoProcessNo = o.InfoProcessNo,
							IsProject = o.IsProject,
							IsActive = o.IsActive,
                        };
            var totalCount = await filtered.CountAsync();
			var paged = system.PageBy(input);
            return new PagedResultDto&lt;PtsAdoPaintingDataDto&gt;(
                totalCount,
                 await paged.ToListAsync()
            );
        }
        public async Task&lt;FileDto&gt; GetPaintingDataToExcel(PtsAdoPaintingDataExportInput input)
        {
            var query = from o in _repo.GetAll()
                        select new PtsAdoPaintingDataDto
                        {
							Id = o.Id,
							LifetimeNo = o.LifetimeNo,
							Model = o.Model,
							Cfc = o.Cfc,
							Grade = o.Grade,
							LotNo = o.LotNo,
							NoInLot = o.NoInLot,
							BodyNo = o.BodyNo,
							Color = o.Color,
							ProdLine = o.ProdLine,
							ProcessGroup = o.ProcessGroup,
							SubGroup = o.SubGroup,
							ProcessSeq = o.ProcessSeq,
							Filler = o.Filler,
							WorkingDate = o.WorkingDate,
							Shift = o.Shift,
							NoInDate = o.NoInDate,
							ProcessCode = o.ProcessCode,
							InfoProcess = o.InfoProcess,
							InfoProcessNo = o.InfoProcessNo,
							IsProject = o.IsProject,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_dapperRepo.ExecuteAsync(PtsAdoPaintingDataConsts.SP_MST_WPT_CALENDAR_GENERATE);
       // }
    }
}</v>
      </c>
      <c r="R7" t="str">
        <f ca="1">SUBSTITUTE(SUBSTITUTE((C1&amp;"namespace "&amp;B6&amp;".Dto"&amp;E3&amp;C3&amp;R3&amp;M31&amp;E3&amp;REPT(CHAR(9),1)&amp;D3&amp;D3),"WorkingPattern",$Q$3),"Master",$B$4)</f>
        <v xml:space="preserve">using Abp.Application.Services.Dto;
using System;
using System.ComponentModel.DataAnnotations;
namespace vovina.Painting.Andon.Dto
{
	public class PtsAdoPaintingDataExportInput{
		public virtual long LifetimeNo { get; set; }
		public virtual string Model { get; set; }
		public virtual string Cfc { get; set; }
		public virtual string Grade { get; set; }
		public virtual string LotNo { get; set; }
		public virtual int NoInLot { get; set; }
		public virtual string BodyNo { get; set; }
		public virtual string Color { get; set; }
		public virtual string ProdLine { get; set; }
		public virtual int ProcessGroup { get; set; }
		public virtual int SubGroup { get; set; }
		public virtual int ProcessSeq { get; set; }
		public virtual int Filler { get; set; }
		public virtual DateTime? WorkingDate { get; set; }
		public virtual string Shift { get; set; }
		public virtual int NoInDate { get; set; }
		public virtual string ProcessCode { get; set; }
		public virtual string InfoProcess { get; set; }
		public virtual int InfoProcessNo { get; set; }
		public virtual string IsProject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vovina.Painting.Andon.Dto;
namespace vovina.Painting.Andon.Exporting
{
	public interface IPtsAdoPaintingDataExcelExporter : IApplicationService
	{
		FileDto ExportToFile(List&lt;PtsAdoPaintingDataDto&gt; ptsadopaintingdata);
	}
}
</v>
      </c>
      <c r="T7" s="28" t="str">
        <f ca="1">SUBSTITUTE(SUBSTITUTE(SUBSTITUTE(SUBSTITUTE(SUBSTITUTE(SUBSTITUTE(SUBSTITUTE(T1,"MstWptCalendar",$B$3),"&lt;PROPERTIES1&gt;",V31),"&lt;PROPERTIES&gt;",T31),"Calendar",$B$5),"calendar",LOWER(B5)),"WorkingPattern",$Q$3),"Master",$B$4)</f>
        <v>using System.Collections.Generic;
using vovina.DataExporting.Excel.NPOI;
using vovina.Dto;
using vovina.Painting.Andon.Exporting;
using vovina.Painting.Andon.Dto;
using vovina.Storage;
using vovina.Painting.Andon.Dto;
namespace vovina.Painting.Andon.Exporting
{
    public class PtsAdoPaintingDataExcelExporter : NpoiExcelExporterBase, IPtsAdoPaintingDataExcelExporter
    {
        public PtsAdoPaintingDataExcelExporter(ITempFileCacheManager tempFileCacheManager) : base(tempFileCacheManager) { }
        public FileDto ExportToFile(List&lt;PtsAdoPaintingDataDto&gt; paintingdata)
        {
            return CreateExcelPackage(
				"PaintingAndonPaintingData.xlsx",
				excelPackage =&gt;
				 {
					var sheet = excelPackage.CreateSheet("PaintingData");
					AddHeader(
								sheet,
								("LifetimeNo"),
								("Model"),
								("Cfc"),
								("Grade"),
								("LotNo"),
								("NoInLot"),
								("BodyNo"),
								("Color"),
								("ProdLine"),
								("ProcessGroup"),
								("SubGroup"),
								("ProcessSeq"),
								("Filler"),
								("WorkingDate"),
								("Shift"),
								("NoInDate"),
								("ProcessCode"),
								("InfoProcess"),
								("InfoProcessNo"),
								("IsProject"),
								("IsActive"),
							   );
					AddObjects(
						 sheet, 1, paintingdata,                                       
								_ =&gt; _.LifetimeNo,
								_ =&gt; _.Model,
								_ =&gt; _.Cfc,
								_ =&gt; _.Grade,
								_ =&gt; _.LotNo,
								_ =&gt; _.NoInLot,
								_ =&gt; _.BodyNo,
								_ =&gt; _.Color,
								_ =&gt; _.ProdLine,
								_ =&gt; _.ProcessGroup,
								_ =&gt; _.SubGroup,
								_ =&gt; _.ProcessSeq,
								_ =&gt; _.Filler,
								_ =&gt; _.WorkingDate,
								_ =&gt; _.Shift,
								_ =&gt; _.NoInDate,
								_ =&gt; _.ProcessCode,
								_ =&gt; _.InfoProcess,
								_ =&gt; _.InfoProcessNo,
								_ =&gt; _.IsProject,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configuration.CreateMap&lt;PtsAdoPaintingDataDto, PtsAdoPaintingData&gt;();
  configuration.CreateMap&lt;PtsAdoPaintingData, PtsAdoPaintingDataDto&gt;();
  configuration.CreateMap&lt;CreateOrEditPtsAdoPaintingDataDto, PtsAdoPaintingData&gt;();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18.75" customHeight="1" x14ac:dyDescent="0.25">
      <c r="A9" t="s">
        <v>331</v>
      </c>
      <c r="B9" t="s">
        <v>0</v>
      </c>
      <c r="C9" t="s">
        <v>1</v>
      </c>
      <c r="D9" t="str">
        <f t="shared" ref="D9" si="0">SUBSTITUTE(PROPER(A9),"_","")</f>
        <v>LifetimeNo</v>
      </c>
      <c r="E9" t="str">
        <f t="shared" ref="E9" si="1">IFERROR(LEFT(B9, FIND("(",B9)-1),B9)</f>
        <v>bigint</v>
      </c>
      <c r="F9" s="7"/>
      <c r="G9" t="str">
        <f t="shared" ref="G9" si="2">IFERROR(MID(B9,FIND("(",B9) +1, FIND(")",B9) - FIND("(",B9) - 1),"")</f>
        <v/>
      </c>
      <c r="H9" t="str">
        <f>+VLOOKUP(E9,'Data Type Mapping'!A:B,2,)</f>
        <v>long</v>
      </c>
      <c r="I9" t="str">
        <f t="shared" ref="I9" si="3">IF(H9="string",REPT(CHAR(9),2)&amp;"public const int Max"&amp;D9&amp;"Length = "&amp;G9&amp;";"&amp;$E$3,"" )</f>
        <v/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long LifetimeNo { get; set; }
</v>
      </c>
      <c r="K9" s="7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[Index(nameof(LifetimeNo), Name="IX_PtsAdoPaintingData_LifetimeNo")]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long LifetimeNo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long LifetimeNo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/>
      </c>
      <c r="P9" t="str">
        <f t="shared" ref="P9" si="9">REPT(CHAR(9),7)&amp;D9&amp;" = o." &amp;D9 &amp;","</f>
        <v xml:space="preserve">							LifetimeNo = o.LifetimeNo,</v>
      </c>
      <c r="T9" s="69" t="str">
        <f t="shared" ref="T9" si="10">REPT(CHAR(9),8)&amp;"("""&amp;D9&amp;"""),"</f>
        <v xml:space="preserve">								("LifetimeNo"),</v>
      </c>
      <c r="V9" s="70" t="str">
        <f t="shared" ref="V9" si="11">REPT(CHAR(9),8)&amp;"_ =&gt; _."&amp;D9&amp;","</f>
        <v xml:space="preserve">								_ =&gt; _.LifetimeNo,</v>
      </c>
      <c r="W9" s="69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22.5" customHeight="1" x14ac:dyDescent="0.25">
      <c r="A10" t="s">
        <v>332</v>
      </c>
      <c r="B10" t="s">
        <v>333</v>
      </c>
      <c r="C10" t="s">
        <v>1</v>
      </c>
      <c r="D10" t="str">
        <f>SUBSTITUTE(PROPER(A10),"_","")</f>
        <v>Model</v>
      </c>
      <c r="E10" t="str">
        <f t="shared" ref="E10:E29" si="13">IFERROR(LEFT(B10, FIND("(",B10)-1),B10)</f>
        <v>varchar</v>
      </c>
      <c r="F10" s="7"/>
      <c r="G10" t="str">
        <f t="shared" ref="G10:G29" si="14">IFERROR(MID(B10,FIND("(",B10) +1, FIND(")",B10) - FIND("(",B10) - 1),"")</f>
        <v>10</v>
      </c>
      <c r="H10" t="str">
        <f>+VLOOKUP(E10,'Data Type Mapping'!A:B,2,)</f>
        <v>string</v>
      </c>
      <c r="I10" t="str">
        <f t="shared" ref="I10:I29" si="15">IF(H10="string",REPT(CHAR(9),2)&amp;"public const int Max"&amp;D10&amp;"Length = "&amp;G10&amp;";"&amp;$E$3,"" )</f>
        <v xml:space="preserve">		public const int MaxModelLength = 10;
</v>
      </c>
      <c r="J10" t="str">
        <f t="shared" ref="J10:J29" si="16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[StringLength(MaxModelLength)]
		public virtual string Model { get; set; }
</v>
      </c>
      <c r="K10" s="7" t="s">
        <v>206</v>
      </c>
      <c r="L10" t="str">
        <f>IF(K10="","",REPT(CHAR(9),1)&amp;"[Index(nameof("&amp;IF(D10="","",""&amp;D10)&amp;")"&amp;", Name="&amp;"""IX_"&amp;$B$7&amp;"_"&amp;D10&amp;""")]")</f>
        <v xml:space="preserve">	[Index(nameof(Model), Name="IX_PtsAdoPaintingData_Model")]</v>
      </c>
      <c r="M10" t="str">
        <f t="shared" ref="M10:M29" si="17">REPT(CHAR(9),2)&amp;"public virtual "&amp;IF(OR(H10="DateTime",H10="TimeSpan"),H10&amp;"?",H10)&amp;IF(C10="?","? "," ")&amp;D10&amp;" { get; set; }" &amp; "
"</f>
        <v xml:space="preserve">		public virtual string Model { get; set; }
</v>
      </c>
      <c r="N10" t="str">
        <f t="shared" ref="N10:N29" si="1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[StringLength(PtsAdoPaintingDataConsts.MaxModelLength)]
		public virtual string Model { get; set; }
</v>
      </c>
      <c r="O10" t="str">
        <f t="shared" ref="O10:O29" si="19">IF(OR(H10="string",H10="DateTime",H10="int"),REPT(CHAR(9),2)&amp;"public virtual "&amp;IF(OR(H10="DateTime",H10="TimeSpan"),H10&amp;"?",H10)&amp;IF(C10="?","? "," ")&amp;D10&amp;" { get; set; }"&amp;$E$3,"")</f>
        <v xml:space="preserve">		public virtual string Model { get; set; }
</v>
      </c>
      <c r="P10" t="str">
        <f t="shared" ref="P10:P29" si="20">REPT(CHAR(9),7)&amp;D10&amp;" = o." &amp;D10 &amp;","</f>
        <v xml:space="preserve">							Model = o.Model,</v>
      </c>
      <c r="T10" s="69" t="str">
        <f t="shared" ref="T10:T29" si="21">REPT(CHAR(9),8)&amp;"("""&amp;D10&amp;"""),"</f>
        <v xml:space="preserve">								("Model"),</v>
      </c>
      <c r="V10" s="70" t="str">
        <f t="shared" ref="V10:V29" si="22">REPT(CHAR(9),8)&amp;"_ =&gt; _."&amp;D10&amp;","</f>
        <v xml:space="preserve">								_ =&gt; _.Model,</v>
      </c>
      <c r="W10" s="69" t="str">
        <f t="shared" ref="W10:W29" si="23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.WhereIf(!string.IsNullOrWhiteSpace(input.Model), e =&gt; e.Model.Contains(input.Model))</v>
      </c>
    </row>
    <row r="11" spans="1:23" customFormat="1" ht="22.5" customHeight="1" x14ac:dyDescent="0.25">
      <c r="A11" t="s">
        <v>334</v>
      </c>
      <c r="B11" t="s">
        <v>333</v>
      </c>
      <c r="C11" t="s">
        <v>1</v>
      </c>
      <c r="D11" t="str">
        <f>SUBSTITUTE(PROPER(A11),"_","")</f>
        <v>Cfc</v>
      </c>
      <c r="E11" t="str">
        <f t="shared" si="13"/>
        <v>varchar</v>
      </c>
      <c r="F11" s="7"/>
      <c r="G11" t="str">
        <f t="shared" si="14"/>
        <v>10</v>
      </c>
      <c r="H11" t="str">
        <f>+VLOOKUP(E11,'Data Type Mapping'!A:B,2,)</f>
        <v>string</v>
      </c>
      <c r="I11" t="str">
        <f t="shared" si="15"/>
        <v xml:space="preserve">		public const int MaxCfcLength = 10;
</v>
      </c>
      <c r="J11" t="str">
        <f t="shared" si="16"/>
        <v xml:space="preserve">		[StringLength(MaxCfcLength)]
		public virtual string Cfc { get; set; }
</v>
      </c>
      <c r="K11" s="7" t="s">
        <v>206</v>
      </c>
      <c r="L11" t="str">
        <f>IF(K11="","",REPT(CHAR(9),1)&amp;"[Index(nameof("&amp;IF(D11="","",""&amp;D11)&amp;")"&amp;", Name="&amp;"""IX_"&amp;$B$7&amp;"_"&amp;D11&amp;""")]")</f>
        <v xml:space="preserve">	[Index(nameof(Cfc), Name="IX_PtsAdoPaintingData_Cfc")]</v>
      </c>
      <c r="M11" t="str">
        <f t="shared" si="17"/>
        <v xml:space="preserve">		public virtual string Cfc { get; set; }
</v>
      </c>
      <c r="N11" t="str">
        <f t="shared" si="18"/>
        <v xml:space="preserve">		[StringLength(PtsAdoPaintingDataConsts.MaxCfcLength)]
		public virtual string Cfc { get; set; }
</v>
      </c>
      <c r="O11" t="str">
        <f t="shared" si="19"/>
        <v xml:space="preserve">		public virtual string Cfc { get; set; }
</v>
      </c>
      <c r="P11" t="str">
        <f t="shared" si="20"/>
        <v xml:space="preserve">							Cfc = o.Cfc,</v>
      </c>
      <c r="T11" s="69" t="str">
        <f t="shared" si="21"/>
        <v xml:space="preserve">								("Cfc"),</v>
      </c>
      <c r="V11" s="70" t="str">
        <f t="shared" si="22"/>
        <v xml:space="preserve">								_ =&gt; _.Cfc,</v>
      </c>
      <c r="W11" s="69" t="str">
        <f t="shared" si="23"/>
        <v xml:space="preserve">				.WhereIf(!string.IsNullOrWhiteSpace(input.Cfc), e =&gt; e.Cfc.Contains(input.Cfc))</v>
      </c>
    </row>
    <row r="12" spans="1:23" customFormat="1" ht="21" customHeight="1" x14ac:dyDescent="0.25">
      <c r="A12" t="s">
        <v>335</v>
      </c>
      <c r="B12" t="s">
        <v>333</v>
      </c>
      <c r="C12" t="s">
        <v>1</v>
      </c>
      <c r="D12" t="str">
        <f t="shared" ref="D12:D17" si="24">SUBSTITUTE(PROPER(A12),"_","")</f>
        <v>Grade</v>
      </c>
      <c r="E12" t="str">
        <f t="shared" si="13"/>
        <v>varchar</v>
      </c>
      <c r="F12" s="7"/>
      <c r="G12" t="str">
        <f t="shared" si="14"/>
        <v>10</v>
      </c>
      <c r="H12" t="str">
        <f>+VLOOKUP(E12,'Data Type Mapping'!A:B,2,)</f>
        <v>string</v>
      </c>
      <c r="I12" t="str">
        <f t="shared" si="15"/>
        <v xml:space="preserve">		public const int MaxGradeLength = 10;
</v>
      </c>
      <c r="J12" t="str">
        <f t="shared" si="16"/>
        <v xml:space="preserve">		[StringLength(MaxGradeLength)]
		public virtual string Grade { get; set; }
</v>
      </c>
      <c r="K12" s="7"/>
      <c r="L12" t="str">
        <f t="shared" ref="L12:L17" si="25">IF(K12="","",REPT(CHAR(9),1)&amp;"[Index(nameof("&amp;IF(D12="","",""&amp;D12)&amp;")"&amp;", Name="&amp;"""IX_"&amp;$B$7&amp;"_"&amp;D12&amp;""")]")</f>
        <v/>
      </c>
      <c r="M12" t="str">
        <f t="shared" si="17"/>
        <v xml:space="preserve">		public virtual string Grade { get; set; }
</v>
      </c>
      <c r="N12" t="str">
        <f t="shared" si="18"/>
        <v xml:space="preserve">		[StringLength(PtsAdoPaintingDataConsts.MaxGradeLength)]
		public virtual string Grade { get; set; }
</v>
      </c>
      <c r="O12" t="str">
        <f t="shared" si="19"/>
        <v xml:space="preserve">		public virtual string Grade { get; set; }
</v>
      </c>
      <c r="P12" t="str">
        <f t="shared" si="20"/>
        <v xml:space="preserve">							Grade = o.Grade,</v>
      </c>
      <c r="T12" s="69" t="str">
        <f t="shared" si="21"/>
        <v xml:space="preserve">								("Grade"),</v>
      </c>
      <c r="V12" s="70" t="str">
        <f t="shared" si="22"/>
        <v xml:space="preserve">								_ =&gt; _.Grade,</v>
      </c>
      <c r="W12" s="69" t="str">
        <f t="shared" si="23"/>
        <v xml:space="preserve">				.WhereIf(!string.IsNullOrWhiteSpace(input.Grade), e =&gt; e.Grade.Contains(input.Grade))</v>
      </c>
    </row>
    <row r="13" spans="1:23" customFormat="1" ht="21" customHeight="1" x14ac:dyDescent="0.25">
      <c r="A13" t="s">
        <v>336</v>
      </c>
      <c r="B13" t="s">
        <v>333</v>
      </c>
      <c r="C13" t="s">
        <v>1</v>
      </c>
      <c r="D13" t="str">
        <f t="shared" ref="D13:D15" si="26">SUBSTITUTE(PROPER(A13),"_","")</f>
        <v>LotNo</v>
      </c>
      <c r="E13" t="str">
        <f t="shared" ref="E13:E15" si="27">IFERROR(LEFT(B13, FIND("(",B13)-1),B13)</f>
        <v>varchar</v>
      </c>
      <c r="F13" s="7"/>
      <c r="G13" t="str">
        <f t="shared" ref="G13:G15" si="28">IFERROR(MID(B13,FIND("(",B13) +1, FIND(")",B13) - FIND("(",B13) - 1),"")</f>
        <v>10</v>
      </c>
      <c r="H13" t="str">
        <f>+VLOOKUP(E13,'Data Type Mapping'!A:B,2,)</f>
        <v>string</v>
      </c>
      <c r="I13" t="str">
        <f t="shared" ref="I13:I15" si="29">IF(H13="string",REPT(CHAR(9),2)&amp;"public const int Max"&amp;D13&amp;"Length = "&amp;G13&amp;";"&amp;$E$3,"" )</f>
        <v xml:space="preserve">		public const int MaxLotNoLength = 10;
</v>
      </c>
      <c r="J13" t="str">
        <f t="shared" ref="J13:J15" si="30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[StringLength(MaxLotNoLength)]
		public virtual string LotNo { get; set; }
</v>
      </c>
      <c r="K13" s="7"/>
      <c r="L13" t="str">
        <f t="shared" ref="L13:L15" si="31">IF(K13="","",REPT(CHAR(9),1)&amp;"[Index(nameof("&amp;IF(D13="","",""&amp;D13)&amp;")"&amp;", Name="&amp;"""IX_"&amp;$B$7&amp;"_"&amp;D13&amp;""")]")</f>
        <v/>
      </c>
      <c r="M13" t="str">
        <f t="shared" ref="M13:M15" si="32">REPT(CHAR(9),2)&amp;"public virtual "&amp;IF(OR(H13="DateTime",H13="TimeSpan"),H13&amp;"?",H13)&amp;IF(C13="?","? "," ")&amp;D13&amp;" { get; set; }" &amp; "
"</f>
        <v xml:space="preserve">		public virtual string LotNo { get; set; }
</v>
      </c>
      <c r="N13" t="str">
        <f t="shared" ref="N13:N15" si="33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[StringLength(PtsAdoPaintingDataConsts.MaxLotNoLength)]
		public virtual string LotNo { get; set; }
</v>
      </c>
      <c r="O13" t="str">
        <f t="shared" ref="O13:O15" si="34">IF(OR(H13="string",H13="DateTime",H13="int"),REPT(CHAR(9),2)&amp;"public virtual "&amp;IF(OR(H13="DateTime",H13="TimeSpan"),H13&amp;"?",H13)&amp;IF(C13="?","? "," ")&amp;D13&amp;" { get; set; }"&amp;$E$3,"")</f>
        <v xml:space="preserve">		public virtual string LotNo { get; set; }
</v>
      </c>
      <c r="P13" t="str">
        <f t="shared" ref="P13:P15" si="35">REPT(CHAR(9),7)&amp;D13&amp;" = o." &amp;D13 &amp;","</f>
        <v xml:space="preserve">							LotNo = o.LotNo,</v>
      </c>
      <c r="T13" s="69" t="str">
        <f t="shared" ref="T13:T15" si="36">REPT(CHAR(9),8)&amp;"("""&amp;D13&amp;"""),"</f>
        <v xml:space="preserve">								("LotNo"),</v>
      </c>
      <c r="V13" s="70" t="str">
        <f t="shared" ref="V13:V15" si="37">REPT(CHAR(9),8)&amp;"_ =&gt; _."&amp;D13&amp;","</f>
        <v xml:space="preserve">								_ =&gt; _.LotNo,</v>
      </c>
      <c r="W13" s="69" t="str">
        <f t="shared" ref="W13:W15" si="38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 xml:space="preserve">				.WhereIf(!string.IsNullOrWhiteSpace(input.LotNo), e =&gt; e.LotNo.Contains(input.LotNo))</v>
      </c>
    </row>
    <row r="14" spans="1:23" customFormat="1" ht="18.75" customHeight="1" x14ac:dyDescent="0.25">
      <c r="A14" t="s">
        <v>337</v>
      </c>
      <c r="B14" t="s">
        <v>4</v>
      </c>
      <c r="C14" t="s">
        <v>1</v>
      </c>
      <c r="D14" t="str">
        <f>SUBSTITUTE(PROPER(A14),"_","")</f>
        <v>NoInLot</v>
      </c>
      <c r="E14" t="str">
        <f>IFERROR(LEFT(B14, FIND("(",B14)-1),B14)</f>
        <v>int</v>
      </c>
      <c r="F14" s="7"/>
      <c r="G14" t="str">
        <f>IFERROR(MID(B14,FIND("(",B14) +1, FIND(")",B14) - FIND("(",B14) - 1),"")</f>
        <v/>
      </c>
      <c r="H14" t="str">
        <f>+VLOOKUP(E14,'[1]Data Type Mapping'!A:B,2,)</f>
        <v>int</v>
      </c>
      <c r="I14" t="str">
        <f>IF(H14="string",REPT(CHAR(9),2)&amp;"public const int Max"&amp;D14&amp;"Length = "&amp;G14&amp;";"&amp;$E$3,"" )</f>
        <v/>
      </c>
      <c r="J14" t="str">
        <f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public virtual int NoInLot { get; set; }
</v>
      </c>
      <c r="K14" s="7"/>
      <c r="L14" t="str">
        <f>IF(K14="","",REPT(CHAR(9),1)&amp;"[Index(nameof("&amp;IF(D14="","",""&amp;D14)&amp;")"&amp;", Name="&amp;"""IX_"&amp;$B$7&amp;"_"&amp;D14&amp;""")]")</f>
        <v/>
      </c>
      <c r="M14" t="str">
        <f>REPT(CHAR(9),2)&amp;"public virtual "&amp;IF(OR(H14="DateTime",H14="TimeSpan"),H14&amp;"?",H14)&amp;IF(C14="?","? "," ")&amp;D14&amp;" { get; set; }" &amp; "
"</f>
        <v xml:space="preserve">		public virtual int NoInLot { get; set; }
</v>
      </c>
      <c r="N14" t="str">
        <f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public virtual int NoInLot { get; set; }
</v>
      </c>
      <c r="O14" t="str">
        <f>IF(OR(H14="string",H14="DateTime",H14="int"),REPT(CHAR(9),2)&amp;"public virtual "&amp;IF(OR(H14="DateTime",H14="TimeSpan"),H14&amp;"?",H14)&amp;IF(C14="?","? "," ")&amp;D14&amp;" { get; set; }"&amp;$E$3,"")</f>
        <v xml:space="preserve">		public virtual int NoInLot { get; set; }
</v>
      </c>
      <c r="P14" t="str">
        <f>REPT(CHAR(9),7)&amp;D14&amp;" = o." &amp;D14 &amp;","</f>
        <v xml:space="preserve">							NoInLot = o.NoInLot,</v>
      </c>
      <c r="T14" s="69" t="str">
        <f>REPT(CHAR(9),8)&amp;"("""&amp;D14&amp;"""),"</f>
        <v xml:space="preserve">								("NoInLot"),</v>
      </c>
      <c r="V14" s="70" t="str">
        <f>REPT(CHAR(9),8)&amp;"_ =&gt; _."&amp;D14&amp;","</f>
        <v xml:space="preserve">								_ =&gt; _.NoInLot,</v>
      </c>
      <c r="W14" s="69" t="str">
        <f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/>
      </c>
    </row>
    <row r="15" spans="1:23" customFormat="1" ht="18.75" customHeight="1" x14ac:dyDescent="0.25">
      <c r="A15" t="s">
        <v>338</v>
      </c>
      <c r="B15" t="s">
        <v>333</v>
      </c>
      <c r="C15" t="s">
        <v>1</v>
      </c>
      <c r="D15" t="str">
        <f t="shared" si="26"/>
        <v>BodyNo</v>
      </c>
      <c r="E15" t="str">
        <f t="shared" si="27"/>
        <v>varchar</v>
      </c>
      <c r="F15" s="7"/>
      <c r="G15" t="str">
        <f t="shared" si="28"/>
        <v>10</v>
      </c>
      <c r="H15" t="str">
        <f>+VLOOKUP(E15,'Data Type Mapping'!A:B,2,)</f>
        <v>string</v>
      </c>
      <c r="I15" t="str">
        <f t="shared" si="29"/>
        <v xml:space="preserve">		public const int MaxBodyNoLength = 10;
</v>
      </c>
      <c r="J15" t="str">
        <f t="shared" si="30"/>
        <v xml:space="preserve">		[StringLength(MaxBodyNoLength)]
		public virtual string BodyNo { get; set; }
</v>
      </c>
      <c r="K15" s="7"/>
      <c r="L15" t="str">
        <f t="shared" si="31"/>
        <v/>
      </c>
      <c r="M15" t="str">
        <f t="shared" si="32"/>
        <v xml:space="preserve">		public virtual string BodyNo { get; set; }
</v>
      </c>
      <c r="N15" t="str">
        <f t="shared" si="33"/>
        <v xml:space="preserve">		[StringLength(PtsAdoPaintingDataConsts.MaxBodyNoLength)]
		public virtual string BodyNo { get; set; }
</v>
      </c>
      <c r="O15" t="str">
        <f t="shared" si="34"/>
        <v xml:space="preserve">		public virtual string BodyNo { get; set; }
</v>
      </c>
      <c r="P15" t="str">
        <f t="shared" si="35"/>
        <v xml:space="preserve">							BodyNo = o.BodyNo,</v>
      </c>
      <c r="T15" s="69" t="str">
        <f t="shared" si="36"/>
        <v xml:space="preserve">								("BodyNo"),</v>
      </c>
      <c r="V15" s="70" t="str">
        <f t="shared" si="37"/>
        <v xml:space="preserve">								_ =&gt; _.BodyNo,</v>
      </c>
      <c r="W15" s="69" t="str">
        <f t="shared" si="38"/>
        <v xml:space="preserve">				.WhereIf(!string.IsNullOrWhiteSpace(input.BodyNo), e =&gt; e.BodyNo.Contains(input.BodyNo))</v>
      </c>
    </row>
    <row r="16" spans="1:23" customFormat="1" ht="18.75" customHeight="1" x14ac:dyDescent="0.25">
      <c r="A16" t="s">
        <v>339</v>
      </c>
      <c r="B16" t="s">
        <v>333</v>
      </c>
      <c r="C16" t="s">
        <v>1</v>
      </c>
      <c r="D16" t="str">
        <f t="shared" ref="D16" si="39">SUBSTITUTE(PROPER(A16),"_","")</f>
        <v>Color</v>
      </c>
      <c r="E16" t="str">
        <f t="shared" ref="E16" si="40">IFERROR(LEFT(B16, FIND("(",B16)-1),B16)</f>
        <v>varchar</v>
      </c>
      <c r="F16" s="7"/>
      <c r="G16" t="str">
        <f t="shared" ref="G16" si="41">IFERROR(MID(B16,FIND("(",B16) +1, FIND(")",B16) - FIND("(",B16) - 1),"")</f>
        <v>10</v>
      </c>
      <c r="H16" t="str">
        <f>+VLOOKUP(E16,'Data Type Mapping'!A:B,2,)</f>
        <v>string</v>
      </c>
      <c r="I16" t="str">
        <f t="shared" ref="I16" si="42">IF(H16="string",REPT(CHAR(9),2)&amp;"public const int Max"&amp;D16&amp;"Length = "&amp;G16&amp;";"&amp;$E$3,"" )</f>
        <v xml:space="preserve">		public const int MaxColorLength = 10;
</v>
      </c>
      <c r="J16" t="str">
        <f t="shared" ref="J16" si="43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[StringLength(MaxColorLength)]
		public virtual string Color { get; set; }
</v>
      </c>
      <c r="K16" s="7"/>
      <c r="L16" t="str">
        <f t="shared" ref="L16" si="44">IF(K16="","",REPT(CHAR(9),1)&amp;"[Index(nameof("&amp;IF(D16="","",""&amp;D16)&amp;")"&amp;", Name="&amp;"""IX_"&amp;$B$7&amp;"_"&amp;D16&amp;""")]")</f>
        <v/>
      </c>
      <c r="M16" t="str">
        <f t="shared" ref="M16" si="45">REPT(CHAR(9),2)&amp;"public virtual "&amp;IF(OR(H16="DateTime",H16="TimeSpan"),H16&amp;"?",H16)&amp;IF(C16="?","? "," ")&amp;D16&amp;" { get; set; }" &amp; "
"</f>
        <v xml:space="preserve">		public virtual string Color { get; set; }
</v>
      </c>
      <c r="N16" t="str">
        <f t="shared" ref="N16" si="46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[StringLength(PtsAdoPaintingDataConsts.MaxColorLength)]
		public virtual string Color { get; set; }
</v>
      </c>
      <c r="O16" t="str">
        <f t="shared" ref="O16" si="47">IF(OR(H16="string",H16="DateTime",H16="int"),REPT(CHAR(9),2)&amp;"public virtual "&amp;IF(OR(H16="DateTime",H16="TimeSpan"),H16&amp;"?",H16)&amp;IF(C16="?","? "," ")&amp;D16&amp;" { get; set; }"&amp;$E$3,"")</f>
        <v xml:space="preserve">		public virtual string Color { get; set; }
</v>
      </c>
      <c r="P16" t="str">
        <f t="shared" ref="P16" si="48">REPT(CHAR(9),7)&amp;D16&amp;" = o." &amp;D16 &amp;","</f>
        <v xml:space="preserve">							Color = o.Color,</v>
      </c>
      <c r="T16" s="69" t="str">
        <f t="shared" ref="T16" si="49">REPT(CHAR(9),8)&amp;"("""&amp;D16&amp;"""),"</f>
        <v xml:space="preserve">								("Color"),</v>
      </c>
      <c r="V16" s="70" t="str">
        <f t="shared" ref="V16" si="50">REPT(CHAR(9),8)&amp;"_ =&gt; _."&amp;D16&amp;","</f>
        <v xml:space="preserve">								_ =&gt; _.Color,</v>
      </c>
      <c r="W16" s="69" t="str">
        <f t="shared" ref="W16" si="51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 xml:space="preserve">				.WhereIf(!string.IsNullOrWhiteSpace(input.Color), e =&gt; e.Color.Contains(input.Color))</v>
      </c>
    </row>
    <row r="17" spans="1:23" customFormat="1" ht="18.75" customHeight="1" x14ac:dyDescent="0.25">
      <c r="A17" t="s">
        <v>321</v>
      </c>
      <c r="B17" t="s">
        <v>333</v>
      </c>
      <c r="C17" t="s">
        <v>1</v>
      </c>
      <c r="D17" t="str">
        <f t="shared" si="24"/>
        <v>ProdLine</v>
      </c>
      <c r="E17" t="str">
        <f t="shared" si="13"/>
        <v>varchar</v>
      </c>
      <c r="F17" s="7"/>
      <c r="G17" t="str">
        <f t="shared" si="14"/>
        <v>10</v>
      </c>
      <c r="H17" t="str">
        <f>+VLOOKUP(E17,'Data Type Mapping'!A:B,2,)</f>
        <v>string</v>
      </c>
      <c r="I17" t="str">
        <f t="shared" si="15"/>
        <v xml:space="preserve">		public const int MaxProdLineLength = 10;
</v>
      </c>
      <c r="J17" t="str">
        <f t="shared" si="16"/>
        <v xml:space="preserve">		[StringLength(MaxProdLineLength)]
		public virtual string ProdLine { get; set; }
</v>
      </c>
      <c r="K17" s="7"/>
      <c r="L17" t="str">
        <f t="shared" si="25"/>
        <v/>
      </c>
      <c r="M17" t="str">
        <f t="shared" si="17"/>
        <v xml:space="preserve">		public virtual string ProdLine { get; set; }
</v>
      </c>
      <c r="N17" t="str">
        <f t="shared" si="18"/>
        <v xml:space="preserve">		[StringLength(PtsAdoPaintingDataConsts.MaxProdLineLength)]
		public virtual string ProdLine { get; set; }
</v>
      </c>
      <c r="O17" t="str">
        <f t="shared" si="19"/>
        <v xml:space="preserve">		public virtual string ProdLine { get; set; }
</v>
      </c>
      <c r="P17" t="str">
        <f t="shared" si="20"/>
        <v xml:space="preserve">							ProdLine = o.ProdLine,</v>
      </c>
      <c r="T17" s="69" t="str">
        <f t="shared" si="21"/>
        <v xml:space="preserve">								("ProdLine"),</v>
      </c>
      <c r="V17" s="70" t="str">
        <f t="shared" si="22"/>
        <v xml:space="preserve">								_ =&gt; _.ProdLine,</v>
      </c>
      <c r="W17" s="69" t="str">
        <f t="shared" si="23"/>
        <v xml:space="preserve">				.WhereIf(!string.IsNullOrWhiteSpace(input.ProdLine), e =&gt; e.ProdLine.Contains(input.ProdLine))</v>
      </c>
    </row>
    <row r="18" spans="1:23" customFormat="1" ht="18.75" customHeight="1" x14ac:dyDescent="0.25">
      <c r="A18" t="s">
        <v>340</v>
      </c>
      <c r="B18" t="s">
        <v>4</v>
      </c>
      <c r="C18" t="s">
        <v>1</v>
      </c>
      <c r="D18" t="str">
        <f t="shared" ref="D18" si="52">SUBSTITUTE(PROPER(A18),"_","")</f>
        <v>ProcessGroup</v>
      </c>
      <c r="E18" t="str">
        <f t="shared" ref="E18" si="53">IFERROR(LEFT(B18, FIND("(",B18)-1),B18)</f>
        <v>int</v>
      </c>
      <c r="F18" s="7"/>
      <c r="G18" t="str">
        <f t="shared" ref="G18" si="54">IFERROR(MID(B18,FIND("(",B18) +1, FIND(")",B18) - FIND("(",B18) - 1),"")</f>
        <v/>
      </c>
      <c r="H18" t="str">
        <f>+VLOOKUP(E18,'Data Type Mapping'!A:B,2,)</f>
        <v>int</v>
      </c>
      <c r="I18" t="str">
        <f t="shared" ref="I18" si="55">IF(H18="string",REPT(CHAR(9),2)&amp;"public const int Max"&amp;D18&amp;"Length = "&amp;G18&amp;";"&amp;$E$3,"" )</f>
        <v/>
      </c>
      <c r="J18" t="str">
        <f t="shared" ref="J18" si="56">IF(F18="","",REPT(CHAR(9),2)&amp;"[Column(TypeName="""&amp;F18&amp;""")]"&amp;$E$3)&amp;IF(C18="Checked","",$I$3)&amp;IF(H18="string",REPT(CHAR(9),2)&amp;"[StringLength(Max"&amp;D18&amp;"Length"&amp;")]"&amp;$E$3,"")&amp;REPT(CHAR(9),2)&amp;"public virtual "&amp;H18&amp;IF(C18="?","? "," ")&amp;D18&amp;" { get; set; }" &amp; "
"</f>
        <v xml:space="preserve">		public virtual int ProcessGroup { get; set; }
</v>
      </c>
      <c r="K18" s="7"/>
      <c r="L18" t="str">
        <f t="shared" ref="L18" si="57">IF(K18="","",REPT(CHAR(9),1)&amp;"[Index(nameof("&amp;IF(D18="","",""&amp;D18)&amp;")"&amp;", Name="&amp;"""IX_"&amp;$B$7&amp;"_"&amp;D18&amp;""")]")</f>
        <v/>
      </c>
      <c r="M18" t="str">
        <f t="shared" ref="M18" si="58">REPT(CHAR(9),2)&amp;"public virtual "&amp;IF(OR(H18="DateTime",H18="TimeSpan"),H18&amp;"?",H18)&amp;IF(C18="?","? "," ")&amp;D18&amp;" { get; set; }" &amp; "
"</f>
        <v xml:space="preserve">		public virtual int ProcessGroup { get; set; }
</v>
      </c>
      <c r="N18" t="str">
        <f t="shared" ref="N18" si="59">IF(C18="Checked","",$I$3)&amp;IF(H18="string",REPT(CHAR(9),2)&amp;"[StringLength("&amp;$B$3&amp;"Consts.Max"&amp;D18&amp;"Length"&amp;")]"&amp;$E$3,"")&amp;REPT(CHAR(9),2)&amp;"public virtual "&amp;IF(OR(H18="DateTime",H18="TimeSpan"),H18&amp;"?",H18)&amp;IF(C18="?","? "," ")&amp;D18&amp;" { get; set; }" &amp; "
"</f>
        <v xml:space="preserve">		public virtual int ProcessGroup { get; set; }
</v>
      </c>
      <c r="O18" t="str">
        <f t="shared" ref="O18" si="60">IF(OR(H18="string",H18="DateTime",H18="int"),REPT(CHAR(9),2)&amp;"public virtual "&amp;IF(OR(H18="DateTime",H18="TimeSpan"),H18&amp;"?",H18)&amp;IF(C18="?","? "," ")&amp;D18&amp;" { get; set; }"&amp;$E$3,"")</f>
        <v xml:space="preserve">		public virtual int ProcessGroup { get; set; }
</v>
      </c>
      <c r="P18" t="str">
        <f t="shared" ref="P18" si="61">REPT(CHAR(9),7)&amp;D18&amp;" = o." &amp;D18 &amp;","</f>
        <v xml:space="preserve">							ProcessGroup = o.ProcessGroup,</v>
      </c>
      <c r="T18" s="69" t="str">
        <f t="shared" ref="T18" si="62">REPT(CHAR(9),8)&amp;"("""&amp;D18&amp;"""),"</f>
        <v xml:space="preserve">								("ProcessGroup"),</v>
      </c>
      <c r="V18" s="70" t="str">
        <f t="shared" ref="V18" si="63">REPT(CHAR(9),8)&amp;"_ =&gt; _."&amp;D18&amp;","</f>
        <v xml:space="preserve">								_ =&gt; _.ProcessGroup,</v>
      </c>
      <c r="W18" s="69" t="str">
        <f t="shared" ref="W18" si="64">IF(H18="string",REPT(CHAR(9),4)&amp;".WhereIf(!string.IsNullOrWhiteSpace(input."&amp;D18&amp;"), e =&gt; e."&amp;D18&amp;".Contains(input."&amp;D18&amp;"))",IF(H18="DateTime",REPT(CHAR(9),4)&amp;".WhereIf(input."&amp;D18&amp;".HasValue, t =&gt; t."&amp;D18&amp;" == input."&amp;D18&amp;".Value)",""))</f>
        <v/>
      </c>
    </row>
    <row r="19" spans="1:23" customFormat="1" ht="18.75" customHeight="1" x14ac:dyDescent="0.25">
      <c r="A19" t="s">
        <v>341</v>
      </c>
      <c r="B19" t="s">
        <v>4</v>
      </c>
      <c r="C19" t="s">
        <v>1</v>
      </c>
      <c r="D19" t="str">
        <f t="shared" ref="D19" si="65">SUBSTITUTE(PROPER(A19),"_","")</f>
        <v>SubGroup</v>
      </c>
      <c r="E19" t="str">
        <f t="shared" ref="E19:E23" si="66">IFERROR(LEFT(B19, FIND("(",B19)-1),B19)</f>
        <v>int</v>
      </c>
      <c r="F19" s="7"/>
      <c r="G19" t="str">
        <f t="shared" ref="G19:G23" si="67">IFERROR(MID(B19,FIND("(",B19) +1, FIND(")",B19) - FIND("(",B19) - 1),"")</f>
        <v/>
      </c>
      <c r="H19" t="str">
        <f>+VLOOKUP(E19,'Data Type Mapping'!A:B,2,)</f>
        <v>int</v>
      </c>
      <c r="I19" t="str">
        <f t="shared" ref="I19:I23" si="68">IF(H19="string",REPT(CHAR(9),2)&amp;"public const int Max"&amp;D19&amp;"Length = "&amp;G19&amp;";"&amp;$E$3,"" )</f>
        <v/>
      </c>
      <c r="J19" t="str">
        <f t="shared" ref="J19:J23" si="69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public virtual int SubGroup { get; set; }
</v>
      </c>
      <c r="K19" s="7"/>
      <c r="L19" t="str">
        <f t="shared" ref="L19" si="70">IF(K19="","",REPT(CHAR(9),1)&amp;"[Index(nameof("&amp;IF(D19="","",""&amp;D19)&amp;")"&amp;", Name="&amp;"""IX_"&amp;$B$7&amp;"_"&amp;D19&amp;""")]")</f>
        <v/>
      </c>
      <c r="M19" t="str">
        <f t="shared" ref="M19:M23" si="71">REPT(CHAR(9),2)&amp;"public virtual "&amp;IF(OR(H19="DateTime",H19="TimeSpan"),H19&amp;"?",H19)&amp;IF(C19="?","? "," ")&amp;D19&amp;" { get; set; }" &amp; "
"</f>
        <v xml:space="preserve">		public virtual int SubGroup { get; set; }
</v>
      </c>
      <c r="N19" t="str">
        <f t="shared" ref="N19:N23" si="72"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public virtual int SubGroup { get; set; }
</v>
      </c>
      <c r="O19" t="str">
        <f t="shared" ref="O19:O23" si="73">IF(OR(H19="string",H19="DateTime",H19="int"),REPT(CHAR(9),2)&amp;"public virtual "&amp;IF(OR(H19="DateTime",H19="TimeSpan"),H19&amp;"?",H19)&amp;IF(C19="?","? "," ")&amp;D19&amp;" { get; set; }"&amp;$E$3,"")</f>
        <v xml:space="preserve">		public virtual int SubGroup { get; set; }
</v>
      </c>
      <c r="P19" t="str">
        <f t="shared" ref="P19:P23" si="74">REPT(CHAR(9),7)&amp;D19&amp;" = o." &amp;D19 &amp;","</f>
        <v xml:space="preserve">							SubGroup = o.SubGroup,</v>
      </c>
      <c r="T19" s="69" t="str">
        <f t="shared" ref="T19:T23" si="75">REPT(CHAR(9),8)&amp;"("""&amp;D19&amp;"""),"</f>
        <v xml:space="preserve">								("SubGroup"),</v>
      </c>
      <c r="V19" s="70" t="str">
        <f t="shared" ref="V19:V23" si="76">REPT(CHAR(9),8)&amp;"_ =&gt; _."&amp;D19&amp;","</f>
        <v xml:space="preserve">								_ =&gt; _.SubGroup,</v>
      </c>
      <c r="W19" s="69" t="str">
        <f t="shared" ref="W19:W23" si="77"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/>
      </c>
    </row>
    <row r="20" spans="1:23" customFormat="1" ht="22.5" customHeight="1" x14ac:dyDescent="0.25">
      <c r="A20" t="s">
        <v>342</v>
      </c>
      <c r="B20" t="s">
        <v>4</v>
      </c>
      <c r="C20" t="s">
        <v>1</v>
      </c>
      <c r="D20" t="str">
        <f>SUBSTITUTE(PROPER(A20),"_","")</f>
        <v>ProcessSeq</v>
      </c>
      <c r="E20" t="str">
        <f t="shared" si="66"/>
        <v>int</v>
      </c>
      <c r="F20" s="7"/>
      <c r="G20" t="str">
        <f t="shared" si="67"/>
        <v/>
      </c>
      <c r="H20" t="str">
        <f>+VLOOKUP(E20,'Data Type Mapping'!A:B,2,)</f>
        <v>int</v>
      </c>
      <c r="I20" t="str">
        <f t="shared" si="68"/>
        <v/>
      </c>
      <c r="J20" t="str">
        <f t="shared" si="69"/>
        <v xml:space="preserve">		public virtual int ProcessSeq { get; set; }
</v>
      </c>
      <c r="K20" s="7" t="s">
        <v>206</v>
      </c>
      <c r="L20" t="str">
        <f>IF(K20="","",REPT(CHAR(9),1)&amp;"[Index(nameof("&amp;IF(D20="","",""&amp;D20)&amp;")"&amp;", Name="&amp;"""IX_"&amp;$B$7&amp;"_"&amp;D20&amp;""")]")</f>
        <v xml:space="preserve">	[Index(nameof(ProcessSeq), Name="IX_PtsAdoPaintingData_ProcessSeq")]</v>
      </c>
      <c r="M20" t="str">
        <f t="shared" si="71"/>
        <v xml:space="preserve">		public virtual int ProcessSeq { get; set; }
</v>
      </c>
      <c r="N20" t="str">
        <f t="shared" si="72"/>
        <v xml:space="preserve">		public virtual int ProcessSeq { get; set; }
</v>
      </c>
      <c r="O20" t="str">
        <f t="shared" si="73"/>
        <v xml:space="preserve">		public virtual int ProcessSeq { get; set; }
</v>
      </c>
      <c r="P20" t="str">
        <f t="shared" si="74"/>
        <v xml:space="preserve">							ProcessSeq = o.ProcessSeq,</v>
      </c>
      <c r="T20" s="69" t="str">
        <f t="shared" si="75"/>
        <v xml:space="preserve">								("ProcessSeq"),</v>
      </c>
      <c r="V20" s="70" t="str">
        <f t="shared" si="76"/>
        <v xml:space="preserve">								_ =&gt; _.ProcessSeq,</v>
      </c>
      <c r="W20" s="69" t="str">
        <f t="shared" si="77"/>
        <v/>
      </c>
    </row>
    <row r="21" spans="1:23" customFormat="1" ht="22.5" customHeight="1" x14ac:dyDescent="0.25">
      <c r="A21" t="s">
        <v>343</v>
      </c>
      <c r="B21" t="s">
        <v>4</v>
      </c>
      <c r="C21" t="s">
        <v>1</v>
      </c>
      <c r="D21" t="str">
        <f>SUBSTITUTE(PROPER(A21),"_","")</f>
        <v>Filler</v>
      </c>
      <c r="E21" t="str">
        <f t="shared" si="66"/>
        <v>int</v>
      </c>
      <c r="F21" s="7"/>
      <c r="G21" t="str">
        <f t="shared" si="67"/>
        <v/>
      </c>
      <c r="H21" t="str">
        <f>+VLOOKUP(E21,'Data Type Mapping'!A:B,2,)</f>
        <v>int</v>
      </c>
      <c r="I21" t="str">
        <f t="shared" si="68"/>
        <v/>
      </c>
      <c r="J21" t="str">
        <f t="shared" si="69"/>
        <v xml:space="preserve">		public virtual int Filler { get; set; }
</v>
      </c>
      <c r="K21" s="7"/>
      <c r="L21" t="str">
        <f>IF(K21="","",REPT(CHAR(9),1)&amp;"[Index(nameof("&amp;IF(D21="","",""&amp;D21)&amp;")"&amp;", Name="&amp;"""IX_"&amp;$B$7&amp;"_"&amp;D21&amp;""")]")</f>
        <v/>
      </c>
      <c r="M21" t="str">
        <f t="shared" si="71"/>
        <v xml:space="preserve">		public virtual int Filler { get; set; }
</v>
      </c>
      <c r="N21" t="str">
        <f t="shared" si="72"/>
        <v xml:space="preserve">		public virtual int Filler { get; set; }
</v>
      </c>
      <c r="O21" t="str">
        <f t="shared" si="73"/>
        <v xml:space="preserve">		public virtual int Filler { get; set; }
</v>
      </c>
      <c r="P21" t="str">
        <f t="shared" si="74"/>
        <v xml:space="preserve">							Filler = o.Filler,</v>
      </c>
      <c r="T21" s="69" t="str">
        <f t="shared" si="75"/>
        <v xml:space="preserve">								("Filler"),</v>
      </c>
      <c r="V21" s="70" t="str">
        <f t="shared" si="76"/>
        <v xml:space="preserve">								_ =&gt; _.Filler,</v>
      </c>
      <c r="W21" s="69" t="str">
        <f t="shared" si="77"/>
        <v/>
      </c>
    </row>
    <row r="22" spans="1:23" customFormat="1" ht="21" customHeight="1" x14ac:dyDescent="0.25">
      <c r="A22" t="s">
        <v>324</v>
      </c>
      <c r="B22" t="s">
        <v>2</v>
      </c>
      <c r="C22" t="s">
        <v>1</v>
      </c>
      <c r="D22" t="str">
        <f t="shared" ref="D22:D23" si="78">SUBSTITUTE(PROPER(A22),"_","")</f>
        <v>WorkingDate</v>
      </c>
      <c r="E22" t="str">
        <f t="shared" si="66"/>
        <v>date</v>
      </c>
      <c r="F22" s="7" t="s">
        <v>2</v>
      </c>
      <c r="G22" t="str">
        <f t="shared" si="67"/>
        <v/>
      </c>
      <c r="H22" t="str">
        <f>+VLOOKUP(E22,'Data Type Mapping'!A:B,2,)</f>
        <v>DateTime</v>
      </c>
      <c r="I22" t="str">
        <f t="shared" si="68"/>
        <v/>
      </c>
      <c r="J22" t="str">
        <f t="shared" si="69"/>
        <v xml:space="preserve">		[Column(TypeName="date")]
		public virtual DateTime WorkingDate { get; set; }
</v>
      </c>
      <c r="K22" s="7" t="s">
        <v>206</v>
      </c>
      <c r="L22" t="str">
        <f t="shared" ref="L22:L23" si="79">IF(K22="","",REPT(CHAR(9),1)&amp;"[Index(nameof("&amp;IF(D22="","",""&amp;D22)&amp;")"&amp;", Name="&amp;"""IX_"&amp;$B$7&amp;"_"&amp;D22&amp;""")]")</f>
        <v xml:space="preserve">	[Index(nameof(WorkingDate), Name="IX_PtsAdoPaintingData_WorkingDate")]</v>
      </c>
      <c r="M22" t="str">
        <f t="shared" si="71"/>
        <v xml:space="preserve">		public virtual DateTime? WorkingDate { get; set; }
</v>
      </c>
      <c r="N22" t="str">
        <f t="shared" si="72"/>
        <v xml:space="preserve">		public virtual DateTime? WorkingDate { get; set; }
</v>
      </c>
      <c r="O22" t="str">
        <f t="shared" si="73"/>
        <v xml:space="preserve">		public virtual DateTime? WorkingDate { get; set; }
</v>
      </c>
      <c r="P22" t="str">
        <f t="shared" si="74"/>
        <v xml:space="preserve">							WorkingDate = o.WorkingDate,</v>
      </c>
      <c r="T22" s="69" t="str">
        <f t="shared" si="75"/>
        <v xml:space="preserve">								("WorkingDate"),</v>
      </c>
      <c r="V22" s="70" t="str">
        <f t="shared" si="76"/>
        <v xml:space="preserve">								_ =&gt; _.WorkingDate,</v>
      </c>
      <c r="W22" s="69" t="str">
        <f t="shared" si="77"/>
        <v xml:space="preserve">				.WhereIf(input.WorkingDate.HasValue, t =&gt; t.WorkingDate == input.WorkingDate.Value)</v>
      </c>
    </row>
    <row r="23" spans="1:23" customFormat="1" ht="21" customHeight="1" x14ac:dyDescent="0.25">
      <c r="A23" t="s">
        <v>325</v>
      </c>
      <c r="B23" t="s">
        <v>333</v>
      </c>
      <c r="C23" t="s">
        <v>1</v>
      </c>
      <c r="D23" t="str">
        <f t="shared" si="78"/>
        <v>Shift</v>
      </c>
      <c r="E23" t="str">
        <f t="shared" si="66"/>
        <v>varchar</v>
      </c>
      <c r="F23" s="7"/>
      <c r="G23" t="str">
        <f t="shared" si="67"/>
        <v>10</v>
      </c>
      <c r="H23" t="str">
        <f>+VLOOKUP(E23,'Data Type Mapping'!A:B,2,)</f>
        <v>string</v>
      </c>
      <c r="I23" t="str">
        <f t="shared" si="68"/>
        <v xml:space="preserve">		public const int MaxShiftLength = 10;
</v>
      </c>
      <c r="J23" t="str">
        <f t="shared" si="69"/>
        <v xml:space="preserve">		[StringLength(MaxShiftLength)]
		public virtual string Shift { get; set; }
</v>
      </c>
      <c r="K23" s="7" t="s">
        <v>206</v>
      </c>
      <c r="L23" t="str">
        <f t="shared" si="79"/>
        <v xml:space="preserve">	[Index(nameof(Shift), Name="IX_PtsAdoPaintingData_Shift")]</v>
      </c>
      <c r="M23" t="str">
        <f t="shared" si="71"/>
        <v xml:space="preserve">		public virtual string Shift { get; set; }
</v>
      </c>
      <c r="N23" t="str">
        <f t="shared" si="72"/>
        <v xml:space="preserve">		[StringLength(PtsAdoPaintingDataConsts.MaxShiftLength)]
		public virtual string Shift { get; set; }
</v>
      </c>
      <c r="O23" t="str">
        <f t="shared" si="73"/>
        <v xml:space="preserve">		public virtual string Shift { get; set; }
</v>
      </c>
      <c r="P23" t="str">
        <f t="shared" si="74"/>
        <v xml:space="preserve">							Shift = o.Shift,</v>
      </c>
      <c r="T23" s="69" t="str">
        <f t="shared" si="75"/>
        <v xml:space="preserve">								("Shift"),</v>
      </c>
      <c r="V23" s="70" t="str">
        <f t="shared" si="76"/>
        <v xml:space="preserve">								_ =&gt; _.Shift,</v>
      </c>
      <c r="W23" s="69" t="str">
        <f t="shared" si="77"/>
        <v xml:space="preserve">				.WhereIf(!string.IsNullOrWhiteSpace(input.Shift), e =&gt; e.Shift.Contains(input.Shift))</v>
      </c>
    </row>
    <row r="24" spans="1:23" customFormat="1" ht="18.75" customHeight="1" x14ac:dyDescent="0.25">
      <c r="A24" t="s">
        <v>329</v>
      </c>
      <c r="B24" t="s">
        <v>4</v>
      </c>
      <c r="C24" t="s">
        <v>1</v>
      </c>
      <c r="D24" t="str">
        <f>SUBSTITUTE(PROPER(A24),"_","")</f>
        <v>NoInDate</v>
      </c>
      <c r="E24" t="str">
        <f>IFERROR(LEFT(B24, FIND("(",B24)-1),B24)</f>
        <v>int</v>
      </c>
      <c r="F24" s="7"/>
      <c r="G24" t="str">
        <f>IFERROR(MID(B24,FIND("(",B24) +1, FIND(")",B24) - FIND("(",B24) - 1),"")</f>
        <v/>
      </c>
      <c r="H24" t="str">
        <f>+VLOOKUP(E24,'[1]Data Type Mapping'!A:B,2,)</f>
        <v>int</v>
      </c>
      <c r="I24" t="str">
        <f>IF(H24="string",REPT(CHAR(9),2)&amp;"public const int Max"&amp;D24&amp;"Length = "&amp;G24&amp;";"&amp;$E$3,"" )</f>
        <v/>
      </c>
      <c r="J24" t="str">
        <f>IF(F24="","",REPT(CHAR(9),2)&amp;"[Column(TypeName="""&amp;F24&amp;""")]"&amp;$E$3)&amp;IF(C24="Checked","",$I$3)&amp;IF(H24="string",REPT(CHAR(9),2)&amp;"[StringLength(Max"&amp;D24&amp;"Length"&amp;")]"&amp;$E$3,"")&amp;REPT(CHAR(9),2)&amp;"public virtual "&amp;H24&amp;IF(C24="?","? "," ")&amp;D24&amp;" { get; set; }" &amp; "
"</f>
        <v xml:space="preserve">		public virtual int NoInDate { get; set; }
</v>
      </c>
      <c r="K24" s="7" t="s">
        <v>206</v>
      </c>
      <c r="L24" t="str">
        <f>IF(K24="","",REPT(CHAR(9),1)&amp;"[Index(nameof("&amp;IF(D24="","",""&amp;D24)&amp;")"&amp;", Name="&amp;"""IX_"&amp;$B$7&amp;"_"&amp;D24&amp;""")]")</f>
        <v xml:space="preserve">	[Index(nameof(NoInDate), Name="IX_PtsAdoPaintingData_NoInDate")]</v>
      </c>
      <c r="M24" t="str">
        <f>REPT(CHAR(9),2)&amp;"public virtual "&amp;IF(OR(H24="DateTime",H24="TimeSpan"),H24&amp;"?",H24)&amp;IF(C24="?","? "," ")&amp;D24&amp;" { get; set; }" &amp; "
"</f>
        <v xml:space="preserve">		public virtual int NoInDate { get; set; }
</v>
      </c>
      <c r="N24" t="str">
        <f>IF(C24="Checked","",$I$3)&amp;IF(H24="string",REPT(CHAR(9),2)&amp;"[StringLength("&amp;$B$3&amp;"Consts.Max"&amp;D24&amp;"Length"&amp;")]"&amp;$E$3,"")&amp;REPT(CHAR(9),2)&amp;"public virtual "&amp;IF(OR(H24="DateTime",H24="TimeSpan"),H24&amp;"?",H24)&amp;IF(C24="?","? "," ")&amp;D24&amp;" { get; set; }" &amp; "
"</f>
        <v xml:space="preserve">		public virtual int NoInDate { get; set; }
</v>
      </c>
      <c r="O24" t="str">
        <f>IF(OR(H24="string",H24="DateTime",H24="int"),REPT(CHAR(9),2)&amp;"public virtual "&amp;IF(OR(H24="DateTime",H24="TimeSpan"),H24&amp;"?",H24)&amp;IF(C24="?","? "," ")&amp;D24&amp;" { get; set; }"&amp;$E$3,"")</f>
        <v xml:space="preserve">		public virtual int NoInDate { get; set; }
</v>
      </c>
      <c r="P24" t="str">
        <f>REPT(CHAR(9),7)&amp;D24&amp;" = o." &amp;D24 &amp;","</f>
        <v xml:space="preserve">							NoInDate = o.NoInDate,</v>
      </c>
      <c r="T24" s="69" t="str">
        <f>REPT(CHAR(9),8)&amp;"("""&amp;D24&amp;"""),"</f>
        <v xml:space="preserve">								("NoInDate"),</v>
      </c>
      <c r="V24" s="70" t="str">
        <f>REPT(CHAR(9),8)&amp;"_ =&gt; _."&amp;D24&amp;","</f>
        <v xml:space="preserve">								_ =&gt; _.NoInDate,</v>
      </c>
      <c r="W24" s="69" t="str">
        <f>IF(H24="string",REPT(CHAR(9),4)&amp;".WhereIf(!string.IsNullOrWhiteSpace(input."&amp;D24&amp;"), e =&gt; e."&amp;D24&amp;".Contains(input."&amp;D24&amp;"))",IF(H24="DateTime",REPT(CHAR(9),4)&amp;".WhereIf(input."&amp;D24&amp;".HasValue, t =&gt; t."&amp;D24&amp;" == input."&amp;D24&amp;".Value)",""))</f>
        <v/>
      </c>
    </row>
    <row r="25" spans="1:23" customFormat="1" ht="18.75" customHeight="1" x14ac:dyDescent="0.25">
      <c r="A25" t="s">
        <v>330</v>
      </c>
      <c r="B25" t="s">
        <v>344</v>
      </c>
      <c r="C25" t="s">
        <v>1</v>
      </c>
      <c r="D25" t="str">
        <f t="shared" ref="D25:D28" si="80">SUBSTITUTE(PROPER(A25),"_","")</f>
        <v>ProcessCode</v>
      </c>
      <c r="E25" t="str">
        <f t="shared" ref="E25:E28" si="81">IFERROR(LEFT(B25, FIND("(",B25)-1),B25)</f>
        <v>varchar</v>
      </c>
      <c r="F25" s="7"/>
      <c r="G25" t="str">
        <f t="shared" ref="G25:G28" si="82">IFERROR(MID(B25,FIND("(",B25) +1, FIND(")",B25) - FIND("(",B25) - 1),"")</f>
        <v>40</v>
      </c>
      <c r="H25" t="str">
        <f>+VLOOKUP(E25,'Data Type Mapping'!A:B,2,)</f>
        <v>string</v>
      </c>
      <c r="I25" t="str">
        <f t="shared" ref="I25:I28" si="83">IF(H25="string",REPT(CHAR(9),2)&amp;"public const int Max"&amp;D25&amp;"Length = "&amp;G25&amp;";"&amp;$E$3,"" )</f>
        <v xml:space="preserve">		public const int MaxProcessCodeLength = 40;
</v>
      </c>
      <c r="J25" t="str">
        <f t="shared" ref="J25:J28" si="84">IF(F25="","",REPT(CHAR(9),2)&amp;"[Column(TypeName="""&amp;F25&amp;""")]"&amp;$E$3)&amp;IF(C25="Checked","",$I$3)&amp;IF(H25="string",REPT(CHAR(9),2)&amp;"[StringLength(Max"&amp;D25&amp;"Length"&amp;")]"&amp;$E$3,"")&amp;REPT(CHAR(9),2)&amp;"public virtual "&amp;H25&amp;IF(C25="?","? "," ")&amp;D25&amp;" { get; set; }" &amp; "
"</f>
        <v xml:space="preserve">		[StringLength(MaxProcessCodeLength)]
		public virtual string ProcessCode { get; set; }
</v>
      </c>
      <c r="K25" s="7" t="s">
        <v>206</v>
      </c>
      <c r="L25" t="str">
        <f t="shared" ref="L25:L28" si="85">IF(K25="","",REPT(CHAR(9),1)&amp;"[Index(nameof("&amp;IF(D25="","",""&amp;D25)&amp;")"&amp;", Name="&amp;"""IX_"&amp;$B$7&amp;"_"&amp;D25&amp;""")]")</f>
        <v xml:space="preserve">	[Index(nameof(ProcessCode), Name="IX_PtsAdoPaintingData_ProcessCode")]</v>
      </c>
      <c r="M25" t="str">
        <f t="shared" ref="M25:M28" si="86">REPT(CHAR(9),2)&amp;"public virtual "&amp;IF(OR(H25="DateTime",H25="TimeSpan"),H25&amp;"?",H25)&amp;IF(C25="?","? "," ")&amp;D25&amp;" { get; set; }" &amp; "
"</f>
        <v xml:space="preserve">		public virtual string ProcessCode { get; set; }
</v>
      </c>
      <c r="N25" t="str">
        <f t="shared" ref="N25:N28" si="87">IF(C25="Checked","",$I$3)&amp;IF(H25="string",REPT(CHAR(9),2)&amp;"[StringLength("&amp;$B$3&amp;"Consts.Max"&amp;D25&amp;"Length"&amp;")]"&amp;$E$3,"")&amp;REPT(CHAR(9),2)&amp;"public virtual "&amp;IF(OR(H25="DateTime",H25="TimeSpan"),H25&amp;"?",H25)&amp;IF(C25="?","? "," ")&amp;D25&amp;" { get; set; }" &amp; "
"</f>
        <v xml:space="preserve">		[StringLength(PtsAdoPaintingDataConsts.MaxProcessCodeLength)]
		public virtual string ProcessCode { get; set; }
</v>
      </c>
      <c r="O25" t="str">
        <f t="shared" ref="O25:O28" si="88">IF(OR(H25="string",H25="DateTime",H25="int"),REPT(CHAR(9),2)&amp;"public virtual "&amp;IF(OR(H25="DateTime",H25="TimeSpan"),H25&amp;"?",H25)&amp;IF(C25="?","? "," ")&amp;D25&amp;" { get; set; }"&amp;$E$3,"")</f>
        <v xml:space="preserve">		public virtual string ProcessCode { get; set; }
</v>
      </c>
      <c r="P25" t="str">
        <f t="shared" ref="P25:P28" si="89">REPT(CHAR(9),7)&amp;D25&amp;" = o." &amp;D25 &amp;","</f>
        <v xml:space="preserve">							ProcessCode = o.ProcessCode,</v>
      </c>
      <c r="T25" s="69" t="str">
        <f t="shared" ref="T25:T28" si="90">REPT(CHAR(9),8)&amp;"("""&amp;D25&amp;"""),"</f>
        <v xml:space="preserve">								("ProcessCode"),</v>
      </c>
      <c r="V25" s="70" t="str">
        <f t="shared" ref="V25:V28" si="91">REPT(CHAR(9),8)&amp;"_ =&gt; _."&amp;D25&amp;","</f>
        <v xml:space="preserve">								_ =&gt; _.ProcessCode,</v>
      </c>
      <c r="W25" s="69" t="str">
        <f t="shared" ref="W25:W28" si="92">IF(H25="string",REPT(CHAR(9),4)&amp;".WhereIf(!string.IsNullOrWhiteSpace(input."&amp;D25&amp;"), e =&gt; e."&amp;D25&amp;".Contains(input."&amp;D25&amp;"))",IF(H25="DateTime",REPT(CHAR(9),4)&amp;".WhereIf(input."&amp;D25&amp;".HasValue, t =&gt; t."&amp;D25&amp;" == input."&amp;D25&amp;".Value)",""))</f>
        <v xml:space="preserve">				.WhereIf(!string.IsNullOrWhiteSpace(input.ProcessCode), e =&gt; e.ProcessCode.Contains(input.ProcessCode))</v>
      </c>
    </row>
    <row r="26" spans="1:23" customFormat="1" ht="18.75" customHeight="1" x14ac:dyDescent="0.25">
      <c r="A26" t="s">
        <v>345</v>
      </c>
      <c r="B26" t="s">
        <v>346</v>
      </c>
      <c r="C26" t="s">
        <v>1</v>
      </c>
      <c r="D26" t="str">
        <f t="shared" si="80"/>
        <v>InfoProcess</v>
      </c>
      <c r="E26" t="str">
        <f t="shared" si="81"/>
        <v>varchar</v>
      </c>
      <c r="F26" s="7"/>
      <c r="G26" t="str">
        <f t="shared" si="82"/>
        <v>20</v>
      </c>
      <c r="H26" t="str">
        <f>+VLOOKUP(E26,'Data Type Mapping'!A:B,2,)</f>
        <v>string</v>
      </c>
      <c r="I26" t="str">
        <f t="shared" si="83"/>
        <v xml:space="preserve">		public const int MaxInfoProcessLength = 20;
</v>
      </c>
      <c r="J26" t="str">
        <f t="shared" si="84"/>
        <v xml:space="preserve">		[StringLength(MaxInfoProcessLength)]
		public virtual string InfoProcess { get; set; }
</v>
      </c>
      <c r="K26" s="7"/>
      <c r="L26" t="str">
        <f t="shared" si="85"/>
        <v/>
      </c>
      <c r="M26" t="str">
        <f t="shared" si="86"/>
        <v xml:space="preserve">		public virtual string InfoProcess { get; set; }
</v>
      </c>
      <c r="N26" t="str">
        <f t="shared" si="87"/>
        <v xml:space="preserve">		[StringLength(PtsAdoPaintingDataConsts.MaxInfoProcessLength)]
		public virtual string InfoProcess { get; set; }
</v>
      </c>
      <c r="O26" t="str">
        <f t="shared" si="88"/>
        <v xml:space="preserve">		public virtual string InfoProcess { get; set; }
</v>
      </c>
      <c r="P26" t="str">
        <f t="shared" si="89"/>
        <v xml:space="preserve">							InfoProcess = o.InfoProcess,</v>
      </c>
      <c r="T26" s="69" t="str">
        <f t="shared" si="90"/>
        <v xml:space="preserve">								("InfoProcess"),</v>
      </c>
      <c r="V26" s="70" t="str">
        <f t="shared" si="91"/>
        <v xml:space="preserve">								_ =&gt; _.InfoProcess,</v>
      </c>
      <c r="W26" s="69" t="str">
        <f t="shared" si="92"/>
        <v xml:space="preserve">				.WhereIf(!string.IsNullOrWhiteSpace(input.InfoProcess), e =&gt; e.InfoProcess.Contains(input.InfoProcess))</v>
      </c>
    </row>
    <row r="27" spans="1:23" customFormat="1" ht="18.75" customHeight="1" x14ac:dyDescent="0.25">
      <c r="A27" t="s">
        <v>347</v>
      </c>
      <c r="B27" t="s">
        <v>24</v>
      </c>
      <c r="C27" t="s">
        <v>1</v>
      </c>
      <c r="D27" t="str">
        <f t="shared" si="80"/>
        <v>InfoProcessNo</v>
      </c>
      <c r="E27" t="str">
        <f t="shared" si="81"/>
        <v>smallint</v>
      </c>
      <c r="F27" s="7"/>
      <c r="G27" t="str">
        <f t="shared" si="82"/>
        <v/>
      </c>
      <c r="H27" t="str">
        <f>+VLOOKUP(E27,'Data Type Mapping'!A:B,2,)</f>
        <v>int</v>
      </c>
      <c r="I27" t="str">
        <f t="shared" si="83"/>
        <v/>
      </c>
      <c r="J27" t="str">
        <f t="shared" si="84"/>
        <v xml:space="preserve">		public virtual int InfoProcessNo { get; set; }
</v>
      </c>
      <c r="K27" s="7"/>
      <c r="L27" t="str">
        <f t="shared" si="85"/>
        <v/>
      </c>
      <c r="M27" t="str">
        <f t="shared" si="86"/>
        <v xml:space="preserve">		public virtual int InfoProcessNo { get; set; }
</v>
      </c>
      <c r="N27" t="str">
        <f t="shared" si="87"/>
        <v xml:space="preserve">		public virtual int InfoProcessNo { get; set; }
</v>
      </c>
      <c r="O27" t="str">
        <f t="shared" si="88"/>
        <v xml:space="preserve">		public virtual int InfoProcessNo { get; set; }
</v>
      </c>
      <c r="P27" t="str">
        <f t="shared" si="89"/>
        <v xml:space="preserve">							InfoProcessNo = o.InfoProcessNo,</v>
      </c>
      <c r="T27" s="69" t="str">
        <f t="shared" si="90"/>
        <v xml:space="preserve">								("InfoProcessNo"),</v>
      </c>
      <c r="V27" s="70" t="str">
        <f t="shared" si="91"/>
        <v xml:space="preserve">								_ =&gt; _.InfoProcessNo,</v>
      </c>
      <c r="W27" s="69" t="str">
        <f t="shared" si="92"/>
        <v/>
      </c>
    </row>
    <row r="28" spans="1:23" customFormat="1" ht="18.75" customHeight="1" x14ac:dyDescent="0.25">
      <c r="A28" t="s">
        <v>348</v>
      </c>
      <c r="B28" t="s">
        <v>323</v>
      </c>
      <c r="C28" t="s">
        <v>1</v>
      </c>
      <c r="D28" t="str">
        <f t="shared" si="80"/>
        <v>IsProject</v>
      </c>
      <c r="E28" t="str">
        <f t="shared" si="81"/>
        <v>varchar</v>
      </c>
      <c r="F28" s="7"/>
      <c r="G28" t="str">
        <f t="shared" si="82"/>
        <v>1</v>
      </c>
      <c r="H28" t="str">
        <f>+VLOOKUP(E28,'Data Type Mapping'!A:B,2,)</f>
        <v>string</v>
      </c>
      <c r="I28" t="str">
        <f t="shared" si="83"/>
        <v xml:space="preserve">		public const int MaxIsProjectLength = 1;
</v>
      </c>
      <c r="J28" t="str">
        <f t="shared" si="84"/>
        <v xml:space="preserve">		[StringLength(MaxIsProjectLength)]
		public virtual string IsProject { get; set; }
</v>
      </c>
      <c r="K28" s="7"/>
      <c r="L28" t="str">
        <f t="shared" si="85"/>
        <v/>
      </c>
      <c r="M28" t="str">
        <f t="shared" si="86"/>
        <v xml:space="preserve">		public virtual string IsProject { get; set; }
</v>
      </c>
      <c r="N28" t="str">
        <f t="shared" si="87"/>
        <v xml:space="preserve">		[StringLength(PtsAdoPaintingDataConsts.MaxIsProjectLength)]
		public virtual string IsProject { get; set; }
</v>
      </c>
      <c r="O28" t="str">
        <f t="shared" si="88"/>
        <v xml:space="preserve">		public virtual string IsProject { get; set; }
</v>
      </c>
      <c r="P28" t="str">
        <f t="shared" si="89"/>
        <v xml:space="preserve">							IsProject = o.IsProject,</v>
      </c>
      <c r="T28" s="69" t="str">
        <f t="shared" si="90"/>
        <v xml:space="preserve">								("IsProject"),</v>
      </c>
      <c r="V28" s="70" t="str">
        <f t="shared" si="91"/>
        <v xml:space="preserve">								_ =&gt; _.IsProject,</v>
      </c>
      <c r="W28" s="69" t="str">
        <f t="shared" si="92"/>
        <v xml:space="preserve">				.WhereIf(!string.IsNullOrWhiteSpace(input.IsProject), e =&gt; e.IsProject.Contains(input.IsProject))</v>
      </c>
    </row>
    <row r="29" spans="1:23" customFormat="1" ht="22.5" customHeight="1" x14ac:dyDescent="0.25">
      <c r="A29" t="s">
        <v>322</v>
      </c>
      <c r="B29" t="s">
        <v>323</v>
      </c>
      <c r="C29" t="s">
        <v>1</v>
      </c>
      <c r="D29" t="str">
        <f>SUBSTITUTE(PROPER(A29),"_","")</f>
        <v>IsActive</v>
      </c>
      <c r="E29" t="str">
        <f t="shared" si="13"/>
        <v>varchar</v>
      </c>
      <c r="F29" s="7"/>
      <c r="G29" t="str">
        <f t="shared" si="14"/>
        <v>1</v>
      </c>
      <c r="H29" t="str">
        <f>+VLOOKUP(E29,'Data Type Mapping'!A:B,2,)</f>
        <v>string</v>
      </c>
      <c r="I29" t="str">
        <f t="shared" si="15"/>
        <v xml:space="preserve">		public const int MaxIsActiveLength = 1;
</v>
      </c>
      <c r="J29" t="str">
        <f t="shared" si="16"/>
        <v xml:space="preserve">		[StringLength(MaxIsActiveLength)]
		public virtual string IsActive { get; set; }
</v>
      </c>
      <c r="K29" s="7" t="s">
        <v>206</v>
      </c>
      <c r="L29" t="str">
        <f>IF(K29="","",REPT(CHAR(9),1)&amp;"[Index(nameof("&amp;IF(D29="","",""&amp;D29)&amp;")"&amp;", Name="&amp;"""IX_"&amp;$B$7&amp;"_"&amp;D29&amp;""")]")</f>
        <v xml:space="preserve">	[Index(nameof(IsActive), Name="IX_PtsAdoPaintingData_IsActive")]</v>
      </c>
      <c r="M29" t="str">
        <f t="shared" si="17"/>
        <v xml:space="preserve">		public virtual string IsActive { get; set; }
</v>
      </c>
      <c r="N29" t="str">
        <f t="shared" si="18"/>
        <v xml:space="preserve">		[StringLength(PtsAdoPaintingDataConsts.MaxIsActiveLength)]
		public virtual string IsActive { get; set; }
</v>
      </c>
      <c r="O29" t="str">
        <f t="shared" si="19"/>
        <v xml:space="preserve">		public virtual string IsActive { get; set; }
</v>
      </c>
      <c r="P29" t="str">
        <f t="shared" si="20"/>
        <v xml:space="preserve">							IsActive = o.IsActive,</v>
      </c>
      <c r="T29" s="69" t="str">
        <f t="shared" si="21"/>
        <v xml:space="preserve">								("IsActive"),</v>
      </c>
      <c r="V29" s="70" t="str">
        <f t="shared" si="22"/>
        <v xml:space="preserve">								_ =&gt; _.IsActive,</v>
      </c>
      <c r="W29" s="69" t="str">
        <f t="shared" si="23"/>
        <v xml:space="preserve">				.WhereIf(!string.IsNullOrWhiteSpace(input.IsActive), e =&gt; e.IsActive.Contains(input.IsActive))</v>
      </c>
    </row>
    <row r="31" spans="1:23" ht="45.75" customHeight="1" x14ac:dyDescent="0.25">
      <c r="H31" s="12"/>
      <c r="I31" s="34" t="str">
        <f ca="1">TEXTJOIN2("
", TRUE,INDIRECT( $H$1):INDIRECT( $H$3))</f>
        <v xml:space="preserve">		public const int MaxModelLength = 10;
		public const int MaxCfcLength = 10;
		public const int MaxGradeLength = 10;
		public const int MaxLotNoLength = 10;
		public const int MaxBodyNoLength = 10;
		public const int MaxColorLength = 10;
		public const int MaxProdLineLength = 10;
		public const int MaxShiftLength = 10;
		public const int MaxProcessCodeLength = 40;
		public const int MaxInfoProcessLength = 20;
		public const int MaxIsProjectLength = 1;
		public const int MaxIsActiveLength = 1;
</v>
      </c>
      <c r="J31" s="33" t="str">
        <f ca="1">TEXTJOIN2("
", TRUE,INDIRECT( $F$1):INDIRECT( $F$3))</f>
        <v xml:space="preserve">		public virtual long LifetimeNo { get; set; }
		[StringLength(MaxModelLength)]
		public virtual string Model { get; set; }
		[StringLength(MaxCfcLength)]
		public virtual string Cfc { get; set; }
		[StringLength(MaxGradeLength)]
		public virtual string Grade { get; set; }
		[StringLength(MaxLotNoLength)]
		public virtual string LotNo { get; set; }
		public virtual int NoInLot { get; set; }
		[StringLength(MaxBodyNoLength)]
		public virtual string BodyNo { get; set; }
		[StringLength(MaxColorLength)]
		public virtual string Color { get; set; }
		[StringLength(MaxProdLineLength)]
		public virtual string ProdLine { get; set; }
		public virtual int ProcessGroup { get; set; }
		public virtual int SubGroup { get; set; }
		public virtual int ProcessSeq { get; set; }
		public virtual int Filler { get; set; }
		[Column(TypeName="date")]
		public virtual DateTime WorkingDate { get; set; }
		[StringLength(MaxShiftLength)]
		public virtual string Shift { get; set; }
		public virtual int NoInDate { get; set; }
		[StringLength(MaxProcessCodeLength)]
		public virtual string ProcessCode { get; set; }
		[StringLength(MaxInfoProcessLength)]
		public virtual string InfoProcess { get; set; }
		public virtual int InfoProcessNo { get; set; }
		[StringLength(MaxIsProjectLength)]
		public virtual string IsProject { get; set; }
		[StringLength(MaxIsActiveLength)]
		public virtual string IsActive { get; set; }
</v>
      </c>
      <c r="K31" s="35" t="str">
        <f ca="1">TEXTJOIN2("
", TRUE,INDIRECT( $J$1):INDIRECT( $J$3))</f>
        <v xml:space="preserve">	[Index(nameof(LifetimeNo), Name="IX_PtsAdoPaintingData_LifetimeNo")]
	[Index(nameof(Model), Name="IX_PtsAdoPaintingData_Model")]
	[Index(nameof(Cfc), Name="IX_PtsAdoPaintingData_Cfc")]
	[Index(nameof(ProcessSeq), Name="IX_PtsAdoPaintingData_ProcessSeq")]
	[Index(nameof(WorkingDate), Name="IX_PtsAdoPaintingData_WorkingDate")]
	[Index(nameof(Shift), Name="IX_PtsAdoPaintingData_Shift")]
	[Index(nameof(NoInDate), Name="IX_PtsAdoPaintingData_NoInDate")]
	[Index(nameof(ProcessCode), Name="IX_PtsAdoPaintingData_ProcessCode")]
	[Index(nameof(IsActive), Name="IX_PtsAdoPaintingData_IsActive")]</v>
      </c>
      <c r="L31" s="13" t="s">
        <v>60</v>
      </c>
      <c r="M31" s="36" t="str">
        <f ca="1">TEXTJOIN2("
",TRUE,INDIRECT( $L$1):INDIRECT($L$3))</f>
        <v xml:space="preserve">		public virtual long LifetimeNo { get; set; }
		public virtual string Model { get; set; }
		public virtual string Cfc { get; set; }
		public virtual string Grade { get; set; }
		public virtual string LotNo { get; set; }
		public virtual int NoInLot { get; set; }
		public virtual string BodyNo { get; set; }
		public virtual string Color { get; set; }
		public virtual string ProdLine { get; set; }
		public virtual int ProcessGroup { get; set; }
		public virtual int SubGroup { get; set; }
		public virtual int ProcessSeq { get; set; }
		public virtual int Filler { get; set; }
		public virtual DateTime? WorkingDate { get; set; }
		public virtual string Shift { get; set; }
		public virtual int NoInDate { get; set; }
		public virtual string ProcessCode { get; set; }
		public virtual string InfoProcess { get; set; }
		public virtual int InfoProcessNo { get; set; }
		public virtual string IsProject { get; set; }
		public virtual string IsActive { get; set; }
</v>
      </c>
      <c r="N31" s="33" t="str">
        <f ca="1">TEXTJOIN2("
",TRUE,INDIRECT( $M$1):INDIRECT($M$3))</f>
        <v xml:space="preserve">		public virtual long LifetimeNo { get; set; }
		[StringLength(PtsAdoPaintingDataConsts.MaxModelLength)]
		public virtual string Model { get; set; }
		[StringLength(PtsAdoPaintingDataConsts.MaxCfcLength)]
		public virtual string Cfc { get; set; }
		[StringLength(PtsAdoPaintingDataConsts.MaxGradeLength)]
		public virtual string Grade { get; set; }
		[StringLength(PtsAdoPaintingDataConsts.MaxLotNoLength)]
		public virtual string LotNo { get; set; }
		public virtual int NoInLot { get; set; }
		[StringLength(PtsAdoPaintingDataConsts.MaxBodyNoLength)]
		public virtual string BodyNo { get; set; }
		[StringLength(PtsAdoPaintingDataConsts.MaxColorLength)]
		public virtual string Color { get; set; }
		[StringLength(PtsAdoPaintingDataConsts.MaxProdLineLength)]
		public virtual string ProdLine { get; set; }
		public virtual int ProcessGroup { get; set; }
		public virtual int SubGroup { get; set; }
		public virtual int ProcessSeq { get; set; }
		public virtual int Filler { get; set; }
		public virtual DateTime? WorkingDate { get; set; }
		[StringLength(PtsAdoPaintingDataConsts.MaxShiftLength)]
		public virtual string Shift { get; set; }
		public virtual int NoInDate { get; set; }
		[StringLength(PtsAdoPaintingDataConsts.MaxProcessCodeLength)]
		public virtual string ProcessCode { get; set; }
		[StringLength(PtsAdoPaintingDataConsts.MaxInfoProcessLength)]
		public virtual string InfoProcess { get; set; }
		public virtual int InfoProcessNo { get; set; }
		[StringLength(PtsAdoPaintingDataConsts.MaxIsProjectLength)]
		public virtual string IsProject { get; set; }
		[StringLength(PtsAdoPaintingDataConsts.MaxIsActiveLength)]
		public virtual string IsActive { get; set; }
</v>
      </c>
      <c r="O31" s="33" t="str">
        <f ca="1">TEXTJOIN2("
",TRUE,INDIRECT( $N$1):INDIRECT($N$3))</f>
        <v xml:space="preserve">		public virtual string Model { get; set; }
		public virtual string Cfc { get; set; }
		public virtual string Grade { get; set; }
		public virtual string LotNo { get; set; }
		public virtual int NoInLot { get; set; }
		public virtual string BodyNo { get; set; }
		public virtual string Color { get; set; }
		public virtual string ProdLine { get; set; }
		public virtual int ProcessGroup { get; set; }
		public virtual int SubGroup { get; set; }
		public virtual int ProcessSeq { get; set; }
		public virtual int Filler { get; set; }
		public virtual DateTime? WorkingDate { get; set; }
		public virtual string Shift { get; set; }
		public virtual int NoInDate { get; set; }
		public virtual string ProcessCode { get; set; }
		public virtual string InfoProcess { get; set; }
		public virtual int InfoProcessNo { get; set; }
		public virtual string IsProject { get; set; }
		public virtual string IsActive { get; set; }
</v>
      </c>
      <c r="P31" s="9" t="str">
        <f ca="1">TEXTJOIN2("
",TRUE,INDIRECT( $O$1):INDIRECT($O$3))</f>
        <v xml:space="preserve">							LifetimeNo = o.LifetimeNo,
							Model = o.Model,
							Cfc = o.Cfc,
							Grade = o.Grade,
							LotNo = o.LotNo,
							NoInLot = o.NoInLot,
							BodyNo = o.BodyNo,
							Color = o.Color,
							ProdLine = o.ProdLine,
							ProcessGroup = o.ProcessGroup,
							SubGroup = o.SubGroup,
							ProcessSeq = o.ProcessSeq,
							Filler = o.Filler,
							WorkingDate = o.WorkingDate,
							Shift = o.Shift,
							NoInDate = o.NoInDate,
							ProcessCode = o.ProcessCode,
							InfoProcess = o.InfoProcess,
							InfoProcessNo = o.InfoProcessNo,
							IsProject = o.IsProject,
							IsActive = o.IsActive,</v>
      </c>
      <c r="T31" s="9" t="str">
        <f ca="1">TEXTJOIN2("
",TRUE,INDIRECT( $T$2):INDIRECT($T$3))</f>
        <v xml:space="preserve">								("LifetimeNo"),
								("Model"),
								("Cfc"),
								("Grade"),
								("LotNo"),
								("NoInLot"),
								("BodyNo"),
								("Color"),
								("ProdLine"),
								("ProcessGroup"),
								("SubGroup"),
								("ProcessSeq"),
								("Filler"),
								("WorkingDate"),
								("Shift"),
								("NoInDate"),
								("ProcessCode"),
								("InfoProcess"),
								("InfoProcessNo"),
								("IsProject"),
								("IsActive"),</v>
      </c>
      <c r="V31" s="9" t="str">
        <f ca="1">TEXTJOIN2("
",TRUE,INDIRECT( $V$2):INDIRECT($V$3))</f>
        <v xml:space="preserve">								_ =&gt; _.LifetimeNo,
								_ =&gt; _.Model,
								_ =&gt; _.Cfc,
								_ =&gt; _.Grade,
								_ =&gt; _.LotNo,
								_ =&gt; _.NoInLot,
								_ =&gt; _.BodyNo,
								_ =&gt; _.Color,
								_ =&gt; _.ProdLine,
								_ =&gt; _.ProcessGroup,
								_ =&gt; _.SubGroup,
								_ =&gt; _.ProcessSeq,
								_ =&gt; _.Filler,
								_ =&gt; _.WorkingDate,
								_ =&gt; _.Shift,
								_ =&gt; _.NoInDate,
								_ =&gt; _.ProcessCode,
								_ =&gt; _.InfoProcess,
								_ =&gt; _.InfoProcessNo,
								_ =&gt; _.IsProject,
								_ =&gt; _.IsActive,</v>
      </c>
      <c r="W31" s="9" t="str">
        <f ca="1">TEXTJOIN2("
",TRUE,INDIRECT( $W$2):INDIRECT($W$3))</f>
        <v xml:space="preserve">				.WhereIf(!string.IsNullOrWhiteSpace(input.Model), e =&gt; e.Model.Contains(input.Model))
				.WhereIf(!string.IsNullOrWhiteSpace(input.Cfc), e =&gt; e.Cfc.Contains(input.Cfc))
				.WhereIf(!string.IsNullOrWhiteSpace(input.Grade), e =&gt; e.Grade.Contains(input.Grade))
				.WhereIf(!string.IsNullOrWhiteSpace(input.LotNo), e =&gt; e.LotNo.Contains(input.LotNo))
				.WhereIf(!string.IsNullOrWhiteSpace(input.BodyNo), e =&gt; e.BodyNo.Contains(input.BodyNo))
				.WhereIf(!string.IsNullOrWhiteSpace(input.Color), e =&gt; e.Color.Contains(input.Color))
				.WhereIf(!string.IsNullOrWhiteSpace(input.ProdLine), e =&gt; e.ProdLine.Contains(input.ProdLine))
				.WhereIf(input.WorkingDate.HasValue, t =&gt; t.WorkingDate == input.WorkingDate.Value)
				.WhereIf(!string.IsNullOrWhiteSpace(input.Shift), e =&gt; e.Shift.Contains(input.Shift))
				.WhereIf(!string.IsNullOrWhiteSpace(input.ProcessCode), e =&gt; e.ProcessCode.Contains(input.ProcessCode))
				.WhereIf(!string.IsNullOrWhiteSpace(input.InfoProcess), e =&gt; e.InfoProcess.Contains(input.InfoProcess))
				.WhereIf(!string.IsNullOrWhiteSpace(input.IsProject), e =&gt; e.IsProject.Contains(input.IsProject))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8"/>
  <sheetViews>
    <sheetView topLeftCell="A16" workbookViewId="0">
      <selection activeCell="A15" sqref="A15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353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Painting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painting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Andon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andon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PtsAdoPaintingData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PaintingData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paintingdata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PtsAdoPaintingDataDto, PtsAdoPaintingDataServiceProxy } from '@shared/service-proxies/service-proxies';
import { finalize } from 'rxjs/internal/operators/finalize';
import { CreateOrEditPaintingDataModalComponent } from './create-or-edit-paintingdata-modal.component';
import { DatePipe } from '@angular/common';
import { FileDownloadService } from '@shared/utils/file-download.service';
import ceil from 'lodash-es/ceil';
import { Paginator } from 'primeng/paginator';
@Component({
    templateUrl: './paintingdata.component.html',
    styleUrls: ['./paintingdata.component.less'],
})
export class PaintingDataComponent extends AppComponentBase implements OnInit {
    @ViewChild('createOrEditModalPaintingData', { static: true }) createOrEditModalPaintingData:| CreateOrEditPaintingDataModalComponent|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PtsAdoPaintingDataDto = new PtsAdoPaintingDataDto();
    saveSelectedRow: PtsAdoPaintingDataDto = new PtsAdoPaintingDataDto();
    datas: PtsAdoPaintingDataDto = new PtsAdoPaintingDataDto();
    isLoading: boolean = false;
    dataParams: GridParams | undefined;
    rowData: any[] = [];
    gridApi!: GridApi;
    rowSelection = 'multiple';
    filter: string = '';
	pipe = new DatePipe('en-US');
	frameworkComponents: FrameworkComponent;
    lifetimeNo
	model : string = '' ; 
	cfc : string = '' ; 
	grade : string = '' ; 
	lotNo : string = '' ; 
	noInLot : number = 0 ;
	bodyNo : string = '' ; 
	color : string = '' ; 
	prodLine : string = '' ; 
	processGroup : number = 0 ;
	subGroup : number = 0 ;
	processSeq : number = 0 ;
	filler : number = 0 ;
	workingDate : any ;
	shift : string = '' ; 
	noInDate : number = 0 ;
	processName : string = '' ; 
	infoProcess : string = '' ; 
	infoProcessNo : number = 0 ;
	isProject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PtsAdoPaintingDataServiceProxy,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this.l('Lifetime No'),headerTooltip: this.l('Lifetime No'),field: 'lifetimeNo',flex: 1},
			{headerName: this.l('Model'),headerTooltip: this.l('Model'),field: 'model',flex: 1},
			{headerName: this.l('Cfc'),headerTooltip: this.l('Cfc'),field: 'cfc',flex: 1},
			{headerName: this.l('Grade'),headerTooltip: this.l('Grade'),field: 'grade',flex: 1},
			{headerName: this.l('Lot No'),headerTooltip: this.l('Lot No'),field: 'lotNo',flex: 1},
			{headerName: this.l('No In Lot'),headerTooltip: this.l('No In Lot'),field: 'noInLot',flex: 1},
			{headerName: this.l('Body No'),headerTooltip: this.l('Body No'),field: 'bodyNo',flex: 1},
			{headerName: this.l('Color'),headerTooltip: this.l('Color'),field: 'color',flex: 1},
			{headerName: this.l('Prod Line'),headerTooltip: this.l('Prod Line'),field: 'prodLine',flex: 1},
			{headerName: this.l('Process Group'),headerTooltip: this.l('Process Group'),field: 'processGroup',flex: 1},
			{headerName: this.l('Sub Group'),headerTooltip: this.l('Sub Group'),field: 'subGroup',flex: 1},
			{headerName: this.l('Process Seq'),headerTooltip: this.l('Process Seq'),field: 'processSeq',flex: 1},
			{headerName: this.l('Filler'),headerTooltip: this.l('Filler'),field: 'filler',flex: 1},
			{headerName: this.l('Working Date'),headerTooltip: this.l('Working Date'),field: 'workingDate',valueGetter: (params) =&gt; this.pipe.transform(params.data?.workingDate, 'dd/MM/yyyy'),flex: 1},
			{headerName: this.l('Shift'),headerTooltip: this.l('Shift'),field: 'shift',flex: 1},
			{headerName: this.l('No In Date'),headerTooltip: this.l('No In Date'),field: 'noInDate',flex: 1},
			{headerName: this.l('Process Name'),headerTooltip: this.l('Process Name'),field: 'processName',flex: 1},
			{headerName: this.l('Info Process'),headerTooltip: this.l('Info Process'),field: 'infoProcess',flex: 1},
			{headerName: this.l('Info Process No'),headerTooltip: this.l('Info Process No'),field: 'infoProcessNo',flex: 1},
			{headerName: this.l('Is Project'),headerTooltip: this.l('Is Project'),field:  'isProject', cellClass: ['text-center'], width: 120, cellRenderer: 'agCellButtonComponent',
buttonDefTwo: { text: params =&gt; (params.data?.'isProject' == 'Y') ? 'Active' : 'Inactive',iconName: 'fa fa-circle',className: params =&gt; (params.data?.'isProject' == 'Y') ? 'btnActive' : 'btnInActive',},}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this.lifetimeNo,
			this.model,
			this.cfc,
			this.grade,
			this.lotNo,
			this.noInLot,
			this.bodyNo,
			this.color,
			this.prodLine,
			this.processGroup,
			this.subGroup,
			this.processSeq,
			this.filler,
			this.workingDate,
			this.shift,
			this.noInDate,
			this.processName,
			this.infoProcess,
			this.infoProcessNo,
			this.isProject,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this.lifetimeNo = '',
		this.model = '',
		this.cfc = '',
		this.grade = '',
		this.lotNo = '',
		this.noInLot = 0,
		this.bodyNo = '',
		this.color = '',
		this.prodLine = '',
		this.processGroup = 0,
		this.subGroup = 0,
		this.processSeq = 0,
		this.filler = 0,
		this.workingDate = '',
		this.shift = '',
		this.noInDate = 0,
		this.processName = '',
		this.infoProcess = '',
		this.infoProcessNo = 0,
		this.isProject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this.lifetimeNo,
			this.model,
			this.cfc,
			this.grade,
			this.lotNo,
			this.noInLot,
			this.bodyNo,
			this.color,
			this.prodLine,
			this.processGroup,
			this.subGroup,
			this.processSeq,
			this.filler,
			this.workingDate,
			this.shift,
			this.noInDate,
			this.processName,
			this.infoProcess,
			this.infoProcessNo,
			this.isProject,
			this.isActive,
			'',
            this.paginationParams.skipCount,
            this.paginationParams.pageSize
        );
    }
    onChangeRowSelection(params: { api: { getSelectedRows: () =&gt; PtsAdoPaintingDataDto[] } }) {
        this.saveSelectedRow = params.api.getSelectedRows()[0] ?? new PtsAdoPaintingDataDto();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PtsAdoPaintingDataDto):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this._service.getPaintingDataToExcel(
			this.lifetimeNo,
			this.model,
			this.cfc,
			this.grade,
			this.lotNo,
			this.noInLot,
			this.bodyNo,
			this.color,
			this.prodLine,
			this.processGroup,
			this.subGroup,
			this.processSeq,
			this.filler,
			this.workingDate,
			this.shift,
			this.noInDate,
			this.processName,
			this.infoProcess,
			this.infoProcessNo,
			this.isProject,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Painting Andon Data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[(ngModel)]='processName' name='processName'
									class='form-control' [placeholder]="l('Process Name')"
									type='text' (keyup.enter)='searchDatas()'&gt;
								&lt;/div&gt;
								&lt;div class='input-search'&gt;
									&lt;input [(ngModel)]='infoProcess' name='infoProcess'
									class='form-control' [placeholder]="l('Info Process')"
									type='text' (keyup.enter)='searchDatas()'&gt;
								&lt;/div&gt;
								&lt;div class='input-search'&gt;
									&lt;input [(ngModel)]='isProject' name='isProject'
									class='form-control' [placeholder]="l('Is Project')"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(click)="createOrEditModalPaintingData.show()"&gt;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(click)="createOrEditModalPaintingData.show(selectedRow)"&gt;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&lt;create-or-edit-paintingdata-modal
    #createOrEditModalPaintingData
    (modalSave)="callBackDataGrid(dataParams)"
    (modalClose)="onChangeRowSelection(dataParams)"
&gt;
&lt;/create-or-edit-paintingdata-modal&gt;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#createOrEditModalPaintingData="bs-modal"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PaintingData')}}&lt;/h3&gt;
                    &lt;h3 *ngIf="!rowdata.id"&gt;{{('Create New PaintingData')}}&lt;/h3&gt;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title'&gt;No In Lot&lt;/label&gt;
						&lt;input type='number' class='col-md-10 form-control input-text' name='NoInLot' [(ngModel)]='rowdata.noInLot'&gt;
					&lt;/div&gt;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title'&gt;Process Group&lt;/label&gt;
						&lt;input type='number' class='col-md-10 form-control input-text' name='ProcessGroup' [(ngModel)]='rowdata.processGroup'&gt;
					&lt;/div&gt;
					&lt;div class='col-md-12 form-group row'&gt;
						&lt;label class='col-md-2 form-control title'&gt;Sub Group&lt;/label&gt;
						&lt;input type='number' class='col-md-10 form-control input-text' name='SubGroup' [(ngModel)]='rowdata.subGroup'&gt;
					&lt;/div&gt;
					&lt;div class='col-md-12 form-group row'&gt;
						&lt;label class='col-md-2 form-control title'&gt;Process Seq&lt;/label&gt;
						&lt;input type='number' class='col-md-10 form-control input-text' name='ProcessSeq' [(ngModel)]='rowdata.processSeq'&gt;
					&lt;/div&gt;
					&lt;div class='col-md-12 form-group row'&gt;
						&lt;label class='col-md-2 form-control title'&gt;Filler&lt;/label&gt;
						&lt;input type='number' class='col-md-10 form-control input-text' name='Filler' [(ngModel)]='rowdata.filler'&gt;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title'&gt;No In Date&lt;/label&gt;
						&lt;input type='number' class='col-md-10 form-control input-text' name='NoInDate' [(ngModel)]='rowdata.noInDate'&gt;
					&lt;/div&gt;
					&lt;div class='col-md-12 form-group row'&gt;
						&lt;label class='col-md-2 form-control title'&gt;Process Name&lt;/label&gt;
						&lt;input type='text' class='col-md-10 form-control input-text' name='ProcessName' [(ngModel)]='rowdata.processName'&gt;
					&lt;/div&gt;
					&lt;div class='col-md-12 form-group row'&gt;
						&lt;label class='col-md-2 form-control title'&gt;Info Process&lt;/label&gt;
						&lt;input type='text' class='col-md-10 form-control input-text' name='InfoProcess' [(ngModel)]='rowdata.infoProcess'&gt;
					&lt;/div&gt;
					&lt;div class='col-md-12 form-group row'&gt;
						&lt;label class='col-md-2 form-control title'&gt;Info Process No&lt;/label&gt;
						&lt;input type='number' class='col-md-10 form-control input-text' name='InfoProcessNo' [(ngModel)]='rowdata.infoProcessNo'&gt;
					&lt;/div&gt;
					&lt;div class='col-md-12 form-group row'&gt;
						&lt;label class='col-md-2 form-control title'&gt;Is Project&lt;/label&gt;
						&lt;new-checkbox [(ngModel)]='_isProject' name='isProject' className='col-md-10' &gt; &lt;/new-checkbox&gt;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CreateOrEditPtsAdoPaintingDataDto, PtsAdoPaintingDataServiceProxy } from '@shared/service-proxies/service-proxies';
import { BsDatepickerDirective } from 'ngx-bootstrap/datepicker';
@Component({
    selector: 'create-or-edit-paintingdata-modal',
    templateUrl: './create-or-edit-paintingdata-modal.component.html',
    styleUrls: ['./create-or-edit-paintingdata-modal.component.less']
    })
export class CreateOrEditPaintingDataModalComponent extends AppComponentBase {
    @ViewChild('createOrEditModalPaintingData',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CreateOrEditPtsAdoPaintingDataDto = new CreateOrEditPtsAdoPaintingDataDto();
    active: boolean = false;
    saving: boolean = false;
    _isProject
isActive: boolean;
    constructor(
        injector: Injector,
        private _mstwptPaintingDataService: PtsAdoPaintingDataServiceProxy,
    ) 
    {
        super(injector);
    }
    show(rowdata?: CreateOrEditPtsAdoPaintingDataDto): void {
        if (!rowdata) this.rowdata = new CreateOrEditPtsAdoPaintingDataDto();
        else this.rowdata = rowdata;
		const dateValue =  this.rowdata.workingDate ? new Date(this.rowdata.workingDate?.toString()) : new Date();
		this.datepicker?.bsValueChange.emit(dateValue);
        this._isProject
isActive = (this.rowdata.isProject
isActive == "N")? false: true;
        this.active = true;
        this.modal.show();
    } 
    changeActive(event){
        this._isProject
isActive = event.target.checked;
    }
    save(): void {
    this.saving = true; 
    this.rowdata.isProject
isActive = (this._isProject
isActive == true) ? 'Y' : 'N'
    this._mstwptPaintingDataService.createOrEdit(this.rowdata)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PaintingDataRoutingModule } from './paintingdata-routing.module';
import { PaintingDataComponent } from './paintingdata.component';
import { CreateOrEditPaintingDataModalComponent } from './create-or-edit-paintingdata-modal.component';
@NgModule({
    declarations: [
       PaintingDataComponent, 
        CreateOrEditPaintingDataModalComponent
    ],
    imports: [
        AppSharedModule, PaintingDataRoutingModule]
})
export class PaintingDataModule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PaintingDataComponent } from './paintingdata.component';
const routes: Routes = [{
    path: '',
    component: PaintingDataComponent,
    pathMatch: 'full'
}];
@NgModule({
    imports: [RouterModule.forChild(routes)],
    exports: [RouterModule],
})
export class PaintingDataRoutingModule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AppMenuItem("PaintingData", "Pages.Painting.Andon.PaintingData", "flaticon-book",   "/app/main/painting/andon/paintingdata"),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'painting/andon/paintingdata',
    loadChildren: () =&gt; import('./painting/andon/paintingdata/paintingdata.module').then(m =&gt; m.PaintingDataModule),
    data: { permission: 'Pages.Painting.Andon.PaintingData' }
},</v>
      </c>
      <c r="R10" s="50" t="str">
        <f>SUBSTITUTE(R9,"MstWptCalendar",$B$6)</f>
        <v>ApiServiceProxies.PtsAdoPaintingDataServiceProxy,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H35</v>
      </c>
      <c r="I12" s="31" t="str">
        <f>"I"&amp;COUNTA($A:$A)</f>
        <v>I35</v>
      </c>
      <c r="J12" s="31"/>
      <c r="K12" s="31" t="str">
        <f>"K"&amp;COUNTA($A:$A)</f>
        <v>K35</v>
      </c>
      <c r="L12" s="31" t="str">
        <f>"L"&amp;COUNTA($A:$A)</f>
        <v>L35</v>
      </c>
      <c r="M12" s="31"/>
      <c r="N12" s="31"/>
      <c r="O12" s="31"/>
      <c r="P12" s="31"/>
      <c r="Q12" s="31"/>
      <c r="R12" s="31"/>
      <c r="S12" s="31" t="str">
        <f>"S"&amp;COUNTA($A:$A)</f>
        <v>S35</v>
      </c>
      <c r="T12" s="31" t="str">
        <f>"T"&amp;COUNTA($A:$A)</f>
        <v>T35</v>
      </c>
      <c r="U12" s="31" t="str">
        <f>"U"&amp;COUNTA($A:$A)</f>
        <v>U35</v>
      </c>
      <c r="V12" s="31" t="str">
        <f>"V"&amp;COUNTA($A:$A)</f>
        <v>V35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this.l('Lifetime No'),headerTooltip: this.l('Lifetime No'),field: 'lifetimeNo',flex: 1},
			{headerName: this.l('Model'),headerTooltip: this.l('Model'),field: 'model',flex: 1},
			{headerName: this.l('Cfc'),headerTooltip: this.l('Cfc'),field: 'cfc',flex: 1},
			{headerName: this.l('Grade'),headerTooltip: this.l('Grade'),field: 'grade',flex: 1},
			{headerName: this.l('Lot No'),headerTooltip: this.l('Lot No'),field: 'lotNo',flex: 1},
			{headerName: this.l('No In Lot'),headerTooltip: this.l('No In Lot'),field: 'noInLot',flex: 1},
			{headerName: this.l('Body No'),headerTooltip: this.l('Body No'),field: 'bodyNo',flex: 1},
			{headerName: this.l('Color'),headerTooltip: this.l('Color'),field: 'color',flex: 1},
			{headerName: this.l('Prod Line'),headerTooltip: this.l('Prod Line'),field: 'prodLine',flex: 1},
			{headerName: this.l('Process Group'),headerTooltip: this.l('Process Group'),field: 'processGroup',flex: 1},
			{headerName: this.l('Sub Group'),headerTooltip: this.l('Sub Group'),field: 'subGroup',flex: 1},
			{headerName: this.l('Process Seq'),headerTooltip: this.l('Process Seq'),field: 'processSeq',flex: 1},
			{headerName: this.l('Filler'),headerTooltip: this.l('Filler'),field: 'filler',flex: 1},
			{headerName: this.l('Working Date'),headerTooltip: this.l('Working Date'),field: 'workingDate',valueGetter: (params) =&gt; this.pipe.transform(params.data?.workingDate, 'dd/MM/yyyy'),flex: 1},
			{headerName: this.l('Shift'),headerTooltip: this.l('Shift'),field: 'shift',flex: 1},
			{headerName: this.l('No In Date'),headerTooltip: this.l('No In Date'),field: 'noInDate',flex: 1},
			{headerName: this.l('Process Name'),headerTooltip: this.l('Process Name'),field: 'processName',flex: 1},
			{headerName: this.l('Info Process'),headerTooltip: this.l('Info Process'),field: 'infoProcess',flex: 1},
			{headerName: this.l('Info Process No'),headerTooltip: this.l('Info Process No'),field: 'infoProcessNo',flex: 1},
			{headerName: this.l('Is Project'),headerTooltip: this.l('Is Project'),field:  'isProject', cellClass: ['text-center'], width: 120, cellRenderer: 'agCellButtonComponent',
buttonDefTwo: { text: params =&gt; (params.data?.'isProject' == 'Y') ? 'Active' : 'Inactive',iconName: 'fa fa-circle',className: params =&gt; (params.data?.'isProject' == 'Y') ? 'btnActive' : 'btnInActive',},}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[(ngModel)]='processName' name='processName'
									class='form-control' [placeholder]="l('Process Name')"
									type='text' (keyup.enter)='searchDatas()'&gt;
								&lt;/div&gt;
								&lt;div class='input-search'&gt;
									&lt;input [(ngModel)]='infoProcess' name='infoProcess'
									class='form-control' [placeholder]="l('Info Process')"
									type='text' (keyup.enter)='searchDatas()'&gt;
								&lt;/div&gt;
								&lt;div class='input-search'&gt;
									&lt;input [(ngModel)]='isProject' name='isProject'
									class='form-control' [placeholder]="l('Is Project')"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title'&gt;No In Lot&lt;/label&gt;
						&lt;input type='number' class='col-md-10 form-control input-text' name='NoInLot' [(ngModel)]='rowdata.noInLot'&gt;
					&lt;/div&gt;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title'&gt;Process Group&lt;/label&gt;
						&lt;input type='number' class='col-md-10 form-control input-text' name='ProcessGroup' [(ngModel)]='rowdata.processGroup'&gt;
					&lt;/div&gt;
					&lt;div class='col-md-12 form-group row'&gt;
						&lt;label class='col-md-2 form-control title'&gt;Sub Group&lt;/label&gt;
						&lt;input type='number' class='col-md-10 form-control input-text' name='SubGroup' [(ngModel)]='rowdata.subGroup'&gt;
					&lt;/div&gt;
					&lt;div class='col-md-12 form-group row'&gt;
						&lt;label class='col-md-2 form-control title'&gt;Process Seq&lt;/label&gt;
						&lt;input type='number' class='col-md-10 form-control input-text' name='ProcessSeq' [(ngModel)]='rowdata.processSeq'&gt;
					&lt;/div&gt;
					&lt;div class='col-md-12 form-group row'&gt;
						&lt;label class='col-md-2 form-control title'&gt;Filler&lt;/label&gt;
						&lt;input type='number' class='col-md-10 form-control input-text' name='Filler' [(ngModel)]='rowdata.filler'&gt;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title'&gt;No In Date&lt;/label&gt;
						&lt;input type='number' class='col-md-10 form-control input-text' name='NoInDate' [(ngModel)]='rowdata.noInDate'&gt;
					&lt;/div&gt;
					&lt;div class='col-md-12 form-group row'&gt;
						&lt;label class='col-md-2 form-control title'&gt;Process Name&lt;/label&gt;
						&lt;input type='text' class='col-md-10 form-control input-text' name='ProcessName' [(ngModel)]='rowdata.processName'&gt;
					&lt;/div&gt;
					&lt;div class='col-md-12 form-group row'&gt;
						&lt;label class='col-md-2 form-control title'&gt;Info Process&lt;/label&gt;
						&lt;input type='text' class='col-md-10 form-control input-text' name='InfoProcess' [(ngModel)]='rowdata.infoProcess'&gt;
					&lt;/div&gt;
					&lt;div class='col-md-12 form-group row'&gt;
						&lt;label class='col-md-2 form-control title'&gt;Info Process No&lt;/label&gt;
						&lt;input type='number' class='col-md-10 form-control input-text' name='InfoProcessNo' [(ngModel)]='rowdata.infoProcessNo'&gt;
					&lt;/div&gt;
					&lt;div class='col-md-12 form-group row'&gt;
						&lt;label class='col-md-2 form-control title'&gt;Is Project&lt;/label&gt;
						&lt;new-checkbox [(ngModel)]='_isProject' name='isProject' className='col-md-10' &gt; &lt;/new-checkbox&gt;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 xml:space="preserve">		const dateValue =  this.rowdata.workingDate ? new Date(this.rowdata.workingDate?.toString())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lifetimeNo
	model : string = '' ; 
	cfc : string = '' ; 
	grade : string = '' ; 
	lotNo : string = '' ; 
	noInLot : number = 0 ;
	bodyNo : string = '' ; 
	color : string = '' ; 
	prodLine : string = '' ; 
	processGroup : number = 0 ;
	subGroup : number = 0 ;
	processSeq : number = 0 ;
	filler : number = 0 ;
	workingDate : any ;
	shift : string = '' ; 
	noInDate : number = 0 ;
	processName : string = '' ; 
	infoProcess : string = '' ; 
	infoProcessNo : number = 0 ;
	isProject : string = '' ; 
	isActive : string = '' ; </v>
      </c>
      <c r="T13" s="68" t="str">
        <f ca="1">TEXTJOIN2("
",TRUE,INDIRECT(T11):INDIRECT(T12))</f>
        <v xml:space="preserve">			this.lifetimeNo,
			this.model,
			this.cfc,
			this.grade,
			this.lotNo,
			this.noInLot,
			this.bodyNo,
			this.color,
			this.prodLine,
			this.processGroup,
			this.subGroup,
			this.processSeq,
			this.filler,
			this.workingDate,
			this.shift,
			this.noInDate,
			this.processName,
			this.infoProcess,
			this.infoProcessNo,
			this.isProject,
			this.isActive,</v>
      </c>
      <c r="U13" s="68" t="str">
        <f ca="1">TEXTJOIN2("
",TRUE,INDIRECT(U11):INDIRECT(U12))</f>
        <v>this.lifetimeNo = '',
		this.model = '',
		this.cfc = '',
		this.grade = '',
		this.lotNo = '',
		this.noInLot = 0,
		this.bodyNo = '',
		this.color = '',
		this.prodLine = '',
		this.processGroup = 0,
		this.subGroup = 0,
		this.processSeq = 0,
		this.filler = 0,
		this.workingDate = '',
		this.shift = '',
		this.noInDate = 0,
		this.processName = '',
		this.infoProcess = '',
		this.infoProcessNo = 0,
		this.isProject = '',
		this.isActive = '',</v>
      </c>
      <c r="V13" s="31" t="str">
        <f ca="1">TEXTJOIN2("
",TRUE,INDIRECT(V11):INDIRECT(V12))</f>
        <v>isProject
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paintingdata.component.ts</v>
      </c>
      <c r="I14" s="40" t="str">
        <f>B8&amp;".component.html"</f>
        <v>paintingdata.component.html</v>
      </c>
      <c r="J14" s="39" t="str">
        <f>B8&amp;".component.less"</f>
        <v>paintingdata.component.less</v>
      </c>
      <c r="K14" s="40" t="str">
        <f>"create-or-edit-"&amp;B8&amp;"-modal.component.html"</f>
        <v>create-or-edit-paintingdata-modal.component.html</v>
      </c>
      <c r="L14" s="40" t="str">
        <f>"create-or-edit-"&amp;B8&amp;"-modal.component.ts"</f>
        <v>create-or-edit-paintingdata-modal.component.ts</v>
      </c>
      <c r="M14" s="40" t="str">
        <f>"create-or-edit-"&amp;B8&amp;"-modal.component.less"</f>
        <v>create-or-edit-paintingdata-modal.component.less</v>
      </c>
      <c r="N14" s="40" t="str">
        <f>B8&amp;".module.ts"</f>
        <v>paintingdata.module.ts</v>
      </c>
      <c r="O14" s="40" t="str">
        <f>B8&amp;"-routing.module.ts"</f>
        <v>paintingdata-routing.module.ts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31" t="s">
        <v>331</v>
      </c>
      <c r="B15" s="31" t="str">
        <f>SUBSTITUTE(PROPER(A15),"_","")</f>
        <v>LifetimeNo</v>
      </c>
      <c r="C15" s="31" t="str">
        <f>SUBSTITUTE(PROPER(A15),"_"," ")</f>
        <v>Lifetime No</v>
      </c>
      <c r="D15" s="31" t="str">
        <f>LOWER(LEFT(B15,1))&amp;RIGHT(B15,LEN(B15) - 1)</f>
        <v>lifetimeNo</v>
      </c>
      <c r="E15" s="31" t="str">
        <f>A.Backend!H9</f>
        <v>long</v>
      </c>
      <c r="F15" s="31" t="str">
        <f>A.Backend!G9</f>
        <v/>
      </c>
      <c r="G15" s="31" t="str">
        <f>IF(E15="string"," : string = '' ; ",IF(OR(E15="DateTime",E15="TimeSpan")," : any ;",IF(E15="int"," : number = 0 ;","")))</f>
        <v/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this.l('Lifetime No'),headerTooltip: this.l('Lifetime No'),field: 'lifetimeNo',flex: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/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>lifetimeNo</v>
      </c>
      <c r="T15" s="31" t="str">
        <f>REPT(CHAR(9),3)&amp;"this."&amp;D15&amp;","</f>
        <v xml:space="preserve">			this.lifetimeNo,</v>
      </c>
      <c r="U15" s="31" t="str">
        <f>IF(E15="int","this."&amp;D15&amp;" = 0,","this."&amp;D15&amp;" = '',")</f>
        <v>this.lifetimeNo = '',</v>
      </c>
      <c r="V15" s="31" t="str">
        <f>IF(AND(E15="string",F15="1"),D15,"")</f>
        <v/>
      </c>
    </row>
    <row r="16" spans="1:22" ht="15" customHeight="1" x14ac:dyDescent="0.25">
      <c r="A16" s="31" t="s">
        <v>332</v>
      </c>
      <c r="B16" s="31" t="str">
        <f t="shared" ref="B16:B18" si="0">SUBSTITUTE(PROPER(A16),"_","")</f>
        <v>Model</v>
      </c>
      <c r="C16" s="31" t="str">
        <f t="shared" ref="C16:C18" si="1">SUBSTITUTE(PROPER(A16),"_"," ")</f>
        <v>Model</v>
      </c>
      <c r="D16" s="31" t="str">
        <f t="shared" ref="D16:D18" si="2">LOWER(LEFT(B16,1))&amp;RIGHT(B16,LEN(B16) - 1)</f>
        <v>model</v>
      </c>
      <c r="E16" s="31" t="str">
        <f>A.Backend!H10</f>
        <v>string</v>
      </c>
      <c r="F16" s="31" t="str">
        <f>A.Backend!G10</f>
        <v>10</v>
      </c>
      <c r="G16" s="31" t="str">
        <f t="shared" ref="G16:G18" si="3">IF(E16="string"," : string = '' ; ",IF(OR(E16="DateTime",E16="TimeSpan")," : any ;",IF(E16="int"," : number = 0 ;","")))</f>
        <v xml:space="preserve"> : string = '' ; </v>
      </c>
      <c r="H16" s="38" t="str">
        <f t="shared" ref="H16:H18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this.l('Model'),headerTooltip: this.l('Model'),field: 'model',flex: 1},</v>
      </c>
      <c r="I16" s="38" t="str">
        <f t="shared" ref="I16:I18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[(ngModel)]='model' name='model'
									class='form-control' [placeholder]="l('Model')"
									type='text' (keyup.enter)='searchDatas()'&gt;
								&lt;/div&gt;</v>
      </c>
      <c r="J16" s="31"/>
      <c r="K16" s="38" t="str">
        <f t="shared" ref="K16:K18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title'&gt;Model&lt;/label&gt;
						&lt;input type='text' class='col-md-10 form-control input-text' name='Model' [(ngModel)]='rowdata.model'&gt;
					&lt;/div&gt;</v>
      </c>
      <c r="L16" s="60" t="str">
        <f t="shared" ref="L16:L18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model : string = '' ; </v>
      </c>
      <c r="T16" s="31" t="str">
        <f>REPT(CHAR(9),3)&amp;"this."&amp;D16&amp;","</f>
        <v xml:space="preserve">			this.model,</v>
      </c>
      <c r="U16" s="31" t="str">
        <f>IF(E16="int",REPT(CHAR(9),2)&amp;"this."&amp;D16&amp;" = 0,",REPT(CHAR(9),2)&amp;"this."&amp;D16&amp;" = '',")</f>
        <v xml:space="preserve">		this.model = '',</v>
      </c>
      <c r="V16" s="31" t="str">
        <f t="shared" ref="V16:V18" si="8">IF(AND(E16="string",F16="1"),D16,"")</f>
        <v/>
      </c>
    </row>
    <row r="17" spans="1:22" ht="18" customHeight="1" x14ac:dyDescent="0.25">
      <c r="A17" s="31" t="s">
        <v>334</v>
      </c>
      <c r="B17" s="31" t="str">
        <f t="shared" si="0"/>
        <v>Cfc</v>
      </c>
      <c r="C17" s="31" t="str">
        <f t="shared" si="1"/>
        <v>Cfc</v>
      </c>
      <c r="D17" s="31" t="str">
        <f t="shared" si="2"/>
        <v>cfc</v>
      </c>
      <c r="E17" s="31" t="str">
        <f>A.Backend!H11</f>
        <v>string</v>
      </c>
      <c r="F17" s="31" t="str">
        <f>A.Backend!G11</f>
        <v>10</v>
      </c>
      <c r="G17" s="31" t="str">
        <f t="shared" si="3"/>
        <v xml:space="preserve"> : string = '' ; </v>
      </c>
      <c r="H17" s="38" t="str">
        <f t="shared" si="4"/>
        <v xml:space="preserve">			{headerName: this.l('Cfc'),headerTooltip: this.l('Cfc'),field: 'cfc',flex: 1},</v>
      </c>
      <c r="I17" s="38" t="str">
        <f t="shared" si="5"/>
        <v xml:space="preserve">								&lt;div class='input-search'&gt;
									&lt;input [(ngModel)]='cfc' name='cfc'
									class='form-control' [placeholder]="l('Cfc')"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title'&gt;Cfc&lt;/label&gt;
						&lt;input type='text' class='col-md-10 form-control input-text' name='Cfc' [(ngModel)]='rowdata.cfc'&gt;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18" si="9">REPT(CHAR(9),1)&amp;D17&amp;G17</f>
        <v xml:space="preserve">	cfc : string = '' ; </v>
      </c>
      <c r="T17" s="31" t="str">
        <f t="shared" ref="T17:T18" si="10">REPT(CHAR(9),3)&amp;"this."&amp;D17&amp;","</f>
        <v xml:space="preserve">			this.cfc,</v>
      </c>
      <c r="U17" s="31" t="str">
        <f t="shared" ref="U17:U18" si="11">IF(E17="int",REPT(CHAR(9),2)&amp;"this."&amp;D17&amp;" = 0,",REPT(CHAR(9),2)&amp;"this."&amp;D17&amp;" = '',")</f>
        <v xml:space="preserve">		this.cfc = '',</v>
      </c>
      <c r="V17" s="31" t="str">
        <f t="shared" si="8"/>
        <v/>
      </c>
    </row>
    <row r="18" spans="1:22" ht="18" customHeight="1" x14ac:dyDescent="0.25">
      <c r="A18" s="31" t="s">
        <v>335</v>
      </c>
      <c r="B18" s="31" t="str">
        <f t="shared" si="0"/>
        <v>Grade</v>
      </c>
      <c r="C18" s="31" t="str">
        <f t="shared" si="1"/>
        <v>Grade</v>
      </c>
      <c r="D18" s="31" t="str">
        <f t="shared" si="2"/>
        <v>grade</v>
      </c>
      <c r="E18" s="31" t="str">
        <f>A.Backend!H12</f>
        <v>string</v>
      </c>
      <c r="F18" s="31" t="str">
        <f>A.Backend!G12</f>
        <v>10</v>
      </c>
      <c r="G18" s="31" t="str">
        <f t="shared" si="3"/>
        <v xml:space="preserve"> : string = '' ; </v>
      </c>
      <c r="H18" s="38" t="str">
        <f t="shared" si="4"/>
        <v xml:space="preserve">			{headerName: this.l('Grade'),headerTooltip: this.l('Grade'),field: 'grade',flex: 1},</v>
      </c>
      <c r="I18" s="38" t="str">
        <f t="shared" si="5"/>
        <v xml:space="preserve">								&lt;div class='input-search'&gt;
									&lt;input [(ngModel)]='grade' name='grade'
									class='form-control' [placeholder]="l('Grade')"
									type='text' (keyup.enter)='searchDatas()'&gt;
								&lt;/div&gt;</v>
      </c>
      <c r="J18" s="31"/>
      <c r="K18" s="38" t="str">
        <f t="shared" si="6"/>
        <v xml:space="preserve">					&lt;div class='col-md-12 form-group row'&gt;
						&lt;label class='col-md-2 form-control title'&gt;Grade&lt;/label&gt;
						&lt;input type='text' class='col-md-10 form-control input-text' name='Grade' [(ngModel)]='rowdata.grade'&gt;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9"/>
        <v xml:space="preserve">	grade : string = '' ; </v>
      </c>
      <c r="T18" s="31" t="str">
        <f t="shared" si="10"/>
        <v xml:space="preserve">			this.grade,</v>
      </c>
      <c r="U18" s="31" t="str">
        <f t="shared" si="11"/>
        <v xml:space="preserve">		this.grade = '',</v>
      </c>
      <c r="V18" s="31" t="str">
        <f t="shared" si="8"/>
        <v/>
      </c>
    </row>
    <row r="19" spans="1:22" ht="18" customHeight="1" x14ac:dyDescent="0.25">
      <c r="A19" s="31" t="s">
        <v>336</v>
      </c>
      <c r="B19" s="31" t="str">
        <f t="shared" ref="B19:B21" si="12">SUBSTITUTE(PROPER(A19),"_","")</f>
        <v>LotNo</v>
      </c>
      <c r="C19" s="31" t="str">
        <f t="shared" ref="C19:C21" si="13">SUBSTITUTE(PROPER(A19),"_"," ")</f>
        <v>Lot No</v>
      </c>
      <c r="D19" s="31" t="str">
        <f t="shared" ref="D19:D21" si="14">LOWER(LEFT(B19,1))&amp;RIGHT(B19,LEN(B19) - 1)</f>
        <v>lotNo</v>
      </c>
      <c r="E19" s="31" t="str">
        <f>A.Backend!H13</f>
        <v>string</v>
      </c>
      <c r="F19" s="31" t="str">
        <f>A.Backend!G13</f>
        <v>10</v>
      </c>
      <c r="G19" s="31" t="str">
        <f t="shared" ref="G19:G21" si="15">IF(E19="string"," : string = '' ; ",IF(OR(E19="DateTime",E19="TimeSpan")," : any ;",IF(E19="int"," : number = 0 ;","")))</f>
        <v xml:space="preserve"> : string = '' ; </v>
      </c>
      <c r="H19" s="38" t="str">
        <f t="shared" ref="H19:H21" si="16">IF(E19="DateTime",
REPT(CHAR(9),3)&amp;"{headerName: this.l('"&amp;C19&amp;"'),headerTooltip: this.l('"&amp;C19&amp;"'),field: '"&amp;D19&amp;"',valueGetter: (params) =&gt; this.pipe.transform(params.data?."&amp;D19&amp;", 'dd/MM/yyyy'),flex: 1},",
IF(AND(E19="string",F19="1"),
REPT(CHAR(9),3)&amp;"{headerName: this.l('"&amp;C19&amp;"'),headerTooltip: this.l('"&amp;C19&amp;"'),field:  '"&amp;D19&amp;"', cellClass: ['text-center'], width: 120, cellRenderer: 'agCellButtonComponent',
buttonDefTwo: { text: params =&gt; (params.data?.'"&amp;D19&amp;"' == 'Y') ? 'Active' : 'Inactive',iconName: 'fa fa-circle',className: params =&gt; (params.data?.'"&amp;D19&amp;"' == 'Y') ? 'btnActive' : 'btnInActive',},}",
REPT(CHAR(9),3)&amp;"{headerName: this.l('"&amp;C19&amp;"'),headerTooltip: this.l('"&amp;C19&amp;"'),field: '"&amp;D19&amp;"',flex: 1},"))</f>
        <v xml:space="preserve">			{headerName: this.l('Lot No'),headerTooltip: this.l('Lot No'),field: 'lotNo',flex: 1},</v>
      </c>
      <c r="I19" s="38" t="str">
        <f t="shared" ref="I19:I21" si="17"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IF(E19="string",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 xml:space="preserve">								&lt;div class='input-search'&gt;
									&lt;input [(ngModel)]='lotNo' name='lotNo'
									class='form-control' [placeholder]="l('Lot No')"
									type='text' (keyup.enter)='searchDatas()'&gt;
								&lt;/div&gt;</v>
      </c>
      <c r="J19" s="31"/>
      <c r="K19" s="38" t="str">
        <f t="shared" ref="K19:K21" si="18">IF(OR(E19="DateTime",E19="TimeSpan"),
REPT(CHAR(9),5)&amp;"&lt;div class='col-md-12 form-group row'&gt;
"&amp;REPT(CHAR(9),6)&amp;"&lt;label class='col-md-2 form-control title'&gt;"&amp;C19&amp;"&lt;/label&gt;
"&amp;REPT(CHAR(9),6)&amp;"&lt;input type='text' class='col-md-10 form-control input-text' name='"&amp;D19&amp;"' 
"&amp;REPT(CHAR(9),6)&amp;"#datepicker='bsDatepicker' [(ngModel)]='rowdata."&amp;D19&amp;"'  bsDatepicker &gt;
"&amp;REPT(CHAR(9),5)&amp;"&lt;/div&gt;",
IF(AND(E19="string",F19="1"),
REPT(CHAR(9),5)&amp;"&lt;div class='col-md-12 form-group row'&gt;
"&amp;REPT(CHAR(9),6)&amp;"&lt;label class='col-md-2 form-control title'&gt;"&amp;C19&amp;"&lt;/label&gt;
"&amp;REPT(CHAR(9),6)&amp;"&lt;new-checkbox [(ngModel)]='_"&amp;D19&amp;"' name='"&amp;D19&amp;"' className='col-md-10' &gt; &lt;/new-checkbox&gt;
"&amp;REPT(CHAR(9),5)&amp;"&lt;/div&gt;",
IF(E19="string",
REPT(CHAR(9),5)&amp;"&lt;div class='col-md-12 form-group row'&gt;
"&amp;REPT(CHAR(9),6)&amp;"&lt;label class='col-md-2 form-control title'&gt;"&amp;C19&amp;"&lt;/label&gt;
"&amp;REPT(CHAR(9),6)&amp;"&lt;input type='text' class='col-md-10 form-control input-text' name='"&amp;B19&amp;"' [(ngModel)]='rowdata."&amp;D19&amp;"'&gt;
"&amp;REPT(CHAR(9),5)&amp;"&lt;/div&gt;",
IF(E19="int",
REPT(CHAR(9),5)&amp;"&lt;div class='col-md-12 form-group row'&gt;
"&amp;REPT(CHAR(9),6)&amp;"&lt;label class='col-md-2 form-control title'&gt;"&amp;C19&amp;"&lt;/label&gt;
"&amp;REPT(CHAR(9),6)&amp;"&lt;input type='number' class='col-md-10 form-control input-text' name='"&amp;B19&amp;"' [(ngModel)]='rowdata."&amp;D19&amp;"'&gt;
"&amp;REPT(CHAR(9),5)&amp;"&lt;/div&gt;",""))))</f>
        <v xml:space="preserve">					&lt;div class='col-md-12 form-group row'&gt;
						&lt;label class='col-md-2 form-control title'&gt;Lot No&lt;/label&gt;
						&lt;input type='text' class='col-md-10 form-control input-text' name='LotNo' [(ngModel)]='rowdata.lotNo'&gt;
					&lt;/div&gt;</v>
      </c>
      <c r="L19" s="60" t="str">
        <f t="shared" ref="L19:L21" si="19">IF(E19="DateTime",
REPT(CHAR(9),2)&amp;"const dateValue =  this.rowdata."&amp;D19&amp;" ? new Date(this.rowdata."&amp;D19&amp;"?.toString()) : new Date();
"&amp;REPT(CHAR(9),2)&amp;"this.datepicker?.bsValueChange.emit(dateValue);","")</f>
        <v/>
      </c>
      <c r="M19" s="31"/>
      <c r="N19" s="31"/>
      <c r="O19" s="31"/>
      <c r="P19" s="31"/>
      <c r="Q19" s="31"/>
      <c r="R19" s="31"/>
      <c r="S19" s="31" t="str">
        <f t="shared" ref="S19" si="20">REPT(CHAR(9),1)&amp;D19&amp;G19</f>
        <v xml:space="preserve">	lotNo : string = '' ; </v>
      </c>
      <c r="T19" s="31" t="str">
        <f t="shared" ref="T19" si="21">REPT(CHAR(9),3)&amp;"this."&amp;D19&amp;","</f>
        <v xml:space="preserve">			this.lotNo,</v>
      </c>
      <c r="U19" s="31" t="str">
        <f t="shared" ref="U19" si="22">IF(E19="int",REPT(CHAR(9),2)&amp;"this."&amp;D19&amp;" = 0,",REPT(CHAR(9),2)&amp;"this."&amp;D19&amp;" = '',")</f>
        <v xml:space="preserve">		this.lotNo = '',</v>
      </c>
      <c r="V19" s="31" t="str">
        <f t="shared" ref="V19:V21" si="23">IF(AND(E19="string",F19="1"),D19,"")</f>
        <v/>
      </c>
    </row>
    <row r="20" spans="1:22" ht="15" customHeight="1" x14ac:dyDescent="0.25">
      <c r="A20" t="s">
        <v>337</v>
      </c>
      <c r="B20" s="31" t="str">
        <f t="shared" si="12"/>
        <v>NoInLot</v>
      </c>
      <c r="C20" s="31" t="str">
        <f t="shared" si="13"/>
        <v>No In Lot</v>
      </c>
      <c r="D20" s="31" t="str">
        <f t="shared" si="14"/>
        <v>noInLot</v>
      </c>
      <c r="E20" s="31" t="str">
        <f>A.Backend!H14</f>
        <v>int</v>
      </c>
      <c r="F20" s="31" t="str">
        <f>A.Backend!G14</f>
        <v/>
      </c>
      <c r="G20" s="31" t="str">
        <f t="shared" si="15"/>
        <v xml:space="preserve"> : number = 0 ;</v>
      </c>
      <c r="H20" s="38" t="str">
        <f t="shared" si="16"/>
        <v xml:space="preserve">			{headerName: this.l('No In Lot'),headerTooltip: this.l('No In Lot'),field: 'noInLot',flex: 1},</v>
      </c>
      <c r="I20" s="38" t="str">
        <f t="shared" si="17"/>
        <v/>
      </c>
      <c r="J20" s="31"/>
      <c r="K20" s="38" t="str">
        <f t="shared" si="18"/>
        <v xml:space="preserve">					&lt;div class='col-md-12 form-group row'&gt;
						&lt;label class='col-md-2 form-control title'&gt;No In Lot&lt;/label&gt;
						&lt;input type='number' class='col-md-10 form-control input-text' name='NoInLot' [(ngModel)]='rowdata.noInLot'&gt;
					&lt;/div&gt;</v>
      </c>
      <c r="L20" s="60" t="str">
        <f t="shared" si="19"/>
        <v/>
      </c>
      <c r="M20" s="31"/>
      <c r="N20" s="31"/>
      <c r="O20" s="31"/>
      <c r="P20" s="31"/>
      <c r="Q20" s="31"/>
      <c r="R20" s="31"/>
      <c r="S20" s="31" t="str">
        <f>REPT(CHAR(9),1)&amp;D20&amp;G20</f>
        <v xml:space="preserve">	noInLot : number = 0 ;</v>
      </c>
      <c r="T20" s="31" t="str">
        <f>REPT(CHAR(9),3)&amp;"this."&amp;D20&amp;","</f>
        <v xml:space="preserve">			this.noInLot,</v>
      </c>
      <c r="U20" s="31" t="str">
        <f>IF(E20="int",REPT(CHAR(9),2)&amp;"this."&amp;D20&amp;" = 0,",REPT(CHAR(9),2)&amp;"this."&amp;D20&amp;" = '',")</f>
        <v xml:space="preserve">		this.noInLot = 0,</v>
      </c>
      <c r="V20" s="31" t="str">
        <f t="shared" si="23"/>
        <v/>
      </c>
    </row>
    <row r="21" spans="1:22" ht="18" customHeight="1" x14ac:dyDescent="0.25">
      <c r="A21" t="s">
        <v>338</v>
      </c>
      <c r="B21" s="31" t="str">
        <f t="shared" si="12"/>
        <v>BodyNo</v>
      </c>
      <c r="C21" s="31" t="str">
        <f t="shared" si="13"/>
        <v>Body No</v>
      </c>
      <c r="D21" s="31" t="str">
        <f t="shared" si="14"/>
        <v>bodyNo</v>
      </c>
      <c r="E21" s="31" t="str">
        <f>A.Backend!H15</f>
        <v>string</v>
      </c>
      <c r="F21" s="31" t="str">
        <f>A.Backend!G15</f>
        <v>10</v>
      </c>
      <c r="G21" s="31" t="str">
        <f t="shared" si="15"/>
        <v xml:space="preserve"> : string = '' ; </v>
      </c>
      <c r="H21" s="38" t="str">
        <f t="shared" si="16"/>
        <v xml:space="preserve">			{headerName: this.l('Body No'),headerTooltip: this.l('Body No'),field: 'bodyNo',flex: 1},</v>
      </c>
      <c r="I21" s="38" t="str">
        <f t="shared" si="17"/>
        <v xml:space="preserve">								&lt;div class='input-search'&gt;
									&lt;input [(ngModel)]='bodyNo' name='bodyNo'
									class='form-control' [placeholder]="l('Body No')"
									type='text' (keyup.enter)='searchDatas()'&gt;
								&lt;/div&gt;</v>
      </c>
      <c r="J21" s="31"/>
      <c r="K21" s="38" t="str">
        <f t="shared" si="18"/>
        <v xml:space="preserve">					&lt;div class='col-md-12 form-group row'&gt;
						&lt;label class='col-md-2 form-control title'&gt;Body No&lt;/label&gt;
						&lt;input type='text' class='col-md-10 form-control input-text' name='BodyNo' [(ngModel)]='rowdata.bodyNo'&gt;
					&lt;/div&gt;</v>
      </c>
      <c r="L21" s="60" t="str">
        <f t="shared" si="19"/>
        <v/>
      </c>
      <c r="M21" s="31"/>
      <c r="N21" s="31"/>
      <c r="O21" s="31"/>
      <c r="P21" s="31"/>
      <c r="Q21" s="31"/>
      <c r="R21" s="31"/>
      <c r="S21" s="31" t="str">
        <f t="shared" ref="S21" si="24">REPT(CHAR(9),1)&amp;D21&amp;G21</f>
        <v xml:space="preserve">	bodyNo : string = '' ; </v>
      </c>
      <c r="T21" s="31" t="str">
        <f t="shared" ref="T21" si="25">REPT(CHAR(9),3)&amp;"this."&amp;D21&amp;","</f>
        <v xml:space="preserve">			this.bodyNo,</v>
      </c>
      <c r="U21" s="31" t="str">
        <f t="shared" ref="U21" si="26">IF(E21="int",REPT(CHAR(9),2)&amp;"this."&amp;D21&amp;" = 0,",REPT(CHAR(9),2)&amp;"this."&amp;D21&amp;" = '',")</f>
        <v xml:space="preserve">		this.bodyNo = '',</v>
      </c>
      <c r="V21" s="31" t="str">
        <f t="shared" si="23"/>
        <v/>
      </c>
    </row>
    <row r="22" spans="1:22" ht="15" customHeight="1" x14ac:dyDescent="0.25">
      <c r="A22" s="31" t="s">
        <v>339</v>
      </c>
      <c r="B22" s="31" t="str">
        <f t="shared" ref="B22:B24" si="27">SUBSTITUTE(PROPER(A22),"_","")</f>
        <v>Color</v>
      </c>
      <c r="C22" s="31" t="str">
        <f t="shared" ref="C22:C24" si="28">SUBSTITUTE(PROPER(A22),"_"," ")</f>
        <v>Color</v>
      </c>
      <c r="D22" s="31" t="str">
        <f t="shared" ref="D22:D24" si="29">LOWER(LEFT(B22,1))&amp;RIGHT(B22,LEN(B22) - 1)</f>
        <v>color</v>
      </c>
      <c r="E22" s="31" t="str">
        <f>A.Backend!H16</f>
        <v>string</v>
      </c>
      <c r="F22" s="31" t="str">
        <f>A.Backend!G16</f>
        <v>10</v>
      </c>
      <c r="G22" s="31" t="str">
        <f t="shared" ref="G22:G24" si="30">IF(E22="string"," : string = '' ; ",IF(OR(E22="DateTime",E22="TimeSpan")," : any ;",IF(E22="int"," : number = 0 ;","")))</f>
        <v xml:space="preserve"> : string = '' ; </v>
      </c>
      <c r="H22" s="38" t="str">
        <f t="shared" ref="H22:H24" si="31">IF(E22="DateTime",
REPT(CHAR(9),3)&amp;"{headerName: this.l('"&amp;C22&amp;"'),headerTooltip: this.l('"&amp;C22&amp;"'),field: '"&amp;D22&amp;"',valueGetter: (params) =&gt; this.pipe.transform(params.data?."&amp;D22&amp;", 'dd/MM/yyyy'),flex: 1},",
IF(AND(E22="string",F22="1"),
REPT(CHAR(9),3)&amp;"{headerName: this.l('"&amp;C22&amp;"'),headerTooltip: this.l('"&amp;C22&amp;"'),field:  '"&amp;D22&amp;"', cellClass: ['text-center'], width: 120, cellRenderer: 'agCellButtonComponent',
buttonDefTwo: { text: params =&gt; (params.data?.'"&amp;D22&amp;"' == 'Y') ? 'Active' : 'Inactive',iconName: 'fa fa-circle',className: params =&gt; (params.data?.'"&amp;D22&amp;"' == 'Y') ? 'btnActive' : 'btnInActive',},}",
REPT(CHAR(9),3)&amp;"{headerName: this.l('"&amp;C22&amp;"'),headerTooltip: this.l('"&amp;C22&amp;"'),field: '"&amp;D22&amp;"',flex: 1},"))</f>
        <v xml:space="preserve">			{headerName: this.l('Color'),headerTooltip: this.l('Color'),field: 'color',flex: 1},</v>
      </c>
      <c r="I22" s="38" t="str">
        <f t="shared" ref="I22:I24" si="32"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IF(E22="string",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 xml:space="preserve">								&lt;div class='input-search'&gt;
									&lt;input [(ngModel)]='color' name='color'
									class='form-control' [placeholder]="l('Color')"
									type='text' (keyup.enter)='searchDatas()'&gt;
								&lt;/div&gt;</v>
      </c>
      <c r="J22" s="31"/>
      <c r="K22" s="38" t="str">
        <f t="shared" ref="K22:K24" si="33">IF(OR(E22="DateTime",E22="TimeSpan"),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"&amp;REPT(CHAR(9),6)&amp;"&lt;new-checkbox [(ngModel)]='_"&amp;D22&amp;"' name='"&amp;D22&amp;"' className='col-md-10' &gt; &lt;/new-checkbox&gt;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
IF(E22="int",
REPT(CHAR(9),5)&amp;"&lt;div class='col-md-12 form-group row'&gt;
"&amp;REPT(CHAR(9),6)&amp;"&lt;label class='col-md-2 form-control title'&gt;"&amp;C22&amp;"&lt;/label&gt;
"&amp;REPT(CHAR(9),6)&amp;"&lt;input type='number' class='col-md-10 form-control input-text' name='"&amp;B22&amp;"' [(ngModel)]='rowdata."&amp;D22&amp;"'&gt;
"&amp;REPT(CHAR(9),5)&amp;"&lt;/div&gt;",""))))</f>
        <v xml:space="preserve">					&lt;div class='col-md-12 form-group row'&gt;
						&lt;label class='col-md-2 form-control title'&gt;Color&lt;/label&gt;
						&lt;input type='text' class='col-md-10 form-control input-text' name='Color' [(ngModel)]='rowdata.color'&gt;
					&lt;/div&gt;</v>
      </c>
      <c r="L22" s="60" t="str">
        <f t="shared" ref="L22:L24" si="34"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31"/>
      <c r="N22" s="31"/>
      <c r="O22" s="31"/>
      <c r="P22" s="31"/>
      <c r="Q22" s="31"/>
      <c r="R22" s="31"/>
      <c r="S22" s="31" t="str">
        <f>REPT(CHAR(9),1)&amp;D22&amp;G22</f>
        <v xml:space="preserve">	color : string = '' ; </v>
      </c>
      <c r="T22" s="31" t="str">
        <f>REPT(CHAR(9),3)&amp;"this."&amp;D22&amp;","</f>
        <v xml:space="preserve">			this.color,</v>
      </c>
      <c r="U22" s="31" t="str">
        <f>IF(E22="int",REPT(CHAR(9),2)&amp;"this."&amp;D22&amp;" = 0,",REPT(CHAR(9),2)&amp;"this."&amp;D22&amp;" = '',")</f>
        <v xml:space="preserve">		this.color = '',</v>
      </c>
      <c r="V22" s="31" t="str">
        <f t="shared" ref="V22:V24" si="35">IF(AND(E22="string",F22="1"),D22,"")</f>
        <v/>
      </c>
    </row>
    <row r="23" spans="1:22" ht="18" customHeight="1" x14ac:dyDescent="0.25">
      <c r="A23" s="31" t="s">
        <v>321</v>
      </c>
      <c r="B23" s="31" t="str">
        <f t="shared" si="27"/>
        <v>ProdLine</v>
      </c>
      <c r="C23" s="31" t="str">
        <f t="shared" si="28"/>
        <v>Prod Line</v>
      </c>
      <c r="D23" s="31" t="str">
        <f t="shared" si="29"/>
        <v>prodLine</v>
      </c>
      <c r="E23" s="31" t="str">
        <f>A.Backend!H17</f>
        <v>string</v>
      </c>
      <c r="F23" s="31" t="str">
        <f>A.Backend!G17</f>
        <v>10</v>
      </c>
      <c r="G23" s="31" t="str">
        <f t="shared" si="30"/>
        <v xml:space="preserve"> : string = '' ; </v>
      </c>
      <c r="H23" s="38" t="str">
        <f t="shared" si="31"/>
        <v xml:space="preserve">			{headerName: this.l('Prod Line'),headerTooltip: this.l('Prod Line'),field: 'prodLine',flex: 1},</v>
      </c>
      <c r="I23" s="38" t="str">
        <f t="shared" si="32"/>
        <v xml:space="preserve">								&lt;div class='input-search'&gt;
									&lt;input [(ngModel)]='prodLine' name='prodLine'
									class='form-control' [placeholder]="l('Prod Line')"
									type='text' (keyup.enter)='searchDatas()'&gt;
								&lt;/div&gt;</v>
      </c>
      <c r="J23" s="31"/>
      <c r="K23" s="38" t="str">
        <f t="shared" si="33"/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</v>
      </c>
      <c r="L23" s="60" t="str">
        <f t="shared" si="34"/>
        <v/>
      </c>
      <c r="M23" s="31"/>
      <c r="N23" s="31"/>
      <c r="O23" s="31"/>
      <c r="P23" s="31"/>
      <c r="Q23" s="31"/>
      <c r="R23" s="31"/>
      <c r="S23" s="31" t="str">
        <f t="shared" ref="S23:S24" si="36">REPT(CHAR(9),1)&amp;D23&amp;G23</f>
        <v xml:space="preserve">	prodLine : string = '' ; </v>
      </c>
      <c r="T23" s="31" t="str">
        <f t="shared" ref="T23:T24" si="37">REPT(CHAR(9),3)&amp;"this."&amp;D23&amp;","</f>
        <v xml:space="preserve">			this.prodLine,</v>
      </c>
      <c r="U23" s="31" t="str">
        <f t="shared" ref="U23:U24" si="38">IF(E23="int",REPT(CHAR(9),2)&amp;"this."&amp;D23&amp;" = 0,",REPT(CHAR(9),2)&amp;"this."&amp;D23&amp;" = '',")</f>
        <v xml:space="preserve">		this.prodLine = '',</v>
      </c>
      <c r="V23" s="31" t="str">
        <f t="shared" si="35"/>
        <v/>
      </c>
    </row>
    <row r="24" spans="1:22" ht="18" customHeight="1" x14ac:dyDescent="0.25">
      <c r="A24" s="31" t="s">
        <v>340</v>
      </c>
      <c r="B24" s="31" t="str">
        <f t="shared" si="27"/>
        <v>ProcessGroup</v>
      </c>
      <c r="C24" s="31" t="str">
        <f t="shared" si="28"/>
        <v>Process Group</v>
      </c>
      <c r="D24" s="31" t="str">
        <f t="shared" si="29"/>
        <v>processGroup</v>
      </c>
      <c r="E24" s="31" t="str">
        <f>A.Backend!H18</f>
        <v>int</v>
      </c>
      <c r="F24" s="31" t="str">
        <f>A.Backend!G18</f>
        <v/>
      </c>
      <c r="G24" s="31" t="str">
        <f t="shared" si="30"/>
        <v xml:space="preserve"> : number = 0 ;</v>
      </c>
      <c r="H24" s="38" t="str">
        <f t="shared" si="31"/>
        <v xml:space="preserve">			{headerName: this.l('Process Group'),headerTooltip: this.l('Process Group'),field: 'processGroup',flex: 1},</v>
      </c>
      <c r="I24" s="38" t="str">
        <f t="shared" si="32"/>
        <v/>
      </c>
      <c r="J24" s="31"/>
      <c r="K24" s="38" t="str">
        <f t="shared" si="33"/>
        <v xml:space="preserve">					&lt;div class='col-md-12 form-group row'&gt;
						&lt;label class='col-md-2 form-control title'&gt;Process Group&lt;/label&gt;
						&lt;input type='number' class='col-md-10 form-control input-text' name='ProcessGroup' [(ngModel)]='rowdata.processGroup'&gt;
					&lt;/div&gt;</v>
      </c>
      <c r="L24" s="60" t="str">
        <f t="shared" si="34"/>
        <v/>
      </c>
      <c r="M24" s="31"/>
      <c r="N24" s="31"/>
      <c r="O24" s="31"/>
      <c r="P24" s="31"/>
      <c r="Q24" s="31"/>
      <c r="R24" s="31"/>
      <c r="S24" s="31" t="str">
        <f t="shared" si="36"/>
        <v xml:space="preserve">	processGroup : number = 0 ;</v>
      </c>
      <c r="T24" s="31" t="str">
        <f t="shared" si="37"/>
        <v xml:space="preserve">			this.processGroup,</v>
      </c>
      <c r="U24" s="31" t="str">
        <f t="shared" si="38"/>
        <v xml:space="preserve">		this.processGroup = 0,</v>
      </c>
      <c r="V24" s="31" t="str">
        <f t="shared" si="35"/>
        <v/>
      </c>
    </row>
    <row r="25" spans="1:22" ht="18" customHeight="1" x14ac:dyDescent="0.25">
      <c r="A25" s="31" t="s">
        <v>341</v>
      </c>
      <c r="B25" s="31" t="str">
        <f t="shared" ref="B25:B35" si="39">SUBSTITUTE(PROPER(A25),"_","")</f>
        <v>SubGroup</v>
      </c>
      <c r="C25" s="31" t="str">
        <f t="shared" ref="C25:C35" si="40">SUBSTITUTE(PROPER(A25),"_"," ")</f>
        <v>Sub Group</v>
      </c>
      <c r="D25" s="31" t="str">
        <f t="shared" ref="D25:D35" si="41">LOWER(LEFT(B25,1))&amp;RIGHT(B25,LEN(B25) - 1)</f>
        <v>subGroup</v>
      </c>
      <c r="E25" s="31" t="str">
        <f>A.Backend!H19</f>
        <v>int</v>
      </c>
      <c r="F25" s="31" t="str">
        <f>A.Backend!G19</f>
        <v/>
      </c>
      <c r="G25" s="31" t="str">
        <f t="shared" ref="G25:G35" si="42">IF(E25="string"," : string = '' ; ",IF(OR(E25="DateTime",E25="TimeSpan")," : any ;",IF(E25="int"," : number = 0 ;","")))</f>
        <v xml:space="preserve"> : number = 0 ;</v>
      </c>
      <c r="H25" s="38" t="str">
        <f t="shared" ref="H25:H35" si="43">IF(E25="DateTime",
REPT(CHAR(9),3)&amp;"{headerName: this.l('"&amp;C25&amp;"'),headerTooltip: this.l('"&amp;C25&amp;"'),field: '"&amp;D25&amp;"',valueGetter: (params) =&gt; this.pipe.transform(params.data?."&amp;D25&amp;", 'dd/MM/yyyy'),flex: 1},",
IF(AND(E25="string",F25="1"),
REPT(CHAR(9),3)&amp;"{headerName: this.l('"&amp;C25&amp;"'),headerTooltip: this.l('"&amp;C25&amp;"'),field:  '"&amp;D25&amp;"', cellClass: ['text-center'], width: 120, cellRenderer: 'agCellButtonComponent',
buttonDefTwo: { text: params =&gt; (params.data?.'"&amp;D25&amp;"' == 'Y') ? 'Active' : 'Inactive',iconName: 'fa fa-circle',className: params =&gt; (params.data?.'"&amp;D25&amp;"' == 'Y') ? 'btnActive' : 'btnInActive',},}",
REPT(CHAR(9),3)&amp;"{headerName: this.l('"&amp;C25&amp;"'),headerTooltip: this.l('"&amp;C25&amp;"'),field: '"&amp;D25&amp;"',flex: 1},"))</f>
        <v xml:space="preserve">			{headerName: this.l('Sub Group'),headerTooltip: this.l('Sub Group'),field: 'subGroup',flex: 1},</v>
      </c>
      <c r="I25" s="38" t="str">
        <f t="shared" ref="I25:I35" si="44">IF(E25="DateTime",
REPT(CHAR(9),8)&amp;"&lt;div class='input-search'&gt;
"&amp;REPT(CHAR(9),9)&amp;"&lt;input type='text' [placeholder]=""l('"&amp;C25&amp;"')"" [(ngModel)]='"&amp;D25&amp;"' 
"&amp;REPT(CHAR(9),9)&amp;"name='"&amp;D25&amp;"'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IF(E25="string",
REPT(CHAR(9),8)&amp;"&lt;div class='input-search'&gt;
"&amp;REPT(CHAR(9),9)&amp;"&lt;input [(ngModel)]='"&amp;D25&amp;"' name='"&amp;D25&amp;"'
"&amp;REPT(CHAR(9),9)&amp;"class='form-control' [placeholder]=""l('"&amp;C25&amp;"')""
"&amp;REPT(CHAR(9),9)&amp;"type='text' (keyup.enter)='searchDatas()'&gt;
"&amp;REPT(CHAR(9),8)&amp;"&lt;/div&gt;",""))</f>
        <v/>
      </c>
      <c r="J25" s="31"/>
      <c r="K25" s="38" t="str">
        <f t="shared" ref="K25:K35" si="45">IF(OR(E25="DateTime",E25="TimeSpan"),
REPT(CHAR(9),5)&amp;"&lt;div class='col-md-12 form-group row'&gt;
"&amp;REPT(CHAR(9),6)&amp;"&lt;label class='col-md-2 form-control title'&gt;"&amp;C25&amp;"&lt;/label&gt;
"&amp;REPT(CHAR(9),6)&amp;"&lt;input type='text' class='col-md-10 form-control input-text' name='"&amp;D25&amp;"' 
"&amp;REPT(CHAR(9),6)&amp;"#datepicker='bsDatepicker' [(ngModel)]='rowdata."&amp;D25&amp;"'  bsDatepicker &gt;
"&amp;REPT(CHAR(9),5)&amp;"&lt;/div&gt;",
IF(AND(E25="string",F25="1"),
REPT(CHAR(9),5)&amp;"&lt;div class='col-md-12 form-group row'&gt;
"&amp;REPT(CHAR(9),6)&amp;"&lt;label class='col-md-2 form-control title'&gt;"&amp;C25&amp;"&lt;/label&gt;
"&amp;REPT(CHAR(9),6)&amp;"&lt;new-checkbox [(ngModel)]='_"&amp;D25&amp;"' name='"&amp;D25&amp;"' className='col-md-10' &gt; &lt;/new-checkbox&gt;
"&amp;REPT(CHAR(9),5)&amp;"&lt;/div&gt;",
IF(E25="string",
REPT(CHAR(9),5)&amp;"&lt;div class='col-md-12 form-group row'&gt;
"&amp;REPT(CHAR(9),6)&amp;"&lt;label class='col-md-2 form-control title'&gt;"&amp;C25&amp;"&lt;/label&gt;
"&amp;REPT(CHAR(9),6)&amp;"&lt;input type='text' class='col-md-10 form-control input-text' name='"&amp;B25&amp;"' [(ngModel)]='rowdata."&amp;D25&amp;"'&gt;
"&amp;REPT(CHAR(9),5)&amp;"&lt;/div&gt;",
IF(E25="int",
REPT(CHAR(9),5)&amp;"&lt;div class='col-md-12 form-group row'&gt;
"&amp;REPT(CHAR(9),6)&amp;"&lt;label class='col-md-2 form-control title'&gt;"&amp;C25&amp;"&lt;/label&gt;
"&amp;REPT(CHAR(9),6)&amp;"&lt;input type='number' class='col-md-10 form-control input-text' name='"&amp;B25&amp;"' [(ngModel)]='rowdata."&amp;D25&amp;"'&gt;
"&amp;REPT(CHAR(9),5)&amp;"&lt;/div&gt;",""))))</f>
        <v xml:space="preserve">					&lt;div class='col-md-12 form-group row'&gt;
						&lt;label class='col-md-2 form-control title'&gt;Sub Group&lt;/label&gt;
						&lt;input type='number' class='col-md-10 form-control input-text' name='SubGroup' [(ngModel)]='rowdata.subGroup'&gt;
					&lt;/div&gt;</v>
      </c>
      <c r="L25" s="60" t="str">
        <f t="shared" ref="L25:L35" si="46">IF(E25="DateTime",
REPT(CHAR(9),2)&amp;"const dateValue =  this.rowdata."&amp;D25&amp;" ? new Date(this.rowdata."&amp;D25&amp;"?.toString()) : new Date();
"&amp;REPT(CHAR(9),2)&amp;"this.datepicker?.bsValueChange.emit(dateValue);","")</f>
        <v/>
      </c>
      <c r="M25" s="31"/>
      <c r="N25" s="31"/>
      <c r="O25" s="31"/>
      <c r="P25" s="31"/>
      <c r="Q25" s="31"/>
      <c r="R25" s="31"/>
      <c r="S25" s="31" t="str">
        <f t="shared" ref="S25:S35" si="47">REPT(CHAR(9),1)&amp;D25&amp;G25</f>
        <v xml:space="preserve">	subGroup : number = 0 ;</v>
      </c>
      <c r="T25" s="31" t="str">
        <f t="shared" ref="T25:T35" si="48">REPT(CHAR(9),3)&amp;"this."&amp;D25&amp;","</f>
        <v xml:space="preserve">			this.subGroup,</v>
      </c>
      <c r="U25" s="31" t="str">
        <f t="shared" ref="U25:U35" si="49">IF(E25="int",REPT(CHAR(9),2)&amp;"this."&amp;D25&amp;" = 0,",REPT(CHAR(9),2)&amp;"this."&amp;D25&amp;" = '',")</f>
        <v xml:space="preserve">		this.subGroup = 0,</v>
      </c>
      <c r="V25" s="31" t="str">
        <f t="shared" ref="V25:V35" si="50">IF(AND(E25="string",F25="1"),D25,"")</f>
        <v/>
      </c>
    </row>
    <row r="26" spans="1:22" ht="15" customHeight="1" x14ac:dyDescent="0.25">
      <c r="A26" s="31" t="s">
        <v>342</v>
      </c>
      <c r="B26" s="31" t="str">
        <f t="shared" si="39"/>
        <v>ProcessSeq</v>
      </c>
      <c r="C26" s="31" t="str">
        <f t="shared" si="40"/>
        <v>Process Seq</v>
      </c>
      <c r="D26" s="31" t="str">
        <f t="shared" si="41"/>
        <v>processSeq</v>
      </c>
      <c r="E26" s="31" t="str">
        <f>A.Backend!H20</f>
        <v>int</v>
      </c>
      <c r="F26" s="31" t="str">
        <f>A.Backend!G20</f>
        <v/>
      </c>
      <c r="G26" s="31" t="str">
        <f t="shared" si="42"/>
        <v xml:space="preserve"> : number = 0 ;</v>
      </c>
      <c r="H26" s="38" t="str">
        <f t="shared" si="43"/>
        <v xml:space="preserve">			{headerName: this.l('Process Seq'),headerTooltip: this.l('Process Seq'),field: 'processSeq',flex: 1},</v>
      </c>
      <c r="I26" s="38" t="str">
        <f t="shared" si="44"/>
        <v/>
      </c>
      <c r="J26" s="31"/>
      <c r="K26" s="38" t="str">
        <f t="shared" si="45"/>
        <v xml:space="preserve">					&lt;div class='col-md-12 form-group row'&gt;
						&lt;label class='col-md-2 form-control title'&gt;Process Seq&lt;/label&gt;
						&lt;input type='number' class='col-md-10 form-control input-text' name='ProcessSeq' [(ngModel)]='rowdata.processSeq'&gt;
					&lt;/div&gt;</v>
      </c>
      <c r="L26" s="60" t="str">
        <f t="shared" si="46"/>
        <v/>
      </c>
      <c r="M26" s="31"/>
      <c r="N26" s="31"/>
      <c r="O26" s="31"/>
      <c r="P26" s="31"/>
      <c r="Q26" s="31"/>
      <c r="R26" s="31"/>
      <c r="S26" s="31" t="str">
        <f>REPT(CHAR(9),1)&amp;D26&amp;G26</f>
        <v xml:space="preserve">	processSeq : number = 0 ;</v>
      </c>
      <c r="T26" s="31" t="str">
        <f>REPT(CHAR(9),3)&amp;"this."&amp;D26&amp;","</f>
        <v xml:space="preserve">			this.processSeq,</v>
      </c>
      <c r="U26" s="31" t="str">
        <f>IF(E26="int",REPT(CHAR(9),2)&amp;"this."&amp;D26&amp;" = 0,",REPT(CHAR(9),2)&amp;"this."&amp;D26&amp;" = '',")</f>
        <v xml:space="preserve">		this.processSeq = 0,</v>
      </c>
      <c r="V26" s="31" t="str">
        <f t="shared" si="50"/>
        <v/>
      </c>
    </row>
    <row r="27" spans="1:22" ht="18" customHeight="1" x14ac:dyDescent="0.25">
      <c r="A27" s="31" t="s">
        <v>343</v>
      </c>
      <c r="B27" s="31" t="str">
        <f t="shared" si="39"/>
        <v>Filler</v>
      </c>
      <c r="C27" s="31" t="str">
        <f t="shared" si="40"/>
        <v>Filler</v>
      </c>
      <c r="D27" s="31" t="str">
        <f t="shared" si="41"/>
        <v>filler</v>
      </c>
      <c r="E27" s="31" t="str">
        <f>A.Backend!H21</f>
        <v>int</v>
      </c>
      <c r="F27" s="31" t="str">
        <f>A.Backend!G21</f>
        <v/>
      </c>
      <c r="G27" s="31" t="str">
        <f t="shared" si="42"/>
        <v xml:space="preserve"> : number = 0 ;</v>
      </c>
      <c r="H27" s="38" t="str">
        <f t="shared" si="43"/>
        <v xml:space="preserve">			{headerName: this.l('Filler'),headerTooltip: this.l('Filler'),field: 'filler',flex: 1},</v>
      </c>
      <c r="I27" s="38" t="str">
        <f t="shared" si="44"/>
        <v/>
      </c>
      <c r="J27" s="31"/>
      <c r="K27" s="38" t="str">
        <f t="shared" si="45"/>
        <v xml:space="preserve">					&lt;div class='col-md-12 form-group row'&gt;
						&lt;label class='col-md-2 form-control title'&gt;Filler&lt;/label&gt;
						&lt;input type='number' class='col-md-10 form-control input-text' name='Filler' [(ngModel)]='rowdata.filler'&gt;
					&lt;/div&gt;</v>
      </c>
      <c r="L27" s="60" t="str">
        <f t="shared" si="46"/>
        <v/>
      </c>
      <c r="M27" s="31"/>
      <c r="N27" s="31"/>
      <c r="O27" s="31"/>
      <c r="P27" s="31"/>
      <c r="Q27" s="31"/>
      <c r="R27" s="31"/>
      <c r="S27" s="31" t="str">
        <f t="shared" ref="S27:S29" si="51">REPT(CHAR(9),1)&amp;D27&amp;G27</f>
        <v xml:space="preserve">	filler : number = 0 ;</v>
      </c>
      <c r="T27" s="31" t="str">
        <f t="shared" ref="T27:T29" si="52">REPT(CHAR(9),3)&amp;"this."&amp;D27&amp;","</f>
        <v xml:space="preserve">			this.filler,</v>
      </c>
      <c r="U27" s="31" t="str">
        <f t="shared" ref="U27:U29" si="53">IF(E27="int",REPT(CHAR(9),2)&amp;"this."&amp;D27&amp;" = 0,",REPT(CHAR(9),2)&amp;"this."&amp;D27&amp;" = '',")</f>
        <v xml:space="preserve">		this.filler = 0,</v>
      </c>
      <c r="V27" s="31" t="str">
        <f t="shared" si="50"/>
        <v/>
      </c>
    </row>
    <row r="28" spans="1:22" ht="18" customHeight="1" x14ac:dyDescent="0.25">
      <c r="A28" s="31" t="s">
        <v>324</v>
      </c>
      <c r="B28" s="31" t="str">
        <f t="shared" si="39"/>
        <v>WorkingDate</v>
      </c>
      <c r="C28" s="31" t="str">
        <f t="shared" si="40"/>
        <v>Working Date</v>
      </c>
      <c r="D28" s="31" t="str">
        <f t="shared" si="41"/>
        <v>workingDate</v>
      </c>
      <c r="E28" s="31" t="str">
        <f>A.Backend!H22</f>
        <v>DateTime</v>
      </c>
      <c r="F28" s="31" t="str">
        <f>A.Backend!G22</f>
        <v/>
      </c>
      <c r="G28" s="31" t="str">
        <f t="shared" si="42"/>
        <v xml:space="preserve"> : any ;</v>
      </c>
      <c r="H28" s="38" t="str">
        <f t="shared" si="43"/>
        <v xml:space="preserve">			{headerName: this.l('Working Date'),headerTooltip: this.l('Working Date'),field: 'workingDate',valueGetter: (params) =&gt; this.pipe.transform(params.data?.workingDate, 'dd/MM/yyyy'),flex: 1},</v>
      </c>
      <c r="I28" s="38" t="str">
        <f t="shared" si="44"/>
        <v xml:space="preserve">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</v>
      </c>
      <c r="J28" s="31"/>
      <c r="K28" s="38" t="str">
        <f t="shared" si="45"/>
        <v xml:space="preserve">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</v>
      </c>
      <c r="L28" s="60" t="str">
        <f t="shared" si="46"/>
        <v xml:space="preserve">		const dateValue =  this.rowdata.workingDate ? new Date(this.rowdata.workingDate?.toString()) : new Date();
		this.datepicker?.bsValueChange.emit(dateValue);</v>
      </c>
      <c r="M28" s="31"/>
      <c r="N28" s="31"/>
      <c r="O28" s="31"/>
      <c r="P28" s="31"/>
      <c r="Q28" s="31"/>
      <c r="R28" s="31"/>
      <c r="S28" s="31" t="str">
        <f t="shared" si="51"/>
        <v xml:space="preserve">	workingDate : any ;</v>
      </c>
      <c r="T28" s="31" t="str">
        <f t="shared" si="52"/>
        <v xml:space="preserve">			this.workingDate,</v>
      </c>
      <c r="U28" s="31" t="str">
        <f t="shared" si="53"/>
        <v xml:space="preserve">		this.workingDate = '',</v>
      </c>
      <c r="V28" s="31" t="str">
        <f t="shared" si="50"/>
        <v/>
      </c>
    </row>
    <row r="29" spans="1:22" ht="18" customHeight="1" x14ac:dyDescent="0.25">
      <c r="A29" s="31" t="s">
        <v>325</v>
      </c>
      <c r="B29" s="31" t="str">
        <f t="shared" si="39"/>
        <v>Shift</v>
      </c>
      <c r="C29" s="31" t="str">
        <f t="shared" si="40"/>
        <v>Shift</v>
      </c>
      <c r="D29" s="31" t="str">
        <f t="shared" si="41"/>
        <v>shift</v>
      </c>
      <c r="E29" s="31" t="str">
        <f>A.Backend!H23</f>
        <v>string</v>
      </c>
      <c r="F29" s="31" t="str">
        <f>A.Backend!G23</f>
        <v>10</v>
      </c>
      <c r="G29" s="31" t="str">
        <f t="shared" si="42"/>
        <v xml:space="preserve"> : string = '' ; </v>
      </c>
      <c r="H29" s="38" t="str">
        <f t="shared" si="43"/>
        <v xml:space="preserve">			{headerName: this.l('Shift'),headerTooltip: this.l('Shift'),field: 'shift',flex: 1},</v>
      </c>
      <c r="I29" s="38" t="str">
        <f t="shared" si="44"/>
        <v xml:space="preserve">								&lt;div class='input-search'&gt;
									&lt;input [(ngModel)]='shift' name='shift'
									class='form-control' [placeholder]="l('Shift')"
									type='text' (keyup.enter)='searchDatas()'&gt;
								&lt;/div&gt;</v>
      </c>
      <c r="J29" s="31"/>
      <c r="K29" s="38" t="str">
        <f t="shared" si="45"/>
        <v xml:space="preserve">					&lt;div class='col-md-12 form-group row'&gt;
						&lt;label class='col-md-2 form-control title'&gt;Shift&lt;/label&gt;
						&lt;input type='text' class='col-md-10 form-control input-text' name='Shift' [(ngModel)]='rowdata.shift'&gt;
					&lt;/div&gt;</v>
      </c>
      <c r="L29" s="60" t="str">
        <f t="shared" si="46"/>
        <v/>
      </c>
      <c r="M29" s="31"/>
      <c r="N29" s="31"/>
      <c r="O29" s="31"/>
      <c r="P29" s="31"/>
      <c r="Q29" s="31"/>
      <c r="R29" s="31"/>
      <c r="S29" s="31" t="str">
        <f t="shared" si="51"/>
        <v xml:space="preserve">	shift : string = '' ; </v>
      </c>
      <c r="T29" s="31" t="str">
        <f t="shared" si="52"/>
        <v xml:space="preserve">			this.shift,</v>
      </c>
      <c r="U29" s="31" t="str">
        <f t="shared" si="53"/>
        <v xml:space="preserve">		this.shift = '',</v>
      </c>
      <c r="V29" s="31" t="str">
        <f t="shared" si="50"/>
        <v/>
      </c>
    </row>
    <row r="30" spans="1:22" ht="15" customHeight="1" x14ac:dyDescent="0.25">
      <c r="A30" t="s">
        <v>329</v>
      </c>
      <c r="B30" s="31" t="str">
        <f t="shared" si="39"/>
        <v>NoInDate</v>
      </c>
      <c r="C30" s="31" t="str">
        <f t="shared" si="40"/>
        <v>No In Date</v>
      </c>
      <c r="D30" s="31" t="str">
        <f t="shared" si="41"/>
        <v>noInDate</v>
      </c>
      <c r="E30" s="31" t="str">
        <f>A.Backend!H24</f>
        <v>int</v>
      </c>
      <c r="F30" s="31" t="str">
        <f>A.Backend!G24</f>
        <v/>
      </c>
      <c r="G30" s="31" t="str">
        <f t="shared" si="42"/>
        <v xml:space="preserve"> : number = 0 ;</v>
      </c>
      <c r="H30" s="38" t="str">
        <f t="shared" si="43"/>
        <v xml:space="preserve">			{headerName: this.l('No In Date'),headerTooltip: this.l('No In Date'),field: 'noInDate',flex: 1},</v>
      </c>
      <c r="I30" s="38" t="str">
        <f t="shared" si="44"/>
        <v/>
      </c>
      <c r="J30" s="31"/>
      <c r="K30" s="38" t="str">
        <f t="shared" si="45"/>
        <v xml:space="preserve">					&lt;div class='col-md-12 form-group row'&gt;
						&lt;label class='col-md-2 form-control title'&gt;No In Date&lt;/label&gt;
						&lt;input type='number' class='col-md-10 form-control input-text' name='NoInDate' [(ngModel)]='rowdata.noInDate'&gt;
					&lt;/div&gt;</v>
      </c>
      <c r="L30" s="60" t="str">
        <f t="shared" si="46"/>
        <v/>
      </c>
      <c r="M30" s="31"/>
      <c r="N30" s="31"/>
      <c r="O30" s="31"/>
      <c r="P30" s="31"/>
      <c r="Q30" s="31"/>
      <c r="R30" s="31"/>
      <c r="S30" s="31" t="str">
        <f>REPT(CHAR(9),1)&amp;D30&amp;G30</f>
        <v xml:space="preserve">	noInDate : number = 0 ;</v>
      </c>
      <c r="T30" s="31" t="str">
        <f>REPT(CHAR(9),3)&amp;"this."&amp;D30&amp;","</f>
        <v xml:space="preserve">			this.noInDate,</v>
      </c>
      <c r="U30" s="31" t="str">
        <f>IF(E30="int",REPT(CHAR(9),2)&amp;"this."&amp;D30&amp;" = 0,",REPT(CHAR(9),2)&amp;"this."&amp;D30&amp;" = '',")</f>
        <v xml:space="preserve">		this.noInDate = 0,</v>
      </c>
      <c r="V30" s="31" t="str">
        <f t="shared" si="50"/>
        <v/>
      </c>
    </row>
    <row r="31" spans="1:22" ht="18" customHeight="1" x14ac:dyDescent="0.25">
      <c r="A31" t="s">
        <v>352</v>
      </c>
      <c r="B31" s="31" t="str">
        <f t="shared" si="39"/>
        <v>ProcessName</v>
      </c>
      <c r="C31" s="31" t="str">
        <f t="shared" si="40"/>
        <v>Process Name</v>
      </c>
      <c r="D31" s="31" t="str">
        <f t="shared" si="41"/>
        <v>processName</v>
      </c>
      <c r="E31" s="31" t="str">
        <f>A.Backend!H25</f>
        <v>string</v>
      </c>
      <c r="F31" s="31" t="str">
        <f>A.Backend!G25</f>
        <v>40</v>
      </c>
      <c r="G31" s="31" t="str">
        <f t="shared" si="42"/>
        <v xml:space="preserve"> : string = '' ; </v>
      </c>
      <c r="H31" s="38" t="str">
        <f t="shared" si="43"/>
        <v xml:space="preserve">			{headerName: this.l('Process Name'),headerTooltip: this.l('Process Name'),field: 'processName',flex: 1},</v>
      </c>
      <c r="I31" s="38" t="str">
        <f t="shared" si="44"/>
        <v xml:space="preserve">								&lt;div class='input-search'&gt;
									&lt;input [(ngModel)]='processName' name='processName'
									class='form-control' [placeholder]="l('Process Name')"
									type='text' (keyup.enter)='searchDatas()'&gt;
								&lt;/div&gt;</v>
      </c>
      <c r="J31" s="31"/>
      <c r="K31" s="38" t="str">
        <f t="shared" si="45"/>
        <v xml:space="preserve">					&lt;div class='col-md-12 form-group row'&gt;
						&lt;label class='col-md-2 form-control title'&gt;Process Name&lt;/label&gt;
						&lt;input type='text' class='col-md-10 form-control input-text' name='ProcessName' [(ngModel)]='rowdata.processName'&gt;
					&lt;/div&gt;</v>
      </c>
      <c r="L31" s="60" t="str">
        <f t="shared" si="46"/>
        <v/>
      </c>
      <c r="M31" s="31"/>
      <c r="N31" s="31"/>
      <c r="O31" s="31"/>
      <c r="P31" s="31"/>
      <c r="Q31" s="31"/>
      <c r="R31" s="31"/>
      <c r="S31" s="31" t="str">
        <f t="shared" ref="S31" si="54">REPT(CHAR(9),1)&amp;D31&amp;G31</f>
        <v xml:space="preserve">	processName : string = '' ; </v>
      </c>
      <c r="T31" s="31" t="str">
        <f t="shared" ref="T31" si="55">REPT(CHAR(9),3)&amp;"this."&amp;D31&amp;","</f>
        <v xml:space="preserve">			this.processName,</v>
      </c>
      <c r="U31" s="31" t="str">
        <f t="shared" ref="U31" si="56">IF(E31="int",REPT(CHAR(9),2)&amp;"this."&amp;D31&amp;" = 0,",REPT(CHAR(9),2)&amp;"this."&amp;D31&amp;" = '',")</f>
        <v xml:space="preserve">		this.processName = '',</v>
      </c>
      <c r="V31" s="31" t="str">
        <f t="shared" si="50"/>
        <v/>
      </c>
    </row>
    <row r="32" spans="1:22" ht="15" customHeight="1" x14ac:dyDescent="0.25">
      <c r="A32" s="31" t="s">
        <v>345</v>
      </c>
      <c r="B32" s="31" t="str">
        <f t="shared" si="39"/>
        <v>InfoProcess</v>
      </c>
      <c r="C32" s="31" t="str">
        <f t="shared" si="40"/>
        <v>Info Process</v>
      </c>
      <c r="D32" s="31" t="str">
        <f t="shared" si="41"/>
        <v>infoProcess</v>
      </c>
      <c r="E32" s="31" t="str">
        <f>A.Backend!H26</f>
        <v>string</v>
      </c>
      <c r="F32" s="31" t="str">
        <f>A.Backend!G26</f>
        <v>20</v>
      </c>
      <c r="G32" s="31" t="str">
        <f t="shared" si="42"/>
        <v xml:space="preserve"> : string = '' ; </v>
      </c>
      <c r="H32" s="38" t="str">
        <f t="shared" si="43"/>
        <v xml:space="preserve">			{headerName: this.l('Info Process'),headerTooltip: this.l('Info Process'),field: 'infoProcess',flex: 1},</v>
      </c>
      <c r="I32" s="38" t="str">
        <f t="shared" si="44"/>
        <v xml:space="preserve">								&lt;div class='input-search'&gt;
									&lt;input [(ngModel)]='infoProcess' name='infoProcess'
									class='form-control' [placeholder]="l('Info Process')"
									type='text' (keyup.enter)='searchDatas()'&gt;
								&lt;/div&gt;</v>
      </c>
      <c r="J32" s="31"/>
      <c r="K32" s="38" t="str">
        <f t="shared" si="45"/>
        <v xml:space="preserve">					&lt;div class='col-md-12 form-group row'&gt;
						&lt;label class='col-md-2 form-control title'&gt;Info Process&lt;/label&gt;
						&lt;input type='text' class='col-md-10 form-control input-text' name='InfoProcess' [(ngModel)]='rowdata.infoProcess'&gt;
					&lt;/div&gt;</v>
      </c>
      <c r="L32" s="60" t="str">
        <f t="shared" si="46"/>
        <v/>
      </c>
      <c r="M32" s="31"/>
      <c r="N32" s="31"/>
      <c r="O32" s="31"/>
      <c r="P32" s="31"/>
      <c r="Q32" s="31"/>
      <c r="R32" s="31"/>
      <c r="S32" s="31" t="str">
        <f>REPT(CHAR(9),1)&amp;D32&amp;G32</f>
        <v xml:space="preserve">	infoProcess : string = '' ; </v>
      </c>
      <c r="T32" s="31" t="str">
        <f>REPT(CHAR(9),3)&amp;"this."&amp;D32&amp;","</f>
        <v xml:space="preserve">			this.infoProcess,</v>
      </c>
      <c r="U32" s="31" t="str">
        <f>IF(E32="int",REPT(CHAR(9),2)&amp;"this."&amp;D32&amp;" = 0,",REPT(CHAR(9),2)&amp;"this."&amp;D32&amp;" = '',")</f>
        <v xml:space="preserve">		this.infoProcess = '',</v>
      </c>
      <c r="V32" s="31" t="str">
        <f t="shared" si="50"/>
        <v/>
      </c>
    </row>
    <row r="33" spans="1:22" ht="18" customHeight="1" x14ac:dyDescent="0.25">
      <c r="A33" s="31" t="s">
        <v>347</v>
      </c>
      <c r="B33" s="31" t="str">
        <f t="shared" si="39"/>
        <v>InfoProcessNo</v>
      </c>
      <c r="C33" s="31" t="str">
        <f t="shared" si="40"/>
        <v>Info Process No</v>
      </c>
      <c r="D33" s="31" t="str">
        <f t="shared" si="41"/>
        <v>infoProcessNo</v>
      </c>
      <c r="E33" s="31" t="str">
        <f>A.Backend!H27</f>
        <v>int</v>
      </c>
      <c r="F33" s="31" t="str">
        <f>A.Backend!G27</f>
        <v/>
      </c>
      <c r="G33" s="31" t="str">
        <f t="shared" si="42"/>
        <v xml:space="preserve"> : number = 0 ;</v>
      </c>
      <c r="H33" s="38" t="str">
        <f t="shared" si="43"/>
        <v xml:space="preserve">			{headerName: this.l('Info Process No'),headerTooltip: this.l('Info Process No'),field: 'infoProcessNo',flex: 1},</v>
      </c>
      <c r="I33" s="38" t="str">
        <f t="shared" si="44"/>
        <v/>
      </c>
      <c r="J33" s="31"/>
      <c r="K33" s="38" t="str">
        <f t="shared" si="45"/>
        <v xml:space="preserve">					&lt;div class='col-md-12 form-group row'&gt;
						&lt;label class='col-md-2 form-control title'&gt;Info Process No&lt;/label&gt;
						&lt;input type='number' class='col-md-10 form-control input-text' name='InfoProcessNo' [(ngModel)]='rowdata.infoProcessNo'&gt;
					&lt;/div&gt;</v>
      </c>
      <c r="L33" s="60" t="str">
        <f t="shared" si="46"/>
        <v/>
      </c>
      <c r="M33" s="31"/>
      <c r="N33" s="31"/>
      <c r="O33" s="31"/>
      <c r="P33" s="31"/>
      <c r="Q33" s="31"/>
      <c r="R33" s="31"/>
      <c r="S33" s="31" t="str">
        <f t="shared" ref="S33:S34" si="57">REPT(CHAR(9),1)&amp;D33&amp;G33</f>
        <v xml:space="preserve">	infoProcessNo : number = 0 ;</v>
      </c>
      <c r="T33" s="31" t="str">
        <f t="shared" ref="T33:T34" si="58">REPT(CHAR(9),3)&amp;"this."&amp;D33&amp;","</f>
        <v xml:space="preserve">			this.infoProcessNo,</v>
      </c>
      <c r="U33" s="31" t="str">
        <f t="shared" ref="U33:U34" si="59">IF(E33="int",REPT(CHAR(9),2)&amp;"this."&amp;D33&amp;" = 0,",REPT(CHAR(9),2)&amp;"this."&amp;D33&amp;" = '',")</f>
        <v xml:space="preserve">		this.infoProcessNo = 0,</v>
      </c>
      <c r="V33" s="31" t="str">
        <f t="shared" si="50"/>
        <v/>
      </c>
    </row>
    <row r="34" spans="1:22" ht="18" customHeight="1" x14ac:dyDescent="0.25">
      <c r="A34" s="31" t="s">
        <v>348</v>
      </c>
      <c r="B34" s="31" t="str">
        <f t="shared" si="39"/>
        <v>IsProject</v>
      </c>
      <c r="C34" s="31" t="str">
        <f t="shared" si="40"/>
        <v>Is Project</v>
      </c>
      <c r="D34" s="31" t="str">
        <f t="shared" si="41"/>
        <v>isProject</v>
      </c>
      <c r="E34" s="31" t="str">
        <f>A.Backend!H28</f>
        <v>string</v>
      </c>
      <c r="F34" s="31" t="str">
        <f>A.Backend!G28</f>
        <v>1</v>
      </c>
      <c r="G34" s="31" t="str">
        <f t="shared" si="42"/>
        <v xml:space="preserve"> : string = '' ; </v>
      </c>
      <c r="H34" s="38" t="str">
        <f t="shared" si="43"/>
        <v xml:space="preserve">			{headerName: this.l('Is Project'),headerTooltip: this.l('Is Project'),field:  'isProject', cellClass: ['text-center'], width: 120, cellRenderer: 'agCellButtonComponent',
buttonDefTwo: { text: params =&gt; (params.data?.'isProject' == 'Y') ? 'Active' : 'Inactive',iconName: 'fa fa-circle',className: params =&gt; (params.data?.'isProject' == 'Y') ? 'btnActive' : 'btnInActive',},}</v>
      </c>
      <c r="I34" s="38" t="str">
        <f t="shared" si="44"/>
        <v xml:space="preserve">								&lt;div class='input-search'&gt;
									&lt;input [(ngModel)]='isProject' name='isProject'
									class='form-control' [placeholder]="l('Is Project')"
									type='text' (keyup.enter)='searchDatas()'&gt;
								&lt;/div&gt;</v>
      </c>
      <c r="J34" s="31"/>
      <c r="K34" s="38" t="str">
        <f t="shared" si="45"/>
        <v xml:space="preserve">					&lt;div class='col-md-12 form-group row'&gt;
						&lt;label class='col-md-2 form-control title'&gt;Is Project&lt;/label&gt;
						&lt;new-checkbox [(ngModel)]='_isProject' name='isProject' className='col-md-10' &gt; &lt;/new-checkbox&gt;
					&lt;/div&gt;</v>
      </c>
      <c r="L34" s="60" t="str">
        <f t="shared" si="46"/>
        <v/>
      </c>
      <c r="M34" s="31"/>
      <c r="N34" s="31"/>
      <c r="O34" s="31"/>
      <c r="P34" s="31"/>
      <c r="Q34" s="31"/>
      <c r="R34" s="31"/>
      <c r="S34" s="31" t="str">
        <f t="shared" si="57"/>
        <v xml:space="preserve">	isProject : string = '' ; </v>
      </c>
      <c r="T34" s="31" t="str">
        <f t="shared" si="58"/>
        <v xml:space="preserve">			this.isProject,</v>
      </c>
      <c r="U34" s="31" t="str">
        <f t="shared" si="59"/>
        <v xml:space="preserve">		this.isProject = '',</v>
      </c>
      <c r="V34" s="31" t="str">
        <f t="shared" si="50"/>
        <v>isProject</v>
      </c>
    </row>
    <row r="35" spans="1:22" ht="18" customHeight="1" x14ac:dyDescent="0.25">
      <c r="A35" s="31" t="s">
        <v>322</v>
      </c>
      <c r="B35" s="31" t="str">
        <f t="shared" si="39"/>
        <v>IsActive</v>
      </c>
      <c r="C35" s="31" t="str">
        <f t="shared" si="40"/>
        <v>Is Active</v>
      </c>
      <c r="D35" s="31" t="str">
        <f t="shared" si="41"/>
        <v>isActive</v>
      </c>
      <c r="E35" s="31" t="str">
        <f>A.Backend!H29</f>
        <v>string</v>
      </c>
      <c r="F35" s="31" t="str">
        <f>A.Backend!G29</f>
        <v>1</v>
      </c>
      <c r="G35" s="31" t="str">
        <f t="shared" si="42"/>
        <v xml:space="preserve"> : string = '' ; </v>
      </c>
      <c r="H35" s="38" t="str">
        <f t="shared" si="43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35" s="38" t="str">
        <f t="shared" si="44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35" s="31"/>
      <c r="K35" s="38" t="str">
        <f t="shared" si="45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35" s="60" t="str">
        <f t="shared" si="46"/>
        <v/>
      </c>
      <c r="M35" s="31"/>
      <c r="N35" s="31"/>
      <c r="O35" s="31"/>
      <c r="P35" s="31"/>
      <c r="Q35" s="31"/>
      <c r="R35" s="31"/>
      <c r="S35" s="31" t="str">
        <f t="shared" si="47"/>
        <v xml:space="preserve">	isActive : string = '' ; </v>
      </c>
      <c r="T35" s="31" t="str">
        <f t="shared" si="48"/>
        <v xml:space="preserve">			this.isActive,</v>
      </c>
      <c r="U35" s="31" t="str">
        <f t="shared" si="49"/>
        <v xml:space="preserve">		this.isActive = '',</v>
      </c>
      <c r="V35" s="31" t="str">
        <f t="shared" si="50"/>
        <v>isActive</v>
      </c>
    </row>
    <row r="38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ColWidth="8.85546875"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2023-02-17T11:17:32Z</dcterms:modified>
</cp:coreProperties>
</file>
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painting\andon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6" i="3" l="1"/>
  <c r="O3" i="1" l="1"/>
  <c r="G11" i="1"/>
  <c r="E11" i="1"/>
  <c r="H11" i="1" s="1"/>
  <c r="D11" i="1"/>
  <c r="P11" i="1" s="1"/>
  <c r="L10" i="1"/>
  <c r="G10" i="1"/>
  <c r="E10" i="1"/>
  <c r="H10" i="1" s="1"/>
  <c r="D10" i="1"/>
  <c r="P10" i="1" s="1"/>
  <c r="G9" i="1"/>
  <c r="E9" i="1"/>
  <c r="H9" i="1" s="1"/>
  <c r="D9" i="1"/>
  <c r="P9" i="1" s="1"/>
  <c r="G8" i="1"/>
  <c r="E8" i="1"/>
  <c r="H8" i="1" s="1"/>
  <c r="D8" i="1"/>
  <c r="P8" i="1" s="1"/>
  <c r="G7" i="1"/>
  <c r="E7" i="1"/>
  <c r="H7" i="1" s="1"/>
  <c r="D7" i="1"/>
  <c r="P7" i="1" s="1"/>
  <c r="G12" i="1"/>
  <c r="E12" i="1"/>
  <c r="H12" i="1" s="1"/>
  <c r="D12" i="1"/>
  <c r="P12" i="1" s="1"/>
  <c r="P14" i="1"/>
  <c r="Q5" i="1" l="1"/>
  <c r="M8" i="1"/>
  <c r="M10" i="1"/>
  <c r="M12" i="1"/>
  <c r="N10" i="1"/>
  <c r="O7" i="1"/>
  <c r="I7" i="1"/>
  <c r="M7" i="1"/>
  <c r="O11" i="1"/>
  <c r="I11" i="1"/>
  <c r="M11" i="1"/>
  <c r="O9" i="1"/>
  <c r="J9" i="1"/>
  <c r="N9" i="1"/>
  <c r="I9" i="1"/>
  <c r="M9" i="1"/>
  <c r="I8" i="1"/>
  <c r="I10" i="1"/>
  <c r="O8" i="1"/>
  <c r="J10" i="1"/>
  <c r="O10" i="1"/>
  <c r="I12" i="1"/>
  <c r="N12" i="1"/>
  <c r="J12" i="1"/>
  <c r="O12" i="1"/>
  <c r="N5" i="1"/>
  <c r="G36" i="3" s="1"/>
  <c r="O5" i="1"/>
  <c r="H36" i="3" s="1"/>
  <c r="D4" i="1"/>
  <c r="J36" i="3" l="1"/>
  <c r="H4" i="1"/>
  <c r="N3" i="1"/>
  <c r="D1" i="1" l="1"/>
  <c r="B4" i="1"/>
  <c r="M3" i="1"/>
  <c r="L3" i="1"/>
  <c r="J3" i="1"/>
  <c r="H3" i="1"/>
  <c r="F3" i="1"/>
  <c r="G4" i="1" l="1"/>
  <c r="E4" i="1"/>
  <c r="F4" i="1"/>
  <c r="K5" i="1"/>
  <c r="I3" i="1" l="1"/>
  <c r="B5" i="1"/>
  <c r="L7" i="1" s="1"/>
  <c r="L8" i="1" l="1"/>
  <c r="L12" i="1"/>
  <c r="L11" i="1"/>
  <c r="L9" i="1"/>
  <c r="N7" i="1"/>
  <c r="J11" i="1"/>
  <c r="N8" i="1"/>
  <c r="J8" i="1"/>
  <c r="N11" i="1"/>
  <c r="J7" i="1"/>
  <c r="C5" i="1"/>
  <c r="C4" i="1"/>
  <c r="P5" i="1" s="1"/>
  <c r="I36" i="3" s="1"/>
  <c r="I14" i="1"/>
  <c r="N14" i="1"/>
  <c r="K14" i="1"/>
  <c r="O14" i="1"/>
  <c r="M14" i="1"/>
  <c r="J14" i="1"/>
  <c r="L5" i="1" l="1"/>
  <c r="J5" i="1"/>
  <c r="M5" i="1"/>
  <c r="F36" i="3" l="1"/>
  <c r="C36" i="3"/>
  <c r="E36" i="3"/>
</calcChain>
</file>

<file path=xl/comments1.xml><?xml version="1.0" encoding="utf-8"?>
<comments xmlns="http://schemas.openxmlformats.org/spreadsheetml/2006/main">
  <authors>
    <author>S_member</author>
  </authors>
  <commentList>
    <comment ref="C35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F35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G35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I35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</commentList>
</comments>
</file>

<file path=xl/comments2.xml><?xml version="1.0" encoding="utf-8"?>
<comments xmlns="http://schemas.openxmlformats.org/spreadsheetml/2006/main">
  <authors>
    <author>Thinh Bui Duc</author>
    <author>S_member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Entity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Dto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Interface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Service</t>
        </r>
      </text>
    </comment>
    <comment ref="J4" authorId="1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K4" authorId="1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L4" authorId="1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M4" authorId="1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A6" authorId="1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Không cần trường ID</t>
        </r>
      </text>
    </comment>
  </commentList>
</comments>
</file>

<file path=xl/sharedStrings.xml><?xml version="1.0" encoding="utf-8"?>
<sst xmlns="http://schemas.openxmlformats.org/spreadsheetml/2006/main" count="299" uniqueCount="242">
  <si>
    <t>bigint</t>
  </si>
  <si>
    <t>Checked</t>
  </si>
  <si>
    <t>date</t>
  </si>
  <si>
    <t>varchar(1)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</si>
  <si>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</si>
  <si>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</si>
  <si>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</si>
  <si>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</si>
  <si>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</si>
  <si>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</si>
  <si>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</si>
  <si>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</si>
  <si>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</si>
  <si>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</si>
  <si>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</si>
  <si>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</si>
  <si>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</si>
  <si>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</si>
  <si>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</si>
  <si>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</si>
  <si>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</si>
  <si>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</si>
  <si>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</si>
  <si>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</si>
  <si>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</si>
  <si>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</si>
  <si>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</si>
  <si>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</si>
  <si>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</si>
  <si>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</si>
  <si>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</si>
  <si>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</si>
  <si>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</si>
  <si>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</si>
  <si>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</si>
  <si>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</si>
  <si>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</si>
  <si>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</si>
  <si>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</si>
  <si>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</si>
  <si>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</si>
  <si>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</si>
  <si>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</si>
  <si>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</si>
  <si>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</si>
  <si>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</si>
  <si>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</si>
  <si>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</si>
  <si>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</si>
  <si>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Y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</si>
  <si>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</si>
  <si>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</si>
  <si>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</si>
  <si>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</si>
  <si>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</si>
  <si>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</si>
  <si>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</si>
  <si>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</si>
  <si>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</si>
  <si>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</si>
  <si>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</si>
  <si>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</si>
  <si>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</si>
  <si>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</si>
  <si>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</si>
  <si>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</si>
  <si>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</si>
  <si>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</si>
  <si>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</si>
  <si>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</si>
  <si>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</si>
  <si>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5) Core AppPermissions</t>
  </si>
  <si>
    <t>6) AppAuthorizationProvider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</si>
  <si>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</si>
  <si>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</si>
  <si>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</si>
  <si>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</si>
  <si>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J7</t>
  </si>
  <si>
    <t>I7</t>
  </si>
  <si>
    <t>L7</t>
  </si>
  <si>
    <t>M7</t>
  </si>
  <si>
    <t>N7</t>
  </si>
  <si>
    <t>O7</t>
  </si>
  <si>
    <t>2) Front-End Template</t>
  </si>
  <si>
    <t>DEVELOPER GUIDE</t>
  </si>
  <si>
    <t xml:space="preserve"> 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</si>
  <si>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</si>
  <si>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</si>
  <si>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</si>
  <si>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</si>
  <si>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</si>
  <si>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</si>
  <si>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</si>
  <si>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</si>
  <si>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</si>
  <si>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</si>
  <si>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</si>
  <si>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P7</t>
  </si>
  <si>
    <t>End Field (Service GetAll)</t>
  </si>
  <si>
    <t xml:space="preserve">using Abp.Application.Services.Dto;
using Abp.Authorization;
using Abp.Dapper.Repositories;
using Abp.Domain.Repositories;
using Abp.Domain.Uow;
using Abp.EntityFrameworkCore.Uow;
using Abp.Linq.Extensions;
using Abp.UI;
using Microsoft.EntityFrameworkCore;
using System;
using System.Collections.Generic;
using System.Linq;
using System.Linq.Dynamic.Core;
using System.Threading.Tasks;
using vovina.Authorization;
namespace vovina.Change.To.Appropriate
{
    [AbpAuthorize(AppPermissions.Pages_Permission_To_Access_Object)]
    public class MstWptCalendarAppService : vovinaAppServiceBase, IMstWptCalendarAppService
    {
        private readonly IRepository&lt;MstWptCalendar, long&gt; _repo;
        private readonly IDapperRepository&lt;MstWptCalendar, long&gt; _dapperRepo;
        public MstWptCalendarAppService(IRepository&lt;MstWptCalendar, long&gt; repo, IDapperRepository&lt;MstWptCalendar, long&gt; dapperRepo)
        {
            _repo = repo;
            _dapperRepo = dapperRepo;
        }
        [AbpAuthorize(AppPermissions.Pages_Pages_Permission_To_Save_Infor)]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
   // Replace e.Code va input.Code bang (cac) truong Key cua Entity
            var chk = await _repo.FirstOrDefaultAsync(e =&gt; e.Code == input.Code);
            if (chk != null)
            {
                throw new UserFriendlyException(400, L(""""Mã đã tồn tại"""")); // TODO: Change Message
            }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chk = await _repo.FirstOrDefaultAsync(e =&gt; e.Code == input.Code);
                if (chk != null)
                {
                    throw new UserFriendlyException(400, """"Mã kiểu xe đã tồn tại"""");
                }
                var mainObj = await _repo.GetAll()
                .FirstOrDefaultAsync(e =&gt; e.Id == input.Id);
                var mainObjToUpdate = ObjectMapper.Map(input, mainObj);
            }
        }
        [AbpAuthorize(AppPermissions.Pages_Permission_To_Delete)]
        public async Task Delete(EntityDto input)
        {
   var mainObj = await _repo.FirstOrDefaultAsync(input.Id);
   CurrentUnitOfWork.GetDbContext&lt;vovinaDbContext&gt;().Remove(mainObj);
        }
        public async Task&lt;List&lt;MstWptCalendarDto&gt;&gt; GetAll(GetMstWptCalendarInput input)
        {
            var filtered = _repo.GetAll()
                .WhereIf(!string.IsNullOrWhiteSpace(input.Code), e =&gt; false || e.Code.Contains(input.Code))
                .Where(e =&gt; e.CfId == cfId);
   // TODO: update to map properties
            var lst =  from o in filtered
   select new MstWptCalendarDto
   {
&lt;PROPERTIES&gt;
   };
            return await lst.ToListAsync();
        }
    }
}
</t>
  </si>
  <si>
    <t>SCAN_TYPE</t>
  </si>
  <si>
    <t>varchar(50)</t>
  </si>
  <si>
    <t>SCAN_VALUE</t>
  </si>
  <si>
    <t>SCAN_LOCATION</t>
  </si>
  <si>
    <t>SCAN_TIME</t>
  </si>
  <si>
    <t>datetime2(7)</t>
  </si>
  <si>
    <t>SCAN_BY</t>
  </si>
  <si>
    <t>IS_PROCESSED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</si>
  <si>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</si>
  <si>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</si>
  <si>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</si>
  <si>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</si>
  <si>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</si>
  <si>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</si>
  <si>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</si>
  <si>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</si>
  <si>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</si>
  <si>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</si>
  <si>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</si>
  <si>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</si>
  <si>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</si>
  <si>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Mmm</t>
  </si>
  <si>
    <t>Frm</t>
  </si>
  <si>
    <t>Pts</t>
  </si>
  <si>
    <t>Wld</t>
  </si>
  <si>
    <t>Inf</t>
  </si>
  <si>
    <t>Wpt</t>
  </si>
  <si>
    <t>Bmp</t>
  </si>
  <si>
    <t>Tên viết tắt</t>
  </si>
  <si>
    <t>nvarchar(50)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</si>
  <si>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</si>
  <si>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</si>
  <si>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</si>
  <si>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</si>
  <si>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</si>
  <si>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</si>
  <si>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</si>
  <si>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</si>
  <si>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</si>
  <si>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Painting.Andon</t>
  </si>
  <si>
    <t>PtsAdoScanInfo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</si>
  <si>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</si>
  <si>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</si>
  <si>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</si>
  <si>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</si>
  <si>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</si>
  <si>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</si>
  <si>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</si>
  <si>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</si>
  <si>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</si>
  <si>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</si>
  <si>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</si>
  <si>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</si>
  <si>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</si>
  <si>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</si>
  <si>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</si>
  <si>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</si>
  <si>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</si>
  <si>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</si>
  <si>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</si>
  <si>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</si>
  <si>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</si>
  <si>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</si>
  <si>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</si>
  <si>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</si>
  <si>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</si>
  <si>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</si>
  <si>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</si>
  <si>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</si>
  <si>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</si>
  <si>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</si>
  <si>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</si>
  <si>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</si>
  <si>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</si>
  <si>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</si>
  <si>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</si>
  <si>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</si>
  <si>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</si>
  <si>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</si>
  <si>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</si>
  <si>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</si>
  <si>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</si>
  <si>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</si>
  <si>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</si>
  <si>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</si>
  <si>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</si>
  <si>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</si>
  <si>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</si>
  <si>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</si>
  <si>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</si>
  <si>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</si>
  <si>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</si>
  <si>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</si>
  <si>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</si>
  <si>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</si>
  <si>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</si>
  <si>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</si>
  <si>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</si>
  <si>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</si>
  <si>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</si>
  <si>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</si>
  <si>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</si>
  <si>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</si>
  <si>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</si>
  <si>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</si>
  <si>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</si>
  <si>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</si>
  <si>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</si>
  <si>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</si>
  <si>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</si>
  <si>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</si>
  <si>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</si>
  <si>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</si>
  <si>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</si>
  <si>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</si>
  <si>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</si>
  <si>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</si>
  <si>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</si>
  <si>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</si>
  <si>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</si>
  <si>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</si>
  <si>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</si>
  <si>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</si>
  <si>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</si>
  <si>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Template</t>
  </si>
  <si>
    <t>Copy</t>
  </si>
  <si>
    <t xml:space="preserve">                    {
                        path: 'master/workingpattern/calendar',
                        loadChildren: () =&gt; import('./master/workingpattern/calendar/calendar.module').then(m =&gt; m.CalendarModule),
                        data: { permission: 'Pages.Master.WorkingPattern.Calendar' }
                    },
</t>
  </si>
  <si>
    <t>main-routing.module.ts</t>
  </si>
  <si>
    <t>calendar.component.ts</t>
  </si>
  <si>
    <t>calendar.module.ts</t>
  </si>
  <si>
    <t>create-or-edit-calendar-modal.component.ts</t>
  </si>
  <si>
    <t>create-or-edit-calendar-modal.component.html</t>
  </si>
  <si>
    <t>calendar.component.html</t>
  </si>
  <si>
    <t>calendar.component.less</t>
  </si>
  <si>
    <t>calendar-routing.module.ts</t>
  </si>
  <si>
    <t xml:space="preserve"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
</t>
  </si>
  <si>
    <t xml:space="preserve"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
</t>
  </si>
  <si>
    <t xml:space="preserve">import { Grid, GridOptions, ValueFormatterParams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@Component({
  templateUrl: './calendar.component.html',
  styleUrls: ['./calendar.component.less',],
})
export class CalendarComponent extends AppComponentBase implements OnInit {
  @ViewChild('createOrEditModalCalendar', { static: true }) createOrEditModalCalendar: CreateOrEditCalendarModalComponent | undefined;
  defaultColDefs: CustomColDef[] = [];
  paginationParams: PaginationParamsModel = { pageNum: 1, pageSize: 20, totalCount: 0, skipCount: 0, sorting: '', totalPage: 1 };
  selectedRow: MstWptCalendarDto = new MstWptCalendarDto();
  saveSelectedRow: MstWptCalendarDto = new MstWptCalendarDto();
  datas: MstWptCalendarDto = new MstWptCalendarDto();
  isLoading: boolean = false;
  dataParams: GridParams | undefined;
  rowData: any[] = [];
  filter: string = '';
  workingType: string = '';
  workingStatus: string = '';
  today: Date = new Date();
  pipe = new DatePipe('en-US');
  constructor(
    injector: Injector,
    private _mstwptCalendarService: MstWptCalendarServiceProxy,
    private gridTableService: GridTableService,
    private _fileDownloadService: FileDownloadService,
  ) {
    super(injector);
    this.defaultColDefs = [
          {
            headerName: this.l('STT'),
            headerTooltip: this.l('STT'),
            cellRenderer: (params) =&gt; params.rowIndex + 1,
            cellClass: ['text-center'],
            width: 45,
        },
        {
            headerName: this.l('Working Date'),
            headerTooltip: this.l('Working Date'),
            field: 'workingDate',
            valueGetter: params =&gt; this.pipe.transform(params.data?.workingDate, 'dd/MM/yyyy'),
            flex: 1,
        },
        {
            headerName: this.l('Working Type'),
            headerTooltip: this.l('Working Type'),
            field: 'workingType',
            flex: 1,
        },
        {
          headerName: this.l('Working Status'),
          headerTooltip: this.l('Working Status'),
          field: 'workingStatus',
          flex: 1,
        },
        {
          headerName: this.l('Season Type'),
          headerTooltip: this.l('Season Type'),
          field: 'seasonType',
          flex: 1,
        },
        {
          headerName: this.l('Day Of Week'),
          headerTooltip: this.l('Day Of Week'),
          field: 'dayOfWeek',
          flex: 1,
        },
        {
          headerName: this.l('Week Number'),
          headerTooltip: this.l('Week Number'),
          field: 'weekNumber',
          flex: 1,
        },
        {
          headerName: this.l('Week Working Days'),
          headerTooltip: this.l('Week Working Days'),
          field: 'weekWorkingDays',
          flex: 1,
        },
        {
          headerName: this.l('Is Active'),
          headerTooltip: this.l('Is Active'),
          field: 'isActive',
          valueGetter: params  =&gt; (params.data?.isActive == 1) ? 'Y' : 'N',
          flex: 1,
        },
    ];
   }
  ngOnInit(): void {
    this.paginationParams = { pageNum: 1, pageSize: 20, totalCount: 0 };
  }
  searchDatas(): void {
    this._mstwptCalendarService.getAll(undefined,this.workingType,this.workingStatus,undefined,'','')
    .subscribe((result) =&gt; {
        this.rowData = result.items;
    });
  }
  clearTextSearch(){
    this.workingType = '';
    this.workingStatus = '';
    this.searchDatas();
  }
  getDatas(paginationParams?: PaginationParamsModel) {
      return this._mstwptCalendarService.getAll(undefined,'','',undefined,'','');
  }
    onChangeRowSelection(params: { api: { getSelectedRows: () =&gt; MstWptCalendarDto[]; }; }) {
      this.saveSelectedRow = params.api.getSelectedRows()[0] ?? new MstWptCalendarDto();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MstWptCalendarDto): void {
      this.message.confirm(
          this.l('AreYouSureToDelete', system.workingType),"Delete Row",
          isConfirmed =&gt; {
              if (isConfirmed) {
                  this._mstwptCalendarService.delete(system.id).subscribe(()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this._mstwptCalendarService.getCalendarToExcel(undefined,'','',undefined,'','')
        .subscribe(result =&gt; {
            this._fileDownloadService.downloadTempFile(result);
        });
    }
}
</t>
  </si>
  <si>
    <t>/* 
*/</t>
  </si>
  <si>
    <t xml:space="preserve"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l('Master Working Pattern Calendar')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class="input-search"&gt;
                                    &lt;input [(ngModel)]="workingType" name="workingType" autoFocus
                                    class="form-control" [placeholder]="l('Working Status')"
                                    type="text"&gt;&lt;/div&gt;
                                &lt;div class="input-search"&gt;
                                    &lt;input [(ngModel)]="workingStatus" name="workingStatus" autoFocus
                                    class="form-control" [placeholder]="l('Working Status')"
                                    type="text"&gt;&lt;/div&gt;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[defaultColDef]="defaultColDefs"
                                (callBackEvent)="callBackDataGrid($event)"
                                (onChangeSelection)="onChangeRowSelection($event)"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
</t>
  </si>
  <si>
    <t xml:space="preserve">&lt;div bsModal #createOrEditModalCalendar="bs-modal" class="modal fade i-g-12 ui-md-12" role="dialog" [config]="{ backdrop: 'static' }"&gt;
    &lt;div class="modal-dialog modal-lg"&gt;
        &lt;div class="modal-content i-g-12 ui-md-12"&gt;
            &lt;div class="modal-header i-g-12 ui-md-12"&gt;
                &lt;h6 class="modal-title"&gt;
                    &lt;span *ngIf="rowdata.id"&gt;{{ l('Edit Calendar') }}&lt;/span&gt;
                    &lt;span *ngIf="!rowdata.id"&gt;{{ l('Create New Calendar') }}&lt;/span&gt;
                &lt;/h6&gt;
                &lt;button type="button" (click)="close()" class="close text-right" data-dismiss="modal" aria-label="Close"&gt;
                    &lt;span aria-hidden="true"&gt;&amp;times;&lt;/span&gt;
                &lt;/button&gt;
            &lt;/div&gt;
        &lt;/div&gt;
        &lt;div class="modal-content i-g-12 ui-md-12"&gt;
            &lt;form #applyBpForm="ngForm" (ngSubmit)="save()" autocomplete="off"&gt;
                &lt;div class="formbody"&gt;
                    &lt;div class="ui-g-12 ui-md-6"&gt;
                        &lt;tmss-text-input name="workingDate" 
                        [text]="'Working Date'" [(ngModel)]="rowdata.workingDate"&gt;&lt;/tmss-text-input&gt;
                    &lt;/div&gt;
                    &lt;div class="ui-g-12 ui-md-6"&gt;
                        &lt;tmss-text-input name="workingType" [isDisabled]="false"
                        [text]="'Working Type'" [(ngModel)]="rowdata.workingType"&gt;&lt;/tmss-text-input&gt;
                    &lt;/div&gt;
                    &lt;div class="ui-g-12 ui-md-6"&gt;
                        &lt;tmss-text-input name="workingStatus" 
                        [text]="'Working Status'" [(ngModel)]="rowdata.workingStatus"&gt;&lt;/tmss-text-input&gt;
                    &lt;/div&gt;
                    &lt;div class="ui-g-12 ui-md-6"&gt;
                        &lt;tmss-text-input name="seasonType" 
                        [text]="'Season Type'" [(ngModel)]="rowdata.seasonType"&gt;&lt;/tmss-text-input&gt;
                    &lt;/div&gt;
                    &lt;div class="ui-g-12 ui-md-6"&gt;
                        &lt;tmss-text-input name="dayOfWeek" 
                        [text]="'Day Of Week'" [(ngModel)]="rowdata.dayOfWeek"&gt;&lt;/tmss-text-input&gt;
                    &lt;/div&gt;
                    &lt;div class="ui-g-12 ui-md-6"&gt;
                        &lt;tmss-text-input name="weekNumber" 
                        [text]="'Week Number'" [(ngModel)]="rowdata.weekNumber"&gt;&lt;/tmss-text-input&gt;
                    &lt;/div&gt;
                    &lt;div class="ui-g-12 ui-md-6"&gt;
                        &lt;tmss-text-input name="weekWorkingDays" 
                        [text]="'Week Working Days'" [(ngModel)]="rowdata.weekWorkingDays"&gt;&lt;/tmss-text-input&gt;
                    &lt;/div&gt;
                    &lt;div class="ui-g-12 ui-md-6"&gt;
                        &lt;tmss-text-input name="isActive" 
                        [text]="'Is Active'" [(ngModel)]="rowdata.isActive"&gt;&lt;/tmss-text-input&gt;
                    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
            &lt;/form&gt;
        &lt;/div&gt;
    &lt;/div&gt;
&lt;/div&gt;
</t>
  </si>
  <si>
    <t>import { Component, ViewChild, Injector, ElementRef, Output, EventEmitter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@Component({
  selector: 'create-or-edit-calendar-modal',
  templateUrl: './create-or-edit-calendar-modal.component.html'
})
export class CreateOrEditCalendarModalComponent extends AppComponentBase {
  @ViewChild('createOrEditModalCalendar', { static: true }) modal: ModalDirective | undefined;
  @ViewChild('nameInput') nameInput: ElementRef;
  @Output() modalSave: EventEmitter&lt;any&gt; = new EventEmitter&lt;any&gt;();
  @Output() modalClose: EventEmitter&lt;any&gt; = new EventEmitter&lt;any&gt;();
  rowdata: CreateOrEditMstWptCalendarDto = new CreateOrEditMstWptCalendarDto();
  active: boolean = false;
  saving: boolean = false;
  constructor(
    injector: Injector,
    private _mstwptCalendarService: MstWptCalendarServiceProxy,
    ) {
    super(injector);
  }
  show(rowdata?: CreateOrEditMstWptCalendarDto): void {
    if (!rowdata) this.rowdata = new CreateOrEditMstWptCalendarDto();
    else this.rowdata = rowdata;
    this.active = true;
    this.modal.show();
  } 
  save(): void {
    this.saving = true;
    this._mstwptCalendarService.createOrEdit(this.rowdata)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</si>
</sst>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5" borderId="0" xfId="0" applyFill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6" borderId="0" xfId="0" applyFont="1" applyFill="1"/>
    <xf numFmtId="0" fontId="0" fillId="6" borderId="0" xfId="0" applyFill="1"/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8" borderId="0" xfId="0" applyFill="1" applyAlignment="1">
      <alignment wrapText="1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42"/>
  <sheetViews>
    <sheetView topLeftCell="A27" workbookViewId="0">
      <selection activeCell="C40" sqref="C40"/>
    </sheetView>
  </sheetViews>
  <sheetFormatPr defaultRowHeight="15" x14ac:dyDescent="0.25"/>
  <cols>
    <col min="1" max="1" width="3.5703125" customWidth="1"/>
    <col min="2" max="2" width="18.5703125" customWidth="1"/>
    <col min="3" max="10" width="26.140625" customWidth="1"/>
    <col min="11" max="18" width="18.5703125" customWidth="1"/>
  </cols>
  <sheetData>
    <row r="1" spans="1:6" ht="23.25" x14ac:dyDescent="0.35">
      <c r="A1" s="20" t="s">
        <v>84</v>
      </c>
    </row>
    <row r="2" spans="1:6" ht="15.75" x14ac:dyDescent="0.25">
      <c r="A2" s="1"/>
      <c r="B2" s="34" t="s">
        <v>222</v>
      </c>
    </row>
    <row r="3" spans="1:6" x14ac:dyDescent="0.25">
      <c r="A3" s="1"/>
      <c r="B3" s="1" t="s">
        <v>88</v>
      </c>
    </row>
    <row r="4" spans="1:6" x14ac:dyDescent="0.25">
      <c r="A4" s="1"/>
      <c r="B4" s="24" t="s">
        <v>87</v>
      </c>
    </row>
    <row r="5" spans="1:6" x14ac:dyDescent="0.25">
      <c r="A5" s="1"/>
      <c r="B5" s="24" t="s">
        <v>90</v>
      </c>
    </row>
    <row r="6" spans="1:6" x14ac:dyDescent="0.25">
      <c r="A6" s="1"/>
      <c r="B6" s="24" t="s">
        <v>109</v>
      </c>
    </row>
    <row r="7" spans="1:6" x14ac:dyDescent="0.25">
      <c r="A7" s="1"/>
      <c r="B7" s="24"/>
      <c r="C7" s="2" t="s">
        <v>119</v>
      </c>
      <c r="D7" s="2"/>
      <c r="E7" s="2"/>
      <c r="F7" s="2" t="s">
        <v>128</v>
      </c>
    </row>
    <row r="8" spans="1:6" x14ac:dyDescent="0.25">
      <c r="A8" s="1"/>
      <c r="B8" s="24"/>
      <c r="C8" t="s">
        <v>110</v>
      </c>
      <c r="F8" s="1" t="s">
        <v>120</v>
      </c>
    </row>
    <row r="9" spans="1:6" x14ac:dyDescent="0.25">
      <c r="A9" s="1"/>
      <c r="B9" s="24"/>
      <c r="D9" t="s">
        <v>111</v>
      </c>
      <c r="F9" s="1" t="s">
        <v>121</v>
      </c>
    </row>
    <row r="10" spans="1:6" x14ac:dyDescent="0.25">
      <c r="A10" s="1"/>
      <c r="B10" s="24"/>
      <c r="D10" t="s">
        <v>112</v>
      </c>
      <c r="F10" s="1" t="s">
        <v>122</v>
      </c>
    </row>
    <row r="11" spans="1:6" x14ac:dyDescent="0.25">
      <c r="A11" s="1"/>
      <c r="B11" s="24"/>
      <c r="D11" t="s">
        <v>113</v>
      </c>
      <c r="F11" s="1" t="s">
        <v>123</v>
      </c>
    </row>
    <row r="12" spans="1:6" x14ac:dyDescent="0.25">
      <c r="A12" s="1"/>
      <c r="B12" s="24"/>
      <c r="D12" t="s">
        <v>114</v>
      </c>
      <c r="F12" s="1" t="s">
        <v>124</v>
      </c>
    </row>
    <row r="13" spans="1:6" x14ac:dyDescent="0.25">
      <c r="A13" s="1"/>
      <c r="B13" s="24"/>
      <c r="D13" t="s">
        <v>115</v>
      </c>
      <c r="F13" s="1" t="s">
        <v>125</v>
      </c>
    </row>
    <row r="14" spans="1:6" x14ac:dyDescent="0.25">
      <c r="A14" s="1"/>
      <c r="B14" s="24"/>
      <c r="D14" t="s">
        <v>116</v>
      </c>
      <c r="F14" s="1" t="s">
        <v>126</v>
      </c>
    </row>
    <row r="15" spans="1:6" x14ac:dyDescent="0.25">
      <c r="A15" s="1"/>
      <c r="B15" s="24"/>
      <c r="C15" t="s">
        <v>113</v>
      </c>
      <c r="F15" s="1" t="s">
        <v>123</v>
      </c>
    </row>
    <row r="16" spans="1:6" x14ac:dyDescent="0.25">
      <c r="A16" s="1"/>
      <c r="B16" s="24"/>
      <c r="D16" t="s">
        <v>117</v>
      </c>
      <c r="F16" s="1" t="s">
        <v>138</v>
      </c>
    </row>
    <row r="17" spans="1:6" x14ac:dyDescent="0.25">
      <c r="A17" s="1"/>
      <c r="B17" s="24"/>
      <c r="D17" t="s">
        <v>118</v>
      </c>
      <c r="F17" s="1" t="s">
        <v>127</v>
      </c>
    </row>
    <row r="18" spans="1:6" x14ac:dyDescent="0.25">
      <c r="A18" s="1"/>
      <c r="B18" s="24"/>
      <c r="C18" t="s">
        <v>114</v>
      </c>
      <c r="F18" s="1" t="s">
        <v>124</v>
      </c>
    </row>
    <row r="19" spans="1:6" x14ac:dyDescent="0.25">
      <c r="A19" s="1"/>
      <c r="B19" s="24"/>
      <c r="C19" t="s">
        <v>115</v>
      </c>
      <c r="F19" s="1" t="s">
        <v>125</v>
      </c>
    </row>
    <row r="20" spans="1:6" x14ac:dyDescent="0.25">
      <c r="A20" s="1"/>
      <c r="B20" s="24"/>
    </row>
    <row r="21" spans="1:6" x14ac:dyDescent="0.25">
      <c r="A21" s="1"/>
      <c r="B21" s="24" t="s">
        <v>108</v>
      </c>
    </row>
    <row r="22" spans="1:6" x14ac:dyDescent="0.25">
      <c r="A22" s="1"/>
      <c r="B22" s="24" t="s">
        <v>95</v>
      </c>
    </row>
    <row r="23" spans="1:6" x14ac:dyDescent="0.25">
      <c r="A23" s="1"/>
      <c r="B23" s="24"/>
      <c r="C23" s="26" t="s">
        <v>92</v>
      </c>
    </row>
    <row r="24" spans="1:6" x14ac:dyDescent="0.25">
      <c r="A24" s="1"/>
      <c r="B24" s="24"/>
      <c r="C24" s="25" t="s">
        <v>93</v>
      </c>
    </row>
    <row r="25" spans="1:6" x14ac:dyDescent="0.25">
      <c r="A25" s="1"/>
      <c r="B25" s="24"/>
      <c r="C25" s="25" t="s">
        <v>94</v>
      </c>
    </row>
    <row r="26" spans="1:6" x14ac:dyDescent="0.25">
      <c r="A26" s="1"/>
      <c r="B26" s="24" t="s">
        <v>130</v>
      </c>
      <c r="C26" s="25"/>
    </row>
    <row r="27" spans="1:6" x14ac:dyDescent="0.25">
      <c r="A27" s="1"/>
      <c r="B27" s="24"/>
      <c r="C27" s="25" t="s">
        <v>131</v>
      </c>
    </row>
    <row r="28" spans="1:6" x14ac:dyDescent="0.25">
      <c r="A28" s="1"/>
      <c r="B28" s="24"/>
      <c r="C28" s="25" t="s">
        <v>132</v>
      </c>
    </row>
    <row r="29" spans="1:6" x14ac:dyDescent="0.25">
      <c r="A29" s="1"/>
      <c r="B29" s="24"/>
      <c r="C29" s="25" t="s">
        <v>133</v>
      </c>
    </row>
    <row r="30" spans="1:6" x14ac:dyDescent="0.25">
      <c r="A30" s="1"/>
      <c r="B30" s="24"/>
      <c r="C30" s="25" t="s">
        <v>135</v>
      </c>
    </row>
    <row r="31" spans="1:6" x14ac:dyDescent="0.25">
      <c r="A31" s="1"/>
      <c r="B31" s="24"/>
      <c r="C31" s="25" t="s">
        <v>137</v>
      </c>
    </row>
    <row r="32" spans="1:6" x14ac:dyDescent="0.25">
      <c r="A32" s="1"/>
      <c r="B32" s="24"/>
      <c r="C32" s="25" t="s">
        <v>136</v>
      </c>
    </row>
    <row r="33" spans="1:11" x14ac:dyDescent="0.25">
      <c r="A33" s="1"/>
      <c r="B33" s="24"/>
      <c r="C33" s="25" t="s">
        <v>134</v>
      </c>
    </row>
    <row r="34" spans="1:11" ht="21" customHeight="1" x14ac:dyDescent="0.25">
      <c r="B34" s="28" t="s">
        <v>89</v>
      </c>
    </row>
    <row r="35" spans="1:11" ht="15.75" thickBot="1" x14ac:dyDescent="0.3">
      <c r="C35" s="1" t="s">
        <v>76</v>
      </c>
      <c r="D35" s="1" t="s">
        <v>68</v>
      </c>
      <c r="E35" s="1" t="s">
        <v>69</v>
      </c>
      <c r="F35" s="1" t="s">
        <v>70</v>
      </c>
      <c r="G35" s="1" t="s">
        <v>71</v>
      </c>
      <c r="H35" s="1" t="s">
        <v>72</v>
      </c>
      <c r="I35" s="1" t="s">
        <v>73</v>
      </c>
      <c r="J35" s="1" t="s">
        <v>74</v>
      </c>
    </row>
    <row r="36" spans="1:11" s="21" customFormat="1" ht="21.75" customHeight="1" thickBot="1" x14ac:dyDescent="0.3">
      <c r="C36" s="22" t="str">
        <f ca="1">A.Backend!J5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public virtual DateTime ScanTime { get; set; }
		[StringLength(MaxScanByLength)]
		public virtual string ScanBy { get; set; }
		[StringLength(MaxIsProcessedLength)]
		public virtual string IsProcessed { get; set; }
	}
}
</v>
      </c>
      <c r="D36" s="22" t="str">
        <f>A.Backend!K5</f>
        <v xml:space="preserve">public virtual DbSet&lt;PtsAdoScanInfo&gt; PtsAdoScanInfos { get; set; }
</v>
      </c>
      <c r="E36" s="22" t="str">
        <f ca="1">A.Backend!L5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F36" s="22" t="str">
        <f ca="1">A.Backend!M5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public virtual DateTime ScanTime { get; set; }
		[StringLength(PtsAdoScanInfoConsts.MaxScanByLength)]
		public virtual string ScanBy { get; set; }
		[StringLength(PtsAdoScanInfoConsts.MaxIsProcessedLength)]
		public virtual string IsProcessed { get; set; }
	}
	public class GetPtsAdoScanInfoInput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G36" s="22" t="str">
        <f>A.Backend!N5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H36" s="22" t="str">
        <f>A.Backend!O5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I36" s="22" t="str">
        <f>A.Backend!P5</f>
        <v xml:space="preserve">using Abp.Application.Services;
using Abp.Application.Services.Dto;
using System.Collections.Generic;
using System.Threading.Tasks;
using vovina.Painting.Andon.Dto;
namespace vovina.Painting.Andon
{
	public interface IPtsAdoScanInfoAppService : IApplicationService
	{
		Task&lt;List&lt;PtsAdoScanInfoDto&gt;&gt; GetAll(GetPtsAdoScanInfoInput input);
		Task CreateOrEdit(CreateOrEditPtsAdoScanInfoDto input);
		Task Delete(EntityDto input);
	}
}
</v>
      </c>
      <c r="J36" s="22" t="str">
        <f ca="1">A.Backend!Q5</f>
        <v xml:space="preserve">using Abp.Application.Services.Dto;
using Abp.Authorization;
using Abp.Dapper.Repositories;
using Abp.Domain.Repositories;
using Abp.Domain.Uow;
using Abp.EntityFrameworkCore.Uow;
using Abp.Linq.Extensions;
using Abp.UI;
using Microsoft.EntityFrameworkCore;
using System;
using System.Collections.Generic;
using System.Linq;
using System.Linq.Dynamic.Core;
using System.Threading.Tasks;
using vovina.Authorization;
namespace vovina.Change.To.Appropriate
{
    [AbpAuthorize(AppPermissions.Pages_Permission_To_Access_Object)]
    public class PtsAdoScanInfoAppService : vovinaAppServiceBase, IPtsAdoScanInfoAppService
    {
        private readonly IRepository&lt;PtsAdoScanInfo, long&gt; _repo;
        private readonly IDapperRepository&lt;PtsAdoScanInfo, long&gt; _dapperRepo;
        public PtsAdoScanInfoAppService(IRepository&lt;PtsAdoScanInfo, long&gt; repo, IDapperRepository&lt;PtsAdoScanInfo, long&gt; dapperRepo)
        {
            _repo = repo;
            _dapperRepo = dapperRepo;
        }
        [AbpAuthorize(AppPermissions.Pages_Pages_Permission_To_Save_Infor)]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
   // Replace e.Code va input.Code bang (cac) truong Key cua Entity
            var chk = await _repo.FirstOrDefaultAsync(e =&gt; e.Code == input.Code);
            if (chk != null)
            {
                throw new UserFriendlyException(400, L(""""Mã đã tồn tại"""")); // TODO: Change Message
            }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chk = await _repo.FirstOrDefaultAsync(e =&gt; e.Code == input.Code);
                if (chk != null)
                {
                    throw new UserFriendlyException(400, """"Mã kiểu xe đã tồn tại"""");
                }
                var mainObj = await _repo.GetAll()
                .FirstOrDefaultAsync(e =&gt; e.Id == input.Id);
                var mainObjToUpdate = ObjectMapper.Map(input, mainObj);
            }
        }
        [AbpAuthorize(AppPermissions.Pages_Permission_To_Delete)]
        public async Task Delete(EntityDto input)
        {
   var mainObj = await _repo.FirstOrDefaultAsync(input.Id);
   CurrentUnitOfWork.GetDbContext&lt;vovinaDbContext&gt;().Remove(mainObj);
        }
        public async Task&lt;List&lt;PtsAdoScanInfoDto&gt;&gt; GetAll(GetPtsAdoScanInfoInput input)
        {
            var filtered = _repo.GetAll()
                .WhereIf(!string.IsNullOrWhiteSpace(input.Code), e =&gt; false || e.Code.Contains(input.Code))
                .Where(e =&gt; e.CfId == cfId);
   // TODO: update to map properties
            var lst =  from o in filtered
   select new PtsAdoScanInfoDto
   {
							ScanType = o.ScanType,
							ScanValue = o.ScanValue,
							ScanLocation = o.ScanLocation,
							ScanTime = o.ScanTime,
							ScanBy = o.ScanBy,
							IsProcessed = o.IsProcessed,
   };
            return await lst.ToListAsync();
        }
    }
}
</v>
      </c>
      <c r="K36" s="21" t="s">
        <v>85</v>
      </c>
    </row>
    <row r="37" spans="1:11" x14ac:dyDescent="0.25">
      <c r="B37" s="1" t="s">
        <v>83</v>
      </c>
    </row>
    <row r="38" spans="1:11" x14ac:dyDescent="0.25">
      <c r="C38" s="1" t="s">
        <v>230</v>
      </c>
      <c r="D38" s="1" t="s">
        <v>231</v>
      </c>
      <c r="E38" s="1" t="s">
        <v>232</v>
      </c>
      <c r="F38" s="1" t="s">
        <v>233</v>
      </c>
      <c r="G38" s="1" t="s">
        <v>228</v>
      </c>
      <c r="H38" s="1" t="s">
        <v>234</v>
      </c>
      <c r="I38" s="1" t="s">
        <v>229</v>
      </c>
      <c r="J38" s="1" t="s">
        <v>227</v>
      </c>
    </row>
    <row r="39" spans="1:11" s="35" customFormat="1" ht="18" customHeight="1" thickBot="1" x14ac:dyDescent="0.3">
      <c r="B39" s="35" t="s">
        <v>224</v>
      </c>
      <c r="C39" s="35" t="s">
        <v>241</v>
      </c>
      <c r="D39" s="35" t="s">
        <v>240</v>
      </c>
      <c r="E39" s="35" t="s">
        <v>239</v>
      </c>
      <c r="F39" s="35" t="s">
        <v>238</v>
      </c>
      <c r="G39" s="35" t="s">
        <v>237</v>
      </c>
      <c r="H39" s="35" t="s">
        <v>236</v>
      </c>
      <c r="I39" s="35" t="s">
        <v>235</v>
      </c>
      <c r="J39" s="35" t="s">
        <v>226</v>
      </c>
    </row>
    <row r="40" spans="1:11" ht="15.75" thickBot="1" x14ac:dyDescent="0.3">
      <c r="B40" t="s">
        <v>225</v>
      </c>
      <c r="C40" s="22"/>
      <c r="D40" s="22"/>
      <c r="E40" s="22"/>
      <c r="F40" s="22"/>
      <c r="G40" s="22"/>
      <c r="H40" s="22"/>
      <c r="I40" s="22"/>
      <c r="J40" s="22"/>
    </row>
    <row r="42" spans="1:11" x14ac:dyDescent="0.25">
      <c r="B42" s="1" t="s">
        <v>86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4"/>
  <sheetViews>
    <sheetView tabSelected="1" workbookViewId="0">
      <pane xSplit="1" topLeftCell="G1" activePane="topRight" state="frozen"/>
      <selection pane="topRight" activeCell="Q7" sqref="Q7"/>
    </sheetView>
  </sheetViews>
  <sheetFormatPr defaultColWidth="9.140625" defaultRowHeight="15" x14ac:dyDescent="0.25"/>
  <cols>
    <col min="1" max="1" width="21.85546875" style="9" bestFit="1" customWidth="1"/>
    <col min="2" max="2" width="21.85546875" style="10" customWidth="1"/>
    <col min="3" max="3" width="19.42578125" style="9" customWidth="1"/>
    <col min="4" max="4" width="23.42578125" style="9" customWidth="1"/>
    <col min="5" max="5" width="14.42578125" style="9" customWidth="1"/>
    <col min="6" max="6" width="14.85546875" style="9" customWidth="1"/>
    <col min="7" max="7" width="17.28515625" style="9" bestFit="1" customWidth="1"/>
    <col min="8" max="8" width="17.28515625" style="9" customWidth="1"/>
    <col min="9" max="9" width="16" style="9" customWidth="1"/>
    <col min="10" max="13" width="23.140625" style="9" customWidth="1"/>
    <col min="14" max="14" width="22.85546875" style="9" customWidth="1"/>
    <col min="15" max="15" width="17.42578125" style="9" customWidth="1"/>
    <col min="16" max="16" width="22.28515625" style="9" customWidth="1"/>
    <col min="17" max="17" width="28" style="9" customWidth="1"/>
    <col min="18" max="16384" width="9.140625" style="9"/>
  </cols>
  <sheetData>
    <row r="1" spans="1:17" s="12" customFormat="1" ht="14.25" customHeight="1" x14ac:dyDescent="0.25">
      <c r="A1" s="1" t="s">
        <v>12</v>
      </c>
      <c r="B1" s="11" t="s">
        <v>75</v>
      </c>
      <c r="C1" s="11" t="s">
        <v>56</v>
      </c>
      <c r="D1" s="11" t="str">
        <f>"using Abp.Application.Services;
using Abp.Application.Services.Dto;
using System.Collections.Generic;
using System.Threading.Tasks;
"&amp;"using vovina."&amp;B2&amp;".Dto;"</f>
        <v>using Abp.Application.Services;
using Abp.Application.Services.Dto;
using System.Collections.Generic;
using System.Threading.Tasks;
using vovina.Painting.Andon.Dto;</v>
      </c>
      <c r="E1" s="11" t="s">
        <v>99</v>
      </c>
      <c r="F1" s="12" t="s">
        <v>77</v>
      </c>
      <c r="H1" s="12" t="s">
        <v>78</v>
      </c>
      <c r="J1" s="12" t="s">
        <v>79</v>
      </c>
      <c r="L1" s="12" t="s">
        <v>80</v>
      </c>
      <c r="M1" s="12" t="s">
        <v>81</v>
      </c>
      <c r="N1" s="12" t="s">
        <v>82</v>
      </c>
      <c r="O1" s="12" t="s">
        <v>97</v>
      </c>
    </row>
    <row r="2" spans="1:17" s="12" customFormat="1" x14ac:dyDescent="0.25">
      <c r="A2" s="1" t="s">
        <v>13</v>
      </c>
      <c r="B2" s="23" t="s">
        <v>139</v>
      </c>
      <c r="C2" s="19" t="s">
        <v>41</v>
      </c>
      <c r="D2" s="19" t="s">
        <v>42</v>
      </c>
      <c r="E2" s="19" t="s">
        <v>43</v>
      </c>
      <c r="F2" s="19" t="s">
        <v>53</v>
      </c>
      <c r="G2" s="19" t="s">
        <v>51</v>
      </c>
      <c r="H2" s="19" t="s">
        <v>54</v>
      </c>
      <c r="I2" s="19" t="s">
        <v>46</v>
      </c>
      <c r="J2" s="19" t="s">
        <v>55</v>
      </c>
      <c r="K2" s="19" t="s">
        <v>57</v>
      </c>
      <c r="L2" s="19" t="s">
        <v>64</v>
      </c>
      <c r="M2" s="19" t="s">
        <v>63</v>
      </c>
      <c r="N2" s="19" t="s">
        <v>67</v>
      </c>
      <c r="O2" s="19" t="s">
        <v>98</v>
      </c>
    </row>
    <row r="3" spans="1:17" s="12" customFormat="1" ht="33" customHeight="1" x14ac:dyDescent="0.25">
      <c r="A3" s="1" t="s">
        <v>6</v>
      </c>
      <c r="B3" s="23" t="s">
        <v>140</v>
      </c>
      <c r="C3" s="11" t="s">
        <v>44</v>
      </c>
      <c r="D3" s="11" t="s">
        <v>45</v>
      </c>
      <c r="E3" s="11" t="s">
        <v>40</v>
      </c>
      <c r="F3" s="12" t="str">
        <f>"J"&amp;COUNTA($A:$A)</f>
        <v>J12</v>
      </c>
      <c r="G3" s="4" t="s">
        <v>59</v>
      </c>
      <c r="H3" s="11" t="str">
        <f>"I"&amp;COUNTA($A:$A)</f>
        <v>I12</v>
      </c>
      <c r="I3" s="11" t="str">
        <f>REPT(CHAR(9),2)&amp;"[Required]"&amp;"
"</f>
        <v xml:space="preserve">		[Required]
</v>
      </c>
      <c r="J3" s="12" t="str">
        <f>"L"&amp;COUNTA($A:$A)</f>
        <v>L12</v>
      </c>
      <c r="K3" s="5" t="s">
        <v>58</v>
      </c>
      <c r="L3" s="12" t="str">
        <f>"M"&amp;COUNTA($A:$A)</f>
        <v>M12</v>
      </c>
      <c r="M3" s="12" t="str">
        <f>"N"&amp;COUNTA($A:$A)</f>
        <v>N12</v>
      </c>
      <c r="N3" s="12" t="str">
        <f>"O"&amp;COUNTA($A:$A)</f>
        <v>O12</v>
      </c>
      <c r="O3" s="12" t="str">
        <f>"P"&amp;COUNTA($A:$A)</f>
        <v>P12</v>
      </c>
    </row>
    <row r="4" spans="1:17" customFormat="1" ht="16.5" customHeight="1" x14ac:dyDescent="0.25">
      <c r="A4" s="1" t="s">
        <v>7</v>
      </c>
      <c r="B4" s="11" t="str">
        <f>"vovina."&amp;B2</f>
        <v>vovina.Painting.Andon</v>
      </c>
      <c r="C4" s="12" t="str">
        <f>"namespace "&amp;$B$4&amp;"
"&amp;$C$3</f>
        <v xml:space="preserve">namespace vovina.Painting.Andon
{
</v>
      </c>
      <c r="D4" s="12" t="str">
        <f>REPT(CHAR(9),1)&amp;"public class "&amp;B3&amp;G3&amp;REPT(CHAR(9),1)&amp;"
"&amp;REPT(CHAR(9),1)&amp;C3</f>
        <v xml:space="preserve">	public class PtsAdoScanInfo: FullAuditedEntity&lt;long&gt;, IEntity&lt;long&gt;	
	{
</v>
      </c>
      <c r="E4" s="12" t="str">
        <f>REPT(CHAR(9),1)&amp;"public class "&amp;B3&amp;"Consts"&amp;REPT(CHAR(9),1)&amp;"
"&amp;REPT(CHAR(9),1)&amp;C3</f>
        <v xml:space="preserve">	public class PtsAdoScanInfoConsts	
	{
</v>
      </c>
      <c r="F4" s="12" t="str">
        <f>REPT(CHAR(9),1)&amp;"public class "&amp;B3&amp;"Dto"&amp;K3&amp;REPT(CHAR(9),1)&amp;"
"&amp;REPT(CHAR(9),1)&amp;C3</f>
        <v xml:space="preserve">	public class PtsAdoScanInfoDto : EntityDto&lt;long?&gt;	
	{
</v>
      </c>
      <c r="G4" s="12" t="str">
        <f>REPT(CHAR(9),1)&amp;"public class CreateOrEdit"&amp;B3&amp;"Dto"&amp;K3&amp;REPT(CHAR(9),1)&amp;"
"&amp;REPT(CHAR(9),1)&amp;C3</f>
        <v xml:space="preserve">	public class CreateOrEditPtsAdoScanInfoDto : EntityDto&lt;long?&gt;	
	{
</v>
      </c>
      <c r="H4" s="12" t="str">
        <f>REPT(CHAR(9),1)&amp;"public class Get"&amp;B3&amp;"Input"&amp;REPT(CHAR(9),1)&amp;"
"&amp;REPT(CHAR(9),1)&amp;C3</f>
        <v xml:space="preserve">	public class GetPtsAdoScanInfoInput	
	{
</v>
      </c>
      <c r="I4" s="12"/>
      <c r="J4" s="1" t="s">
        <v>76</v>
      </c>
      <c r="K4" s="1" t="s">
        <v>68</v>
      </c>
      <c r="L4" s="1" t="s">
        <v>69</v>
      </c>
      <c r="M4" s="1" t="s">
        <v>70</v>
      </c>
      <c r="N4" s="1" t="s">
        <v>71</v>
      </c>
      <c r="O4" s="1" t="s">
        <v>72</v>
      </c>
      <c r="P4" s="1" t="s">
        <v>73</v>
      </c>
      <c r="Q4" s="1" t="s">
        <v>74</v>
      </c>
    </row>
    <row r="5" spans="1:17" customFormat="1" x14ac:dyDescent="0.25">
      <c r="A5" s="1" t="s">
        <v>14</v>
      </c>
      <c r="B5" s="11" t="str">
        <f>B3</f>
        <v>PtsAdoScanInfo</v>
      </c>
      <c r="C5" s="12" t="str">
        <f>REPT(CHAR(9),1)&amp;"[Table("""&amp;B5&amp;""")]"&amp;"
"</f>
        <v xml:space="preserve">	[Table("PtsAdoScanInfo")]
</v>
      </c>
      <c r="D5" s="12"/>
      <c r="E5" s="12"/>
      <c r="F5" s="12"/>
      <c r="G5" s="12"/>
      <c r="H5" s="12"/>
      <c r="I5" s="12"/>
      <c r="J5" s="6" t="str">
        <f ca="1">B1&amp;C4&amp;C5&amp;K14&amp;D4&amp;I14&amp;E3&amp;J14&amp;"
"&amp;REPT(CHAR(9),1)&amp;D3&amp;D3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public virtual DateTime ScanTime { get; set; }
		[StringLength(MaxScanByLength)]
		public virtual string ScanBy { get; set; }
		[StringLength(MaxIsProcessedLength)]
		public virtual string IsProcessed { get; set; }
	}
}
</v>
      </c>
      <c r="K5" t="str">
        <f>"public virtual DbSet&lt;"&amp;B3&amp;"&gt; "&amp;B3&amp;"s { get; set; }
"</f>
        <v xml:space="preserve">public virtual DbSet&lt;PtsAdoScanInfo&gt; PtsAdoScanInfos { get; set; }
</v>
      </c>
      <c r="L5" t="str">
        <f ca="1">C4&amp;E4&amp;I14&amp;"
"&amp;REPT(CHAR(9),2)&amp;"// Define Store Name: Format SP_ + &lt;Store Name&gt; = &lt;Store Name&gt;
"&amp;E3&amp;REPT(CHAR(9),1)&amp;D3&amp;D3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M5" t="str">
        <f ca="1">C1&amp;"namespace "&amp;B4&amp;".Dto"&amp;E3&amp;C3&amp;F4&amp;M14&amp;E3&amp;REPT(CHAR(9),1)&amp;D3&amp;G4&amp;N14&amp;REPT(CHAR(9),1)&amp;D3&amp;H4&amp;O14&amp;"
"&amp;REPT(CHAR(9),1)&amp;D3&amp;D3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public virtual DateTime ScanTime { get; set; }
		[StringLength(PtsAdoScanInfoConsts.MaxScanByLength)]
		public virtual string ScanBy { get; set; }
		[StringLength(PtsAdoScanInfoConsts.MaxIsProcessedLength)]
		public virtual string IsProcessed { get; set; }
	}
	public class GetPtsAdoScanInfoInput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N5" t="str">
        <f>REPT(CHAR(9),2)&amp;"var per"&amp;B3&amp;" = PARENTS.CreateChildPermission(AppPermissions.Pages_"&amp;SUBSTITUTE(B2,".","_")&amp;"_"&amp;RIGHT(B3,LEN(B3)-6)&amp;", L( """&amp;SUBSTITUTE(B2,".","")&amp;RIGHT(B3,LEN(B3)-6)&amp;"""));"
&amp;E3&amp;REPT(CHAR(9),2)&amp;"per"&amp;B3&amp;".CreateChildPermission(AppPermissions.Pages_"&amp;SUBSTITUTE(B2,".","_")&amp;"_"&amp;RIGHT(B3,LEN(B3)-6)&amp;"_CreateEdit, L( """&amp;SUBSTITUTE(B2,".","")&amp;RIGHT(B3,LEN(B3)-6)&amp;"CreateEdit"&amp;"""));"
&amp;E3&amp;REPT(CHAR(9),2)&amp;"per"&amp;B3&amp;".CreateChildPermission(AppPermissions.Pages_"&amp;SUBSTITUTE(B2,".","_")&amp;"_"&amp;RIGHT(B3,LEN(B3)-6)&amp;"_Delete, L( """&amp;SUBSTITUTE(B2,".","")&amp;RIGHT(B3,LEN(B3)-6)&amp;"Delete"&amp;"""));"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O5" t="str">
        <f>REPT(CHAR(9),2)&amp;"public const string Pages_"&amp;SUBSTITUTE(B2,".","_")&amp;"_"&amp;RIGHT(B3,LEN(B3)-6)&amp;" = ""Pages."&amp;B2&amp;"."&amp;RIGHT(B3,LEN(B3)-6)&amp;""";"
&amp;E3&amp;REPT(CHAR(9),2)&amp;"public const string Pages_"&amp;SUBSTITUTE(B2,".","_")&amp;"_"&amp;RIGHT(B3,LEN(B3)-6)&amp;"_CreateEdit"&amp;" = ""Pages."&amp;B2&amp;"."&amp;RIGHT(B3,LEN(B3)-6)&amp;".CreateEdit"";"
&amp;E3&amp;REPT(CHAR(9),2)&amp;"public const string Pages_"&amp;SUBSTITUTE(B2,".","_")&amp;"_"&amp;RIGHT(B3,LEN(B3)-6)&amp;"_Delete"&amp;" = ""Pages."&amp;B2&amp;"."&amp;RIGHT(B3,LEN(B3)-6)&amp;".Delete"";
"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P5" t="str">
        <f>D1&amp;E3&amp;E3
&amp;C4
&amp;REPT(CHAR(9),1)&amp;"public interface I"&amp;B3&amp;"AppService : IApplicationService"&amp;E3&amp;REPT(CHAR(9),1)&amp;C3
&amp;REPT(CHAR(9),2)&amp;"Task&lt;List&lt;"&amp;B3&amp;"Dto&gt;&gt;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</f>
        <v xml:space="preserve">using Abp.Application.Services;
using Abp.Application.Services.Dto;
using System.Collections.Generic;
using System.Threading.Tasks;
using vovina.Painting.Andon.Dto;
namespace vovina.Painting.Andon
{
	public interface IPtsAdoScanInfoAppService : IApplicationService
	{
		Task&lt;List&lt;PtsAdoScanInfoDto&gt;&gt; GetAll(GetPtsAdoScanInfoInput input);
		Task CreateOrEdit(CreateOrEditPtsAdoScanInfoDto input);
		Task Delete(EntityDto input);
	}
}
</v>
      </c>
      <c r="Q5" t="str">
        <f ca="1">SUBSTITUTE(SUBSTITUTE(E1,"MstWptCalendar",$B$3),"&lt;PROPERTIES&gt;",P14)</f>
        <v xml:space="preserve">using Abp.Application.Services.Dto;
using Abp.Authorization;
using Abp.Dapper.Repositories;
using Abp.Domain.Repositories;
using Abp.Domain.Uow;
using Abp.EntityFrameworkCore.Uow;
using Abp.Linq.Extensions;
using Abp.UI;
using Microsoft.EntityFrameworkCore;
using System;
using System.Collections.Generic;
using System.Linq;
using System.Linq.Dynamic.Core;
using System.Threading.Tasks;
using vovina.Authorization;
namespace vovina.Change.To.Appropriate
{
    [AbpAuthorize(AppPermissions.Pages_Permission_To_Access_Object)]
    public class PtsAdoScanInfoAppService : vovinaAppServiceBase, IPtsAdoScanInfoAppService
    {
        private readonly IRepository&lt;PtsAdoScanInfo, long&gt; _repo;
        private readonly IDapperRepository&lt;PtsAdoScanInfo, long&gt; _dapperRepo;
        public PtsAdoScanInfoAppService(IRepository&lt;PtsAdoScanInfo, long&gt; repo, IDapperRepository&lt;PtsAdoScanInfo, long&gt; dapperRepo)
        {
            _repo = repo;
            _dapperRepo = dapperRepo;
        }
        [AbpAuthorize(AppPermissions.Pages_Pages_Permission_To_Save_Infor)]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
   // Replace e.Code va input.Code bang (cac) truong Key cua Entity
            var chk = await _repo.FirstOrDefaultAsync(e =&gt; e.Code == input.Code);
            if (chk != null)
            {
                throw new UserFriendlyException(400, L(""""Mã đã tồn tại"""")); // TODO: Change Message
            }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chk = await _repo.FirstOrDefaultAsync(e =&gt; e.Code == input.Code);
                if (chk != null)
                {
                    throw new UserFriendlyException(400, """"Mã kiểu xe đã tồn tại"""");
                }
                var mainObj = await _repo.GetAll()
                .FirstOrDefaultAsync(e =&gt; e.Id == input.Id);
                var mainObjToUpdate = ObjectMapper.Map(input, mainObj);
            }
        }
        [AbpAuthorize(AppPermissions.Pages_Permission_To_Delete)]
        public async Task Delete(EntityDto input)
        {
   var mainObj = await _repo.FirstOrDefaultAsync(input.Id);
   CurrentUnitOfWork.GetDbContext&lt;vovinaDbContext&gt;().Remove(mainObj);
        }
        public async Task&lt;List&lt;PtsAdoScanInfoDto&gt;&gt; GetAll(GetPtsAdoScanInfoInput input)
        {
            var filtered = _repo.GetAll()
                .WhereIf(!string.IsNullOrWhiteSpace(input.Code), e =&gt; false || e.Code.Contains(input.Code))
                .Where(e =&gt; e.CfId == cfId);
   // TODO: update to map properties
            var lst =  from o in filtered
   select new PtsAdoScanInfoDto
   {
							ScanType = o.ScanType,
							ScanValue = o.ScanValue,
							ScanLocation = o.ScanLocation,
							ScanTime = o.ScanTime,
							ScanBy = o.ScanBy,
							IsProcessed = o.IsProcessed,
   };
            return await lst.ToListAsync();
        }
    }
}
</v>
      </c>
    </row>
    <row r="6" spans="1:17" s="2" customFormat="1" x14ac:dyDescent="0.25">
      <c r="A6" s="2" t="s">
        <v>8</v>
      </c>
      <c r="B6" s="3" t="s">
        <v>9</v>
      </c>
      <c r="C6" s="2" t="s">
        <v>11</v>
      </c>
      <c r="D6" s="2" t="s">
        <v>15</v>
      </c>
      <c r="E6" s="2" t="s">
        <v>38</v>
      </c>
      <c r="F6" s="2" t="s">
        <v>61</v>
      </c>
      <c r="G6" s="2" t="s">
        <v>10</v>
      </c>
      <c r="H6" s="2" t="s">
        <v>16</v>
      </c>
      <c r="I6" s="2" t="s">
        <v>52</v>
      </c>
      <c r="J6" s="2" t="s">
        <v>39</v>
      </c>
      <c r="K6" s="2" t="s">
        <v>47</v>
      </c>
      <c r="L6" s="2" t="s">
        <v>48</v>
      </c>
      <c r="M6" s="2" t="s">
        <v>65</v>
      </c>
      <c r="N6" s="2" t="s">
        <v>60</v>
      </c>
      <c r="O6" s="2" t="s">
        <v>66</v>
      </c>
      <c r="P6" s="27" t="s">
        <v>96</v>
      </c>
    </row>
    <row r="7" spans="1:17" customFormat="1" x14ac:dyDescent="0.25">
      <c r="A7" s="7" t="s">
        <v>100</v>
      </c>
      <c r="B7" s="8" t="s">
        <v>129</v>
      </c>
      <c r="C7" s="7" t="s">
        <v>91</v>
      </c>
      <c r="D7" t="str">
        <f t="shared" ref="D7:D11" si="0">SUBSTITUTE(PROPER(A7),"_","")</f>
        <v>ScanType</v>
      </c>
      <c r="E7" t="str">
        <f t="shared" ref="E7:E11" si="1">IFERROR(LEFT(B7, FIND("(",B7)-1),B7)</f>
        <v>nvarchar</v>
      </c>
      <c r="F7" s="7"/>
      <c r="G7" t="str">
        <f t="shared" ref="G7:G11" si="2">IFERROR(MID(B7,FIND("(",B7) +1, FIND(")",B7) - FIND("(",B7) - 1),"")</f>
        <v>50</v>
      </c>
      <c r="H7" t="str">
        <f>+VLOOKUP(E7,'Data Type Mapping'!A:B,2,)</f>
        <v>string</v>
      </c>
      <c r="I7" t="str">
        <f t="shared" ref="I7:I11" si="3">IF(H7="string",REPT(CHAR(9),2)&amp;"public const int Max"&amp;D7&amp;"Length = "&amp;G7&amp;";"&amp;$E$3,"" )</f>
        <v xml:space="preserve">		public const int MaxScanTypeLength = 50;
</v>
      </c>
      <c r="J7" t="str">
        <f t="shared" ref="J7:J8" si="4">IF(F7="","",REPT(CHAR(9),2)&amp;"[Column(TypeName="""&amp;F7&amp;""")]"&amp;$E$3)&amp;IF(C7="Checked","",$I$3)&amp;IF(H7="string",REPT(CHAR(9),2)&amp;"[StringLength(Max"&amp;D7&amp;"Length"&amp;")]"&amp;$E$3,"")&amp;REPT(CHAR(9),2)&amp;"public virtual "&amp;H7&amp;IF(C7="?","? "," ")&amp;D7&amp;" { get; set; }" &amp; "
"</f>
        <v xml:space="preserve">		[Required]
		[StringLength(MaxScanTypeLength)]
		public virtual string ScanType { get; set; }
</v>
      </c>
      <c r="K7" s="7" t="s">
        <v>49</v>
      </c>
      <c r="L7" t="str">
        <f t="shared" ref="L7:L11" si="5">IF(K7="","",REPT(CHAR(9),1)&amp;"[Index(nameof("&amp;IF(D7="","",""&amp;D7)&amp;")"&amp;", Name="&amp;"""IX_"&amp;$B$5&amp;"_"&amp;D7&amp;""")]")</f>
        <v xml:space="preserve">	[Index(nameof(ScanType), Name="IX_PtsAdoScanInfo_ScanType")]</v>
      </c>
      <c r="M7" t="str">
        <f t="shared" ref="M7:M11" si="6">REPT(CHAR(9),2)&amp;"public virtual "&amp;H7&amp;IF(C7="?","? "," ")&amp;D7&amp;" { get; set; }" &amp; "
"</f>
        <v xml:space="preserve">		public virtual string ScanType { get; set; }
</v>
      </c>
      <c r="N7" t="str">
        <f t="shared" ref="N7:N11" si="7">IF(C7="Checked","",$I$3)&amp;IF(H7="string",REPT(CHAR(9),2)&amp;"[StringLength("&amp;$B$3&amp;"Consts.Max"&amp;D7&amp;"Length"&amp;")]"&amp;$E$3,"")&amp;REPT(CHAR(9),2)&amp;"public virtual "&amp;H7&amp;IF(C7="?","? "," ")&amp;D7&amp;" { get; set; }" &amp; "
"</f>
        <v xml:space="preserve">		[Required]
		[StringLength(PtsAdoScanInfoConsts.MaxScanTypeLength)]
		public virtual string ScanType { get; set; }
</v>
      </c>
      <c r="O7" t="str">
        <f t="shared" ref="O7:O8" si="8">IF(OR(H7="string",H7="DateTime"),REPT(CHAR(9),2)&amp;"public virtual "&amp;H7&amp;IF(C7="?","? "," ")&amp;D7&amp;" { get; set; }"&amp;$E$3,"")</f>
        <v xml:space="preserve">		public virtual string ScanType { get; set; }
</v>
      </c>
      <c r="P7" t="str">
        <f>REPT(CHAR(9),7)&amp;D7&amp;" = o." &amp;D7 &amp;","</f>
        <v xml:space="preserve">							ScanType = o.ScanType,</v>
      </c>
    </row>
    <row r="8" spans="1:17" customFormat="1" x14ac:dyDescent="0.25">
      <c r="A8" s="7" t="s">
        <v>102</v>
      </c>
      <c r="B8" s="8" t="s">
        <v>101</v>
      </c>
      <c r="C8" s="7" t="s">
        <v>1</v>
      </c>
      <c r="D8" t="str">
        <f t="shared" si="0"/>
        <v>ScanValue</v>
      </c>
      <c r="E8" t="str">
        <f t="shared" si="1"/>
        <v>varchar</v>
      </c>
      <c r="F8" s="7"/>
      <c r="G8" t="str">
        <f t="shared" si="2"/>
        <v>50</v>
      </c>
      <c r="H8" t="str">
        <f>+VLOOKUP(E8,'Data Type Mapping'!A:B,2,)</f>
        <v>string</v>
      </c>
      <c r="I8" t="str">
        <f t="shared" si="3"/>
        <v xml:space="preserve">		public const int MaxScanValueLength = 50;
</v>
      </c>
      <c r="J8" t="str">
        <f t="shared" si="4"/>
        <v xml:space="preserve">		[StringLength(MaxScanValueLength)]
		public virtual string ScanValue { get; set; }
</v>
      </c>
      <c r="K8" s="7"/>
      <c r="L8" t="str">
        <f t="shared" si="5"/>
        <v/>
      </c>
      <c r="M8" t="str">
        <f t="shared" si="6"/>
        <v xml:space="preserve">		public virtual string ScanValue { get; set; }
</v>
      </c>
      <c r="N8" t="str">
        <f t="shared" si="7"/>
        <v xml:space="preserve">		[StringLength(PtsAdoScanInfoConsts.MaxScanValueLength)]
		public virtual string ScanValue { get; set; }
</v>
      </c>
      <c r="O8" t="str">
        <f t="shared" si="8"/>
        <v xml:space="preserve">		public virtual string ScanValue { get; set; }
</v>
      </c>
      <c r="P8" t="str">
        <f t="shared" ref="P8:P12" si="9">REPT(CHAR(9),7)&amp;D8&amp;" = o." &amp;D8 &amp;","</f>
        <v xml:space="preserve">							ScanValue = o.ScanValue,</v>
      </c>
    </row>
    <row r="9" spans="1:17" customFormat="1" x14ac:dyDescent="0.25">
      <c r="A9" s="7" t="s">
        <v>103</v>
      </c>
      <c r="B9" s="8" t="s">
        <v>101</v>
      </c>
      <c r="C9" s="7" t="s">
        <v>1</v>
      </c>
      <c r="D9" t="str">
        <f t="shared" si="0"/>
        <v>ScanLocation</v>
      </c>
      <c r="E9" t="str">
        <f t="shared" si="1"/>
        <v>varchar</v>
      </c>
      <c r="F9" s="7"/>
      <c r="G9" t="str">
        <f t="shared" si="2"/>
        <v>50</v>
      </c>
      <c r="H9" t="str">
        <f>+VLOOKUP(E9,'Data Type Mapping'!A:B,2,)</f>
        <v>string</v>
      </c>
      <c r="I9" t="str">
        <f t="shared" si="3"/>
        <v xml:space="preserve">		public const int MaxScanLocationLength = 50;
</v>
      </c>
      <c r="J9" t="str">
        <f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[StringLength(MaxScanLocationLength)]
		public virtual string ScanLocation { get; set; }
</v>
      </c>
      <c r="K9" s="7"/>
      <c r="L9" t="str">
        <f t="shared" si="5"/>
        <v/>
      </c>
      <c r="M9" t="str">
        <f t="shared" si="6"/>
        <v xml:space="preserve">		public virtual string ScanLocation { get; set; }
</v>
      </c>
      <c r="N9" t="str">
        <f t="shared" si="7"/>
        <v xml:space="preserve">		[StringLength(PtsAdoScanInfoConsts.MaxScanLocationLength)]
		public virtual string ScanLocation { get; set; }
</v>
      </c>
      <c r="O9" t="str">
        <f>IF(OR(H9="string",H9="DateTime"),REPT(CHAR(9),2)&amp;"public virtual "&amp;H9&amp;IF(C9="?","? "," ")&amp;D9&amp;" { get; set; }"&amp;$E$3,"")</f>
        <v xml:space="preserve">		public virtual string ScanLocation { get; set; }
</v>
      </c>
      <c r="P9" t="str">
        <f t="shared" si="9"/>
        <v xml:space="preserve">							ScanLocation = o.ScanLocation,</v>
      </c>
    </row>
    <row r="10" spans="1:17" customFormat="1" x14ac:dyDescent="0.25">
      <c r="A10" s="7" t="s">
        <v>104</v>
      </c>
      <c r="B10" s="8" t="s">
        <v>105</v>
      </c>
      <c r="C10" s="7" t="s">
        <v>1</v>
      </c>
      <c r="D10" t="str">
        <f t="shared" si="0"/>
        <v>ScanTime</v>
      </c>
      <c r="E10" t="str">
        <f t="shared" si="1"/>
        <v>datetime2</v>
      </c>
      <c r="F10" s="7"/>
      <c r="G10" t="str">
        <f t="shared" si="2"/>
        <v>7</v>
      </c>
      <c r="H10" t="str">
        <f>+VLOOKUP(E10,'Data Type Mapping'!A:B,2,)</f>
        <v>DateTime</v>
      </c>
      <c r="I10" t="str">
        <f t="shared" si="3"/>
        <v/>
      </c>
      <c r="J10" t="str">
        <f t="shared" ref="J10:J11" si="10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 ScanTime { get; set; }
</v>
      </c>
      <c r="K10" s="7"/>
      <c r="L10" t="str">
        <f t="shared" si="5"/>
        <v/>
      </c>
      <c r="M10" t="str">
        <f t="shared" si="6"/>
        <v xml:space="preserve">		public virtual DateTime ScanTime { get; set; }
</v>
      </c>
      <c r="N10" t="str">
        <f t="shared" si="7"/>
        <v xml:space="preserve">		public virtual DateTime ScanTime { get; set; }
</v>
      </c>
      <c r="O10" t="str">
        <f t="shared" ref="O10:O11" si="11">IF(OR(H10="string",H10="DateTime"),REPT(CHAR(9),2)&amp;"public virtual "&amp;H10&amp;IF(C10="?","? "," ")&amp;D10&amp;" { get; set; }"&amp;$E$3,"")</f>
        <v xml:space="preserve">		public virtual DateTime ScanTime { get; set; }
</v>
      </c>
      <c r="P10" t="str">
        <f t="shared" si="9"/>
        <v xml:space="preserve">							ScanTime = o.ScanTime,</v>
      </c>
    </row>
    <row r="11" spans="1:17" customFormat="1" x14ac:dyDescent="0.25">
      <c r="A11" s="7" t="s">
        <v>106</v>
      </c>
      <c r="B11" s="8" t="s">
        <v>101</v>
      </c>
      <c r="C11" s="7" t="s">
        <v>1</v>
      </c>
      <c r="D11" t="str">
        <f t="shared" si="0"/>
        <v>ScanBy</v>
      </c>
      <c r="E11" t="str">
        <f t="shared" si="1"/>
        <v>varchar</v>
      </c>
      <c r="F11" s="7"/>
      <c r="G11" t="str">
        <f t="shared" si="2"/>
        <v>50</v>
      </c>
      <c r="H11" t="str">
        <f>+VLOOKUP(E11,'Data Type Mapping'!A:B,2,)</f>
        <v>string</v>
      </c>
      <c r="I11" t="str">
        <f t="shared" si="3"/>
        <v xml:space="preserve">		public const int MaxScanByLength = 50;
</v>
      </c>
      <c r="J11" t="str">
        <f t="shared" si="10"/>
        <v xml:space="preserve">		[StringLength(MaxScanByLength)]
		public virtual string ScanBy { get; set; }
</v>
      </c>
      <c r="K11" s="7"/>
      <c r="L11" t="str">
        <f t="shared" si="5"/>
        <v/>
      </c>
      <c r="M11" t="str">
        <f t="shared" si="6"/>
        <v xml:space="preserve">		public virtual string ScanBy { get; set; }
</v>
      </c>
      <c r="N11" t="str">
        <f t="shared" si="7"/>
        <v xml:space="preserve">		[StringLength(PtsAdoScanInfoConsts.MaxScanByLength)]
		public virtual string ScanBy { get; set; }
</v>
      </c>
      <c r="O11" t="str">
        <f t="shared" si="11"/>
        <v xml:space="preserve">		public virtual string ScanBy { get; set; }
</v>
      </c>
      <c r="P11" t="str">
        <f t="shared" si="9"/>
        <v xml:space="preserve">							ScanBy = o.ScanBy,</v>
      </c>
    </row>
    <row r="12" spans="1:17" customFormat="1" x14ac:dyDescent="0.25">
      <c r="A12" s="7" t="s">
        <v>107</v>
      </c>
      <c r="B12" s="8" t="s">
        <v>3</v>
      </c>
      <c r="C12" s="7" t="s">
        <v>1</v>
      </c>
      <c r="D12" t="str">
        <f t="shared" ref="D12" si="12">SUBSTITUTE(PROPER(A12),"_","")</f>
        <v>IsProcessed</v>
      </c>
      <c r="E12" t="str">
        <f t="shared" ref="E12" si="13">IFERROR(LEFT(B12, FIND("(",B12)-1),B12)</f>
        <v>varchar</v>
      </c>
      <c r="F12" s="7"/>
      <c r="G12" t="str">
        <f t="shared" ref="G12" si="14">IFERROR(MID(B12,FIND("(",B12) +1, FIND(")",B12) - FIND("(",B12) - 1),"")</f>
        <v>1</v>
      </c>
      <c r="H12" t="str">
        <f>+VLOOKUP(E12,'Data Type Mapping'!A:B,2,)</f>
        <v>string</v>
      </c>
      <c r="I12" t="str">
        <f t="shared" ref="I12" si="15">IF(H12="string",REPT(CHAR(9),2)&amp;"public const int Max"&amp;D12&amp;"Length = "&amp;G12&amp;";"&amp;$E$3,"" )</f>
        <v xml:space="preserve">		public const int MaxIsProcessedLength = 1;
</v>
      </c>
      <c r="J12" t="str">
        <f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[StringLength(MaxIsProcessedLength)]
		public virtual string IsProcessed { get; set; }
</v>
      </c>
      <c r="K12" s="7"/>
      <c r="L12" t="str">
        <f t="shared" ref="L12" si="16">IF(K12="","",REPT(CHAR(9),1)&amp;"[Index(nameof("&amp;IF(D12="","",""&amp;D12)&amp;")"&amp;", Name="&amp;"""IX_"&amp;$B$5&amp;"_"&amp;D12&amp;""")]")</f>
        <v/>
      </c>
      <c r="M12" t="str">
        <f t="shared" ref="M12" si="17">REPT(CHAR(9),2)&amp;"public virtual "&amp;H12&amp;IF(C12="?","? "," ")&amp;D12&amp;" { get; set; }" &amp; "
"</f>
        <v xml:space="preserve">		public virtual string IsProcessed { get; set; }
</v>
      </c>
      <c r="N12" t="str">
        <f t="shared" ref="N12" si="18">IF(C12="Checked","",$I$3)&amp;IF(H12="string",REPT(CHAR(9),2)&amp;"[StringLength("&amp;$B$3&amp;"Consts.Max"&amp;D12&amp;"Length"&amp;")]"&amp;$E$3,"")&amp;REPT(CHAR(9),2)&amp;"public virtual "&amp;H12&amp;IF(C12="?","? "," ")&amp;D12&amp;" { get; set; }" &amp; "
"</f>
        <v xml:space="preserve">		[StringLength(PtsAdoScanInfoConsts.MaxIsProcessedLength)]
		public virtual string IsProcessed { get; set; }
</v>
      </c>
      <c r="O12" t="str">
        <f>IF(OR(H12="string",H12="DateTime"),REPT(CHAR(9),2)&amp;"public virtual "&amp;H12&amp;IF(C12="?","? "," ")&amp;D12&amp;" { get; set; }"&amp;$E$3,"")</f>
        <v xml:space="preserve">		public virtual string IsProcessed { get; set; }
</v>
      </c>
      <c r="P12" t="str">
        <f t="shared" si="9"/>
        <v xml:space="preserve">							IsProcessed = o.IsProcessed,</v>
      </c>
    </row>
    <row r="14" spans="1:17" x14ac:dyDescent="0.25">
      <c r="H14" s="15"/>
      <c r="I14" s="13" t="str">
        <f ca="1">TEXTJOIN2("
", TRUE,INDIRECT( $H$1):INDIRECT( $H$3))</f>
        <v xml:space="preserve">		public const int MaxScanTypeLength = 50;
		public const int MaxScanValueLength = 50;
		public const int MaxScanLocationLength = 50;
		public const int MaxScanByLength = 50;
		public const int MaxIsProcessedLength = 1;
</v>
      </c>
      <c r="J14" s="14" t="str">
        <f ca="1">TEXTJOIN2("
", TRUE,INDIRECT( $F$1):INDIRECT( $F$3))</f>
        <v xml:space="preserve">		[Required]
		[StringLength(MaxScanTypeLength)]
		public virtual string ScanType { get; set; }
		[StringLength(MaxScanValueLength)]
		public virtual string ScanValue { get; set; }
		[StringLength(MaxScanLocationLength)]
		public virtual string ScanLocation { get; set; }
		public virtual DateTime ScanTime { get; set; }
		[StringLength(MaxScanByLength)]
		public virtual string ScanBy { get; set; }
		[StringLength(MaxIsProcessedLength)]
		public virtual string IsProcessed { get; set; }
</v>
      </c>
      <c r="K14" s="16" t="str">
        <f ca="1">TEXTJOIN2("
", TRUE,INDIRECT( $J$1):INDIRECT( $J$3))</f>
        <v xml:space="preserve">	[Index(nameof(ScanType), Name="IX_PtsAdoScanInfo_ScanType")]
</v>
      </c>
      <c r="L14" s="17" t="s">
        <v>62</v>
      </c>
      <c r="M14" s="18" t="str">
        <f ca="1">TEXTJOIN2("
",TRUE,INDIRECT( $L$1):INDIRECT($L$3))</f>
        <v xml:space="preserve">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</v>
      </c>
      <c r="N14" s="14" t="str">
        <f ca="1">TEXTJOIN2("
",TRUE,INDIRECT( $M$1):INDIRECT($M$3))</f>
        <v xml:space="preserve">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public virtual DateTime ScanTime { get; set; }
		[StringLength(PtsAdoScanInfoConsts.MaxScanByLength)]
		public virtual string ScanBy { get; set; }
		[StringLength(PtsAdoScanInfoConsts.MaxIsProcessedLength)]
		public virtual string IsProcessed { get; set; }
</v>
      </c>
      <c r="O14" s="14" t="str">
        <f ca="1">TEXTJOIN2("
",TRUE,INDIRECT( $N$1):INDIRECT($N$3))</f>
        <v xml:space="preserve">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</v>
      </c>
      <c r="P14" s="9" t="str">
        <f ca="1">TEXTJOIN2("
",TRUE,INDIRECT( $O$1):INDIRECT($O$3))</f>
        <v xml:space="preserve">							ScanType = o.ScanType,
							ScanValue = o.ScanValue,
							ScanLocation = o.ScanLocation,
							ScanTime = o.ScanTime,
							ScanBy = o.ScanBy,
							IsProcessed = o.IsProcessed,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10" sqref="B1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17</v>
      </c>
      <c r="B1" s="1" t="s">
        <v>18</v>
      </c>
    </row>
    <row r="2" spans="1:2" x14ac:dyDescent="0.25">
      <c r="A2" t="s">
        <v>20</v>
      </c>
      <c r="B2" t="s">
        <v>34</v>
      </c>
    </row>
    <row r="3" spans="1:2" x14ac:dyDescent="0.25">
      <c r="A3" t="s">
        <v>19</v>
      </c>
      <c r="B3" t="s">
        <v>34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37</v>
      </c>
    </row>
    <row r="6" spans="1:2" x14ac:dyDescent="0.25">
      <c r="A6" t="s">
        <v>24</v>
      </c>
      <c r="B6" t="s">
        <v>35</v>
      </c>
    </row>
    <row r="7" spans="1:2" x14ac:dyDescent="0.25">
      <c r="A7" t="s">
        <v>25</v>
      </c>
      <c r="B7" t="s">
        <v>5</v>
      </c>
    </row>
    <row r="8" spans="1:2" x14ac:dyDescent="0.25">
      <c r="A8" t="s">
        <v>5</v>
      </c>
      <c r="B8" t="s">
        <v>5</v>
      </c>
    </row>
    <row r="9" spans="1:2" x14ac:dyDescent="0.25">
      <c r="A9" t="s">
        <v>0</v>
      </c>
      <c r="B9" t="s">
        <v>50</v>
      </c>
    </row>
    <row r="10" spans="1:2" x14ac:dyDescent="0.25">
      <c r="A10" t="s">
        <v>26</v>
      </c>
      <c r="B10" t="s">
        <v>29</v>
      </c>
    </row>
    <row r="11" spans="1:2" x14ac:dyDescent="0.25">
      <c r="A11" t="s">
        <v>27</v>
      </c>
      <c r="B11" t="s">
        <v>29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29</v>
      </c>
      <c r="B13" t="s">
        <v>29</v>
      </c>
    </row>
    <row r="14" spans="1:2" x14ac:dyDescent="0.25">
      <c r="A14" t="s">
        <v>30</v>
      </c>
      <c r="B14" t="s">
        <v>29</v>
      </c>
    </row>
    <row r="15" spans="1:2" x14ac:dyDescent="0.25">
      <c r="A15" t="s">
        <v>31</v>
      </c>
      <c r="B15" t="s">
        <v>29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4</v>
      </c>
      <c r="B17" t="s">
        <v>33</v>
      </c>
    </row>
    <row r="18" spans="1:2" x14ac:dyDescent="0.25">
      <c r="A18" t="s">
        <v>36</v>
      </c>
      <c r="B18" t="s">
        <v>33</v>
      </c>
    </row>
    <row r="19" spans="1:2" x14ac:dyDescent="0.25">
      <c r="A19" t="s">
        <v>2</v>
      </c>
      <c r="B19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103"/>
  <sheetViews>
    <sheetView workbookViewId="0">
      <selection activeCell="C22" sqref="C22"/>
    </sheetView>
  </sheetViews>
  <sheetFormatPr defaultRowHeight="15.75" x14ac:dyDescent="0.25"/>
  <cols>
    <col min="1" max="1" width="14.28515625" customWidth="1"/>
    <col min="2" max="2" width="71.7109375" style="29" customWidth="1"/>
  </cols>
  <sheetData>
    <row r="2" spans="1:2" x14ac:dyDescent="0.25">
      <c r="A2" s="31" t="s">
        <v>219</v>
      </c>
      <c r="B2" s="32" t="s">
        <v>216</v>
      </c>
    </row>
    <row r="3" spans="1:2" x14ac:dyDescent="0.25">
      <c r="B3" s="29" t="s">
        <v>141</v>
      </c>
    </row>
    <row r="4" spans="1:2" x14ac:dyDescent="0.25">
      <c r="B4" s="29" t="s">
        <v>142</v>
      </c>
    </row>
    <row r="5" spans="1:2" x14ac:dyDescent="0.25">
      <c r="B5" s="29" t="s">
        <v>143</v>
      </c>
    </row>
    <row r="6" spans="1:2" x14ac:dyDescent="0.25">
      <c r="B6" s="29" t="s">
        <v>144</v>
      </c>
    </row>
    <row r="7" spans="1:2" x14ac:dyDescent="0.25">
      <c r="B7" s="29" t="s">
        <v>145</v>
      </c>
    </row>
    <row r="8" spans="1:2" x14ac:dyDescent="0.25">
      <c r="B8" s="29" t="s">
        <v>146</v>
      </c>
    </row>
    <row r="9" spans="1:2" x14ac:dyDescent="0.25">
      <c r="B9" s="29" t="s">
        <v>147</v>
      </c>
    </row>
    <row r="10" spans="1:2" x14ac:dyDescent="0.25">
      <c r="B10" s="29" t="s">
        <v>148</v>
      </c>
    </row>
    <row r="11" spans="1:2" x14ac:dyDescent="0.25">
      <c r="B11" s="29" t="s">
        <v>149</v>
      </c>
    </row>
    <row r="12" spans="1:2" x14ac:dyDescent="0.25">
      <c r="B12" s="29" t="s">
        <v>150</v>
      </c>
    </row>
    <row r="13" spans="1:2" x14ac:dyDescent="0.25">
      <c r="B13" s="29" t="s">
        <v>151</v>
      </c>
    </row>
    <row r="14" spans="1:2" x14ac:dyDescent="0.25">
      <c r="B14" s="29" t="s">
        <v>152</v>
      </c>
    </row>
    <row r="15" spans="1:2" x14ac:dyDescent="0.25">
      <c r="B15" s="29" t="s">
        <v>153</v>
      </c>
    </row>
    <row r="16" spans="1:2" x14ac:dyDescent="0.25">
      <c r="B16" s="29" t="s">
        <v>154</v>
      </c>
    </row>
    <row r="17" spans="1:3" x14ac:dyDescent="0.25">
      <c r="B17" s="29" t="s">
        <v>155</v>
      </c>
    </row>
    <row r="18" spans="1:3" x14ac:dyDescent="0.25">
      <c r="B18" s="29" t="s">
        <v>156</v>
      </c>
      <c r="C18" t="s">
        <v>218</v>
      </c>
    </row>
    <row r="19" spans="1:3" x14ac:dyDescent="0.25">
      <c r="B19" s="29" t="s">
        <v>157</v>
      </c>
    </row>
    <row r="20" spans="1:3" x14ac:dyDescent="0.25">
      <c r="B20" s="29" t="s">
        <v>158</v>
      </c>
    </row>
    <row r="21" spans="1:3" x14ac:dyDescent="0.25">
      <c r="B21" s="29" t="s">
        <v>159</v>
      </c>
    </row>
    <row r="22" spans="1:3" x14ac:dyDescent="0.25">
      <c r="B22" s="29" t="s">
        <v>160</v>
      </c>
      <c r="C22" t="s">
        <v>223</v>
      </c>
    </row>
    <row r="23" spans="1:3" x14ac:dyDescent="0.25">
      <c r="B23" s="29" t="s">
        <v>161</v>
      </c>
    </row>
    <row r="24" spans="1:3" x14ac:dyDescent="0.25">
      <c r="B24" s="29" t="s">
        <v>162</v>
      </c>
    </row>
    <row r="25" spans="1:3" x14ac:dyDescent="0.25">
      <c r="B25" s="29" t="s">
        <v>163</v>
      </c>
    </row>
    <row r="26" spans="1:3" x14ac:dyDescent="0.25">
      <c r="A26" s="31" t="s">
        <v>220</v>
      </c>
      <c r="B26" s="32" t="s">
        <v>217</v>
      </c>
    </row>
    <row r="27" spans="1:3" x14ac:dyDescent="0.25">
      <c r="B27" s="29" t="s">
        <v>164</v>
      </c>
    </row>
    <row r="28" spans="1:3" x14ac:dyDescent="0.25">
      <c r="B28" s="30" t="s">
        <v>165</v>
      </c>
    </row>
    <row r="29" spans="1:3" x14ac:dyDescent="0.25">
      <c r="B29" s="29" t="s">
        <v>166</v>
      </c>
    </row>
    <row r="30" spans="1:3" x14ac:dyDescent="0.25">
      <c r="B30" s="29" t="s">
        <v>167</v>
      </c>
    </row>
    <row r="31" spans="1:3" x14ac:dyDescent="0.25">
      <c r="B31" s="29" t="s">
        <v>168</v>
      </c>
    </row>
    <row r="32" spans="1:3" x14ac:dyDescent="0.25">
      <c r="B32" s="29" t="s">
        <v>169</v>
      </c>
    </row>
    <row r="33" spans="2:2" x14ac:dyDescent="0.25">
      <c r="B33" s="29" t="s">
        <v>170</v>
      </c>
    </row>
    <row r="34" spans="2:2" x14ac:dyDescent="0.25">
      <c r="B34" s="29" t="s">
        <v>171</v>
      </c>
    </row>
    <row r="35" spans="2:2" x14ac:dyDescent="0.25">
      <c r="B35" s="29" t="s">
        <v>172</v>
      </c>
    </row>
    <row r="36" spans="2:2" x14ac:dyDescent="0.25">
      <c r="B36" s="29" t="s">
        <v>173</v>
      </c>
    </row>
    <row r="37" spans="2:2" x14ac:dyDescent="0.25">
      <c r="B37" s="29" t="s">
        <v>174</v>
      </c>
    </row>
    <row r="38" spans="2:2" x14ac:dyDescent="0.25">
      <c r="B38" s="29" t="s">
        <v>175</v>
      </c>
    </row>
    <row r="39" spans="2:2" x14ac:dyDescent="0.25">
      <c r="B39" s="29" t="s">
        <v>176</v>
      </c>
    </row>
    <row r="40" spans="2:2" x14ac:dyDescent="0.25">
      <c r="B40" s="29" t="s">
        <v>177</v>
      </c>
    </row>
    <row r="41" spans="2:2" x14ac:dyDescent="0.25">
      <c r="B41" s="29" t="s">
        <v>178</v>
      </c>
    </row>
    <row r="42" spans="2:2" x14ac:dyDescent="0.25">
      <c r="B42" s="29" t="s">
        <v>179</v>
      </c>
    </row>
    <row r="43" spans="2:2" x14ac:dyDescent="0.25">
      <c r="B43" s="30" t="s">
        <v>180</v>
      </c>
    </row>
    <row r="44" spans="2:2" x14ac:dyDescent="0.25">
      <c r="B44" s="29" t="s">
        <v>166</v>
      </c>
    </row>
    <row r="45" spans="2:2" x14ac:dyDescent="0.25">
      <c r="B45" s="29" t="s">
        <v>181</v>
      </c>
    </row>
    <row r="46" spans="2:2" x14ac:dyDescent="0.25">
      <c r="B46" s="29" t="s">
        <v>182</v>
      </c>
    </row>
    <row r="47" spans="2:2" x14ac:dyDescent="0.25">
      <c r="B47" s="29" t="s">
        <v>183</v>
      </c>
    </row>
    <row r="48" spans="2:2" x14ac:dyDescent="0.25">
      <c r="B48" s="29" t="s">
        <v>184</v>
      </c>
    </row>
    <row r="49" spans="2:2" x14ac:dyDescent="0.25">
      <c r="B49" s="29" t="s">
        <v>167</v>
      </c>
    </row>
    <row r="50" spans="2:2" x14ac:dyDescent="0.25">
      <c r="B50" s="29" t="s">
        <v>168</v>
      </c>
    </row>
    <row r="51" spans="2:2" x14ac:dyDescent="0.25">
      <c r="B51" s="29" t="s">
        <v>169</v>
      </c>
    </row>
    <row r="52" spans="2:2" x14ac:dyDescent="0.25">
      <c r="B52" s="29" t="s">
        <v>170</v>
      </c>
    </row>
    <row r="53" spans="2:2" x14ac:dyDescent="0.25">
      <c r="B53" s="29" t="s">
        <v>171</v>
      </c>
    </row>
    <row r="54" spans="2:2" x14ac:dyDescent="0.25">
      <c r="B54" s="29" t="s">
        <v>172</v>
      </c>
    </row>
    <row r="55" spans="2:2" x14ac:dyDescent="0.25">
      <c r="B55" s="29" t="s">
        <v>173</v>
      </c>
    </row>
    <row r="56" spans="2:2" x14ac:dyDescent="0.25">
      <c r="B56" s="29" t="s">
        <v>185</v>
      </c>
    </row>
    <row r="57" spans="2:2" x14ac:dyDescent="0.25">
      <c r="B57" s="29" t="s">
        <v>186</v>
      </c>
    </row>
    <row r="58" spans="2:2" x14ac:dyDescent="0.25">
      <c r="B58" s="29" t="s">
        <v>174</v>
      </c>
    </row>
    <row r="59" spans="2:2" x14ac:dyDescent="0.25">
      <c r="B59" s="29" t="s">
        <v>175</v>
      </c>
    </row>
    <row r="60" spans="2:2" x14ac:dyDescent="0.25">
      <c r="B60" s="29" t="s">
        <v>187</v>
      </c>
    </row>
    <row r="61" spans="2:2" x14ac:dyDescent="0.25">
      <c r="B61" s="29" t="s">
        <v>188</v>
      </c>
    </row>
    <row r="62" spans="2:2" x14ac:dyDescent="0.25">
      <c r="B62" s="29" t="s">
        <v>189</v>
      </c>
    </row>
    <row r="63" spans="2:2" x14ac:dyDescent="0.25">
      <c r="B63" s="29" t="s">
        <v>184</v>
      </c>
    </row>
    <row r="64" spans="2:2" x14ac:dyDescent="0.25">
      <c r="B64" s="29" t="s">
        <v>176</v>
      </c>
    </row>
    <row r="65" spans="2:2" x14ac:dyDescent="0.25">
      <c r="B65" s="29" t="s">
        <v>177</v>
      </c>
    </row>
    <row r="66" spans="2:2" x14ac:dyDescent="0.25">
      <c r="B66" s="29" t="s">
        <v>190</v>
      </c>
    </row>
    <row r="67" spans="2:2" x14ac:dyDescent="0.25">
      <c r="B67" s="29" t="s">
        <v>184</v>
      </c>
    </row>
    <row r="68" spans="2:2" x14ac:dyDescent="0.25">
      <c r="B68" s="29" t="s">
        <v>178</v>
      </c>
    </row>
    <row r="69" spans="2:2" x14ac:dyDescent="0.25">
      <c r="B69" s="29" t="s">
        <v>191</v>
      </c>
    </row>
    <row r="70" spans="2:2" x14ac:dyDescent="0.25">
      <c r="B70" s="30" t="s">
        <v>192</v>
      </c>
    </row>
    <row r="71" spans="2:2" x14ac:dyDescent="0.25">
      <c r="B71" s="29" t="s">
        <v>166</v>
      </c>
    </row>
    <row r="72" spans="2:2" x14ac:dyDescent="0.25">
      <c r="B72" s="29" t="s">
        <v>167</v>
      </c>
    </row>
    <row r="73" spans="2:2" x14ac:dyDescent="0.25">
      <c r="B73" s="29" t="s">
        <v>168</v>
      </c>
    </row>
    <row r="74" spans="2:2" x14ac:dyDescent="0.25">
      <c r="B74" s="29" t="s">
        <v>169</v>
      </c>
    </row>
    <row r="75" spans="2:2" x14ac:dyDescent="0.25">
      <c r="B75" s="29" t="s">
        <v>173</v>
      </c>
    </row>
    <row r="76" spans="2:2" x14ac:dyDescent="0.25">
      <c r="B76" s="29" t="s">
        <v>175</v>
      </c>
    </row>
    <row r="77" spans="2:2" x14ac:dyDescent="0.25">
      <c r="B77" s="29" t="s">
        <v>176</v>
      </c>
    </row>
    <row r="78" spans="2:2" x14ac:dyDescent="0.25">
      <c r="B78" s="29" t="s">
        <v>177</v>
      </c>
    </row>
    <row r="79" spans="2:2" x14ac:dyDescent="0.25">
      <c r="B79" s="29" t="s">
        <v>178</v>
      </c>
    </row>
    <row r="80" spans="2:2" x14ac:dyDescent="0.25">
      <c r="B80" s="29" t="s">
        <v>191</v>
      </c>
    </row>
    <row r="81" spans="1:2" x14ac:dyDescent="0.25">
      <c r="B81" s="30" t="s">
        <v>193</v>
      </c>
    </row>
    <row r="82" spans="1:2" x14ac:dyDescent="0.25">
      <c r="B82" s="30" t="s">
        <v>194</v>
      </c>
    </row>
    <row r="83" spans="1:2" x14ac:dyDescent="0.25">
      <c r="B83" s="30" t="s">
        <v>195</v>
      </c>
    </row>
    <row r="84" spans="1:2" x14ac:dyDescent="0.25">
      <c r="B84" s="30" t="s">
        <v>196</v>
      </c>
    </row>
    <row r="85" spans="1:2" x14ac:dyDescent="0.25">
      <c r="B85" s="30" t="s">
        <v>197</v>
      </c>
    </row>
    <row r="86" spans="1:2" x14ac:dyDescent="0.25">
      <c r="B86" s="30" t="s">
        <v>198</v>
      </c>
    </row>
    <row r="87" spans="1:2" x14ac:dyDescent="0.25">
      <c r="B87" s="30" t="s">
        <v>199</v>
      </c>
    </row>
    <row r="88" spans="1:2" x14ac:dyDescent="0.25">
      <c r="A88" s="31" t="s">
        <v>221</v>
      </c>
      <c r="B88" s="33" t="s">
        <v>200</v>
      </c>
    </row>
    <row r="89" spans="1:2" x14ac:dyDescent="0.25">
      <c r="B89" s="29" t="s">
        <v>201</v>
      </c>
    </row>
    <row r="90" spans="1:2" x14ac:dyDescent="0.25">
      <c r="B90" s="29" t="s">
        <v>202</v>
      </c>
    </row>
    <row r="91" spans="1:2" x14ac:dyDescent="0.25">
      <c r="B91" s="29" t="s">
        <v>203</v>
      </c>
    </row>
    <row r="92" spans="1:2" x14ac:dyDescent="0.25">
      <c r="B92" s="29" t="s">
        <v>204</v>
      </c>
    </row>
    <row r="93" spans="1:2" x14ac:dyDescent="0.25">
      <c r="B93" s="29" t="s">
        <v>205</v>
      </c>
    </row>
    <row r="94" spans="1:2" x14ac:dyDescent="0.25">
      <c r="B94" s="29" t="s">
        <v>206</v>
      </c>
    </row>
    <row r="95" spans="1:2" x14ac:dyDescent="0.25">
      <c r="B95" s="29" t="s">
        <v>207</v>
      </c>
    </row>
    <row r="96" spans="1:2" x14ac:dyDescent="0.25">
      <c r="B96" s="29" t="s">
        <v>208</v>
      </c>
    </row>
    <row r="97" spans="2:2" x14ac:dyDescent="0.25">
      <c r="B97" s="29" t="s">
        <v>209</v>
      </c>
    </row>
    <row r="98" spans="2:2" x14ac:dyDescent="0.25">
      <c r="B98" s="29" t="s">
        <v>210</v>
      </c>
    </row>
    <row r="99" spans="2:2" x14ac:dyDescent="0.25">
      <c r="B99" s="29" t="s">
        <v>211</v>
      </c>
    </row>
    <row r="100" spans="2:2" x14ac:dyDescent="0.25">
      <c r="B100" s="29" t="s">
        <v>212</v>
      </c>
    </row>
    <row r="101" spans="2:2" x14ac:dyDescent="0.25">
      <c r="B101" s="29" t="s">
        <v>213</v>
      </c>
    </row>
    <row r="102" spans="2:2" x14ac:dyDescent="0.25">
      <c r="B102" s="29" t="s">
        <v>214</v>
      </c>
    </row>
    <row r="103" spans="2:2" x14ac:dyDescent="0.25">
      <c r="B103" s="29" t="s">
        <v>215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2022-04-27T12:19:55Z</dcterms:modified>
</cp:coreProperties>
</file>
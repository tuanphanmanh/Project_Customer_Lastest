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painting\andon\"/>
    </mc:Choice>
  </mc:AlternateContent>
  <bookViews>
    <workbookView xWindow="0" yWindow="0" windowWidth="28800" windowHeight="11805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H17" i="5" s="1"/>
  <c r="E18" i="5"/>
  <c r="F18" i="5"/>
  <c r="E19" i="5"/>
  <c r="F19" i="5"/>
  <c r="H19" i="5" s="1"/>
  <c r="E20" i="5"/>
  <c r="F20" i="5"/>
  <c r="H20" i="5" s="1"/>
  <c r="E21" i="5"/>
  <c r="F21" i="5"/>
  <c r="H21" i="5" s="1"/>
  <c r="E22" i="5"/>
  <c r="F22" i="5"/>
  <c r="E23" i="5"/>
  <c r="F23" i="5"/>
  <c r="E24" i="5"/>
  <c r="G24" i="5" s="1"/>
  <c r="F24" i="5"/>
  <c r="E25" i="5"/>
  <c r="F25" i="5"/>
  <c r="V25" i="5" s="1"/>
  <c r="E26" i="5"/>
  <c r="F26" i="5"/>
  <c r="E27" i="5"/>
  <c r="F27" i="5"/>
  <c r="V27" i="5" s="1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H25" i="5"/>
  <c r="C25" i="5"/>
  <c r="V24" i="5"/>
  <c r="L24" i="5"/>
  <c r="H24" i="5"/>
  <c r="U24" i="5"/>
  <c r="C24" i="5"/>
  <c r="B24" i="5"/>
  <c r="D24" i="5" s="1"/>
  <c r="U23" i="5"/>
  <c r="L23" i="5"/>
  <c r="K23" i="5"/>
  <c r="H23" i="5"/>
  <c r="G23" i="5"/>
  <c r="V23" i="5"/>
  <c r="I23" i="5"/>
  <c r="C23" i="5"/>
  <c r="B23" i="5"/>
  <c r="D23" i="5" s="1"/>
  <c r="H22" i="5"/>
  <c r="C22" i="5"/>
  <c r="C21" i="5"/>
  <c r="V20" i="5"/>
  <c r="L20" i="5"/>
  <c r="G20" i="5"/>
  <c r="U20" i="5"/>
  <c r="C20" i="5"/>
  <c r="B20" i="5"/>
  <c r="D20" i="5" s="1"/>
  <c r="U19" i="5"/>
  <c r="L19" i="5"/>
  <c r="K19" i="5"/>
  <c r="G19" i="5"/>
  <c r="V19" i="5"/>
  <c r="I19" i="5"/>
  <c r="C19" i="5"/>
  <c r="B19" i="5"/>
  <c r="D19" i="5" s="1"/>
  <c r="H18" i="5"/>
  <c r="C18" i="5"/>
  <c r="V17" i="5"/>
  <c r="C17" i="5"/>
  <c r="V16" i="5"/>
  <c r="L16" i="5"/>
  <c r="H16" i="5"/>
  <c r="G16" i="5"/>
  <c r="U16" i="5"/>
  <c r="C16" i="5"/>
  <c r="B16" i="5"/>
  <c r="D16" i="5" s="1"/>
  <c r="U30" i="5"/>
  <c r="L30" i="5"/>
  <c r="K30" i="5"/>
  <c r="H30" i="5"/>
  <c r="G30" i="5"/>
  <c r="V30" i="5"/>
  <c r="I30" i="5"/>
  <c r="C30" i="5"/>
  <c r="B30" i="5"/>
  <c r="D30" i="5" s="1"/>
  <c r="H29" i="5"/>
  <c r="C29" i="5"/>
  <c r="H28" i="5"/>
  <c r="V28" i="5"/>
  <c r="C28" i="5"/>
  <c r="L27" i="5"/>
  <c r="H27" i="5"/>
  <c r="G27" i="5"/>
  <c r="U27" i="5"/>
  <c r="C27" i="5"/>
  <c r="B27" i="5"/>
  <c r="D27" i="5" s="1"/>
  <c r="U26" i="5"/>
  <c r="L26" i="5"/>
  <c r="K26" i="5"/>
  <c r="H26" i="5"/>
  <c r="G26" i="5"/>
  <c r="V26" i="5"/>
  <c r="I26" i="5"/>
  <c r="C26" i="5"/>
  <c r="B26" i="5"/>
  <c r="D26" i="5" s="1"/>
  <c r="L25" i="1"/>
  <c r="G25" i="1"/>
  <c r="E25" i="1"/>
  <c r="H25" i="1" s="1"/>
  <c r="D25" i="1"/>
  <c r="V25" i="1" s="1"/>
  <c r="G24" i="1"/>
  <c r="E24" i="1"/>
  <c r="H24" i="1" s="1"/>
  <c r="D24" i="1"/>
  <c r="T24" i="1" s="1"/>
  <c r="L23" i="1"/>
  <c r="G23" i="1"/>
  <c r="E23" i="1"/>
  <c r="H23" i="1" s="1"/>
  <c r="D23" i="1"/>
  <c r="V23" i="1" s="1"/>
  <c r="L22" i="1"/>
  <c r="G22" i="1"/>
  <c r="E22" i="1"/>
  <c r="H22" i="1" s="1"/>
  <c r="D22" i="1"/>
  <c r="V22" i="1" s="1"/>
  <c r="L21" i="1"/>
  <c r="G21" i="1"/>
  <c r="E21" i="1"/>
  <c r="H21" i="1" s="1"/>
  <c r="D21" i="1"/>
  <c r="V21" i="1" s="1"/>
  <c r="G20" i="1"/>
  <c r="E20" i="1"/>
  <c r="H20" i="1" s="1"/>
  <c r="M20" i="1" s="1"/>
  <c r="D20" i="1"/>
  <c r="V20" i="1" s="1"/>
  <c r="L19" i="1"/>
  <c r="G19" i="1"/>
  <c r="E19" i="1"/>
  <c r="H19" i="1" s="1"/>
  <c r="D19" i="1"/>
  <c r="V19" i="1" s="1"/>
  <c r="L18" i="1"/>
  <c r="G18" i="1"/>
  <c r="E18" i="1"/>
  <c r="H18" i="1" s="1"/>
  <c r="D18" i="1"/>
  <c r="V18" i="1" s="1"/>
  <c r="L17" i="1"/>
  <c r="G17" i="1"/>
  <c r="E17" i="1"/>
  <c r="H17" i="1" s="1"/>
  <c r="D17" i="1"/>
  <c r="V17" i="1" s="1"/>
  <c r="G16" i="1"/>
  <c r="E16" i="1"/>
  <c r="H16" i="1" s="1"/>
  <c r="M16" i="1" s="1"/>
  <c r="D16" i="1"/>
  <c r="V16" i="1" s="1"/>
  <c r="L15" i="1"/>
  <c r="G15" i="1"/>
  <c r="E15" i="1"/>
  <c r="H15" i="1" s="1"/>
  <c r="D15" i="1"/>
  <c r="V15" i="1" s="1"/>
  <c r="L14" i="1"/>
  <c r="H14" i="1"/>
  <c r="M14" i="1" s="1"/>
  <c r="G14" i="1"/>
  <c r="E14" i="1"/>
  <c r="D14" i="1"/>
  <c r="V14" i="1" s="1"/>
  <c r="L13" i="1"/>
  <c r="G13" i="1"/>
  <c r="E13" i="1"/>
  <c r="H13" i="1" s="1"/>
  <c r="D13" i="1"/>
  <c r="V13" i="1" s="1"/>
  <c r="H12" i="1"/>
  <c r="G12" i="1"/>
  <c r="E12" i="1"/>
  <c r="D12" i="1"/>
  <c r="V12" i="1" s="1"/>
  <c r="L11" i="1"/>
  <c r="G11" i="1"/>
  <c r="E11" i="1"/>
  <c r="H11" i="1" s="1"/>
  <c r="D11" i="1"/>
  <c r="T11" i="1" s="1"/>
  <c r="T10" i="1"/>
  <c r="L10" i="1"/>
  <c r="G10" i="1"/>
  <c r="E10" i="1"/>
  <c r="H10" i="1" s="1"/>
  <c r="M10" i="1" s="1"/>
  <c r="D10" i="1"/>
  <c r="V10" i="1" s="1"/>
  <c r="L29" i="1"/>
  <c r="G29" i="1"/>
  <c r="E29" i="1"/>
  <c r="H29" i="1" s="1"/>
  <c r="D29" i="1"/>
  <c r="T29" i="1" s="1"/>
  <c r="H28" i="1"/>
  <c r="W28" i="1" s="1"/>
  <c r="G28" i="1"/>
  <c r="E28" i="1"/>
  <c r="D28" i="1"/>
  <c r="V28" i="1" s="1"/>
  <c r="L27" i="1"/>
  <c r="G27" i="1"/>
  <c r="E27" i="1"/>
  <c r="H27" i="1" s="1"/>
  <c r="D27" i="1"/>
  <c r="T27" i="1" s="1"/>
  <c r="T26" i="1"/>
  <c r="L26" i="1"/>
  <c r="G26" i="1"/>
  <c r="E26" i="1"/>
  <c r="H26" i="1" s="1"/>
  <c r="W26" i="1" s="1"/>
  <c r="D26" i="1"/>
  <c r="V26" i="1" s="1"/>
  <c r="V21" i="5" l="1"/>
  <c r="T24" i="5"/>
  <c r="S24" i="5"/>
  <c r="T16" i="5"/>
  <c r="S16" i="5"/>
  <c r="T19" i="5"/>
  <c r="S19" i="5"/>
  <c r="T20" i="5"/>
  <c r="S20" i="5"/>
  <c r="T23" i="5"/>
  <c r="S23" i="5"/>
  <c r="I18" i="5"/>
  <c r="I22" i="5"/>
  <c r="I17" i="5"/>
  <c r="B18" i="5"/>
  <c r="D18" i="5" s="1"/>
  <c r="K18" i="5"/>
  <c r="U18" i="5"/>
  <c r="I21" i="5"/>
  <c r="B22" i="5"/>
  <c r="D22" i="5" s="1"/>
  <c r="K22" i="5"/>
  <c r="U22" i="5"/>
  <c r="I25" i="5"/>
  <c r="I16" i="5"/>
  <c r="B17" i="5"/>
  <c r="D17" i="5" s="1"/>
  <c r="K17" i="5"/>
  <c r="U17" i="5"/>
  <c r="G18" i="5"/>
  <c r="L18" i="5"/>
  <c r="V18" i="5"/>
  <c r="I20" i="5"/>
  <c r="B21" i="5"/>
  <c r="D21" i="5" s="1"/>
  <c r="K21" i="5"/>
  <c r="U21" i="5"/>
  <c r="G22" i="5"/>
  <c r="L22" i="5"/>
  <c r="V22" i="5"/>
  <c r="I24" i="5"/>
  <c r="B25" i="5"/>
  <c r="D25" i="5" s="1"/>
  <c r="K25" i="5"/>
  <c r="U25" i="5"/>
  <c r="K16" i="5"/>
  <c r="G17" i="5"/>
  <c r="L17" i="5"/>
  <c r="K20" i="5"/>
  <c r="G21" i="5"/>
  <c r="L21" i="5"/>
  <c r="K24" i="5"/>
  <c r="G25" i="5"/>
  <c r="L25" i="5"/>
  <c r="T26" i="5"/>
  <c r="S26" i="5"/>
  <c r="T27" i="5"/>
  <c r="S27" i="5"/>
  <c r="T30" i="5"/>
  <c r="S30" i="5"/>
  <c r="I29" i="5"/>
  <c r="I28" i="5"/>
  <c r="B29" i="5"/>
  <c r="D29" i="5" s="1"/>
  <c r="K29" i="5"/>
  <c r="U29" i="5"/>
  <c r="I27" i="5"/>
  <c r="B28" i="5"/>
  <c r="D28" i="5" s="1"/>
  <c r="K28" i="5"/>
  <c r="U28" i="5"/>
  <c r="G29" i="5"/>
  <c r="L29" i="5"/>
  <c r="V29" i="5"/>
  <c r="K27" i="5"/>
  <c r="G28" i="5"/>
  <c r="L28" i="5"/>
  <c r="T28" i="1"/>
  <c r="P18" i="1"/>
  <c r="P10" i="1"/>
  <c r="M18" i="1"/>
  <c r="T18" i="1"/>
  <c r="M24" i="1"/>
  <c r="T12" i="1"/>
  <c r="P26" i="1"/>
  <c r="M12" i="1"/>
  <c r="T20" i="1"/>
  <c r="P16" i="1"/>
  <c r="P14" i="1"/>
  <c r="T16" i="1"/>
  <c r="P22" i="1"/>
  <c r="P28" i="1"/>
  <c r="P12" i="1"/>
  <c r="T14" i="1"/>
  <c r="P20" i="1"/>
  <c r="T22" i="1"/>
  <c r="M22" i="1"/>
  <c r="W15" i="1"/>
  <c r="O15" i="1"/>
  <c r="J15" i="1"/>
  <c r="N15" i="1"/>
  <c r="I15" i="1"/>
  <c r="M15" i="1"/>
  <c r="W23" i="1"/>
  <c r="O23" i="1"/>
  <c r="J23" i="1"/>
  <c r="N23" i="1"/>
  <c r="I23" i="1"/>
  <c r="M23" i="1"/>
  <c r="W21" i="1"/>
  <c r="O21" i="1"/>
  <c r="J21" i="1"/>
  <c r="N21" i="1"/>
  <c r="I21" i="1"/>
  <c r="M21" i="1"/>
  <c r="W25" i="1"/>
  <c r="O25" i="1"/>
  <c r="J25" i="1"/>
  <c r="N25" i="1"/>
  <c r="I25" i="1"/>
  <c r="M25" i="1"/>
  <c r="W17" i="1"/>
  <c r="O17" i="1"/>
  <c r="J17" i="1"/>
  <c r="N17" i="1"/>
  <c r="I17" i="1"/>
  <c r="M17" i="1"/>
  <c r="W13" i="1"/>
  <c r="O13" i="1"/>
  <c r="J13" i="1"/>
  <c r="N13" i="1"/>
  <c r="I13" i="1"/>
  <c r="M13" i="1"/>
  <c r="W11" i="1"/>
  <c r="O11" i="1"/>
  <c r="J11" i="1"/>
  <c r="N11" i="1"/>
  <c r="I11" i="1"/>
  <c r="M11" i="1"/>
  <c r="W19" i="1"/>
  <c r="O19" i="1"/>
  <c r="J19" i="1"/>
  <c r="N19" i="1"/>
  <c r="I19" i="1"/>
  <c r="M19" i="1"/>
  <c r="I10" i="1"/>
  <c r="N10" i="1"/>
  <c r="P11" i="1"/>
  <c r="I12" i="1"/>
  <c r="N12" i="1"/>
  <c r="P13" i="1"/>
  <c r="I14" i="1"/>
  <c r="N14" i="1"/>
  <c r="P15" i="1"/>
  <c r="I16" i="1"/>
  <c r="N16" i="1"/>
  <c r="P17" i="1"/>
  <c r="I18" i="1"/>
  <c r="N18" i="1"/>
  <c r="P19" i="1"/>
  <c r="I20" i="1"/>
  <c r="N20" i="1"/>
  <c r="P21" i="1"/>
  <c r="I22" i="1"/>
  <c r="N22" i="1"/>
  <c r="P23" i="1"/>
  <c r="I24" i="1"/>
  <c r="N24" i="1"/>
  <c r="V24" i="1"/>
  <c r="P25" i="1"/>
  <c r="V11" i="1"/>
  <c r="J10" i="1"/>
  <c r="O10" i="1"/>
  <c r="W10" i="1"/>
  <c r="J12" i="1"/>
  <c r="O12" i="1"/>
  <c r="W12" i="1"/>
  <c r="T13" i="1"/>
  <c r="J14" i="1"/>
  <c r="O14" i="1"/>
  <c r="W14" i="1"/>
  <c r="T15" i="1"/>
  <c r="J16" i="1"/>
  <c r="O16" i="1"/>
  <c r="W16" i="1"/>
  <c r="T17" i="1"/>
  <c r="J18" i="1"/>
  <c r="O18" i="1"/>
  <c r="W18" i="1"/>
  <c r="T19" i="1"/>
  <c r="J20" i="1"/>
  <c r="O20" i="1"/>
  <c r="W20" i="1"/>
  <c r="T21" i="1"/>
  <c r="J22" i="1"/>
  <c r="O22" i="1"/>
  <c r="W22" i="1"/>
  <c r="T23" i="1"/>
  <c r="J24" i="1"/>
  <c r="O24" i="1"/>
  <c r="W24" i="1"/>
  <c r="T25" i="1"/>
  <c r="P24" i="1"/>
  <c r="N27" i="1"/>
  <c r="I27" i="1"/>
  <c r="M27" i="1"/>
  <c r="W27" i="1"/>
  <c r="O27" i="1"/>
  <c r="J27" i="1"/>
  <c r="W29" i="1"/>
  <c r="M29" i="1"/>
  <c r="O29" i="1"/>
  <c r="N29" i="1"/>
  <c r="J29" i="1"/>
  <c r="I29" i="1"/>
  <c r="V27" i="1"/>
  <c r="V29" i="1"/>
  <c r="M26" i="1"/>
  <c r="M28" i="1"/>
  <c r="I26" i="1"/>
  <c r="N26" i="1"/>
  <c r="P27" i="1"/>
  <c r="I28" i="1"/>
  <c r="N28" i="1"/>
  <c r="P29" i="1"/>
  <c r="J26" i="1"/>
  <c r="O26" i="1"/>
  <c r="J28" i="1"/>
  <c r="O28" i="1"/>
  <c r="S17" i="5" l="1"/>
  <c r="T17" i="5"/>
  <c r="S21" i="5"/>
  <c r="T21" i="5"/>
  <c r="S22" i="5"/>
  <c r="T22" i="5"/>
  <c r="S18" i="5"/>
  <c r="T18" i="5"/>
  <c r="S25" i="5"/>
  <c r="T25" i="5"/>
  <c r="T28" i="5"/>
  <c r="S28" i="5"/>
  <c r="S29" i="5"/>
  <c r="T29" i="5"/>
  <c r="W3" i="1" l="1"/>
  <c r="V3" i="1"/>
  <c r="B2" i="5" l="1"/>
  <c r="B3" i="5" s="1"/>
  <c r="B35" i="5"/>
  <c r="D35" i="5" s="1"/>
  <c r="C34" i="5"/>
  <c r="B33" i="5"/>
  <c r="D33" i="5" s="1"/>
  <c r="T33" i="5" l="1"/>
  <c r="T35" i="5"/>
  <c r="C33" i="5"/>
  <c r="C35" i="5"/>
  <c r="B34" i="5"/>
  <c r="D34" i="5" s="1"/>
  <c r="B6" i="5"/>
  <c r="L34" i="5" l="1"/>
  <c r="H34" i="5"/>
  <c r="I34" i="5"/>
  <c r="K34" i="5"/>
  <c r="L35" i="5"/>
  <c r="H35" i="5"/>
  <c r="I35" i="5"/>
  <c r="K35" i="5"/>
  <c r="L33" i="5"/>
  <c r="I33" i="5"/>
  <c r="K33" i="5"/>
  <c r="H33" i="5"/>
  <c r="G34" i="5"/>
  <c r="S34" i="5" s="1"/>
  <c r="U34" i="5"/>
  <c r="V34" i="5"/>
  <c r="G35" i="5"/>
  <c r="S35" i="5" s="1"/>
  <c r="U35" i="5"/>
  <c r="V35" i="5"/>
  <c r="G33" i="5"/>
  <c r="S33" i="5" s="1"/>
  <c r="U33" i="5"/>
  <c r="V33" i="5"/>
  <c r="T34" i="5"/>
  <c r="U7" i="1" l="1"/>
  <c r="B7" i="5" l="1"/>
  <c r="Q3" i="1" l="1"/>
  <c r="O7" i="1" s="1"/>
  <c r="T3" i="1"/>
  <c r="F3" i="1"/>
  <c r="B4" i="5" l="1"/>
  <c r="N7" i="1"/>
  <c r="E38" i="3" s="1"/>
  <c r="K7" i="1"/>
  <c r="H6" i="1"/>
  <c r="R10" i="5" l="1"/>
  <c r="M45" i="3" s="1"/>
  <c r="N38" i="3" l="1"/>
  <c r="B8" i="5"/>
  <c r="B5" i="5"/>
  <c r="D9" i="1"/>
  <c r="V9" i="1" l="1"/>
  <c r="T9" i="1"/>
  <c r="P10" i="5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V31" i="1"/>
  <c r="N3" i="1" l="1"/>
  <c r="M3" i="1"/>
  <c r="O3" i="1"/>
  <c r="C15" i="5" l="1"/>
  <c r="B15" i="5"/>
  <c r="D15" i="5" s="1"/>
  <c r="L12" i="5" l="1"/>
  <c r="I12" i="5"/>
  <c r="S12" i="5"/>
  <c r="T12" i="5"/>
  <c r="K12" i="5"/>
  <c r="U12" i="5"/>
  <c r="V12" i="5"/>
  <c r="H12" i="5"/>
  <c r="T15" i="5"/>
  <c r="C32" i="5"/>
  <c r="B32" i="5"/>
  <c r="D32" i="5" s="1"/>
  <c r="C31" i="5"/>
  <c r="B31" i="5"/>
  <c r="D31" i="5" s="1"/>
  <c r="T31" i="5" s="1"/>
  <c r="T32" i="5" l="1"/>
  <c r="R3" i="1"/>
  <c r="D1" i="1"/>
  <c r="F6" i="1"/>
  <c r="T13" i="5"/>
  <c r="G9" i="1" l="1"/>
  <c r="F15" i="5" s="1"/>
  <c r="E9" i="1"/>
  <c r="H9" i="1" s="1"/>
  <c r="P9" i="1"/>
  <c r="T31" i="1"/>
  <c r="O9" i="1" l="1"/>
  <c r="M9" i="1"/>
  <c r="N9" i="1"/>
  <c r="E15" i="5"/>
  <c r="W9" i="1"/>
  <c r="T7" i="1"/>
  <c r="I9" i="1"/>
  <c r="W31" i="1"/>
  <c r="L31" i="5" l="1"/>
  <c r="H31" i="5"/>
  <c r="I31" i="5"/>
  <c r="K31" i="5"/>
  <c r="L32" i="5"/>
  <c r="K32" i="5"/>
  <c r="H32" i="5"/>
  <c r="I32" i="5"/>
  <c r="H15" i="5"/>
  <c r="L15" i="5"/>
  <c r="K15" i="5"/>
  <c r="I15" i="5"/>
  <c r="G31" i="5"/>
  <c r="S31" i="5" s="1"/>
  <c r="U31" i="5"/>
  <c r="V31" i="5"/>
  <c r="G15" i="5"/>
  <c r="S15" i="5" s="1"/>
  <c r="V15" i="5"/>
  <c r="U15" i="5"/>
  <c r="G32" i="5"/>
  <c r="S32" i="5" s="1"/>
  <c r="U32" i="5"/>
  <c r="V32" i="5"/>
  <c r="G6" i="1"/>
  <c r="H13" i="5"/>
  <c r="V13" i="5"/>
  <c r="U13" i="5"/>
  <c r="S13" i="5"/>
  <c r="L13" i="5"/>
  <c r="I13" i="5"/>
  <c r="K13" i="5"/>
  <c r="K10" i="5" l="1"/>
  <c r="F45" i="3" s="1"/>
  <c r="I10" i="5"/>
  <c r="D45" i="3" s="1"/>
  <c r="H10" i="5"/>
  <c r="C45" i="3" s="1"/>
  <c r="L10" i="5"/>
  <c r="G45" i="3" s="1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3" i="1" l="1"/>
  <c r="B7" i="1"/>
  <c r="L16" i="1" l="1"/>
  <c r="L12" i="1"/>
  <c r="L28" i="1"/>
  <c r="L20" i="1"/>
  <c r="L24" i="1"/>
  <c r="L9" i="1"/>
  <c r="J9" i="1"/>
  <c r="C7" i="1"/>
  <c r="J31" i="1"/>
  <c r="I31" i="1"/>
  <c r="O31" i="1"/>
  <c r="P31" i="1"/>
  <c r="N31" i="1"/>
  <c r="Q7" i="1" l="1"/>
  <c r="M38" i="3" s="1"/>
  <c r="L7" i="1"/>
  <c r="G38" i="3" s="1"/>
  <c r="K38" i="3"/>
  <c r="J38" i="3"/>
  <c r="M31" i="1"/>
  <c r="K31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 Share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L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M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N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<sst xmlns="http://schemas.openxmlformats.org/spreadsheetml/2006/main" count="425" uniqueCount="298">
  <si>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</si>
  <si>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</si>
  <si>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</si>
  <si>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</si>
  <si>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</si>
  <si>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</si>
  <si>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</si>
  <si>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</si>
  <si>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</si>
  <si>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</si>
  <si>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</si>
  <si>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</si>
  <si>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</si>
  <si>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</si>
  <si>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</si>
  <si>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</si>
  <si>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</si>
  <si>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</si>
  <si>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</si>
  <si>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</si>
  <si>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</si>
  <si>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</si>
  <si>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</si>
  <si>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</si>
  <si>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</si>
  <si>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</si>
  <si>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</si>
  <si>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</si>
  <si>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</si>
  <si>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</si>
  <si>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</si>
  <si>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</si>
  <si>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</si>
  <si>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</si>
  <si>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</si>
  <si>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</si>
  <si>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</si>
  <si>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</si>
  <si>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</si>
  <si>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</si>
  <si>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</si>
  <si>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</si>
  <si>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</si>
  <si>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</si>
  <si>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</si>
  <si>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</si>
  <si>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</si>
  <si>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</si>
  <si>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</si>
  <si>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</si>
  <si>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</si>
  <si>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</si>
  <si>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</si>
  <si>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</si>
  <si>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</si>
  <si>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</si>
  <si>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</si>
  <si>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</si>
  <si>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</si>
  <si>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</si>
  <si>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</si>
  <si>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</si>
  <si>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</si>
  <si>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</si>
  <si>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</si>
  <si>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</si>
  <si>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</si>
  <si>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</si>
  <si>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</si>
  <si>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</si>
  <si>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</si>
  <si>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</si>
  <si>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</si>
  <si>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</si>
  <si>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</si>
  <si>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</si>
  <si>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</si>
  <si>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</si>
  <si>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</si>
  <si>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</si>
  <si>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</si>
  <si>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</si>
  <si>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</si>
  <si>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</si>
  <si>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</si>
  <si>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</si>
  <si>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</si>
  <si>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</si>
  <si>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</si>
  <si>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</si>
  <si>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</si>
  <si>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</si>
  <si>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</si>
  <si>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</si>
  <si>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</si>
  <si>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</si>
  <si>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</si>
  <si>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</si>
  <si>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</si>
  <si>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</si>
  <si>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</si>
  <si>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</si>
  <si>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</si>
  <si>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</si>
  <si>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</si>
  <si>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</si>
  <si>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</si>
  <si>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</si>
  <si>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</si>
  <si>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</si>
  <si>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</si>
  <si>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</si>
  <si>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</si>
  <si>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</si>
  <si>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</si>
  <si>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</si>
  <si>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</si>
  <si>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</si>
  <si>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</si>
  <si>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</si>
  <si>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</si>
  <si>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</si>
  <si>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</si>
  <si>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</si>
  <si>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</si>
  <si>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</si>
  <si>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</si>
  <si>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</si>
  <si>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</si>
  <si>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</si>
  <si>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</si>
  <si>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</si>
  <si>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</si>
  <si>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</si>
  <si>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</si>
  <si>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</si>
  <si>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</si>
  <si>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</si>
  <si>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</si>
  <si>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</si>
  <si>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</si>
  <si>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</si>
  <si>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</si>
  <si>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</si>
  <si>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</si>
  <si>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</si>
  <si>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</si>
  <si>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</si>
  <si>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</si>
  <si>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</si>
  <si>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</si>
  <si>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</si>
  <si>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</si>
  <si>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</si>
  <si>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</si>
  <si>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</si>
  <si>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</si>
  <si>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</si>
  <si>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</si>
  <si>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</si>
  <si>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</si>
  <si>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</si>
  <si>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</si>
  <si>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</si>
  <si>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</si>
  <si>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</si>
  <si>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</si>
  <si>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</si>
  <si>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</si>
  <si>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</si>
  <si>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</si>
  <si>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</si>
  <si>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</si>
  <si>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</si>
  <si>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</si>
  <si>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</si>
  <si>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</si>
  <si>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</si>
  <si>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</si>
  <si>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</si>
  <si>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</si>
  <si>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</si>
  <si>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</si>
  <si>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</si>
  <si>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</si>
  <si>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</si>
  <si>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</si>
  <si>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</si>
  <si>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</si>
  <si>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</si>
  <si>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</si>
  <si>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</si>
  <si>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</si>
  <si>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</si>
  <si>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</si>
  <si>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</si>
  <si>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</si>
  <si>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</si>
  <si>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</si>
  <si>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</si>
  <si>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</si>
  <si>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</si>
  <si>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</si>
  <si>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</si>
  <si>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</si>
  <si>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</si>
  <si>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</si>
  <si>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</si>
  <si>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</si>
  <si>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</si>
  <si>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</si>
  <si>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</si>
  <si>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</si>
  <si>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</si>
  <si>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</si>
  <si>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</si>
  <si>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</si>
  <si>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</si>
  <si>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</si>
  <si>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</si>
  <si>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</si>
  <si>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</si>
  <si>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</si>
  <si>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</si>
  <si>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</si>
  <si>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</si>
  <si>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</si>
  <si>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</si>
  <si>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</si>
  <si>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</si>
  <si>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</si>
  <si>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</si>
  <si>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</si>
  <si>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</si>
  <si>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</si>
  <si>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</si>
  <si>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</si>
  <si>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</si>
  <si>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</si>
  <si>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</si>
  <si>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</si>
  <si>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</si>
  <si>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</si>
  <si>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</si>
  <si>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</si>
  <si>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</si>
  <si>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</si>
  <si>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</si>
  <si>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datetime2(7)</t>
  </si>
  <si>
    <t>Painting.Andon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</si>
  <si>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</si>
  <si>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</si>
  <si>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</si>
  <si>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</si>
  <si>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</si>
  <si>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</si>
  <si>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</si>
  <si>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</si>
  <si>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</si>
  <si>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</si>
  <si>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</si>
  <si>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</si>
  <si>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</si>
  <si>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</si>
  <si>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</si>
  <si>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</si>
  <si>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</si>
  <si>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</si>
  <si>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</si>
  <si>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</si>
  <si>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</si>
  <si>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</si>
  <si>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</si>
  <si>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WIP_ID</t>
  </si>
  <si>
    <t>MODEL</t>
  </si>
  <si>
    <t>varchar(50)</t>
  </si>
  <si>
    <t>GRADE</t>
  </si>
  <si>
    <t>BODY_NO</t>
  </si>
  <si>
    <t>LOT_NO</t>
  </si>
  <si>
    <t>NO_IN_LOT</t>
  </si>
  <si>
    <t>COLOR</t>
  </si>
  <si>
    <t>BUMPER_STATUS</t>
  </si>
  <si>
    <t>INITIAL_DATE</t>
  </si>
  <si>
    <t>I1_DATE</t>
  </si>
  <si>
    <t>I2_DATE</t>
  </si>
  <si>
    <t>INL_IN_DATE</t>
  </si>
  <si>
    <t>INL_OUT_DATE</t>
  </si>
  <si>
    <t>PREPARATION_DATE</t>
  </si>
  <si>
    <t>UNPACKING_DATE</t>
  </si>
  <si>
    <t>JIG_SETTING_DATE</t>
  </si>
  <si>
    <t>BOOTH_DATE</t>
  </si>
  <si>
    <t>FINISHED_DATE</t>
  </si>
  <si>
    <t>EXT_SEQ</t>
  </si>
  <si>
    <t>UNP_SEQ</t>
  </si>
  <si>
    <t>IS_ACTIVE</t>
  </si>
  <si>
    <t>varchar(1)</t>
  </si>
  <si>
    <t>PtsAdoBumper</t>
  </si>
  <si>
    <t>Painting Andon Bumper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</si>
</sst>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7" fillId="9" borderId="0" xfId="0" applyFont="1" applyFill="1"/>
    <xf numFmtId="0" fontId="0" fillId="8" borderId="0" xfId="0" applyFill="1" applyBorder="1" applyAlignment="1">
      <alignment wrapText="1"/>
    </xf>
    <xf numFmtId="0" fontId="18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5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7"/>
  <sheetViews>
    <sheetView tabSelected="1" topLeftCell="A19" workbookViewId="0">
      <selection activeCell="H29" sqref="H29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196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87</v>
      </c>
    </row>
    <row r="7" spans="1:6" x14ac:dyDescent="0.25">
      <c r="A7" s="1"/>
      <c r="B7" s="17"/>
      <c r="C7" s="2" t="s">
        <v>97</v>
      </c>
      <c r="D7" s="2"/>
      <c r="E7" s="2"/>
      <c r="F7" s="2" t="s">
        <v>105</v>
      </c>
    </row>
    <row r="8" spans="1:6" x14ac:dyDescent="0.25">
      <c r="A8" s="1"/>
      <c r="B8" s="17"/>
      <c r="C8" t="s">
        <v>89</v>
      </c>
      <c r="F8" s="1" t="s">
        <v>234</v>
      </c>
    </row>
    <row r="9" spans="1:6" x14ac:dyDescent="0.25">
      <c r="A9" s="1"/>
      <c r="B9" s="17"/>
      <c r="C9" t="s">
        <v>88</v>
      </c>
      <c r="F9" s="1" t="s">
        <v>98</v>
      </c>
    </row>
    <row r="10" spans="1:6" x14ac:dyDescent="0.25">
      <c r="A10" s="1"/>
      <c r="B10" s="17"/>
      <c r="D10" t="s">
        <v>89</v>
      </c>
      <c r="F10" s="1" t="s">
        <v>234</v>
      </c>
    </row>
    <row r="11" spans="1:6" x14ac:dyDescent="0.25">
      <c r="A11" s="1"/>
      <c r="B11" s="17"/>
      <c r="D11" t="s">
        <v>90</v>
      </c>
      <c r="F11" s="1" t="s">
        <v>99</v>
      </c>
    </row>
    <row r="12" spans="1:6" x14ac:dyDescent="0.25">
      <c r="A12" s="1"/>
      <c r="B12" s="17"/>
      <c r="D12" t="s">
        <v>91</v>
      </c>
      <c r="F12" s="1" t="s">
        <v>100</v>
      </c>
    </row>
    <row r="13" spans="1:6" x14ac:dyDescent="0.25">
      <c r="A13" s="1"/>
      <c r="B13" s="17"/>
      <c r="D13" t="s">
        <v>92</v>
      </c>
      <c r="F13" s="1" t="s">
        <v>101</v>
      </c>
    </row>
    <row r="14" spans="1:6" x14ac:dyDescent="0.25">
      <c r="A14" s="1"/>
      <c r="B14" s="17"/>
      <c r="D14" t="s">
        <v>93</v>
      </c>
      <c r="F14" s="1" t="s">
        <v>102</v>
      </c>
    </row>
    <row r="15" spans="1:6" x14ac:dyDescent="0.25">
      <c r="A15" s="1"/>
      <c r="B15" s="17"/>
      <c r="D15" t="s">
        <v>94</v>
      </c>
      <c r="F15" s="1" t="s">
        <v>103</v>
      </c>
    </row>
    <row r="16" spans="1:6" x14ac:dyDescent="0.25">
      <c r="A16" s="1"/>
      <c r="B16" s="17"/>
      <c r="C16" t="s">
        <v>91</v>
      </c>
      <c r="F16" s="1" t="s">
        <v>100</v>
      </c>
    </row>
    <row r="17" spans="1:6" x14ac:dyDescent="0.25">
      <c r="A17" s="1"/>
      <c r="B17" s="17"/>
      <c r="D17" t="s">
        <v>95</v>
      </c>
      <c r="F17" s="1" t="s">
        <v>114</v>
      </c>
    </row>
    <row r="18" spans="1:6" x14ac:dyDescent="0.25">
      <c r="A18" s="1"/>
      <c r="B18" s="17"/>
      <c r="D18" t="s">
        <v>96</v>
      </c>
      <c r="F18" s="1" t="s">
        <v>104</v>
      </c>
    </row>
    <row r="19" spans="1:6" x14ac:dyDescent="0.25">
      <c r="A19" s="1"/>
      <c r="B19" s="17"/>
      <c r="C19" t="s">
        <v>92</v>
      </c>
      <c r="F19" s="1" t="s">
        <v>101</v>
      </c>
    </row>
    <row r="20" spans="1:6" x14ac:dyDescent="0.25">
      <c r="A20" s="1"/>
      <c r="B20" s="17"/>
      <c r="C20" t="s">
        <v>93</v>
      </c>
      <c r="F20" s="1" t="s">
        <v>102</v>
      </c>
    </row>
    <row r="21" spans="1:6" x14ac:dyDescent="0.25">
      <c r="A21" s="1"/>
      <c r="B21" s="17"/>
    </row>
    <row r="22" spans="1:6" x14ac:dyDescent="0.25">
      <c r="A22" s="1"/>
      <c r="B22" s="17" t="s">
        <v>86</v>
      </c>
    </row>
    <row r="23" spans="1:6" x14ac:dyDescent="0.25">
      <c r="A23" s="1"/>
      <c r="B23" s="17" t="s">
        <v>83</v>
      </c>
    </row>
    <row r="24" spans="1:6" x14ac:dyDescent="0.25">
      <c r="A24" s="1"/>
      <c r="B24" s="17"/>
      <c r="C24" s="19" t="s">
        <v>80</v>
      </c>
    </row>
    <row r="25" spans="1:6" x14ac:dyDescent="0.25">
      <c r="A25" s="1"/>
      <c r="B25" s="17"/>
      <c r="C25" s="18" t="s">
        <v>81</v>
      </c>
    </row>
    <row r="26" spans="1:6" x14ac:dyDescent="0.25">
      <c r="A26" s="1"/>
      <c r="B26" s="17"/>
      <c r="C26" s="18" t="s">
        <v>82</v>
      </c>
    </row>
    <row r="27" spans="1:6" x14ac:dyDescent="0.25">
      <c r="A27" s="1"/>
      <c r="B27" s="17" t="s">
        <v>106</v>
      </c>
      <c r="C27" s="18"/>
    </row>
    <row r="28" spans="1:6" x14ac:dyDescent="0.25">
      <c r="A28" s="1"/>
      <c r="B28" s="17"/>
      <c r="C28" s="18" t="s">
        <v>107</v>
      </c>
    </row>
    <row r="29" spans="1:6" x14ac:dyDescent="0.25">
      <c r="A29" s="1"/>
      <c r="B29" s="17"/>
      <c r="C29" s="18" t="s">
        <v>108</v>
      </c>
    </row>
    <row r="30" spans="1:6" x14ac:dyDescent="0.25">
      <c r="A30" s="1"/>
      <c r="B30" s="17"/>
      <c r="C30" s="18" t="s">
        <v>109</v>
      </c>
    </row>
    <row r="31" spans="1:6" x14ac:dyDescent="0.25">
      <c r="A31" s="1"/>
      <c r="B31" s="17"/>
      <c r="C31" s="18" t="s">
        <v>111</v>
      </c>
    </row>
    <row r="32" spans="1:6" x14ac:dyDescent="0.25">
      <c r="A32" s="1"/>
      <c r="B32" s="17"/>
      <c r="C32" s="18" t="s">
        <v>113</v>
      </c>
    </row>
    <row r="33" spans="1:14" x14ac:dyDescent="0.25">
      <c r="A33" s="1"/>
      <c r="B33" s="17"/>
      <c r="C33" s="18" t="s">
        <v>112</v>
      </c>
    </row>
    <row r="34" spans="1:14" x14ac:dyDescent="0.25">
      <c r="A34" s="1"/>
      <c r="B34" s="17"/>
      <c r="C34" s="18" t="s">
        <v>110</v>
      </c>
    </row>
    <row r="35" spans="1:14" ht="21" customHeight="1" x14ac:dyDescent="0.25">
      <c r="B35" s="21" t="s">
        <v>78</v>
      </c>
    </row>
    <row r="36" spans="1:14" ht="21" customHeight="1" x14ac:dyDescent="0.25">
      <c r="B36" s="63" t="s">
        <v>231</v>
      </c>
    </row>
    <row r="37" spans="1:14" ht="15.75" thickBot="1" x14ac:dyDescent="0.3">
      <c r="C37" s="1" t="s">
        <v>72</v>
      </c>
      <c r="D37" s="1" t="s">
        <v>207</v>
      </c>
      <c r="E37" s="1" t="s">
        <v>208</v>
      </c>
      <c r="F37" s="1" t="s">
        <v>198</v>
      </c>
      <c r="G37" s="1" t="s">
        <v>199</v>
      </c>
      <c r="H37" s="1" t="s">
        <v>200</v>
      </c>
      <c r="I37" s="1" t="s">
        <v>201</v>
      </c>
      <c r="J37" s="1" t="s">
        <v>205</v>
      </c>
      <c r="K37" s="1" t="s">
        <v>209</v>
      </c>
      <c r="L37" s="1" t="s">
        <v>210</v>
      </c>
      <c r="M37" s="1" t="s">
        <v>211</v>
      </c>
      <c r="N37" s="1" t="s">
        <v>227</v>
      </c>
    </row>
    <row r="38" spans="1:14" s="16" customFormat="1" ht="21.75" customHeight="1" thickBot="1" x14ac:dyDescent="0.3">
      <c r="B38" s="52" t="s">
        <v>226</v>
      </c>
      <c r="C3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[Table("PtsAdoBumper")]
	[Index(nameof(WipId), Name="IX_PtsAdoBumper_WipId")]
	[Index(nameof(BodyNo), Name="IX_PtsAdoBumper_BodyNo")]
	[Index(nameof(LotNo), Name="IX_PtsAdoBumper_LotNo")]
	[Index(nameof(NoInLot), Name="IX_PtsAdoBumper_NoInLot")]
	[Index(nameof(BumperStatus), Name="IX_PtsAdoBumper_BumperStatus")]
	public class PtsAdoBumper: FullAuditedEntity&lt;long&gt;, IEntity&lt;long&gt;	
	{
		public const int MaxModelLength = 50;
		public const int MaxGradeLength = 50;
		public const int MaxBodyNoLength = 50;
		public const int MaxLotNoLength = 50;
		public const int MaxColorLength = 50;
		public const int MaxIsActiveLength = 1;
		public virtual long WipId { get; set; }
		[StringLength(MaxModelLength)]
		public virtual string Model { get; set; }
		[StringLength(MaxGradeLength)]
		public virtual string Grade { get; set; }
		[StringLength(MaxBodyNoLength)]
		public virtual string BodyNo { get; set; }
		[StringLength(MaxLotNoLength)]
		public virtual string LotNo { get; set; }
		public virtual int NoInLot { get; set; }
		[StringLength(MaxColorLength)]
		public virtual string Color { get; set; }
		public virtual int BumperStatus { get; set; }
		[Column(TypeName="datetime2(7)")]
		public virtual DateTime InitialDate { get; set; }
		[Column(TypeName="datetime2(7)")]
		public virtual DateTime I1Date { get; set; }
		[Column(TypeName="datetime2(7)")]
		public virtual DateTime I2Date { get; set; }
		[Column(TypeName="datetime2(7)")]
		public virtual DateTime InlInDate { get; set; }
		[Column(TypeName="datetime2(7)")]
		public virtual DateTime InlOutDate { get; set; }
		[Column(TypeName="datetime2(7)")]
		public virtual DateTime PreparationDate { get; set; }
		[Column(TypeName="datetime2(7)")]
		public virtual DateTime UnpackingDate { get; set; }
		[Column(TypeName="datetime2(7)")]
		public virtual DateTime JigSettingDate { get; set; }
		[Column(TypeName="datetime2(7)")]
		public virtual DateTime BoothDate { get; set; }
		[Column(TypeName="datetime2(7)")]
		public virtual DateTime FinishedDate { get; set; }
		public virtual int ExtSeq { get; set; }
		public virtual int UnpSeq { get; set; }
		[StringLength(MaxIsActiveLength)]
		public virtual string IsActive { get; set; }
	}
}
</v>
      </c>
      <c r="D38" s="51" t="str">
        <f>A.Backend!O7</f>
        <v xml:space="preserve">		public const string Pages_Painting_Andon_Bumper = "Pages.Painting.Andon.Bumper";
		public const string Pages_Painting_Andon_Bumper_CreateEdit = "Pages.Painting.Andon.Bumper.CreateEdit";
		public const string Pages_Painting_Andon_Bumper_Delete = "Pages.Painting.Andon.Bumper.Delete";
</v>
      </c>
      <c r="E38" s="51" t="str">
        <f>A.Backend!N7</f>
        <v xml:space="preserve">		var perPtsAdoBumper = PARENTS.CreateChildPermission(AppPermissions.Pages_Painting_Andon_Bumper, L( "PaintingAndonBumper"));
		perPtsAdoBumper.CreateChildPermission(AppPermissions.Pages_Painting_Andon_Bumper_CreateEdit, L( "PaintingAndonBumperCreateEdit"));
		perPtsAdoBumper.CreateChildPermission(AppPermissions.Pages_Painting_Andon_Bumper_Delete, L( "PaintingAndonBumperDelete"));</v>
      </c>
      <c r="F38" s="51" t="str">
        <f>A.Backend!K7</f>
        <v>public virtual DbSet&lt;PtsAdoBumper&gt; PtsAdoBumpers { get; set; }</v>
      </c>
      <c r="G38" s="51" t="str">
        <f ca="1">A.Backend!L7</f>
        <v xml:space="preserve">namespace vovina.Painting.Andon
{
	public class PtsAdoBumperConsts	
	{
		public const int MaxModelLength = 50;
		public const int MaxGradeLength = 50;
		public const int MaxBodyNoLength = 50;
		public const int MaxLotNoLength = 50;
		public const int MaxColorLength = 50;
		public const int MaxIsActiveLength = 1;
		// Define Store Name: Format SP_ + &lt;Store Name&gt; = &lt;Store Name&gt;
	}
}
</v>
      </c>
      <c r="H38" s="51" t="str">
        <f ca="1">A.Backend!M7</f>
        <v xml:space="preserve">using Abp.Application.Services.Dto;
using System;
using System.ComponentModel.DataAnnotations;
namespace vovina.Painting.Andon.Dto
{
	public class PtsAdoBumperDto : EntityDto&lt;long?&gt;	
	{
		public virtual long WipId { get; set; }
		public virtual string Model { get; set; }
		public virtual string Grade { get; set; }
		public virtual string BodyNo { get; set; }
		public virtual string LotNo { get; set; }
		public virtual int NoInLot { get; set; }
		public virtual string Color { get; set; }
		public virtual int BumperStatus { get; set; }
		public virtual DateTime? InitialDate { get; set; }
		public virtual DateTime? I1Date { get; set; }
		public virtual DateTime? I2Date { get; set; }
		public virtual DateTime? InlInDate { get; set; }
		public virtual DateTime? InlOutDate { get; set; }
		public virtual DateTime? PreparationDate { get; set; }
		public virtual DateTime? UnpackingDate { get; set; }
		public virtual DateTime? JigSettingDate { get; set; }
		public virtual DateTime? BoothDate { get; set; }
		public virtual DateTime? FinishedDate { get; set; }
		public virtual int ExtSeq { get; set; }
		public virtual int UnpSeq { get; set; }
		public virtual string IsActive { get; set; }
	}
	public class CreateOrEditPtsAdoBumperDto : EntityDto&lt;long?&gt;	
	{
		public virtual long WipId { get; set; }
		[StringLength(PtsAdoBumperConsts.MaxModelLength)]
		public virtual string Model { get; set; }
		[StringLength(PtsAdoBumperConsts.MaxGradeLength)]
		public virtual string Grade { get; set; }
		[StringLength(PtsAdoBumperConsts.MaxBodyNoLength)]
		public virtual string BodyNo { get; set; }
		[StringLength(PtsAdoBumperConsts.MaxLotNoLength)]
		public virtual string LotNo { get; set; }
		public virtual int NoInLot { get; set; }
		[StringLength(PtsAdoBumperConsts.MaxColorLength)]
		public virtual string Color { get; set; }
		public virtual int BumperStatus { get; set; }
		public virtual DateTime? InitialDate { get; set; }
		public virtual DateTime? I1Date { get; set; }
		public virtual DateTime? I2Date { get; set; }
		public virtual DateTime? InlInDate { get; set; }
		public virtual DateTime? InlOutDate { get; set; }
		public virtual DateTime? PreparationDate { get; set; }
		public virtual DateTime? UnpackingDate { get; set; }
		public virtual DateTime? JigSettingDate { get; set; }
		public virtual DateTime? BoothDate { get; set; }
		public virtual DateTime? FinishedDate { get; set; }
		public virtual int ExtSeq { get; set; }
		public virtual int UnpSeq { get; set; }
		[StringLength(PtsAdoBumperConsts.MaxIsActiveLength)]
		public virtual string IsActive { get; set; }
	}
	public class GetPtsAdoBumperInput : PagedAndSortedResultRequestDto	
	{
		public virtual string Model { get; set; }
		public virtual string Grade { get; set; }
		public virtual string BodyNo { get; set; }
		public virtual string LotNo { get; set; }
		public virtual int NoInLot { get; set; }
		public virtual string Color { get; set; }
		public virtual int BumperStatus { get; set; }
		public virtual DateTime? InitialDate { get; set; }
		public virtual DateTime? I1Date { get; set; }
		public virtual DateTime? I2Date { get; set; }
		public virtual DateTime? InlInDate { get; set; }
		public virtual DateTime? InlOutDate { get; set; }
		public virtual DateTime? PreparationDate { get; set; }
		public virtual DateTime? UnpackingDate { get; set; }
		public virtual DateTime? JigSettingDate { get; set; }
		public virtual DateTime? BoothDate { get; set; }
		public virtual DateTime? FinishedDate { get; set; }
		public virtual int ExtSeq { get; set; }
		public virtual int UnpSeq { get; set; }
		public virtual string IsActive { get; set; }
	}
}
</v>
      </c>
      <c r="I38" s="51" t="str">
        <f ca="1">A.Backend!R7</f>
        <v xml:space="preserve">using Abp.Application.Services.Dto;
using System;
using System.ComponentModel.DataAnnotations;
namespace vovina.Painting.Andon.Dto
{
	public class PtsAdoBumperExportInput{
		public virtual long WipId { get; set; }
		public virtual string Model { get; set; }
		public virtual string Grade { get; set; }
		public virtual string BodyNo { get; set; }
		public virtual string LotNo { get; set; }
		public virtual int NoInLot { get; set; }
		public virtual string Color { get; set; }
		public virtual int BumperStatus { get; set; }
		public virtual DateTime? InitialDate { get; set; }
		public virtual DateTime? I1Date { get; set; }
		public virtual DateTime? I2Date { get; set; }
		public virtual DateTime? InlInDate { get; set; }
		public virtual DateTime? InlOutDate { get; set; }
		public virtual DateTime? PreparationDate { get; set; }
		public virtual DateTime? UnpackingDate { get; set; }
		public virtual DateTime? JigSettingDate { get; set; }
		public virtual DateTime? BoothDate { get; set; }
		public virtual DateTime? FinishedDate { get; set; }
		public virtual int ExtSeq { get; set; }
		public virtual int UnpSeq { get; set; }
		public virtual string IsActive { get; set; }
	}
}
</v>
      </c>
      <c r="J38" s="51" t="str">
        <f>A.Backend!P7</f>
        <v xml:space="preserve">using Abp.Application.Services;
using Abp.Application.Services.Dto;
using System.Collections.Generic;using vovina.Dto;
using System.Threading.Tasks;
using vovina.Painting.Andon.Dto;
namespace vovina.Painting.Andon
{
	public interface IPtsAdoBumperAppService : IApplicationService
	{
		Task&lt;PagedResultDto&lt;PtsAdoBumperDto&gt;&gt; GetAll(GetPtsAdoBumperInput input);
		Task CreateOrEdit(CreateOrEditPtsAdoBumperDto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vovina.Painting.Andon.Dto;
namespace vovina.Painting.Andon.Exporting
{
	public interface IPtsAdoBumperExcelExporter : IApplicationService
	{
		FileDto ExportToFile(List&lt;PtsAdoBumperDto&gt; ptsadobumper);
	}
}
</v>
      </c>
      <c r="L38" s="51" t="str">
        <f ca="1">A.Backend!T7</f>
        <v>using System.Collections.Generic;
using vovina.DataExporting.Excel.NPOI;
using vovina.Dto;
using vovina.Painting.Andon.Exporting;
using vovina.Painting.Andon.Dto;
using vovina.Storage;
using vovina.Painting.Andon.Dto;
namespace vovina.Painting.Andon.Exporting
{
    public class PtsAdoBumperExcelExporter : NpoiExcelExporterBase, IPtsAdoBumperExcelExporter
    {
        public PtsAdoBumperExcelExporter(ITempFileCacheManager tempFileCacheManager) : base(tempFileCacheManager) { }
        public FileDto ExportToFile(List&lt;PtsAdoBumperDto&gt; bumper)
        {
            return CreateExcelPackage(
				"PaintingAndonBumper.xlsx",
				excelPackage =&gt;
				 {
					var sheet = excelPackage.CreateSheet("Bumper");
					AddHeader(
								sheet,
								("WipId"),
								("Model"),
								("Grade"),
								("BodyNo"),
								("LotNo"),
								("NoInLot"),
								("Color"),
								("BumperStatus"),
								("InitialDate"),
								("I1Date"),
								("I2Date"),
								("InlInDate"),
								("InlOutDate"),
								("PreparationDate"),
								("UnpackingDate"),
								("JigSettingDate"),
								("BoothDate"),
								("FinishedDate"),
								("ExtSeq"),
								("UnpSeq"),
								("IsActive"),
							   );
					AddObjects(
						 sheet, 1, bumper,                                       
								_ =&gt; _.WipId,
								_ =&gt; _.Model,
								_ =&gt; _.Grade,
								_ =&gt; _.BodyNo,
								_ =&gt; _.LotNo,
								_ =&gt; _.NoInLot,
								_ =&gt; _.Color,
								_ =&gt; _.BumperStatus,
								_ =&gt; _.InitialDate,
								_ =&gt; _.I1Date,
								_ =&gt; _.I2Date,
								_ =&gt; _.InlInDate,
								_ =&gt; _.InlOutDate,
								_ =&gt; _.PreparationDate,
								_ =&gt; _.UnpackingDate,
								_ =&gt; _.JigSettingDate,
								_ =&gt; _.BoothDate,
								_ =&gt; _.FinishedDate,
								_ =&gt; _.ExtSeq,
								_ =&gt; _.UnpSeq,
								_ =&gt; _.IsActive,
								);
			for (var i = 0; i &lt; 8; i++)
				{
					sheet.AutoSizeColumn(i);
				}
			});
        }
    }
}</v>
      </c>
      <c r="M3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vovina.Painting.Andon.Dto;
using vovina.Painting.Andon.Exporting;
namespace vovina.Painting.Andon
{
    [AbpAuthorize(AppPermissions.Pages_Painting_Andon_Bumper)]
    public class PtsAdoBumperAppService : vovinaAppServiceBase, IPtsAdoBumperAppService
    {
        private readonly IDapperRepository&lt;PtsAdoBumper, long&gt; _dapperRepo;
        private readonly IRepository&lt;PtsAdoBumper, long&gt; _repo;
        private readonly IPtsAdoBumperExcelExporter _calendarListExcelExporter;
        public PtsAdoBumperAppService(IRepository&lt;PtsAdoBumper,long&gt; repo, 
                                         IDapperRepository&lt;PtsAdoBumper,long&gt; dapperRepo,
                                        IPtsAdoBumperExcelExporter calendarListExcelExporter
            )
        {
            _repo = repo;
            _dapperRepo = dapperRepo;
            _calendarListExcelExporter = calendarListExcelExporter;
        }
        [AbpAuthorize(AppPermissions.Pages_Painting_Andon_Bumper_CreateEdit)]
        public async Task CreateOrEdit(CreateOrEditPtsAdoBumperDto input)
        {
            if (input.Id == null) await Create(input);
            else await Update(input);
        }
        //CREATE
        private async Task Create(CreateOrEditPtsAdoBumperDto input)
        {          
            var mainObj = ObjectMapper.Map&lt;PtsAdoBumper&gt;(input);
            await CurrentUnitOfWork.GetDbContext&lt;vovinaDbContext&gt;().AddAsync(mainObj);
        }
        // EDIT
        private async Task Update(CreateOrEditPtsAdoBumperDto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[AbpAuthorize(AppPermissions.Pages_Painting_Andon_Bumper_Delete)]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Task&lt;PagedResultDto&lt;PtsAdoBumperDto&gt;&gt; GetAll(GetPtsAdoBumperInput input)
        {
            var filtered = _repo.GetAll()
				.WhereIf(!string.IsNullOrWhiteSpace(input.Model), e =&gt; e.Model.Contains(input.Model))
				.WhereIf(!string.IsNullOrWhiteSpace(input.Grade), e =&gt; e.Grade.Contains(input.Grade))
				.WhereIf(!string.IsNullOrWhiteSpace(input.BodyNo), e =&gt; e.BodyNo.Contains(input.BodyNo))
				.WhereIf(!string.IsNullOrWhiteSpace(input.LotNo), e =&gt; e.LotNo.Contains(input.LotNo))
				.WhereIf(!string.IsNullOrWhiteSpace(input.Color), e =&gt; e.Color.Contains(input.Color))
				.WhereIf(input.InitialDate.HasValue, t =&gt; t.InitialDate == input.InitialDate.Value)
				.WhereIf(input.I1Date.HasValue, t =&gt; t.I1Date == input.I1Date.Value)
				.WhereIf(input.I2Date.HasValue, t =&gt; t.I2Date == input.I2Date.Value)
				.WhereIf(input.InlInDate.HasValue, t =&gt; t.InlInDate == input.InlInDate.Value)
				.WhereIf(input.InlOutDate.HasValue, t =&gt; t.InlOutDate == input.InlOutDate.Value)
				.WhereIf(input.PreparationDate.HasValue, t =&gt; t.PreparationDate == input.PreparationDate.Value)
				.WhereIf(input.UnpackingDate.HasValue, t =&gt; t.UnpackingDate == input.UnpackingDate.Value)
				.WhereIf(input.JigSettingDate.HasValue, t =&gt; t.JigSettingDate == input.JigSettingDate.Value)
				.WhereIf(input.BoothDate.HasValue, t =&gt; t.BoothDate == input.BoothDate.Value)
				.WhereIf(input.FinishedDate.HasValue, t =&gt; t.FinishedDate == input.FinishedDate.Value)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PtsAdoBumperDto
                        {
							Id = o.Id,
							WipId = o.WipId,
							Model = o.Model,
							Grade = o.Grade,
							BodyNo = o.BodyNo,
							LotNo = o.LotNo,
							NoInLot = o.NoInLot,
							Color = o.Color,
							BumperStatus = o.BumperStatus,
							InitialDate = o.InitialDate,
							I1Date = o.I1Date,
							I2Date = o.I2Date,
							InlInDate = o.InlInDate,
							InlOutDate = o.InlOutDate,
							PreparationDate = o.PreparationDate,
							UnpackingDate = o.UnpackingDate,
							JigSettingDate = o.JigSettingDate,
							BoothDate = o.BoothDate,
							FinishedDate = o.FinishedDate,
							ExtSeq = o.ExtSeq,
							UnpSeq = o.UnpSeq,
							IsActive = o.IsActive,
                        };
            var totalCount = await filtered.CountAsync();
			var paged = system.PageBy(input);
            return new PagedResultDto&lt;PtsAdoBumperDto&gt;(
                totalCount,
                 await paged.ToListAsync()
            );
        }
        public async Task&lt;FileDto&gt; GetBumperToExcel(PtsAdoBumperExportInput input)
        {
            var query = from o in _repo.GetAll()
                        select new PtsAdoBumperDto
                        {
							Id = o.Id,
							WipId = o.WipId,
							Model = o.Model,
							Grade = o.Grade,
							BodyNo = o.BodyNo,
							LotNo = o.LotNo,
							NoInLot = o.NoInLot,
							Color = o.Color,
							BumperStatus = o.BumperStatus,
							InitialDate = o.InitialDate,
							I1Date = o.I1Date,
							I2Date = o.I2Date,
							InlInDate = o.InlInDate,
							InlOutDate = o.InlOutDate,
							PreparationDate = o.PreparationDate,
							UnpackingDate = o.UnpackingDate,
							JigSettingDate = o.JigSettingDate,
							BoothDate = o.BoothDate,
							FinishedDate = o.FinishedDate,
							ExtSeq = o.ExtSeq,
							UnpSeq = o.UnpSeq,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_dapperRepo.ExecuteAsync(PtsAdoBumperConsts.SP_MST_WPT_CALENDAR_GENERATE);
       // }
    }
}</v>
      </c>
      <c r="N38" s="62" t="str">
        <f>A.Backend!U7</f>
        <v xml:space="preserve">  configuration.CreateMap&lt;PtsAdoBumperDto, PtsAdoBumper&gt;();
  configuration.CreateMap&lt;PtsAdoBumper, PtsAdoBumperDto&gt;();
  configuration.CreateMap&lt;CreateOrEditPtsAdoBumperDto, PtsAdoBumper&gt;();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bumper</v>
      </c>
      <c r="C43" s="72" t="str">
        <f>"create folder " &amp;B43</f>
        <v>create folder bumper</v>
      </c>
      <c r="D43" s="72"/>
      <c r="E43" s="72"/>
      <c r="F43" s="72"/>
      <c r="G43" s="72"/>
      <c r="H43" s="72"/>
      <c r="I43" s="72"/>
      <c r="J43" s="72"/>
      <c r="K43" s="73" t="s">
        <v>228</v>
      </c>
      <c r="L43" s="73"/>
      <c r="M43" s="31"/>
    </row>
    <row r="44" spans="1:14" s="28" customFormat="1" ht="18" customHeight="1" x14ac:dyDescent="0.25">
      <c r="B44" s="60" t="s">
        <v>229</v>
      </c>
      <c r="C44" s="31" t="str">
        <f>B.Frontend!H14</f>
        <v>bumper.component.ts</v>
      </c>
      <c r="D44" s="31" t="str">
        <f>B.Frontend!I14</f>
        <v>bumper.component.html</v>
      </c>
      <c r="E44" s="31" t="str">
        <f>B.Frontend!J14</f>
        <v>bumper.component.less</v>
      </c>
      <c r="F44" s="31" t="str">
        <f>B.Frontend!K14</f>
        <v>create-or-edit-bumper-modal.component.html</v>
      </c>
      <c r="G44" s="31" t="str">
        <f>B.Frontend!L14</f>
        <v>create-or-edit-bumper-modal.component.ts</v>
      </c>
      <c r="H44" s="31" t="str">
        <f>B.Frontend!M14</f>
        <v>create-or-edit-bumper-modal.component.less</v>
      </c>
      <c r="I44" s="31" t="str">
        <f>B.Frontend!N14</f>
        <v>bumper.module.ts</v>
      </c>
      <c r="J44" s="31" t="str">
        <f>B.Frontend!O14</f>
        <v>bumper-routing.module.ts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60" t="s">
        <v>232</v>
      </c>
    </row>
    <row r="45" spans="1:14" ht="21.75" customHeight="1" x14ac:dyDescent="0.25">
      <c r="B45" s="61" t="s">
        <v>226</v>
      </c>
      <c r="C4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PtsAdoBumperDto, PtsAdoBumperServiceProxy } from '@shared/service-proxies/service-proxies';
import { finalize } from 'rxjs/internal/operators/finalize';
import { CreateOrEditBumperModalComponent } from './create-or-edit-bumper-modal.component';
import { DatePipe } from '@angular/common';
import { FileDownloadService } from '@shared/utils/file-download.service';
import ceil from 'lodash-es/ceil';
import { Paginator } from 'primeng/paginator';
@Component({
    templateUrl: './bumper.component.html',
    styleUrls: ['./bumper.component.less'],
})
export class BumperComponent extends AppComponentBase implements OnInit {
    @ViewChild('createOrEditModalBumper', { static: true }) createOrEditModalBumper:| CreateOrEditBumperModalComponent|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PtsAdoBumperDto = new PtsAdoBumperDto();
    saveSelectedRow: PtsAdoBumperDto = new PtsAdoBumperDto();
    datas: PtsAdoBumperDto = new PtsAdoBumperDto();
    isLoading: boolean = false;
    dataParams: GridParams | undefined;
    rowData: any[] = [];
    gridApi!: GridApi;
    rowSelection = 'multiple';
    filter: string = '';
	pipe = new DatePipe('en-US');
	frameworkComponents: FrameworkComponent;
    wipId
	model : string = '' ; 
	grade : string = '' ; 
	bodyNo : string = '' ; 
	lotNo : string = '' ; 
	noInLot : number = 0 ;
	color : string = '' ; 
	bumperStatus : number = 0 ;
	initialDate : any ;
	i1Date : any ;
	i2Date : any ;
	inlInDate : any ;
	inlOutDate : any ;
	preparationDate : any ;
	unpackingDate : any ;
	jigSettingDate : any ;
	boothDate : any ;
	finishedDate : any ;
	extSeq : number = 0 ;
	unpSeq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PtsAdoBumperServiceProxy,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this.l('Wip Id'),headerTooltip: this.l('Wip Id'),field: 'wipId',flex: 1},
			{headerName: this.l('Model'),headerTooltip: this.l('Model'),field: 'model',flex: 1},
			{headerName: this.l('Grade'),headerTooltip: this.l('Grade'),field: 'grade',flex: 1},
			{headerName: this.l('Body No'),headerTooltip: this.l('Body No'),field: 'bodyNo',flex: 1},
			{headerName: this.l('Lot No'),headerTooltip: this.l('Lot No'),field: 'lotNo',flex: 1},
			{headerName: this.l('No In Lot'),headerTooltip: this.l('No In Lot'),field: 'noInLot',flex: 1},
			{headerName: this.l('Color'),headerTooltip: this.l('Color'),field: 'color',flex: 1},
			{headerName: this.l('Bumper Status'),headerTooltip: this.l('Bumper Status'),field: 'bumperStatus',flex: 1},
			{headerName: this.l('Initial Date'),headerTooltip: this.l('Initial Date'),field: 'initialDate',valueGetter: (params) =&gt; this.pipe.transform(params.data?.initialDate, 'dd/MM/yyyy'),flex: 1},
			{headerName: this.l('I1 Date'),headerTooltip: this.l('I1 Date'),field: 'i1Date',valueGetter: (params) =&gt; this.pipe.transform(params.data?.i1Date, 'dd/MM/yyyy'),flex: 1},
			{headerName: this.l('I2 Date'),headerTooltip: this.l('I2 Date'),field: 'i2Date',valueGetter: (params) =&gt; this.pipe.transform(params.data?.i2Date, 'dd/MM/yyyy'),flex: 1},
			{headerName: this.l('Inl In Date'),headerTooltip: this.l('Inl In Date'),field: 'inlInDate',valueGetter: (params) =&gt; this.pipe.transform(params.data?.inlInDate, 'dd/MM/yyyy'),flex: 1},
			{headerName: this.l('Inl Out Date'),headerTooltip: this.l('Inl Out Date'),field: 'inlOutDate',valueGetter: (params) =&gt; this.pipe.transform(params.data?.inlOutDate, 'dd/MM/yyyy'),flex: 1},
			{headerName: this.l('Preparation Date'),headerTooltip: this.l('Preparation Date'),field: 'preparationDate',valueGetter: (params) =&gt; this.pipe.transform(params.data?.preparationDate, 'dd/MM/yyyy'),flex: 1},
			{headerName: this.l('Unpacking Date'),headerTooltip: this.l('Unpacking Date'),field: 'unpackingDate',valueGetter: (params) =&gt; this.pipe.transform(params.data?.unpackingDate, 'dd/MM/yyyy'),flex: 1},
			{headerName: this.l('Jig Setting Date'),headerTooltip: this.l('Jig Setting Date'),field: 'jigSettingDate',valueGetter: (params) =&gt; this.pipe.transform(params.data?.jigSettingDate, 'dd/MM/yyyy'),flex: 1},
			{headerName: this.l('Booth Date'),headerTooltip: this.l('Booth Date'),field: 'boothDate',valueGetter: (params) =&gt; this.pipe.transform(params.data?.boothDate, 'dd/MM/yyyy'),flex: 1},
			{headerName: this.l('Finished Date'),headerTooltip: this.l('Finished Date'),field: 'finishedDate',valueGetter: (params) =&gt; this.pipe.transform(params.data?.finishedDate, 'dd/MM/yyyy'),flex: 1},
			{headerName: this.l('Ext Seq'),headerTooltip: this.l('Ext Seq'),field: 'extSeq',flex: 1},
			{headerName: this.l('Unp Seq'),headerTooltip: this.l('Unp Seq'),field: 'unpSeq',flex: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this.wipId,
			this.model,
			this.grade,
			this.bodyNo,
			this.lotNo,
			this.noInLot,
			this.color,
			this.bumperStatus,
			this.initialDate,
			this.i1Date,
			this.i2Date,
			this.inlInDate,
			this.inlOutDate,
			this.preparationDate,
			this.unpackingDate,
			this.jigSettingDate,
			this.boothDate,
			this.finishedDate,
			this.extSeq,
			this.unpSeq,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this.wipId = '',
		this.model = '',
		this.grade = '',
		this.bodyNo = '',
		this.lotNo = '',
		this.noInLot = 0,
		this.color = '',
		this.bumperStatus = 0,
		this.initialDate = '',
		this.i1Date = '',
		this.i2Date = '',
		this.inlInDate = '',
		this.inlOutDate = '',
		this.preparationDate = '',
		this.unpackingDate = '',
		this.jigSettingDate = '',
		this.boothDate = '',
		this.finishedDate = '',
		this.extSeq = 0,
		this.unpSeq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this.wipId,
			this.model,
			this.grade,
			this.bodyNo,
			this.lotNo,
			this.noInLot,
			this.color,
			this.bumperStatus,
			this.initialDate,
			this.i1Date,
			this.i2Date,
			this.inlInDate,
			this.inlOutDate,
			this.preparationDate,
			this.unpackingDate,
			this.jigSettingDate,
			this.boothDate,
			this.finishedDate,
			this.extSeq,
			this.unpSeq,
			this.isActive,
			'',
            this.paginationParams.skipCount,
            this.paginationParams.pageSize
        );
    }
    onChangeRowSelection(params: { api: { getSelectedRows: () =&gt; PtsAdoBumperDto[] } }) {
        this.saveSelectedRow = params.api.getSelectedRows()[0] ?? new PtsAdoBumperDto();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PtsAdoBumperDto):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this._service.getBumperToExcel(
			this.wipId,
			this.model,
			this.grade,
			this.bodyNo,
			this.lotNo,
			this.noInLot,
			this.color,
			this.bumperStatus,
			this.initialDate,
			this.i1Date,
			this.i2Date,
			this.inlInDate,
			this.inlOutDate,
			this.preparationDate,
			this.unpackingDate,
			this.jigSettingDate,
			this.boothDate,
			this.finishedDate,
			this.extSeq,
			this.unpSeq,
			this.isActive,
            )
            .subscribe((result) =&gt; {
                this._fileDownloadService.downloadTempFile(result);
        });
    }
}</v>
      </c>
      <c r="D4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Bumper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type='text' [placeholder]="l('Initial Date')" [(ngModel)]='initialDate' 
									name='initialDate'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[placeholder]="l('I1 Date')" [(ngModel)]='i1Date' 
									name='i1Date'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[placeholder]="l('I2 Date')" [(ngModel)]='i2Date' 
									name='i2Date'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[placeholder]="l('Inl In Date')" [(ngModel)]='inlInDate' 
									name='inlInDate'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[placeholder]="l('Inl Out Date')" [(ngModel)]='inlOutDate' 
									name='inlOutDate'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[placeholder]="l('Preparation Date')" [(ngModel)]='preparationDate' 
									name='preparationDate'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[placeholder]="l('Unpacking Date')" [(ngModel)]='unpackingDate' 
									name='unpackingDate'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[placeholder]="l('Jig Setting Date')" [(ngModel)]='jigSettingDate' 
									name='jigSettingDate'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[placeholder]="l('Booth Date')" [(ngModel)]='boothDate' 
									name='boothDate'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[placeholder]="l('Finished Date')" [(ngModel)]='finishedDate' 
									name='finishedDate'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(click)="createOrEditModalBumper.show()"&gt;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(click)="createOrEditModalBumper.show(selectedRow)"&gt;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&lt;create-or-edit-bumper-modal
    #createOrEditModalBumper
    (modalSave)="callBackDataGrid(dataParams)"
    (modalClose)="onChangeRowSelection(dataParams)"
&gt;
&lt;/create-or-edit-bumper-modal&gt;</v>
      </c>
      <c r="E45" s="49" t="str">
        <f>B.Frontend!J10</f>
        <v>.input-search{
    width: 250px;
    border-radius: 10px;
    margin-left: 10px;
}
.btn-search{
    width: 50px;
    margin-left: 10px;
}</v>
      </c>
      <c r="F45" s="49" t="str">
        <f ca="1">B.Frontend!K10</f>
        <v>&lt;div bsModal #createOrEditModalBumper="bs-modal"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Bumper')}}&lt;/h3&gt;
                    &lt;h3 *ngIf="!rowdata.id"&gt;{{('Create New Bumper')}}&lt;/h3&gt;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title'&gt;Bumper Status&lt;/label&gt;
						&lt;input type='number' class='col-md-10 form-control input-text' name='BumperStatus' [(ngModel)]='rowdata.bumperStatus'&gt;
					&lt;/div&gt;
					&lt;div class='col-md-12 form-group row'&gt;
						&lt;label class='col-md-2 form-control title'&gt;Initial Date&lt;/label&gt;
						&lt;input type='text' class='col-md-10 form-control input-text' name='initialDate' 
						#datepicker='bsDatepicker' [(ngModel)]='rowdata.initialDate'  bsDatepicker &gt;
					&lt;/div&gt;
					&lt;div class='col-md-12 form-group row'&gt;
						&lt;label class='col-md-2 form-control title'&gt;I1 Date&lt;/label&gt;
						&lt;input type='text' class='col-md-10 form-control input-text' name='i1Date' 
						#datepicker='bsDatepicker' [(ngModel)]='rowdata.i1Date'  bsDatepicker &gt;
					&lt;/div&gt;
					&lt;div class='col-md-12 form-group row'&gt;
						&lt;label class='col-md-2 form-control title'&gt;I2 Date&lt;/label&gt;
						&lt;input type='text' class='col-md-10 form-control input-text' name='i2Date' 
						#datepicker='bsDatepicker' [(ngModel)]='rowdata.i2Date'  bsDatepicker &gt;
					&lt;/div&gt;
					&lt;div class='col-md-12 form-group row'&gt;
						&lt;label class='col-md-2 form-control title'&gt;Inl In Date&lt;/label&gt;
						&lt;input type='text' class='col-md-10 form-control input-text' name='inlInDate' 
						#datepicker='bsDatepicker' [(ngModel)]='rowdata.inlInDate'  bsDatepicker &gt;
					&lt;/div&gt;
					&lt;div class='col-md-12 form-group row'&gt;
						&lt;label class='col-md-2 form-control title'&gt;Inl Out Date&lt;/label&gt;
						&lt;input type='text' class='col-md-10 form-control input-text' name='inlOutDate' 
						#datepicker='bsDatepicker' [(ngModel)]='rowdata.inlOutDate'  bsDatepicker &gt;
					&lt;/div&gt;
					&lt;div class='col-md-12 form-group row'&gt;
						&lt;label class='col-md-2 form-control title'&gt;Preparation Date&lt;/label&gt;
						&lt;input type='text' class='col-md-10 form-control input-text' name='preparationDate' 
						#datepicker='bsDatepicker' [(ngModel)]='rowdata.preparationDate'  bsDatepicker &gt;
					&lt;/div&gt;
					&lt;div class='col-md-12 form-group row'&gt;
						&lt;label class='col-md-2 form-control title'&gt;Unpacking Date&lt;/label&gt;
						&lt;input type='text' class='col-md-10 form-control input-text' name='unpackingDate' 
						#datepicker='bsDatepicker' [(ngModel)]='rowdata.unpackingDate'  bsDatepicker &gt;
					&lt;/div&gt;
					&lt;div class='col-md-12 form-group row'&gt;
						&lt;label class='col-md-2 form-control title'&gt;Jig Setting Date&lt;/label&gt;
						&lt;input type='text' class='col-md-10 form-control input-text' name='jigSettingDate' 
						#datepicker='bsDatepicker' [(ngModel)]='rowdata.jigSettingDate'  bsDatepicker &gt;
					&lt;/div&gt;
					&lt;div class='col-md-12 form-group row'&gt;
						&lt;label class='col-md-2 form-control title'&gt;Booth Date&lt;/label&gt;
						&lt;input type='text' class='col-md-10 form-control input-text' name='boothDate' 
						#datepicker='bsDatepicker' [(ngModel)]='rowdata.boothDate'  bsDatepicker &gt;
					&lt;/div&gt;
					&lt;div class='col-md-12 form-group row'&gt;
						&lt;label class='col-md-2 form-control title'&gt;Finished Date&lt;/label&gt;
						&lt;input type='text' class='col-md-10 form-control input-text' name='finishedDate' 
						#datepicker='bsDatepicker' [(ngModel)]='rowdata.finishedDate'  bsDatepicker &gt;
					&lt;/div&gt;
					&lt;div class='col-md-12 form-group row'&gt;
						&lt;label class='col-md-2 form-control title'&gt;Ext Seq&lt;/label&gt;
						&lt;input type='number' class='col-md-10 form-control input-text' name='ExtSeq' [(ngModel)]='rowdata.extSeq'&gt;
					&lt;/div&gt;
					&lt;div class='col-md-12 form-group row'&gt;
						&lt;label class='col-md-2 form-control title'&gt;Unp Seq&lt;/label&gt;
						&lt;input type='number' class='col-md-10 form-control input-text' name='UnpSeq' [(ngModel)]='rowdata.unpSeq'&gt;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CreateOrEditPtsAdoBumperDto, PtsAdoBumperServiceProxy } from '@shared/service-proxies/service-proxies';
import { BsDatepickerDirective } from 'ngx-bootstrap/datepicker';
@Component({
    selector: 'create-or-edit-bumper-modal',
    templateUrl: './create-or-edit-bumper-modal.component.html',
    styleUrls: ['./create-or-edit-bumper-modal.component.less']
    })
export class CreateOrEditBumperModalComponent extends AppComponentBase {
    @ViewChild('createOrEditModalBumper',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CreateOrEditPtsAdoBumperDto = new CreateOrEditPtsAdoBumperDto();
    active: boolean = false;
    saving: boolean = false;
    _isActive: boolean;
    constructor(
        injector: Injector,
        private _mstwptBumperService: PtsAdoBumperServiceProxy,
    ) 
    {
        super(injector);
    }
    show(rowdata?: CreateOrEditPtsAdoBumperDto): void {
        if (!rowdata) this.rowdata = new CreateOrEditPtsAdoBumperDto();
        else this.rowdata = rowdata;
		const dateValue =  this.rowdata.initialDate ? new Date(this.rowdata.initialDate?.toString()) : new Date();
		this.datepicker?.bsValueChange.emit(dateValue);
		const dateValue =  this.rowdata.i1Date ? new Date(this.rowdata.i1Date?.toString()) : new Date();
		this.datepicker?.bsValueChange.emit(dateValue);
		const dateValue =  this.rowdata.i2Date ? new Date(this.rowdata.i2Date?.toString()) : new Date();
		this.datepicker?.bsValueChange.emit(dateValue);
		const dateValue =  this.rowdata.inlInDate ? new Date(this.rowdata.inlInDate?.toString()) : new Date();
		this.datepicker?.bsValueChange.emit(dateValue);
		const dateValue =  this.rowdata.inlOutDate ? new Date(this.rowdata.inlOutDate?.toString()) : new Date();
		this.datepicker?.bsValueChange.emit(dateValue);
		const dateValue =  this.rowdata.preparationDate ? new Date(this.rowdata.preparationDate?.toString()) : new Date();
		this.datepicker?.bsValueChange.emit(dateValue);
		const dateValue =  this.rowdata.unpackingDate ? new Date(this.rowdata.unpackingDate?.toString()) : new Date();
		this.datepicker?.bsValueChange.emit(dateValue);
		const dateValue =  this.rowdata.jigSettingDate ? new Date(this.rowdata.jigSettingDate?.toString()) : new Date();
		this.datepicker?.bsValueChange.emit(dateValue);
		const dateValue =  this.rowdata.boothDate ? new Date(this.rowdata.boothDate?.toString()) : new Date();
		this.datepicker?.bsValueChange.emit(dateValue);
		const dateValue =  this.rowdata.finishedDate ? new Date(this.rowdata.finishedDate?.toString())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this._mstwptBumperService.createOrEdit(this.rowdata)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9" t="str">
        <f>B.Frontend!N10</f>
        <v>import {NgModule} from '@angular/core';
import {AppSharedModule} from '@app/shared/app-shared.module';
import { BumperRoutingModule } from './bumper-routing.module';
import { BumperComponent } from './bumper.component';
import { CreateOrEditBumperModalComponent } from './create-or-edit-bumper-modal.component';
@NgModule({
    declarations: [
       BumperComponent, 
        CreateOrEditBumperModalComponent
    ],
    imports: [
        AppSharedModule, BumperRoutingModule]
})
export class BumperModule {}</v>
      </c>
      <c r="J45" s="49" t="str">
        <f>B.Frontend!O10</f>
        <v>import {NgModule} from '@angular/core';
import {RouterModule, Routes} from '@angular/router';
import { BumperComponent } from './bumper.component';
const routes: Routes = [{
    path: '',
    component: BumperComponent,
    pathMatch: 'full'
}];
@NgModule({
    imports: [RouterModule.forChild(routes)],
    exports: [RouterModule],
})
export class BumperRoutingModule {}</v>
      </c>
      <c r="K45" s="49" t="str">
        <f>B.Frontend!P10</f>
        <v xml:space="preserve"> new AppMenuItem("Bumper", "Pages.Painting.Andon.Bumper", "flaticon-book",   "/app/main/painting/andon/bumper"),</v>
      </c>
      <c r="L45" s="50" t="str">
        <f>B.Frontend!Q10</f>
        <v>{
    path: 'painting/andon/bumper',
    loadChildren: () =&gt; import('./painting/andon/bumper/bumper.module').then(m =&gt; m.BumperModule),
    data: { permission: 'Pages.Painting.Andon.Bumper' }
},</v>
      </c>
      <c r="M45" s="48" t="str">
        <f>B.Frontend!R10</f>
        <v>ApiServiceProxies.PtsAdoBumperServiceProxy,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1"/>
  <sheetViews>
    <sheetView topLeftCell="A6" workbookViewId="0">
      <pane xSplit="1" topLeftCell="B1" activePane="topRight" state="frozen"/>
      <selection pane="topRight" activeCell="A25" sqref="A25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vovina.Painting.Andon.Dto;</v>
      </c>
      <c r="E1" s="10" t="s">
        <v>268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260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249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259</v>
      </c>
    </row>
    <row r="3" spans="1:23" s="11" customFormat="1" ht="33" customHeight="1" x14ac:dyDescent="0.25">
      <c r="A3" s="1" t="s">
        <v>5</v>
      </c>
      <c r="B3" s="30" t="s">
        <v>296</v>
      </c>
      <c r="C3" s="10" t="s">
        <v>43</v>
      </c>
      <c r="D3" s="10" t="s">
        <v>44</v>
      </c>
      <c r="E3" s="10" t="s">
        <v>39</v>
      </c>
      <c r="F3" s="11" t="str">
        <f>"J"&amp;COUNTA($A:$A)</f>
        <v>J29</v>
      </c>
      <c r="G3" s="4" t="s">
        <v>57</v>
      </c>
      <c r="H3" s="10" t="str">
        <f>"I"&amp;COUNTA($A:$A)</f>
        <v>I29</v>
      </c>
      <c r="I3" s="10" t="str">
        <f>REPT(CHAR(9),2)&amp;"[Required]"&amp;"
"</f>
        <v xml:space="preserve">		[Required]
</v>
      </c>
      <c r="J3" s="11" t="str">
        <f>"L"&amp;COUNTA($A:$A)</f>
        <v>L29</v>
      </c>
      <c r="K3" s="5" t="s">
        <v>56</v>
      </c>
      <c r="L3" s="11" t="str">
        <f>"M"&amp;COUNTA($A:$A)</f>
        <v>M29</v>
      </c>
      <c r="M3" s="11" t="str">
        <f>"N"&amp;COUNTA($A:$A)</f>
        <v>N29</v>
      </c>
      <c r="N3" s="11" t="str">
        <f>"O"&amp;COUNTA($A:$A)</f>
        <v>O29</v>
      </c>
      <c r="O3" s="11" t="str">
        <f>"P"&amp;COUNTA($A:$A)</f>
        <v>P29</v>
      </c>
      <c r="Q3" s="11" t="str">
        <f>RIGHT(B2,(LEN(B2)-FIND(".",B2,1)))</f>
        <v>Andon</v>
      </c>
      <c r="R3" s="32" t="str">
        <f>REPT(CHAR(9),1)&amp;"public class "&amp;B3&amp;"ExportInput"&amp;C3</f>
        <v xml:space="preserve">	public class PtsAdoBumperExportInput{
</v>
      </c>
      <c r="S3" s="11" t="str">
        <f>"namespace "&amp;$B$6&amp;".Exporting
"&amp;$C$3</f>
        <v xml:space="preserve">namespace vovina.Painting.Andon.Exporting
{
</v>
      </c>
      <c r="T3" s="11" t="str">
        <f>"T"&amp;COUNTA($A:$A)</f>
        <v>T29</v>
      </c>
      <c r="V3" s="11" t="str">
        <f>"V"&amp;COUNTA($A:$A)</f>
        <v>V29</v>
      </c>
      <c r="W3" s="10" t="str">
        <f>"W"&amp;COUNTA($A:$A)</f>
        <v>W29</v>
      </c>
    </row>
    <row r="4" spans="1:23" s="11" customFormat="1" ht="33" customHeight="1" x14ac:dyDescent="0.25">
      <c r="A4" s="1" t="s">
        <v>237</v>
      </c>
      <c r="B4" s="64" t="s">
        <v>91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96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vovina.Painting.Andon</v>
      </c>
      <c r="C6" s="11" t="str">
        <f>"namespace "&amp;$B$6&amp;"
"&amp;$C$3</f>
        <v xml:space="preserve">namespace vovina.Painting.Andon
{
</v>
      </c>
      <c r="D6" s="11" t="str">
        <f>REPT(CHAR(9),1)&amp;"public class "&amp;B3&amp;G3&amp;REPT(CHAR(9),1)&amp;"
"&amp;REPT(CHAR(9),1)&amp;C3</f>
        <v xml:space="preserve">	public class PtsAdoBumper: FullAuditedEntity&lt;long&gt;, IEntity&lt;long&gt;	
	{
</v>
      </c>
      <c r="E6" s="11" t="str">
        <f>REPT(CHAR(9),1)&amp;"public class "&amp;B3&amp;"Consts"&amp;REPT(CHAR(9),1)&amp;"
"&amp;REPT(CHAR(9),1)&amp;C3</f>
        <v xml:space="preserve">	public class PtsAdoBumperConsts	
	{
</v>
      </c>
      <c r="F6" s="11" t="str">
        <f>REPT(CHAR(9),1)&amp;"public class "&amp;B3&amp;"Dto"&amp;K3&amp;REPT(CHAR(9),1)&amp;"
"&amp;REPT(CHAR(9),1)&amp;C3</f>
        <v xml:space="preserve">	public class PtsAdoBumperDto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CreateOrEditPtsAdoBumperDto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GetPtsAdoBumperInput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PtsAdoBumper</v>
      </c>
      <c r="C7" s="11" t="str">
        <f>REPT(CHAR(9),1)&amp;"[Table("""&amp;B7&amp;""")]"&amp;"
"</f>
        <v xml:space="preserve">	[Table("PtsAdoBumper")]
</v>
      </c>
      <c r="D7" s="11"/>
      <c r="E7" s="11"/>
      <c r="F7" s="11"/>
      <c r="G7" s="11"/>
      <c r="H7" s="11"/>
      <c r="I7" s="11"/>
      <c r="J7" s="6" t="str">
        <f ca="1">SUBSTITUTE(SUBSTITUTE((B1&amp;C6&amp;C7&amp;K31&amp;D6&amp;I31&amp;E3&amp;J31&amp;""&amp;REPT(CHAR(9),1)&amp;D3&amp;D3),"WorkingPattern",$Q$3),"Master",$B$4)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[Table("PtsAdoBumper")]
	[Index(nameof(WipId), Name="IX_PtsAdoBumper_WipId")]
	[Index(nameof(BodyNo), Name="IX_PtsAdoBumper_BodyNo")]
	[Index(nameof(LotNo), Name="IX_PtsAdoBumper_LotNo")]
	[Index(nameof(NoInLot), Name="IX_PtsAdoBumper_NoInLot")]
	[Index(nameof(BumperStatus), Name="IX_PtsAdoBumper_BumperStatus")]
	public class PtsAdoBumper: FullAuditedEntity&lt;long&gt;, IEntity&lt;long&gt;	
	{
		public const int MaxModelLength = 50;
		public const int MaxGradeLength = 50;
		public const int MaxBodyNoLength = 50;
		public const int MaxLotNoLength = 50;
		public const int MaxColorLength = 50;
		public const int MaxIsActiveLength = 1;
		public virtual long WipId { get; set; }
		[StringLength(MaxModelLength)]
		public virtual string Model { get; set; }
		[StringLength(MaxGradeLength)]
		public virtual string Grade { get; set; }
		[StringLength(MaxBodyNoLength)]
		public virtual string BodyNo { get; set; }
		[StringLength(MaxLotNoLength)]
		public virtual string LotNo { get; set; }
		public virtual int NoInLot { get; set; }
		[StringLength(MaxColorLength)]
		public virtual string Color { get; set; }
		public virtual int BumperStatus { get; set; }
		[Column(TypeName="datetime2(7)")]
		public virtual DateTime InitialDate { get; set; }
		[Column(TypeName="datetime2(7)")]
		public virtual DateTime I1Date { get; set; }
		[Column(TypeName="datetime2(7)")]
		public virtual DateTime I2Date { get; set; }
		[Column(TypeName="datetime2(7)")]
		public virtual DateTime InlInDate { get; set; }
		[Column(TypeName="datetime2(7)")]
		public virtual DateTime InlOutDate { get; set; }
		[Column(TypeName="datetime2(7)")]
		public virtual DateTime PreparationDate { get; set; }
		[Column(TypeName="datetime2(7)")]
		public virtual DateTime UnpackingDate { get; set; }
		[Column(TypeName="datetime2(7)")]
		public virtual DateTime JigSettingDate { get; set; }
		[Column(TypeName="datetime2(7)")]
		public virtual DateTime BoothDate { get; set; }
		[Column(TypeName="datetime2(7)")]
		public virtual DateTime FinishedDate { get; set; }
		public virtual int ExtSeq { get; set; }
		public virtual int UnpSeq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DbSet&lt;PtsAdoBumper&gt; PtsAdoBumpers { get; set; }</v>
      </c>
      <c r="L7" t="str">
        <f ca="1">SUBSTITUTE(SUBSTITUTE((C6&amp;E6&amp;I31&amp;"
"&amp;REPT(CHAR(9),2)&amp;"// Define Store Name: Format SP_ + &lt;Store Name&gt; = &lt;Store Name&gt;
"&amp;E3&amp;REPT(CHAR(9),1)&amp;D3&amp;D3),"WorkingPattern",$Q$3),"Master",$B$4)</f>
        <v xml:space="preserve">namespace vovina.Painting.Andon
{
	public class PtsAdoBumperConsts	
	{
		public const int MaxModelLength = 50;
		public const int MaxGradeLength = 50;
		public const int MaxBodyNoLength = 50;
		public const int MaxLotNoLength = 50;
		public const int MaxColorLength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"&amp;B6&amp;".Dto"&amp;E3&amp;C3&amp;F6&amp;M31&amp;E3&amp;REPT(CHAR(9),1)&amp;D3&amp;G6&amp;N31&amp;REPT(CHAR(9),1)&amp;D3&amp;H6&amp;O31&amp;"
"&amp;REPT(CHAR(9),1)&amp;D3&amp;D3),"WorkingPattern",$Q$3),"Master",$B$4)</f>
        <v xml:space="preserve">using Abp.Application.Services.Dto;
using System;
using System.ComponentModel.DataAnnotations;
namespace vovina.Painting.Andon.Dto
{
	public class PtsAdoBumperDto : EntityDto&lt;long?&gt;	
	{
		public virtual long WipId { get; set; }
		public virtual string Model { get; set; }
		public virtual string Grade { get; set; }
		public virtual string BodyNo { get; set; }
		public virtual string LotNo { get; set; }
		public virtual int NoInLot { get; set; }
		public virtual string Color { get; set; }
		public virtual int BumperStatus { get; set; }
		public virtual DateTime? InitialDate { get; set; }
		public virtual DateTime? I1Date { get; set; }
		public virtual DateTime? I2Date { get; set; }
		public virtual DateTime? InlInDate { get; set; }
		public virtual DateTime? InlOutDate { get; set; }
		public virtual DateTime? PreparationDate { get; set; }
		public virtual DateTime? UnpackingDate { get; set; }
		public virtual DateTime? JigSettingDate { get; set; }
		public virtual DateTime? BoothDate { get; set; }
		public virtual DateTime? FinishedDate { get; set; }
		public virtual int ExtSeq { get; set; }
		public virtual int UnpSeq { get; set; }
		public virtual string IsActive { get; set; }
	}
	public class CreateOrEditPtsAdoBumperDto : EntityDto&lt;long?&gt;	
	{
		public virtual long WipId { get; set; }
		[StringLength(PtsAdoBumperConsts.MaxModelLength)]
		public virtual string Model { get; set; }
		[StringLength(PtsAdoBumperConsts.MaxGradeLength)]
		public virtual string Grade { get; set; }
		[StringLength(PtsAdoBumperConsts.MaxBodyNoLength)]
		public virtual string BodyNo { get; set; }
		[StringLength(PtsAdoBumperConsts.MaxLotNoLength)]
		public virtual string LotNo { get; set; }
		public virtual int NoInLot { get; set; }
		[StringLength(PtsAdoBumperConsts.MaxColorLength)]
		public virtual string Color { get; set; }
		public virtual int BumperStatus { get; set; }
		public virtual DateTime? InitialDate { get; set; }
		public virtual DateTime? I1Date { get; set; }
		public virtual DateTime? I2Date { get; set; }
		public virtual DateTime? InlInDate { get; set; }
		public virtual DateTime? InlOutDate { get; set; }
		public virtual DateTime? PreparationDate { get; set; }
		public virtual DateTime? UnpackingDate { get; set; }
		public virtual DateTime? JigSettingDate { get; set; }
		public virtual DateTime? BoothDate { get; set; }
		public virtual DateTime? FinishedDate { get; set; }
		public virtual int ExtSeq { get; set; }
		public virtual int UnpSeq { get; set; }
		[StringLength(PtsAdoBumperConsts.MaxIsActiveLength)]
		public virtual string IsActive { get; set; }
	}
	public class GetPtsAdoBumperInput : PagedAndSortedResultRequestDto	
	{
		public virtual string Model { get; set; }
		public virtual string Grade { get; set; }
		public virtual string BodyNo { get; set; }
		public virtual string LotNo { get; set; }
		public virtual int NoInLot { get; set; }
		public virtual string Color { get; set; }
		public virtual int BumperStatus { get; set; }
		public virtual DateTime? InitialDate { get; set; }
		public virtual DateTime? I1Date { get; set; }
		public virtual DateTime? I2Date { get; set; }
		public virtual DateTime? InlInDate { get; set; }
		public virtual DateTime? InlOutDate { get; set; }
		public virtual DateTime? PreparationDate { get; set; }
		public virtual DateTime? UnpackingDate { get; set; }
		public virtual DateTime? JigSettingDate { get; set; }
		public virtual DateTime? BoothDate { get; set; }
		public virtual DateTime? FinishedDate { get; set; }
		public virtual int ExtSeq { get; set; }
		public virtual int UnpSeq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perPtsAdoBumper = PARENTS.CreateChildPermission(AppPermissions.Pages_Painting_Andon_Bumper, L( "PaintingAndonBumper"));
		perPtsAdoBumper.CreateChildPermission(AppPermissions.Pages_Painting_Andon_Bumper_CreateEdit, L( "PaintingAndonBumperCreateEdit"));
		perPtsAdoBumper.CreateChildPermission(AppPermissions.Pages_Painting_Andon_Bumper_Delete, L( "PaintingAndonBumperDelete"));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Pages_Painting_Andon_Bumper = "Pages.Painting.Andon.Bumper";
		public const string Pages_Painting_Andon_Bumper_CreateEdit = "Pages.Painting.Andon.Bumper.CreateEdit";
		public const string Pages_Painting_Andon_Bumper_Delete = "Pages.Painting.Andon.Bumper.Delete";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vovina.Painting.Andon.Dto;
namespace vovina.Painting.Andon
{
	public interface IPtsAdoBumperAppService : IApplicationService
	{
		Task&lt;PagedResultDto&lt;PtsAdoBumperDto&gt;&gt; GetAll(GetPtsAdoBumperInput input);
		Task CreateOrEdit(CreateOrEditPtsAdoBumperDto input);
		Task Delete(EntityDto input);
	}
}
</v>
      </c>
      <c r="Q7" t="str">
        <f ca="1">SUBSTITUTE(SUBSTITUTE(SUBSTITUTE(SUBSTITUTE(SUBSTITUTE(SUBSTITUTE(E1,"MstWptCalendar",$B$3),"&lt;PROPERTIES&gt;",P31),"Calendar",$B$5),"WorkingPattern",$Q$3),"Master",$B$4),"&lt;PARAMS_SEARCH&gt;",$W$31)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vovina.Painting.Andon.Dto;
using vovina.Painting.Andon.Exporting;
namespace vovina.Painting.Andon
{
    [AbpAuthorize(AppPermissions.Pages_Painting_Andon_Bumper)]
    public class PtsAdoBumperAppService : vovinaAppServiceBase, IPtsAdoBumperAppService
    {
        private readonly IDapperRepository&lt;PtsAdoBumper, long&gt; _dapperRepo;
        private readonly IRepository&lt;PtsAdoBumper, long&gt; _repo;
        private readonly IPtsAdoBumperExcelExporter _calendarListExcelExporter;
        public PtsAdoBumperAppService(IRepository&lt;PtsAdoBumper,long&gt; repo, 
                                         IDapperRepository&lt;PtsAdoBumper,long&gt; dapperRepo,
                                        IPtsAdoBumperExcelExporter calendarListExcelExporter
            )
        {
            _repo = repo;
            _dapperRepo = dapperRepo;
            _calendarListExcelExporter = calendarListExcelExporter;
        }
        [AbpAuthorize(AppPermissions.Pages_Painting_Andon_Bumper_CreateEdit)]
        public async Task CreateOrEdit(CreateOrEditPtsAdoBumperDto input)
        {
            if (input.Id == null) await Create(input);
            else await Update(input);
        }
        //CREATE
        private async Task Create(CreateOrEditPtsAdoBumperDto input)
        {          
            var mainObj = ObjectMapper.Map&lt;PtsAdoBumper&gt;(input);
            await CurrentUnitOfWork.GetDbContext&lt;vovinaDbContext&gt;().AddAsync(mainObj);
        }
        // EDIT
        private async Task Update(CreateOrEditPtsAdoBumperDto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[AbpAuthorize(AppPermissions.Pages_Painting_Andon_Bumper_Delete)]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Task&lt;PagedResultDto&lt;PtsAdoBumperDto&gt;&gt; GetAll(GetPtsAdoBumperInput input)
        {
            var filtered = _repo.GetAll()
				.WhereIf(!string.IsNullOrWhiteSpace(input.Model), e =&gt; e.Model.Contains(input.Model))
				.WhereIf(!string.IsNullOrWhiteSpace(input.Grade), e =&gt; e.Grade.Contains(input.Grade))
				.WhereIf(!string.IsNullOrWhiteSpace(input.BodyNo), e =&gt; e.BodyNo.Contains(input.BodyNo))
				.WhereIf(!string.IsNullOrWhiteSpace(input.LotNo), e =&gt; e.LotNo.Contains(input.LotNo))
				.WhereIf(!string.IsNullOrWhiteSpace(input.Color), e =&gt; e.Color.Contains(input.Color))
				.WhereIf(input.InitialDate.HasValue, t =&gt; t.InitialDate == input.InitialDate.Value)
				.WhereIf(input.I1Date.HasValue, t =&gt; t.I1Date == input.I1Date.Value)
				.WhereIf(input.I2Date.HasValue, t =&gt; t.I2Date == input.I2Date.Value)
				.WhereIf(input.InlInDate.HasValue, t =&gt; t.InlInDate == input.InlInDate.Value)
				.WhereIf(input.InlOutDate.HasValue, t =&gt; t.InlOutDate == input.InlOutDate.Value)
				.WhereIf(input.PreparationDate.HasValue, t =&gt; t.PreparationDate == input.PreparationDate.Value)
				.WhereIf(input.UnpackingDate.HasValue, t =&gt; t.UnpackingDate == input.UnpackingDate.Value)
				.WhereIf(input.JigSettingDate.HasValue, t =&gt; t.JigSettingDate == input.JigSettingDate.Value)
				.WhereIf(input.BoothDate.HasValue, t =&gt; t.BoothDate == input.BoothDate.Value)
				.WhereIf(input.FinishedDate.HasValue, t =&gt; t.FinishedDate == input.FinishedDate.Value)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PtsAdoBumperDto
                        {
							Id = o.Id,
							WipId = o.WipId,
							Model = o.Model,
							Grade = o.Grade,
							BodyNo = o.BodyNo,
							LotNo = o.LotNo,
							NoInLot = o.NoInLot,
							Color = o.Color,
							BumperStatus = o.BumperStatus,
							InitialDate = o.InitialDate,
							I1Date = o.I1Date,
							I2Date = o.I2Date,
							InlInDate = o.InlInDate,
							InlOutDate = o.InlOutDate,
							PreparationDate = o.PreparationDate,
							UnpackingDate = o.UnpackingDate,
							JigSettingDate = o.JigSettingDate,
							BoothDate = o.BoothDate,
							FinishedDate = o.FinishedDate,
							ExtSeq = o.ExtSeq,
							UnpSeq = o.UnpSeq,
							IsActive = o.IsActive,
                        };
            var totalCount = await filtered.CountAsync();
			var paged = system.PageBy(input);
            return new PagedResultDto&lt;PtsAdoBumperDto&gt;(
                totalCount,
                 await paged.ToListAsync()
            );
        }
        public async Task&lt;FileDto&gt; GetBumperToExcel(PtsAdoBumperExportInput input)
        {
            var query = from o in _repo.GetAll()
                        select new PtsAdoBumperDto
                        {
							Id = o.Id,
							WipId = o.WipId,
							Model = o.Model,
							Grade = o.Grade,
							BodyNo = o.BodyNo,
							LotNo = o.LotNo,
							NoInLot = o.NoInLot,
							Color = o.Color,
							BumperStatus = o.BumperStatus,
							InitialDate = o.InitialDate,
							I1Date = o.I1Date,
							I2Date = o.I2Date,
							InlInDate = o.InlInDate,
							InlOutDate = o.InlOutDate,
							PreparationDate = o.PreparationDate,
							UnpackingDate = o.UnpackingDate,
							JigSettingDate = o.JigSettingDate,
							BoothDate = o.BoothDate,
							FinishedDate = o.FinishedDate,
							ExtSeq = o.ExtSeq,
							UnpSeq = o.UnpSeq,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_dapperRepo.ExecuteAsync(PtsAdoBumperConsts.SP_MST_WPT_CALENDAR_GENERATE);
       // }
    }
}</v>
      </c>
      <c r="R7" t="str">
        <f ca="1">SUBSTITUTE(SUBSTITUTE((C1&amp;"namespace "&amp;B6&amp;".Dto"&amp;E3&amp;C3&amp;R3&amp;M31&amp;E3&amp;REPT(CHAR(9),1)&amp;D3&amp;D3),"WorkingPattern",$Q$3),"Master",$B$4)</f>
        <v xml:space="preserve">using Abp.Application.Services.Dto;
using System;
using System.ComponentModel.DataAnnotations;
namespace vovina.Painting.Andon.Dto
{
	public class PtsAdoBumperExportInput{
		public virtual long WipId { get; set; }
		public virtual string Model { get; set; }
		public virtual string Grade { get; set; }
		public virtual string BodyNo { get; set; }
		public virtual string LotNo { get; set; }
		public virtual int NoInLot { get; set; }
		public virtual string Color { get; set; }
		public virtual int BumperStatus { get; set; }
		public virtual DateTime? InitialDate { get; set; }
		public virtual DateTime? I1Date { get; set; }
		public virtual DateTime? I2Date { get; set; }
		public virtual DateTime? InlInDate { get; set; }
		public virtual DateTime? InlOutDate { get; set; }
		public virtual DateTime? PreparationDate { get; set; }
		public virtual DateTime? UnpackingDate { get; set; }
		public virtual DateTime? JigSettingDate { get; set; }
		public virtual DateTime? BoothDate { get; set; }
		public virtual DateTime? FinishedDate { get; set; }
		public virtual int ExtSeq { get; set; }
		public virtual int UnpSeq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vovina.Painting.Andon.Dto;
namespace vovina.Painting.Andon.Exporting
{
	public interface IPtsAdoBumperExcelExporter : IApplicationService
	{
		FileDto ExportToFile(List&lt;PtsAdoBumperDto&gt; ptsadobumper);
	}
}
</v>
      </c>
      <c r="T7" s="28" t="str">
        <f ca="1">SUBSTITUTE(SUBSTITUTE(SUBSTITUTE(SUBSTITUTE(SUBSTITUTE(SUBSTITUTE(SUBSTITUTE(T1,"MstWptCalendar",$B$3),"&lt;PROPERTIES1&gt;",V31),"&lt;PROPERTIES&gt;",T31),"Calendar",$B$5),"calendar",LOWER(B5)),"WorkingPattern",$Q$3),"Master",$B$4)</f>
        <v>using System.Collections.Generic;
using vovina.DataExporting.Excel.NPOI;
using vovina.Dto;
using vovina.Painting.Andon.Exporting;
using vovina.Painting.Andon.Dto;
using vovina.Storage;
using vovina.Painting.Andon.Dto;
namespace vovina.Painting.Andon.Exporting
{
    public class PtsAdoBumperExcelExporter : NpoiExcelExporterBase, IPtsAdoBumperExcelExporter
    {
        public PtsAdoBumperExcelExporter(ITempFileCacheManager tempFileCacheManager) : base(tempFileCacheManager) { }
        public FileDto ExportToFile(List&lt;PtsAdoBumperDto&gt; bumper)
        {
            return CreateExcelPackage(
				"PaintingAndonBumper.xlsx",
				excelPackage =&gt;
				 {
					var sheet = excelPackage.CreateSheet("Bumper");
					AddHeader(
								sheet,
								("WipId"),
								("Model"),
								("Grade"),
								("BodyNo"),
								("LotNo"),
								("NoInLot"),
								("Color"),
								("BumperStatus"),
								("InitialDate"),
								("I1Date"),
								("I2Date"),
								("InlInDate"),
								("InlOutDate"),
								("PreparationDate"),
								("UnpackingDate"),
								("JigSettingDate"),
								("BoothDate"),
								("FinishedDate"),
								("ExtSeq"),
								("UnpSeq"),
								("IsActive"),
							   );
					AddObjects(
						 sheet, 1, bumper,                                       
								_ =&gt; _.WipId,
								_ =&gt; _.Model,
								_ =&gt; _.Grade,
								_ =&gt; _.BodyNo,
								_ =&gt; _.LotNo,
								_ =&gt; _.NoInLot,
								_ =&gt; _.Color,
								_ =&gt; _.BumperStatus,
								_ =&gt; _.InitialDate,
								_ =&gt; _.I1Date,
								_ =&gt; _.I2Date,
								_ =&gt; _.InlInDate,
								_ =&gt; _.InlOutDate,
								_ =&gt; _.PreparationDate,
								_ =&gt; _.UnpackingDate,
								_ =&gt; _.JigSettingDate,
								_ =&gt; _.BoothDate,
								_ =&gt; _.FinishedDate,
								_ =&gt; _.ExtSeq,
								_ =&gt; _.UnpSeq,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configuration.CreateMap&lt;PtsAdoBumperDto, PtsAdoBumper&gt;();
  configuration.CreateMap&lt;PtsAdoBumper, PtsAdoBumperDto&gt;();
  configuration.CreateMap&lt;CreateOrEditPtsAdoBumperDto, PtsAdoBumper&gt;();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273</v>
      </c>
      <c r="B9" t="s">
        <v>0</v>
      </c>
      <c r="C9" t="s">
        <v>1</v>
      </c>
      <c r="D9" t="str">
        <f>SUBSTITUTE(PROPER(A9),"_","")</f>
        <v>WipId</v>
      </c>
      <c r="E9" t="str">
        <f t="shared" ref="E9:E29" si="0">IFERROR(LEFT(B9, FIND("(",B9)-1),B9)</f>
        <v>bigint</v>
      </c>
      <c r="F9" s="7"/>
      <c r="G9" t="str">
        <f t="shared" ref="G9:G29" si="1">IFERROR(MID(B9,FIND("(",B9) +1, FIND(")",B9) - FIND("(",B9) - 1),"")</f>
        <v/>
      </c>
      <c r="H9" t="str">
        <f>+VLOOKUP(E9,'Data Type Mapping'!A:B,2,)</f>
        <v>long</v>
      </c>
      <c r="I9" t="str">
        <f t="shared" ref="I9:I29" si="2">IF(H9="string",REPT(CHAR(9),2)&amp;"public const int Max"&amp;D9&amp;"Length = "&amp;G9&amp;";"&amp;$E$3,"" )</f>
        <v/>
      </c>
      <c r="J9" t="str">
        <f t="shared" ref="J9:J29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long WipId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[Index(nameof(WipId), Name="IX_PtsAdoBumper_WipId")]</v>
      </c>
      <c r="M9" t="str">
        <f>REPT(CHAR(9),2)&amp;"public virtual "&amp;IF(OR(H9="DateTime",H9="TimeSpan"),H9&amp;"?",H9)&amp;IF(C9="?","? "," ")&amp;D9&amp;" { get; set; }" &amp; "
"</f>
        <v xml:space="preserve">		public virtual long WipId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long WipId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:P29" si="4">REPT(CHAR(9),7)&amp;D9&amp;" = o." &amp;D9 &amp;","</f>
        <v xml:space="preserve">							WipId = o.WipId,</v>
      </c>
      <c r="T9" s="69" t="str">
        <f>REPT(CHAR(9),8)&amp;"("""&amp;D9&amp;"""),"</f>
        <v xml:space="preserve">								("WipId"),</v>
      </c>
      <c r="V9" s="70" t="str">
        <f>REPT(CHAR(9),8)&amp;"_ =&gt; _."&amp;D9&amp;","</f>
        <v xml:space="preserve">								_ =&gt; _.WipId,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1" customHeight="1" x14ac:dyDescent="0.25">
      <c r="A10" t="s">
        <v>274</v>
      </c>
      <c r="B10" t="s">
        <v>275</v>
      </c>
      <c r="C10" t="s">
        <v>1</v>
      </c>
      <c r="D10" t="str">
        <f t="shared" ref="D10:D11" si="5">SUBSTITUTE(PROPER(A10),"_","")</f>
        <v>Model</v>
      </c>
      <c r="E10" t="str">
        <f t="shared" ref="E10:E25" si="6">IFERROR(LEFT(B10, FIND("(",B10)-1),B10)</f>
        <v>varchar</v>
      </c>
      <c r="F10" s="7"/>
      <c r="G10" t="str">
        <f t="shared" ref="G10:G25" si="7">IFERROR(MID(B10,FIND("(",B10) +1, FIND(")",B10) - FIND("(",B10) - 1),"")</f>
        <v>50</v>
      </c>
      <c r="H10" t="str">
        <f>+VLOOKUP(E10,'Data Type Mapping'!A:B,2,)</f>
        <v>string</v>
      </c>
      <c r="I10" t="str">
        <f t="shared" ref="I10:I25" si="8">IF(H10="string",REPT(CHAR(9),2)&amp;"public const int Max"&amp;D10&amp;"Length = "&amp;G10&amp;";"&amp;$E$3,"" )</f>
        <v xml:space="preserve">		public const int MaxModelLength = 50;
</v>
      </c>
      <c r="J10" t="str">
        <f t="shared" ref="J10:J25" si="9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[StringLength(MaxModelLength)]
		public virtual string Model { get; set; }
</v>
      </c>
      <c r="K10" s="7"/>
      <c r="L10" t="str">
        <f t="shared" ref="L10:L11" si="10">IF(K10="","",REPT(CHAR(9),1)&amp;"[Index(nameof("&amp;IF(D10="","",""&amp;D10)&amp;")"&amp;", Name="&amp;"""IX_"&amp;$B$7&amp;"_"&amp;D10&amp;""")]")</f>
        <v/>
      </c>
      <c r="M10" t="str">
        <f t="shared" ref="M10:M25" si="11">REPT(CHAR(9),2)&amp;"public virtual "&amp;IF(OR(H10="DateTime",H10="TimeSpan"),H10&amp;"?",H10)&amp;IF(C10="?","? "," ")&amp;D10&amp;" { get; set; }" &amp; "
"</f>
        <v xml:space="preserve">		public virtual string Model { get; set; }
</v>
      </c>
      <c r="N10" t="str">
        <f t="shared" ref="N10:N25" si="12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[StringLength(PtsAdoBumperConsts.MaxModelLength)]
		public virtual string Model { get; set; }
</v>
      </c>
      <c r="O10" t="str">
        <f t="shared" ref="O10:O25" si="13">IF(OR(H10="string",H10="DateTime",H10="int"),REPT(CHAR(9),2)&amp;"public virtual "&amp;IF(OR(H10="DateTime",H10="TimeSpan"),H10&amp;"?",H10)&amp;IF(C10="?","? "," ")&amp;D10&amp;" { get; set; }"&amp;$E$3,"")</f>
        <v xml:space="preserve">		public virtual string Model { get; set; }
</v>
      </c>
      <c r="P10" t="str">
        <f t="shared" ref="P10:P25" si="14">REPT(CHAR(9),7)&amp;D10&amp;" = o." &amp;D10 &amp;","</f>
        <v xml:space="preserve">							Model = o.Model,</v>
      </c>
      <c r="T10" s="69" t="str">
        <f t="shared" ref="T10:T25" si="15">REPT(CHAR(9),8)&amp;"("""&amp;D10&amp;"""),"</f>
        <v xml:space="preserve">								("Model"),</v>
      </c>
      <c r="V10" s="70" t="str">
        <f t="shared" ref="V10:V25" si="16">REPT(CHAR(9),8)&amp;"_ =&gt; _."&amp;D10&amp;","</f>
        <v xml:space="preserve">								_ =&gt; _.Model,</v>
      </c>
      <c r="W10" s="69" t="str">
        <f t="shared" ref="W10:W25" si="17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.WhereIf(!string.IsNullOrWhiteSpace(input.Model), e =&gt; e.Model.Contains(input.Model))</v>
      </c>
    </row>
    <row r="11" spans="1:23" customFormat="1" ht="18.75" customHeight="1" x14ac:dyDescent="0.25">
      <c r="A11" t="s">
        <v>276</v>
      </c>
      <c r="B11" t="s">
        <v>275</v>
      </c>
      <c r="C11" t="s">
        <v>1</v>
      </c>
      <c r="D11" t="str">
        <f t="shared" si="5"/>
        <v>Grade</v>
      </c>
      <c r="E11" t="str">
        <f t="shared" si="6"/>
        <v>varchar</v>
      </c>
      <c r="F11" s="7"/>
      <c r="G11" t="str">
        <f t="shared" si="7"/>
        <v>50</v>
      </c>
      <c r="H11" t="str">
        <f>+VLOOKUP(E11,'Data Type Mapping'!A:B,2,)</f>
        <v>string</v>
      </c>
      <c r="I11" t="str">
        <f t="shared" si="8"/>
        <v xml:space="preserve">		public const int MaxGradeLength = 50;
</v>
      </c>
      <c r="J11" t="str">
        <f t="shared" si="9"/>
        <v xml:space="preserve">		[StringLength(MaxGradeLength)]
		public virtual string Grade { get; set; }
</v>
      </c>
      <c r="K11" s="7"/>
      <c r="L11" t="str">
        <f t="shared" si="10"/>
        <v/>
      </c>
      <c r="M11" t="str">
        <f t="shared" si="11"/>
        <v xml:space="preserve">		public virtual string Grade { get; set; }
</v>
      </c>
      <c r="N11" t="str">
        <f t="shared" si="12"/>
        <v xml:space="preserve">		[StringLength(PtsAdoBumperConsts.MaxGradeLength)]
		public virtual string Grade { get; set; }
</v>
      </c>
      <c r="O11" t="str">
        <f t="shared" si="13"/>
        <v xml:space="preserve">		public virtual string Grade { get; set; }
</v>
      </c>
      <c r="P11" t="str">
        <f t="shared" si="14"/>
        <v xml:space="preserve">							Grade = o.Grade,</v>
      </c>
      <c r="T11" s="69" t="str">
        <f t="shared" si="15"/>
        <v xml:space="preserve">								("Grade"),</v>
      </c>
      <c r="V11" s="70" t="str">
        <f t="shared" si="16"/>
        <v xml:space="preserve">								_ =&gt; _.Grade,</v>
      </c>
      <c r="W11" s="69" t="str">
        <f t="shared" si="17"/>
        <v xml:space="preserve">				.WhereIf(!string.IsNullOrWhiteSpace(input.Grade), e =&gt; e.Grade.Contains(input.Grade))</v>
      </c>
    </row>
    <row r="12" spans="1:23" customFormat="1" ht="22.5" customHeight="1" x14ac:dyDescent="0.25">
      <c r="A12" t="s">
        <v>277</v>
      </c>
      <c r="B12" t="s">
        <v>275</v>
      </c>
      <c r="C12" t="s">
        <v>1</v>
      </c>
      <c r="D12" t="str">
        <f>SUBSTITUTE(PROPER(A12),"_","")</f>
        <v>BodyNo</v>
      </c>
      <c r="E12" t="str">
        <f t="shared" si="6"/>
        <v>varchar</v>
      </c>
      <c r="F12" s="7"/>
      <c r="G12" t="str">
        <f t="shared" si="7"/>
        <v>50</v>
      </c>
      <c r="H12" t="str">
        <f>+VLOOKUP(E12,'Data Type Mapping'!A:B,2,)</f>
        <v>string</v>
      </c>
      <c r="I12" t="str">
        <f t="shared" si="8"/>
        <v xml:space="preserve">		public const int MaxBodyNoLength = 50;
</v>
      </c>
      <c r="J12" t="str">
        <f t="shared" si="9"/>
        <v xml:space="preserve">		[StringLength(MaxBodyNoLength)]
		public virtual string BodyNo { get; set; }
</v>
      </c>
      <c r="K12" s="7" t="s">
        <v>206</v>
      </c>
      <c r="L12" t="str">
        <f>IF(K12="","",REPT(CHAR(9),1)&amp;"[Index(nameof("&amp;IF(D12="","",""&amp;D12)&amp;")"&amp;", Name="&amp;"""IX_"&amp;$B$7&amp;"_"&amp;D12&amp;""")]")</f>
        <v xml:space="preserve">	[Index(nameof(BodyNo), Name="IX_PtsAdoBumper_BodyNo")]</v>
      </c>
      <c r="M12" t="str">
        <f t="shared" si="11"/>
        <v xml:space="preserve">		public virtual string BodyNo { get; set; }
</v>
      </c>
      <c r="N12" t="str">
        <f t="shared" si="12"/>
        <v xml:space="preserve">		[StringLength(PtsAdoBumperConsts.MaxBodyNoLength)]
		public virtual string BodyNo { get; set; }
</v>
      </c>
      <c r="O12" t="str">
        <f t="shared" si="13"/>
        <v xml:space="preserve">		public virtual string BodyNo { get; set; }
</v>
      </c>
      <c r="P12" t="str">
        <f t="shared" si="14"/>
        <v xml:space="preserve">							BodyNo = o.BodyNo,</v>
      </c>
      <c r="T12" s="69" t="str">
        <f t="shared" si="15"/>
        <v xml:space="preserve">								("BodyNo"),</v>
      </c>
      <c r="V12" s="70" t="str">
        <f t="shared" si="16"/>
        <v xml:space="preserve">								_ =&gt; _.BodyNo,</v>
      </c>
      <c r="W12" s="69" t="str">
        <f t="shared" si="17"/>
        <v xml:space="preserve">				.WhereIf(!string.IsNullOrWhiteSpace(input.BodyNo), e =&gt; e.BodyNo.Contains(input.BodyNo))</v>
      </c>
    </row>
    <row r="13" spans="1:23" customFormat="1" ht="21" customHeight="1" x14ac:dyDescent="0.25">
      <c r="A13" t="s">
        <v>278</v>
      </c>
      <c r="B13" t="s">
        <v>275</v>
      </c>
      <c r="C13" t="s">
        <v>1</v>
      </c>
      <c r="D13" t="str">
        <f t="shared" ref="D13:D15" si="18">SUBSTITUTE(PROPER(A13),"_","")</f>
        <v>LotNo</v>
      </c>
      <c r="E13" t="str">
        <f t="shared" si="6"/>
        <v>varchar</v>
      </c>
      <c r="F13" s="7"/>
      <c r="G13" t="str">
        <f t="shared" si="7"/>
        <v>50</v>
      </c>
      <c r="H13" t="str">
        <f>+VLOOKUP(E13,'Data Type Mapping'!A:B,2,)</f>
        <v>string</v>
      </c>
      <c r="I13" t="str">
        <f t="shared" si="8"/>
        <v xml:space="preserve">		public const int MaxLotNoLength = 50;
</v>
      </c>
      <c r="J13" t="str">
        <f t="shared" si="9"/>
        <v xml:space="preserve">		[StringLength(MaxLotNoLength)]
		public virtual string LotNo { get; set; }
</v>
      </c>
      <c r="K13" s="7" t="s">
        <v>206</v>
      </c>
      <c r="L13" t="str">
        <f t="shared" ref="L13:L15" si="19">IF(K13="","",REPT(CHAR(9),1)&amp;"[Index(nameof("&amp;IF(D13="","",""&amp;D13)&amp;")"&amp;", Name="&amp;"""IX_"&amp;$B$7&amp;"_"&amp;D13&amp;""")]")</f>
        <v xml:space="preserve">	[Index(nameof(LotNo), Name="IX_PtsAdoBumper_LotNo")]</v>
      </c>
      <c r="M13" t="str">
        <f t="shared" si="11"/>
        <v xml:space="preserve">		public virtual string LotNo { get; set; }
</v>
      </c>
      <c r="N13" t="str">
        <f t="shared" si="12"/>
        <v xml:space="preserve">		[StringLength(PtsAdoBumperConsts.MaxLotNoLength)]
		public virtual string LotNo { get; set; }
</v>
      </c>
      <c r="O13" t="str">
        <f t="shared" si="13"/>
        <v xml:space="preserve">		public virtual string LotNo { get; set; }
</v>
      </c>
      <c r="P13" t="str">
        <f t="shared" si="14"/>
        <v xml:space="preserve">							LotNo = o.LotNo,</v>
      </c>
      <c r="T13" s="69" t="str">
        <f t="shared" si="15"/>
        <v xml:space="preserve">								("LotNo"),</v>
      </c>
      <c r="V13" s="70" t="str">
        <f t="shared" si="16"/>
        <v xml:space="preserve">								_ =&gt; _.LotNo,</v>
      </c>
      <c r="W13" s="69" t="str">
        <f t="shared" si="17"/>
        <v xml:space="preserve">				.WhereIf(!string.IsNullOrWhiteSpace(input.LotNo), e =&gt; e.LotNo.Contains(input.LotNo))</v>
      </c>
    </row>
    <row r="14" spans="1:23" customFormat="1" ht="21" customHeight="1" x14ac:dyDescent="0.25">
      <c r="A14" t="s">
        <v>279</v>
      </c>
      <c r="B14" t="s">
        <v>4</v>
      </c>
      <c r="C14" t="s">
        <v>1</v>
      </c>
      <c r="D14" t="str">
        <f t="shared" si="18"/>
        <v>NoInLot</v>
      </c>
      <c r="E14" t="str">
        <f t="shared" si="6"/>
        <v>int</v>
      </c>
      <c r="F14" s="7"/>
      <c r="G14" t="str">
        <f t="shared" si="7"/>
        <v/>
      </c>
      <c r="H14" t="str">
        <f>+VLOOKUP(E14,'Data Type Mapping'!A:B,2,)</f>
        <v>int</v>
      </c>
      <c r="I14" t="str">
        <f t="shared" si="8"/>
        <v/>
      </c>
      <c r="J14" t="str">
        <f t="shared" si="9"/>
        <v xml:space="preserve">		public virtual int NoInLot { get; set; }
</v>
      </c>
      <c r="K14" s="7" t="s">
        <v>206</v>
      </c>
      <c r="L14" t="str">
        <f t="shared" si="19"/>
        <v xml:space="preserve">	[Index(nameof(NoInLot), Name="IX_PtsAdoBumper_NoInLot")]</v>
      </c>
      <c r="M14" t="str">
        <f t="shared" si="11"/>
        <v xml:space="preserve">		public virtual int NoInLot { get; set; }
</v>
      </c>
      <c r="N14" t="str">
        <f t="shared" si="12"/>
        <v xml:space="preserve">		public virtual int NoInLot { get; set; }
</v>
      </c>
      <c r="O14" t="str">
        <f t="shared" si="13"/>
        <v xml:space="preserve">		public virtual int NoInLot { get; set; }
</v>
      </c>
      <c r="P14" t="str">
        <f t="shared" si="14"/>
        <v xml:space="preserve">							NoInLot = o.NoInLot,</v>
      </c>
      <c r="T14" s="69" t="str">
        <f t="shared" si="15"/>
        <v xml:space="preserve">								("NoInLot"),</v>
      </c>
      <c r="V14" s="70" t="str">
        <f t="shared" si="16"/>
        <v xml:space="preserve">								_ =&gt; _.NoInLot,</v>
      </c>
      <c r="W14" s="69" t="str">
        <f t="shared" si="17"/>
        <v/>
      </c>
    </row>
    <row r="15" spans="1:23" customFormat="1" ht="18.75" customHeight="1" x14ac:dyDescent="0.25">
      <c r="A15" t="s">
        <v>280</v>
      </c>
      <c r="B15" t="s">
        <v>275</v>
      </c>
      <c r="C15" t="s">
        <v>1</v>
      </c>
      <c r="D15" t="str">
        <f t="shared" si="18"/>
        <v>Color</v>
      </c>
      <c r="E15" t="str">
        <f t="shared" si="6"/>
        <v>varchar</v>
      </c>
      <c r="F15" s="7"/>
      <c r="G15" t="str">
        <f t="shared" si="7"/>
        <v>50</v>
      </c>
      <c r="H15" t="str">
        <f>+VLOOKUP(E15,'Data Type Mapping'!A:B,2,)</f>
        <v>string</v>
      </c>
      <c r="I15" t="str">
        <f t="shared" si="8"/>
        <v xml:space="preserve">		public const int MaxColorLength = 50;
</v>
      </c>
      <c r="J15" t="str">
        <f t="shared" si="9"/>
        <v xml:space="preserve">		[StringLength(MaxColorLength)]
		public virtual string Color { get; set; }
</v>
      </c>
      <c r="K15" s="7"/>
      <c r="L15" t="str">
        <f t="shared" si="19"/>
        <v/>
      </c>
      <c r="M15" t="str">
        <f t="shared" si="11"/>
        <v xml:space="preserve">		public virtual string Color { get; set; }
</v>
      </c>
      <c r="N15" t="str">
        <f t="shared" si="12"/>
        <v xml:space="preserve">		[StringLength(PtsAdoBumperConsts.MaxColorLength)]
		public virtual string Color { get; set; }
</v>
      </c>
      <c r="O15" t="str">
        <f t="shared" si="13"/>
        <v xml:space="preserve">		public virtual string Color { get; set; }
</v>
      </c>
      <c r="P15" t="str">
        <f t="shared" si="14"/>
        <v xml:space="preserve">							Color = o.Color,</v>
      </c>
      <c r="T15" s="69" t="str">
        <f t="shared" si="15"/>
        <v xml:space="preserve">								("Color"),</v>
      </c>
      <c r="V15" s="70" t="str">
        <f t="shared" si="16"/>
        <v xml:space="preserve">								_ =&gt; _.Color,</v>
      </c>
      <c r="W15" s="69" t="str">
        <f t="shared" si="17"/>
        <v xml:space="preserve">				.WhereIf(!string.IsNullOrWhiteSpace(input.Color), e =&gt; e.Color.Contains(input.Color))</v>
      </c>
    </row>
    <row r="16" spans="1:23" customFormat="1" ht="22.5" customHeight="1" x14ac:dyDescent="0.25">
      <c r="A16" t="s">
        <v>281</v>
      </c>
      <c r="B16" t="s">
        <v>4</v>
      </c>
      <c r="C16" t="s">
        <v>1</v>
      </c>
      <c r="D16" t="str">
        <f>SUBSTITUTE(PROPER(A16),"_","")</f>
        <v>BumperStatus</v>
      </c>
      <c r="E16" t="str">
        <f t="shared" si="6"/>
        <v>int</v>
      </c>
      <c r="F16" s="7"/>
      <c r="G16" t="str">
        <f t="shared" si="7"/>
        <v/>
      </c>
      <c r="H16" t="str">
        <f>+VLOOKUP(E16,'Data Type Mapping'!A:B,2,)</f>
        <v>int</v>
      </c>
      <c r="I16" t="str">
        <f t="shared" si="8"/>
        <v/>
      </c>
      <c r="J16" t="str">
        <f t="shared" si="9"/>
        <v xml:space="preserve">		public virtual int BumperStatus { get; set; }
</v>
      </c>
      <c r="K16" s="7" t="s">
        <v>206</v>
      </c>
      <c r="L16" t="str">
        <f>IF(K16="","",REPT(CHAR(9),1)&amp;"[Index(nameof("&amp;IF(D16="","",""&amp;D16)&amp;")"&amp;", Name="&amp;"""IX_"&amp;$B$7&amp;"_"&amp;D16&amp;""")]")</f>
        <v xml:space="preserve">	[Index(nameof(BumperStatus), Name="IX_PtsAdoBumper_BumperStatus")]</v>
      </c>
      <c r="M16" t="str">
        <f t="shared" si="11"/>
        <v xml:space="preserve">		public virtual int BumperStatus { get; set; }
</v>
      </c>
      <c r="N16" t="str">
        <f t="shared" si="12"/>
        <v xml:space="preserve">		public virtual int BumperStatus { get; set; }
</v>
      </c>
      <c r="O16" t="str">
        <f t="shared" si="13"/>
        <v xml:space="preserve">		public virtual int BumperStatus { get; set; }
</v>
      </c>
      <c r="P16" t="str">
        <f t="shared" si="14"/>
        <v xml:space="preserve">							BumperStatus = o.BumperStatus,</v>
      </c>
      <c r="T16" s="69" t="str">
        <f t="shared" si="15"/>
        <v xml:space="preserve">								("BumperStatus"),</v>
      </c>
      <c r="V16" s="70" t="str">
        <f t="shared" si="16"/>
        <v xml:space="preserve">								_ =&gt; _.BumperStatus,</v>
      </c>
      <c r="W16" s="69" t="str">
        <f t="shared" si="17"/>
        <v/>
      </c>
    </row>
    <row r="17" spans="1:23" customFormat="1" ht="21" customHeight="1" x14ac:dyDescent="0.25">
      <c r="A17" t="s">
        <v>282</v>
      </c>
      <c r="B17" t="s">
        <v>248</v>
      </c>
      <c r="C17" t="s">
        <v>1</v>
      </c>
      <c r="D17" t="str">
        <f t="shared" ref="D17:D19" si="20">SUBSTITUTE(PROPER(A17),"_","")</f>
        <v>InitialDate</v>
      </c>
      <c r="E17" t="str">
        <f t="shared" si="6"/>
        <v>datetime2</v>
      </c>
      <c r="F17" s="7" t="s">
        <v>248</v>
      </c>
      <c r="G17" t="str">
        <f t="shared" si="7"/>
        <v>7</v>
      </c>
      <c r="H17" t="str">
        <f>+VLOOKUP(E17,'Data Type Mapping'!A:B,2,)</f>
        <v>DateTime</v>
      </c>
      <c r="I17" t="str">
        <f t="shared" si="8"/>
        <v/>
      </c>
      <c r="J17" t="str">
        <f t="shared" si="9"/>
        <v xml:space="preserve">		[Column(TypeName="datetime2(7)")]
		public virtual DateTime InitialDate { get; set; }
</v>
      </c>
      <c r="K17" s="7"/>
      <c r="L17" t="str">
        <f t="shared" ref="L17:L19" si="21">IF(K17="","",REPT(CHAR(9),1)&amp;"[Index(nameof("&amp;IF(D17="","",""&amp;D17)&amp;")"&amp;", Name="&amp;"""IX_"&amp;$B$7&amp;"_"&amp;D17&amp;""")]")</f>
        <v/>
      </c>
      <c r="M17" t="str">
        <f t="shared" si="11"/>
        <v xml:space="preserve">		public virtual DateTime? InitialDate { get; set; }
</v>
      </c>
      <c r="N17" t="str">
        <f t="shared" si="12"/>
        <v xml:space="preserve">		public virtual DateTime? InitialDate { get; set; }
</v>
      </c>
      <c r="O17" t="str">
        <f t="shared" si="13"/>
        <v xml:space="preserve">		public virtual DateTime? InitialDate { get; set; }
</v>
      </c>
      <c r="P17" t="str">
        <f t="shared" si="14"/>
        <v xml:space="preserve">							InitialDate = o.InitialDate,</v>
      </c>
      <c r="T17" s="69" t="str">
        <f t="shared" si="15"/>
        <v xml:space="preserve">								("InitialDate"),</v>
      </c>
      <c r="V17" s="70" t="str">
        <f t="shared" si="16"/>
        <v xml:space="preserve">								_ =&gt; _.InitialDate,</v>
      </c>
      <c r="W17" s="69" t="str">
        <f t="shared" si="17"/>
        <v xml:space="preserve">				.WhereIf(input.InitialDate.HasValue, t =&gt; t.InitialDate == input.InitialDate.Value)</v>
      </c>
    </row>
    <row r="18" spans="1:23" customFormat="1" ht="21" customHeight="1" x14ac:dyDescent="0.25">
      <c r="A18" t="s">
        <v>283</v>
      </c>
      <c r="B18" t="s">
        <v>248</v>
      </c>
      <c r="C18" t="s">
        <v>1</v>
      </c>
      <c r="D18" t="str">
        <f t="shared" si="20"/>
        <v>I1Date</v>
      </c>
      <c r="E18" t="str">
        <f t="shared" si="6"/>
        <v>datetime2</v>
      </c>
      <c r="F18" s="7" t="s">
        <v>248</v>
      </c>
      <c r="G18" t="str">
        <f t="shared" si="7"/>
        <v>7</v>
      </c>
      <c r="H18" t="str">
        <f>+VLOOKUP(E18,'Data Type Mapping'!A:B,2,)</f>
        <v>DateTime</v>
      </c>
      <c r="I18" t="str">
        <f t="shared" si="8"/>
        <v/>
      </c>
      <c r="J18" t="str">
        <f t="shared" si="9"/>
        <v xml:space="preserve">		[Column(TypeName="datetime2(7)")]
		public virtual DateTime I1Date { get; set; }
</v>
      </c>
      <c r="K18" s="7"/>
      <c r="L18" t="str">
        <f t="shared" si="21"/>
        <v/>
      </c>
      <c r="M18" t="str">
        <f t="shared" si="11"/>
        <v xml:space="preserve">		public virtual DateTime? I1Date { get; set; }
</v>
      </c>
      <c r="N18" t="str">
        <f t="shared" si="12"/>
        <v xml:space="preserve">		public virtual DateTime? I1Date { get; set; }
</v>
      </c>
      <c r="O18" t="str">
        <f t="shared" si="13"/>
        <v xml:space="preserve">		public virtual DateTime? I1Date { get; set; }
</v>
      </c>
      <c r="P18" t="str">
        <f t="shared" si="14"/>
        <v xml:space="preserve">							I1Date = o.I1Date,</v>
      </c>
      <c r="T18" s="69" t="str">
        <f t="shared" si="15"/>
        <v xml:space="preserve">								("I1Date"),</v>
      </c>
      <c r="V18" s="70" t="str">
        <f t="shared" si="16"/>
        <v xml:space="preserve">								_ =&gt; _.I1Date,</v>
      </c>
      <c r="W18" s="69" t="str">
        <f t="shared" si="17"/>
        <v xml:space="preserve">				.WhereIf(input.I1Date.HasValue, t =&gt; t.I1Date == input.I1Date.Value)</v>
      </c>
    </row>
    <row r="19" spans="1:23" customFormat="1" ht="18.75" customHeight="1" x14ac:dyDescent="0.25">
      <c r="A19" t="s">
        <v>284</v>
      </c>
      <c r="B19" t="s">
        <v>248</v>
      </c>
      <c r="C19" t="s">
        <v>1</v>
      </c>
      <c r="D19" t="str">
        <f t="shared" si="20"/>
        <v>I2Date</v>
      </c>
      <c r="E19" t="str">
        <f t="shared" si="6"/>
        <v>datetime2</v>
      </c>
      <c r="F19" s="7" t="s">
        <v>248</v>
      </c>
      <c r="G19" t="str">
        <f t="shared" si="7"/>
        <v>7</v>
      </c>
      <c r="H19" t="str">
        <f>+VLOOKUP(E19,'Data Type Mapping'!A:B,2,)</f>
        <v>DateTime</v>
      </c>
      <c r="I19" t="str">
        <f t="shared" si="8"/>
        <v/>
      </c>
      <c r="J19" t="str">
        <f t="shared" si="9"/>
        <v xml:space="preserve">		[Column(TypeName="datetime2(7)")]
		public virtual DateTime I2Date { get; set; }
</v>
      </c>
      <c r="K19" s="7"/>
      <c r="L19" t="str">
        <f t="shared" si="21"/>
        <v/>
      </c>
      <c r="M19" t="str">
        <f t="shared" si="11"/>
        <v xml:space="preserve">		public virtual DateTime? I2Date { get; set; }
</v>
      </c>
      <c r="N19" t="str">
        <f t="shared" si="12"/>
        <v xml:space="preserve">		public virtual DateTime? I2Date { get; set; }
</v>
      </c>
      <c r="O19" t="str">
        <f t="shared" si="13"/>
        <v xml:space="preserve">		public virtual DateTime? I2Date { get; set; }
</v>
      </c>
      <c r="P19" t="str">
        <f t="shared" si="14"/>
        <v xml:space="preserve">							I2Date = o.I2Date,</v>
      </c>
      <c r="T19" s="69" t="str">
        <f t="shared" si="15"/>
        <v xml:space="preserve">								("I2Date"),</v>
      </c>
      <c r="V19" s="70" t="str">
        <f t="shared" si="16"/>
        <v xml:space="preserve">								_ =&gt; _.I2Date,</v>
      </c>
      <c r="W19" s="69" t="str">
        <f t="shared" si="17"/>
        <v xml:space="preserve">				.WhereIf(input.I2Date.HasValue, t =&gt; t.I2Date == input.I2Date.Value)</v>
      </c>
    </row>
    <row r="20" spans="1:23" customFormat="1" ht="22.5" customHeight="1" x14ac:dyDescent="0.25">
      <c r="A20" t="s">
        <v>285</v>
      </c>
      <c r="B20" t="s">
        <v>248</v>
      </c>
      <c r="C20" t="s">
        <v>1</v>
      </c>
      <c r="D20" t="str">
        <f>SUBSTITUTE(PROPER(A20),"_","")</f>
        <v>InlInDate</v>
      </c>
      <c r="E20" t="str">
        <f t="shared" si="6"/>
        <v>datetime2</v>
      </c>
      <c r="F20" s="7" t="s">
        <v>248</v>
      </c>
      <c r="G20" t="str">
        <f t="shared" si="7"/>
        <v>7</v>
      </c>
      <c r="H20" t="str">
        <f>+VLOOKUP(E20,'Data Type Mapping'!A:B,2,)</f>
        <v>DateTime</v>
      </c>
      <c r="I20" t="str">
        <f t="shared" si="8"/>
        <v/>
      </c>
      <c r="J20" t="str">
        <f t="shared" si="9"/>
        <v xml:space="preserve">		[Column(TypeName="datetime2(7)")]
		public virtual DateTime InlInDate { get; set; }
</v>
      </c>
      <c r="K20" s="7"/>
      <c r="L20" t="str">
        <f>IF(K20="","",REPT(CHAR(9),1)&amp;"[Index(nameof("&amp;IF(D20="","",""&amp;D20)&amp;")"&amp;", Name="&amp;"""IX_"&amp;$B$7&amp;"_"&amp;D20&amp;""")]")</f>
        <v/>
      </c>
      <c r="M20" t="str">
        <f t="shared" si="11"/>
        <v xml:space="preserve">		public virtual DateTime? InlInDate { get; set; }
</v>
      </c>
      <c r="N20" t="str">
        <f t="shared" si="12"/>
        <v xml:space="preserve">		public virtual DateTime? InlInDate { get; set; }
</v>
      </c>
      <c r="O20" t="str">
        <f t="shared" si="13"/>
        <v xml:space="preserve">		public virtual DateTime? InlInDate { get; set; }
</v>
      </c>
      <c r="P20" t="str">
        <f t="shared" si="14"/>
        <v xml:space="preserve">							InlInDate = o.InlInDate,</v>
      </c>
      <c r="T20" s="69" t="str">
        <f t="shared" si="15"/>
        <v xml:space="preserve">								("InlInDate"),</v>
      </c>
      <c r="V20" s="70" t="str">
        <f t="shared" si="16"/>
        <v xml:space="preserve">								_ =&gt; _.InlInDate,</v>
      </c>
      <c r="W20" s="69" t="str">
        <f t="shared" si="17"/>
        <v xml:space="preserve">				.WhereIf(input.InlInDate.HasValue, t =&gt; t.InlInDate == input.InlInDate.Value)</v>
      </c>
    </row>
    <row r="21" spans="1:23" customFormat="1" ht="21" customHeight="1" x14ac:dyDescent="0.25">
      <c r="A21" t="s">
        <v>286</v>
      </c>
      <c r="B21" t="s">
        <v>248</v>
      </c>
      <c r="C21" t="s">
        <v>1</v>
      </c>
      <c r="D21" t="str">
        <f t="shared" ref="D21:D23" si="22">SUBSTITUTE(PROPER(A21),"_","")</f>
        <v>InlOutDate</v>
      </c>
      <c r="E21" t="str">
        <f t="shared" si="6"/>
        <v>datetime2</v>
      </c>
      <c r="F21" s="7" t="s">
        <v>248</v>
      </c>
      <c r="G21" t="str">
        <f t="shared" si="7"/>
        <v>7</v>
      </c>
      <c r="H21" t="str">
        <f>+VLOOKUP(E21,'Data Type Mapping'!A:B,2,)</f>
        <v>DateTime</v>
      </c>
      <c r="I21" t="str">
        <f t="shared" si="8"/>
        <v/>
      </c>
      <c r="J21" t="str">
        <f t="shared" si="9"/>
        <v xml:space="preserve">		[Column(TypeName="datetime2(7)")]
		public virtual DateTime InlOutDate { get; set; }
</v>
      </c>
      <c r="K21" s="7"/>
      <c r="L21" t="str">
        <f t="shared" ref="L21:L23" si="23">IF(K21="","",REPT(CHAR(9),1)&amp;"[Index(nameof("&amp;IF(D21="","",""&amp;D21)&amp;")"&amp;", Name="&amp;"""IX_"&amp;$B$7&amp;"_"&amp;D21&amp;""")]")</f>
        <v/>
      </c>
      <c r="M21" t="str">
        <f t="shared" si="11"/>
        <v xml:space="preserve">		public virtual DateTime? InlOutDate { get; set; }
</v>
      </c>
      <c r="N21" t="str">
        <f t="shared" si="12"/>
        <v xml:space="preserve">		public virtual DateTime? InlOutDate { get; set; }
</v>
      </c>
      <c r="O21" t="str">
        <f t="shared" si="13"/>
        <v xml:space="preserve">		public virtual DateTime? InlOutDate { get; set; }
</v>
      </c>
      <c r="P21" t="str">
        <f t="shared" si="14"/>
        <v xml:space="preserve">							InlOutDate = o.InlOutDate,</v>
      </c>
      <c r="T21" s="69" t="str">
        <f t="shared" si="15"/>
        <v xml:space="preserve">								("InlOutDate"),</v>
      </c>
      <c r="V21" s="70" t="str">
        <f t="shared" si="16"/>
        <v xml:space="preserve">								_ =&gt; _.InlOutDate,</v>
      </c>
      <c r="W21" s="69" t="str">
        <f t="shared" si="17"/>
        <v xml:space="preserve">				.WhereIf(input.InlOutDate.HasValue, t =&gt; t.InlOutDate == input.InlOutDate.Value)</v>
      </c>
    </row>
    <row r="22" spans="1:23" customFormat="1" ht="21" customHeight="1" x14ac:dyDescent="0.25">
      <c r="A22" t="s">
        <v>287</v>
      </c>
      <c r="B22" t="s">
        <v>248</v>
      </c>
      <c r="C22" t="s">
        <v>1</v>
      </c>
      <c r="D22" t="str">
        <f t="shared" si="22"/>
        <v>PreparationDate</v>
      </c>
      <c r="E22" t="str">
        <f t="shared" si="6"/>
        <v>datetime2</v>
      </c>
      <c r="F22" s="7" t="s">
        <v>248</v>
      </c>
      <c r="G22" t="str">
        <f t="shared" si="7"/>
        <v>7</v>
      </c>
      <c r="H22" t="str">
        <f>+VLOOKUP(E22,'Data Type Mapping'!A:B,2,)</f>
        <v>DateTime</v>
      </c>
      <c r="I22" t="str">
        <f t="shared" si="8"/>
        <v/>
      </c>
      <c r="J22" t="str">
        <f t="shared" si="9"/>
        <v xml:space="preserve">		[Column(TypeName="datetime2(7)")]
		public virtual DateTime PreparationDate { get; set; }
</v>
      </c>
      <c r="K22" s="7"/>
      <c r="L22" t="str">
        <f t="shared" si="23"/>
        <v/>
      </c>
      <c r="M22" t="str">
        <f t="shared" si="11"/>
        <v xml:space="preserve">		public virtual DateTime? PreparationDate { get; set; }
</v>
      </c>
      <c r="N22" t="str">
        <f t="shared" si="12"/>
        <v xml:space="preserve">		public virtual DateTime? PreparationDate { get; set; }
</v>
      </c>
      <c r="O22" t="str">
        <f t="shared" si="13"/>
        <v xml:space="preserve">		public virtual DateTime? PreparationDate { get; set; }
</v>
      </c>
      <c r="P22" t="str">
        <f t="shared" si="14"/>
        <v xml:space="preserve">							PreparationDate = o.PreparationDate,</v>
      </c>
      <c r="T22" s="69" t="str">
        <f t="shared" si="15"/>
        <v xml:space="preserve">								("PreparationDate"),</v>
      </c>
      <c r="V22" s="70" t="str">
        <f t="shared" si="16"/>
        <v xml:space="preserve">								_ =&gt; _.PreparationDate,</v>
      </c>
      <c r="W22" s="69" t="str">
        <f t="shared" si="17"/>
        <v xml:space="preserve">				.WhereIf(input.PreparationDate.HasValue, t =&gt; t.PreparationDate == input.PreparationDate.Value)</v>
      </c>
    </row>
    <row r="23" spans="1:23" customFormat="1" ht="18.75" customHeight="1" x14ac:dyDescent="0.25">
      <c r="A23" t="s">
        <v>288</v>
      </c>
      <c r="B23" t="s">
        <v>248</v>
      </c>
      <c r="C23" t="s">
        <v>1</v>
      </c>
      <c r="D23" t="str">
        <f t="shared" si="22"/>
        <v>UnpackingDate</v>
      </c>
      <c r="E23" t="str">
        <f t="shared" si="6"/>
        <v>datetime2</v>
      </c>
      <c r="F23" s="7" t="s">
        <v>248</v>
      </c>
      <c r="G23" t="str">
        <f t="shared" si="7"/>
        <v>7</v>
      </c>
      <c r="H23" t="str">
        <f>+VLOOKUP(E23,'Data Type Mapping'!A:B,2,)</f>
        <v>DateTime</v>
      </c>
      <c r="I23" t="str">
        <f t="shared" si="8"/>
        <v/>
      </c>
      <c r="J23" t="str">
        <f t="shared" si="9"/>
        <v xml:space="preserve">		[Column(TypeName="datetime2(7)")]
		public virtual DateTime UnpackingDate { get; set; }
</v>
      </c>
      <c r="K23" s="7"/>
      <c r="L23" t="str">
        <f t="shared" si="23"/>
        <v/>
      </c>
      <c r="M23" t="str">
        <f t="shared" si="11"/>
        <v xml:space="preserve">		public virtual DateTime? UnpackingDate { get; set; }
</v>
      </c>
      <c r="N23" t="str">
        <f t="shared" si="12"/>
        <v xml:space="preserve">		public virtual DateTime? UnpackingDate { get; set; }
</v>
      </c>
      <c r="O23" t="str">
        <f t="shared" si="13"/>
        <v xml:space="preserve">		public virtual DateTime? UnpackingDate { get; set; }
</v>
      </c>
      <c r="P23" t="str">
        <f t="shared" si="14"/>
        <v xml:space="preserve">							UnpackingDate = o.UnpackingDate,</v>
      </c>
      <c r="T23" s="69" t="str">
        <f t="shared" si="15"/>
        <v xml:space="preserve">								("UnpackingDate"),</v>
      </c>
      <c r="V23" s="70" t="str">
        <f t="shared" si="16"/>
        <v xml:space="preserve">								_ =&gt; _.UnpackingDate,</v>
      </c>
      <c r="W23" s="69" t="str">
        <f t="shared" si="17"/>
        <v xml:space="preserve">				.WhereIf(input.UnpackingDate.HasValue, t =&gt; t.UnpackingDate == input.UnpackingDate.Value)</v>
      </c>
    </row>
    <row r="24" spans="1:23" customFormat="1" ht="22.5" customHeight="1" x14ac:dyDescent="0.25">
      <c r="A24" t="s">
        <v>289</v>
      </c>
      <c r="B24" t="s">
        <v>248</v>
      </c>
      <c r="C24" t="s">
        <v>1</v>
      </c>
      <c r="D24" t="str">
        <f>SUBSTITUTE(PROPER(A24),"_","")</f>
        <v>JigSettingDate</v>
      </c>
      <c r="E24" t="str">
        <f t="shared" si="6"/>
        <v>datetime2</v>
      </c>
      <c r="F24" s="7" t="s">
        <v>248</v>
      </c>
      <c r="G24" t="str">
        <f t="shared" si="7"/>
        <v>7</v>
      </c>
      <c r="H24" t="str">
        <f>+VLOOKUP(E24,'Data Type Mapping'!A:B,2,)</f>
        <v>DateTime</v>
      </c>
      <c r="I24" t="str">
        <f t="shared" si="8"/>
        <v/>
      </c>
      <c r="J24" t="str">
        <f t="shared" si="9"/>
        <v xml:space="preserve">		[Column(TypeName="datetime2(7)")]
		public virtual DateTime JigSettingDate { get; set; }
</v>
      </c>
      <c r="K24" s="7"/>
      <c r="L24" t="str">
        <f>IF(K24="","",REPT(CHAR(9),1)&amp;"[Index(nameof("&amp;IF(D24="","",""&amp;D24)&amp;")"&amp;", Name="&amp;"""IX_"&amp;$B$7&amp;"_"&amp;D24&amp;""")]")</f>
        <v/>
      </c>
      <c r="M24" t="str">
        <f t="shared" si="11"/>
        <v xml:space="preserve">		public virtual DateTime? JigSettingDate { get; set; }
</v>
      </c>
      <c r="N24" t="str">
        <f t="shared" si="12"/>
        <v xml:space="preserve">		public virtual DateTime? JigSettingDate { get; set; }
</v>
      </c>
      <c r="O24" t="str">
        <f t="shared" si="13"/>
        <v xml:space="preserve">		public virtual DateTime? JigSettingDate { get; set; }
</v>
      </c>
      <c r="P24" t="str">
        <f t="shared" si="14"/>
        <v xml:space="preserve">							JigSettingDate = o.JigSettingDate,</v>
      </c>
      <c r="T24" s="69" t="str">
        <f t="shared" si="15"/>
        <v xml:space="preserve">								("JigSettingDate"),</v>
      </c>
      <c r="V24" s="70" t="str">
        <f t="shared" si="16"/>
        <v xml:space="preserve">								_ =&gt; _.JigSettingDate,</v>
      </c>
      <c r="W24" s="69" t="str">
        <f t="shared" si="17"/>
        <v xml:space="preserve">				.WhereIf(input.JigSettingDate.HasValue, t =&gt; t.JigSettingDate == input.JigSettingDate.Value)</v>
      </c>
    </row>
    <row r="25" spans="1:23" customFormat="1" ht="21" customHeight="1" x14ac:dyDescent="0.25">
      <c r="A25" t="s">
        <v>290</v>
      </c>
      <c r="B25" t="s">
        <v>248</v>
      </c>
      <c r="C25" t="s">
        <v>1</v>
      </c>
      <c r="D25" t="str">
        <f t="shared" ref="D25" si="24">SUBSTITUTE(PROPER(A25),"_","")</f>
        <v>BoothDate</v>
      </c>
      <c r="E25" t="str">
        <f t="shared" si="6"/>
        <v>datetime2</v>
      </c>
      <c r="F25" s="7" t="s">
        <v>248</v>
      </c>
      <c r="G25" t="str">
        <f t="shared" si="7"/>
        <v>7</v>
      </c>
      <c r="H25" t="str">
        <f>+VLOOKUP(E25,'Data Type Mapping'!A:B,2,)</f>
        <v>DateTime</v>
      </c>
      <c r="I25" t="str">
        <f t="shared" si="8"/>
        <v/>
      </c>
      <c r="J25" t="str">
        <f t="shared" si="9"/>
        <v xml:space="preserve">		[Column(TypeName="datetime2(7)")]
		public virtual DateTime BoothDate { get; set; }
</v>
      </c>
      <c r="K25" s="7"/>
      <c r="L25" t="str">
        <f t="shared" ref="L25" si="25">IF(K25="","",REPT(CHAR(9),1)&amp;"[Index(nameof("&amp;IF(D25="","",""&amp;D25)&amp;")"&amp;", Name="&amp;"""IX_"&amp;$B$7&amp;"_"&amp;D25&amp;""")]")</f>
        <v/>
      </c>
      <c r="M25" t="str">
        <f t="shared" si="11"/>
        <v xml:space="preserve">		public virtual DateTime? BoothDate { get; set; }
</v>
      </c>
      <c r="N25" t="str">
        <f t="shared" si="12"/>
        <v xml:space="preserve">		public virtual DateTime? BoothDate { get; set; }
</v>
      </c>
      <c r="O25" t="str">
        <f t="shared" si="13"/>
        <v xml:space="preserve">		public virtual DateTime? BoothDate { get; set; }
</v>
      </c>
      <c r="P25" t="str">
        <f t="shared" si="14"/>
        <v xml:space="preserve">							BoothDate = o.BoothDate,</v>
      </c>
      <c r="T25" s="69" t="str">
        <f t="shared" si="15"/>
        <v xml:space="preserve">								("BoothDate"),</v>
      </c>
      <c r="V25" s="70" t="str">
        <f t="shared" si="16"/>
        <v xml:space="preserve">								_ =&gt; _.BoothDate,</v>
      </c>
      <c r="W25" s="69" t="str">
        <f t="shared" si="17"/>
        <v xml:space="preserve">				.WhereIf(input.BoothDate.HasValue, t =&gt; t.BoothDate == input.BoothDate.Value)</v>
      </c>
    </row>
    <row r="26" spans="1:23" customFormat="1" ht="21" customHeight="1" x14ac:dyDescent="0.25">
      <c r="A26" t="s">
        <v>291</v>
      </c>
      <c r="B26" t="s">
        <v>248</v>
      </c>
      <c r="C26" t="s">
        <v>1</v>
      </c>
      <c r="D26" t="str">
        <f t="shared" ref="D26:D27" si="26">SUBSTITUTE(PROPER(A26),"_","")</f>
        <v>FinishedDate</v>
      </c>
      <c r="E26" t="str">
        <f t="shared" si="0"/>
        <v>datetime2</v>
      </c>
      <c r="F26" s="7" t="s">
        <v>248</v>
      </c>
      <c r="G26" t="str">
        <f t="shared" si="1"/>
        <v>7</v>
      </c>
      <c r="H26" t="str">
        <f>+VLOOKUP(E26,'Data Type Mapping'!A:B,2,)</f>
        <v>DateTime</v>
      </c>
      <c r="I26" t="str">
        <f t="shared" si="2"/>
        <v/>
      </c>
      <c r="J26" t="str">
        <f t="shared" si="3"/>
        <v xml:space="preserve">		[Column(TypeName="datetime2(7)")]
		public virtual DateTime FinishedDate { get; set; }
</v>
      </c>
      <c r="K26" s="7"/>
      <c r="L26" t="str">
        <f t="shared" ref="L26:L27" si="27">IF(K26="","",REPT(CHAR(9),1)&amp;"[Index(nameof("&amp;IF(D26="","",""&amp;D26)&amp;")"&amp;", Name="&amp;"""IX_"&amp;$B$7&amp;"_"&amp;D26&amp;""")]")</f>
        <v/>
      </c>
      <c r="M26" t="str">
        <f t="shared" ref="M26:M29" si="28">REPT(CHAR(9),2)&amp;"public virtual "&amp;IF(OR(H26="DateTime",H26="TimeSpan"),H26&amp;"?",H26)&amp;IF(C26="?","? "," ")&amp;D26&amp;" { get; set; }" &amp; "
"</f>
        <v xml:space="preserve">		public virtual DateTime? FinishedDate { get; set; }
</v>
      </c>
      <c r="N26" t="str">
        <f t="shared" ref="N26:N29" si="29">IF(C26="Checked","",$I$3)&amp;IF(H26="string",REPT(CHAR(9),2)&amp;"[StringLength("&amp;$B$3&amp;"Consts.Max"&amp;D26&amp;"Length"&amp;")]"&amp;$E$3,"")&amp;REPT(CHAR(9),2)&amp;"public virtual "&amp;IF(OR(H26="DateTime",H26="TimeSpan"),H26&amp;"?",H26)&amp;IF(C26="?","? "," ")&amp;D26&amp;" { get; set; }" &amp; "
"</f>
        <v xml:space="preserve">		public virtual DateTime? FinishedDate { get; set; }
</v>
      </c>
      <c r="O26" t="str">
        <f t="shared" ref="O26:O29" si="30">IF(OR(H26="string",H26="DateTime",H26="int"),REPT(CHAR(9),2)&amp;"public virtual "&amp;IF(OR(H26="DateTime",H26="TimeSpan"),H26&amp;"?",H26)&amp;IF(C26="?","? "," ")&amp;D26&amp;" { get; set; }"&amp;$E$3,"")</f>
        <v xml:space="preserve">		public virtual DateTime? FinishedDate { get; set; }
</v>
      </c>
      <c r="P26" t="str">
        <f t="shared" si="4"/>
        <v xml:space="preserve">							FinishedDate = o.FinishedDate,</v>
      </c>
      <c r="T26" s="69" t="str">
        <f t="shared" ref="T26:T29" si="31">REPT(CHAR(9),8)&amp;"("""&amp;D26&amp;"""),"</f>
        <v xml:space="preserve">								("FinishedDate"),</v>
      </c>
      <c r="V26" s="70" t="str">
        <f t="shared" ref="V26:V29" si="32">REPT(CHAR(9),8)&amp;"_ =&gt; _."&amp;D26&amp;","</f>
        <v xml:space="preserve">								_ =&gt; _.FinishedDate,</v>
      </c>
      <c r="W26" s="69" t="str">
        <f t="shared" ref="W26:W29" si="33">IF(H26="string",REPT(CHAR(9),4)&amp;".WhereIf(!string.IsNullOrWhiteSpace(input."&amp;D26&amp;"), e =&gt; e."&amp;D26&amp;".Contains(input."&amp;D26&amp;"))",IF(H26="DateTime",REPT(CHAR(9),4)&amp;".WhereIf(input."&amp;D26&amp;".HasValue, t =&gt; t."&amp;D26&amp;" == input."&amp;D26&amp;".Value)",""))</f>
        <v xml:space="preserve">				.WhereIf(input.FinishedDate.HasValue, t =&gt; t.FinishedDate == input.FinishedDate.Value)</v>
      </c>
    </row>
    <row r="27" spans="1:23" customFormat="1" ht="18.75" customHeight="1" x14ac:dyDescent="0.25">
      <c r="A27" t="s">
        <v>292</v>
      </c>
      <c r="B27" t="s">
        <v>4</v>
      </c>
      <c r="C27" t="s">
        <v>1</v>
      </c>
      <c r="D27" t="str">
        <f t="shared" si="26"/>
        <v>ExtSeq</v>
      </c>
      <c r="E27" t="str">
        <f t="shared" si="0"/>
        <v>int</v>
      </c>
      <c r="F27" s="7"/>
      <c r="G27" t="str">
        <f t="shared" si="1"/>
        <v/>
      </c>
      <c r="H27" t="str">
        <f>+VLOOKUP(E27,'Data Type Mapping'!A:B,2,)</f>
        <v>int</v>
      </c>
      <c r="I27" t="str">
        <f t="shared" si="2"/>
        <v/>
      </c>
      <c r="J27" t="str">
        <f t="shared" si="3"/>
        <v xml:space="preserve">		public virtual int ExtSeq { get; set; }
</v>
      </c>
      <c r="K27" s="7"/>
      <c r="L27" t="str">
        <f t="shared" si="27"/>
        <v/>
      </c>
      <c r="M27" t="str">
        <f t="shared" si="28"/>
        <v xml:space="preserve">		public virtual int ExtSeq { get; set; }
</v>
      </c>
      <c r="N27" t="str">
        <f t="shared" si="29"/>
        <v xml:space="preserve">		public virtual int ExtSeq { get; set; }
</v>
      </c>
      <c r="O27" t="str">
        <f t="shared" si="30"/>
        <v xml:space="preserve">		public virtual int ExtSeq { get; set; }
</v>
      </c>
      <c r="P27" t="str">
        <f t="shared" si="4"/>
        <v xml:space="preserve">							ExtSeq = o.ExtSeq,</v>
      </c>
      <c r="T27" s="69" t="str">
        <f t="shared" si="31"/>
        <v xml:space="preserve">								("ExtSeq"),</v>
      </c>
      <c r="V27" s="70" t="str">
        <f t="shared" si="32"/>
        <v xml:space="preserve">								_ =&gt; _.ExtSeq,</v>
      </c>
      <c r="W27" s="69" t="str">
        <f t="shared" si="33"/>
        <v/>
      </c>
    </row>
    <row r="28" spans="1:23" customFormat="1" ht="22.5" customHeight="1" x14ac:dyDescent="0.25">
      <c r="A28" t="s">
        <v>293</v>
      </c>
      <c r="B28" t="s">
        <v>4</v>
      </c>
      <c r="C28" t="s">
        <v>1</v>
      </c>
      <c r="D28" t="str">
        <f>SUBSTITUTE(PROPER(A28),"_","")</f>
        <v>UnpSeq</v>
      </c>
      <c r="E28" t="str">
        <f t="shared" si="0"/>
        <v>int</v>
      </c>
      <c r="F28" s="7"/>
      <c r="G28" t="str">
        <f t="shared" si="1"/>
        <v/>
      </c>
      <c r="H28" t="str">
        <f>+VLOOKUP(E28,'Data Type Mapping'!A:B,2,)</f>
        <v>int</v>
      </c>
      <c r="I28" t="str">
        <f t="shared" si="2"/>
        <v/>
      </c>
      <c r="J28" t="str">
        <f t="shared" si="3"/>
        <v xml:space="preserve">		public virtual int UnpSeq { get; set; }
</v>
      </c>
      <c r="K28" s="7"/>
      <c r="L28" t="str">
        <f>IF(K28="","",REPT(CHAR(9),1)&amp;"[Index(nameof("&amp;IF(D28="","",""&amp;D28)&amp;")"&amp;", Name="&amp;"""IX_"&amp;$B$7&amp;"_"&amp;D28&amp;""")]")</f>
        <v/>
      </c>
      <c r="M28" t="str">
        <f t="shared" si="28"/>
        <v xml:space="preserve">		public virtual int UnpSeq { get; set; }
</v>
      </c>
      <c r="N28" t="str">
        <f t="shared" si="29"/>
        <v xml:space="preserve">		public virtual int UnpSeq { get; set; }
</v>
      </c>
      <c r="O28" t="str">
        <f t="shared" si="30"/>
        <v xml:space="preserve">		public virtual int UnpSeq { get; set; }
</v>
      </c>
      <c r="P28" t="str">
        <f t="shared" si="4"/>
        <v xml:space="preserve">							UnpSeq = o.UnpSeq,</v>
      </c>
      <c r="T28" s="69" t="str">
        <f t="shared" si="31"/>
        <v xml:space="preserve">								("UnpSeq"),</v>
      </c>
      <c r="V28" s="70" t="str">
        <f t="shared" si="32"/>
        <v xml:space="preserve">								_ =&gt; _.UnpSeq,</v>
      </c>
      <c r="W28" s="69" t="str">
        <f t="shared" si="33"/>
        <v/>
      </c>
    </row>
    <row r="29" spans="1:23" customFormat="1" ht="21" customHeight="1" x14ac:dyDescent="0.25">
      <c r="A29" t="s">
        <v>294</v>
      </c>
      <c r="B29" t="s">
        <v>295</v>
      </c>
      <c r="C29" t="s">
        <v>1</v>
      </c>
      <c r="D29" t="str">
        <f t="shared" ref="D29" si="34">SUBSTITUTE(PROPER(A29),"_","")</f>
        <v>IsActive</v>
      </c>
      <c r="E29" t="str">
        <f t="shared" si="0"/>
        <v>varchar</v>
      </c>
      <c r="F29" s="7"/>
      <c r="G29" t="str">
        <f t="shared" si="1"/>
        <v>1</v>
      </c>
      <c r="H29" t="str">
        <f>+VLOOKUP(E29,'Data Type Mapping'!A:B,2,)</f>
        <v>string</v>
      </c>
      <c r="I29" t="str">
        <f t="shared" si="2"/>
        <v xml:space="preserve">		public const int MaxIsActiveLength = 1;
</v>
      </c>
      <c r="J29" t="str">
        <f t="shared" si="3"/>
        <v xml:space="preserve">		[StringLength(MaxIsActiveLength)]
		public virtual string IsActive { get; set; }
</v>
      </c>
      <c r="K29" s="7"/>
      <c r="L29" t="str">
        <f t="shared" ref="L29" si="35">IF(K29="","",REPT(CHAR(9),1)&amp;"[Index(nameof("&amp;IF(D29="","",""&amp;D29)&amp;")"&amp;", Name="&amp;"""IX_"&amp;$B$7&amp;"_"&amp;D29&amp;""")]")</f>
        <v/>
      </c>
      <c r="M29" t="str">
        <f t="shared" si="28"/>
        <v xml:space="preserve">		public virtual string IsActive { get; set; }
</v>
      </c>
      <c r="N29" t="str">
        <f t="shared" si="29"/>
        <v xml:space="preserve">		[StringLength(PtsAdoBumperConsts.MaxIsActiveLength)]
		public virtual string IsActive { get; set; }
</v>
      </c>
      <c r="O29" t="str">
        <f t="shared" si="30"/>
        <v xml:space="preserve">		public virtual string IsActive { get; set; }
</v>
      </c>
      <c r="P29" t="str">
        <f t="shared" si="4"/>
        <v xml:space="preserve">							IsActive = o.IsActive,</v>
      </c>
      <c r="T29" s="69" t="str">
        <f t="shared" si="31"/>
        <v xml:space="preserve">								("IsActive"),</v>
      </c>
      <c r="V29" s="70" t="str">
        <f t="shared" si="32"/>
        <v xml:space="preserve">								_ =&gt; _.IsActive,</v>
      </c>
      <c r="W29" s="69" t="str">
        <f t="shared" si="33"/>
        <v xml:space="preserve">				.WhereIf(!string.IsNullOrWhiteSpace(input.IsActive), e =&gt; e.IsActive.Contains(input.IsActive))</v>
      </c>
    </row>
    <row r="31" spans="1:23" ht="45.75" customHeight="1" x14ac:dyDescent="0.25">
      <c r="H31" s="12"/>
      <c r="I31" s="34" t="str">
        <f ca="1">TEXTJOIN2("
", TRUE,INDIRECT( $H$1):INDIRECT( $H$3))</f>
        <v xml:space="preserve">		public const int MaxModelLength = 50;
		public const int MaxGradeLength = 50;
		public const int MaxBodyNoLength = 50;
		public const int MaxLotNoLength = 50;
		public const int MaxColorLength = 50;
		public const int MaxIsActiveLength = 1;
</v>
      </c>
      <c r="J31" s="33" t="str">
        <f ca="1">TEXTJOIN2("
", TRUE,INDIRECT( $F$1):INDIRECT( $F$3))</f>
        <v xml:space="preserve">		public virtual long WipId { get; set; }
		[StringLength(MaxModelLength)]
		public virtual string Model { get; set; }
		[StringLength(MaxGradeLength)]
		public virtual string Grade { get; set; }
		[StringLength(MaxBodyNoLength)]
		public virtual string BodyNo { get; set; }
		[StringLength(MaxLotNoLength)]
		public virtual string LotNo { get; set; }
		public virtual int NoInLot { get; set; }
		[StringLength(MaxColorLength)]
		public virtual string Color { get; set; }
		public virtual int BumperStatus { get; set; }
		[Column(TypeName="datetime2(7)")]
		public virtual DateTime InitialDate { get; set; }
		[Column(TypeName="datetime2(7)")]
		public virtual DateTime I1Date { get; set; }
		[Column(TypeName="datetime2(7)")]
		public virtual DateTime I2Date { get; set; }
		[Column(TypeName="datetime2(7)")]
		public virtual DateTime InlInDate { get; set; }
		[Column(TypeName="datetime2(7)")]
		public virtual DateTime InlOutDate { get; set; }
		[Column(TypeName="datetime2(7)")]
		public virtual DateTime PreparationDate { get; set; }
		[Column(TypeName="datetime2(7)")]
		public virtual DateTime UnpackingDate { get; set; }
		[Column(TypeName="datetime2(7)")]
		public virtual DateTime JigSettingDate { get; set; }
		[Column(TypeName="datetime2(7)")]
		public virtual DateTime BoothDate { get; set; }
		[Column(TypeName="datetime2(7)")]
		public virtual DateTime FinishedDate { get; set; }
		public virtual int ExtSeq { get; set; }
		public virtual int UnpSeq { get; set; }
		[StringLength(MaxIsActiveLength)]
		public virtual string IsActive { get; set; }
</v>
      </c>
      <c r="K31" s="35" t="str">
        <f ca="1">TEXTJOIN2("
", TRUE,INDIRECT( $J$1):INDIRECT( $J$3))</f>
        <v xml:space="preserve">	[Index(nameof(WipId), Name="IX_PtsAdoBumper_WipId")]
	[Index(nameof(BodyNo), Name="IX_PtsAdoBumper_BodyNo")]
	[Index(nameof(LotNo), Name="IX_PtsAdoBumper_LotNo")]
	[Index(nameof(NoInLot), Name="IX_PtsAdoBumper_NoInLot")]
	[Index(nameof(BumperStatus), Name="IX_PtsAdoBumper_BumperStatus")]
</v>
      </c>
      <c r="L31" s="13" t="s">
        <v>60</v>
      </c>
      <c r="M31" s="36" t="str">
        <f ca="1">TEXTJOIN2("
",TRUE,INDIRECT( $L$1):INDIRECT($L$3))</f>
        <v xml:space="preserve">		public virtual long WipId { get; set; }
		public virtual string Model { get; set; }
		public virtual string Grade { get; set; }
		public virtual string BodyNo { get; set; }
		public virtual string LotNo { get; set; }
		public virtual int NoInLot { get; set; }
		public virtual string Color { get; set; }
		public virtual int BumperStatus { get; set; }
		public virtual DateTime? InitialDate { get; set; }
		public virtual DateTime? I1Date { get; set; }
		public virtual DateTime? I2Date { get; set; }
		public virtual DateTime? InlInDate { get; set; }
		public virtual DateTime? InlOutDate { get; set; }
		public virtual DateTime? PreparationDate { get; set; }
		public virtual DateTime? UnpackingDate { get; set; }
		public virtual DateTime? JigSettingDate { get; set; }
		public virtual DateTime? BoothDate { get; set; }
		public virtual DateTime? FinishedDate { get; set; }
		public virtual int ExtSeq { get; set; }
		public virtual int UnpSeq { get; set; }
		public virtual string IsActive { get; set; }
</v>
      </c>
      <c r="N31" s="33" t="str">
        <f ca="1">TEXTJOIN2("
",TRUE,INDIRECT( $M$1):INDIRECT($M$3))</f>
        <v xml:space="preserve">		public virtual long WipId { get; set; }
		[StringLength(PtsAdoBumperConsts.MaxModelLength)]
		public virtual string Model { get; set; }
		[StringLength(PtsAdoBumperConsts.MaxGradeLength)]
		public virtual string Grade { get; set; }
		[StringLength(PtsAdoBumperConsts.MaxBodyNoLength)]
		public virtual string BodyNo { get; set; }
		[StringLength(PtsAdoBumperConsts.MaxLotNoLength)]
		public virtual string LotNo { get; set; }
		public virtual int NoInLot { get; set; }
		[StringLength(PtsAdoBumperConsts.MaxColorLength)]
		public virtual string Color { get; set; }
		public virtual int BumperStatus { get; set; }
		public virtual DateTime? InitialDate { get; set; }
		public virtual DateTime? I1Date { get; set; }
		public virtual DateTime? I2Date { get; set; }
		public virtual DateTime? InlInDate { get; set; }
		public virtual DateTime? InlOutDate { get; set; }
		public virtual DateTime? PreparationDate { get; set; }
		public virtual DateTime? UnpackingDate { get; set; }
		public virtual DateTime? JigSettingDate { get; set; }
		public virtual DateTime? BoothDate { get; set; }
		public virtual DateTime? FinishedDate { get; set; }
		public virtual int ExtSeq { get; set; }
		public virtual int UnpSeq { get; set; }
		[StringLength(PtsAdoBumperConsts.MaxIsActiveLength)]
		public virtual string IsActive { get; set; }
</v>
      </c>
      <c r="O31" s="33" t="str">
        <f ca="1">TEXTJOIN2("
",TRUE,INDIRECT( $N$1):INDIRECT($N$3))</f>
        <v xml:space="preserve">		public virtual string Model { get; set; }
		public virtual string Grade { get; set; }
		public virtual string BodyNo { get; set; }
		public virtual string LotNo { get; set; }
		public virtual int NoInLot { get; set; }
		public virtual string Color { get; set; }
		public virtual int BumperStatus { get; set; }
		public virtual DateTime? InitialDate { get; set; }
		public virtual DateTime? I1Date { get; set; }
		public virtual DateTime? I2Date { get; set; }
		public virtual DateTime? InlInDate { get; set; }
		public virtual DateTime? InlOutDate { get; set; }
		public virtual DateTime? PreparationDate { get; set; }
		public virtual DateTime? UnpackingDate { get; set; }
		public virtual DateTime? JigSettingDate { get; set; }
		public virtual DateTime? BoothDate { get; set; }
		public virtual DateTime? FinishedDate { get; set; }
		public virtual int ExtSeq { get; set; }
		public virtual int UnpSeq { get; set; }
		public virtual string IsActive { get; set; }
</v>
      </c>
      <c r="P31" s="9" t="str">
        <f ca="1">TEXTJOIN2("
",TRUE,INDIRECT( $O$1):INDIRECT($O$3))</f>
        <v xml:space="preserve">							WipId = o.WipId,
							Model = o.Model,
							Grade = o.Grade,
							BodyNo = o.BodyNo,
							LotNo = o.LotNo,
							NoInLot = o.NoInLot,
							Color = o.Color,
							BumperStatus = o.BumperStatus,
							InitialDate = o.InitialDate,
							I1Date = o.I1Date,
							I2Date = o.I2Date,
							InlInDate = o.InlInDate,
							InlOutDate = o.InlOutDate,
							PreparationDate = o.PreparationDate,
							UnpackingDate = o.UnpackingDate,
							JigSettingDate = o.JigSettingDate,
							BoothDate = o.BoothDate,
							FinishedDate = o.FinishedDate,
							ExtSeq = o.ExtSeq,
							UnpSeq = o.UnpSeq,
							IsActive = o.IsActive,</v>
      </c>
      <c r="T31" s="9" t="str">
        <f ca="1">TEXTJOIN2("
",TRUE,INDIRECT( $T$2):INDIRECT($T$3))</f>
        <v xml:space="preserve">								("WipId"),
								("Model"),
								("Grade"),
								("BodyNo"),
								("LotNo"),
								("NoInLot"),
								("Color"),
								("BumperStatus"),
								("InitialDate"),
								("I1Date"),
								("I2Date"),
								("InlInDate"),
								("InlOutDate"),
								("PreparationDate"),
								("UnpackingDate"),
								("JigSettingDate"),
								("BoothDate"),
								("FinishedDate"),
								("ExtSeq"),
								("UnpSeq"),
								("IsActive"),</v>
      </c>
      <c r="V31" s="9" t="str">
        <f ca="1">TEXTJOIN2("
",TRUE,INDIRECT( $V$2):INDIRECT($V$3))</f>
        <v xml:space="preserve">								_ =&gt; _.WipId,
								_ =&gt; _.Model,
								_ =&gt; _.Grade,
								_ =&gt; _.BodyNo,
								_ =&gt; _.LotNo,
								_ =&gt; _.NoInLot,
								_ =&gt; _.Color,
								_ =&gt; _.BumperStatus,
								_ =&gt; _.InitialDate,
								_ =&gt; _.I1Date,
								_ =&gt; _.I2Date,
								_ =&gt; _.InlInDate,
								_ =&gt; _.InlOutDate,
								_ =&gt; _.PreparationDate,
								_ =&gt; _.UnpackingDate,
								_ =&gt; _.JigSettingDate,
								_ =&gt; _.BoothDate,
								_ =&gt; _.FinishedDate,
								_ =&gt; _.ExtSeq,
								_ =&gt; _.UnpSeq,
								_ =&gt; _.IsActive,</v>
      </c>
      <c r="W31" s="9" t="str">
        <f ca="1">TEXTJOIN2("
",TRUE,INDIRECT( $W$2):INDIRECT($W$3))</f>
        <v xml:space="preserve">				.WhereIf(!string.IsNullOrWhiteSpace(input.Model), e =&gt; e.Model.Contains(input.Model))
				.WhereIf(!string.IsNullOrWhiteSpace(input.Grade), e =&gt; e.Grade.Contains(input.Grade))
				.WhereIf(!string.IsNullOrWhiteSpace(input.BodyNo), e =&gt; e.BodyNo.Contains(input.BodyNo))
				.WhereIf(!string.IsNullOrWhiteSpace(input.LotNo), e =&gt; e.LotNo.Contains(input.LotNo))
				.WhereIf(!string.IsNullOrWhiteSpace(input.Color), e =&gt; e.Color.Contains(input.Color))
				.WhereIf(input.InitialDate.HasValue, t =&gt; t.InitialDate == input.InitialDate.Value)
				.WhereIf(input.I1Date.HasValue, t =&gt; t.I1Date == input.I1Date.Value)
				.WhereIf(input.I2Date.HasValue, t =&gt; t.I2Date == input.I2Date.Value)
				.WhereIf(input.InlInDate.HasValue, t =&gt; t.InlInDate == input.InlInDate.Value)
				.WhereIf(input.InlOutDate.HasValue, t =&gt; t.InlOutDate == input.InlOutDate.Value)
				.WhereIf(input.PreparationDate.HasValue, t =&gt; t.PreparationDate == input.PreparationDate.Value)
				.WhereIf(input.UnpackingDate.HasValue, t =&gt; t.UnpackingDate == input.UnpackingDate.Value)
				.WhereIf(input.JigSettingDate.HasValue, t =&gt; t.JigSettingDate == input.JigSettingDate.Value)
				.WhereIf(input.BoothDate.HasValue, t =&gt; t.BoothDate == input.BoothDate.Value)
				.WhereIf(input.FinishedDate.HasValue, t =&gt; t.FinishedDate == input.FinishedDate.Value)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8"/>
  <sheetViews>
    <sheetView workbookViewId="0">
      <selection activeCell="A26" sqref="A26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297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Painting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painting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Andon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andon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PtsAdoBumper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Bumper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bumper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271</v>
      </c>
      <c r="I9" s="46" t="s">
        <v>272</v>
      </c>
      <c r="J9" s="45" t="s">
        <v>219</v>
      </c>
      <c r="K9" s="47" t="s">
        <v>258</v>
      </c>
      <c r="L9" s="46" t="s">
        <v>262</v>
      </c>
      <c r="M9" s="45" t="s">
        <v>251</v>
      </c>
      <c r="N9" s="45" t="s">
        <v>220</v>
      </c>
      <c r="O9" s="45" t="s">
        <v>221</v>
      </c>
      <c r="P9" s="46" t="s">
        <v>223</v>
      </c>
      <c r="Q9" s="45" t="s">
        <v>252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PtsAdoBumperDto, PtsAdoBumperServiceProxy } from '@shared/service-proxies/service-proxies';
import { finalize } from 'rxjs/internal/operators/finalize';
import { CreateOrEditBumperModalComponent } from './create-or-edit-bumper-modal.component';
import { DatePipe } from '@angular/common';
import { FileDownloadService } from '@shared/utils/file-download.service';
import ceil from 'lodash-es/ceil';
import { Paginator } from 'primeng/paginator';
@Component({
    templateUrl: './bumper.component.html',
    styleUrls: ['./bumper.component.less'],
})
export class BumperComponent extends AppComponentBase implements OnInit {
    @ViewChild('createOrEditModalBumper', { static: true }) createOrEditModalBumper:| CreateOrEditBumperModalComponent|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PtsAdoBumperDto = new PtsAdoBumperDto();
    saveSelectedRow: PtsAdoBumperDto = new PtsAdoBumperDto();
    datas: PtsAdoBumperDto = new PtsAdoBumperDto();
    isLoading: boolean = false;
    dataParams: GridParams | undefined;
    rowData: any[] = [];
    gridApi!: GridApi;
    rowSelection = 'multiple';
    filter: string = '';
	pipe = new DatePipe('en-US');
	frameworkComponents: FrameworkComponent;
    wipId
	model : string = '' ; 
	grade : string = '' ; 
	bodyNo : string = '' ; 
	lotNo : string = '' ; 
	noInLot : number = 0 ;
	color : string = '' ; 
	bumperStatus : number = 0 ;
	initialDate : any ;
	i1Date : any ;
	i2Date : any ;
	inlInDate : any ;
	inlOutDate : any ;
	preparationDate : any ;
	unpackingDate : any ;
	jigSettingDate : any ;
	boothDate : any ;
	finishedDate : any ;
	extSeq : number = 0 ;
	unpSeq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PtsAdoBumperServiceProxy,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this.l('Wip Id'),headerTooltip: this.l('Wip Id'),field: 'wipId',flex: 1},
			{headerName: this.l('Model'),headerTooltip: this.l('Model'),field: 'model',flex: 1},
			{headerName: this.l('Grade'),headerTooltip: this.l('Grade'),field: 'grade',flex: 1},
			{headerName: this.l('Body No'),headerTooltip: this.l('Body No'),field: 'bodyNo',flex: 1},
			{headerName: this.l('Lot No'),headerTooltip: this.l('Lot No'),field: 'lotNo',flex: 1},
			{headerName: this.l('No In Lot'),headerTooltip: this.l('No In Lot'),field: 'noInLot',flex: 1},
			{headerName: this.l('Color'),headerTooltip: this.l('Color'),field: 'color',flex: 1},
			{headerName: this.l('Bumper Status'),headerTooltip: this.l('Bumper Status'),field: 'bumperStatus',flex: 1},
			{headerName: this.l('Initial Date'),headerTooltip: this.l('Initial Date'),field: 'initialDate',valueGetter: (params) =&gt; this.pipe.transform(params.data?.initialDate, 'dd/MM/yyyy'),flex: 1},
			{headerName: this.l('I1 Date'),headerTooltip: this.l('I1 Date'),field: 'i1Date',valueGetter: (params) =&gt; this.pipe.transform(params.data?.i1Date, 'dd/MM/yyyy'),flex: 1},
			{headerName: this.l('I2 Date'),headerTooltip: this.l('I2 Date'),field: 'i2Date',valueGetter: (params) =&gt; this.pipe.transform(params.data?.i2Date, 'dd/MM/yyyy'),flex: 1},
			{headerName: this.l('Inl In Date'),headerTooltip: this.l('Inl In Date'),field: 'inlInDate',valueGetter: (params) =&gt; this.pipe.transform(params.data?.inlInDate, 'dd/MM/yyyy'),flex: 1},
			{headerName: this.l('Inl Out Date'),headerTooltip: this.l('Inl Out Date'),field: 'inlOutDate',valueGetter: (params) =&gt; this.pipe.transform(params.data?.inlOutDate, 'dd/MM/yyyy'),flex: 1},
			{headerName: this.l('Preparation Date'),headerTooltip: this.l('Preparation Date'),field: 'preparationDate',valueGetter: (params) =&gt; this.pipe.transform(params.data?.preparationDate, 'dd/MM/yyyy'),flex: 1},
			{headerName: this.l('Unpacking Date'),headerTooltip: this.l('Unpacking Date'),field: 'unpackingDate',valueGetter: (params) =&gt; this.pipe.transform(params.data?.unpackingDate, 'dd/MM/yyyy'),flex: 1},
			{headerName: this.l('Jig Setting Date'),headerTooltip: this.l('Jig Setting Date'),field: 'jigSettingDate',valueGetter: (params) =&gt; this.pipe.transform(params.data?.jigSettingDate, 'dd/MM/yyyy'),flex: 1},
			{headerName: this.l('Booth Date'),headerTooltip: this.l('Booth Date'),field: 'boothDate',valueGetter: (params) =&gt; this.pipe.transform(params.data?.boothDate, 'dd/MM/yyyy'),flex: 1},
			{headerName: this.l('Finished Date'),headerTooltip: this.l('Finished Date'),field: 'finishedDate',valueGetter: (params) =&gt; this.pipe.transform(params.data?.finishedDate, 'dd/MM/yyyy'),flex: 1},
			{headerName: this.l('Ext Seq'),headerTooltip: this.l('Ext Seq'),field: 'extSeq',flex: 1},
			{headerName: this.l('Unp Seq'),headerTooltip: this.l('Unp Seq'),field: 'unpSeq',flex: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this.wipId,
			this.model,
			this.grade,
			this.bodyNo,
			this.lotNo,
			this.noInLot,
			this.color,
			this.bumperStatus,
			this.initialDate,
			this.i1Date,
			this.i2Date,
			this.inlInDate,
			this.inlOutDate,
			this.preparationDate,
			this.unpackingDate,
			this.jigSettingDate,
			this.boothDate,
			this.finishedDate,
			this.extSeq,
			this.unpSeq,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this.wipId = '',
		this.model = '',
		this.grade = '',
		this.bodyNo = '',
		this.lotNo = '',
		this.noInLot = 0,
		this.color = '',
		this.bumperStatus = 0,
		this.initialDate = '',
		this.i1Date = '',
		this.i2Date = '',
		this.inlInDate = '',
		this.inlOutDate = '',
		this.preparationDate = '',
		this.unpackingDate = '',
		this.jigSettingDate = '',
		this.boothDate = '',
		this.finishedDate = '',
		this.extSeq = 0,
		this.unpSeq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this.wipId,
			this.model,
			this.grade,
			this.bodyNo,
			this.lotNo,
			this.noInLot,
			this.color,
			this.bumperStatus,
			this.initialDate,
			this.i1Date,
			this.i2Date,
			this.inlInDate,
			this.inlOutDate,
			this.preparationDate,
			this.unpackingDate,
			this.jigSettingDate,
			this.boothDate,
			this.finishedDate,
			this.extSeq,
			this.unpSeq,
			this.isActive,
			'',
            this.paginationParams.skipCount,
            this.paginationParams.pageSize
        );
    }
    onChangeRowSelection(params: { api: { getSelectedRows: () =&gt; PtsAdoBumperDto[] } }) {
        this.saveSelectedRow = params.api.getSelectedRows()[0] ?? new PtsAdoBumperDto();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PtsAdoBumperDto):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this._service.getBumperToExcel(
			this.wipId,
			this.model,
			this.grade,
			this.bodyNo,
			this.lotNo,
			this.noInLot,
			this.color,
			this.bumperStatus,
			this.initialDate,
			this.i1Date,
			this.i2Date,
			this.inlInDate,
			this.inlOutDate,
			this.preparationDate,
			this.unpackingDate,
			this.jigSettingDate,
			this.boothDate,
			this.finishedDate,
			this.extSeq,
			this.unpSeq,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Bumper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type='text' [placeholder]="l('Initial Date')" [(ngModel)]='initialDate' 
									name='initialDate'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[placeholder]="l('I1 Date')" [(ngModel)]='i1Date' 
									name='i1Date'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[placeholder]="l('I2 Date')" [(ngModel)]='i2Date' 
									name='i2Date'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[placeholder]="l('Inl In Date')" [(ngModel)]='inlInDate' 
									name='inlInDate'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[placeholder]="l('Inl Out Date')" [(ngModel)]='inlOutDate' 
									name='inlOutDate'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[placeholder]="l('Preparation Date')" [(ngModel)]='preparationDate' 
									name='preparationDate'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[placeholder]="l('Unpacking Date')" [(ngModel)]='unpackingDate' 
									name='unpackingDate'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[placeholder]="l('Jig Setting Date')" [(ngModel)]='jigSettingDate' 
									name='jigSettingDate'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[placeholder]="l('Booth Date')" [(ngModel)]='boothDate' 
									name='boothDate'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[placeholder]="l('Finished Date')" [(ngModel)]='finishedDate' 
									name='finishedDate'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(click)="createOrEditModalBumper.show()"&gt;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(click)="createOrEditModalBumper.show(selectedRow)"&gt;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&lt;create-or-edit-bumper-modal
    #createOrEditModalBumper
    (modalSave)="callBackDataGrid(dataParams)"
    (modalClose)="onChangeRowSelection(dataParams)"
&gt;
&lt;/create-or-edit-bumper-modal&gt;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#createOrEditModalBumper="bs-modal"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Bumper')}}&lt;/h3&gt;
                    &lt;h3 *ngIf="!rowdata.id"&gt;{{('Create New Bumper')}}&lt;/h3&gt;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title'&gt;Bumper Status&lt;/label&gt;
						&lt;input type='number' class='col-md-10 form-control input-text' name='BumperStatus' [(ngModel)]='rowdata.bumperStatus'&gt;
					&lt;/div&gt;
					&lt;div class='col-md-12 form-group row'&gt;
						&lt;label class='col-md-2 form-control title'&gt;Initial Date&lt;/label&gt;
						&lt;input type='text' class='col-md-10 form-control input-text' name='initialDate' 
						#datepicker='bsDatepicker' [(ngModel)]='rowdata.initialDate'  bsDatepicker &gt;
					&lt;/div&gt;
					&lt;div class='col-md-12 form-group row'&gt;
						&lt;label class='col-md-2 form-control title'&gt;I1 Date&lt;/label&gt;
						&lt;input type='text' class='col-md-10 form-control input-text' name='i1Date' 
						#datepicker='bsDatepicker' [(ngModel)]='rowdata.i1Date'  bsDatepicker &gt;
					&lt;/div&gt;
					&lt;div class='col-md-12 form-group row'&gt;
						&lt;label class='col-md-2 form-control title'&gt;I2 Date&lt;/label&gt;
						&lt;input type='text' class='col-md-10 form-control input-text' name='i2Date' 
						#datepicker='bsDatepicker' [(ngModel)]='rowdata.i2Date'  bsDatepicker &gt;
					&lt;/div&gt;
					&lt;div class='col-md-12 form-group row'&gt;
						&lt;label class='col-md-2 form-control title'&gt;Inl In Date&lt;/label&gt;
						&lt;input type='text' class='col-md-10 form-control input-text' name='inlInDate' 
						#datepicker='bsDatepicker' [(ngModel)]='rowdata.inlInDate'  bsDatepicker &gt;
					&lt;/div&gt;
					&lt;div class='col-md-12 form-group row'&gt;
						&lt;label class='col-md-2 form-control title'&gt;Inl Out Date&lt;/label&gt;
						&lt;input type='text' class='col-md-10 form-control input-text' name='inlOutDate' 
						#datepicker='bsDatepicker' [(ngModel)]='rowdata.inlOutDate'  bsDatepicker &gt;
					&lt;/div&gt;
					&lt;div class='col-md-12 form-group row'&gt;
						&lt;label class='col-md-2 form-control title'&gt;Preparation Date&lt;/label&gt;
						&lt;input type='text' class='col-md-10 form-control input-text' name='preparationDate' 
						#datepicker='bsDatepicker' [(ngModel)]='rowdata.preparationDate'  bsDatepicker &gt;
					&lt;/div&gt;
					&lt;div class='col-md-12 form-group row'&gt;
						&lt;label class='col-md-2 form-control title'&gt;Unpacking Date&lt;/label&gt;
						&lt;input type='text' class='col-md-10 form-control input-text' name='unpackingDate' 
						#datepicker='bsDatepicker' [(ngModel)]='rowdata.unpackingDate'  bsDatepicker &gt;
					&lt;/div&gt;
					&lt;div class='col-md-12 form-group row'&gt;
						&lt;label class='col-md-2 form-control title'&gt;Jig Setting Date&lt;/label&gt;
						&lt;input type='text' class='col-md-10 form-control input-text' name='jigSettingDate' 
						#datepicker='bsDatepicker' [(ngModel)]='rowdata.jigSettingDate'  bsDatepicker &gt;
					&lt;/div&gt;
					&lt;div class='col-md-12 form-group row'&gt;
						&lt;label class='col-md-2 form-control title'&gt;Booth Date&lt;/label&gt;
						&lt;input type='text' class='col-md-10 form-control input-text' name='boothDate' 
						#datepicker='bsDatepicker' [(ngModel)]='rowdata.boothDate'  bsDatepicker &gt;
					&lt;/div&gt;
					&lt;div class='col-md-12 form-group row'&gt;
						&lt;label class='col-md-2 form-control title'&gt;Finished Date&lt;/label&gt;
						&lt;input type='text' class='col-md-10 form-control input-text' name='finishedDate' 
						#datepicker='bsDatepicker' [(ngModel)]='rowdata.finishedDate'  bsDatepicker &gt;
					&lt;/div&gt;
					&lt;div class='col-md-12 form-group row'&gt;
						&lt;label class='col-md-2 form-control title'&gt;Ext Seq&lt;/label&gt;
						&lt;input type='number' class='col-md-10 form-control input-text' name='ExtSeq' [(ngModel)]='rowdata.extSeq'&gt;
					&lt;/div&gt;
					&lt;div class='col-md-12 form-group row'&gt;
						&lt;label class='col-md-2 form-control title'&gt;Unp Seq&lt;/label&gt;
						&lt;input type='number' class='col-md-10 form-control input-text' name='UnpSeq' [(ngModel)]='rowdata.unpSeq'&gt;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CreateOrEditPtsAdoBumperDto, PtsAdoBumperServiceProxy } from '@shared/service-proxies/service-proxies';
import { BsDatepickerDirective } from 'ngx-bootstrap/datepicker';
@Component({
    selector: 'create-or-edit-bumper-modal',
    templateUrl: './create-or-edit-bumper-modal.component.html',
    styleUrls: ['./create-or-edit-bumper-modal.component.less']
    })
export class CreateOrEditBumperModalComponent extends AppComponentBase {
    @ViewChild('createOrEditModalBumper',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CreateOrEditPtsAdoBumperDto = new CreateOrEditPtsAdoBumperDto();
    active: boolean = false;
    saving: boolean = false;
    _isActive: boolean;
    constructor(
        injector: Injector,
        private _mstwptBumperService: PtsAdoBumperServiceProxy,
    ) 
    {
        super(injector);
    }
    show(rowdata?: CreateOrEditPtsAdoBumperDto): void {
        if (!rowdata) this.rowdata = new CreateOrEditPtsAdoBumperDto();
        else this.rowdata = rowdata;
		const dateValue =  this.rowdata.initialDate ? new Date(this.rowdata.initialDate?.toString()) : new Date();
		this.datepicker?.bsValueChange.emit(dateValue);
		const dateValue =  this.rowdata.i1Date ? new Date(this.rowdata.i1Date?.toString()) : new Date();
		this.datepicker?.bsValueChange.emit(dateValue);
		const dateValue =  this.rowdata.i2Date ? new Date(this.rowdata.i2Date?.toString()) : new Date();
		this.datepicker?.bsValueChange.emit(dateValue);
		const dateValue =  this.rowdata.inlInDate ? new Date(this.rowdata.inlInDate?.toString()) : new Date();
		this.datepicker?.bsValueChange.emit(dateValue);
		const dateValue =  this.rowdata.inlOutDate ? new Date(this.rowdata.inlOutDate?.toString()) : new Date();
		this.datepicker?.bsValueChange.emit(dateValue);
		const dateValue =  this.rowdata.preparationDate ? new Date(this.rowdata.preparationDate?.toString()) : new Date();
		this.datepicker?.bsValueChange.emit(dateValue);
		const dateValue =  this.rowdata.unpackingDate ? new Date(this.rowdata.unpackingDate?.toString()) : new Date();
		this.datepicker?.bsValueChange.emit(dateValue);
		const dateValue =  this.rowdata.jigSettingDate ? new Date(this.rowdata.jigSettingDate?.toString()) : new Date();
		this.datepicker?.bsValueChange.emit(dateValue);
		const dateValue =  this.rowdata.boothDate ? new Date(this.rowdata.boothDate?.toString()) : new Date();
		this.datepicker?.bsValueChange.emit(dateValue);
		const dateValue =  this.rowdata.finishedDate ? new Date(this.rowdata.finishedDate?.toString())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this._mstwptBumperService.createOrEdit(this.rowdata)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BumperRoutingModule } from './bumper-routing.module';
import { BumperComponent } from './bumper.component';
import { CreateOrEditBumperModalComponent } from './create-or-edit-bumper-modal.component';
@NgModule({
    declarations: [
       BumperComponent, 
        CreateOrEditBumperModalComponent
    ],
    imports: [
        AppSharedModule, BumperRoutingModule]
})
export class BumperModule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BumperComponent } from './bumper.component';
const routes: Routes = [{
    path: '',
    component: BumperComponent,
    pathMatch: 'full'
}];
@NgModule({
    imports: [RouterModule.forChild(routes)],
    exports: [RouterModule],
})
export class BumperRoutingModule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AppMenuItem("Bumper", "Pages.Painting.Andon.Bumper", "flaticon-book",   "/app/main/painting/andon/bumper"),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'painting/andon/bumper',
    loadChildren: () =&gt; import('./painting/andon/bumper/bumper.module').then(m =&gt; m.BumperModule),
    data: { permission: 'Pages.Painting.Andon.Bumper' }
},</v>
      </c>
      <c r="R10" s="50" t="str">
        <f>SUBSTITUTE(R9,"MstWptCalendar",$B$6)</f>
        <v>ApiServiceProxies.PtsAdoBumperServiceProxy,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250</v>
      </c>
      <c r="I11" s="31" t="s">
        <v>263</v>
      </c>
      <c r="J11" s="31"/>
      <c r="K11" s="31" t="s">
        <v>261</v>
      </c>
      <c r="L11" s="31" t="s">
        <v>264</v>
      </c>
      <c r="M11" s="38"/>
      <c r="N11" s="31"/>
      <c r="O11" s="31"/>
      <c r="P11" s="31"/>
      <c r="Q11" s="31"/>
      <c r="R11" s="31"/>
      <c r="S11" s="31" t="s">
        <v>255</v>
      </c>
      <c r="T11" s="31" t="s">
        <v>256</v>
      </c>
      <c r="U11" s="31" t="s">
        <v>265</v>
      </c>
      <c r="V11" s="71" t="s">
        <v>267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H35</v>
      </c>
      <c r="I12" s="31" t="str">
        <f>"I"&amp;COUNTA($A:$A)</f>
        <v>I35</v>
      </c>
      <c r="J12" s="31"/>
      <c r="K12" s="31" t="str">
        <f>"K"&amp;COUNTA($A:$A)</f>
        <v>K35</v>
      </c>
      <c r="L12" s="31" t="str">
        <f>"L"&amp;COUNTA($A:$A)</f>
        <v>L35</v>
      </c>
      <c r="M12" s="31"/>
      <c r="N12" s="31"/>
      <c r="O12" s="31"/>
      <c r="P12" s="31"/>
      <c r="Q12" s="31"/>
      <c r="R12" s="31"/>
      <c r="S12" s="31" t="str">
        <f>"S"&amp;COUNTA($A:$A)</f>
        <v>S35</v>
      </c>
      <c r="T12" s="31" t="str">
        <f>"T"&amp;COUNTA($A:$A)</f>
        <v>T35</v>
      </c>
      <c r="U12" s="31" t="str">
        <f>"U"&amp;COUNTA($A:$A)</f>
        <v>U35</v>
      </c>
      <c r="V12" s="31" t="str">
        <f>"V"&amp;COUNTA($A:$A)</f>
        <v>V35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this.l('Wip Id'),headerTooltip: this.l('Wip Id'),field: 'wipId',flex: 1},
			{headerName: this.l('Model'),headerTooltip: this.l('Model'),field: 'model',flex: 1},
			{headerName: this.l('Grade'),headerTooltip: this.l('Grade'),field: 'grade',flex: 1},
			{headerName: this.l('Body No'),headerTooltip: this.l('Body No'),field: 'bodyNo',flex: 1},
			{headerName: this.l('Lot No'),headerTooltip: this.l('Lot No'),field: 'lotNo',flex: 1},
			{headerName: this.l('No In Lot'),headerTooltip: this.l('No In Lot'),field: 'noInLot',flex: 1},
			{headerName: this.l('Color'),headerTooltip: this.l('Color'),field: 'color',flex: 1},
			{headerName: this.l('Bumper Status'),headerTooltip: this.l('Bumper Status'),field: 'bumperStatus',flex: 1},
			{headerName: this.l('Initial Date'),headerTooltip: this.l('Initial Date'),field: 'initialDate',valueGetter: (params) =&gt; this.pipe.transform(params.data?.initialDate, 'dd/MM/yyyy'),flex: 1},
			{headerName: this.l('I1 Date'),headerTooltip: this.l('I1 Date'),field: 'i1Date',valueGetter: (params) =&gt; this.pipe.transform(params.data?.i1Date, 'dd/MM/yyyy'),flex: 1},
			{headerName: this.l('I2 Date'),headerTooltip: this.l('I2 Date'),field: 'i2Date',valueGetter: (params) =&gt; this.pipe.transform(params.data?.i2Date, 'dd/MM/yyyy'),flex: 1},
			{headerName: this.l('Inl In Date'),headerTooltip: this.l('Inl In Date'),field: 'inlInDate',valueGetter: (params) =&gt; this.pipe.transform(params.data?.inlInDate, 'dd/MM/yyyy'),flex: 1},
			{headerName: this.l('Inl Out Date'),headerTooltip: this.l('Inl Out Date'),field: 'inlOutDate',valueGetter: (params) =&gt; this.pipe.transform(params.data?.inlOutDate, 'dd/MM/yyyy'),flex: 1},
			{headerName: this.l('Preparation Date'),headerTooltip: this.l('Preparation Date'),field: 'preparationDate',valueGetter: (params) =&gt; this.pipe.transform(params.data?.preparationDate, 'dd/MM/yyyy'),flex: 1},
			{headerName: this.l('Unpacking Date'),headerTooltip: this.l('Unpacking Date'),field: 'unpackingDate',valueGetter: (params) =&gt; this.pipe.transform(params.data?.unpackingDate, 'dd/MM/yyyy'),flex: 1},
			{headerName: this.l('Jig Setting Date'),headerTooltip: this.l('Jig Setting Date'),field: 'jigSettingDate',valueGetter: (params) =&gt; this.pipe.transform(params.data?.jigSettingDate, 'dd/MM/yyyy'),flex: 1},
			{headerName: this.l('Booth Date'),headerTooltip: this.l('Booth Date'),field: 'boothDate',valueGetter: (params) =&gt; this.pipe.transform(params.data?.boothDate, 'dd/MM/yyyy'),flex: 1},
			{headerName: this.l('Finished Date'),headerTooltip: this.l('Finished Date'),field: 'finishedDate',valueGetter: (params) =&gt; this.pipe.transform(params.data?.finishedDate, 'dd/MM/yyyy'),flex: 1},
			{headerName: this.l('Ext Seq'),headerTooltip: this.l('Ext Seq'),field: 'extSeq',flex: 1},
			{headerName: this.l('Unp Seq'),headerTooltip: this.l('Unp Seq'),field: 'unpSeq',flex: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type='text' [placeholder]="l('Initial Date')" [(ngModel)]='initialDate' 
									name='initialDate'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[placeholder]="l('I1 Date')" [(ngModel)]='i1Date' 
									name='i1Date'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[placeholder]="l('I2 Date')" [(ngModel)]='i2Date' 
									name='i2Date'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[placeholder]="l('Inl In Date')" [(ngModel)]='inlInDate' 
									name='inlInDate'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[placeholder]="l('Inl Out Date')" [(ngModel)]='inlOutDate' 
									name='inlOutDate'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[placeholder]="l('Preparation Date')" [(ngModel)]='preparationDate' 
									name='preparationDate'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[placeholder]="l('Unpacking Date')" [(ngModel)]='unpackingDate' 
									name='unpackingDate'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[placeholder]="l('Jig Setting Date')" [(ngModel)]='jigSettingDate' 
									name='jigSettingDate'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[placeholder]="l('Booth Date')" [(ngModel)]='boothDate' 
									name='boothDate'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[placeholder]="l('Finished Date')" [(ngModel)]='finishedDate' 
									name='finishedDate'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title'&gt;Bumper Status&lt;/label&gt;
						&lt;input type='number' class='col-md-10 form-control input-text' name='BumperStatus' [(ngModel)]='rowdata.bumperStatus'&gt;
					&lt;/div&gt;
					&lt;div class='col-md-12 form-group row'&gt;
						&lt;label class='col-md-2 form-control title'&gt;Initial Date&lt;/label&gt;
						&lt;input type='text' class='col-md-10 form-control input-text' name='initialDate' 
						#datepicker='bsDatepicker' [(ngModel)]='rowdata.initialDate'  bsDatepicker &gt;
					&lt;/div&gt;
					&lt;div class='col-md-12 form-group row'&gt;
						&lt;label class='col-md-2 form-control title'&gt;I1 Date&lt;/label&gt;
						&lt;input type='text' class='col-md-10 form-control input-text' name='i1Date' 
						#datepicker='bsDatepicker' [(ngModel)]='rowdata.i1Date'  bsDatepicker &gt;
					&lt;/div&gt;
					&lt;div class='col-md-12 form-group row'&gt;
						&lt;label class='col-md-2 form-control title'&gt;I2 Date&lt;/label&gt;
						&lt;input type='text' class='col-md-10 form-control input-text' name='i2Date' 
						#datepicker='bsDatepicker' [(ngModel)]='rowdata.i2Date'  bsDatepicker &gt;
					&lt;/div&gt;
					&lt;div class='col-md-12 form-group row'&gt;
						&lt;label class='col-md-2 form-control title'&gt;Inl In Date&lt;/label&gt;
						&lt;input type='text' class='col-md-10 form-control input-text' name='inlInDate' 
						#datepicker='bsDatepicker' [(ngModel)]='rowdata.inlInDate'  bsDatepicker &gt;
					&lt;/div&gt;
					&lt;div class='col-md-12 form-group row'&gt;
						&lt;label class='col-md-2 form-control title'&gt;Inl Out Date&lt;/label&gt;
						&lt;input type='text' class='col-md-10 form-control input-text' name='inlOutDate' 
						#datepicker='bsDatepicker' [(ngModel)]='rowdata.inlOutDate'  bsDatepicker &gt;
					&lt;/div&gt;
					&lt;div class='col-md-12 form-group row'&gt;
						&lt;label class='col-md-2 form-control title'&gt;Preparation Date&lt;/label&gt;
						&lt;input type='text' class='col-md-10 form-control input-text' name='preparationDate' 
						#datepicker='bsDatepicker' [(ngModel)]='rowdata.preparationDate'  bsDatepicker &gt;
					&lt;/div&gt;
					&lt;div class='col-md-12 form-group row'&gt;
						&lt;label class='col-md-2 form-control title'&gt;Unpacking Date&lt;/label&gt;
						&lt;input type='text' class='col-md-10 form-control input-text' name='unpackingDate' 
						#datepicker='bsDatepicker' [(ngModel)]='rowdata.unpackingDate'  bsDatepicker &gt;
					&lt;/div&gt;
					&lt;div class='col-md-12 form-group row'&gt;
						&lt;label class='col-md-2 form-control title'&gt;Jig Setting Date&lt;/label&gt;
						&lt;input type='text' class='col-md-10 form-control input-text' name='jigSettingDate' 
						#datepicker='bsDatepicker' [(ngModel)]='rowdata.jigSettingDate'  bsDatepicker &gt;
					&lt;/div&gt;
					&lt;div class='col-md-12 form-group row'&gt;
						&lt;label class='col-md-2 form-control title'&gt;Booth Date&lt;/label&gt;
						&lt;input type='text' class='col-md-10 form-control input-text' name='boothDate' 
						#datepicker='bsDatepicker' [(ngModel)]='rowdata.boothDate'  bsDatepicker &gt;
					&lt;/div&gt;
					&lt;div class='col-md-12 form-group row'&gt;
						&lt;label class='col-md-2 form-control title'&gt;Finished Date&lt;/label&gt;
						&lt;input type='text' class='col-md-10 form-control input-text' name='finishedDate' 
						#datepicker='bsDatepicker' [(ngModel)]='rowdata.finishedDate'  bsDatepicker &gt;
					&lt;/div&gt;
					&lt;div class='col-md-12 form-group row'&gt;
						&lt;label class='col-md-2 form-control title'&gt;Ext Seq&lt;/label&gt;
						&lt;input type='number' class='col-md-10 form-control input-text' name='ExtSeq' [(ngModel)]='rowdata.extSeq'&gt;
					&lt;/div&gt;
					&lt;div class='col-md-12 form-group row'&gt;
						&lt;label class='col-md-2 form-control title'&gt;Unp Seq&lt;/label&gt;
						&lt;input type='number' class='col-md-10 form-control input-text' name='UnpSeq' [(ngModel)]='rowdata.unpSeq'&gt;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this.rowdata.initialDate ? new Date(this.rowdata.initialDate?.toString()) : new Date();
		this.datepicker?.bsValueChange.emit(dateValue);
		const dateValue =  this.rowdata.i1Date ? new Date(this.rowdata.i1Date?.toString()) : new Date();
		this.datepicker?.bsValueChange.emit(dateValue);
		const dateValue =  this.rowdata.i2Date ? new Date(this.rowdata.i2Date?.toString()) : new Date();
		this.datepicker?.bsValueChange.emit(dateValue);
		const dateValue =  this.rowdata.inlInDate ? new Date(this.rowdata.inlInDate?.toString()) : new Date();
		this.datepicker?.bsValueChange.emit(dateValue);
		const dateValue =  this.rowdata.inlOutDate ? new Date(this.rowdata.inlOutDate?.toString()) : new Date();
		this.datepicker?.bsValueChange.emit(dateValue);
		const dateValue =  this.rowdata.preparationDate ? new Date(this.rowdata.preparationDate?.toString()) : new Date();
		this.datepicker?.bsValueChange.emit(dateValue);
		const dateValue =  this.rowdata.unpackingDate ? new Date(this.rowdata.unpackingDate?.toString()) : new Date();
		this.datepicker?.bsValueChange.emit(dateValue);
		const dateValue =  this.rowdata.jigSettingDate ? new Date(this.rowdata.jigSettingDate?.toString()) : new Date();
		this.datepicker?.bsValueChange.emit(dateValue);
		const dateValue =  this.rowdata.boothDate ? new Date(this.rowdata.boothDate?.toString()) : new Date();
		this.datepicker?.bsValueChange.emit(dateValue);
		const dateValue =  this.rowdata.finishedDate ? new Date(this.rowdata.finishedDate?.toString())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wipId
	model : string = '' ; 
	grade : string = '' ; 
	bodyNo : string = '' ; 
	lotNo : string = '' ; 
	noInLot : number = 0 ;
	color : string = '' ; 
	bumperStatus : number = 0 ;
	initialDate : any ;
	i1Date : any ;
	i2Date : any ;
	inlInDate : any ;
	inlOutDate : any ;
	preparationDate : any ;
	unpackingDate : any ;
	jigSettingDate : any ;
	boothDate : any ;
	finishedDate : any ;
	extSeq : number = 0 ;
	unpSeq : number = 0 ;
	isActive : string = '' ; </v>
      </c>
      <c r="T13" s="68" t="str">
        <f ca="1">TEXTJOIN2("
",TRUE,INDIRECT(T11):INDIRECT(T12))</f>
        <v xml:space="preserve">			this.wipId,
			this.model,
			this.grade,
			this.bodyNo,
			this.lotNo,
			this.noInLot,
			this.color,
			this.bumperStatus,
			this.initialDate,
			this.i1Date,
			this.i2Date,
			this.inlInDate,
			this.inlOutDate,
			this.preparationDate,
			this.unpackingDate,
			this.jigSettingDate,
			this.boothDate,
			this.finishedDate,
			this.extSeq,
			this.unpSeq,
			this.isActive,</v>
      </c>
      <c r="U13" s="68" t="str">
        <f ca="1">TEXTJOIN2("
",TRUE,INDIRECT(U11):INDIRECT(U12))</f>
        <v>this.wipId = '',
		this.model = '',
		this.grade = '',
		this.bodyNo = '',
		this.lotNo = '',
		this.noInLot = 0,
		this.color = '',
		this.bumperStatus = 0,
		this.initialDate = '',
		this.i1Date = '',
		this.i2Date = '',
		this.inlInDate = '',
		this.inlOutDate = '',
		this.preparationDate = '',
		this.unpackingDate = '',
		this.jigSettingDate = '',
		this.boothDate = '',
		this.finishedDate = '',
		this.extSeq = 0,
		this.unpSeq = 0,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bumper.component.ts</v>
      </c>
      <c r="I14" s="40" t="str">
        <f>B8&amp;".component.html"</f>
        <v>bumper.component.html</v>
      </c>
      <c r="J14" s="39" t="str">
        <f>B8&amp;".component.less"</f>
        <v>bumper.component.less</v>
      </c>
      <c r="K14" s="40" t="str">
        <f>"create-or-edit-"&amp;B8&amp;"-modal.component.html"</f>
        <v>create-or-edit-bumper-modal.component.html</v>
      </c>
      <c r="L14" s="40" t="str">
        <f>"create-or-edit-"&amp;B8&amp;"-modal.component.ts"</f>
        <v>create-or-edit-bumper-modal.component.ts</v>
      </c>
      <c r="M14" s="40" t="str">
        <f>"create-or-edit-"&amp;B8&amp;"-modal.component.less"</f>
        <v>create-or-edit-bumper-modal.component.less</v>
      </c>
      <c r="N14" s="40" t="str">
        <f>B8&amp;".module.ts"</f>
        <v>bumper.module.ts</v>
      </c>
      <c r="O14" s="40" t="str">
        <f>B8&amp;"-routing.module.ts"</f>
        <v>bumper-routing.module.ts</v>
      </c>
      <c r="P14" s="40" t="s">
        <v>222</v>
      </c>
      <c r="Q14" s="40" t="s">
        <v>225</v>
      </c>
      <c r="R14" s="41" t="s">
        <v>232</v>
      </c>
      <c r="S14" s="40" t="s">
        <v>253</v>
      </c>
      <c r="T14" s="40" t="s">
        <v>254</v>
      </c>
      <c r="U14" s="40" t="s">
        <v>257</v>
      </c>
      <c r="V14" s="40" t="s">
        <v>266</v>
      </c>
    </row>
    <row r="15" spans="1:22" ht="18" customHeight="1" x14ac:dyDescent="0.25">
      <c r="A15" s="44" t="s">
        <v>273</v>
      </c>
      <c r="B15" s="31" t="str">
        <f>SUBSTITUTE(PROPER(A15),"_","")</f>
        <v>WipId</v>
      </c>
      <c r="C15" s="31" t="str">
        <f>SUBSTITUTE(PROPER(A15),"_"," ")</f>
        <v>Wip Id</v>
      </c>
      <c r="D15" s="31" t="str">
        <f>LOWER(LEFT(B15,1))&amp;RIGHT(B15,LEN(B15) - 1)</f>
        <v>wipId</v>
      </c>
      <c r="E15" s="31" t="str">
        <f>A.Backend!H9</f>
        <v>long</v>
      </c>
      <c r="F15" s="31" t="str">
        <f>A.Backend!G9</f>
        <v/>
      </c>
      <c r="G15" s="31" t="str">
        <f>IF(E15="string"," : string = '' ; ",IF(OR(E15="DateTime",E15="TimeSpan")," : any ;",IF(E15="int"," : number = 0 ;","")))</f>
        <v/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this.l('Wip Id'),headerTooltip: this.l('Wip Id'),field: 'wipId',flex: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wipId</v>
      </c>
      <c r="T15" s="31" t="str">
        <f>REPT(CHAR(9),3)&amp;"this."&amp;D15&amp;","</f>
        <v xml:space="preserve">			this.wipId,</v>
      </c>
      <c r="U15" s="31" t="str">
        <f>IF(E15="int","this."&amp;D15&amp;" = 0,","this."&amp;D15&amp;" = '',")</f>
        <v>this.wipId = '',</v>
      </c>
      <c r="V15" s="31" t="str">
        <f>IF(AND(E15="string",F15="1"),D15,"")</f>
        <v/>
      </c>
    </row>
    <row r="16" spans="1:22" ht="15" customHeight="1" x14ac:dyDescent="0.25">
      <c r="A16" s="44" t="s">
        <v>274</v>
      </c>
      <c r="B16" s="31" t="str">
        <f t="shared" ref="B16:B17" si="0">SUBSTITUTE(PROPER(A16),"_","")</f>
        <v>Model</v>
      </c>
      <c r="C16" s="31" t="str">
        <f t="shared" ref="C16:C17" si="1">SUBSTITUTE(PROPER(A16),"_"," ")</f>
        <v>Model</v>
      </c>
      <c r="D16" s="31" t="str">
        <f t="shared" ref="D16:D17" si="2">LOWER(LEFT(B16,1))&amp;RIGHT(B16,LEN(B16) - 1)</f>
        <v>model</v>
      </c>
      <c r="E16" s="31" t="str">
        <f>A.Backend!H10</f>
        <v>string</v>
      </c>
      <c r="F16" s="31" t="str">
        <f>A.Backend!G10</f>
        <v>50</v>
      </c>
      <c r="G16" s="31" t="str">
        <f t="shared" ref="G16:G25" si="3">IF(E16="string"," : string = '' ; ",IF(OR(E16="DateTime",E16="TimeSpan")," : any ;",IF(E16="int"," : number = 0 ;","")))</f>
        <v xml:space="preserve"> : string = '' ; </v>
      </c>
      <c r="H16" s="38" t="str">
        <f t="shared" ref="H16:H25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this.l('Model'),headerTooltip: this.l('Model'),field: 'model',flex: 1},</v>
      </c>
      <c r="I16" s="38" t="str">
        <f t="shared" ref="I16:I25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6" s="31"/>
      <c r="K16" s="38" t="str">
        <f t="shared" ref="K16:K25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16" s="60" t="str">
        <f t="shared" ref="L16:L25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model : string = '' ; </v>
      </c>
      <c r="T16" s="31" t="str">
        <f>REPT(CHAR(9),3)&amp;"this."&amp;D16&amp;","</f>
        <v xml:space="preserve">			this.model,</v>
      </c>
      <c r="U16" s="31" t="str">
        <f>IF(E16="int",REPT(CHAR(9),2)&amp;"this."&amp;D16&amp;" = 0,",REPT(CHAR(9),2)&amp;"this."&amp;D16&amp;" = '',")</f>
        <v xml:space="preserve">		this.model = '',</v>
      </c>
      <c r="V16" s="31" t="str">
        <f t="shared" ref="V16:V25" si="8">IF(AND(E16="string",F16="1"),D16,"")</f>
        <v/>
      </c>
    </row>
    <row r="17" spans="1:22" ht="18" customHeight="1" x14ac:dyDescent="0.25">
      <c r="A17" s="44" t="s">
        <v>276</v>
      </c>
      <c r="B17" s="31" t="str">
        <f t="shared" si="0"/>
        <v>Grade</v>
      </c>
      <c r="C17" s="31" t="str">
        <f t="shared" si="1"/>
        <v>Grade</v>
      </c>
      <c r="D17" s="31" t="str">
        <f t="shared" si="2"/>
        <v>grade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this.l('Grade'),headerTooltip: this.l('Grade'),field: 'grade',flex: 1},</v>
      </c>
      <c r="I17" s="38" t="str">
        <f t="shared" si="5"/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20" si="9">REPT(CHAR(9),1)&amp;D17&amp;G17</f>
        <v xml:space="preserve">	grade : string = '' ; </v>
      </c>
      <c r="T17" s="31" t="str">
        <f t="shared" ref="T17:T20" si="10">REPT(CHAR(9),3)&amp;"this."&amp;D17&amp;","</f>
        <v xml:space="preserve">			this.grade,</v>
      </c>
      <c r="U17" s="31" t="str">
        <f t="shared" ref="U17:U20" si="11">IF(E17="int",REPT(CHAR(9),2)&amp;"this."&amp;D17&amp;" = 0,",REPT(CHAR(9),2)&amp;"this."&amp;D17&amp;" = '',")</f>
        <v xml:space="preserve">		this.grade = '',</v>
      </c>
      <c r="V17" s="31" t="str">
        <f t="shared" si="8"/>
        <v/>
      </c>
    </row>
    <row r="18" spans="1:22" ht="18" customHeight="1" x14ac:dyDescent="0.25">
      <c r="A18" s="44" t="s">
        <v>277</v>
      </c>
      <c r="B18" s="31" t="str">
        <f>SUBSTITUTE(PROPER(A18),"_","")</f>
        <v>BodyNo</v>
      </c>
      <c r="C18" s="31" t="str">
        <f>SUBSTITUTE(PROPER(A18),"_"," ")</f>
        <v>Body No</v>
      </c>
      <c r="D18" s="31" t="str">
        <f>LOWER(LEFT(B18,1))&amp;RIGHT(B18,LEN(B18) - 1)</f>
        <v>bodyNo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this.l('Body No'),headerTooltip: this.l('Body No'),field: 'bodyNo',flex: 1},</v>
      </c>
      <c r="I18" s="38" t="str">
        <f t="shared" si="5"/>
        <v xml:space="preserve">								&lt;div class='input-search'&gt;
									&lt;input [(ngModel)]='bodyNo' name='bodyNo'
									class='form-control' [placeholder]="l('Body No')"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bodyNo : string = '' ; </v>
      </c>
      <c r="T18" s="31" t="str">
        <f t="shared" si="10"/>
        <v xml:space="preserve">			this.bodyNo,</v>
      </c>
      <c r="U18" s="31" t="str">
        <f t="shared" si="11"/>
        <v xml:space="preserve">		this.bodyNo = '',</v>
      </c>
      <c r="V18" s="31" t="str">
        <f t="shared" si="8"/>
        <v/>
      </c>
    </row>
    <row r="19" spans="1:22" ht="15" customHeight="1" x14ac:dyDescent="0.25">
      <c r="A19" s="44" t="s">
        <v>278</v>
      </c>
      <c r="B19" s="31" t="str">
        <f t="shared" ref="B19:B22" si="12">SUBSTITUTE(PROPER(A19),"_","")</f>
        <v>LotNo</v>
      </c>
      <c r="C19" s="31" t="str">
        <f t="shared" ref="C19:C22" si="13">SUBSTITUTE(PROPER(A19),"_"," ")</f>
        <v>Lot No</v>
      </c>
      <c r="D19" s="31" t="str">
        <f t="shared" ref="D19:D22" si="14">LOWER(LEFT(B19,1))&amp;RIGHT(B19,LEN(B19) - 1)</f>
        <v>lotNo</v>
      </c>
      <c r="E19" s="31" t="str">
        <f>A.Backend!H13</f>
        <v>string</v>
      </c>
      <c r="F19" s="31" t="str">
        <f>A.Backend!G13</f>
        <v>50</v>
      </c>
      <c r="G19" s="31" t="str">
        <f t="shared" si="3"/>
        <v xml:space="preserve"> : string = '' ; </v>
      </c>
      <c r="H19" s="38" t="str">
        <f t="shared" si="4"/>
        <v xml:space="preserve">			{headerName: this.l('Lot No'),headerTooltip: this.l('Lot No'),field: 'lotNo',flex: 1},</v>
      </c>
      <c r="I19" s="38" t="str">
        <f t="shared" si="5"/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lotNo : string = '' ; </v>
      </c>
      <c r="T19" s="31" t="str">
        <f t="shared" si="10"/>
        <v xml:space="preserve">			this.lotNo,</v>
      </c>
      <c r="U19" s="31" t="str">
        <f t="shared" si="11"/>
        <v xml:space="preserve">		this.lotNo = '',</v>
      </c>
      <c r="V19" s="31" t="str">
        <f t="shared" si="8"/>
        <v/>
      </c>
    </row>
    <row r="20" spans="1:22" ht="18" customHeight="1" x14ac:dyDescent="0.25">
      <c r="A20" s="44" t="s">
        <v>279</v>
      </c>
      <c r="B20" s="31" t="str">
        <f t="shared" si="12"/>
        <v>NoInLot</v>
      </c>
      <c r="C20" s="31" t="str">
        <f t="shared" si="13"/>
        <v>No In Lot</v>
      </c>
      <c r="D20" s="31" t="str">
        <f t="shared" si="14"/>
        <v>noInLot</v>
      </c>
      <c r="E20" s="31" t="str">
        <f>A.Backend!H14</f>
        <v>int</v>
      </c>
      <c r="F20" s="31" t="str">
        <f>A.Backend!G14</f>
        <v/>
      </c>
      <c r="G20" s="31" t="str">
        <f t="shared" si="3"/>
        <v xml:space="preserve"> : number = 0 ;</v>
      </c>
      <c r="H20" s="38" t="str">
        <f t="shared" si="4"/>
        <v xml:space="preserve">			{headerName: this.l('No In Lot'),headerTooltip: this.l('No In Lot'),field: 'noInLot',flex: 1},</v>
      </c>
      <c r="I20" s="38" t="str">
        <f t="shared" si="5"/>
        <v/>
      </c>
      <c r="J20" s="31"/>
      <c r="K20" s="38" t="str">
        <f t="shared" si="6"/>
        <v xml:space="preserve">					&lt;div class='col-md-12 form-group row'&gt;
						&lt;label class='col-md-2 form-control title'&gt;No In Lot&lt;/label&gt;
						&lt;input type='number' class='col-md-10 form-control input-text' name='NoInLot' [(ngModel)]='rowdata.noInLot'&gt;
					&lt;/div&gt;</v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 t="shared" si="9"/>
        <v xml:space="preserve">	noInLot : number = 0 ;</v>
      </c>
      <c r="T20" s="31" t="str">
        <f t="shared" si="10"/>
        <v xml:space="preserve">			this.noInLot,</v>
      </c>
      <c r="U20" s="31" t="str">
        <f t="shared" si="11"/>
        <v xml:space="preserve">		this.noInLot = 0,</v>
      </c>
      <c r="V20" s="31" t="str">
        <f t="shared" si="8"/>
        <v/>
      </c>
    </row>
    <row r="21" spans="1:22" ht="15" customHeight="1" x14ac:dyDescent="0.25">
      <c r="A21" s="44" t="s">
        <v>280</v>
      </c>
      <c r="B21" s="31" t="str">
        <f t="shared" si="12"/>
        <v>Color</v>
      </c>
      <c r="C21" s="31" t="str">
        <f t="shared" si="13"/>
        <v>Color</v>
      </c>
      <c r="D21" s="31" t="str">
        <f t="shared" si="14"/>
        <v>color</v>
      </c>
      <c r="E21" s="31" t="str">
        <f>A.Backend!H15</f>
        <v>string</v>
      </c>
      <c r="F21" s="31" t="str">
        <f>A.Backend!G15</f>
        <v>50</v>
      </c>
      <c r="G21" s="31" t="str">
        <f t="shared" si="3"/>
        <v xml:space="preserve"> : string = '' ; </v>
      </c>
      <c r="H21" s="38" t="str">
        <f t="shared" si="4"/>
        <v xml:space="preserve">			{headerName: this.l('Color'),headerTooltip: this.l('Color'),field: 'color',flex: 1},</v>
      </c>
      <c r="I21" s="38" t="str">
        <f t="shared" si="5"/>
        <v xml:space="preserve">								&lt;div class='input-search'&gt;
									&lt;input [(ngModel)]='color' name='color'
									class='form-control' [placeholder]="l('Color')"
									type='text' (keyup.enter)='searchDatas()'&gt;
								&lt;/div&gt;</v>
      </c>
      <c r="J21" s="31"/>
      <c r="K21" s="38" t="str">
        <f t="shared" si="6"/>
        <v xml:space="preserve">					&lt;div class='col-md-12 form-group row'&gt;
						&lt;label class='col-md-2 form-control title'&gt;Color&lt;/label&gt;
						&lt;input type='text' class='col-md-10 form-control input-text' name='Color' [(ngModel)]='rowdata.color'&gt;
					&lt;/div&gt;</v>
      </c>
      <c r="L21" s="60" t="str">
        <f t="shared" si="7"/>
        <v/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color : string = '' ; </v>
      </c>
      <c r="T21" s="31" t="str">
        <f>REPT(CHAR(9),3)&amp;"this."&amp;D21&amp;","</f>
        <v xml:space="preserve">			this.color,</v>
      </c>
      <c r="U21" s="31" t="str">
        <f>IF(E21="int",REPT(CHAR(9),2)&amp;"this."&amp;D21&amp;" = 0,",REPT(CHAR(9),2)&amp;"this."&amp;D21&amp;" = '',")</f>
        <v xml:space="preserve">		this.color = '',</v>
      </c>
      <c r="V21" s="31" t="str">
        <f t="shared" si="8"/>
        <v/>
      </c>
    </row>
    <row r="22" spans="1:22" ht="18" customHeight="1" x14ac:dyDescent="0.25">
      <c r="A22" s="44" t="s">
        <v>281</v>
      </c>
      <c r="B22" s="31" t="str">
        <f t="shared" si="12"/>
        <v>BumperStatus</v>
      </c>
      <c r="C22" s="31" t="str">
        <f t="shared" si="13"/>
        <v>Bumper Status</v>
      </c>
      <c r="D22" s="31" t="str">
        <f t="shared" si="14"/>
        <v>bumperStatus</v>
      </c>
      <c r="E22" s="31" t="str">
        <f>A.Backend!H16</f>
        <v>int</v>
      </c>
      <c r="F22" s="31" t="str">
        <f>A.Backend!G16</f>
        <v/>
      </c>
      <c r="G22" s="31" t="str">
        <f t="shared" si="3"/>
        <v xml:space="preserve"> : number = 0 ;</v>
      </c>
      <c r="H22" s="38" t="str">
        <f t="shared" si="4"/>
        <v xml:space="preserve">			{headerName: this.l('Bumper Status'),headerTooltip: this.l('Bumper Status'),field: 'bumperStatus',flex: 1},</v>
      </c>
      <c r="I22" s="38" t="str">
        <f t="shared" si="5"/>
        <v/>
      </c>
      <c r="J22" s="31"/>
      <c r="K22" s="38" t="str">
        <f t="shared" si="6"/>
        <v xml:space="preserve">					&lt;div class='col-md-12 form-group row'&gt;
						&lt;label class='col-md-2 form-control title'&gt;Bumper Status&lt;/label&gt;
						&lt;input type='number' class='col-md-10 form-control input-text' name='BumperStatus' [(ngModel)]='rowdata.bumperStatus'&gt;
					&lt;/div&gt;</v>
      </c>
      <c r="L22" s="60" t="str">
        <f t="shared" si="7"/>
        <v/>
      </c>
      <c r="M22" s="31"/>
      <c r="N22" s="31"/>
      <c r="O22" s="31"/>
      <c r="P22" s="31"/>
      <c r="Q22" s="31"/>
      <c r="R22" s="31"/>
      <c r="S22" s="31" t="str">
        <f t="shared" ref="S22:S25" si="15">REPT(CHAR(9),1)&amp;D22&amp;G22</f>
        <v xml:space="preserve">	bumperStatus : number = 0 ;</v>
      </c>
      <c r="T22" s="31" t="str">
        <f t="shared" ref="T22:T25" si="16">REPT(CHAR(9),3)&amp;"this."&amp;D22&amp;","</f>
        <v xml:space="preserve">			this.bumperStatus,</v>
      </c>
      <c r="U22" s="31" t="str">
        <f t="shared" ref="U22:U25" si="17">IF(E22="int",REPT(CHAR(9),2)&amp;"this."&amp;D22&amp;" = 0,",REPT(CHAR(9),2)&amp;"this."&amp;D22&amp;" = '',")</f>
        <v xml:space="preserve">		this.bumperStatus = 0,</v>
      </c>
      <c r="V22" s="31" t="str">
        <f t="shared" si="8"/>
        <v/>
      </c>
    </row>
    <row r="23" spans="1:22" ht="18" customHeight="1" x14ac:dyDescent="0.25">
      <c r="A23" s="44" t="s">
        <v>282</v>
      </c>
      <c r="B23" s="31" t="str">
        <f>SUBSTITUTE(PROPER(A23),"_","")</f>
        <v>InitialDate</v>
      </c>
      <c r="C23" s="31" t="str">
        <f>SUBSTITUTE(PROPER(A23),"_"," ")</f>
        <v>Initial Date</v>
      </c>
      <c r="D23" s="31" t="str">
        <f>LOWER(LEFT(B23,1))&amp;RIGHT(B23,LEN(B23) - 1)</f>
        <v>initialDate</v>
      </c>
      <c r="E23" s="31" t="str">
        <f>A.Backend!H17</f>
        <v>DateTime</v>
      </c>
      <c r="F23" s="31" t="str">
        <f>A.Backend!G17</f>
        <v>7</v>
      </c>
      <c r="G23" s="31" t="str">
        <f t="shared" si="3"/>
        <v xml:space="preserve"> : any ;</v>
      </c>
      <c r="H23" s="38" t="str">
        <f t="shared" si="4"/>
        <v xml:space="preserve">			{headerName: this.l('Initial Date'),headerTooltip: this.l('Initial Date'),field: 'initialDate',valueGetter: (params) =&gt; this.pipe.transform(params.data?.initialDate, 'dd/MM/yyyy'),flex: 1},</v>
      </c>
      <c r="I23" s="38" t="str">
        <f t="shared" si="5"/>
        <v xml:space="preserve">								&lt;div class='input-search'&gt;
									&lt;input type='text' [placeholder]="l('Initial Date')" [(ngModel)]='initialDate' 
									name='initialDate' (keydown)='searchDatas()' class='form-control' 
									bsDatepicker #d='bsDatepicker' placement='bottom left'&gt;
									&lt;i class='fa fa-calendar-alt' (click)='d.toggle()'&gt;&lt;/i&gt;
								&lt;/div&gt;</v>
      </c>
      <c r="J23" s="31"/>
      <c r="K23" s="38" t="str">
        <f t="shared" si="6"/>
        <v xml:space="preserve">					&lt;div class='col-md-12 form-group row'&gt;
						&lt;label class='col-md-2 form-control title'&gt;Initial Date&lt;/label&gt;
						&lt;input type='text' class='col-md-10 form-control input-text' name='initialDate' 
						#datepicker='bsDatepicker' [(ngModel)]='rowdata.initialDate'  bsDatepicker &gt;
					&lt;/div&gt;</v>
      </c>
      <c r="L23" s="60" t="str">
        <f t="shared" si="7"/>
        <v xml:space="preserve">		const dateValue =  this.rowdata.initialDate ? new Date(this.rowdata.initialDate?.toString()) : new Date();
		this.datepicker?.bsValueChange.emit(dateValue);</v>
      </c>
      <c r="M23" s="31"/>
      <c r="N23" s="31"/>
      <c r="O23" s="31"/>
      <c r="P23" s="31"/>
      <c r="Q23" s="31"/>
      <c r="R23" s="31"/>
      <c r="S23" s="31" t="str">
        <f t="shared" si="15"/>
        <v xml:space="preserve">	initialDate : any ;</v>
      </c>
      <c r="T23" s="31" t="str">
        <f t="shared" si="16"/>
        <v xml:space="preserve">			this.initialDate,</v>
      </c>
      <c r="U23" s="31" t="str">
        <f t="shared" si="17"/>
        <v xml:space="preserve">		this.initialDate = '',</v>
      </c>
      <c r="V23" s="31" t="str">
        <f t="shared" si="8"/>
        <v/>
      </c>
    </row>
    <row r="24" spans="1:22" ht="15" customHeight="1" x14ac:dyDescent="0.25">
      <c r="A24" s="44" t="s">
        <v>283</v>
      </c>
      <c r="B24" s="31" t="str">
        <f t="shared" ref="B24:B25" si="18">SUBSTITUTE(PROPER(A24),"_","")</f>
        <v>I1Date</v>
      </c>
      <c r="C24" s="31" t="str">
        <f t="shared" ref="C24:C25" si="19">SUBSTITUTE(PROPER(A24),"_"," ")</f>
        <v>I1 Date</v>
      </c>
      <c r="D24" s="31" t="str">
        <f t="shared" ref="D24:D25" si="20">LOWER(LEFT(B24,1))&amp;RIGHT(B24,LEN(B24) - 1)</f>
        <v>i1Date</v>
      </c>
      <c r="E24" s="31" t="str">
        <f>A.Backend!H18</f>
        <v>DateTime</v>
      </c>
      <c r="F24" s="31" t="str">
        <f>A.Backend!G18</f>
        <v>7</v>
      </c>
      <c r="G24" s="31" t="str">
        <f t="shared" si="3"/>
        <v xml:space="preserve"> : any ;</v>
      </c>
      <c r="H24" s="38" t="str">
        <f t="shared" si="4"/>
        <v xml:space="preserve">			{headerName: this.l('I1 Date'),headerTooltip: this.l('I1 Date'),field: 'i1Date',valueGetter: (params) =&gt; this.pipe.transform(params.data?.i1Date, 'dd/MM/yyyy'),flex: 1},</v>
      </c>
      <c r="I24" s="38" t="str">
        <f t="shared" si="5"/>
        <v xml:space="preserve">								&lt;div class='input-search'&gt;
									&lt;input type='text' [placeholder]="l('I1 Date')" [(ngModel)]='i1Date' 
									name='i1Date' (keydown)='searchDatas()' class='form-control' 
									bsDatepicker #d='bsDatepicker' placement='bottom left'&gt;
									&lt;i class='fa fa-calendar-alt' (click)='d.toggle()'&gt;&lt;/i&gt;
								&lt;/div&gt;</v>
      </c>
      <c r="J24" s="31"/>
      <c r="K24" s="38" t="str">
        <f t="shared" si="6"/>
        <v xml:space="preserve">					&lt;div class='col-md-12 form-group row'&gt;
						&lt;label class='col-md-2 form-control title'&gt;I1 Date&lt;/label&gt;
						&lt;input type='text' class='col-md-10 form-control input-text' name='i1Date' 
						#datepicker='bsDatepicker' [(ngModel)]='rowdata.i1Date'  bsDatepicker &gt;
					&lt;/div&gt;</v>
      </c>
      <c r="L24" s="60" t="str">
        <f t="shared" si="7"/>
        <v xml:space="preserve">		const dateValue =  this.rowdata.i1Date ? new Date(this.rowdata.i1Date?.toString()) : new Date();
		this.datepicker?.bsValueChange.emit(dateValue);</v>
      </c>
      <c r="M24" s="31"/>
      <c r="N24" s="31"/>
      <c r="O24" s="31"/>
      <c r="P24" s="31"/>
      <c r="Q24" s="31"/>
      <c r="R24" s="31"/>
      <c r="S24" s="31" t="str">
        <f t="shared" si="15"/>
        <v xml:space="preserve">	i1Date : any ;</v>
      </c>
      <c r="T24" s="31" t="str">
        <f t="shared" si="16"/>
        <v xml:space="preserve">			this.i1Date,</v>
      </c>
      <c r="U24" s="31" t="str">
        <f t="shared" si="17"/>
        <v xml:space="preserve">		this.i1Date = '',</v>
      </c>
      <c r="V24" s="31" t="str">
        <f t="shared" si="8"/>
        <v/>
      </c>
    </row>
    <row r="25" spans="1:22" ht="18" customHeight="1" x14ac:dyDescent="0.25">
      <c r="A25" s="44" t="s">
        <v>284</v>
      </c>
      <c r="B25" s="31" t="str">
        <f t="shared" si="18"/>
        <v>I2Date</v>
      </c>
      <c r="C25" s="31" t="str">
        <f t="shared" si="19"/>
        <v>I2 Date</v>
      </c>
      <c r="D25" s="31" t="str">
        <f t="shared" si="20"/>
        <v>i2Date</v>
      </c>
      <c r="E25" s="31" t="str">
        <f>A.Backend!H19</f>
        <v>DateTime</v>
      </c>
      <c r="F25" s="31" t="str">
        <f>A.Backend!G19</f>
        <v>7</v>
      </c>
      <c r="G25" s="31" t="str">
        <f t="shared" si="3"/>
        <v xml:space="preserve"> : any ;</v>
      </c>
      <c r="H25" s="38" t="str">
        <f t="shared" si="4"/>
        <v xml:space="preserve">			{headerName: this.l('I2 Date'),headerTooltip: this.l('I2 Date'),field: 'i2Date',valueGetter: (params) =&gt; this.pipe.transform(params.data?.i2Date, 'dd/MM/yyyy'),flex: 1},</v>
      </c>
      <c r="I25" s="38" t="str">
        <f t="shared" si="5"/>
        <v xml:space="preserve">								&lt;div class='input-search'&gt;
									&lt;input type='text' [placeholder]="l('I2 Date')" [(ngModel)]='i2Date' 
									name='i2Date' (keydown)='searchDatas()' class='form-control' 
									bsDatepicker #d='bsDatepicker' placement='bottom left'&gt;
									&lt;i class='fa fa-calendar-alt' (click)='d.toggle()'&gt;&lt;/i&gt;
								&lt;/div&gt;</v>
      </c>
      <c r="J25" s="31"/>
      <c r="K25" s="38" t="str">
        <f t="shared" si="6"/>
        <v xml:space="preserve">					&lt;div class='col-md-12 form-group row'&gt;
						&lt;label class='col-md-2 form-control title'&gt;I2 Date&lt;/label&gt;
						&lt;input type='text' class='col-md-10 form-control input-text' name='i2Date' 
						#datepicker='bsDatepicker' [(ngModel)]='rowdata.i2Date'  bsDatepicker &gt;
					&lt;/div&gt;</v>
      </c>
      <c r="L25" s="60" t="str">
        <f t="shared" si="7"/>
        <v xml:space="preserve">		const dateValue =  this.rowdata.i2Date ? new Date(this.rowdata.i2Date?.toString()) : new Date();
		this.datepicker?.bsValueChange.emit(dateValue);</v>
      </c>
      <c r="M25" s="31"/>
      <c r="N25" s="31"/>
      <c r="O25" s="31"/>
      <c r="P25" s="31"/>
      <c r="Q25" s="31"/>
      <c r="R25" s="31"/>
      <c r="S25" s="31" t="str">
        <f t="shared" si="15"/>
        <v xml:space="preserve">	i2Date : any ;</v>
      </c>
      <c r="T25" s="31" t="str">
        <f t="shared" si="16"/>
        <v xml:space="preserve">			this.i2Date,</v>
      </c>
      <c r="U25" s="31" t="str">
        <f t="shared" si="17"/>
        <v xml:space="preserve">		this.i2Date = '',</v>
      </c>
      <c r="V25" s="31" t="str">
        <f t="shared" si="8"/>
        <v/>
      </c>
    </row>
    <row r="26" spans="1:22" ht="15" customHeight="1" x14ac:dyDescent="0.25">
      <c r="A26" s="44" t="s">
        <v>285</v>
      </c>
      <c r="B26" s="31" t="str">
        <f t="shared" ref="B26:B27" si="21">SUBSTITUTE(PROPER(A26),"_","")</f>
        <v>InlInDate</v>
      </c>
      <c r="C26" s="31" t="str">
        <f t="shared" ref="C26:C27" si="22">SUBSTITUTE(PROPER(A26),"_"," ")</f>
        <v>Inl In Date</v>
      </c>
      <c r="D26" s="31" t="str">
        <f t="shared" ref="D26:D27" si="23">LOWER(LEFT(B26,1))&amp;RIGHT(B26,LEN(B26) - 1)</f>
        <v>inlInDate</v>
      </c>
      <c r="E26" s="31" t="str">
        <f>A.Backend!H20</f>
        <v>DateTime</v>
      </c>
      <c r="F26" s="31" t="str">
        <f>A.Backend!G20</f>
        <v>7</v>
      </c>
      <c r="G26" s="31" t="str">
        <f t="shared" ref="G26:G30" si="24">IF(E26="string"," : string = '' ; ",IF(OR(E26="DateTime",E26="TimeSpan")," : any ;",IF(E26="int"," : number = 0 ;","")))</f>
        <v xml:space="preserve"> : any ;</v>
      </c>
      <c r="H26" s="38" t="str">
        <f t="shared" ref="H26:H30" si="25">IF(E26="DateTime",
REPT(CHAR(9),3)&amp;"{headerName: this.l('"&amp;C26&amp;"'),headerTooltip: this.l('"&amp;C26&amp;"'),field: '"&amp;D26&amp;"',valueGetter: (params) =&gt; this.pipe.transform(params.data?."&amp;D26&amp;", 'dd/MM/yyyy'),flex: 1},",
IF(AND(E26="string",F26="1"),
REPT(CHAR(9),3)&amp;"{headerName: this.l('"&amp;C26&amp;"'),headerTooltip: this.l('"&amp;C26&amp;"'),field:  '"&amp;D26&amp;"', cellClass: ['text-center'], width: 120, cellRenderer: 'agCellButtonComponent',
buttonDefTwo: { text: params =&gt; (params.data?.'"&amp;D26&amp;"' == 'Y') ? 'Active' : 'Inactive',iconName: 'fa fa-circle',className: params =&gt; (params.data?.'"&amp;D26&amp;"' == 'Y') ? 'btnActive' : 'btnInActive',},}",
REPT(CHAR(9),3)&amp;"{headerName: this.l('"&amp;C26&amp;"'),headerTooltip: this.l('"&amp;C26&amp;"'),field: '"&amp;D26&amp;"',flex: 1},"))</f>
        <v xml:space="preserve">			{headerName: this.l('Inl In Date'),headerTooltip: this.l('Inl In Date'),field: 'inlInDate',valueGetter: (params) =&gt; this.pipe.transform(params.data?.inlInDate, 'dd/MM/yyyy'),flex: 1},</v>
      </c>
      <c r="I26" s="38" t="str">
        <f t="shared" ref="I26:I30" si="26"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IF(E26="string",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 xml:space="preserve">								&lt;div class='input-search'&gt;
									&lt;input type='text' [placeholder]="l('Inl In Date')" [(ngModel)]='inlInDate' 
									name='inlInDate' (keydown)='searchDatas()' class='form-control' 
									bsDatepicker #d='bsDatepicker' placement='bottom left'&gt;
									&lt;i class='fa fa-calendar-alt' (click)='d.toggle()'&gt;&lt;/i&gt;
								&lt;/div&gt;</v>
      </c>
      <c r="J26" s="31"/>
      <c r="K26" s="38" t="str">
        <f t="shared" ref="K26:K30" si="27">IF(OR(E26="DateTime",E26="TimeSpan"),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IF(E26="int",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 xml:space="preserve">					&lt;div class='col-md-12 form-group row'&gt;
						&lt;label class='col-md-2 form-control title'&gt;Inl In Date&lt;/label&gt;
						&lt;input type='text' class='col-md-10 form-control input-text' name='inlInDate' 
						#datepicker='bsDatepicker' [(ngModel)]='rowdata.inlInDate'  bsDatepicker &gt;
					&lt;/div&gt;</v>
      </c>
      <c r="L26" s="60" t="str">
        <f t="shared" ref="L26:L30" si="28">IF(E26="DateTime",
REPT(CHAR(9),2)&amp;"const dateValue =  this.rowdata."&amp;D26&amp;" ? new Date(this.rowdata."&amp;D26&amp;"?.toString()) : new Date();
"&amp;REPT(CHAR(9),2)&amp;"this.datepicker?.bsValueChange.emit(dateValue);","")</f>
        <v xml:space="preserve">		const dateValue =  this.rowdata.inlInDate ? new Date(this.rowdata.inlInDate?.toString()) : new Date();
		this.datepicker?.bsValueChange.emit(dateValue);</v>
      </c>
      <c r="M26" s="31"/>
      <c r="N26" s="31"/>
      <c r="O26" s="31"/>
      <c r="P26" s="31"/>
      <c r="Q26" s="31"/>
      <c r="R26" s="31"/>
      <c r="S26" s="31" t="str">
        <f>REPT(CHAR(9),1)&amp;D26&amp;G26</f>
        <v xml:space="preserve">	inlInDate : any ;</v>
      </c>
      <c r="T26" s="31" t="str">
        <f>REPT(CHAR(9),3)&amp;"this."&amp;D26&amp;","</f>
        <v xml:space="preserve">			this.inlInDate,</v>
      </c>
      <c r="U26" s="31" t="str">
        <f>IF(E26="int",REPT(CHAR(9),2)&amp;"this."&amp;D26&amp;" = 0,",REPT(CHAR(9),2)&amp;"this."&amp;D26&amp;" = '',")</f>
        <v xml:space="preserve">		this.inlInDate = '',</v>
      </c>
      <c r="V26" s="31" t="str">
        <f t="shared" ref="V26:V30" si="29">IF(AND(E26="string",F26="1"),D26,"")</f>
        <v/>
      </c>
    </row>
    <row r="27" spans="1:22" ht="18" customHeight="1" x14ac:dyDescent="0.25">
      <c r="A27" s="44" t="s">
        <v>286</v>
      </c>
      <c r="B27" s="31" t="str">
        <f t="shared" si="21"/>
        <v>InlOutDate</v>
      </c>
      <c r="C27" s="31" t="str">
        <f t="shared" si="22"/>
        <v>Inl Out Date</v>
      </c>
      <c r="D27" s="31" t="str">
        <f t="shared" si="23"/>
        <v>inlOutDate</v>
      </c>
      <c r="E27" s="31" t="str">
        <f>A.Backend!H21</f>
        <v>DateTime</v>
      </c>
      <c r="F27" s="31" t="str">
        <f>A.Backend!G21</f>
        <v>7</v>
      </c>
      <c r="G27" s="31" t="str">
        <f t="shared" si="24"/>
        <v xml:space="preserve"> : any ;</v>
      </c>
      <c r="H27" s="38" t="str">
        <f t="shared" si="25"/>
        <v xml:space="preserve">			{headerName: this.l('Inl Out Date'),headerTooltip: this.l('Inl Out Date'),field: 'inlOutDate',valueGetter: (params) =&gt; this.pipe.transform(params.data?.inlOutDate, 'dd/MM/yyyy'),flex: 1},</v>
      </c>
      <c r="I27" s="38" t="str">
        <f t="shared" si="26"/>
        <v xml:space="preserve">								&lt;div class='input-search'&gt;
									&lt;input type='text' [placeholder]="l('Inl Out Date')" [(ngModel)]='inlOutDate' 
									name='inlOutDate' (keydown)='searchDatas()' class='form-control' 
									bsDatepicker #d='bsDatepicker' placement='bottom left'&gt;
									&lt;i class='fa fa-calendar-alt' (click)='d.toggle()'&gt;&lt;/i&gt;
								&lt;/div&gt;</v>
      </c>
      <c r="J27" s="31"/>
      <c r="K27" s="38" t="str">
        <f t="shared" si="27"/>
        <v xml:space="preserve">					&lt;div class='col-md-12 form-group row'&gt;
						&lt;label class='col-md-2 form-control title'&gt;Inl Out Date&lt;/label&gt;
						&lt;input type='text' class='col-md-10 form-control input-text' name='inlOutDate' 
						#datepicker='bsDatepicker' [(ngModel)]='rowdata.inlOutDate'  bsDatepicker &gt;
					&lt;/div&gt;</v>
      </c>
      <c r="L27" s="60" t="str">
        <f t="shared" si="28"/>
        <v xml:space="preserve">		const dateValue =  this.rowdata.inlOutDate ? new Date(this.rowdata.inlOutDate?.toString()) : new Date();
		this.datepicker?.bsValueChange.emit(dateValue);</v>
      </c>
      <c r="M27" s="31"/>
      <c r="N27" s="31"/>
      <c r="O27" s="31"/>
      <c r="P27" s="31"/>
      <c r="Q27" s="31"/>
      <c r="R27" s="31"/>
      <c r="S27" s="31" t="str">
        <f t="shared" ref="S27:S30" si="30">REPT(CHAR(9),1)&amp;D27&amp;G27</f>
        <v xml:space="preserve">	inlOutDate : any ;</v>
      </c>
      <c r="T27" s="31" t="str">
        <f t="shared" ref="T27:T30" si="31">REPT(CHAR(9),3)&amp;"this."&amp;D27&amp;","</f>
        <v xml:space="preserve">			this.inlOutDate,</v>
      </c>
      <c r="U27" s="31" t="str">
        <f t="shared" ref="U27:U30" si="32">IF(E27="int",REPT(CHAR(9),2)&amp;"this."&amp;D27&amp;" = 0,",REPT(CHAR(9),2)&amp;"this."&amp;D27&amp;" = '',")</f>
        <v xml:space="preserve">		this.inlOutDate = '',</v>
      </c>
      <c r="V27" s="31" t="str">
        <f t="shared" si="29"/>
        <v/>
      </c>
    </row>
    <row r="28" spans="1:22" ht="18" customHeight="1" x14ac:dyDescent="0.25">
      <c r="A28" s="44" t="s">
        <v>287</v>
      </c>
      <c r="B28" s="31" t="str">
        <f>SUBSTITUTE(PROPER(A28),"_","")</f>
        <v>PreparationDate</v>
      </c>
      <c r="C28" s="31" t="str">
        <f>SUBSTITUTE(PROPER(A28),"_"," ")</f>
        <v>Preparation Date</v>
      </c>
      <c r="D28" s="31" t="str">
        <f>LOWER(LEFT(B28,1))&amp;RIGHT(B28,LEN(B28) - 1)</f>
        <v>preparationDate</v>
      </c>
      <c r="E28" s="31" t="str">
        <f>A.Backend!H22</f>
        <v>DateTime</v>
      </c>
      <c r="F28" s="31" t="str">
        <f>A.Backend!G22</f>
        <v>7</v>
      </c>
      <c r="G28" s="31" t="str">
        <f t="shared" si="24"/>
        <v xml:space="preserve"> : any ;</v>
      </c>
      <c r="H28" s="38" t="str">
        <f t="shared" si="25"/>
        <v xml:space="preserve">			{headerName: this.l('Preparation Date'),headerTooltip: this.l('Preparation Date'),field: 'preparationDate',valueGetter: (params) =&gt; this.pipe.transform(params.data?.preparationDate, 'dd/MM/yyyy'),flex: 1},</v>
      </c>
      <c r="I28" s="38" t="str">
        <f t="shared" si="26"/>
        <v xml:space="preserve">								&lt;div class='input-search'&gt;
									&lt;input type='text' [placeholder]="l('Preparation Date')" [(ngModel)]='preparationDate' 
									name='preparationDate' (keydown)='searchDatas()' class='form-control' 
									bsDatepicker #d='bsDatepicker' placement='bottom left'&gt;
									&lt;i class='fa fa-calendar-alt' (click)='d.toggle()'&gt;&lt;/i&gt;
								&lt;/div&gt;</v>
      </c>
      <c r="J28" s="31"/>
      <c r="K28" s="38" t="str">
        <f t="shared" si="27"/>
        <v xml:space="preserve">					&lt;div class='col-md-12 form-group row'&gt;
						&lt;label class='col-md-2 form-control title'&gt;Preparation Date&lt;/label&gt;
						&lt;input type='text' class='col-md-10 form-control input-text' name='preparationDate' 
						#datepicker='bsDatepicker' [(ngModel)]='rowdata.preparationDate'  bsDatepicker &gt;
					&lt;/div&gt;</v>
      </c>
      <c r="L28" s="60" t="str">
        <f t="shared" si="28"/>
        <v xml:space="preserve">		const dateValue =  this.rowdata.preparationDate ? new Date(this.rowdata.preparationDate?.toString()) : new Date();
		this.datepicker?.bsValueChange.emit(dateValue);</v>
      </c>
      <c r="M28" s="31"/>
      <c r="N28" s="31"/>
      <c r="O28" s="31"/>
      <c r="P28" s="31"/>
      <c r="Q28" s="31"/>
      <c r="R28" s="31"/>
      <c r="S28" s="31" t="str">
        <f t="shared" si="30"/>
        <v xml:space="preserve">	preparationDate : any ;</v>
      </c>
      <c r="T28" s="31" t="str">
        <f t="shared" si="31"/>
        <v xml:space="preserve">			this.preparationDate,</v>
      </c>
      <c r="U28" s="31" t="str">
        <f t="shared" si="32"/>
        <v xml:space="preserve">		this.preparationDate = '',</v>
      </c>
      <c r="V28" s="31" t="str">
        <f t="shared" si="29"/>
        <v/>
      </c>
    </row>
    <row r="29" spans="1:22" ht="15" customHeight="1" x14ac:dyDescent="0.25">
      <c r="A29" s="44" t="s">
        <v>288</v>
      </c>
      <c r="B29" s="31" t="str">
        <f t="shared" ref="B29:B30" si="33">SUBSTITUTE(PROPER(A29),"_","")</f>
        <v>UnpackingDate</v>
      </c>
      <c r="C29" s="31" t="str">
        <f t="shared" ref="C29:C30" si="34">SUBSTITUTE(PROPER(A29),"_"," ")</f>
        <v>Unpacking Date</v>
      </c>
      <c r="D29" s="31" t="str">
        <f t="shared" ref="D29:D30" si="35">LOWER(LEFT(B29,1))&amp;RIGHT(B29,LEN(B29) - 1)</f>
        <v>unpackingDate</v>
      </c>
      <c r="E29" s="31" t="str">
        <f>A.Backend!H23</f>
        <v>DateTime</v>
      </c>
      <c r="F29" s="31" t="str">
        <f>A.Backend!G23</f>
        <v>7</v>
      </c>
      <c r="G29" s="31" t="str">
        <f t="shared" si="24"/>
        <v xml:space="preserve"> : any ;</v>
      </c>
      <c r="H29" s="38" t="str">
        <f t="shared" si="25"/>
        <v xml:space="preserve">			{headerName: this.l('Unpacking Date'),headerTooltip: this.l('Unpacking Date'),field: 'unpackingDate',valueGetter: (params) =&gt; this.pipe.transform(params.data?.unpackingDate, 'dd/MM/yyyy'),flex: 1},</v>
      </c>
      <c r="I29" s="38" t="str">
        <f t="shared" si="26"/>
        <v xml:space="preserve">								&lt;div class='input-search'&gt;
									&lt;input type='text' [placeholder]="l('Unpacking Date')" [(ngModel)]='unpackingDate' 
									name='unpackingDate' (keydown)='searchDatas()' class='form-control' 
									bsDatepicker #d='bsDatepicker' placement='bottom left'&gt;
									&lt;i class='fa fa-calendar-alt' (click)='d.toggle()'&gt;&lt;/i&gt;
								&lt;/div&gt;</v>
      </c>
      <c r="J29" s="31"/>
      <c r="K29" s="38" t="str">
        <f t="shared" si="27"/>
        <v xml:space="preserve">					&lt;div class='col-md-12 form-group row'&gt;
						&lt;label class='col-md-2 form-control title'&gt;Unpacking Date&lt;/label&gt;
						&lt;input type='text' class='col-md-10 form-control input-text' name='unpackingDate' 
						#datepicker='bsDatepicker' [(ngModel)]='rowdata.unpackingDate'  bsDatepicker &gt;
					&lt;/div&gt;</v>
      </c>
      <c r="L29" s="60" t="str">
        <f t="shared" si="28"/>
        <v xml:space="preserve">		const dateValue =  this.rowdata.unpackingDate ? new Date(this.rowdata.unpackingDate?.toString()) : new Date();
		this.datepicker?.bsValueChange.emit(dateValue);</v>
      </c>
      <c r="M29" s="31"/>
      <c r="N29" s="31"/>
      <c r="O29" s="31"/>
      <c r="P29" s="31"/>
      <c r="Q29" s="31"/>
      <c r="R29" s="31"/>
      <c r="S29" s="31" t="str">
        <f t="shared" si="30"/>
        <v xml:space="preserve">	unpackingDate : any ;</v>
      </c>
      <c r="T29" s="31" t="str">
        <f t="shared" si="31"/>
        <v xml:space="preserve">			this.unpackingDate,</v>
      </c>
      <c r="U29" s="31" t="str">
        <f t="shared" si="32"/>
        <v xml:space="preserve">		this.unpackingDate = '',</v>
      </c>
      <c r="V29" s="31" t="str">
        <f t="shared" si="29"/>
        <v/>
      </c>
    </row>
    <row r="30" spans="1:22" ht="18" customHeight="1" x14ac:dyDescent="0.25">
      <c r="A30" s="44" t="s">
        <v>289</v>
      </c>
      <c r="B30" s="31" t="str">
        <f t="shared" si="33"/>
        <v>JigSettingDate</v>
      </c>
      <c r="C30" s="31" t="str">
        <f t="shared" si="34"/>
        <v>Jig Setting Date</v>
      </c>
      <c r="D30" s="31" t="str">
        <f t="shared" si="35"/>
        <v>jigSettingDate</v>
      </c>
      <c r="E30" s="31" t="str">
        <f>A.Backend!H24</f>
        <v>DateTime</v>
      </c>
      <c r="F30" s="31" t="str">
        <f>A.Backend!G24</f>
        <v>7</v>
      </c>
      <c r="G30" s="31" t="str">
        <f t="shared" si="24"/>
        <v xml:space="preserve"> : any ;</v>
      </c>
      <c r="H30" s="38" t="str">
        <f t="shared" si="25"/>
        <v xml:space="preserve">			{headerName: this.l('Jig Setting Date'),headerTooltip: this.l('Jig Setting Date'),field: 'jigSettingDate',valueGetter: (params) =&gt; this.pipe.transform(params.data?.jigSettingDate, 'dd/MM/yyyy'),flex: 1},</v>
      </c>
      <c r="I30" s="38" t="str">
        <f t="shared" si="26"/>
        <v xml:space="preserve">								&lt;div class='input-search'&gt;
									&lt;input type='text' [placeholder]="l('Jig Setting Date')" [(ngModel)]='jigSettingDate' 
									name='jigSettingDate' (keydown)='searchDatas()' class='form-control' 
									bsDatepicker #d='bsDatepicker' placement='bottom left'&gt;
									&lt;i class='fa fa-calendar-alt' (click)='d.toggle()'&gt;&lt;/i&gt;
								&lt;/div&gt;</v>
      </c>
      <c r="J30" s="31"/>
      <c r="K30" s="38" t="str">
        <f t="shared" si="27"/>
        <v xml:space="preserve">					&lt;div class='col-md-12 form-group row'&gt;
						&lt;label class='col-md-2 form-control title'&gt;Jig Setting Date&lt;/label&gt;
						&lt;input type='text' class='col-md-10 form-control input-text' name='jigSettingDate' 
						#datepicker='bsDatepicker' [(ngModel)]='rowdata.jigSettingDate'  bsDatepicker &gt;
					&lt;/div&gt;</v>
      </c>
      <c r="L30" s="60" t="str">
        <f t="shared" si="28"/>
        <v xml:space="preserve">		const dateValue =  this.rowdata.jigSettingDate ? new Date(this.rowdata.jigSettingDate?.toString()) : new Date();
		this.datepicker?.bsValueChange.emit(dateValue);</v>
      </c>
      <c r="M30" s="31"/>
      <c r="N30" s="31"/>
      <c r="O30" s="31"/>
      <c r="P30" s="31"/>
      <c r="Q30" s="31"/>
      <c r="R30" s="31"/>
      <c r="S30" s="31" t="str">
        <f t="shared" si="30"/>
        <v xml:space="preserve">	jigSettingDate : any ;</v>
      </c>
      <c r="T30" s="31" t="str">
        <f t="shared" si="31"/>
        <v xml:space="preserve">			this.jigSettingDate,</v>
      </c>
      <c r="U30" s="31" t="str">
        <f t="shared" si="32"/>
        <v xml:space="preserve">		this.jigSettingDate = '',</v>
      </c>
      <c r="V30" s="31" t="str">
        <f t="shared" si="29"/>
        <v/>
      </c>
    </row>
    <row r="31" spans="1:22" ht="15" customHeight="1" x14ac:dyDescent="0.25">
      <c r="A31" s="44" t="s">
        <v>290</v>
      </c>
      <c r="B31" s="31" t="str">
        <f t="shared" ref="B31:B32" si="36">SUBSTITUTE(PROPER(A31),"_","")</f>
        <v>BoothDate</v>
      </c>
      <c r="C31" s="31" t="str">
        <f t="shared" ref="C31:C32" si="37">SUBSTITUTE(PROPER(A31),"_"," ")</f>
        <v>Booth Date</v>
      </c>
      <c r="D31" s="31" t="str">
        <f t="shared" ref="D31:D32" si="38">LOWER(LEFT(B31,1))&amp;RIGHT(B31,LEN(B31) - 1)</f>
        <v>boothDate</v>
      </c>
      <c r="E31" s="31" t="str">
        <f>A.Backend!H25</f>
        <v>DateTime</v>
      </c>
      <c r="F31" s="31" t="str">
        <f>A.Backend!G25</f>
        <v>7</v>
      </c>
      <c r="G31" s="31" t="str">
        <f t="shared" ref="G31:G35" si="39">IF(E31="string"," : string = '' ; ",IF(OR(E31="DateTime",E31="TimeSpan")," : any ;",IF(E31="int"," : number = 0 ;","")))</f>
        <v xml:space="preserve"> : any ;</v>
      </c>
      <c r="H31" s="38" t="str">
        <f t="shared" ref="H31:H35" si="40">IF(E31="DateTime",
REPT(CHAR(9),3)&amp;"{headerName: this.l('"&amp;C31&amp;"'),headerTooltip: this.l('"&amp;C31&amp;"'),field: '"&amp;D31&amp;"',valueGetter: (params) =&gt; this.pipe.transform(params.data?."&amp;D31&amp;", 'dd/MM/yyyy'),flex: 1},",
IF(AND(E31="string",F31="1"),
REPT(CHAR(9),3)&amp;"{headerName: this.l('"&amp;C31&amp;"'),headerTooltip: this.l('"&amp;C31&amp;"'),field:  '"&amp;D31&amp;"', cellClass: ['text-center'], width: 120, cellRenderer: 'agCellButtonComponent',
buttonDefTwo: { text: params =&gt; (params.data?.'"&amp;D31&amp;"' == 'Y') ? 'Active' : 'Inactive',iconName: 'fa fa-circle',className: params =&gt; (params.data?.'"&amp;D31&amp;"' == 'Y') ? 'btnActive' : 'btnInActive',},}",
REPT(CHAR(9),3)&amp;"{headerName: this.l('"&amp;C31&amp;"'),headerTooltip: this.l('"&amp;C31&amp;"'),field: '"&amp;D31&amp;"',flex: 1},"))</f>
        <v xml:space="preserve">			{headerName: this.l('Booth Date'),headerTooltip: this.l('Booth Date'),field: 'boothDate',valueGetter: (params) =&gt; this.pipe.transform(params.data?.boothDate, 'dd/MM/yyyy'),flex: 1},</v>
      </c>
      <c r="I31" s="38" t="str">
        <f t="shared" ref="I31:I35" si="41">IF(E31="DateTime",
REPT(CHAR(9),8)&amp;"&lt;div class='input-search'&gt;
"&amp;REPT(CHAR(9),9)&amp;"&lt;input type='text' [placeholder]=""l('"&amp;C31&amp;"')"" [(ngModel)]='"&amp;D31&amp;"' 
"&amp;REPT(CHAR(9),9)&amp;"name='"&amp;D31&amp;"'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IF(E31="string",
REPT(CHAR(9),8)&amp;"&lt;div class='input-search'&gt;
"&amp;REPT(CHAR(9),9)&amp;"&lt;input [(ngModel)]='"&amp;D31&amp;"' name='"&amp;D31&amp;"'
"&amp;REPT(CHAR(9),9)&amp;"class='form-control' [placeholder]=""l('"&amp;C31&amp;"')""
"&amp;REPT(CHAR(9),9)&amp;"type='text' (keyup.enter)='searchDatas()'&gt;
"&amp;REPT(CHAR(9),8)&amp;"&lt;/div&gt;",""))</f>
        <v xml:space="preserve">								&lt;div class='input-search'&gt;
									&lt;input type='text' [placeholder]="l('Booth Date')" [(ngModel)]='boothDate' 
									name='boothDate' (keydown)='searchDatas()' class='form-control' 
									bsDatepicker #d='bsDatepicker' placement='bottom left'&gt;
									&lt;i class='fa fa-calendar-alt' (click)='d.toggle()'&gt;&lt;/i&gt;
								&lt;/div&gt;</v>
      </c>
      <c r="J31" s="31"/>
      <c r="K31" s="38" t="str">
        <f t="shared" ref="K31:K35" si="42">IF(OR(E31="DateTime",E31="TimeSpan"),
REPT(CHAR(9),5)&amp;"&lt;div class='col-md-12 form-group row'&gt;
"&amp;REPT(CHAR(9),6)&amp;"&lt;label class='col-md-2 form-control title'&gt;"&amp;C31&amp;"&lt;/label&gt;
"&amp;REPT(CHAR(9),6)&amp;"&lt;input type='text' class='col-md-10 form-control input-text' name='"&amp;D31&amp;"' 
"&amp;REPT(CHAR(9),6)&amp;"#datepicker='bsDatepicker' [(ngModel)]='rowdata."&amp;D31&amp;"'  bsDatepicker &gt;
"&amp;REPT(CHAR(9),5)&amp;"&lt;/div&gt;",
IF(AND(E31="string",F31="1"),
REPT(CHAR(9),5)&amp;"&lt;div class='col-md-12 form-group row'&gt;
"&amp;REPT(CHAR(9),6)&amp;"&lt;label class='col-md-2 form-control title'&gt;"&amp;C31&amp;"&lt;/label&gt;
"&amp;REPT(CHAR(9),6)&amp;"&lt;new-checkbox [(ngModel)]='_"&amp;D31&amp;"' name='"&amp;D31&amp;"' className='col-md-10' &gt; &lt;/new-checkbox&gt;
"&amp;REPT(CHAR(9),5)&amp;"&lt;/div&gt;",
IF(E31="string",
REPT(CHAR(9),5)&amp;"&lt;div class='col-md-12 form-group row'&gt;
"&amp;REPT(CHAR(9),6)&amp;"&lt;label class='col-md-2 form-control title'&gt;"&amp;C31&amp;"&lt;/label&gt;
"&amp;REPT(CHAR(9),6)&amp;"&lt;input type='text' class='col-md-10 form-control input-text' name='"&amp;B31&amp;"' [(ngModel)]='rowdata."&amp;D31&amp;"'&gt;
"&amp;REPT(CHAR(9),5)&amp;"&lt;/div&gt;",
IF(E31="int",
REPT(CHAR(9),5)&amp;"&lt;div class='col-md-12 form-group row'&gt;
"&amp;REPT(CHAR(9),6)&amp;"&lt;label class='col-md-2 form-control title'&gt;"&amp;C31&amp;"&lt;/label&gt;
"&amp;REPT(CHAR(9),6)&amp;"&lt;input type='number' class='col-md-10 form-control input-text' name='"&amp;B31&amp;"' [(ngModel)]='rowdata."&amp;D31&amp;"'&gt;
"&amp;REPT(CHAR(9),5)&amp;"&lt;/div&gt;",""))))</f>
        <v xml:space="preserve">					&lt;div class='col-md-12 form-group row'&gt;
						&lt;label class='col-md-2 form-control title'&gt;Booth Date&lt;/label&gt;
						&lt;input type='text' class='col-md-10 form-control input-text' name='boothDate' 
						#datepicker='bsDatepicker' [(ngModel)]='rowdata.boothDate'  bsDatepicker &gt;
					&lt;/div&gt;</v>
      </c>
      <c r="L31" s="60" t="str">
        <f t="shared" ref="L31:L35" si="43">IF(E31="DateTime",
REPT(CHAR(9),2)&amp;"const dateValue =  this.rowdata."&amp;D31&amp;" ? new Date(this.rowdata."&amp;D31&amp;"?.toString()) : new Date();
"&amp;REPT(CHAR(9),2)&amp;"this.datepicker?.bsValueChange.emit(dateValue);","")</f>
        <v xml:space="preserve">		const dateValue =  this.rowdata.boothDate ? new Date(this.rowdata.boothDate?.toString()) : new Date();
		this.datepicker?.bsValueChange.emit(dateValue);</v>
      </c>
      <c r="M31" s="31"/>
      <c r="N31" s="31"/>
      <c r="O31" s="31"/>
      <c r="P31" s="31"/>
      <c r="Q31" s="31"/>
      <c r="R31" s="31"/>
      <c r="S31" s="31" t="str">
        <f>REPT(CHAR(9),1)&amp;D31&amp;G31</f>
        <v xml:space="preserve">	boothDate : any ;</v>
      </c>
      <c r="T31" s="31" t="str">
        <f>REPT(CHAR(9),3)&amp;"this."&amp;D31&amp;","</f>
        <v xml:space="preserve">			this.boothDate,</v>
      </c>
      <c r="U31" s="31" t="str">
        <f>IF(E31="int",REPT(CHAR(9),2)&amp;"this."&amp;D31&amp;" = 0,",REPT(CHAR(9),2)&amp;"this."&amp;D31&amp;" = '',")</f>
        <v xml:space="preserve">		this.boothDate = '',</v>
      </c>
      <c r="V31" s="31" t="str">
        <f t="shared" ref="V31:V35" si="44">IF(AND(E31="string",F31="1"),D31,"")</f>
        <v/>
      </c>
    </row>
    <row r="32" spans="1:22" ht="18" customHeight="1" x14ac:dyDescent="0.25">
      <c r="A32" s="44" t="s">
        <v>291</v>
      </c>
      <c r="B32" s="31" t="str">
        <f t="shared" si="36"/>
        <v>FinishedDate</v>
      </c>
      <c r="C32" s="31" t="str">
        <f t="shared" si="37"/>
        <v>Finished Date</v>
      </c>
      <c r="D32" s="31" t="str">
        <f t="shared" si="38"/>
        <v>finishedDate</v>
      </c>
      <c r="E32" s="31" t="str">
        <f>A.Backend!H26</f>
        <v>DateTime</v>
      </c>
      <c r="F32" s="31" t="str">
        <f>A.Backend!G26</f>
        <v>7</v>
      </c>
      <c r="G32" s="31" t="str">
        <f t="shared" si="39"/>
        <v xml:space="preserve"> : any ;</v>
      </c>
      <c r="H32" s="38" t="str">
        <f t="shared" si="40"/>
        <v xml:space="preserve">			{headerName: this.l('Finished Date'),headerTooltip: this.l('Finished Date'),field: 'finishedDate',valueGetter: (params) =&gt; this.pipe.transform(params.data?.finishedDate, 'dd/MM/yyyy'),flex: 1},</v>
      </c>
      <c r="I32" s="38" t="str">
        <f t="shared" si="41"/>
        <v xml:space="preserve">								&lt;div class='input-search'&gt;
									&lt;input type='text' [placeholder]="l('Finished Date')" [(ngModel)]='finishedDate' 
									name='finishedDate' (keydown)='searchDatas()' class='form-control' 
									bsDatepicker #d='bsDatepicker' placement='bottom left'&gt;
									&lt;i class='fa fa-calendar-alt' (click)='d.toggle()'&gt;&lt;/i&gt;
								&lt;/div&gt;</v>
      </c>
      <c r="J32" s="31"/>
      <c r="K32" s="38" t="str">
        <f t="shared" si="42"/>
        <v xml:space="preserve">					&lt;div class='col-md-12 form-group row'&gt;
						&lt;label class='col-md-2 form-control title'&gt;Finished Date&lt;/label&gt;
						&lt;input type='text' class='col-md-10 form-control input-text' name='finishedDate' 
						#datepicker='bsDatepicker' [(ngModel)]='rowdata.finishedDate'  bsDatepicker &gt;
					&lt;/div&gt;</v>
      </c>
      <c r="L32" s="60" t="str">
        <f t="shared" si="43"/>
        <v xml:space="preserve">		const dateValue =  this.rowdata.finishedDate ? new Date(this.rowdata.finishedDate?.toString()) : new Date();
		this.datepicker?.bsValueChange.emit(dateValue);</v>
      </c>
      <c r="M32" s="31"/>
      <c r="N32" s="31"/>
      <c r="O32" s="31"/>
      <c r="P32" s="31"/>
      <c r="Q32" s="31"/>
      <c r="R32" s="31"/>
      <c r="S32" s="31" t="str">
        <f t="shared" ref="S32:S35" si="45">REPT(CHAR(9),1)&amp;D32&amp;G32</f>
        <v xml:space="preserve">	finishedDate : any ;</v>
      </c>
      <c r="T32" s="31" t="str">
        <f t="shared" ref="T32:T35" si="46">REPT(CHAR(9),3)&amp;"this."&amp;D32&amp;","</f>
        <v xml:space="preserve">			this.finishedDate,</v>
      </c>
      <c r="U32" s="31" t="str">
        <f t="shared" ref="U32:U35" si="47">IF(E32="int",REPT(CHAR(9),2)&amp;"this."&amp;D32&amp;" = 0,",REPT(CHAR(9),2)&amp;"this."&amp;D32&amp;" = '',")</f>
        <v xml:space="preserve">		this.finishedDate = '',</v>
      </c>
      <c r="V32" s="31" t="str">
        <f t="shared" si="44"/>
        <v/>
      </c>
    </row>
    <row r="33" spans="1:22" ht="18" customHeight="1" x14ac:dyDescent="0.25">
      <c r="A33" s="44" t="s">
        <v>292</v>
      </c>
      <c r="B33" s="31" t="str">
        <f>SUBSTITUTE(PROPER(A33),"_","")</f>
        <v>ExtSeq</v>
      </c>
      <c r="C33" s="31" t="str">
        <f>SUBSTITUTE(PROPER(A33),"_"," ")</f>
        <v>Ext Seq</v>
      </c>
      <c r="D33" s="31" t="str">
        <f>LOWER(LEFT(B33,1))&amp;RIGHT(B33,LEN(B33) - 1)</f>
        <v>extSeq</v>
      </c>
      <c r="E33" s="31" t="str">
        <f>A.Backend!H27</f>
        <v>int</v>
      </c>
      <c r="F33" s="31" t="str">
        <f>A.Backend!G27</f>
        <v/>
      </c>
      <c r="G33" s="31" t="str">
        <f t="shared" si="39"/>
        <v xml:space="preserve"> : number = 0 ;</v>
      </c>
      <c r="H33" s="38" t="str">
        <f t="shared" si="40"/>
        <v xml:space="preserve">			{headerName: this.l('Ext Seq'),headerTooltip: this.l('Ext Seq'),field: 'extSeq',flex: 1},</v>
      </c>
      <c r="I33" s="38" t="str">
        <f t="shared" si="41"/>
        <v/>
      </c>
      <c r="J33" s="31"/>
      <c r="K33" s="38" t="str">
        <f t="shared" si="42"/>
        <v xml:space="preserve">					&lt;div class='col-md-12 form-group row'&gt;
						&lt;label class='col-md-2 form-control title'&gt;Ext Seq&lt;/label&gt;
						&lt;input type='number' class='col-md-10 form-control input-text' name='ExtSeq' [(ngModel)]='rowdata.extSeq'&gt;
					&lt;/div&gt;</v>
      </c>
      <c r="L33" s="60" t="str">
        <f t="shared" si="43"/>
        <v/>
      </c>
      <c r="M33" s="31"/>
      <c r="N33" s="31"/>
      <c r="O33" s="31"/>
      <c r="P33" s="31"/>
      <c r="Q33" s="31"/>
      <c r="R33" s="31"/>
      <c r="S33" s="31" t="str">
        <f t="shared" si="45"/>
        <v xml:space="preserve">	extSeq : number = 0 ;</v>
      </c>
      <c r="T33" s="31" t="str">
        <f t="shared" si="46"/>
        <v xml:space="preserve">			this.extSeq,</v>
      </c>
      <c r="U33" s="31" t="str">
        <f t="shared" si="47"/>
        <v xml:space="preserve">		this.extSeq = 0,</v>
      </c>
      <c r="V33" s="31" t="str">
        <f t="shared" si="44"/>
        <v/>
      </c>
    </row>
    <row r="34" spans="1:22" ht="15" customHeight="1" x14ac:dyDescent="0.25">
      <c r="A34" s="44" t="s">
        <v>293</v>
      </c>
      <c r="B34" s="31" t="str">
        <f t="shared" ref="B34:B35" si="48">SUBSTITUTE(PROPER(A34),"_","")</f>
        <v>UnpSeq</v>
      </c>
      <c r="C34" s="31" t="str">
        <f t="shared" ref="C34:C35" si="49">SUBSTITUTE(PROPER(A34),"_"," ")</f>
        <v>Unp Seq</v>
      </c>
      <c r="D34" s="31" t="str">
        <f t="shared" ref="D34:D35" si="50">LOWER(LEFT(B34,1))&amp;RIGHT(B34,LEN(B34) - 1)</f>
        <v>unpSeq</v>
      </c>
      <c r="E34" s="31" t="str">
        <f>A.Backend!H28</f>
        <v>int</v>
      </c>
      <c r="F34" s="31" t="str">
        <f>A.Backend!G28</f>
        <v/>
      </c>
      <c r="G34" s="31" t="str">
        <f t="shared" si="39"/>
        <v xml:space="preserve"> : number = 0 ;</v>
      </c>
      <c r="H34" s="38" t="str">
        <f t="shared" si="40"/>
        <v xml:space="preserve">			{headerName: this.l('Unp Seq'),headerTooltip: this.l('Unp Seq'),field: 'unpSeq',flex: 1},</v>
      </c>
      <c r="I34" s="38" t="str">
        <f t="shared" si="41"/>
        <v/>
      </c>
      <c r="J34" s="31"/>
      <c r="K34" s="38" t="str">
        <f t="shared" si="42"/>
        <v xml:space="preserve">					&lt;div class='col-md-12 form-group row'&gt;
						&lt;label class='col-md-2 form-control title'&gt;Unp Seq&lt;/label&gt;
						&lt;input type='number' class='col-md-10 form-control input-text' name='UnpSeq' [(ngModel)]='rowdata.unpSeq'&gt;
					&lt;/div&gt;</v>
      </c>
      <c r="L34" s="60" t="str">
        <f t="shared" si="43"/>
        <v/>
      </c>
      <c r="M34" s="31"/>
      <c r="N34" s="31"/>
      <c r="O34" s="31"/>
      <c r="P34" s="31"/>
      <c r="Q34" s="31"/>
      <c r="R34" s="31"/>
      <c r="S34" s="31" t="str">
        <f t="shared" si="45"/>
        <v xml:space="preserve">	unpSeq : number = 0 ;</v>
      </c>
      <c r="T34" s="31" t="str">
        <f t="shared" si="46"/>
        <v xml:space="preserve">			this.unpSeq,</v>
      </c>
      <c r="U34" s="31" t="str">
        <f t="shared" si="47"/>
        <v xml:space="preserve">		this.unpSeq = 0,</v>
      </c>
      <c r="V34" s="31" t="str">
        <f t="shared" si="44"/>
        <v/>
      </c>
    </row>
    <row r="35" spans="1:22" ht="18" customHeight="1" x14ac:dyDescent="0.25">
      <c r="A35" s="44" t="s">
        <v>294</v>
      </c>
      <c r="B35" s="31" t="str">
        <f t="shared" si="48"/>
        <v>IsActive</v>
      </c>
      <c r="C35" s="31" t="str">
        <f t="shared" si="49"/>
        <v>Is Active</v>
      </c>
      <c r="D35" s="31" t="str">
        <f t="shared" si="50"/>
        <v>isActive</v>
      </c>
      <c r="E35" s="31" t="str">
        <f>A.Backend!H29</f>
        <v>string</v>
      </c>
      <c r="F35" s="31" t="str">
        <f>A.Backend!G29</f>
        <v>1</v>
      </c>
      <c r="G35" s="31" t="str">
        <f t="shared" si="39"/>
        <v xml:space="preserve"> : string = '' ; </v>
      </c>
      <c r="H35" s="38" t="str">
        <f t="shared" si="40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5" s="38" t="str">
        <f t="shared" si="41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5" s="31"/>
      <c r="K35" s="38" t="str">
        <f t="shared" si="42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5" s="60" t="str">
        <f t="shared" si="43"/>
        <v/>
      </c>
      <c r="M35" s="31"/>
      <c r="N35" s="31"/>
      <c r="O35" s="31"/>
      <c r="P35" s="31"/>
      <c r="Q35" s="31"/>
      <c r="R35" s="31"/>
      <c r="S35" s="31" t="str">
        <f t="shared" si="45"/>
        <v xml:space="preserve">	isActive : string = '' ; </v>
      </c>
      <c r="T35" s="31" t="str">
        <f t="shared" si="46"/>
        <v xml:space="preserve">			this.isActive,</v>
      </c>
      <c r="U35" s="31" t="str">
        <f t="shared" si="47"/>
        <v xml:space="preserve">		this.isActive = '',</v>
      </c>
      <c r="V35" s="31" t="str">
        <f t="shared" si="44"/>
        <v>isActive</v>
      </c>
    </row>
    <row r="38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269</v>
      </c>
      <c r="B20" t="s">
        <v>270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2022-06-14T04:06:08Z</dcterms:modified>
</cp:coreProperties>
</file>
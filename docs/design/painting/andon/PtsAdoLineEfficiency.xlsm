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painting\Andon\"/>
    </mc:Choice>
  </mc:AlternateContent>
  <xr:revisionPtr revIDLastSave="0" documentId="13_ncr:1_{4C1C8C2E-F909-4344-B49B-0ECBCE61B976}" xr6:coauthVersionLast="36" xr6:coauthVersionMax="36" xr10:uidLastSave="{00000000-0000-0000-0000-000000000000}"/>
  <bookViews>
    <workbookView xWindow="0" yWindow="0" windowWidth="28800" windowHeight="1180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externalReferences>
    <externalReference r:id="rId6"/>
  </externalReferences>
  <definedNames>
    <definedName name="_xlnm._FilterDatabase" localSheetId="2" hidden="1">B.Frontend!$A$1:$A$33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" i="5" l="1"/>
  <c r="I15" i="5" l="1"/>
  <c r="H15" i="5"/>
  <c r="H16" i="5"/>
  <c r="K16" i="5" l="1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C29" i="5" l="1"/>
  <c r="B29" i="5"/>
  <c r="D29" i="5" s="1"/>
  <c r="T29" i="5" s="1"/>
  <c r="C28" i="5"/>
  <c r="B28" i="5"/>
  <c r="D28" i="5" s="1"/>
  <c r="C27" i="5"/>
  <c r="B27" i="5"/>
  <c r="D27" i="5" s="1"/>
  <c r="C26" i="5"/>
  <c r="B26" i="5"/>
  <c r="D26" i="5" s="1"/>
  <c r="C25" i="5"/>
  <c r="B25" i="5"/>
  <c r="D25" i="5" s="1"/>
  <c r="C24" i="5"/>
  <c r="B24" i="5"/>
  <c r="D24" i="5" s="1"/>
  <c r="C23" i="5"/>
  <c r="B23" i="5"/>
  <c r="D23" i="5" s="1"/>
  <c r="C22" i="5"/>
  <c r="B22" i="5"/>
  <c r="D22" i="5" s="1"/>
  <c r="C21" i="5"/>
  <c r="B21" i="5"/>
  <c r="D21" i="5" s="1"/>
  <c r="C20" i="5"/>
  <c r="B20" i="5"/>
  <c r="D20" i="5" s="1"/>
  <c r="T20" i="5" s="1"/>
  <c r="C19" i="5"/>
  <c r="B19" i="5"/>
  <c r="D19" i="5" s="1"/>
  <c r="C18" i="5"/>
  <c r="B18" i="5"/>
  <c r="D18" i="5" s="1"/>
  <c r="T18" i="5" s="1"/>
  <c r="C17" i="5"/>
  <c r="B17" i="5"/>
  <c r="D17" i="5" s="1"/>
  <c r="C16" i="5"/>
  <c r="B16" i="5"/>
  <c r="D16" i="5" s="1"/>
  <c r="G18" i="1"/>
  <c r="E18" i="1"/>
  <c r="H18" i="1" s="1"/>
  <c r="D18" i="1"/>
  <c r="V18" i="1" s="1"/>
  <c r="L17" i="1"/>
  <c r="G17" i="1"/>
  <c r="E17" i="1"/>
  <c r="H17" i="1" s="1"/>
  <c r="D17" i="1"/>
  <c r="T17" i="1" s="1"/>
  <c r="L16" i="1"/>
  <c r="G16" i="1"/>
  <c r="E16" i="1"/>
  <c r="H16" i="1" s="1"/>
  <c r="D16" i="1"/>
  <c r="V16" i="1" s="1"/>
  <c r="G15" i="1"/>
  <c r="E15" i="1"/>
  <c r="H15" i="1" s="1"/>
  <c r="D15" i="1"/>
  <c r="T15" i="1" s="1"/>
  <c r="L14" i="1"/>
  <c r="G14" i="1"/>
  <c r="E14" i="1"/>
  <c r="H14" i="1" s="1"/>
  <c r="D14" i="1"/>
  <c r="V14" i="1" s="1"/>
  <c r="L13" i="1"/>
  <c r="G13" i="1"/>
  <c r="E13" i="1"/>
  <c r="H13" i="1" s="1"/>
  <c r="D13" i="1"/>
  <c r="T13" i="1" s="1"/>
  <c r="L12" i="1"/>
  <c r="G12" i="1"/>
  <c r="E12" i="1"/>
  <c r="H12" i="1" s="1"/>
  <c r="D12" i="1"/>
  <c r="V12" i="1" s="1"/>
  <c r="G11" i="1"/>
  <c r="E11" i="1"/>
  <c r="H11" i="1" s="1"/>
  <c r="D11" i="1"/>
  <c r="G10" i="1"/>
  <c r="E10" i="1"/>
  <c r="H10" i="1" s="1"/>
  <c r="D10" i="1"/>
  <c r="V10" i="1" s="1"/>
  <c r="G9" i="1"/>
  <c r="F15" i="5" s="1"/>
  <c r="E9" i="1"/>
  <c r="H9" i="1" s="1"/>
  <c r="E15" i="5" s="1"/>
  <c r="D9" i="1"/>
  <c r="L23" i="1"/>
  <c r="G23" i="1"/>
  <c r="E23" i="1"/>
  <c r="H23" i="1" s="1"/>
  <c r="D23" i="1"/>
  <c r="T23" i="1" s="1"/>
  <c r="L22" i="1"/>
  <c r="G22" i="1"/>
  <c r="E22" i="1"/>
  <c r="H22" i="1" s="1"/>
  <c r="D22" i="1"/>
  <c r="V22" i="1" s="1"/>
  <c r="L21" i="1"/>
  <c r="G21" i="1"/>
  <c r="E21" i="1"/>
  <c r="H21" i="1" s="1"/>
  <c r="D21" i="1"/>
  <c r="T21" i="1" s="1"/>
  <c r="L20" i="1"/>
  <c r="G20" i="1"/>
  <c r="E20" i="1"/>
  <c r="H20" i="1" s="1"/>
  <c r="D20" i="1"/>
  <c r="V20" i="1" s="1"/>
  <c r="G19" i="1"/>
  <c r="E19" i="1"/>
  <c r="H19" i="1" s="1"/>
  <c r="D19" i="1"/>
  <c r="T19" i="1" s="1"/>
  <c r="L26" i="5" l="1"/>
  <c r="T16" i="1"/>
  <c r="M23" i="1"/>
  <c r="W10" i="1"/>
  <c r="W12" i="1"/>
  <c r="W16" i="1"/>
  <c r="M19" i="1"/>
  <c r="V25" i="5"/>
  <c r="I9" i="1"/>
  <c r="M21" i="1"/>
  <c r="T10" i="1"/>
  <c r="I26" i="5"/>
  <c r="W18" i="1"/>
  <c r="I24" i="5"/>
  <c r="I22" i="5"/>
  <c r="V26" i="5"/>
  <c r="W14" i="1"/>
  <c r="I20" i="5"/>
  <c r="U26" i="5"/>
  <c r="S26" i="5"/>
  <c r="U17" i="5"/>
  <c r="I28" i="5"/>
  <c r="I17" i="5"/>
  <c r="U20" i="5"/>
  <c r="V21" i="5"/>
  <c r="V27" i="5"/>
  <c r="I19" i="5"/>
  <c r="U19" i="5"/>
  <c r="V20" i="5"/>
  <c r="V22" i="5"/>
  <c r="L22" i="5"/>
  <c r="S24" i="5"/>
  <c r="U24" i="5"/>
  <c r="V28" i="5"/>
  <c r="L28" i="5"/>
  <c r="V29" i="5"/>
  <c r="S20" i="5"/>
  <c r="S22" i="5"/>
  <c r="U22" i="5"/>
  <c r="V23" i="5"/>
  <c r="S28" i="5"/>
  <c r="U28" i="5"/>
  <c r="L20" i="5"/>
  <c r="V24" i="5"/>
  <c r="I16" i="5"/>
  <c r="T26" i="5"/>
  <c r="T22" i="5"/>
  <c r="T24" i="5"/>
  <c r="T28" i="5"/>
  <c r="I21" i="5"/>
  <c r="T21" i="5"/>
  <c r="I23" i="5"/>
  <c r="T23" i="5"/>
  <c r="I25" i="5"/>
  <c r="T25" i="5"/>
  <c r="I27" i="5"/>
  <c r="T27" i="5"/>
  <c r="I29" i="5"/>
  <c r="S16" i="5"/>
  <c r="U21" i="5"/>
  <c r="U23" i="5"/>
  <c r="U27" i="5"/>
  <c r="U29" i="5"/>
  <c r="U16" i="5"/>
  <c r="L16" i="5"/>
  <c r="S21" i="5"/>
  <c r="L21" i="5"/>
  <c r="S23" i="5"/>
  <c r="L23" i="5"/>
  <c r="S27" i="5"/>
  <c r="L27" i="5"/>
  <c r="S29" i="5"/>
  <c r="L29" i="5"/>
  <c r="V16" i="5"/>
  <c r="T17" i="5"/>
  <c r="T19" i="5"/>
  <c r="T16" i="5"/>
  <c r="S17" i="5"/>
  <c r="L17" i="5"/>
  <c r="V17" i="5"/>
  <c r="S19" i="5"/>
  <c r="L19" i="5"/>
  <c r="V19" i="5"/>
  <c r="P14" i="1"/>
  <c r="P20" i="1"/>
  <c r="P12" i="1"/>
  <c r="T14" i="1"/>
  <c r="P18" i="1"/>
  <c r="P22" i="1"/>
  <c r="I19" i="1"/>
  <c r="P10" i="1"/>
  <c r="T12" i="1"/>
  <c r="P16" i="1"/>
  <c r="T18" i="1"/>
  <c r="M11" i="1"/>
  <c r="W11" i="1"/>
  <c r="O11" i="1"/>
  <c r="M15" i="1"/>
  <c r="W15" i="1"/>
  <c r="O15" i="1"/>
  <c r="J15" i="1"/>
  <c r="N15" i="1"/>
  <c r="I15" i="1"/>
  <c r="T9" i="1"/>
  <c r="P9" i="1"/>
  <c r="I11" i="1"/>
  <c r="M17" i="1"/>
  <c r="W17" i="1"/>
  <c r="O17" i="1"/>
  <c r="J17" i="1"/>
  <c r="N17" i="1"/>
  <c r="I17" i="1"/>
  <c r="M13" i="1"/>
  <c r="W13" i="1"/>
  <c r="O13" i="1"/>
  <c r="J13" i="1"/>
  <c r="N13" i="1"/>
  <c r="I13" i="1"/>
  <c r="M9" i="1"/>
  <c r="W9" i="1"/>
  <c r="O9" i="1"/>
  <c r="V9" i="1"/>
  <c r="T11" i="1"/>
  <c r="P11" i="1"/>
  <c r="V11" i="1"/>
  <c r="V13" i="1"/>
  <c r="V15" i="1"/>
  <c r="V17" i="1"/>
  <c r="M10" i="1"/>
  <c r="M12" i="1"/>
  <c r="M14" i="1"/>
  <c r="M16" i="1"/>
  <c r="M18" i="1"/>
  <c r="I21" i="1"/>
  <c r="I10" i="1"/>
  <c r="N10" i="1"/>
  <c r="I12" i="1"/>
  <c r="N12" i="1"/>
  <c r="P13" i="1"/>
  <c r="I14" i="1"/>
  <c r="N14" i="1"/>
  <c r="L15" i="1"/>
  <c r="P15" i="1"/>
  <c r="I16" i="1"/>
  <c r="N16" i="1"/>
  <c r="P17" i="1"/>
  <c r="I18" i="1"/>
  <c r="N18" i="1"/>
  <c r="J10" i="1"/>
  <c r="O10" i="1"/>
  <c r="J12" i="1"/>
  <c r="O12" i="1"/>
  <c r="J14" i="1"/>
  <c r="O14" i="1"/>
  <c r="J16" i="1"/>
  <c r="O16" i="1"/>
  <c r="J18" i="1"/>
  <c r="O18" i="1"/>
  <c r="W22" i="1"/>
  <c r="O22" i="1"/>
  <c r="J22" i="1"/>
  <c r="N22" i="1"/>
  <c r="I22" i="1"/>
  <c r="M22" i="1"/>
  <c r="W20" i="1"/>
  <c r="O20" i="1"/>
  <c r="J20" i="1"/>
  <c r="N20" i="1"/>
  <c r="I20" i="1"/>
  <c r="M20" i="1"/>
  <c r="N21" i="1"/>
  <c r="V21" i="1"/>
  <c r="I23" i="1"/>
  <c r="N23" i="1"/>
  <c r="V23" i="1"/>
  <c r="J19" i="1"/>
  <c r="O19" i="1"/>
  <c r="W19" i="1"/>
  <c r="T20" i="1"/>
  <c r="J21" i="1"/>
  <c r="O21" i="1"/>
  <c r="W21" i="1"/>
  <c r="T22" i="1"/>
  <c r="J23" i="1"/>
  <c r="O23" i="1"/>
  <c r="W23" i="1"/>
  <c r="N19" i="1"/>
  <c r="V19" i="1"/>
  <c r="L19" i="1"/>
  <c r="P19" i="1"/>
  <c r="P21" i="1"/>
  <c r="P23" i="1"/>
  <c r="G24" i="1"/>
  <c r="E24" i="1"/>
  <c r="H24" i="1" s="1"/>
  <c r="D24" i="1"/>
  <c r="T24" i="1" s="1"/>
  <c r="B30" i="5"/>
  <c r="D30" i="5" s="1"/>
  <c r="C15" i="5"/>
  <c r="L25" i="5" l="1"/>
  <c r="S25" i="5"/>
  <c r="U25" i="5"/>
  <c r="L24" i="5"/>
  <c r="M24" i="1"/>
  <c r="I24" i="1"/>
  <c r="N24" i="1"/>
  <c r="J24" i="1"/>
  <c r="O24" i="1"/>
  <c r="W24" i="1"/>
  <c r="P24" i="1"/>
  <c r="V24" i="1"/>
  <c r="U30" i="5"/>
  <c r="T30" i="5"/>
  <c r="B15" i="5"/>
  <c r="D15" i="5" s="1"/>
  <c r="T15" i="5" s="1"/>
  <c r="C30" i="5"/>
  <c r="S30" i="5"/>
  <c r="L30" i="5"/>
  <c r="V30" i="5"/>
  <c r="I30" i="5" l="1"/>
  <c r="W3" i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I18" i="5" l="1"/>
  <c r="L18" i="5"/>
  <c r="S18" i="5"/>
  <c r="U18" i="5"/>
  <c r="R10" i="5"/>
  <c r="M45" i="3" s="1"/>
  <c r="N38" i="3" l="1"/>
  <c r="B8" i="5"/>
  <c r="B5" i="5"/>
  <c r="P10" i="5" l="1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26" i="1"/>
  <c r="N3" i="1" l="1"/>
  <c r="M3" i="1"/>
  <c r="O3" i="1"/>
  <c r="T12" i="5" l="1"/>
  <c r="H12" i="5"/>
  <c r="I12" i="5"/>
  <c r="K12" i="5"/>
  <c r="U12" i="5"/>
  <c r="L12" i="5"/>
  <c r="V12" i="5"/>
  <c r="S12" i="5"/>
  <c r="R3" i="1" l="1"/>
  <c r="D1" i="1"/>
  <c r="F6" i="1"/>
  <c r="T26" i="1"/>
  <c r="T13" i="5"/>
  <c r="T7" i="1" l="1"/>
  <c r="W26" i="1"/>
  <c r="G6" i="1" l="1"/>
  <c r="V18" i="5" l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U15" i="5" l="1"/>
  <c r="V15" i="5"/>
  <c r="G15" i="5"/>
  <c r="S15" i="5" s="1"/>
  <c r="L15" i="5"/>
  <c r="I3" i="1"/>
  <c r="B7" i="1"/>
  <c r="I13" i="5"/>
  <c r="V13" i="5"/>
  <c r="K13" i="5"/>
  <c r="L13" i="5"/>
  <c r="U13" i="5"/>
  <c r="H13" i="5"/>
  <c r="S13" i="5"/>
  <c r="K10" i="5" l="1"/>
  <c r="F45" i="3" s="1"/>
  <c r="J11" i="1"/>
  <c r="N9" i="1"/>
  <c r="N11" i="1"/>
  <c r="J9" i="1"/>
  <c r="L11" i="1"/>
  <c r="L18" i="1"/>
  <c r="L10" i="1"/>
  <c r="L9" i="1"/>
  <c r="L24" i="1"/>
  <c r="I10" i="5"/>
  <c r="D45" i="3" s="1"/>
  <c r="H10" i="5"/>
  <c r="C45" i="3" s="1"/>
  <c r="L10" i="5"/>
  <c r="G45" i="3" s="1"/>
  <c r="C7" i="1"/>
  <c r="I26" i="1"/>
  <c r="O26" i="1"/>
  <c r="P26" i="1"/>
  <c r="J26" i="1"/>
  <c r="N26" i="1"/>
  <c r="Q7" i="1" l="1"/>
  <c r="M38" i="3" s="1"/>
  <c r="L7" i="1"/>
  <c r="G38" i="3" s="1"/>
  <c r="K38" i="3"/>
  <c r="J38" i="3"/>
  <c r="M26" i="1"/>
  <c r="K26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 xr:uid="{00000000-0006-0000-0000-000007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 xr:uid="{00000000-0006-0000-0000-000009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 xr:uid="{00000000-0006-0000-0000-00000A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 xr:uid="{00000000-0006-0000-0000-00000B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 xr:uid="{00000000-0006-0000-0000-00000C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<sst xmlns="http://schemas.openxmlformats.org/spreadsheetml/2006/main" count="394" uniqueCount="295">
  <si>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</si>
  <si>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</si>
  <si>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</si>
  <si>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</si>
  <si>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</si>
  <si>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</si>
  <si>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</si>
  <si>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</si>
  <si>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</si>
  <si>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</si>
  <si>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</si>
  <si>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</si>
  <si>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</si>
  <si>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</si>
  <si>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</si>
  <si>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</si>
  <si>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</si>
  <si>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</si>
  <si>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</si>
  <si>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</si>
  <si>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</si>
  <si>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</si>
  <si>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</si>
  <si>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</si>
  <si>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</si>
  <si>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</si>
  <si>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</si>
  <si>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</si>
  <si>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</si>
  <si>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</si>
  <si>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</si>
  <si>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</si>
  <si>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</si>
  <si>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</si>
  <si>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</si>
  <si>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</si>
  <si>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</si>
  <si>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</si>
  <si>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</si>
  <si>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</si>
  <si>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</si>
  <si>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</si>
  <si>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</si>
  <si>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</si>
  <si>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</si>
  <si>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</si>
  <si>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</si>
  <si>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</si>
  <si>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</si>
  <si>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</si>
  <si>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</si>
  <si>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</si>
  <si>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</si>
  <si>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</si>
  <si>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</si>
  <si>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</si>
  <si>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</si>
  <si>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</si>
  <si>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</si>
  <si>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</si>
  <si>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</si>
  <si>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</si>
  <si>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</si>
  <si>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</si>
  <si>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</si>
  <si>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</si>
  <si>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</si>
  <si>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</si>
  <si>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</si>
  <si>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</si>
  <si>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</si>
  <si>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</si>
  <si>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</si>
  <si>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</si>
  <si>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</si>
  <si>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</si>
  <si>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</si>
  <si>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</si>
  <si>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</si>
  <si>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</si>
  <si>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</si>
  <si>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</si>
  <si>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</si>
  <si>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</si>
  <si>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</si>
  <si>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</si>
  <si>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</si>
  <si>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</si>
  <si>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</si>
  <si>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</si>
  <si>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</si>
  <si>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</si>
  <si>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</si>
  <si>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</si>
  <si>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</si>
  <si>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</si>
  <si>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</si>
  <si>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</si>
  <si>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</si>
  <si>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</si>
  <si>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</si>
  <si>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</si>
  <si>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</si>
  <si>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</si>
  <si>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</si>
  <si>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</si>
  <si>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</si>
  <si>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</si>
  <si>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</si>
  <si>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</si>
  <si>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</si>
  <si>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</si>
  <si>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</si>
  <si>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</si>
  <si>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</si>
  <si>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</si>
  <si>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</si>
  <si>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</si>
  <si>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</si>
  <si>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</si>
  <si>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</si>
  <si>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</si>
  <si>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</si>
  <si>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</si>
  <si>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</si>
  <si>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</si>
  <si>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</si>
  <si>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</si>
  <si>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</si>
  <si>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</si>
  <si>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</si>
  <si>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</si>
  <si>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</si>
  <si>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</si>
  <si>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</si>
  <si>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</si>
  <si>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</si>
  <si>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</si>
  <si>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</si>
  <si>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</si>
  <si>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</si>
  <si>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</si>
  <si>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</si>
  <si>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</si>
  <si>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</si>
  <si>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</si>
  <si>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</si>
  <si>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</si>
  <si>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</si>
  <si>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</si>
  <si>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</si>
  <si>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</si>
  <si>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</si>
  <si>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</si>
  <si>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</si>
  <si>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</si>
  <si>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</si>
  <si>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</si>
  <si>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</si>
  <si>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</si>
  <si>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</si>
  <si>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</si>
  <si>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</si>
  <si>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</si>
  <si>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</si>
  <si>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</si>
  <si>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</si>
  <si>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</si>
  <si>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</si>
  <si>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</si>
  <si>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</si>
  <si>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</si>
  <si>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</si>
  <si>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</si>
  <si>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</si>
  <si>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</si>
  <si>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</si>
  <si>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</si>
  <si>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</si>
  <si>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</si>
  <si>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</si>
  <si>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</si>
  <si>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</si>
  <si>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</si>
  <si>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</si>
  <si>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</si>
  <si>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</si>
  <si>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</si>
  <si>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</si>
  <si>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</si>
  <si>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</si>
  <si>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</si>
  <si>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</si>
  <si>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</si>
  <si>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</si>
  <si>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</si>
  <si>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</si>
  <si>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</si>
  <si>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</si>
  <si>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</si>
  <si>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</si>
  <si>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</si>
  <si>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</si>
  <si>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</si>
  <si>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</si>
  <si>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</si>
  <si>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</si>
  <si>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</si>
  <si>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</si>
  <si>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</si>
  <si>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</si>
  <si>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</si>
  <si>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</si>
  <si>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</si>
  <si>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</si>
  <si>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</si>
  <si>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</si>
  <si>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</si>
  <si>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</si>
  <si>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</si>
  <si>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</si>
  <si>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</si>
  <si>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</si>
  <si>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</si>
  <si>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</si>
  <si>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</si>
  <si>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</si>
  <si>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</si>
  <si>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</si>
  <si>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</si>
  <si>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</si>
  <si>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</si>
  <si>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</si>
  <si>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</si>
  <si>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</si>
  <si>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</si>
  <si>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</si>
  <si>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</si>
  <si>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</si>
  <si>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</si>
  <si>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</si>
  <si>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</si>
  <si>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</si>
  <si>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</si>
  <si>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</si>
  <si>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</si>
  <si>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</si>
  <si>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</si>
  <si>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</si>
  <si>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</si>
  <si>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</si>
  <si>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</si>
  <si>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</si>
  <si>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</si>
  <si>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</si>
  <si>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</si>
  <si>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</si>
  <si>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</si>
  <si>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</si>
  <si>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</si>
  <si>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</si>
  <si>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</si>
  <si>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</si>
  <si>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</si>
  <si>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</si>
  <si>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</si>
  <si>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</si>
  <si>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</si>
  <si>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</si>
  <si>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varchar(1)</t>
  </si>
  <si>
    <t>IS_ACTIVE</t>
  </si>
  <si>
    <t>Painting.Andon</t>
  </si>
  <si>
    <t>LINE</t>
  </si>
  <si>
    <t>varchar(5)</t>
  </si>
  <si>
    <t>Unchecked</t>
  </si>
  <si>
    <t>SHIFT</t>
  </si>
  <si>
    <t>WORKING_DATE</t>
  </si>
  <si>
    <t>VOL_TARGET</t>
  </si>
  <si>
    <t>VOL_ACTUAL</t>
  </si>
  <si>
    <t>VOL_BALANCE</t>
  </si>
  <si>
    <t>STOP_TIME</t>
  </si>
  <si>
    <t>varchar(10)</t>
  </si>
  <si>
    <t>EFFICIENCY</t>
  </si>
  <si>
    <t>TAKT_TIME</t>
  </si>
  <si>
    <t>OVERTIME</t>
  </si>
  <si>
    <t>NON_PROD_ACT</t>
  </si>
  <si>
    <t>OFF_LINE_1</t>
  </si>
  <si>
    <t>OFF_LINE_2</t>
  </si>
  <si>
    <t>OFF_LINE_3</t>
  </si>
  <si>
    <t>SHIFT_VOL_PLAN</t>
  </si>
  <si>
    <t>PtsAdoLineEfficiency</t>
  </si>
  <si>
    <t>LineEfficiency</t>
  </si>
  <si>
    <t>Painting Andon Line Efficiency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</si>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</sst>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tsAdoTotal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 refreshError="1"/>
      <sheetData sheetId="1" refreshError="1"/>
      <sheetData sheetId="2">
        <row r="15">
          <cell r="H15" t="str">
            <v xml:space="preserve">			{headerName: this.l('Lot No'),headerTooltip: this.l('Lot No'),field: 'lotNo',flex: 1},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7"/>
  <sheetViews>
    <sheetView topLeftCell="A31" workbookViewId="0">
      <selection activeCell="G45" sqref="G45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[Table("PtsAdoLineEfficiency")]
	[Index(nameof(Line), Name="IX_PtsAdoLineEfficiency_Line")]
	[Index(nameof(Shift), Name="IX_PtsAdoLineEfficiency_Shift")]
	[Index(nameof(WorkingDate), Name="IX_PtsAdoLineEfficiency_WorkingDate")]
	[Index(nameof(IsActive), Name="IX_PtsAdoLineEfficiency_IsActive")]	public class PtsAdoLineEfficiency: FullAuditedEntity&lt;long&gt;, IEntity&lt;long&gt;	
	{
		public const int MaxLineLength = 5;
		public const int MaxShiftLength = 1;
		public const int MaxStopTimeLength = 10;
		public const int MaxEfficiencyLength = 10;
		public const int MaxTaktTimeLength = 10;
		public const int MaxOvertimeLength = 10;
		public const int MaxNonProdActLength = 10;
		public const int MaxIsActiveLength = 1;
		[Required]
		[StringLength(MaxLineLength)]
		public virtual string Line { get; set; }
		[StringLength(MaxShiftLength)]
		public virtual string Shift { get; set; }
		[Required]
		public virtual DateTime WorkingDate { get; set; }
		public virtual int VolTarget { get; set; }
		public virtual int VolActual { get; set; }
		public virtual int VolBalance { get; set; }
		[StringLength(MaxStopTimeLength)]
		public virtual string StopTime { get; set; }
		[StringLength(MaxEfficiencyLength)]
		public virtual string Efficiency { get; set; }
		[StringLength(MaxTaktTimeLength)]
		public virtual string TaktTime { get; set; }
		[StringLength(MaxOvertimeLength)]
		public virtual string Overtime { get; set; }
		[StringLength(MaxNonProdActLength)]
		public virtual string NonProdAct { get; set; }
		public virtual int OffLine1 { get; set; }
		public virtual int OffLine2 { get; set; }
		public virtual int OffLine3 { get; set; }
		public virtual int ShiftVolPlan { get; set; }
		[StringLength(MaxIsActiveLength)]
		public virtual string IsActive { get; set; }
	}
}
</v>
      </c>
      <c r="D38" s="51" t="str">
        <f>A.Backend!O7</f>
        <v xml:space="preserve">		public const string Pages_Painting_Andon_LineEfficiency = "Pages.Painting.Andon.LineEfficiency";
		public const string Pages_Painting_Andon_LineEfficiency_CreateEdit = "Pages.Painting.Andon.LineEfficiency.CreateEdit";
		public const string Pages_Painting_Andon_LineEfficiency_Delete = "Pages.Painting.Andon.LineEfficiency.Delete";
</v>
      </c>
      <c r="E38" s="51" t="str">
        <f>A.Backend!N7</f>
        <v xml:space="preserve">		var perPtsAdoLineEfficiency = PARENTS.CreateChildPermission(AppPermissions.Pages_Painting_Andon_LineEfficiency, L( "PaintingAndonLineEfficiency"));
		perPtsAdoLineEfficiency.CreateChildPermission(AppPermissions.Pages_Painting_Andon_LineEfficiency_CreateEdit, L( "PaintingAndonLineEfficiencyCreateEdit"));
		perPtsAdoLineEfficiency.CreateChildPermission(AppPermissions.Pages_Painting_Andon_LineEfficiency_Delete, L( "PaintingAndonLineEfficiencyDelete"));</v>
      </c>
      <c r="F38" s="51" t="str">
        <f>A.Backend!K7</f>
        <v>public virtual DbSet&lt;PtsAdoLineEfficiency&gt; PtsAdoLineEfficiencys { get; set; }</v>
      </c>
      <c r="G38" s="51" t="str">
        <f ca="1">A.Backend!L7</f>
        <v xml:space="preserve">namespace vovina.Painting.Andon
{
	public class PtsAdoLineEfficiencyConsts	
	{
		public const int MaxLineLength = 5;
		public const int MaxShiftLength = 1;
		public const int MaxStopTimeLength = 10;
		public const int MaxEfficiencyLength = 10;
		public const int MaxTaktTimeLength = 10;
		public const int MaxOvertimeLength = 10;
		public const int MaxNonProdActLength = 10;
		public const int MaxIsActiveLength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vovina.Painting.Andon.Dto
{
	public class PtsAdoLineEfficiencyDto : EntityDto&lt;long?&gt;	
	{
		public virtual string Line { get; set; }
		public virtual string Shift { get; set; }
		public virtual DateTime? WorkingDate { get; set; }
		public virtual int VolTarget { get; set; }
		public virtual int VolActual { get; set; }
		public virtual int VolBalance { get; set; }
		public virtual string StopTime { get; set; }
		public virtual string Efficiency { get; set; }
		public virtual string TaktTime { get; set; }
		public virtual string Overtime { get; set; }
		public virtual string NonProdAct { get; set; }
		public virtual int OffLine1 { get; set; }
		public virtual int OffLine2 { get; set; }
		public virtual int OffLine3 { get; set; }
		public virtual int ShiftVolPlan { get; set; }
		public virtual string IsActive { get; set; }
	}
	public class CreateOrEditPtsAdoLineEfficiencyDto : EntityDto&lt;long?&gt;	
	{
		[Required]
		[StringLength(PtsAdoLineEfficiencyConsts.MaxLineLength)]
		public virtual string Line { get; set; }
		[StringLength(PtsAdoLineEfficiencyConsts.MaxShiftLength)]
		public virtual string Shift { get; set; }
		[Required]
		public virtual DateTime? WorkingDate { get; set; }
		public virtual int VolTarget { get; set; }
		public virtual int VolActual { get; set; }
		public virtual int VolBalance { get; set; }
		[StringLength(PtsAdoLineEfficiencyConsts.MaxStopTimeLength)]
		public virtual string StopTime { get; set; }
		[StringLength(PtsAdoLineEfficiencyConsts.MaxEfficiencyLength)]
		public virtual string Efficiency { get; set; }
		[StringLength(PtsAdoLineEfficiencyConsts.MaxTaktTimeLength)]
		public virtual string TaktTime { get; set; }
		[StringLength(PtsAdoLineEfficiencyConsts.MaxOvertimeLength)]
		public virtual string Overtime { get; set; }
		[StringLength(PtsAdoLineEfficiencyConsts.MaxNonProdActLength)]
		public virtual string NonProdAct { get; set; }
		public virtual int OffLine1 { get; set; }
		public virtual int OffLine2 { get; set; }
		public virtual int OffLine3 { get; set; }
		public virtual int ShiftVolPlan { get; set; }
		[StringLength(PtsAdoLineEfficiencyConsts.MaxIsActiveLength)]
		public virtual string IsActive { get; set; }
	}
	public class GetPtsAdoLineEfficiencyInput : PagedAndSortedResultRequestDto	
	{
		public virtual string Line { get; set; }
		public virtual string Shift { get; set; }
		public virtual DateTime? WorkingDate { get; set; }
		public virtual int VolTarget { get; set; }
		public virtual int VolActual { get; set; }
		public virtual int VolBalance { get; set; }
		public virtual string StopTime { get; set; }
		public virtual string Efficiency { get; set; }
		public virtual string TaktTime { get; set; }
		public virtual string Overtime { get; set; }
		public virtual string NonProdAct { get; set; }
		public virtual int OffLine1 { get; set; }
		public virtual int OffLine2 { get; set; }
		public virtual int OffLine3 { get; set; }
		public virtual int ShiftVolPlan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vovina.Painting.Andon.Dto
{
	public class PtsAdoLineEfficiencyExportInput{
		public virtual string Line { get; set; }
		public virtual string Shift { get; set; }
		public virtual DateTime? WorkingDate { get; set; }
		public virtual int VolTarget { get; set; }
		public virtual int VolActual { get; set; }
		public virtual int VolBalance { get; set; }
		public virtual string StopTime { get; set; }
		public virtual string Efficiency { get; set; }
		public virtual string TaktTime { get; set; }
		public virtual string Overtime { get; set; }
		public virtual string NonProdAct { get; set; }
		public virtual int OffLine1 { get; set; }
		public virtual int OffLine2 { get; set; }
		public virtual int OffLine3 { get; set; }
		public virtual int ShiftVolPlan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vovina.Painting.Andon.Dto;
namespace vovina.Painting.Andon
{
	public interface IPtsAdoLineEfficiencyAppService : IApplicationService
	{
		Task&lt;PagedResultDto&lt;PtsAdoLineEfficiencyDto&gt;&gt; GetAll(GetPtsAdoLineEfficiencyInput input);
		Task CreateOrEdit(CreateOrEditPtsAdoLineEfficiencyDto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IPtsAdoLineEfficiencyExcelExporter : IApplicationService
	{
		FileDto ExportToFile(List&lt;PtsAdoLineEfficiencyDto&gt; ptsadolineefficiency);
	}
}
</v>
      </c>
      <c r="L38" s="51" t="str">
        <f ca="1">A.Backend!T7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PtsAdoLineEfficiencyExcelExporter : NpoiExcelExporterBase, IPtsAdoLineEfficiencyExcelExporter
    {
        public PtsAdoLineEfficiencyExcelExporter(ITempFileCacheManager tempFileCacheManager) : base(tempFileCacheManager) { }
        public FileDto ExportToFile(List&lt;PtsAdoLineEfficiencyDto&gt; lineefficiency)
        {
            return CreateExcelPackage(
				"PaintingAndonLineEfficiency.xlsx",
				excelPackage =&gt;
				 {
					var sheet = excelPackage.CreateSheet("LineEfficiency");
					AddHeader(
								sheet,
								("Line"),
								("Shift"),
								("WorkingDate"),
								("VolTarget"),
								("VolActual"),
								("VolBalance"),
								("StopTime"),
								("Efficiency"),
								("TaktTime"),
								("Overtime"),
								("NonProdAct"),
								("OffLine1"),
								("OffLine2"),
								("OffLine3"),
								("ShiftVolPlan"),
								("IsActive"),
							   );
					AddObjects(
						 sheet, 1, lineefficiency,                                       
								_ =&gt; _.Line,
								_ =&gt; _.Shift,
								_ =&gt; _.WorkingDate,
								_ =&gt; _.VolTarget,
								_ =&gt; _.VolActual,
								_ =&gt; _.VolBalance,
								_ =&gt; _.StopTime,
								_ =&gt; _.Efficiency,
								_ =&gt; _.TaktTime,
								_ =&gt; _.Overtime,
								_ =&gt; _.NonProdAct,
								_ =&gt; _.OffLine1,
								_ =&gt; _.OffLine2,
								_ =&gt; _.OffLine3,
								_ =&gt; _.ShiftVolPlan,
								_ =&gt; _.IsActive,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[AbpAuthorize(AppPermissions.Pages_Painting_Andon_LineEfficiency)]
    public class PtsAdoLineEfficiencyAppService : vovinaAppServiceBase, IPtsAdoLineEfficiencyAppService
    {
        private readonly IDapperRepository&lt;PtsAdoLineEfficiency, long&gt; _dapperRepo;
        private readonly IRepository&lt;PtsAdoLineEfficiency, long&gt; _repo;
        private readonly IPtsAdoLineEfficiencyExcelExporter _calendarListExcelExporter;
        public PtsAdoLineEfficiencyAppService(IRepository&lt;PtsAdoLineEfficiency,long&gt; repo, 
                                         IDapperRepository&lt;PtsAdoLineEfficiency,long&gt; dapperRepo,
                                        IPtsAdoLineEfficiencyExcelExporter calendarListExcelExporter
            )
        {
            _repo = repo;
            _dapperRepo = dapperRepo;
            _calendarListExcelExporter = calendarListExcelExporter;
        }
        [AbpAuthorize(AppPermissions.Pages_Painting_Andon_LineEfficiency_CreateEdit)]
        public async Task CreateOrEdit(CreateOrEditPtsAdoLineEfficiencyDto input)
        {
            if (input.Id == null) await Create(input);
            else await Update(input);
        }
        //CREATE
        private async Task Create(CreateOrEditPtsAdoLineEfficiencyDto input)
        {          
            var mainObj = ObjectMapper.Map&lt;PtsAdoLineEfficiency&gt;(input);
            await CurrentUnitOfWork.GetDbContext&lt;vovinaDbContext&gt;().AddAsync(mainObj);
        }
        // EDIT
        private async Task Update(CreateOrEditPtsAdoLineEfficiencyDto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[AbpAuthorize(AppPermissions.Pages_Painting_Andon_LineEfficiency_Delete)]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Task&lt;PagedResultDto&lt;PtsAdoLineEfficiencyDto&gt;&gt; GetAll(GetPtsAdoLineEfficiencyInput input)
        {
            var filtered = _repo.GetAll()
				.WhereIf(!string.IsNullOrWhiteSpace(input.Line), e =&gt; e.Line.Contains(input.Line))
				.WhereIf(!string.IsNullOrWhiteSpace(input.Shift), e =&gt; e.Shift.Contains(input.Shift))
				.WhereIf(input.WorkingDate.HasValue, t =&gt; t.WorkingDate == input.WorkingDate.Value)
				.WhereIf(!string.IsNullOrWhiteSpace(input.StopTime), e =&gt; e.StopTime.Contains(input.StopTime))
				.WhereIf(!string.IsNullOrWhiteSpace(input.Efficiency), e =&gt; e.Efficiency.Contains(input.Efficiency))
				.WhereIf(!string.IsNullOrWhiteSpace(input.TaktTime), e =&gt; e.TaktTime.Contains(input.TaktTime))
				.WhereIf(!string.IsNullOrWhiteSpace(input.Overtime), e =&gt; e.Overtime.Contains(input.Overtime))
				.WhereIf(!string.IsNullOrWhiteSpace(input.NonProdAct), e =&gt; e.NonProdAct.Contains(input.NonProdAct))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PtsAdoLineEfficiencyDto
                        {
							Id = o.Id,
							Line = o.Line,
							Shift = o.Shift,
							WorkingDate = o.WorkingDate,
							VolTarget = o.VolTarget,
							VolActual = o.VolActual,
							VolBalance = o.VolBalance,
							StopTime = o.StopTime,
							Efficiency = o.Efficiency,
							TaktTime = o.TaktTime,
							Overtime = o.Overtime,
							NonProdAct = o.NonProdAct,
							OffLine1 = o.OffLine1,
							OffLine2 = o.OffLine2,
							OffLine3 = o.OffLine3,
							ShiftVolPlan = o.ShiftVolPlan,
							IsActive = o.IsActive,
                        };
            var totalCount = await filtered.CountAsync();
			var paged = system.PageBy(input);
            return new PagedResultDto&lt;PtsAdoLineEfficiencyDto&gt;(
                totalCount,
                 await paged.ToListAsync()
            );
        }
        public async Task&lt;FileDto&gt; GetLineEfficiencyToExcel(PtsAdoLineEfficiencyExportInput input)
        {
            var query = from o in _repo.GetAll()
                        select new PtsAdoLineEfficiencyDto
                        {
							Id = o.Id,
							Line = o.Line,
							Shift = o.Shift,
							WorkingDate = o.WorkingDate,
							VolTarget = o.VolTarget,
							VolActual = o.VolActual,
							VolBalance = o.VolBalance,
							StopTime = o.StopTime,
							Efficiency = o.Efficiency,
							TaktTime = o.TaktTime,
							Overtime = o.Overtime,
							NonProdAct = o.NonProdAct,
							OffLine1 = o.OffLine1,
							OffLine2 = o.OffLine2,
							OffLine3 = o.OffLine3,
							ShiftVolPlan = o.ShiftVolPlan,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_dapperRepo.ExecuteAsync(PtsAdoLineEfficiencyConsts.SP_MST_WPT_CALENDAR_GENERATE);
       // }
    }
}</v>
      </c>
      <c r="N38" s="62" t="str">
        <f>A.Backend!U7</f>
        <v xml:space="preserve">  configuration.CreateMap&lt;PtsAdoLineEfficiencyDto, PtsAdoLineEfficiency&gt;();
  configuration.CreateMap&lt;PtsAdoLineEfficiency, PtsAdoLineEfficiencyDto&gt;();
  configuration.CreateMap&lt;CreateOrEditPtsAdoLineEfficiencyDto, PtsAdoLineEfficiency&gt;();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lineefficiency</v>
      </c>
      <c r="C43" s="72" t="str">
        <f>"create folder " &amp;B43</f>
        <v>create folder lineefficiency</v>
      </c>
      <c r="D43" s="72"/>
      <c r="E43" s="72"/>
      <c r="F43" s="72"/>
      <c r="G43" s="72"/>
      <c r="H43" s="72"/>
      <c r="I43" s="72"/>
      <c r="J43" s="72"/>
      <c r="K43" s="73" t="s">
        <v>228</v>
      </c>
      <c r="L43" s="73"/>
      <c r="M43" s="31"/>
    </row>
    <row r="44" spans="1:14" s="28" customFormat="1" ht="18" customHeight="1" x14ac:dyDescent="0.25">
      <c r="B44" s="60" t="s">
        <v>229</v>
      </c>
      <c r="C44" s="31" t="str">
        <f>B.Frontend!H14</f>
        <v>lineefficiency.component.ts</v>
      </c>
      <c r="D44" s="31" t="str">
        <f>B.Frontend!I14</f>
        <v>lineefficiency.component.html</v>
      </c>
      <c r="E44" s="31" t="str">
        <f>B.Frontend!J14</f>
        <v>lineefficiency.component.less</v>
      </c>
      <c r="F44" s="31" t="str">
        <f>B.Frontend!K14</f>
        <v>create-or-edit-lineefficiency-modal.component.html</v>
      </c>
      <c r="G44" s="31" t="str">
        <f>B.Frontend!L14</f>
        <v>create-or-edit-lineefficiency-modal.component.ts</v>
      </c>
      <c r="H44" s="31" t="str">
        <f>B.Frontend!M14</f>
        <v>create-or-edit-lineefficiency-modal.component.less</v>
      </c>
      <c r="I44" s="31" t="str">
        <f>B.Frontend!N14</f>
        <v>lineefficiency.module.ts</v>
      </c>
      <c r="J44" s="31" t="str">
        <f>B.Frontend!O14</f>
        <v>lineefficiency-routing.module.ts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PtsAdoLineEfficiencyDto, PtsAdoLineEfficiencyServiceProxy } from '@shared/service-proxies/service-proxies';
import { finalize } from 'rxjs/internal/operators/finalize';
import { CreateOrEditLineEfficiencyModalComponent } from './create-or-edit-lineefficiency-modal.component';
import { DatePipe } from '@angular/common';
import { FileDownloadService } from '@shared/utils/file-download.service';
import ceil from 'lodash-es/ceil';
import { Paginator } from 'primeng/paginator';
@Component({
    templateUrl: './lineefficiency.component.html',
    styleUrls: ['./lineefficiency.component.less'],
})
export class LineEfficiencyComponent extends AppComponentBase implements OnInit {
    @ViewChild('createOrEditModalLineEfficiency', { static: true }) createOrEditModalLineEfficiency:| CreateOrEditLineEfficiencyModalComponent|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PtsAdoLineEfficiencyDto = new PtsAdoLineEfficiencyDto();
    saveSelectedRow: PtsAdoLineEfficiencyDto = new PtsAdoLineEfficiencyDto();
    datas: PtsAdoLineEfficiencyDto = new PtsAdoLineEfficiencyDto();
    isLoading: boolean = false;
    dataParams: GridParams | undefined;
    rowData: any[] = [];
    gridApi!: GridApi;
    rowSelection = 'multiple';
    filter: string = '';
	pipe = new DatePipe('en-US');
	frameworkComponents: FrameworkComponent;
    line : string = '' ; 
shift : string = '' ; 
	workingDate : any ;
	volTarget : number = 0 ;
	volActual : number = 0 ;
	volBalance : number = 0 ;
stopTime : string = '' ; 
	efficiency : string = '' ; 
	taktTime : string = '' ; 
	overtime : string = '' ; 
	nonProdAct : string = '' ; 
	offLine1 : number = 0 ;
	offLine2 : number = 0 ;
	offLine3 : number = 0 ;
	shiftVolPlan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PtsAdoLineEfficiencyServiceProxy,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this.l('Lot No'),headerTooltip: this.l('Lot No'),field: 'lotNo',flex: 1},
			{headerName: this.l('Shift'),headerTooltip: this.l('Shift'),field:  'shift', cellClass: ['text-center'], width: 120, cellRenderer: 'agCellButtonComponent',
buttonDefTwo: { text: params =&gt; (params.data?.'shift' == 'Y') ? 'Active' : 'Inactive',iconName: 'fa fa-circle',className: params =&gt; (params.data?.'shift' == 'Y') ? 'btnActive' : 'btnInActive',},}
			{headerName: this.l('Working Date'),headerTooltip: this.l('Working Date'),field: 'workingDate',valueGetter: (params) =&gt; this.pipe.transform(params.data?.workingDate, 'dd/MM/yyyy'),flex: 1},
			{headerName: this.l('Vol Target'),headerTooltip: this.l('Vol Target'),field: 'volTarget',flex: 1},
			{headerName: this.l('Vol Actual'),headerTooltip: this.l('Vol Actual'),field: 'volActual',flex: 1},
			{headerName: this.l('Vol Balance'),headerTooltip: this.l('Vol Balance'),field: 'volBalance',flex: 1},
			{headerName: this.l('Stop Time'),headerTooltip: this.l('Stop Time'),field: 'stopTime',flex: 1},
			{headerName: this.l('Efficiency'),headerTooltip: this.l('Efficiency'),field: 'efficiency',flex: 1},
			{headerName: this.l('Takt Time'),headerTooltip: this.l('Takt Time'),field: 'taktTime',flex: 1},
			{headerName: this.l('Overtime'),headerTooltip: this.l('Overtime'),field: 'overtime',flex: 1},
			{headerName: this.l('Non Prod Act'),headerTooltip: this.l('Non Prod Act'),field: 'nonProdAct',flex: 1},
			{headerName: this.l('Off Line 1'),headerTooltip: this.l('Off Line 1'),field: 'offLine1',flex: 1},
			{headerName: this.l('Off Line 2'),headerTooltip: this.l('Off Line 2'),field: 'offLine2',flex: 1},
			{headerName: this.l('Off Line 3'),headerTooltip: this.l('Off Line 3'),field: 'offLine3',flex: 1},
			{headerName: this.l('Shift Vol Plan'),headerTooltip: this.l('Shift Vol Plan'),field: 'shiftVolPlan',flex: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this.line,
			this.shift,
			this.workingDate,
			this.volTarget,
			this.volActual,
			this.volBalance,
			this.stopTime,
			this.efficiency,
			this.taktTime,
			this.overtime,
			this.nonProdAct,
			this.offLine1,
			this.offLine2,
			this.offLine3,
			this.shiftVolPlan,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this.line = '',
this.shift = '',
		this.workingDate = '',
		this.volTarget = 0,
		this.volActual = 0,
		this.volBalance = 0,
this.stopTime = '',
		this.efficiency = '',
		this.taktTime = '',
		this.overtime = '',
		this.nonProdAct = '',
		this.offLine1 = 0,
		this.offLine2 = 0,
		this.offLine3 = 0,
		this.shiftVolPlan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this.line,
			this.shift,
			this.workingDate,
			this.volTarget,
			this.volActual,
			this.volBalance,
			this.stopTime,
			this.efficiency,
			this.taktTime,
			this.overtime,
			this.nonProdAct,
			this.offLine1,
			this.offLine2,
			this.offLine3,
			this.shiftVolPlan,
			this.isActive,
			'',
            this.paginationParams.skipCount,
            this.paginationParams.pageSize
        );
    }
    onChangeRowSelection(params: { api: { getSelectedRows: () =&gt; PtsAdoLineEfficiencyDto[] } }) {
        this.saveSelectedRow = params.api.getSelectedRows()[0] ?? new PtsAdoLineEfficiencyDto();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PtsAdoLineEfficiencyDto):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this._service.getLineEfficiencyToExcel(
			this.line,
			this.shift,
			this.workingDate,
			this.volTarget,
			this.volActual,
			this.volBalance,
			this.stopTime,
			this.efficiency,
			this.taktTime,
			this.overtime,
			this.nonProdAct,
			this.offLine1,
			this.offLine2,
			this.offLine3,
			this.shiftVolPlan,
			this.isActive,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Line Efficiency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[(ngModel)]='stopTime' name='stopTime'
									class='form-control' [placeholder]="l('Stop Time')"
									type='text' (keyup.enter)='searchDatas()'&gt;
								&lt;/div&gt;
								&lt;div class='input-search'&gt;
									&lt;input [(ngModel)]='efficiency' name='efficiency'
									class='form-control' [placeholder]="l('Efficiency')"
									type='text' (keyup.enter)='searchDatas()'&gt;
								&lt;/div&gt;
								&lt;div class='input-search'&gt;
									&lt;input [(ngModel)]='taktTime' name='taktTime'
									class='form-control' [placeholder]="l('Takt Time')"
									type='text' (keyup.enter)='searchDatas()'&gt;
								&lt;/div&gt;
								&lt;div class='input-search'&gt;
									&lt;input [(ngModel)]='overtime' name='overtime'
									class='form-control' [placeholder]="l('Overtime')"
									type='text' (keyup.enter)='searchDatas()'&gt;
								&lt;/div&gt;
								&lt;div class='input-search'&gt;
									&lt;input [(ngModel)]='nonProdAct' name='nonProdAct'
									class='form-control' [placeholder]="l('Non Prod Act')"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(click)="createOrEditModalLineEfficiency.show()"&gt;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(click)="createOrEditModalLineEfficiency.show(selectedRow)"&gt;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&lt;create-or-edit-lineefficiency-modal
    #createOrEditModalLineEfficiency
    (modalSave)="callBackDataGrid(dataParams)"
    (modalClose)="onChangeRowSelection(dataParams)"
&gt;
&lt;/create-or-edit-lineefficiency-modal&gt;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#createOrEditModalLineEfficiency="bs-modal"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LineEfficiency')}}&lt;/h3&gt;
                    &lt;h3 *ngIf="!rowdata.id"&gt;{{('Create New LineEfficiency')}}&lt;/h3&gt;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title'&gt;Shift&lt;/label&gt;
						&lt;new-checkbox [(ngModel)]='_shift' name='shift' className='col-md-10' &gt; &lt;/new-checkbox&gt;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title'&gt;Vol Target&lt;/label&gt;
						&lt;input type='number' class='col-md-10 form-control input-text' name='VolTarget' [(ngModel)]='rowdata.volTarget'&gt;
					&lt;/div&gt;
					&lt;div class='col-md-12 form-group row'&gt;
						&lt;label class='col-md-2 form-control title'&gt;Vol Actual&lt;/label&gt;
						&lt;input type='number' class='col-md-10 form-control input-text' name='VolActual' [(ngModel)]='rowdata.volActual'&gt;
					&lt;/div&gt;
					&lt;div class='col-md-12 form-group row'&gt;
						&lt;label class='col-md-2 form-control title'&gt;Vol Balance&lt;/label&gt;
						&lt;input type='number' class='col-md-10 form-control input-text' name='VolBalance' [(ngModel)]='rowdata.volBalance'&gt;
					&lt;/div&gt;
					&lt;div class='col-md-12 form-group row'&gt;
						&lt;label class='col-md-2 form-control title'&gt;Stop Time&lt;/label&gt;
						&lt;input type='text' class='col-md-10 form-control input-text' name='StopTime' [(ngModel)]='rowdata.stopTime'&gt;
					&lt;/div&gt;
					&lt;div class='col-md-12 form-group row'&gt;
						&lt;label class='col-md-2 form-control title'&gt;Efficiency&lt;/label&gt;
						&lt;input type='text' class='col-md-10 form-control input-text' name='Efficiency' [(ngModel)]='rowdata.efficiency'&gt;
					&lt;/div&gt;
					&lt;div class='col-md-12 form-group row'&gt;
						&lt;label class='col-md-2 form-control title'&gt;Takt Time&lt;/label&gt;
						&lt;input type='text' class='col-md-10 form-control input-text' name='TaktTime' [(ngModel)]='rowdata.taktTime'&gt;
					&lt;/div&gt;
					&lt;div class='col-md-12 form-group row'&gt;
						&lt;label class='col-md-2 form-control title'&gt;Overtime&lt;/label&gt;
						&lt;input type='text' class='col-md-10 form-control input-text' name='Overtime' [(ngModel)]='rowdata.overtime'&gt;
					&lt;/div&gt;
					&lt;div class='col-md-12 form-group row'&gt;
						&lt;label class='col-md-2 form-control title'&gt;Non Prod Act&lt;/label&gt;
						&lt;input type='text' class='col-md-10 form-control input-text' name='NonProdAct' [(ngModel)]='rowdata.nonProdAct'&gt;
					&lt;/div&gt;
					&lt;div class='col-md-12 form-group row'&gt;
						&lt;label class='col-md-2 form-control title'&gt;Off Line 1&lt;/label&gt;
						&lt;input type='number' class='col-md-10 form-control input-text' name='OffLine1' [(ngModel)]='rowdata.offLine1'&gt;
					&lt;/div&gt;
					&lt;div class='col-md-12 form-group row'&gt;
						&lt;label class='col-md-2 form-control title'&gt;Off Line 2&lt;/label&gt;
						&lt;input type='number' class='col-md-10 form-control input-text' name='OffLine2' [(ngModel)]='rowdata.offLine2'&gt;
					&lt;/div&gt;
					&lt;div class='col-md-12 form-group row'&gt;
						&lt;label class='col-md-2 form-control title'&gt;Off Line 3&lt;/label&gt;
						&lt;input type='number' class='col-md-10 form-control input-text' name='OffLine3' [(ngModel)]='rowdata.offLine3'&gt;
					&lt;/div&gt;
					&lt;div class='col-md-12 form-group row'&gt;
						&lt;label class='col-md-2 form-control title'&gt;Shift Vol Plan&lt;/label&gt;
						&lt;input type='number' class='col-md-10 form-control input-text' name='ShiftVolPlan' [(ngModel)]='rowdata.shiftVolPlan'&gt;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CreateOrEditPtsAdoLineEfficiencyDto, PtsAdoLineEfficiencyServiceProxy } from '@shared/service-proxies/service-proxies';
import { BsDatepickerDirective } from 'ngx-bootstrap/datepicker';
@Component({
    selector: 'create-or-edit-lineefficiency-modal',
    templateUrl: './create-or-edit-lineefficiency-modal.component.html',
    styleUrls: ['./create-or-edit-lineefficiency-modal.component.less']
    })
export class CreateOrEditLineEfficiencyModalComponent extends AppComponentBase {
    @ViewChild('createOrEditModalLineEfficiency',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CreateOrEditPtsAdoLineEfficiencyDto = new CreateOrEditPtsAdoLineEfficiencyDto();
    active: boolean = false;
    saving: boolean = false;
    _shift
isActive: boolean;
    constructor(
        injector: Injector,
        private _mstwptLineEfficiencyService: PtsAdoLineEfficiencyServiceProxy,
    ) 
    {
        super(injector);
    }
    show(rowdata?: CreateOrEditPtsAdoLineEfficiencyDto): void {
        if (!rowdata) this.rowdata = new CreateOrEditPtsAdoLineEfficiencyDto();
        else this.rowdata = rowdata;
		const dateValue =  this.rowdata.workingDate ? new Date(this.rowdata.workingDate?.toString()) : new Date();
		this.datepicker?.bsValueChange.emit(dateValue);
        this._shift
isActive = (this.rowdata.shift
isActive == "N")? false: true;
        this.active = true;
        this.modal.show();
    } 
    changeActive(event){
        this._shift
isActive = event.target.checked;
    }
    save(): void {
    this.saving = true; 
    this.rowdata.shift
isActive = (this._shift
isActive == true) ? 'Y' : 'N'
    this._mstwptLineEfficiencyService.createOrEdit(this.rowdata)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LineEfficiencyRoutingModule } from './lineefficiency-routing.module';
import { LineEfficiencyComponent } from './lineefficiency.component';
import { CreateOrEditLineEfficiencyModalComponent } from './create-or-edit-lineefficiency-modal.component';
@NgModule({
    declarations: [
       LineEfficiencyComponent, 
        CreateOrEditLineEfficiencyModalComponent
    ],
    imports: [
        AppSharedModule, LineEfficiencyRoutingModule]
})
export class LineEfficiencyModule {}</v>
      </c>
      <c r="J45" s="49" t="str">
        <f>B.Frontend!O10</f>
        <v>import {NgModule} from '@angular/core';
import {RouterModule, Routes} from '@angular/router';
import { LineEfficiencyComponent } from './lineefficiency.component';
const routes: Routes = [{
    path: '',
    component: LineEfficiencyComponent,
    pathMatch: 'full'
}];
@NgModule({
    imports: [RouterModule.forChild(routes)],
    exports: [RouterModule],
})
export class LineEfficiencyRoutingModule {}</v>
      </c>
      <c r="K45" s="49" t="str">
        <f>B.Frontend!P10</f>
        <v xml:space="preserve"> new AppMenuItem("LineEfficiency", "Pages.Painting.Andon.LineEfficiency", "flaticon-book",   "/app/main/painting/andon/lineefficiency"),</v>
      </c>
      <c r="L45" s="50" t="str">
        <f>B.Frontend!Q10</f>
        <v>{
    path: 'painting/andon/lineefficiency',
    loadChildren: () =&gt; import('./painting/andon/lineefficiency/lineefficiency.module').then(m =&gt; m.LineEfficiencyModule),
    data: { permission: 'Pages.Painting.Andon.LineEfficiency' }
},</v>
      </c>
      <c r="M45" s="48" t="str">
        <f>B.Frontend!R10</f>
        <v>ApiServiceProxies.PtsAdoLineEfficiencyServiceProxy,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6"/>
  <sheetViews>
    <sheetView topLeftCell="A19" workbookViewId="0">
      <pane xSplit="1" topLeftCell="B1" activePane="topRight" state="frozen"/>
      <selection pane="topRight" activeCell="B4" sqref="B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vovina.Painting.Andon.Dto;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271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290</v>
      </c>
      <c r="C3" s="10" t="s">
        <v>43</v>
      </c>
      <c r="D3" s="10" t="s">
        <v>44</v>
      </c>
      <c r="E3" s="10" t="s">
        <v>39</v>
      </c>
      <c r="F3" s="11" t="str">
        <f>"J"&amp;COUNTA($A:$A)</f>
        <v>J24</v>
      </c>
      <c r="G3" s="4" t="s">
        <v>57</v>
      </c>
      <c r="H3" s="10" t="str">
        <f>"I"&amp;COUNTA($A:$A)</f>
        <v>I24</v>
      </c>
      <c r="I3" s="10" t="str">
        <f>REPT(CHAR(9),2)&amp;"[Required]"&amp;"
"</f>
        <v xml:space="preserve">		[Required]
</v>
      </c>
      <c r="J3" s="11" t="str">
        <f>"L"&amp;COUNTA($A:$A)</f>
        <v>L24</v>
      </c>
      <c r="K3" s="5" t="s">
        <v>56</v>
      </c>
      <c r="L3" s="11" t="str">
        <f>"M"&amp;COUNTA($A:$A)</f>
        <v>M24</v>
      </c>
      <c r="M3" s="11" t="str">
        <f>"N"&amp;COUNTA($A:$A)</f>
        <v>N24</v>
      </c>
      <c r="N3" s="11" t="str">
        <f>"O"&amp;COUNTA($A:$A)</f>
        <v>O24</v>
      </c>
      <c r="O3" s="11" t="str">
        <f>"P"&amp;COUNTA($A:$A)</f>
        <v>P24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PtsAdoLineEfficiencyExportInput{
</v>
      </c>
      <c r="S3" s="11" t="str">
        <f>"namespace "&amp;$B$6&amp;".Exporting
"&amp;$C$3</f>
        <v xml:space="preserve">namespace vovina.Painting.Andon.Exporting
{
</v>
      </c>
      <c r="T3" s="11" t="str">
        <f>"T"&amp;COUNTA($A:$A)</f>
        <v>T24</v>
      </c>
      <c r="V3" s="11" t="str">
        <f>"V"&amp;COUNTA($A:$A)</f>
        <v>V24</v>
      </c>
      <c r="W3" s="10" t="str">
        <f>"W"&amp;COUNTA($A:$A)</f>
        <v>W24</v>
      </c>
    </row>
    <row r="4" spans="1:23" s="11" customFormat="1" ht="33" customHeight="1" x14ac:dyDescent="0.25">
      <c r="A4" s="1" t="s">
        <v>237</v>
      </c>
      <c r="B4" s="64" t="s">
        <v>91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291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vovina.Painting.Andon</v>
      </c>
      <c r="C6" s="11" t="str">
        <f>"namespace "&amp;$B$6&amp;"
"&amp;$C$3</f>
        <v xml:space="preserve">namespace vovina.Painting.Andon
{
</v>
      </c>
      <c r="D6" s="11" t="str">
        <f>REPT(CHAR(9),1)&amp;"public class "&amp;B3&amp;G3&amp;REPT(CHAR(9),1)&amp;"
"&amp;REPT(CHAR(9),1)&amp;C3</f>
        <v xml:space="preserve">	public class PtsAdoLineEfficiency: FullAuditedEntity&lt;long&gt;, IEntity&lt;long&gt;	
	{
</v>
      </c>
      <c r="E6" s="11" t="str">
        <f>REPT(CHAR(9),1)&amp;"public class "&amp;B3&amp;"Consts"&amp;REPT(CHAR(9),1)&amp;"
"&amp;REPT(CHAR(9),1)&amp;C3</f>
        <v xml:space="preserve">	public class PtsAdoLineEfficiencyConsts	
	{
</v>
      </c>
      <c r="F6" s="11" t="str">
        <f>REPT(CHAR(9),1)&amp;"public class "&amp;B3&amp;"Dto"&amp;K3&amp;REPT(CHAR(9),1)&amp;"
"&amp;REPT(CHAR(9),1)&amp;C3</f>
        <v xml:space="preserve">	public class PtsAdoLineEfficiencyDto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CreateOrEditPtsAdoLineEfficiencyDto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GetPtsAdoLineEfficiencyInput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PtsAdoLineEfficiency</v>
      </c>
      <c r="C7" s="11" t="str">
        <f>REPT(CHAR(9),1)&amp;"[Table("""&amp;B7&amp;""")]"&amp;"
"</f>
        <v xml:space="preserve">	[Table("PtsAdoLineEfficiency")]
</v>
      </c>
      <c r="D7" s="11"/>
      <c r="E7" s="11"/>
      <c r="F7" s="11"/>
      <c r="G7" s="11"/>
      <c r="H7" s="11"/>
      <c r="I7" s="11"/>
      <c r="J7" s="6" t="str">
        <f ca="1">SUBSTITUTE(SUBSTITUTE((B1&amp;C6&amp;C7&amp;K26&amp;D6&amp;I26&amp;E3&amp;J26&amp;""&amp;REPT(CHAR(9),1)&amp;D3&amp;D3),"WorkingPattern",$Q$3),"Master",$B$4)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[Table("PtsAdoLineEfficiency")]
	[Index(nameof(Line), Name="IX_PtsAdoLineEfficiency_Line")]
	[Index(nameof(Shift), Name="IX_PtsAdoLineEfficiency_Shift")]
	[Index(nameof(WorkingDate), Name="IX_PtsAdoLineEfficiency_WorkingDate")]
	[Index(nameof(IsActive), Name="IX_PtsAdoLineEfficiency_IsActive")]	public class PtsAdoLineEfficiency: FullAuditedEntity&lt;long&gt;, IEntity&lt;long&gt;	
	{
		public const int MaxLineLength = 5;
		public const int MaxShiftLength = 1;
		public const int MaxStopTimeLength = 10;
		public const int MaxEfficiencyLength = 10;
		public const int MaxTaktTimeLength = 10;
		public const int MaxOvertimeLength = 10;
		public const int MaxNonProdActLength = 10;
		public const int MaxIsActiveLength = 1;
		[Required]
		[StringLength(MaxLineLength)]
		public virtual string Line { get; set; }
		[StringLength(MaxShiftLength)]
		public virtual string Shift { get; set; }
		[Required]
		public virtual DateTime WorkingDate { get; set; }
		public virtual int VolTarget { get; set; }
		public virtual int VolActual { get; set; }
		public virtual int VolBalance { get; set; }
		[StringLength(MaxStopTimeLength)]
		public virtual string StopTime { get; set; }
		[StringLength(MaxEfficiencyLength)]
		public virtual string Efficiency { get; set; }
		[StringLength(MaxTaktTimeLength)]
		public virtual string TaktTime { get; set; }
		[StringLength(MaxOvertimeLength)]
		public virtual string Overtime { get; set; }
		[StringLength(MaxNonProdActLength)]
		public virtual string NonProdAct { get; set; }
		public virtual int OffLine1 { get; set; }
		public virtual int OffLine2 { get; set; }
		public virtual int OffLine3 { get; set; }
		public virtual int ShiftVolPlan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DbSet&lt;PtsAdoLineEfficiency&gt; PtsAdoLineEfficiencys { get; set; }</v>
      </c>
      <c r="L7" t="str">
        <f ca="1">SUBSTITUTE(SUBSTITUTE((C6&amp;E6&amp;I26&amp;"
"&amp;REPT(CHAR(9),2)&amp;"// Define Store Name: Format SP_ + &lt;Store Name&gt; = &lt;Store Name&gt;
"&amp;E3&amp;REPT(CHAR(9),1)&amp;D3&amp;D3),"WorkingPattern",$Q$3),"Master",$B$4)</f>
        <v xml:space="preserve">namespace vovina.Painting.Andon
{
	public class PtsAdoLineEfficiencyConsts	
	{
		public const int MaxLineLength = 5;
		public const int MaxShiftLength = 1;
		public const int MaxStopTimeLength = 10;
		public const int MaxEfficiencyLength = 10;
		public const int MaxTaktTimeLength = 10;
		public const int MaxOvertimeLength = 10;
		public const int MaxNonProdActLength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"&amp;B6&amp;".Dto"&amp;E3&amp;C3&amp;F6&amp;M26&amp;E3&amp;REPT(CHAR(9),1)&amp;D3&amp;G6&amp;N26&amp;REPT(CHAR(9),1)&amp;D3&amp;H6&amp;O26&amp;"
"&amp;REPT(CHAR(9),1)&amp;D3&amp;D3),"WorkingPattern",$Q$3),"Master",$B$4)</f>
        <v xml:space="preserve">using Abp.Application.Services.Dto;
using System;
using System.ComponentModel.DataAnnotations;
namespace vovina.Painting.Andon.Dto
{
	public class PtsAdoLineEfficiencyDto : EntityDto&lt;long?&gt;	
	{
		public virtual string Line { get; set; }
		public virtual string Shift { get; set; }
		public virtual DateTime? WorkingDate { get; set; }
		public virtual int VolTarget { get; set; }
		public virtual int VolActual { get; set; }
		public virtual int VolBalance { get; set; }
		public virtual string StopTime { get; set; }
		public virtual string Efficiency { get; set; }
		public virtual string TaktTime { get; set; }
		public virtual string Overtime { get; set; }
		public virtual string NonProdAct { get; set; }
		public virtual int OffLine1 { get; set; }
		public virtual int OffLine2 { get; set; }
		public virtual int OffLine3 { get; set; }
		public virtual int ShiftVolPlan { get; set; }
		public virtual string IsActive { get; set; }
	}
	public class CreateOrEditPtsAdoLineEfficiencyDto : EntityDto&lt;long?&gt;	
	{
		[Required]
		[StringLength(PtsAdoLineEfficiencyConsts.MaxLineLength)]
		public virtual string Line { get; set; }
		[StringLength(PtsAdoLineEfficiencyConsts.MaxShiftLength)]
		public virtual string Shift { get; set; }
		[Required]
		public virtual DateTime? WorkingDate { get; set; }
		public virtual int VolTarget { get; set; }
		public virtual int VolActual { get; set; }
		public virtual int VolBalance { get; set; }
		[StringLength(PtsAdoLineEfficiencyConsts.MaxStopTimeLength)]
		public virtual string StopTime { get; set; }
		[StringLength(PtsAdoLineEfficiencyConsts.MaxEfficiencyLength)]
		public virtual string Efficiency { get; set; }
		[StringLength(PtsAdoLineEfficiencyConsts.MaxTaktTimeLength)]
		public virtual string TaktTime { get; set; }
		[StringLength(PtsAdoLineEfficiencyConsts.MaxOvertimeLength)]
		public virtual string Overtime { get; set; }
		[StringLength(PtsAdoLineEfficiencyConsts.MaxNonProdActLength)]
		public virtual string NonProdAct { get; set; }
		public virtual int OffLine1 { get; set; }
		public virtual int OffLine2 { get; set; }
		public virtual int OffLine3 { get; set; }
		public virtual int ShiftVolPlan { get; set; }
		[StringLength(PtsAdoLineEfficiencyConsts.MaxIsActiveLength)]
		public virtual string IsActive { get; set; }
	}
	public class GetPtsAdoLineEfficiencyInput : PagedAndSortedResultRequestDto	
	{
		public virtual string Line { get; set; }
		public virtual string Shift { get; set; }
		public virtual DateTime? WorkingDate { get; set; }
		public virtual int VolTarget { get; set; }
		public virtual int VolActual { get; set; }
		public virtual int VolBalance { get; set; }
		public virtual string StopTime { get; set; }
		public virtual string Efficiency { get; set; }
		public virtual string TaktTime { get; set; }
		public virtual string Overtime { get; set; }
		public virtual string NonProdAct { get; set; }
		public virtual int OffLine1 { get; set; }
		public virtual int OffLine2 { get; set; }
		public virtual int OffLine3 { get; set; }
		public virtual int ShiftVolPlan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perPtsAdoLineEfficiency = PARENTS.CreateChildPermission(AppPermissions.Pages_Painting_Andon_LineEfficiency, L( "PaintingAndonLineEfficiency"));
		perPtsAdoLineEfficiency.CreateChildPermission(AppPermissions.Pages_Painting_Andon_LineEfficiency_CreateEdit, L( "PaintingAndonLineEfficiencyCreateEdit"));
		perPtsAdoLineEfficiency.CreateChildPermission(AppPermissions.Pages_Painting_Andon_LineEfficiency_Delete, L( "PaintingAndonLineEfficiencyDelete"));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Pages_Painting_Andon_LineEfficiency = "Pages.Painting.Andon.LineEfficiency";
		public const string Pages_Painting_Andon_LineEfficiency_CreateEdit = "Pages.Painting.Andon.LineEfficiency.CreateEdit";
		public const string Pages_Painting_Andon_LineEfficiency_Delete = "Pages.Painting.Andon.LineEfficiency.Delete";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
{
	public interface IPtsAdoLineEfficiencyAppService : IApplicationService
	{
		Task&lt;PagedResultDto&lt;PtsAdoLineEfficiencyDto&gt;&gt; GetAll(GetPtsAdoLineEfficiencyInput input);
		Task CreateOrEdit(CreateOrEditPtsAdoLineEfficiencyDto input);
		Task Delete(EntityDto input);
	}
}
</v>
      </c>
      <c r="Q7" t="str">
        <f ca="1">SUBSTITUTE(SUBSTITUTE(SUBSTITUTE(SUBSTITUTE(SUBSTITUTE(SUBSTITUTE(E1,"MstWptCalendar",$B$3),"&lt;PROPERTIES&gt;",P26),"Calendar",$B$5),"WorkingPattern",$Q$3),"Master",$B$4),"&lt;PARAMS_SEARCH&gt;",$W$26)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[AbpAuthorize(AppPermissions.Pages_Painting_Andon_LineEfficiency)]
    public class PtsAdoLineEfficiencyAppService : vovinaAppServiceBase, IPtsAdoLineEfficiencyAppService
    {
        private readonly IDapperRepository&lt;PtsAdoLineEfficiency, long&gt; _dapperRepo;
        private readonly IRepository&lt;PtsAdoLineEfficiency, long&gt; _repo;
        private readonly IPtsAdoLineEfficiencyExcelExporter _calendarListExcelExporter;
        public PtsAdoLineEfficiencyAppService(IRepository&lt;PtsAdoLineEfficiency,long&gt; repo, 
                                         IDapperRepository&lt;PtsAdoLineEfficiency,long&gt; dapperRepo,
                                        IPtsAdoLineEfficiencyExcelExporter calendarListExcelExporter
            )
        {
            _repo = repo;
            _dapperRepo = dapperRepo;
            _calendarListExcelExporter = calendarListExcelExporter;
        }
        [AbpAuthorize(AppPermissions.Pages_Painting_Andon_LineEfficiency_CreateEdit)]
        public async Task CreateOrEdit(CreateOrEditPtsAdoLineEfficiencyDto input)
        {
            if (input.Id == null) await Create(input);
            else await Update(input);
        }
        //CREATE
        private async Task Create(CreateOrEditPtsAdoLineEfficiencyDto input)
        {          
            var mainObj = ObjectMapper.Map&lt;PtsAdoLineEfficiency&gt;(input);
            await CurrentUnitOfWork.GetDbContext&lt;vovinaDbContext&gt;().AddAsync(mainObj);
        }
        // EDIT
        private async Task Update(CreateOrEditPtsAdoLineEfficiencyDto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[AbpAuthorize(AppPermissions.Pages_Painting_Andon_LineEfficiency_Delete)]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Task&lt;PagedResultDto&lt;PtsAdoLineEfficiencyDto&gt;&gt; GetAll(GetPtsAdoLineEfficiencyInput input)
        {
            var filtered = _repo.GetAll()
				.WhereIf(!string.IsNullOrWhiteSpace(input.Line), e =&gt; e.Line.Contains(input.Line))
				.WhereIf(!string.IsNullOrWhiteSpace(input.Shift), e =&gt; e.Shift.Contains(input.Shift))
				.WhereIf(input.WorkingDate.HasValue, t =&gt; t.WorkingDate == input.WorkingDate.Value)
				.WhereIf(!string.IsNullOrWhiteSpace(input.StopTime), e =&gt; e.StopTime.Contains(input.StopTime))
				.WhereIf(!string.IsNullOrWhiteSpace(input.Efficiency), e =&gt; e.Efficiency.Contains(input.Efficiency))
				.WhereIf(!string.IsNullOrWhiteSpace(input.TaktTime), e =&gt; e.TaktTime.Contains(input.TaktTime))
				.WhereIf(!string.IsNullOrWhiteSpace(input.Overtime), e =&gt; e.Overtime.Contains(input.Overtime))
				.WhereIf(!string.IsNullOrWhiteSpace(input.NonProdAct), e =&gt; e.NonProdAct.Contains(input.NonProdAct))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PtsAdoLineEfficiencyDto
                        {
							Id = o.Id,
							Line = o.Line,
							Shift = o.Shift,
							WorkingDate = o.WorkingDate,
							VolTarget = o.VolTarget,
							VolActual = o.VolActual,
							VolBalance = o.VolBalance,
							StopTime = o.StopTime,
							Efficiency = o.Efficiency,
							TaktTime = o.TaktTime,
							Overtime = o.Overtime,
							NonProdAct = o.NonProdAct,
							OffLine1 = o.OffLine1,
							OffLine2 = o.OffLine2,
							OffLine3 = o.OffLine3,
							ShiftVolPlan = o.ShiftVolPlan,
							IsActive = o.IsActive,
                        };
            var totalCount = await filtered.CountAsync();
			var paged = system.PageBy(input);
            return new PagedResultDto&lt;PtsAdoLineEfficiencyDto&gt;(
                totalCount,
                 await paged.ToListAsync()
            );
        }
        public async Task&lt;FileDto&gt; GetLineEfficiencyToExcel(PtsAdoLineEfficiencyExportInput input)
        {
            var query = from o in _repo.GetAll()
                        select new PtsAdoLineEfficiencyDto
                        {
							Id = o.Id,
							Line = o.Line,
							Shift = o.Shift,
							WorkingDate = o.WorkingDate,
							VolTarget = o.VolTarget,
							VolActual = o.VolActual,
							VolBalance = o.VolBalance,
							StopTime = o.StopTime,
							Efficiency = o.Efficiency,
							TaktTime = o.TaktTime,
							Overtime = o.Overtime,
							NonProdAct = o.NonProdAct,
							OffLine1 = o.OffLine1,
							OffLine2 = o.OffLine2,
							OffLine3 = o.OffLine3,
							ShiftVolPlan = o.ShiftVolPlan,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_dapperRepo.ExecuteAsync(PtsAdoLineEfficiencyConsts.SP_MST_WPT_CALENDAR_GENERATE);
       // }
    }
}</v>
      </c>
      <c r="R7" t="str">
        <f ca="1">SUBSTITUTE(SUBSTITUTE((C1&amp;"namespace "&amp;B6&amp;".Dto"&amp;E3&amp;C3&amp;R3&amp;M26&amp;E3&amp;REPT(CHAR(9),1)&amp;D3&amp;D3),"WorkingPattern",$Q$3),"Master",$B$4)</f>
        <v xml:space="preserve">using Abp.Application.Services.Dto;
using System;
using System.ComponentModel.DataAnnotations;
namespace vovina.Painting.Andon.Dto
{
	public class PtsAdoLineEfficiencyExportInput{
		public virtual string Line { get; set; }
		public virtual string Shift { get; set; }
		public virtual DateTime? WorkingDate { get; set; }
		public virtual int VolTarget { get; set; }
		public virtual int VolActual { get; set; }
		public virtual int VolBalance { get; set; }
		public virtual string StopTime { get; set; }
		public virtual string Efficiency { get; set; }
		public virtual string TaktTime { get; set; }
		public virtual string Overtime { get; set; }
		public virtual string NonProdAct { get; set; }
		public virtual int OffLine1 { get; set; }
		public virtual int OffLine2 { get; set; }
		public virtual int OffLine3 { get; set; }
		public virtual int ShiftVolPlan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IPtsAdoLineEfficiencyExcelExporter : IApplicationService
	{
		FileDto ExportToFile(List&lt;PtsAdoLineEfficiencyDto&gt; ptsadolineefficiency);
	}
}
</v>
      </c>
      <c r="T7" s="28" t="str">
        <f ca="1">SUBSTITUTE(SUBSTITUTE(SUBSTITUTE(SUBSTITUTE(SUBSTITUTE(SUBSTITUTE(SUBSTITUTE(T1,"MstWptCalendar",$B$3),"&lt;PROPERTIES1&gt;",V26),"&lt;PROPERTIES&gt;",T26),"Calendar",$B$5),"calendar",LOWER(B5)),"WorkingPattern",$Q$3),"Master",$B$4)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PtsAdoLineEfficiencyExcelExporter : NpoiExcelExporterBase, IPtsAdoLineEfficiencyExcelExporter
    {
        public PtsAdoLineEfficiencyExcelExporter(ITempFileCacheManager tempFileCacheManager) : base(tempFileCacheManager) { }
        public FileDto ExportToFile(List&lt;PtsAdoLineEfficiencyDto&gt; lineefficiency)
        {
            return CreateExcelPackage(
				"PaintingAndonLineEfficiency.xlsx",
				excelPackage =&gt;
				 {
					var sheet = excelPackage.CreateSheet("LineEfficiency");
					AddHeader(
								sheet,
								("Line"),
								("Shift"),
								("WorkingDate"),
								("VolTarget"),
								("VolActual"),
								("VolBalance"),
								("StopTime"),
								("Efficiency"),
								("TaktTime"),
								("Overtime"),
								("NonProdAct"),
								("OffLine1"),
								("OffLine2"),
								("OffLine3"),
								("ShiftVolPlan"),
								("IsActive"),
							   );
					AddObjects(
						 sheet, 1, lineefficiency,                                       
								_ =&gt; _.Line,
								_ =&gt; _.Shift,
								_ =&gt; _.WorkingDate,
								_ =&gt; _.VolTarget,
								_ =&gt; _.VolActual,
								_ =&gt; _.VolBalance,
								_ =&gt; _.StopTime,
								_ =&gt; _.Efficiency,
								_ =&gt; _.TaktTime,
								_ =&gt; _.Overtime,
								_ =&gt; _.NonProdAct,
								_ =&gt; _.OffLine1,
								_ =&gt; _.OffLine2,
								_ =&gt; _.OffLine3,
								_ =&gt; _.ShiftVolPlan,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configuration.CreateMap&lt;PtsAdoLineEfficiencyDto, PtsAdoLineEfficiency&gt;();
  configuration.CreateMap&lt;PtsAdoLineEfficiency, PtsAdoLineEfficiencyDto&gt;();
  configuration.CreateMap&lt;CreateOrEditPtsAdoLineEfficiencyDto, PtsAdoLineEfficiency&gt;();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272</v>
      </c>
      <c r="B9" t="s">
        <v>273</v>
      </c>
      <c r="C9" t="s">
        <v>274</v>
      </c>
      <c r="D9" t="str">
        <f>SUBSTITUTE(PROPER(A9),"_","")</f>
        <v>Line</v>
      </c>
      <c r="E9" t="str">
        <f t="shared" ref="E9:E18" si="0">IFERROR(LEFT(B9, FIND("(",B9)-1),B9)</f>
        <v>varchar</v>
      </c>
      <c r="F9" s="7"/>
      <c r="G9" t="str">
        <f t="shared" ref="G9:G18" si="1">IFERROR(MID(B9,FIND("(",B9) +1, FIND(")",B9) - FIND("(",B9) - 1),"")</f>
        <v>5</v>
      </c>
      <c r="H9" t="str">
        <f>+VLOOKUP(E9,'Data Type Mapping'!A:B,2,)</f>
        <v>string</v>
      </c>
      <c r="I9" t="str">
        <f t="shared" ref="I9:I18" si="2">IF(H9="string",REPT(CHAR(9),2)&amp;"public const int Max"&amp;D9&amp;"Length = "&amp;G9&amp;";"&amp;$E$3,"" )</f>
        <v xml:space="preserve">		public const int MaxLineLength = 5;
</v>
      </c>
      <c r="J9" t="str">
        <f t="shared" ref="J9:J18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[StringLength(MaxLineLength)]
		public virtual string Line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[Index(nameof(Line), Name="IX_PtsAdoLineEfficiency_Line")]</v>
      </c>
      <c r="M9" t="str">
        <f>REPT(CHAR(9),2)&amp;"public virtual "&amp;IF(OR(H9="DateTime",H9="TimeSpan"),H9&amp;"?",H9)&amp;IF(C9="?","? "," ")&amp;D9&amp;" { get; set; }" &amp; "
"</f>
        <v xml:space="preserve">		public virtual string Line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[Required]
		[StringLength(PtsAdoLineEfficiencyConsts.MaxLineLength)]
		public virtual string Line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Line { get; set; }
</v>
      </c>
      <c r="P9" t="str">
        <f t="shared" ref="P9:P18" si="4">REPT(CHAR(9),7)&amp;D9&amp;" = o." &amp;D9 &amp;","</f>
        <v xml:space="preserve">							Line = o.Line,</v>
      </c>
      <c r="T9" s="69" t="str">
        <f>REPT(CHAR(9),8)&amp;"("""&amp;D9&amp;"""),"</f>
        <v xml:space="preserve">								("Line"),</v>
      </c>
      <c r="V9" s="70" t="str">
        <f>REPT(CHAR(9),8)&amp;"_ =&gt; _."&amp;D9&amp;","</f>
        <v xml:space="preserve">								_ =&gt; _.Line,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.WhereIf(!string.IsNullOrWhiteSpace(input.Line), e =&gt; e.Line.Contains(input.Line))</v>
      </c>
    </row>
    <row r="10" spans="1:23" customFormat="1" ht="21" customHeight="1" x14ac:dyDescent="0.25">
      <c r="A10" t="s">
        <v>275</v>
      </c>
      <c r="B10" t="s">
        <v>269</v>
      </c>
      <c r="C10" t="s">
        <v>1</v>
      </c>
      <c r="D10" t="str">
        <f t="shared" ref="D10:D11" si="5">SUBSTITUTE(PROPER(A10),"_","")</f>
        <v>Shift</v>
      </c>
      <c r="E10" t="str">
        <f t="shared" si="0"/>
        <v>varchar</v>
      </c>
      <c r="F10" s="7"/>
      <c r="G10" t="str">
        <f t="shared" si="1"/>
        <v>1</v>
      </c>
      <c r="H10" t="str">
        <f>+VLOOKUP(E10,'Data Type Mapping'!A:B,2,)</f>
        <v>string</v>
      </c>
      <c r="I10" t="str">
        <f t="shared" si="2"/>
        <v xml:space="preserve">		public const int MaxShiftLength = 1;
</v>
      </c>
      <c r="J10" t="str">
        <f t="shared" si="3"/>
        <v xml:space="preserve">		[StringLength(MaxShiftLength)]
		public virtual string Shift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[Index(nameof(Shift), Name="IX_PtsAdoLineEfficiency_Shift")]</v>
      </c>
      <c r="M10" t="str">
        <f t="shared" ref="M10:M18" si="7">REPT(CHAR(9),2)&amp;"public virtual "&amp;IF(OR(H10="DateTime",H10="TimeSpan"),H10&amp;"?",H10)&amp;IF(C10="?","? "," ")&amp;D10&amp;" { get; set; }" &amp; "
"</f>
        <v xml:space="preserve">		public virtual string Shift { get; set; }
</v>
      </c>
      <c r="N10" t="str">
        <f t="shared" ref="N10:N18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[StringLength(PtsAdoLineEfficiencyConsts.MaxShiftLength)]
		public virtual string Shift { get; set; }
</v>
      </c>
      <c r="O10" t="str">
        <f t="shared" ref="O10:O18" si="9">IF(OR(H10="string",H10="DateTime",H10="int"),REPT(CHAR(9),2)&amp;"public virtual "&amp;IF(OR(H10="DateTime",H10="TimeSpan"),H10&amp;"?",H10)&amp;IF(C10="?","? "," ")&amp;D10&amp;" { get; set; }"&amp;$E$3,"")</f>
        <v xml:space="preserve">		public virtual string Shift { get; set; }
</v>
      </c>
      <c r="P10" t="str">
        <f t="shared" si="4"/>
        <v xml:space="preserve">							Shift = o.Shift,</v>
      </c>
      <c r="T10" s="69" t="str">
        <f t="shared" ref="T10:T18" si="10">REPT(CHAR(9),8)&amp;"("""&amp;D10&amp;"""),"</f>
        <v xml:space="preserve">								("Shift"),</v>
      </c>
      <c r="V10" s="70" t="str">
        <f t="shared" ref="V10:V18" si="11">REPT(CHAR(9),8)&amp;"_ =&gt; _."&amp;D10&amp;","</f>
        <v xml:space="preserve">								_ =&gt; _.Shift,</v>
      </c>
      <c r="W10" s="69" t="str">
        <f t="shared" ref="W10:W18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.WhereIf(!string.IsNullOrWhiteSpace(input.Shift), e =&gt; e.Shift.Contains(input.Shift))</v>
      </c>
    </row>
    <row r="11" spans="1:23" customFormat="1" ht="18.75" customHeight="1" x14ac:dyDescent="0.25">
      <c r="A11" t="s">
        <v>276</v>
      </c>
      <c r="B11" t="s">
        <v>2</v>
      </c>
      <c r="C11" t="s">
        <v>274</v>
      </c>
      <c r="D11" t="str">
        <f t="shared" si="5"/>
        <v>WorkingDate</v>
      </c>
      <c r="E11" t="str">
        <f t="shared" si="0"/>
        <v>date</v>
      </c>
      <c r="F11" s="7"/>
      <c r="G11" t="str">
        <f t="shared" si="1"/>
        <v/>
      </c>
      <c r="H11" t="str">
        <f>+VLOOKUP(E11,'Data Type Mapping'!A:B,2,)</f>
        <v>DateTime</v>
      </c>
      <c r="I11" t="str">
        <f t="shared" si="2"/>
        <v/>
      </c>
      <c r="J11" t="str">
        <f t="shared" si="3"/>
        <v xml:space="preserve">		[Required]
		public virtual DateTime WorkingDate { get; set; }
</v>
      </c>
      <c r="K11" s="7" t="s">
        <v>206</v>
      </c>
      <c r="L11" t="str">
        <f t="shared" si="6"/>
        <v xml:space="preserve">	[Index(nameof(WorkingDate), Name="IX_PtsAdoLineEfficiency_WorkingDate")]</v>
      </c>
      <c r="M11" t="str">
        <f t="shared" si="7"/>
        <v xml:space="preserve">		public virtual DateTime? WorkingDate { get; set; }
</v>
      </c>
      <c r="N11" t="str">
        <f t="shared" si="8"/>
        <v xml:space="preserve">		[Required]
		public virtual DateTime? WorkingDate { get; set; }
</v>
      </c>
      <c r="O11" t="str">
        <f t="shared" si="9"/>
        <v xml:space="preserve">		public virtual DateTime? WorkingDate { get; set; }
</v>
      </c>
      <c r="P11" t="str">
        <f t="shared" si="4"/>
        <v xml:space="preserve">							WorkingDate = o.WorkingDate,</v>
      </c>
      <c r="T11" s="69" t="str">
        <f t="shared" si="10"/>
        <v xml:space="preserve">								("WorkingDate"),</v>
      </c>
      <c r="V11" s="70" t="str">
        <f t="shared" si="11"/>
        <v xml:space="preserve">								_ =&gt; _.WorkingDate,</v>
      </c>
      <c r="W11" s="69" t="str">
        <f t="shared" si="12"/>
        <v xml:space="preserve">				.WhereIf(input.WorkingDate.HasValue, t =&gt; t.WorkingDate == input.WorkingDate.Value)</v>
      </c>
    </row>
    <row r="12" spans="1:23" customFormat="1" ht="22.5" customHeight="1" x14ac:dyDescent="0.25">
      <c r="A12" t="s">
        <v>277</v>
      </c>
      <c r="B12" t="s">
        <v>4</v>
      </c>
      <c r="C12" t="s">
        <v>1</v>
      </c>
      <c r="D12" t="str">
        <f>SUBSTITUTE(PROPER(A12),"_","")</f>
        <v>VolTarget</v>
      </c>
      <c r="E12" t="str">
        <f t="shared" si="0"/>
        <v>int</v>
      </c>
      <c r="F12" s="7"/>
      <c r="G12" t="str">
        <f t="shared" si="1"/>
        <v/>
      </c>
      <c r="H12" t="str">
        <f>+VLOOKUP(E12,'Data Type Mapping'!A:B,2,)</f>
        <v>int</v>
      </c>
      <c r="I12" t="str">
        <f t="shared" si="2"/>
        <v/>
      </c>
      <c r="J12" t="str">
        <f t="shared" si="3"/>
        <v xml:space="preserve">		public virtual int VolTarget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int VolTarget { get; set; }
</v>
      </c>
      <c r="N12" t="str">
        <f t="shared" si="8"/>
        <v xml:space="preserve">		public virtual int VolTarget { get; set; }
</v>
      </c>
      <c r="O12" t="str">
        <f t="shared" si="9"/>
        <v xml:space="preserve">		public virtual int VolTarget { get; set; }
</v>
      </c>
      <c r="P12" t="str">
        <f t="shared" si="4"/>
        <v xml:space="preserve">							VolTarget = o.VolTarget,</v>
      </c>
      <c r="T12" s="69" t="str">
        <f t="shared" si="10"/>
        <v xml:space="preserve">								("VolTarget"),</v>
      </c>
      <c r="V12" s="70" t="str">
        <f t="shared" si="11"/>
        <v xml:space="preserve">								_ =&gt; _.VolTarget,</v>
      </c>
      <c r="W12" s="69" t="str">
        <f t="shared" si="12"/>
        <v/>
      </c>
    </row>
    <row r="13" spans="1:23" customFormat="1" ht="21" customHeight="1" x14ac:dyDescent="0.25">
      <c r="A13" t="s">
        <v>278</v>
      </c>
      <c r="B13" t="s">
        <v>4</v>
      </c>
      <c r="C13" t="s">
        <v>1</v>
      </c>
      <c r="D13" t="str">
        <f t="shared" ref="D13:D15" si="13">SUBSTITUTE(PROPER(A13),"_","")</f>
        <v>VolActual</v>
      </c>
      <c r="E13" t="str">
        <f t="shared" si="0"/>
        <v>int</v>
      </c>
      <c r="F13" s="7"/>
      <c r="G13" t="str">
        <f t="shared" si="1"/>
        <v/>
      </c>
      <c r="H13" t="str">
        <f>+VLOOKUP(E13,'Data Type Mapping'!A:B,2,)</f>
        <v>int</v>
      </c>
      <c r="I13" t="str">
        <f t="shared" si="2"/>
        <v/>
      </c>
      <c r="J13" t="str">
        <f t="shared" si="3"/>
        <v xml:space="preserve">		public virtual int VolActual { get; set; }
</v>
      </c>
      <c r="K13" s="7"/>
      <c r="L13" t="str">
        <f t="shared" ref="L13:L15" si="14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int VolActual { get; set; }
</v>
      </c>
      <c r="N13" t="str">
        <f t="shared" si="8"/>
        <v xml:space="preserve">		public virtual int VolActual { get; set; }
</v>
      </c>
      <c r="O13" t="str">
        <f t="shared" si="9"/>
        <v xml:space="preserve">		public virtual int VolActual { get; set; }
</v>
      </c>
      <c r="P13" t="str">
        <f t="shared" si="4"/>
        <v xml:space="preserve">							VolActual = o.VolActual,</v>
      </c>
      <c r="T13" s="69" t="str">
        <f t="shared" si="10"/>
        <v xml:space="preserve">								("VolActual"),</v>
      </c>
      <c r="V13" s="70" t="str">
        <f t="shared" si="11"/>
        <v xml:space="preserve">								_ =&gt; _.VolActual,</v>
      </c>
      <c r="W13" s="69" t="str">
        <f t="shared" si="12"/>
        <v/>
      </c>
    </row>
    <row r="14" spans="1:23" customFormat="1" ht="21" customHeight="1" x14ac:dyDescent="0.25">
      <c r="A14" t="s">
        <v>279</v>
      </c>
      <c r="B14" t="s">
        <v>4</v>
      </c>
      <c r="C14" t="s">
        <v>1</v>
      </c>
      <c r="D14" t="str">
        <f t="shared" si="13"/>
        <v>VolBalance</v>
      </c>
      <c r="E14" t="str">
        <f t="shared" si="0"/>
        <v>int</v>
      </c>
      <c r="F14" s="7"/>
      <c r="G14" t="str">
        <f t="shared" si="1"/>
        <v/>
      </c>
      <c r="H14" t="str">
        <f>+VLOOKUP(E14,'Data Type Mapping'!A:B,2,)</f>
        <v>int</v>
      </c>
      <c r="I14" t="str">
        <f t="shared" si="2"/>
        <v/>
      </c>
      <c r="J14" t="str">
        <f t="shared" si="3"/>
        <v xml:space="preserve">		public virtual int VolBalance { get; set; }
</v>
      </c>
      <c r="K14" s="7"/>
      <c r="L14" t="str">
        <f t="shared" si="14"/>
        <v/>
      </c>
      <c r="M14" t="str">
        <f t="shared" si="7"/>
        <v xml:space="preserve">		public virtual int VolBalance { get; set; }
</v>
      </c>
      <c r="N14" t="str">
        <f t="shared" si="8"/>
        <v xml:space="preserve">		public virtual int VolBalance { get; set; }
</v>
      </c>
      <c r="O14" t="str">
        <f t="shared" si="9"/>
        <v xml:space="preserve">		public virtual int VolBalance { get; set; }
</v>
      </c>
      <c r="P14" t="str">
        <f t="shared" si="4"/>
        <v xml:space="preserve">							VolBalance = o.VolBalance,</v>
      </c>
      <c r="T14" s="69" t="str">
        <f t="shared" si="10"/>
        <v xml:space="preserve">								("VolBalance"),</v>
      </c>
      <c r="V14" s="70" t="str">
        <f t="shared" si="11"/>
        <v xml:space="preserve">								_ =&gt; _.VolBalance,</v>
      </c>
      <c r="W14" s="69" t="str">
        <f t="shared" si="12"/>
        <v/>
      </c>
    </row>
    <row r="15" spans="1:23" customFormat="1" ht="18.75" customHeight="1" x14ac:dyDescent="0.25">
      <c r="A15" t="s">
        <v>280</v>
      </c>
      <c r="B15" t="s">
        <v>281</v>
      </c>
      <c r="C15" t="s">
        <v>1</v>
      </c>
      <c r="D15" t="str">
        <f t="shared" si="13"/>
        <v>StopTime</v>
      </c>
      <c r="E15" t="str">
        <f t="shared" si="0"/>
        <v>varchar</v>
      </c>
      <c r="F15" s="7"/>
      <c r="G15" t="str">
        <f t="shared" si="1"/>
        <v>10</v>
      </c>
      <c r="H15" t="str">
        <f>+VLOOKUP(E15,'Data Type Mapping'!A:B,2,)</f>
        <v>string</v>
      </c>
      <c r="I15" t="str">
        <f t="shared" si="2"/>
        <v xml:space="preserve">		public const int MaxStopTimeLength = 10;
</v>
      </c>
      <c r="J15" t="str">
        <f t="shared" si="3"/>
        <v xml:space="preserve">		[StringLength(MaxStopTimeLength)]
		public virtual string StopTime { get; set; }
</v>
      </c>
      <c r="K15" s="7"/>
      <c r="L15" t="str">
        <f t="shared" si="14"/>
        <v/>
      </c>
      <c r="M15" t="str">
        <f t="shared" si="7"/>
        <v xml:space="preserve">		public virtual string StopTime { get; set; }
</v>
      </c>
      <c r="N15" t="str">
        <f t="shared" si="8"/>
        <v xml:space="preserve">		[StringLength(PtsAdoLineEfficiencyConsts.MaxStopTimeLength)]
		public virtual string StopTime { get; set; }
</v>
      </c>
      <c r="O15" t="str">
        <f t="shared" si="9"/>
        <v xml:space="preserve">		public virtual string StopTime { get; set; }
</v>
      </c>
      <c r="P15" t="str">
        <f t="shared" si="4"/>
        <v xml:space="preserve">							StopTime = o.StopTime,</v>
      </c>
      <c r="T15" s="69" t="str">
        <f t="shared" si="10"/>
        <v xml:space="preserve">								("StopTime"),</v>
      </c>
      <c r="V15" s="70" t="str">
        <f t="shared" si="11"/>
        <v xml:space="preserve">								_ =&gt; _.StopTime,</v>
      </c>
      <c r="W15" s="69" t="str">
        <f t="shared" si="12"/>
        <v xml:space="preserve">				.WhereIf(!string.IsNullOrWhiteSpace(input.StopTime), e =&gt; e.StopTime.Contains(input.StopTime))</v>
      </c>
    </row>
    <row r="16" spans="1:23" customFormat="1" ht="22.5" customHeight="1" x14ac:dyDescent="0.25">
      <c r="A16" t="s">
        <v>282</v>
      </c>
      <c r="B16" t="s">
        <v>281</v>
      </c>
      <c r="C16" t="s">
        <v>1</v>
      </c>
      <c r="D16" t="str">
        <f>SUBSTITUTE(PROPER(A16),"_","")</f>
        <v>Efficiency</v>
      </c>
      <c r="E16" t="str">
        <f t="shared" si="0"/>
        <v>varchar</v>
      </c>
      <c r="F16" s="7"/>
      <c r="G16" t="str">
        <f t="shared" si="1"/>
        <v>10</v>
      </c>
      <c r="H16" t="str">
        <f>+VLOOKUP(E16,'Data Type Mapping'!A:B,2,)</f>
        <v>string</v>
      </c>
      <c r="I16" t="str">
        <f t="shared" si="2"/>
        <v xml:space="preserve">		public const int MaxEfficiencyLength = 10;
</v>
      </c>
      <c r="J16" t="str">
        <f t="shared" si="3"/>
        <v xml:space="preserve">		[StringLength(MaxEfficiencyLength)]
		public virtual string Efficiency { get; set; }
</v>
      </c>
      <c r="K16" s="7"/>
      <c r="L16" t="str">
        <f>IF(K16="","",REPT(CHAR(9),1)&amp;"[Index(nameof("&amp;IF(D16="","",""&amp;D16)&amp;")"&amp;", Name="&amp;"""IX_"&amp;$B$7&amp;"_"&amp;D16&amp;""")]")</f>
        <v/>
      </c>
      <c r="M16" t="str">
        <f t="shared" si="7"/>
        <v xml:space="preserve">		public virtual string Efficiency { get; set; }
</v>
      </c>
      <c r="N16" t="str">
        <f t="shared" si="8"/>
        <v xml:space="preserve">		[StringLength(PtsAdoLineEfficiencyConsts.MaxEfficiencyLength)]
		public virtual string Efficiency { get; set; }
</v>
      </c>
      <c r="O16" t="str">
        <f t="shared" si="9"/>
        <v xml:space="preserve">		public virtual string Efficiency { get; set; }
</v>
      </c>
      <c r="P16" t="str">
        <f t="shared" si="4"/>
        <v xml:space="preserve">							Efficiency = o.Efficiency,</v>
      </c>
      <c r="T16" s="69" t="str">
        <f t="shared" si="10"/>
        <v xml:space="preserve">								("Efficiency"),</v>
      </c>
      <c r="V16" s="70" t="str">
        <f t="shared" si="11"/>
        <v xml:space="preserve">								_ =&gt; _.Efficiency,</v>
      </c>
      <c r="W16" s="69" t="str">
        <f t="shared" si="12"/>
        <v xml:space="preserve">				.WhereIf(!string.IsNullOrWhiteSpace(input.Efficiency), e =&gt; e.Efficiency.Contains(input.Efficiency))</v>
      </c>
    </row>
    <row r="17" spans="1:23" customFormat="1" ht="21" customHeight="1" x14ac:dyDescent="0.25">
      <c r="A17" t="s">
        <v>283</v>
      </c>
      <c r="B17" t="s">
        <v>281</v>
      </c>
      <c r="C17" t="s">
        <v>1</v>
      </c>
      <c r="D17" t="str">
        <f t="shared" ref="D17:D18" si="15">SUBSTITUTE(PROPER(A17),"_","")</f>
        <v>TaktTime</v>
      </c>
      <c r="E17" t="str">
        <f t="shared" si="0"/>
        <v>varchar</v>
      </c>
      <c r="F17" s="7"/>
      <c r="G17" t="str">
        <f t="shared" si="1"/>
        <v>10</v>
      </c>
      <c r="H17" t="str">
        <f>+VLOOKUP(E17,'Data Type Mapping'!A:B,2,)</f>
        <v>string</v>
      </c>
      <c r="I17" t="str">
        <f t="shared" si="2"/>
        <v xml:space="preserve">		public const int MaxTaktTimeLength = 10;
</v>
      </c>
      <c r="J17" t="str">
        <f t="shared" si="3"/>
        <v xml:space="preserve">		[StringLength(MaxTaktTimeLength)]
		public virtual string TaktTime { get; set; }
</v>
      </c>
      <c r="K17" s="7"/>
      <c r="L17" t="str">
        <f t="shared" ref="L17:L18" si="16">IF(K17="","",REPT(CHAR(9),1)&amp;"[Index(nameof("&amp;IF(D17="","",""&amp;D17)&amp;")"&amp;", Name="&amp;"""IX_"&amp;$B$7&amp;"_"&amp;D17&amp;""")]")</f>
        <v/>
      </c>
      <c r="M17" t="str">
        <f t="shared" si="7"/>
        <v xml:space="preserve">		public virtual string TaktTime { get; set; }
</v>
      </c>
      <c r="N17" t="str">
        <f t="shared" si="8"/>
        <v xml:space="preserve">		[StringLength(PtsAdoLineEfficiencyConsts.MaxTaktTimeLength)]
		public virtual string TaktTime { get; set; }
</v>
      </c>
      <c r="O17" t="str">
        <f t="shared" si="9"/>
        <v xml:space="preserve">		public virtual string TaktTime { get; set; }
</v>
      </c>
      <c r="P17" t="str">
        <f t="shared" si="4"/>
        <v xml:space="preserve">							TaktTime = o.TaktTime,</v>
      </c>
      <c r="T17" s="69" t="str">
        <f t="shared" si="10"/>
        <v xml:space="preserve">								("TaktTime"),</v>
      </c>
      <c r="V17" s="70" t="str">
        <f t="shared" si="11"/>
        <v xml:space="preserve">								_ =&gt; _.TaktTime,</v>
      </c>
      <c r="W17" s="69" t="str">
        <f t="shared" si="12"/>
        <v xml:space="preserve">				.WhereIf(!string.IsNullOrWhiteSpace(input.TaktTime), e =&gt; e.TaktTime.Contains(input.TaktTime))</v>
      </c>
    </row>
    <row r="18" spans="1:23" customFormat="1" ht="18.75" customHeight="1" x14ac:dyDescent="0.25">
      <c r="A18" t="s">
        <v>284</v>
      </c>
      <c r="B18" t="s">
        <v>281</v>
      </c>
      <c r="C18" t="s">
        <v>1</v>
      </c>
      <c r="D18" t="str">
        <f t="shared" si="15"/>
        <v>Overtime</v>
      </c>
      <c r="E18" t="str">
        <f t="shared" si="0"/>
        <v>varchar</v>
      </c>
      <c r="F18" s="7"/>
      <c r="G18" t="str">
        <f t="shared" si="1"/>
        <v>10</v>
      </c>
      <c r="H18" t="str">
        <f>+VLOOKUP(E18,'Data Type Mapping'!A:B,2,)</f>
        <v>string</v>
      </c>
      <c r="I18" t="str">
        <f t="shared" si="2"/>
        <v xml:space="preserve">		public const int MaxOvertimeLength = 10;
</v>
      </c>
      <c r="J18" t="str">
        <f t="shared" si="3"/>
        <v xml:space="preserve">		[StringLength(MaxOvertimeLength)]
		public virtual string Overtime { get; set; }
</v>
      </c>
      <c r="K18" s="7"/>
      <c r="L18" t="str">
        <f t="shared" si="16"/>
        <v/>
      </c>
      <c r="M18" t="str">
        <f t="shared" si="7"/>
        <v xml:space="preserve">		public virtual string Overtime { get; set; }
</v>
      </c>
      <c r="N18" t="str">
        <f t="shared" si="8"/>
        <v xml:space="preserve">		[StringLength(PtsAdoLineEfficiencyConsts.MaxOvertimeLength)]
		public virtual string Overtime { get; set; }
</v>
      </c>
      <c r="O18" t="str">
        <f t="shared" si="9"/>
        <v xml:space="preserve">		public virtual string Overtime { get; set; }
</v>
      </c>
      <c r="P18" t="str">
        <f t="shared" si="4"/>
        <v xml:space="preserve">							Overtime = o.Overtime,</v>
      </c>
      <c r="T18" s="69" t="str">
        <f t="shared" si="10"/>
        <v xml:space="preserve">								("Overtime"),</v>
      </c>
      <c r="V18" s="70" t="str">
        <f t="shared" si="11"/>
        <v xml:space="preserve">								_ =&gt; _.Overtime,</v>
      </c>
      <c r="W18" s="69" t="str">
        <f t="shared" si="12"/>
        <v xml:space="preserve">				.WhereIf(!string.IsNullOrWhiteSpace(input.Overtime), e =&gt; e.Overtime.Contains(input.Overtime))</v>
      </c>
    </row>
    <row r="19" spans="1:23" customFormat="1" ht="22.5" customHeight="1" x14ac:dyDescent="0.25">
      <c r="A19" t="s">
        <v>285</v>
      </c>
      <c r="B19" t="s">
        <v>281</v>
      </c>
      <c r="C19" t="s">
        <v>1</v>
      </c>
      <c r="D19" t="str">
        <f>SUBSTITUTE(PROPER(A19),"_","")</f>
        <v>NonProdAct</v>
      </c>
      <c r="E19" t="str">
        <f t="shared" ref="E19:E23" si="17">IFERROR(LEFT(B19, FIND("(",B19)-1),B19)</f>
        <v>varchar</v>
      </c>
      <c r="F19" s="7"/>
      <c r="G19" t="str">
        <f t="shared" ref="G19:G23" si="18">IFERROR(MID(B19,FIND("(",B19) +1, FIND(")",B19) - FIND("(",B19) - 1),"")</f>
        <v>10</v>
      </c>
      <c r="H19" t="str">
        <f>+VLOOKUP(E19,'Data Type Mapping'!A:B,2,)</f>
        <v>string</v>
      </c>
      <c r="I19" t="str">
        <f t="shared" ref="I19:I23" si="19">IF(H19="string",REPT(CHAR(9),2)&amp;"public const int Max"&amp;D19&amp;"Length = "&amp;G19&amp;";"&amp;$E$3,"" )</f>
        <v xml:space="preserve">		public const int MaxNonProdActLength = 10;
</v>
      </c>
      <c r="J19" t="str">
        <f t="shared" ref="J19:J23" si="20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[StringLength(MaxNonProdActLength)]
		public virtual string NonProdAct { get; set; }
</v>
      </c>
      <c r="K19" s="7"/>
      <c r="L19" t="str">
        <f>IF(K19="","",REPT(CHAR(9),1)&amp;"[Index(nameof("&amp;IF(D19="","",""&amp;D19)&amp;")"&amp;", Name="&amp;"""IX_"&amp;$B$7&amp;"_"&amp;D19&amp;""")]")</f>
        <v/>
      </c>
      <c r="M19" t="str">
        <f>REPT(CHAR(9),2)&amp;"public virtual "&amp;IF(OR(H19="DateTime",H19="TimeSpan"),H19&amp;"?",H19)&amp;IF(C19="?","? "," ")&amp;D19&amp;" { get; set; }" &amp; "
"</f>
        <v xml:space="preserve">		public virtual string NonProdAct { get; set; }
</v>
      </c>
      <c r="N19" t="str">
        <f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[StringLength(PtsAdoLineEfficiencyConsts.MaxNonProdActLength)]
		public virtual string NonProdAct { get; set; }
</v>
      </c>
      <c r="O19" t="str">
        <f>IF(OR(H19="string",H19="DateTime",H19="int"),REPT(CHAR(9),2)&amp;"public virtual "&amp;IF(OR(H19="DateTime",H19="TimeSpan"),H19&amp;"?",H19)&amp;IF(C19="?","? "," ")&amp;D19&amp;" { get; set; }"&amp;$E$3,"")</f>
        <v xml:space="preserve">		public virtual string NonProdAct { get; set; }
</v>
      </c>
      <c r="P19" t="str">
        <f t="shared" ref="P19:P23" si="21">REPT(CHAR(9),7)&amp;D19&amp;" = o." &amp;D19 &amp;","</f>
        <v xml:space="preserve">							NonProdAct = o.NonProdAct,</v>
      </c>
      <c r="T19" s="69" t="str">
        <f>REPT(CHAR(9),8)&amp;"("""&amp;D19&amp;"""),"</f>
        <v xml:space="preserve">								("NonProdAct"),</v>
      </c>
      <c r="V19" s="70" t="str">
        <f>REPT(CHAR(9),8)&amp;"_ =&gt; _."&amp;D19&amp;","</f>
        <v xml:space="preserve">								_ =&gt; _.NonProdAct,</v>
      </c>
      <c r="W19" s="69" t="str">
        <f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.WhereIf(!string.IsNullOrWhiteSpace(input.NonProdAct), e =&gt; e.NonProdAct.Contains(input.NonProdAct))</v>
      </c>
    </row>
    <row r="20" spans="1:23" customFormat="1" ht="21" customHeight="1" x14ac:dyDescent="0.25">
      <c r="A20" t="s">
        <v>286</v>
      </c>
      <c r="B20" t="s">
        <v>4</v>
      </c>
      <c r="C20" t="s">
        <v>1</v>
      </c>
      <c r="D20" t="str">
        <f t="shared" ref="D20:D21" si="22">SUBSTITUTE(PROPER(A20),"_","")</f>
        <v>OffLine1</v>
      </c>
      <c r="E20" t="str">
        <f t="shared" si="17"/>
        <v>int</v>
      </c>
      <c r="F20" s="7"/>
      <c r="G20" t="str">
        <f t="shared" si="18"/>
        <v/>
      </c>
      <c r="H20" t="str">
        <f>+VLOOKUP(E20,'Data Type Mapping'!A:B,2,)</f>
        <v>int</v>
      </c>
      <c r="I20" t="str">
        <f t="shared" si="19"/>
        <v/>
      </c>
      <c r="J20" t="str">
        <f t="shared" si="20"/>
        <v xml:space="preserve">		public virtual int OffLine1 { get; set; }
</v>
      </c>
      <c r="K20" s="7"/>
      <c r="L20" t="str">
        <f t="shared" ref="L20:L21" si="23">IF(K20="","",REPT(CHAR(9),1)&amp;"[Index(nameof("&amp;IF(D20="","",""&amp;D20)&amp;")"&amp;", Name="&amp;"""IX_"&amp;$B$7&amp;"_"&amp;D20&amp;""")]")</f>
        <v/>
      </c>
      <c r="M20" t="str">
        <f t="shared" ref="M20:M23" si="24">REPT(CHAR(9),2)&amp;"public virtual "&amp;IF(OR(H20="DateTime",H20="TimeSpan"),H20&amp;"?",H20)&amp;IF(C20="?","? "," ")&amp;D20&amp;" { get; set; }" &amp; "
"</f>
        <v xml:space="preserve">		public virtual int OffLine1 { get; set; }
</v>
      </c>
      <c r="N20" t="str">
        <f t="shared" ref="N20:N23" si="25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int OffLine1 { get; set; }
</v>
      </c>
      <c r="O20" t="str">
        <f t="shared" ref="O20:O23" si="26">IF(OR(H20="string",H20="DateTime",H20="int"),REPT(CHAR(9),2)&amp;"public virtual "&amp;IF(OR(H20="DateTime",H20="TimeSpan"),H20&amp;"?",H20)&amp;IF(C20="?","? "," ")&amp;D20&amp;" { get; set; }"&amp;$E$3,"")</f>
        <v xml:space="preserve">		public virtual int OffLine1 { get; set; }
</v>
      </c>
      <c r="P20" t="str">
        <f t="shared" si="21"/>
        <v xml:space="preserve">							OffLine1 = o.OffLine1,</v>
      </c>
      <c r="T20" s="69" t="str">
        <f t="shared" ref="T20:T23" si="27">REPT(CHAR(9),8)&amp;"("""&amp;D20&amp;"""),"</f>
        <v xml:space="preserve">								("OffLine1"),</v>
      </c>
      <c r="V20" s="70" t="str">
        <f t="shared" ref="V20:V23" si="28">REPT(CHAR(9),8)&amp;"_ =&gt; _."&amp;D20&amp;","</f>
        <v xml:space="preserve">								_ =&gt; _.OffLine1,</v>
      </c>
      <c r="W20" s="69" t="str">
        <f t="shared" ref="W20:W23" si="29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</row>
    <row r="21" spans="1:23" customFormat="1" ht="18.75" customHeight="1" x14ac:dyDescent="0.25">
      <c r="A21" t="s">
        <v>287</v>
      </c>
      <c r="B21" t="s">
        <v>4</v>
      </c>
      <c r="C21" t="s">
        <v>1</v>
      </c>
      <c r="D21" t="str">
        <f t="shared" si="22"/>
        <v>OffLine2</v>
      </c>
      <c r="E21" t="str">
        <f t="shared" si="17"/>
        <v>int</v>
      </c>
      <c r="F21" s="7"/>
      <c r="G21" t="str">
        <f t="shared" si="18"/>
        <v/>
      </c>
      <c r="H21" t="str">
        <f>+VLOOKUP(E21,'Data Type Mapping'!A:B,2,)</f>
        <v>int</v>
      </c>
      <c r="I21" t="str">
        <f t="shared" si="19"/>
        <v/>
      </c>
      <c r="J21" t="str">
        <f t="shared" si="20"/>
        <v xml:space="preserve">		public virtual int OffLine2 { get; set; }
</v>
      </c>
      <c r="K21" s="7"/>
      <c r="L21" t="str">
        <f t="shared" si="23"/>
        <v/>
      </c>
      <c r="M21" t="str">
        <f t="shared" si="24"/>
        <v xml:space="preserve">		public virtual int OffLine2 { get; set; }
</v>
      </c>
      <c r="N21" t="str">
        <f t="shared" si="25"/>
        <v xml:space="preserve">		public virtual int OffLine2 { get; set; }
</v>
      </c>
      <c r="O21" t="str">
        <f t="shared" si="26"/>
        <v xml:space="preserve">		public virtual int OffLine2 { get; set; }
</v>
      </c>
      <c r="P21" t="str">
        <f t="shared" si="21"/>
        <v xml:space="preserve">							OffLine2 = o.OffLine2,</v>
      </c>
      <c r="T21" s="69" t="str">
        <f t="shared" si="27"/>
        <v xml:space="preserve">								("OffLine2"),</v>
      </c>
      <c r="V21" s="70" t="str">
        <f t="shared" si="28"/>
        <v xml:space="preserve">								_ =&gt; _.OffLine2,</v>
      </c>
      <c r="W21" s="69" t="str">
        <f t="shared" si="29"/>
        <v/>
      </c>
    </row>
    <row r="22" spans="1:23" customFormat="1" ht="22.5" customHeight="1" x14ac:dyDescent="0.25">
      <c r="A22" t="s">
        <v>288</v>
      </c>
      <c r="B22" t="s">
        <v>4</v>
      </c>
      <c r="C22" t="s">
        <v>1</v>
      </c>
      <c r="D22" t="str">
        <f>SUBSTITUTE(PROPER(A22),"_","")</f>
        <v>OffLine3</v>
      </c>
      <c r="E22" t="str">
        <f t="shared" si="17"/>
        <v>int</v>
      </c>
      <c r="F22" s="7"/>
      <c r="G22" t="str">
        <f t="shared" si="18"/>
        <v/>
      </c>
      <c r="H22" t="str">
        <f>+VLOOKUP(E22,'Data Type Mapping'!A:B,2,)</f>
        <v>int</v>
      </c>
      <c r="I22" t="str">
        <f t="shared" si="19"/>
        <v/>
      </c>
      <c r="J22" t="str">
        <f t="shared" si="20"/>
        <v xml:space="preserve">		public virtual int OffLine3 { get; set; }
</v>
      </c>
      <c r="K22" s="7"/>
      <c r="L22" t="str">
        <f>IF(K22="","",REPT(CHAR(9),1)&amp;"[Index(nameof("&amp;IF(D22="","",""&amp;D22)&amp;")"&amp;", Name="&amp;"""IX_"&amp;$B$7&amp;"_"&amp;D22&amp;""")]")</f>
        <v/>
      </c>
      <c r="M22" t="str">
        <f t="shared" si="24"/>
        <v xml:space="preserve">		public virtual int OffLine3 { get; set; }
</v>
      </c>
      <c r="N22" t="str">
        <f t="shared" si="25"/>
        <v xml:space="preserve">		public virtual int OffLine3 { get; set; }
</v>
      </c>
      <c r="O22" t="str">
        <f t="shared" si="26"/>
        <v xml:space="preserve">		public virtual int OffLine3 { get; set; }
</v>
      </c>
      <c r="P22" t="str">
        <f t="shared" si="21"/>
        <v xml:space="preserve">							OffLine3 = o.OffLine3,</v>
      </c>
      <c r="T22" s="69" t="str">
        <f t="shared" si="27"/>
        <v xml:space="preserve">								("OffLine3"),</v>
      </c>
      <c r="V22" s="70" t="str">
        <f t="shared" si="28"/>
        <v xml:space="preserve">								_ =&gt; _.OffLine3,</v>
      </c>
      <c r="W22" s="69" t="str">
        <f t="shared" si="29"/>
        <v/>
      </c>
    </row>
    <row r="23" spans="1:23" customFormat="1" ht="21" customHeight="1" x14ac:dyDescent="0.25">
      <c r="A23" t="s">
        <v>289</v>
      </c>
      <c r="B23" t="s">
        <v>4</v>
      </c>
      <c r="C23" t="s">
        <v>1</v>
      </c>
      <c r="D23" t="str">
        <f t="shared" ref="D23" si="30">SUBSTITUTE(PROPER(A23),"_","")</f>
        <v>ShiftVolPlan</v>
      </c>
      <c r="E23" t="str">
        <f t="shared" si="17"/>
        <v>int</v>
      </c>
      <c r="F23" s="7"/>
      <c r="G23" t="str">
        <f t="shared" si="18"/>
        <v/>
      </c>
      <c r="H23" t="str">
        <f>+VLOOKUP(E23,'Data Type Mapping'!A:B,2,)</f>
        <v>int</v>
      </c>
      <c r="I23" t="str">
        <f t="shared" si="19"/>
        <v/>
      </c>
      <c r="J23" t="str">
        <f t="shared" si="20"/>
        <v xml:space="preserve">		public virtual int ShiftVolPlan { get; set; }
</v>
      </c>
      <c r="K23" s="7"/>
      <c r="L23" t="str">
        <f t="shared" ref="L23" si="31">IF(K23="","",REPT(CHAR(9),1)&amp;"[Index(nameof("&amp;IF(D23="","",""&amp;D23)&amp;")"&amp;", Name="&amp;"""IX_"&amp;$B$7&amp;"_"&amp;D23&amp;""")]")</f>
        <v/>
      </c>
      <c r="M23" t="str">
        <f t="shared" si="24"/>
        <v xml:space="preserve">		public virtual int ShiftVolPlan { get; set; }
</v>
      </c>
      <c r="N23" t="str">
        <f t="shared" si="25"/>
        <v xml:space="preserve">		public virtual int ShiftVolPlan { get; set; }
</v>
      </c>
      <c r="O23" t="str">
        <f t="shared" si="26"/>
        <v xml:space="preserve">		public virtual int ShiftVolPlan { get; set; }
</v>
      </c>
      <c r="P23" t="str">
        <f t="shared" si="21"/>
        <v xml:space="preserve">							ShiftVolPlan = o.ShiftVolPlan,</v>
      </c>
      <c r="T23" s="69" t="str">
        <f t="shared" si="27"/>
        <v xml:space="preserve">								("ShiftVolPlan"),</v>
      </c>
      <c r="V23" s="70" t="str">
        <f t="shared" si="28"/>
        <v xml:space="preserve">								_ =&gt; _.ShiftVolPlan,</v>
      </c>
      <c r="W23" s="69" t="str">
        <f t="shared" si="29"/>
        <v/>
      </c>
    </row>
    <row r="24" spans="1:23" customFormat="1" ht="21" customHeight="1" x14ac:dyDescent="0.25">
      <c r="A24" t="s">
        <v>270</v>
      </c>
      <c r="B24" t="s">
        <v>269</v>
      </c>
      <c r="C24" t="s">
        <v>1</v>
      </c>
      <c r="D24" t="str">
        <f t="shared" ref="D24" si="32">SUBSTITUTE(PROPER(A24),"_","")</f>
        <v>IsActive</v>
      </c>
      <c r="E24" t="str">
        <f t="shared" ref="E24" si="33">IFERROR(LEFT(B24, FIND("(",B24)-1),B24)</f>
        <v>varchar</v>
      </c>
      <c r="F24" s="7"/>
      <c r="G24" t="str">
        <f t="shared" ref="G24" si="34">IFERROR(MID(B24,FIND("(",B24) +1, FIND(")",B24) - FIND("(",B24) - 1),"")</f>
        <v>1</v>
      </c>
      <c r="H24" t="str">
        <f>+VLOOKUP(E24,'Data Type Mapping'!A:B,2,)</f>
        <v>string</v>
      </c>
      <c r="I24" t="str">
        <f t="shared" ref="I24" si="35">IF(H24="string",REPT(CHAR(9),2)&amp;"public const int Max"&amp;D24&amp;"Length = "&amp;G24&amp;";"&amp;$E$3,"" )</f>
        <v xml:space="preserve">		public const int MaxIsActiveLength = 1;
</v>
      </c>
      <c r="J24" t="str">
        <f t="shared" ref="J24" si="3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[StringLength(MaxIsActiveLength)]
		public virtual string IsActive { get; set; }
</v>
      </c>
      <c r="K24" s="7" t="s">
        <v>206</v>
      </c>
      <c r="L24" t="str">
        <f t="shared" ref="L24" si="37">IF(K24="","",REPT(CHAR(9),1)&amp;"[Index(nameof("&amp;IF(D24="","",""&amp;D24)&amp;")"&amp;", Name="&amp;"""IX_"&amp;$B$7&amp;"_"&amp;D24&amp;""")]")</f>
        <v xml:space="preserve">	[Index(nameof(IsActive), Name="IX_PtsAdoLineEfficiency_IsActive")]</v>
      </c>
      <c r="M24" t="str">
        <f t="shared" ref="M24" si="38">REPT(CHAR(9),2)&amp;"public virtual "&amp;IF(OR(H24="DateTime",H24="TimeSpan"),H24&amp;"?",H24)&amp;IF(C24="?","? "," ")&amp;D24&amp;" { get; set; }" &amp; "
"</f>
        <v xml:space="preserve">		public virtual string IsActive { get; set; }
</v>
      </c>
      <c r="N24" t="str">
        <f t="shared" ref="N24" si="3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[StringLength(PtsAdoLineEfficiencyConsts.MaxIsActiveLength)]
		public virtual string IsActive { get; set; }
</v>
      </c>
      <c r="O24" t="str">
        <f t="shared" ref="O24" si="40">IF(OR(H24="string",H24="DateTime",H24="int"),REPT(CHAR(9),2)&amp;"public virtual "&amp;IF(OR(H24="DateTime",H24="TimeSpan"),H24&amp;"?",H24)&amp;IF(C24="?","? "," ")&amp;D24&amp;" { get; set; }"&amp;$E$3,"")</f>
        <v xml:space="preserve">		public virtual string IsActive { get; set; }
</v>
      </c>
      <c r="P24" t="str">
        <f t="shared" ref="P24" si="41">REPT(CHAR(9),7)&amp;D24&amp;" = o." &amp;D24 &amp;","</f>
        <v xml:space="preserve">							IsActive = o.IsActive,</v>
      </c>
      <c r="T24" s="69" t="str">
        <f t="shared" ref="T24" si="42">REPT(CHAR(9),8)&amp;"("""&amp;D24&amp;"""),"</f>
        <v xml:space="preserve">								("IsActive"),</v>
      </c>
      <c r="V24" s="70" t="str">
        <f t="shared" ref="V24" si="43">REPT(CHAR(9),8)&amp;"_ =&gt; _."&amp;D24&amp;","</f>
        <v xml:space="preserve">								_ =&gt; _.IsActive,</v>
      </c>
      <c r="W24" s="69" t="str">
        <f t="shared" ref="W24" si="4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.WhereIf(!string.IsNullOrWhiteSpace(input.IsActive), e =&gt; e.IsActive.Contains(input.IsActive))</v>
      </c>
    </row>
    <row r="26" spans="1:23" ht="45.75" customHeight="1" x14ac:dyDescent="0.25">
      <c r="H26" s="12"/>
      <c r="I26" s="34" t="str">
        <f ca="1">TEXTJOIN2("
", TRUE,INDIRECT( $H$1):INDIRECT( $H$3))</f>
        <v xml:space="preserve">		public const int MaxLineLength = 5;
		public const int MaxShiftLength = 1;
		public const int MaxStopTimeLength = 10;
		public const int MaxEfficiencyLength = 10;
		public const int MaxTaktTimeLength = 10;
		public const int MaxOvertimeLength = 10;
		public const int MaxNonProdActLength = 10;
		public const int MaxIsActiveLength = 1;
</v>
      </c>
      <c r="J26" s="33" t="str">
        <f ca="1">TEXTJOIN2("
", TRUE,INDIRECT( $F$1):INDIRECT( $F$3))</f>
        <v xml:space="preserve">		[Required]
		[StringLength(MaxLineLength)]
		public virtual string Line { get; set; }
		[StringLength(MaxShiftLength)]
		public virtual string Shift { get; set; }
		[Required]
		public virtual DateTime WorkingDate { get; set; }
		public virtual int VolTarget { get; set; }
		public virtual int VolActual { get; set; }
		public virtual int VolBalance { get; set; }
		[StringLength(MaxStopTimeLength)]
		public virtual string StopTime { get; set; }
		[StringLength(MaxEfficiencyLength)]
		public virtual string Efficiency { get; set; }
		[StringLength(MaxTaktTimeLength)]
		public virtual string TaktTime { get; set; }
		[StringLength(MaxOvertimeLength)]
		public virtual string Overtime { get; set; }
		[StringLength(MaxNonProdActLength)]
		public virtual string NonProdAct { get; set; }
		public virtual int OffLine1 { get; set; }
		public virtual int OffLine2 { get; set; }
		public virtual int OffLine3 { get; set; }
		public virtual int ShiftVolPlan { get; set; }
		[StringLength(MaxIsActiveLength)]
		public virtual string IsActive { get; set; }
</v>
      </c>
      <c r="K26" s="35" t="str">
        <f ca="1">TEXTJOIN2("
", TRUE,INDIRECT( $J$1):INDIRECT( $J$3))</f>
        <v xml:space="preserve">	[Index(nameof(Line), Name="IX_PtsAdoLineEfficiency_Line")]
	[Index(nameof(Shift), Name="IX_PtsAdoLineEfficiency_Shift")]
	[Index(nameof(WorkingDate), Name="IX_PtsAdoLineEfficiency_WorkingDate")]
	[Index(nameof(IsActive), Name="IX_PtsAdoLineEfficiency_IsActive")]</v>
      </c>
      <c r="L26" s="13" t="s">
        <v>60</v>
      </c>
      <c r="M26" s="36" t="str">
        <f ca="1">TEXTJOIN2("
",TRUE,INDIRECT( $L$1):INDIRECT($L$3))</f>
        <v xml:space="preserve">		public virtual string Line { get; set; }
		public virtual string Shift { get; set; }
		public virtual DateTime? WorkingDate { get; set; }
		public virtual int VolTarget { get; set; }
		public virtual int VolActual { get; set; }
		public virtual int VolBalance { get; set; }
		public virtual string StopTime { get; set; }
		public virtual string Efficiency { get; set; }
		public virtual string TaktTime { get; set; }
		public virtual string Overtime { get; set; }
		public virtual string NonProdAct { get; set; }
		public virtual int OffLine1 { get; set; }
		public virtual int OffLine2 { get; set; }
		public virtual int OffLine3 { get; set; }
		public virtual int ShiftVolPlan { get; set; }
		public virtual string IsActive { get; set; }
</v>
      </c>
      <c r="N26" s="33" t="str">
        <f ca="1">TEXTJOIN2("
",TRUE,INDIRECT( $M$1):INDIRECT($M$3))</f>
        <v xml:space="preserve">		[Required]
		[StringLength(PtsAdoLineEfficiencyConsts.MaxLineLength)]
		public virtual string Line { get; set; }
		[StringLength(PtsAdoLineEfficiencyConsts.MaxShiftLength)]
		public virtual string Shift { get; set; }
		[Required]
		public virtual DateTime? WorkingDate { get; set; }
		public virtual int VolTarget { get; set; }
		public virtual int VolActual { get; set; }
		public virtual int VolBalance { get; set; }
		[StringLength(PtsAdoLineEfficiencyConsts.MaxStopTimeLength)]
		public virtual string StopTime { get; set; }
		[StringLength(PtsAdoLineEfficiencyConsts.MaxEfficiencyLength)]
		public virtual string Efficiency { get; set; }
		[StringLength(PtsAdoLineEfficiencyConsts.MaxTaktTimeLength)]
		public virtual string TaktTime { get; set; }
		[StringLength(PtsAdoLineEfficiencyConsts.MaxOvertimeLength)]
		public virtual string Overtime { get; set; }
		[StringLength(PtsAdoLineEfficiencyConsts.MaxNonProdActLength)]
		public virtual string NonProdAct { get; set; }
		public virtual int OffLine1 { get; set; }
		public virtual int OffLine2 { get; set; }
		public virtual int OffLine3 { get; set; }
		public virtual int ShiftVolPlan { get; set; }
		[StringLength(PtsAdoLineEfficiencyConsts.MaxIsActiveLength)]
		public virtual string IsActive { get; set; }
</v>
      </c>
      <c r="O26" s="33" t="str">
        <f ca="1">TEXTJOIN2("
",TRUE,INDIRECT( $N$1):INDIRECT($N$3))</f>
        <v xml:space="preserve">		public virtual string Line { get; set; }
		public virtual string Shift { get; set; }
		public virtual DateTime? WorkingDate { get; set; }
		public virtual int VolTarget { get; set; }
		public virtual int VolActual { get; set; }
		public virtual int VolBalance { get; set; }
		public virtual string StopTime { get; set; }
		public virtual string Efficiency { get; set; }
		public virtual string TaktTime { get; set; }
		public virtual string Overtime { get; set; }
		public virtual string NonProdAct { get; set; }
		public virtual int OffLine1 { get; set; }
		public virtual int OffLine2 { get; set; }
		public virtual int OffLine3 { get; set; }
		public virtual int ShiftVolPlan { get; set; }
		public virtual string IsActive { get; set; }
</v>
      </c>
      <c r="P26" s="9" t="str">
        <f ca="1">TEXTJOIN2("
",TRUE,INDIRECT( $O$1):INDIRECT($O$3))</f>
        <v xml:space="preserve">							Line = o.Line,
							Shift = o.Shift,
							WorkingDate = o.WorkingDate,
							VolTarget = o.VolTarget,
							VolActual = o.VolActual,
							VolBalance = o.VolBalance,
							StopTime = o.StopTime,
							Efficiency = o.Efficiency,
							TaktTime = o.TaktTime,
							Overtime = o.Overtime,
							NonProdAct = o.NonProdAct,
							OffLine1 = o.OffLine1,
							OffLine2 = o.OffLine2,
							OffLine3 = o.OffLine3,
							ShiftVolPlan = o.ShiftVolPlan,
							IsActive = o.IsActive,</v>
      </c>
      <c r="T26" s="9" t="str">
        <f ca="1">TEXTJOIN2("
",TRUE,INDIRECT( $T$2):INDIRECT($T$3))</f>
        <v xml:space="preserve">								("Line"),
								("Shift"),
								("WorkingDate"),
								("VolTarget"),
								("VolActual"),
								("VolBalance"),
								("StopTime"),
								("Efficiency"),
								("TaktTime"),
								("Overtime"),
								("NonProdAct"),
								("OffLine1"),
								("OffLine2"),
								("OffLine3"),
								("ShiftVolPlan"),
								("IsActive"),</v>
      </c>
      <c r="V26" s="9" t="str">
        <f ca="1">TEXTJOIN2("
",TRUE,INDIRECT( $V$2):INDIRECT($V$3))</f>
        <v xml:space="preserve">								_ =&gt; _.Line,
								_ =&gt; _.Shift,
								_ =&gt; _.WorkingDate,
								_ =&gt; _.VolTarget,
								_ =&gt; _.VolActual,
								_ =&gt; _.VolBalance,
								_ =&gt; _.StopTime,
								_ =&gt; _.Efficiency,
								_ =&gt; _.TaktTime,
								_ =&gt; _.Overtime,
								_ =&gt; _.NonProdAct,
								_ =&gt; _.OffLine1,
								_ =&gt; _.OffLine2,
								_ =&gt; _.OffLine3,
								_ =&gt; _.ShiftVolPlan,
								_ =&gt; _.IsActive,</v>
      </c>
      <c r="W26" s="9" t="str">
        <f ca="1">TEXTJOIN2("
",TRUE,INDIRECT( $W$2):INDIRECT($W$3))</f>
        <v xml:space="preserve">				.WhereIf(!string.IsNullOrWhiteSpace(input.Line), e =&gt; e.Line.Contains(input.Line))
				.WhereIf(!string.IsNullOrWhiteSpace(input.Shift), e =&gt; e.Shift.Contains(input.Shift))
				.WhereIf(input.WorkingDate.HasValue, t =&gt; t.WorkingDate == input.WorkingDate.Value)
				.WhereIf(!string.IsNullOrWhiteSpace(input.StopTime), e =&gt; e.StopTime.Contains(input.StopTime))
				.WhereIf(!string.IsNullOrWhiteSpace(input.Efficiency), e =&gt; e.Efficiency.Contains(input.Efficiency))
				.WhereIf(!string.IsNullOrWhiteSpace(input.TaktTime), e =&gt; e.TaktTime.Contains(input.TaktTime))
				.WhereIf(!string.IsNullOrWhiteSpace(input.Overtime), e =&gt; e.Overtime.Contains(input.Overtime))
				.WhereIf(!string.IsNullOrWhiteSpace(input.NonProdAct), e =&gt; e.NonProdAct.Contains(input.NonProdAct))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33"/>
  <sheetViews>
    <sheetView tabSelected="1" topLeftCell="G7" workbookViewId="0">
      <selection activeCell="I15" sqref="I1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292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Painting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painting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PtsAdoLineEfficiency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LineEfficiency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lineefficiency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293</v>
      </c>
      <c r="I9" s="46" t="s">
        <v>294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PtsAdoLineEfficiencyDto, PtsAdoLineEfficiencyServiceProxy } from '@shared/service-proxies/service-proxies';
import { finalize } from 'rxjs/internal/operators/finalize';
import { CreateOrEditLineEfficiencyModalComponent } from './create-or-edit-lineefficiency-modal.component';
import { DatePipe } from '@angular/common';
import { FileDownloadService } from '@shared/utils/file-download.service';
import ceil from 'lodash-es/ceil';
import { Paginator } from 'primeng/paginator';
@Component({
    templateUrl: './lineefficiency.component.html',
    styleUrls: ['./lineefficiency.component.less'],
})
export class LineEfficiencyComponent extends AppComponentBase implements OnInit {
    @ViewChild('createOrEditModalLineEfficiency', { static: true }) createOrEditModalLineEfficiency:| CreateOrEditLineEfficiencyModalComponent|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PtsAdoLineEfficiencyDto = new PtsAdoLineEfficiencyDto();
    saveSelectedRow: PtsAdoLineEfficiencyDto = new PtsAdoLineEfficiencyDto();
    datas: PtsAdoLineEfficiencyDto = new PtsAdoLineEfficiencyDto();
    isLoading: boolean = false;
    dataParams: GridParams | undefined;
    rowData: any[] = [];
    gridApi!: GridApi;
    rowSelection = 'multiple';
    filter: string = '';
	pipe = new DatePipe('en-US');
	frameworkComponents: FrameworkComponent;
    line : string = '' ; 
shift : string = '' ; 
	workingDate : any ;
	volTarget : number = 0 ;
	volActual : number = 0 ;
	volBalance : number = 0 ;
stopTime : string = '' ; 
	efficiency : string = '' ; 
	taktTime : string = '' ; 
	overtime : string = '' ; 
	nonProdAct : string = '' ; 
	offLine1 : number = 0 ;
	offLine2 : number = 0 ;
	offLine3 : number = 0 ;
	shiftVolPlan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PtsAdoLineEfficiencyServiceProxy,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this.l('Lot No'),headerTooltip: this.l('Lot No'),field: 'lotNo',flex: 1},
			{headerName: this.l('Shift'),headerTooltip: this.l('Shift'),field:  'shift', cellClass: ['text-center'], width: 120, cellRenderer: 'agCellButtonComponent',
buttonDefTwo: { text: params =&gt; (params.data?.'shift' == 'Y') ? 'Active' : 'Inactive',iconName: 'fa fa-circle',className: params =&gt; (params.data?.'shift' == 'Y') ? 'btnActive' : 'btnInActive',},}
			{headerName: this.l('Working Date'),headerTooltip: this.l('Working Date'),field: 'workingDate',valueGetter: (params) =&gt; this.pipe.transform(params.data?.workingDate, 'dd/MM/yyyy'),flex: 1},
			{headerName: this.l('Vol Target'),headerTooltip: this.l('Vol Target'),field: 'volTarget',flex: 1},
			{headerName: this.l('Vol Actual'),headerTooltip: this.l('Vol Actual'),field: 'volActual',flex: 1},
			{headerName: this.l('Vol Balance'),headerTooltip: this.l('Vol Balance'),field: 'volBalance',flex: 1},
			{headerName: this.l('Stop Time'),headerTooltip: this.l('Stop Time'),field: 'stopTime',flex: 1},
			{headerName: this.l('Efficiency'),headerTooltip: this.l('Efficiency'),field: 'efficiency',flex: 1},
			{headerName: this.l('Takt Time'),headerTooltip: this.l('Takt Time'),field: 'taktTime',flex: 1},
			{headerName: this.l('Overtime'),headerTooltip: this.l('Overtime'),field: 'overtime',flex: 1},
			{headerName: this.l('Non Prod Act'),headerTooltip: this.l('Non Prod Act'),field: 'nonProdAct',flex: 1},
			{headerName: this.l('Off Line 1'),headerTooltip: this.l('Off Line 1'),field: 'offLine1',flex: 1},
			{headerName: this.l('Off Line 2'),headerTooltip: this.l('Off Line 2'),field: 'offLine2',flex: 1},
			{headerName: this.l('Off Line 3'),headerTooltip: this.l('Off Line 3'),field: 'offLine3',flex: 1},
			{headerName: this.l('Shift Vol Plan'),headerTooltip: this.l('Shift Vol Plan'),field: 'shiftVolPlan',flex: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this.line,
			this.shift,
			this.workingDate,
			this.volTarget,
			this.volActual,
			this.volBalance,
			this.stopTime,
			this.efficiency,
			this.taktTime,
			this.overtime,
			this.nonProdAct,
			this.offLine1,
			this.offLine2,
			this.offLine3,
			this.shiftVolPlan,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this.line = '',
this.shift = '',
		this.workingDate = '',
		this.volTarget = 0,
		this.volActual = 0,
		this.volBalance = 0,
this.stopTime = '',
		this.efficiency = '',
		this.taktTime = '',
		this.overtime = '',
		this.nonProdAct = '',
		this.offLine1 = 0,
		this.offLine2 = 0,
		this.offLine3 = 0,
		this.shiftVolPlan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this.line,
			this.shift,
			this.workingDate,
			this.volTarget,
			this.volActual,
			this.volBalance,
			this.stopTime,
			this.efficiency,
			this.taktTime,
			this.overtime,
			this.nonProdAct,
			this.offLine1,
			this.offLine2,
			this.offLine3,
			this.shiftVolPlan,
			this.isActive,
			'',
            this.paginationParams.skipCount,
            this.paginationParams.pageSize
        );
    }
    onChangeRowSelection(params: { api: { getSelectedRows: () =&gt; PtsAdoLineEfficiencyDto[] } }) {
        this.saveSelectedRow = params.api.getSelectedRows()[0] ?? new PtsAdoLineEfficiencyDto();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PtsAdoLineEfficiencyDto):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this._service.getLineEfficiencyToExcel(
			this.line,
			this.shift,
			this.workingDate,
			this.volTarget,
			this.volActual,
			this.volBalance,
			this.stopTime,
			this.efficiency,
			this.taktTime,
			this.overtime,
			this.nonProdAct,
			this.offLine1,
			this.offLine2,
			this.offLine3,
			this.shiftVolPlan,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Line Efficiency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[(ngModel)]='stopTime' name='stopTime'
									class='form-control' [placeholder]="l('Stop Time')"
									type='text' (keyup.enter)='searchDatas()'&gt;
								&lt;/div&gt;
								&lt;div class='input-search'&gt;
									&lt;input [(ngModel)]='efficiency' name='efficiency'
									class='form-control' [placeholder]="l('Efficiency')"
									type='text' (keyup.enter)='searchDatas()'&gt;
								&lt;/div&gt;
								&lt;div class='input-search'&gt;
									&lt;input [(ngModel)]='taktTime' name='taktTime'
									class='form-control' [placeholder]="l('Takt Time')"
									type='text' (keyup.enter)='searchDatas()'&gt;
								&lt;/div&gt;
								&lt;div class='input-search'&gt;
									&lt;input [(ngModel)]='overtime' name='overtime'
									class='form-control' [placeholder]="l('Overtime')"
									type='text' (keyup.enter)='searchDatas()'&gt;
								&lt;/div&gt;
								&lt;div class='input-search'&gt;
									&lt;input [(ngModel)]='nonProdAct' name='nonProdAct'
									class='form-control' [placeholder]="l('Non Prod Act')"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(click)="createOrEditModalLineEfficiency.show()"&gt;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(click)="createOrEditModalLineEfficiency.show(selectedRow)"&gt;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&lt;create-or-edit-lineefficiency-modal
    #createOrEditModalLineEfficiency
    (modalSave)="callBackDataGrid(dataParams)"
    (modalClose)="onChangeRowSelection(dataParams)"
&gt;
&lt;/create-or-edit-lineefficiency-modal&gt;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#createOrEditModalLineEfficiency="bs-modal"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LineEfficiency')}}&lt;/h3&gt;
                    &lt;h3 *ngIf="!rowdata.id"&gt;{{('Create New LineEfficiency')}}&lt;/h3&gt;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title'&gt;Shift&lt;/label&gt;
						&lt;new-checkbox [(ngModel)]='_shift' name='shift' className='col-md-10' &gt; &lt;/new-checkbox&gt;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title'&gt;Vol Target&lt;/label&gt;
						&lt;input type='number' class='col-md-10 form-control input-text' name='VolTarget' [(ngModel)]='rowdata.volTarget'&gt;
					&lt;/div&gt;
					&lt;div class='col-md-12 form-group row'&gt;
						&lt;label class='col-md-2 form-control title'&gt;Vol Actual&lt;/label&gt;
						&lt;input type='number' class='col-md-10 form-control input-text' name='VolActual' [(ngModel)]='rowdata.volActual'&gt;
					&lt;/div&gt;
					&lt;div class='col-md-12 form-group row'&gt;
						&lt;label class='col-md-2 form-control title'&gt;Vol Balance&lt;/label&gt;
						&lt;input type='number' class='col-md-10 form-control input-text' name='VolBalance' [(ngModel)]='rowdata.volBalance'&gt;
					&lt;/div&gt;
					&lt;div class='col-md-12 form-group row'&gt;
						&lt;label class='col-md-2 form-control title'&gt;Stop Time&lt;/label&gt;
						&lt;input type='text' class='col-md-10 form-control input-text' name='StopTime' [(ngModel)]='rowdata.stopTime'&gt;
					&lt;/div&gt;
					&lt;div class='col-md-12 form-group row'&gt;
						&lt;label class='col-md-2 form-control title'&gt;Efficiency&lt;/label&gt;
						&lt;input type='text' class='col-md-10 form-control input-text' name='Efficiency' [(ngModel)]='rowdata.efficiency'&gt;
					&lt;/div&gt;
					&lt;div class='col-md-12 form-group row'&gt;
						&lt;label class='col-md-2 form-control title'&gt;Takt Time&lt;/label&gt;
						&lt;input type='text' class='col-md-10 form-control input-text' name='TaktTime' [(ngModel)]='rowdata.taktTime'&gt;
					&lt;/div&gt;
					&lt;div class='col-md-12 form-group row'&gt;
						&lt;label class='col-md-2 form-control title'&gt;Overtime&lt;/label&gt;
						&lt;input type='text' class='col-md-10 form-control input-text' name='Overtime' [(ngModel)]='rowdata.overtime'&gt;
					&lt;/div&gt;
					&lt;div class='col-md-12 form-group row'&gt;
						&lt;label class='col-md-2 form-control title'&gt;Non Prod Act&lt;/label&gt;
						&lt;input type='text' class='col-md-10 form-control input-text' name='NonProdAct' [(ngModel)]='rowdata.nonProdAct'&gt;
					&lt;/div&gt;
					&lt;div class='col-md-12 form-group row'&gt;
						&lt;label class='col-md-2 form-control title'&gt;Off Line 1&lt;/label&gt;
						&lt;input type='number' class='col-md-10 form-control input-text' name='OffLine1' [(ngModel)]='rowdata.offLine1'&gt;
					&lt;/div&gt;
					&lt;div class='col-md-12 form-group row'&gt;
						&lt;label class='col-md-2 form-control title'&gt;Off Line 2&lt;/label&gt;
						&lt;input type='number' class='col-md-10 form-control input-text' name='OffLine2' [(ngModel)]='rowdata.offLine2'&gt;
					&lt;/div&gt;
					&lt;div class='col-md-12 form-group row'&gt;
						&lt;label class='col-md-2 form-control title'&gt;Off Line 3&lt;/label&gt;
						&lt;input type='number' class='col-md-10 form-control input-text' name='OffLine3' [(ngModel)]='rowdata.offLine3'&gt;
					&lt;/div&gt;
					&lt;div class='col-md-12 form-group row'&gt;
						&lt;label class='col-md-2 form-control title'&gt;Shift Vol Plan&lt;/label&gt;
						&lt;input type='number' class='col-md-10 form-control input-text' name='ShiftVolPlan' [(ngModel)]='rowdata.shiftVolPlan'&gt;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CreateOrEditPtsAdoLineEfficiencyDto, PtsAdoLineEfficiencyServiceProxy } from '@shared/service-proxies/service-proxies';
import { BsDatepickerDirective } from 'ngx-bootstrap/datepicker';
@Component({
    selector: 'create-or-edit-lineefficiency-modal',
    templateUrl: './create-or-edit-lineefficiency-modal.component.html',
    styleUrls: ['./create-or-edit-lineefficiency-modal.component.less']
    })
export class CreateOrEditLineEfficiencyModalComponent extends AppComponentBase {
    @ViewChild('createOrEditModalLineEfficiency',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CreateOrEditPtsAdoLineEfficiencyDto = new CreateOrEditPtsAdoLineEfficiencyDto();
    active: boolean = false;
    saving: boolean = false;
    _shift
isActive: boolean;
    constructor(
        injector: Injector,
        private _mstwptLineEfficiencyService: PtsAdoLineEfficiencyServiceProxy,
    ) 
    {
        super(injector);
    }
    show(rowdata?: CreateOrEditPtsAdoLineEfficiencyDto): void {
        if (!rowdata) this.rowdata = new CreateOrEditPtsAdoLineEfficiencyDto();
        else this.rowdata = rowdata;
		const dateValue =  this.rowdata.workingDate ? new Date(this.rowdata.workingDate?.toString()) : new Date();
		this.datepicker?.bsValueChange.emit(dateValue);
        this._shift
isActive = (this.rowdata.shift
isActive == "N")? false: true;
        this.active = true;
        this.modal.show();
    } 
    changeActive(event){
        this._shift
isActive = event.target.checked;
    }
    save(): void {
    this.saving = true; 
    this.rowdata.shift
isActive = (this._shift
isActive == true) ? 'Y' : 'N'
    this._mstwptLineEfficiencyService.createOrEdit(this.rowdata)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LineEfficiencyRoutingModule } from './lineefficiency-routing.module';
import { LineEfficiencyComponent } from './lineefficiency.component';
import { CreateOrEditLineEfficiencyModalComponent } from './create-or-edit-lineefficiency-modal.component';
@NgModule({
    declarations: [
       LineEfficiencyComponent, 
        CreateOrEditLineEfficiencyModalComponent
    ],
    imports: [
        AppSharedModule, LineEfficiencyRoutingModule]
})
export class LineEfficiencyModule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LineEfficiencyComponent } from './lineefficiency.component';
const routes: Routes = [{
    path: '',
    component: LineEfficiencyComponent,
    pathMatch: 'full'
}];
@NgModule({
    imports: [RouterModule.forChild(routes)],
    exports: [RouterModule],
})
export class LineEfficiencyRoutingModule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AppMenuItem("LineEfficiency", "Pages.Painting.Andon.LineEfficiency", "flaticon-book",   "/app/main/painting/andon/lineefficiency"),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'painting/andon/lineefficiency',
    loadChildren: () =&gt; import('./painting/andon/lineefficiency/lineefficiency.module').then(m =&gt; m.LineEfficiencyModule),
    data: { permission: 'Pages.Painting.Andon.LineEfficiency' }
},</v>
      </c>
      <c r="R10" s="50" t="str">
        <f>SUBSTITUTE(R9,"MstWptCalendar",$B$6)</f>
        <v>ApiServiceProxies.PtsAdoLineEfficiencyServiceProxy,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H30</v>
      </c>
      <c r="I12" s="31" t="str">
        <f>"I"&amp;COUNTA($A:$A)</f>
        <v>I30</v>
      </c>
      <c r="J12" s="31"/>
      <c r="K12" s="31" t="str">
        <f>"K"&amp;COUNTA($A:$A)</f>
        <v>K30</v>
      </c>
      <c r="L12" s="31" t="str">
        <f>"L"&amp;COUNTA($A:$A)</f>
        <v>L30</v>
      </c>
      <c r="M12" s="31"/>
      <c r="N12" s="31"/>
      <c r="O12" s="31"/>
      <c r="P12" s="31"/>
      <c r="Q12" s="31"/>
      <c r="R12" s="31"/>
      <c r="S12" s="31" t="str">
        <f>"S"&amp;COUNTA($A:$A)</f>
        <v>S30</v>
      </c>
      <c r="T12" s="31" t="str">
        <f>"T"&amp;COUNTA($A:$A)</f>
        <v>T30</v>
      </c>
      <c r="U12" s="31" t="str">
        <f>"U"&amp;COUNTA($A:$A)</f>
        <v>U30</v>
      </c>
      <c r="V12" s="31" t="str">
        <f>"V"&amp;COUNTA($A:$A)</f>
        <v>V30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this.l('Lot No'),headerTooltip: this.l('Lot No'),field: 'lotNo',flex: 1},
			{headerName: this.l('Shift'),headerTooltip: this.l('Shift'),field:  'shift', cellClass: ['text-center'], width: 120, cellRenderer: 'agCellButtonComponent',
buttonDefTwo: { text: params =&gt; (params.data?.'shift' == 'Y') ? 'Active' : 'Inactive',iconName: 'fa fa-circle',className: params =&gt; (params.data?.'shift' == 'Y') ? 'btnActive' : 'btnInActive',},}
			{headerName: this.l('Working Date'),headerTooltip: this.l('Working Date'),field: 'workingDate',valueGetter: (params) =&gt; this.pipe.transform(params.data?.workingDate, 'dd/MM/yyyy'),flex: 1},
			{headerName: this.l('Vol Target'),headerTooltip: this.l('Vol Target'),field: 'volTarget',flex: 1},
			{headerName: this.l('Vol Actual'),headerTooltip: this.l('Vol Actual'),field: 'volActual',flex: 1},
			{headerName: this.l('Vol Balance'),headerTooltip: this.l('Vol Balance'),field: 'volBalance',flex: 1},
			{headerName: this.l('Stop Time'),headerTooltip: this.l('Stop Time'),field: 'stopTime',flex: 1},
			{headerName: this.l('Efficiency'),headerTooltip: this.l('Efficiency'),field: 'efficiency',flex: 1},
			{headerName: this.l('Takt Time'),headerTooltip: this.l('Takt Time'),field: 'taktTime',flex: 1},
			{headerName: this.l('Overtime'),headerTooltip: this.l('Overtime'),field: 'overtime',flex: 1},
			{headerName: this.l('Non Prod Act'),headerTooltip: this.l('Non Prod Act'),field: 'nonProdAct',flex: 1},
			{headerName: this.l('Off Line 1'),headerTooltip: this.l('Off Line 1'),field: 'offLine1',flex: 1},
			{headerName: this.l('Off Line 2'),headerTooltip: this.l('Off Line 2'),field: 'offLine2',flex: 1},
			{headerName: this.l('Off Line 3'),headerTooltip: this.l('Off Line 3'),field: 'offLine3',flex: 1},
			{headerName: this.l('Shift Vol Plan'),headerTooltip: this.l('Shift Vol Plan'),field: 'shiftVolPlan',flex: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[(ngModel)]='stopTime' name='stopTime'
									class='form-control' [placeholder]="l('Stop Time')"
									type='text' (keyup.enter)='searchDatas()'&gt;
								&lt;/div&gt;
								&lt;div class='input-search'&gt;
									&lt;input [(ngModel)]='efficiency' name='efficiency'
									class='form-control' [placeholder]="l('Efficiency')"
									type='text' (keyup.enter)='searchDatas()'&gt;
								&lt;/div&gt;
								&lt;div class='input-search'&gt;
									&lt;input [(ngModel)]='taktTime' name='taktTime'
									class='form-control' [placeholder]="l('Takt Time')"
									type='text' (keyup.enter)='searchDatas()'&gt;
								&lt;/div&gt;
								&lt;div class='input-search'&gt;
									&lt;input [(ngModel)]='overtime' name='overtime'
									class='form-control' [placeholder]="l('Overtime')"
									type='text' (keyup.enter)='searchDatas()'&gt;
								&lt;/div&gt;
								&lt;div class='input-search'&gt;
									&lt;input [(ngModel)]='nonProdAct' name='nonProdAct'
									class='form-control' [placeholder]="l('Non Prod Act')"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title'&gt;Shift&lt;/label&gt;
						&lt;new-checkbox [(ngModel)]='_shift' name='shift' className='col-md-10' &gt; &lt;/new-checkbox&gt;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title'&gt;Vol Target&lt;/label&gt;
						&lt;input type='number' class='col-md-10 form-control input-text' name='VolTarget' [(ngModel)]='rowdata.volTarget'&gt;
					&lt;/div&gt;
					&lt;div class='col-md-12 form-group row'&gt;
						&lt;label class='col-md-2 form-control title'&gt;Vol Actual&lt;/label&gt;
						&lt;input type='number' class='col-md-10 form-control input-text' name='VolActual' [(ngModel)]='rowdata.volActual'&gt;
					&lt;/div&gt;
					&lt;div class='col-md-12 form-group row'&gt;
						&lt;label class='col-md-2 form-control title'&gt;Vol Balance&lt;/label&gt;
						&lt;input type='number' class='col-md-10 form-control input-text' name='VolBalance' [(ngModel)]='rowdata.volBalance'&gt;
					&lt;/div&gt;
					&lt;div class='col-md-12 form-group row'&gt;
						&lt;label class='col-md-2 form-control title'&gt;Stop Time&lt;/label&gt;
						&lt;input type='text' class='col-md-10 form-control input-text' name='StopTime' [(ngModel)]='rowdata.stopTime'&gt;
					&lt;/div&gt;
					&lt;div class='col-md-12 form-group row'&gt;
						&lt;label class='col-md-2 form-control title'&gt;Efficiency&lt;/label&gt;
						&lt;input type='text' class='col-md-10 form-control input-text' name='Efficiency' [(ngModel)]='rowdata.efficiency'&gt;
					&lt;/div&gt;
					&lt;div class='col-md-12 form-group row'&gt;
						&lt;label class='col-md-2 form-control title'&gt;Takt Time&lt;/label&gt;
						&lt;input type='text' class='col-md-10 form-control input-text' name='TaktTime' [(ngModel)]='rowdata.taktTime'&gt;
					&lt;/div&gt;
					&lt;div class='col-md-12 form-group row'&gt;
						&lt;label class='col-md-2 form-control title'&gt;Overtime&lt;/label&gt;
						&lt;input type='text' class='col-md-10 form-control input-text' name='Overtime' [(ngModel)]='rowdata.overtime'&gt;
					&lt;/div&gt;
					&lt;div class='col-md-12 form-group row'&gt;
						&lt;label class='col-md-2 form-control title'&gt;Non Prod Act&lt;/label&gt;
						&lt;input type='text' class='col-md-10 form-control input-text' name='NonProdAct' [(ngModel)]='rowdata.nonProdAct'&gt;
					&lt;/div&gt;
					&lt;div class='col-md-12 form-group row'&gt;
						&lt;label class='col-md-2 form-control title'&gt;Off Line 1&lt;/label&gt;
						&lt;input type='number' class='col-md-10 form-control input-text' name='OffLine1' [(ngModel)]='rowdata.offLine1'&gt;
					&lt;/div&gt;
					&lt;div class='col-md-12 form-group row'&gt;
						&lt;label class='col-md-2 form-control title'&gt;Off Line 2&lt;/label&gt;
						&lt;input type='number' class='col-md-10 form-control input-text' name='OffLine2' [(ngModel)]='rowdata.offLine2'&gt;
					&lt;/div&gt;
					&lt;div class='col-md-12 form-group row'&gt;
						&lt;label class='col-md-2 form-control title'&gt;Off Line 3&lt;/label&gt;
						&lt;input type='number' class='col-md-10 form-control input-text' name='OffLine3' [(ngModel)]='rowdata.offLine3'&gt;
					&lt;/div&gt;
					&lt;div class='col-md-12 form-group row'&gt;
						&lt;label class='col-md-2 form-control title'&gt;Shift Vol Plan&lt;/label&gt;
						&lt;input type='number' class='col-md-10 form-control input-text' name='ShiftVolPlan' [(ngModel)]='rowdata.shiftVolPlan'&gt;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line : string = '' ; 
shift : string = '' ; 
	workingDate : any ;
	volTarget : number = 0 ;
	volActual : number = 0 ;
	volBalance : number = 0 ;
stopTime : string = '' ; 
	efficiency : string = '' ; 
	taktTime : string = '' ; 
	overtime : string = '' ; 
	nonProdAct : string = '' ; 
	offLine1 : number = 0 ;
	offLine2 : number = 0 ;
	offLine3 : number = 0 ;
	shiftVolPlan : number = 0 ;
	isActive : string = '' ; </v>
      </c>
      <c r="T13" s="68" t="str">
        <f ca="1">TEXTJOIN2("
",TRUE,INDIRECT(T11):INDIRECT(T12))</f>
        <v xml:space="preserve">			this.line,
			this.shift,
			this.workingDate,
			this.volTarget,
			this.volActual,
			this.volBalance,
			this.stopTime,
			this.efficiency,
			this.taktTime,
			this.overtime,
			this.nonProdAct,
			this.offLine1,
			this.offLine2,
			this.offLine3,
			this.shiftVolPlan,
			this.isActive,</v>
      </c>
      <c r="U13" s="68" t="str">
        <f ca="1">TEXTJOIN2("
",TRUE,INDIRECT(U11):INDIRECT(U12))</f>
        <v>this.line = '',
this.shift = '',
		this.workingDate = '',
		this.volTarget = 0,
		this.volActual = 0,
		this.volBalance = 0,
this.stopTime = '',
		this.efficiency = '',
		this.taktTime = '',
		this.overtime = '',
		this.nonProdAct = '',
		this.offLine1 = 0,
		this.offLine2 = 0,
		this.offLine3 = 0,
		this.shiftVolPlan = 0,
		this.isActive = '',</v>
      </c>
      <c r="V13" s="31" t="str">
        <f ca="1">TEXTJOIN2("
",TRUE,INDIRECT(V11):INDIRECT(V12))</f>
        <v>shift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lineefficiency.component.ts</v>
      </c>
      <c r="I14" s="40" t="str">
        <f>B8&amp;".component.html"</f>
        <v>lineefficiency.component.html</v>
      </c>
      <c r="J14" s="39" t="str">
        <f>B8&amp;".component.less"</f>
        <v>lineefficiency.component.less</v>
      </c>
      <c r="K14" s="40" t="str">
        <f>"create-or-edit-"&amp;B8&amp;"-modal.component.html"</f>
        <v>create-or-edit-lineefficiency-modal.component.html</v>
      </c>
      <c r="L14" s="40" t="str">
        <f>"create-or-edit-"&amp;B8&amp;"-modal.component.ts"</f>
        <v>create-or-edit-lineefficiency-modal.component.ts</v>
      </c>
      <c r="M14" s="40" t="str">
        <f>"create-or-edit-"&amp;B8&amp;"-modal.component.less"</f>
        <v>create-or-edit-lineefficiency-modal.component.less</v>
      </c>
      <c r="N14" s="40" t="str">
        <f>B8&amp;".module.ts"</f>
        <v>lineefficiency.module.ts</v>
      </c>
      <c r="O14" s="40" t="str">
        <f>B8&amp;"-routing.module.ts"</f>
        <v>lineefficiency-routing.module.ts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272</v>
      </c>
      <c r="B15" s="31" t="str">
        <f>SUBSTITUTE(PROPER(A15),"_","")</f>
        <v>Line</v>
      </c>
      <c r="C15" s="31" t="str">
        <f>SUBSTITUTE(PROPER(A15),"_"," ")</f>
        <v>Line</v>
      </c>
      <c r="D15" s="31" t="str">
        <f>LOWER(LEFT(B15,1))&amp;RIGHT(B15,LEN(B15) - 1)</f>
        <v>line</v>
      </c>
      <c r="E15" s="31" t="str">
        <f>A.Backend!H9</f>
        <v>string</v>
      </c>
      <c r="F15" s="31" t="str">
        <f>A.Backend!G9</f>
        <v>5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[1]B.Frontend!$H$15</f>
        <v xml:space="preserve">			{headerName: this.l('Lot No'),headerTooltip: this.l('Lot No'),field: 'lotNo',flex: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[(ngModel)]='line' name='line'
									class='form-control' [placeholder]="l('Line')"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title'&gt;Line&lt;/label&gt;
						&lt;input type='text' class='col-md-10 form-control input-text' name='Line' [(ngModel)]='rowdata.line'&gt;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line : string = '' ; </v>
      </c>
      <c r="T15" s="31" t="str">
        <f>REPT(CHAR(9),3)&amp;"this."&amp;D15&amp;","</f>
        <v xml:space="preserve">			this.line,</v>
      </c>
      <c r="U15" s="31" t="str">
        <f>IF(E15="int","this."&amp;D15&amp;" = 0,","this."&amp;D15&amp;" = '',")</f>
        <v>this.line = '',</v>
      </c>
      <c r="V15" s="31" t="str">
        <f>IF(AND(E15="string",F15="1"),D15,"")</f>
        <v/>
      </c>
    </row>
    <row r="16" spans="1:22" ht="18" customHeight="1" x14ac:dyDescent="0.25">
      <c r="A16" s="44" t="s">
        <v>275</v>
      </c>
      <c r="B16" s="31" t="str">
        <f>SUBSTITUTE(PROPER(A16),"_","")</f>
        <v>Shift</v>
      </c>
      <c r="C16" s="31" t="str">
        <f>SUBSTITUTE(PROPER(A16),"_"," ")</f>
        <v>Shift</v>
      </c>
      <c r="D16" s="31" t="str">
        <f>LOWER(LEFT(B16,1))&amp;RIGHT(B16,LEN(B16) - 1)</f>
        <v>shift</v>
      </c>
      <c r="E16" s="31" t="str">
        <f>A.Backend!H10</f>
        <v>string</v>
      </c>
      <c r="F16" s="31" t="str">
        <f>A.Backend!G10</f>
        <v>1</v>
      </c>
      <c r="G16" s="31" t="str">
        <f t="shared" ref="G16:G30" si="0">IF(E16="string"," : string = '' ; ",IF(OR(E16="DateTime",E16="TimeSpan"),"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this.l('Shift'),headerTooltip: this.l('Shift'),field:  'shift', cellClass: ['text-center'], width: 120, cellRenderer: 'agCellButtonComponent',
buttonDefTwo: { text: params =&gt; (params.data?.'shift' == 'Y') ? 'Active' : 'Inactive',iconName: 'fa fa-circle',className: params =&gt; (params.data?.'shift' == 'Y') ? 'btnActive' : 'btnInActive',},}</v>
      </c>
      <c r="I16" s="38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16" s="31"/>
      <c r="K16" s="38" t="str">
        <f t="shared" ref="K16:K30" si="1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title'&gt;Shift&lt;/label&gt;
						&lt;new-checkbox [(ngModel)]='_shift' name='shift' className='col-md-10' &gt; &lt;/new-checkbox&gt;
					&lt;/div&gt;</v>
      </c>
      <c r="L16" s="60" t="str">
        <f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D16&amp;G16</f>
        <v xml:space="preserve">shift : string = '' ; </v>
      </c>
      <c r="T16" s="31" t="str">
        <f>REPT(CHAR(9),3)&amp;"this."&amp;D16&amp;","</f>
        <v xml:space="preserve">			this.shift,</v>
      </c>
      <c r="U16" s="31" t="str">
        <f>IF(E16="int","this."&amp;D16&amp;" = 0,","this."&amp;D16&amp;" = '',")</f>
        <v>this.shift = '',</v>
      </c>
      <c r="V16" s="31" t="str">
        <f>IF(AND(E16="string",F16="1"),D16,"")</f>
        <v>shift</v>
      </c>
    </row>
    <row r="17" spans="1:22" ht="18" customHeight="1" x14ac:dyDescent="0.25">
      <c r="A17" s="44" t="s">
        <v>276</v>
      </c>
      <c r="B17" s="31" t="str">
        <f t="shared" ref="B17" si="2">SUBSTITUTE(PROPER(A17),"_","")</f>
        <v>WorkingDate</v>
      </c>
      <c r="C17" s="31" t="str">
        <f t="shared" ref="C17" si="3">SUBSTITUTE(PROPER(A17),"_"," ")</f>
        <v>Working Date</v>
      </c>
      <c r="D17" s="31" t="str">
        <f t="shared" ref="D17" si="4">LOWER(LEFT(B17,1))&amp;RIGHT(B17,LEN(B17) - 1)</f>
        <v>workingDate</v>
      </c>
      <c r="E17" s="31" t="str">
        <f>A.Backend!H11</f>
        <v>DateTime</v>
      </c>
      <c r="F17" s="31" t="str">
        <f>A.Backend!G11</f>
        <v/>
      </c>
      <c r="G17" s="31" t="str">
        <f t="shared" si="0"/>
        <v xml:space="preserve"> : any ;</v>
      </c>
      <c r="H17" s="38" t="str">
        <f t="shared" ref="H17:H29" si="5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this.l('Working Date'),headerTooltip: this.l('Working Date'),field: 'workingDate',valueGetter: (params) =&gt; this.pipe.transform(params.data?.workingDate, 'dd/MM/yyyy'),flex: 1},</v>
      </c>
      <c r="I17" s="38" t="str">
        <f t="shared" ref="I17:I20" si="6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7" s="31"/>
      <c r="K17" s="38" t="str">
        <f t="shared" si="1"/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7" s="60" t="str">
        <f t="shared" ref="L17:L20" si="7">IF(E17="DateTime",
REPT(CHAR(9),2)&amp;"const dateValue =  this.rowdata."&amp;D17&amp;" ? new Date(this.rowdata."&amp;D17&amp;"?.toString())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17" s="31"/>
      <c r="N17" s="31"/>
      <c r="O17" s="31"/>
      <c r="P17" s="31"/>
      <c r="Q17" s="31"/>
      <c r="R17" s="31"/>
      <c r="S17" s="31" t="str">
        <f t="shared" ref="S17:S19" si="8">REPT(CHAR(9),1)&amp;D17&amp;G17</f>
        <v xml:space="preserve">	workingDate : any ;</v>
      </c>
      <c r="T17" s="31" t="str">
        <f t="shared" ref="T17:T19" si="9">REPT(CHAR(9),3)&amp;"this."&amp;D17&amp;","</f>
        <v xml:space="preserve">			this.workingDate,</v>
      </c>
      <c r="U17" s="31" t="str">
        <f t="shared" ref="U17:U19" si="10">IF(E17="int",REPT(CHAR(9),2)&amp;"this."&amp;D17&amp;" = 0,",REPT(CHAR(9),2)&amp;"this."&amp;D17&amp;" = '',")</f>
        <v xml:space="preserve">		this.workingDate = '',</v>
      </c>
      <c r="V17" s="31" t="str">
        <f t="shared" ref="V17:V20" si="11">IF(AND(E17="string",F17="1"),D17,"")</f>
        <v/>
      </c>
    </row>
    <row r="18" spans="1:22" ht="18" customHeight="1" x14ac:dyDescent="0.25">
      <c r="A18" s="44" t="s">
        <v>277</v>
      </c>
      <c r="B18" s="31" t="str">
        <f>SUBSTITUTE(PROPER(A18),"_","")</f>
        <v>VolTarget</v>
      </c>
      <c r="C18" s="31" t="str">
        <f>SUBSTITUTE(PROPER(A18),"_"," ")</f>
        <v>Vol Target</v>
      </c>
      <c r="D18" s="31" t="str">
        <f>LOWER(LEFT(B18,1))&amp;RIGHT(B18,LEN(B18) - 1)</f>
        <v>volTarget</v>
      </c>
      <c r="E18" s="31" t="str">
        <f>A.Backend!H12</f>
        <v>int</v>
      </c>
      <c r="F18" s="31" t="str">
        <f>A.Backend!G12</f>
        <v/>
      </c>
      <c r="G18" s="31" t="str">
        <f t="shared" si="0"/>
        <v xml:space="preserve"> : number = 0 ;</v>
      </c>
      <c r="H18" s="38" t="str">
        <f t="shared" si="5"/>
        <v xml:space="preserve">			{headerName: this.l('Vol Target'),headerTooltip: this.l('Vol Target'),field: 'volTarget',flex: 1},</v>
      </c>
      <c r="I18" s="38" t="str">
        <f t="shared" si="6"/>
        <v/>
      </c>
      <c r="J18" s="31"/>
      <c r="K18" s="38" t="str">
        <f t="shared" si="1"/>
        <v xml:space="preserve">					&lt;div class='col-md-12 form-group row'&gt;
						&lt;label class='col-md-2 form-control title'&gt;Vol Target&lt;/label&gt;
						&lt;input type='number' class='col-md-10 form-control input-text' name='VolTarget' [(ngModel)]='rowdata.volTarget'&gt;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8"/>
        <v xml:space="preserve">	volTarget : number = 0 ;</v>
      </c>
      <c r="T18" s="31" t="str">
        <f t="shared" si="9"/>
        <v xml:space="preserve">			this.volTarget,</v>
      </c>
      <c r="U18" s="31" t="str">
        <f t="shared" si="10"/>
        <v xml:space="preserve">		this.volTarget = 0,</v>
      </c>
      <c r="V18" s="31" t="str">
        <f t="shared" si="11"/>
        <v/>
      </c>
    </row>
    <row r="19" spans="1:22" ht="15" customHeight="1" x14ac:dyDescent="0.25">
      <c r="A19" s="44" t="s">
        <v>278</v>
      </c>
      <c r="B19" s="31" t="str">
        <f t="shared" ref="B19:B20" si="12">SUBSTITUTE(PROPER(A19),"_","")</f>
        <v>VolActual</v>
      </c>
      <c r="C19" s="31" t="str">
        <f t="shared" ref="C19:C20" si="13">SUBSTITUTE(PROPER(A19),"_"," ")</f>
        <v>Vol Actual</v>
      </c>
      <c r="D19" s="31" t="str">
        <f t="shared" ref="D19:D20" si="14">LOWER(LEFT(B19,1))&amp;RIGHT(B19,LEN(B19) - 1)</f>
        <v>volActual</v>
      </c>
      <c r="E19" s="31" t="str">
        <f>A.Backend!H13</f>
        <v>int</v>
      </c>
      <c r="F19" s="31" t="str">
        <f>A.Backend!G13</f>
        <v/>
      </c>
      <c r="G19" s="31" t="str">
        <f t="shared" si="0"/>
        <v xml:space="preserve"> : number = 0 ;</v>
      </c>
      <c r="H19" s="38" t="str">
        <f t="shared" si="5"/>
        <v xml:space="preserve">			{headerName: this.l('Vol Actual'),headerTooltip: this.l('Vol Actual'),field: 'volActual',flex: 1},</v>
      </c>
      <c r="I19" s="38" t="str">
        <f t="shared" si="6"/>
        <v/>
      </c>
      <c r="J19" s="31"/>
      <c r="K19" s="38" t="str">
        <f t="shared" si="1"/>
        <v xml:space="preserve">					&lt;div class='col-md-12 form-group row'&gt;
						&lt;label class='col-md-2 form-control title'&gt;Vol Actual&lt;/label&gt;
						&lt;input type='number' class='col-md-10 form-control input-text' name='VolActual' [(ngModel)]='rowdata.volActual'&gt;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8"/>
        <v xml:space="preserve">	volActual : number = 0 ;</v>
      </c>
      <c r="T19" s="31" t="str">
        <f t="shared" si="9"/>
        <v xml:space="preserve">			this.volActual,</v>
      </c>
      <c r="U19" s="31" t="str">
        <f t="shared" si="10"/>
        <v xml:space="preserve">		this.volActual = 0,</v>
      </c>
      <c r="V19" s="31" t="str">
        <f t="shared" si="11"/>
        <v/>
      </c>
    </row>
    <row r="20" spans="1:22" ht="15" customHeight="1" x14ac:dyDescent="0.25">
      <c r="A20" s="44" t="s">
        <v>279</v>
      </c>
      <c r="B20" s="31" t="str">
        <f t="shared" si="12"/>
        <v>VolBalance</v>
      </c>
      <c r="C20" s="31" t="str">
        <f t="shared" si="13"/>
        <v>Vol Balance</v>
      </c>
      <c r="D20" s="31" t="str">
        <f t="shared" si="14"/>
        <v>volBalance</v>
      </c>
      <c r="E20" s="31" t="str">
        <f>A.Backend!H14</f>
        <v>int</v>
      </c>
      <c r="F20" s="31" t="str">
        <f>A.Backend!G14</f>
        <v/>
      </c>
      <c r="G20" s="31" t="str">
        <f t="shared" si="0"/>
        <v xml:space="preserve"> : number = 0 ;</v>
      </c>
      <c r="H20" s="38" t="str">
        <f t="shared" si="5"/>
        <v xml:space="preserve">			{headerName: this.l('Vol Balance'),headerTooltip: this.l('Vol Balance'),field: 'volBalance',flex: 1},</v>
      </c>
      <c r="I20" s="38" t="str">
        <f t="shared" si="6"/>
        <v/>
      </c>
      <c r="J20" s="31"/>
      <c r="K20" s="38" t="str">
        <f t="shared" si="1"/>
        <v xml:space="preserve">					&lt;div class='col-md-12 form-group row'&gt;
						&lt;label class='col-md-2 form-control title'&gt;Vol Balance&lt;/label&gt;
						&lt;input type='number' class='col-md-10 form-control input-text' name='VolBalance' [(ngModel)]='rowdata.volBalance'&gt;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volBalance : number = 0 ;</v>
      </c>
      <c r="T20" s="31" t="str">
        <f>REPT(CHAR(9),3)&amp;"this."&amp;D20&amp;","</f>
        <v xml:space="preserve">			this.volBalance,</v>
      </c>
      <c r="U20" s="31" t="str">
        <f>IF(E20="int",REPT(CHAR(9),2)&amp;"this."&amp;D20&amp;" = 0,",REPT(CHAR(9),2)&amp;"this."&amp;D20&amp;" = '',")</f>
        <v xml:space="preserve">		this.volBalance = 0,</v>
      </c>
      <c r="V20" s="31" t="str">
        <f t="shared" si="11"/>
        <v/>
      </c>
    </row>
    <row r="21" spans="1:22" ht="18" customHeight="1" x14ac:dyDescent="0.25">
      <c r="A21" s="44" t="s">
        <v>280</v>
      </c>
      <c r="B21" s="31" t="str">
        <f>SUBSTITUTE(PROPER(A21),"_","")</f>
        <v>StopTime</v>
      </c>
      <c r="C21" s="31" t="str">
        <f>SUBSTITUTE(PROPER(A21),"_"," ")</f>
        <v>Stop Time</v>
      </c>
      <c r="D21" s="31" t="str">
        <f>LOWER(LEFT(B21,1))&amp;RIGHT(B21,LEN(B21) - 1)</f>
        <v>stopTime</v>
      </c>
      <c r="E21" s="31" t="str">
        <f>A.Backend!H15</f>
        <v>string</v>
      </c>
      <c r="F21" s="31" t="str">
        <f>A.Backend!G15</f>
        <v>10</v>
      </c>
      <c r="G21" s="31" t="str">
        <f t="shared" si="0"/>
        <v xml:space="preserve"> : string = '' ; </v>
      </c>
      <c r="H21" s="38" t="str">
        <f t="shared" si="5"/>
        <v xml:space="preserve">			{headerName: this.l('Stop Time'),headerTooltip: this.l('Stop Time'),field: 'stopTime',flex: 1},</v>
      </c>
      <c r="I21" s="38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[(ngModel)]='stopTime' name='stopTime'
									class='form-control' [placeholder]="l('Stop Time')"
									type='text' (keyup.enter)='searchDatas()'&gt;
								&lt;/div&gt;</v>
      </c>
      <c r="J21" s="31"/>
      <c r="K21" s="38" t="str">
        <f t="shared" si="1"/>
        <v xml:space="preserve">					&lt;div class='col-md-12 form-group row'&gt;
						&lt;label class='col-md-2 form-control title'&gt;Stop Time&lt;/label&gt;
						&lt;input type='text' class='col-md-10 form-control input-text' name='StopTime' [(ngModel)]='rowdata.stopTime'&gt;
					&lt;/div&gt;</v>
      </c>
      <c r="L21" s="60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D21&amp;G21</f>
        <v xml:space="preserve">stopTime : string = '' ; </v>
      </c>
      <c r="T21" s="31" t="str">
        <f>REPT(CHAR(9),3)&amp;"this."&amp;D21&amp;","</f>
        <v xml:space="preserve">			this.stopTime,</v>
      </c>
      <c r="U21" s="31" t="str">
        <f>IF(E21="int","this."&amp;D21&amp;" = 0,","this."&amp;D21&amp;" = '',")</f>
        <v>this.stopTime = '',</v>
      </c>
      <c r="V21" s="31" t="str">
        <f>IF(AND(E21="string",F21="1"),D21,"")</f>
        <v/>
      </c>
    </row>
    <row r="22" spans="1:22" ht="18" customHeight="1" x14ac:dyDescent="0.25">
      <c r="A22" s="44" t="s">
        <v>282</v>
      </c>
      <c r="B22" s="31" t="str">
        <f t="shared" ref="B22" si="15">SUBSTITUTE(PROPER(A22),"_","")</f>
        <v>Efficiency</v>
      </c>
      <c r="C22" s="31" t="str">
        <f t="shared" ref="C22" si="16">SUBSTITUTE(PROPER(A22),"_"," ")</f>
        <v>Efficiency</v>
      </c>
      <c r="D22" s="31" t="str">
        <f t="shared" ref="D22" si="17">LOWER(LEFT(B22,1))&amp;RIGHT(B22,LEN(B22) - 1)</f>
        <v>efficiency</v>
      </c>
      <c r="E22" s="31" t="str">
        <f>A.Backend!H16</f>
        <v>string</v>
      </c>
      <c r="F22" s="31" t="str">
        <f>A.Backend!G16</f>
        <v>10</v>
      </c>
      <c r="G22" s="31" t="str">
        <f t="shared" si="0"/>
        <v xml:space="preserve"> : string = '' ; </v>
      </c>
      <c r="H22" s="38" t="str">
        <f t="shared" si="5"/>
        <v xml:space="preserve">			{headerName: this.l('Efficiency'),headerTooltip: this.l('Efficiency'),field: 'efficiency',flex: 1},</v>
      </c>
      <c r="I22" s="38" t="str">
        <f t="shared" ref="I22:I29" si="18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[(ngModel)]='efficiency' name='efficiency'
									class='form-control' [placeholder]="l('Efficiency')"
									type='text' (keyup.enter)='searchDatas()'&gt;
								&lt;/div&gt;</v>
      </c>
      <c r="J22" s="31"/>
      <c r="K22" s="38" t="str">
        <f t="shared" si="1"/>
        <v xml:space="preserve">					&lt;div class='col-md-12 form-group row'&gt;
						&lt;label class='col-md-2 form-control title'&gt;Efficiency&lt;/label&gt;
						&lt;input type='text' class='col-md-10 form-control input-text' name='Efficiency' [(ngModel)]='rowdata.efficiency'&gt;
					&lt;/div&gt;</v>
      </c>
      <c r="L22" s="60" t="str">
        <f t="shared" ref="L22:L29" si="19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:S24" si="20">REPT(CHAR(9),1)&amp;D22&amp;G22</f>
        <v xml:space="preserve">	efficiency : string = '' ; </v>
      </c>
      <c r="T22" s="31" t="str">
        <f t="shared" ref="T22:T24" si="21">REPT(CHAR(9),3)&amp;"this."&amp;D22&amp;","</f>
        <v xml:space="preserve">			this.efficiency,</v>
      </c>
      <c r="U22" s="31" t="str">
        <f t="shared" ref="U22:U24" si="22">IF(E22="int",REPT(CHAR(9),2)&amp;"this."&amp;D22&amp;" = 0,",REPT(CHAR(9),2)&amp;"this."&amp;D22&amp;" = '',")</f>
        <v xml:space="preserve">		this.efficiency = '',</v>
      </c>
      <c r="V22" s="31" t="str">
        <f t="shared" ref="V22:V29" si="23">IF(AND(E22="string",F22="1"),D22,"")</f>
        <v/>
      </c>
    </row>
    <row r="23" spans="1:22" ht="18" customHeight="1" x14ac:dyDescent="0.25">
      <c r="A23" s="44" t="s">
        <v>283</v>
      </c>
      <c r="B23" s="31" t="str">
        <f>SUBSTITUTE(PROPER(A23),"_","")</f>
        <v>TaktTime</v>
      </c>
      <c r="C23" s="31" t="str">
        <f>SUBSTITUTE(PROPER(A23),"_"," ")</f>
        <v>Takt Time</v>
      </c>
      <c r="D23" s="31" t="str">
        <f>LOWER(LEFT(B23,1))&amp;RIGHT(B23,LEN(B23) - 1)</f>
        <v>taktTime</v>
      </c>
      <c r="E23" s="31" t="str">
        <f>A.Backend!H17</f>
        <v>string</v>
      </c>
      <c r="F23" s="31" t="str">
        <f>A.Backend!G17</f>
        <v>10</v>
      </c>
      <c r="G23" s="31" t="str">
        <f t="shared" si="0"/>
        <v xml:space="preserve"> : string = '' ; </v>
      </c>
      <c r="H23" s="38" t="str">
        <f t="shared" si="5"/>
        <v xml:space="preserve">			{headerName: this.l('Takt Time'),headerTooltip: this.l('Takt Time'),field: 'taktTime',flex: 1},</v>
      </c>
      <c r="I23" s="38" t="str">
        <f t="shared" si="18"/>
        <v xml:space="preserve">								&lt;div class='input-search'&gt;
									&lt;input [(ngModel)]='taktTime' name='taktTime'
									class='form-control' [placeholder]="l('Takt Time')"
									type='text' (keyup.enter)='searchDatas()'&gt;
								&lt;/div&gt;</v>
      </c>
      <c r="J23" s="31"/>
      <c r="K23" s="38" t="str">
        <f t="shared" si="1"/>
        <v xml:space="preserve">					&lt;div class='col-md-12 form-group row'&gt;
						&lt;label class='col-md-2 form-control title'&gt;Takt Time&lt;/label&gt;
						&lt;input type='text' class='col-md-10 form-control input-text' name='TaktTime' [(ngModel)]='rowdata.taktTime'&gt;
					&lt;/div&gt;</v>
      </c>
      <c r="L23" s="60" t="str">
        <f t="shared" si="19"/>
        <v/>
      </c>
      <c r="M23" s="31"/>
      <c r="N23" s="31"/>
      <c r="O23" s="31"/>
      <c r="P23" s="31"/>
      <c r="Q23" s="31"/>
      <c r="R23" s="31"/>
      <c r="S23" s="31" t="str">
        <f t="shared" si="20"/>
        <v xml:space="preserve">	taktTime : string = '' ; </v>
      </c>
      <c r="T23" s="31" t="str">
        <f t="shared" si="21"/>
        <v xml:space="preserve">			this.taktTime,</v>
      </c>
      <c r="U23" s="31" t="str">
        <f t="shared" si="22"/>
        <v xml:space="preserve">		this.taktTime = '',</v>
      </c>
      <c r="V23" s="31" t="str">
        <f t="shared" si="23"/>
        <v/>
      </c>
    </row>
    <row r="24" spans="1:22" ht="15" customHeight="1" x14ac:dyDescent="0.25">
      <c r="A24" s="44" t="s">
        <v>284</v>
      </c>
      <c r="B24" s="31" t="str">
        <f t="shared" ref="B24:B26" si="24">SUBSTITUTE(PROPER(A24),"_","")</f>
        <v>Overtime</v>
      </c>
      <c r="C24" s="31" t="str">
        <f t="shared" ref="C24:C26" si="25">SUBSTITUTE(PROPER(A24),"_"," ")</f>
        <v>Overtime</v>
      </c>
      <c r="D24" s="31" t="str">
        <f t="shared" ref="D24:D26" si="26">LOWER(LEFT(B24,1))&amp;RIGHT(B24,LEN(B24) - 1)</f>
        <v>overtime</v>
      </c>
      <c r="E24" s="31" t="str">
        <f>A.Backend!H18</f>
        <v>string</v>
      </c>
      <c r="F24" s="31" t="str">
        <f>A.Backend!G18</f>
        <v>10</v>
      </c>
      <c r="G24" s="31" t="str">
        <f t="shared" si="0"/>
        <v xml:space="preserve"> : string = '' ; </v>
      </c>
      <c r="H24" s="38" t="str">
        <f t="shared" si="5"/>
        <v xml:space="preserve">			{headerName: this.l('Overtime'),headerTooltip: this.l('Overtime'),field: 'overtime',flex: 1},</v>
      </c>
      <c r="I24" s="38" t="str">
        <f t="shared" si="18"/>
        <v xml:space="preserve">								&lt;div class='input-search'&gt;
									&lt;input [(ngModel)]='overtime' name='overtime'
									class='form-control' [placeholder]="l('Overtime')"
									type='text' (keyup.enter)='searchDatas()'&gt;
								&lt;/div&gt;</v>
      </c>
      <c r="J24" s="31"/>
      <c r="K24" s="38" t="str">
        <f t="shared" si="1"/>
        <v xml:space="preserve">					&lt;div class='col-md-12 form-group row'&gt;
						&lt;label class='col-md-2 form-control title'&gt;Overtime&lt;/label&gt;
						&lt;input type='text' class='col-md-10 form-control input-text' name='Overtime' [(ngModel)]='rowdata.overtime'&gt;
					&lt;/div&gt;</v>
      </c>
      <c r="L24" s="60" t="str">
        <f t="shared" si="19"/>
        <v/>
      </c>
      <c r="M24" s="31"/>
      <c r="N24" s="31"/>
      <c r="O24" s="31"/>
      <c r="P24" s="31"/>
      <c r="Q24" s="31"/>
      <c r="R24" s="31"/>
      <c r="S24" s="31" t="str">
        <f t="shared" si="20"/>
        <v xml:space="preserve">	overtime : string = '' ; </v>
      </c>
      <c r="T24" s="31" t="str">
        <f t="shared" si="21"/>
        <v xml:space="preserve">			this.overtime,</v>
      </c>
      <c r="U24" s="31" t="str">
        <f t="shared" si="22"/>
        <v xml:space="preserve">		this.overtime = '',</v>
      </c>
      <c r="V24" s="31" t="str">
        <f t="shared" si="23"/>
        <v/>
      </c>
    </row>
    <row r="25" spans="1:22" ht="15" customHeight="1" x14ac:dyDescent="0.25">
      <c r="A25" s="44" t="s">
        <v>285</v>
      </c>
      <c r="B25" s="31" t="str">
        <f t="shared" si="24"/>
        <v>NonProdAct</v>
      </c>
      <c r="C25" s="31" t="str">
        <f t="shared" si="25"/>
        <v>Non Prod Act</v>
      </c>
      <c r="D25" s="31" t="str">
        <f t="shared" si="26"/>
        <v>nonProdAct</v>
      </c>
      <c r="E25" s="31" t="str">
        <f>A.Backend!H19</f>
        <v>string</v>
      </c>
      <c r="F25" s="31" t="str">
        <f>A.Backend!G19</f>
        <v>10</v>
      </c>
      <c r="G25" s="31" t="str">
        <f t="shared" si="0"/>
        <v xml:space="preserve"> : string = '' ; </v>
      </c>
      <c r="H25" s="38" t="str">
        <f t="shared" si="5"/>
        <v xml:space="preserve">			{headerName: this.l('Non Prod Act'),headerTooltip: this.l('Non Prod Act'),field: 'nonProdAct',flex: 1},</v>
      </c>
      <c r="I25" s="38" t="str">
        <f t="shared" si="18"/>
        <v xml:space="preserve">								&lt;div class='input-search'&gt;
									&lt;input [(ngModel)]='nonProdAct' name='nonProdAct'
									class='form-control' [placeholder]="l('Non Prod Act')"
									type='text' (keyup.enter)='searchDatas()'&gt;
								&lt;/div&gt;</v>
      </c>
      <c r="J25" s="31"/>
      <c r="K25" s="38" t="str">
        <f t="shared" si="1"/>
        <v xml:space="preserve">					&lt;div class='col-md-12 form-group row'&gt;
						&lt;label class='col-md-2 form-control title'&gt;Non Prod Act&lt;/label&gt;
						&lt;input type='text' class='col-md-10 form-control input-text' name='NonProdAct' [(ngModel)]='rowdata.nonProdAct'&gt;
					&lt;/div&gt;</v>
      </c>
      <c r="L25" s="60" t="str">
        <f t="shared" si="19"/>
        <v/>
      </c>
      <c r="M25" s="31"/>
      <c r="N25" s="31"/>
      <c r="O25" s="31"/>
      <c r="P25" s="31"/>
      <c r="Q25" s="31"/>
      <c r="R25" s="31"/>
      <c r="S25" s="31" t="str">
        <f>REPT(CHAR(9),1)&amp;D25&amp;G25</f>
        <v xml:space="preserve">	nonProdAct : string = '' ; </v>
      </c>
      <c r="T25" s="31" t="str">
        <f>REPT(CHAR(9),3)&amp;"this."&amp;D25&amp;","</f>
        <v xml:space="preserve">			this.nonProdAct,</v>
      </c>
      <c r="U25" s="31" t="str">
        <f>IF(E25="int",REPT(CHAR(9),2)&amp;"this."&amp;D25&amp;" = 0,",REPT(CHAR(9),2)&amp;"this."&amp;D25&amp;" = '',")</f>
        <v xml:space="preserve">		this.nonProdAct = '',</v>
      </c>
      <c r="V25" s="31" t="str">
        <f t="shared" si="23"/>
        <v/>
      </c>
    </row>
    <row r="26" spans="1:22" ht="18" customHeight="1" x14ac:dyDescent="0.25">
      <c r="A26" s="44" t="s">
        <v>286</v>
      </c>
      <c r="B26" s="31" t="str">
        <f t="shared" si="24"/>
        <v>OffLine1</v>
      </c>
      <c r="C26" s="31" t="str">
        <f t="shared" si="25"/>
        <v>Off Line 1</v>
      </c>
      <c r="D26" s="31" t="str">
        <f t="shared" si="26"/>
        <v>offLine1</v>
      </c>
      <c r="E26" s="31" t="str">
        <f>A.Backend!H20</f>
        <v>int</v>
      </c>
      <c r="F26" s="31" t="str">
        <f>A.Backend!G20</f>
        <v/>
      </c>
      <c r="G26" s="31" t="str">
        <f t="shared" si="0"/>
        <v xml:space="preserve"> : number = 0 ;</v>
      </c>
      <c r="H26" s="38" t="str">
        <f t="shared" si="5"/>
        <v xml:space="preserve">			{headerName: this.l('Off Line 1'),headerTooltip: this.l('Off Line 1'),field: 'offLine1',flex: 1},</v>
      </c>
      <c r="I26" s="38" t="str">
        <f t="shared" si="18"/>
        <v/>
      </c>
      <c r="J26" s="31"/>
      <c r="K26" s="38" t="str">
        <f t="shared" si="1"/>
        <v xml:space="preserve">					&lt;div class='col-md-12 form-group row'&gt;
						&lt;label class='col-md-2 form-control title'&gt;Off Line 1&lt;/label&gt;
						&lt;input type='number' class='col-md-10 form-control input-text' name='OffLine1' [(ngModel)]='rowdata.offLine1'&gt;
					&lt;/div&gt;</v>
      </c>
      <c r="L26" s="60" t="str">
        <f t="shared" si="19"/>
        <v/>
      </c>
      <c r="M26" s="31"/>
      <c r="N26" s="31"/>
      <c r="O26" s="31"/>
      <c r="P26" s="31"/>
      <c r="Q26" s="31"/>
      <c r="R26" s="31"/>
      <c r="S26" s="31" t="str">
        <f t="shared" ref="S26:S29" si="27">REPT(CHAR(9),1)&amp;D26&amp;G26</f>
        <v xml:space="preserve">	offLine1 : number = 0 ;</v>
      </c>
      <c r="T26" s="31" t="str">
        <f t="shared" ref="T26:T29" si="28">REPT(CHAR(9),3)&amp;"this."&amp;D26&amp;","</f>
        <v xml:space="preserve">			this.offLine1,</v>
      </c>
      <c r="U26" s="31" t="str">
        <f t="shared" ref="U26:U29" si="29">IF(E26="int",REPT(CHAR(9),2)&amp;"this."&amp;D26&amp;" = 0,",REPT(CHAR(9),2)&amp;"this."&amp;D26&amp;" = '',")</f>
        <v xml:space="preserve">		this.offLine1 = 0,</v>
      </c>
      <c r="V26" s="31" t="str">
        <f t="shared" si="23"/>
        <v/>
      </c>
    </row>
    <row r="27" spans="1:22" ht="18" customHeight="1" x14ac:dyDescent="0.25">
      <c r="A27" s="44" t="s">
        <v>287</v>
      </c>
      <c r="B27" s="31" t="str">
        <f>SUBSTITUTE(PROPER(A27),"_","")</f>
        <v>OffLine2</v>
      </c>
      <c r="C27" s="31" t="str">
        <f>SUBSTITUTE(PROPER(A27),"_"," ")</f>
        <v>Off Line 2</v>
      </c>
      <c r="D27" s="31" t="str">
        <f>LOWER(LEFT(B27,1))&amp;RIGHT(B27,LEN(B27) - 1)</f>
        <v>offLine2</v>
      </c>
      <c r="E27" s="31" t="str">
        <f>A.Backend!H21</f>
        <v>int</v>
      </c>
      <c r="F27" s="31" t="str">
        <f>A.Backend!G21</f>
        <v/>
      </c>
      <c r="G27" s="31" t="str">
        <f t="shared" si="0"/>
        <v xml:space="preserve"> : number = 0 ;</v>
      </c>
      <c r="H27" s="38" t="str">
        <f t="shared" si="5"/>
        <v xml:space="preserve">			{headerName: this.l('Off Line 2'),headerTooltip: this.l('Off Line 2'),field: 'offLine2',flex: 1},</v>
      </c>
      <c r="I27" s="38" t="str">
        <f t="shared" si="18"/>
        <v/>
      </c>
      <c r="J27" s="31"/>
      <c r="K27" s="38" t="str">
        <f t="shared" si="1"/>
        <v xml:space="preserve">					&lt;div class='col-md-12 form-group row'&gt;
						&lt;label class='col-md-2 form-control title'&gt;Off Line 2&lt;/label&gt;
						&lt;input type='number' class='col-md-10 form-control input-text' name='OffLine2' [(ngModel)]='rowdata.offLine2'&gt;
					&lt;/div&gt;</v>
      </c>
      <c r="L27" s="60" t="str">
        <f t="shared" si="19"/>
        <v/>
      </c>
      <c r="M27" s="31"/>
      <c r="N27" s="31"/>
      <c r="O27" s="31"/>
      <c r="P27" s="31"/>
      <c r="Q27" s="31"/>
      <c r="R27" s="31"/>
      <c r="S27" s="31" t="str">
        <f t="shared" si="27"/>
        <v xml:space="preserve">	offLine2 : number = 0 ;</v>
      </c>
      <c r="T27" s="31" t="str">
        <f t="shared" si="28"/>
        <v xml:space="preserve">			this.offLine2,</v>
      </c>
      <c r="U27" s="31" t="str">
        <f t="shared" si="29"/>
        <v xml:space="preserve">		this.offLine2 = 0,</v>
      </c>
      <c r="V27" s="31" t="str">
        <f t="shared" si="23"/>
        <v/>
      </c>
    </row>
    <row r="28" spans="1:22" ht="18" customHeight="1" x14ac:dyDescent="0.25">
      <c r="A28" s="44" t="s">
        <v>288</v>
      </c>
      <c r="B28" s="31" t="str">
        <f>SUBSTITUTE(PROPER(A28),"_","")</f>
        <v>OffLine3</v>
      </c>
      <c r="C28" s="31" t="str">
        <f>SUBSTITUTE(PROPER(A28),"_"," ")</f>
        <v>Off Line 3</v>
      </c>
      <c r="D28" s="31" t="str">
        <f>LOWER(LEFT(B28,1))&amp;RIGHT(B28,LEN(B28) - 1)</f>
        <v>offLine3</v>
      </c>
      <c r="E28" s="31" t="str">
        <f>A.Backend!H22</f>
        <v>int</v>
      </c>
      <c r="F28" s="31" t="str">
        <f>A.Backend!G22</f>
        <v/>
      </c>
      <c r="G28" s="31" t="str">
        <f t="shared" si="0"/>
        <v xml:space="preserve"> : number = 0 ;</v>
      </c>
      <c r="H28" s="38" t="str">
        <f t="shared" si="5"/>
        <v xml:space="preserve">			{headerName: this.l('Off Line 3'),headerTooltip: this.l('Off Line 3'),field: 'offLine3',flex: 1},</v>
      </c>
      <c r="I28" s="38" t="str">
        <f t="shared" si="18"/>
        <v/>
      </c>
      <c r="J28" s="31"/>
      <c r="K28" s="38" t="str">
        <f t="shared" si="1"/>
        <v xml:space="preserve">					&lt;div class='col-md-12 form-group row'&gt;
						&lt;label class='col-md-2 form-control title'&gt;Off Line 3&lt;/label&gt;
						&lt;input type='number' class='col-md-10 form-control input-text' name='OffLine3' [(ngModel)]='rowdata.offLine3'&gt;
					&lt;/div&gt;</v>
      </c>
      <c r="L28" s="60" t="str">
        <f t="shared" si="19"/>
        <v/>
      </c>
      <c r="M28" s="31"/>
      <c r="N28" s="31"/>
      <c r="O28" s="31"/>
      <c r="P28" s="31"/>
      <c r="Q28" s="31"/>
      <c r="R28" s="31"/>
      <c r="S28" s="31" t="str">
        <f t="shared" si="27"/>
        <v xml:space="preserve">	offLine3 : number = 0 ;</v>
      </c>
      <c r="T28" s="31" t="str">
        <f t="shared" si="28"/>
        <v xml:space="preserve">			this.offLine3,</v>
      </c>
      <c r="U28" s="31" t="str">
        <f t="shared" si="29"/>
        <v xml:space="preserve">		this.offLine3 = 0,</v>
      </c>
      <c r="V28" s="31" t="str">
        <f t="shared" si="23"/>
        <v/>
      </c>
    </row>
    <row r="29" spans="1:22" ht="15" customHeight="1" x14ac:dyDescent="0.25">
      <c r="A29" s="44" t="s">
        <v>289</v>
      </c>
      <c r="B29" s="31" t="str">
        <f t="shared" ref="B29" si="30">SUBSTITUTE(PROPER(A29),"_","")</f>
        <v>ShiftVolPlan</v>
      </c>
      <c r="C29" s="31" t="str">
        <f t="shared" ref="C29" si="31">SUBSTITUTE(PROPER(A29),"_"," ")</f>
        <v>Shift Vol Plan</v>
      </c>
      <c r="D29" s="31" t="str">
        <f t="shared" ref="D29" si="32">LOWER(LEFT(B29,1))&amp;RIGHT(B29,LEN(B29) - 1)</f>
        <v>shiftVolPlan</v>
      </c>
      <c r="E29" s="31" t="str">
        <f>A.Backend!H23</f>
        <v>int</v>
      </c>
      <c r="F29" s="31" t="str">
        <f>A.Backend!G23</f>
        <v/>
      </c>
      <c r="G29" s="31" t="str">
        <f t="shared" si="0"/>
        <v xml:space="preserve"> : number = 0 ;</v>
      </c>
      <c r="H29" s="38" t="str">
        <f t="shared" si="5"/>
        <v xml:space="preserve">			{headerName: this.l('Shift Vol Plan'),headerTooltip: this.l('Shift Vol Plan'),field: 'shiftVolPlan',flex: 1},</v>
      </c>
      <c r="I29" s="38" t="str">
        <f t="shared" si="18"/>
        <v/>
      </c>
      <c r="J29" s="31"/>
      <c r="K29" s="38" t="str">
        <f t="shared" si="1"/>
        <v xml:space="preserve">					&lt;div class='col-md-12 form-group row'&gt;
						&lt;label class='col-md-2 form-control title'&gt;Shift Vol Plan&lt;/label&gt;
						&lt;input type='number' class='col-md-10 form-control input-text' name='ShiftVolPlan' [(ngModel)]='rowdata.shiftVolPlan'&gt;
					&lt;/div&gt;</v>
      </c>
      <c r="L29" s="60" t="str">
        <f t="shared" si="19"/>
        <v/>
      </c>
      <c r="M29" s="31"/>
      <c r="N29" s="31"/>
      <c r="O29" s="31"/>
      <c r="P29" s="31"/>
      <c r="Q29" s="31"/>
      <c r="R29" s="31"/>
      <c r="S29" s="31" t="str">
        <f t="shared" si="27"/>
        <v xml:space="preserve">	shiftVolPlan : number = 0 ;</v>
      </c>
      <c r="T29" s="31" t="str">
        <f t="shared" si="28"/>
        <v xml:space="preserve">			this.shiftVolPlan,</v>
      </c>
      <c r="U29" s="31" t="str">
        <f t="shared" si="29"/>
        <v xml:space="preserve">		this.shiftVolPlan = 0,</v>
      </c>
      <c r="V29" s="31" t="str">
        <f t="shared" si="23"/>
        <v/>
      </c>
    </row>
    <row r="30" spans="1:22" ht="18" customHeight="1" x14ac:dyDescent="0.25">
      <c r="A30" s="44" t="s">
        <v>270</v>
      </c>
      <c r="B30" s="31" t="str">
        <f>SUBSTITUTE(PROPER(A30),"_","")</f>
        <v>IsActive</v>
      </c>
      <c r="C30" s="31" t="str">
        <f>SUBSTITUTE(PROPER(A30),"_"," ")</f>
        <v>Is Active</v>
      </c>
      <c r="D30" s="31" t="str">
        <f>LOWER(LEFT(B30,1))&amp;RIGHT(B30,LEN(B30) - 1)</f>
        <v>isActive</v>
      </c>
      <c r="E30" s="31" t="str">
        <f>A.Backend!H24</f>
        <v>string</v>
      </c>
      <c r="F30" s="31" t="str">
        <f>A.Backend!G24</f>
        <v>1</v>
      </c>
      <c r="G30" s="31" t="str">
        <f t="shared" si="0"/>
        <v xml:space="preserve"> : string = '' ; </v>
      </c>
      <c r="H30" s="38" t="str">
        <f>IF(E30="DateTime",
REPT(CHAR(9),3)&amp;"{headerName: this.l('"&amp;C30&amp;"'),headerTooltip: this.l('"&amp;C30&amp;"'),field: '"&amp;D30&amp;"',valueGetter: (params) =&gt; this.pipe.transform(params.data?."&amp;D30&amp;", 'dd/MM/yyyy'),flex: 1},",
IF(AND(E30="string",F30="1"),
REPT(CHAR(9),3)&amp;"{headerName: this.l('"&amp;C30&amp;"'),headerTooltip: this.l('"&amp;C30&amp;"'),field:  '"&amp;D30&amp;"', cellClass: ['text-center'], width: 120, cellRenderer: 'agCellButtonComponent',
buttonDefTwo: { text: params =&gt; (params.data?.'"&amp;D30&amp;"' == 'Y') ? 'Active' : 'Inactive',iconName: 'fa fa-circle',className: params =&gt; (params.data?.'"&amp;D30&amp;"' == 'Y') ? 'btnActive' : 'btnInActive',},}",
REPT(CHAR(9),3)&amp;"{headerName: this.l('"&amp;C30&amp;"'),headerTooltip: this.l('"&amp;C30&amp;"'),field: '"&amp;D30&amp;"',flex: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0" s="38" t="str">
        <f t="shared" ref="I30" si="33"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IF(E30="string",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0" s="31"/>
      <c r="K30" s="38" t="str">
        <f t="shared" si="1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0" s="60" t="str">
        <f t="shared" ref="L30" si="34"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31"/>
      <c r="N30" s="31"/>
      <c r="O30" s="31"/>
      <c r="P30" s="31"/>
      <c r="Q30" s="31"/>
      <c r="R30" s="31"/>
      <c r="S30" s="31" t="str">
        <f t="shared" ref="S30" si="35">REPT(CHAR(9),1)&amp;D30&amp;G30</f>
        <v xml:space="preserve">	isActive : string = '' ; </v>
      </c>
      <c r="T30" s="31" t="str">
        <f t="shared" ref="T30" si="36">REPT(CHAR(9),3)&amp;"this."&amp;D30&amp;","</f>
        <v xml:space="preserve">			this.isActive,</v>
      </c>
      <c r="U30" s="31" t="str">
        <f t="shared" ref="U30" si="37">IF(E30="int",REPT(CHAR(9),2)&amp;"this."&amp;D30&amp;" = 0,",REPT(CHAR(9),2)&amp;"this."&amp;D30&amp;" = '',")</f>
        <v xml:space="preserve">		this.isActive = '',</v>
      </c>
      <c r="V30" s="31" t="str">
        <f t="shared" ref="V30" si="38">IF(AND(E30="string",F30="1"),D30,"")</f>
        <v>isActive</v>
      </c>
    </row>
    <row r="33" ht="17.25" customHeight="1" x14ac:dyDescent="0.25"/>
  </sheetData>
  <conditionalFormatting sqref="A1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2022-06-13T02:40:33Z</dcterms:modified>
</cp:coreProperties>
</file>
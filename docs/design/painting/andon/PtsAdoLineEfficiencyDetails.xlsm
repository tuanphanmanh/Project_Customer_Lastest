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painting\Andon\"/>
    </mc:Choice>
  </mc:AlternateContent>
  <xr:revisionPtr revIDLastSave="0" documentId="13_ncr:1_{5EA29592-B79E-4586-B70A-54B3E5B7FA04}" xr6:coauthVersionLast="36" xr6:coauthVersionMax="36" xr10:uidLastSave="{00000000-0000-0000-0000-000000000000}"/>
  <bookViews>
    <workbookView xWindow="0" yWindow="0" windowWidth="28800" windowHeight="11805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definedNames>
    <definedName name="_xlnm._FilterDatabase" localSheetId="2" hidden="1">B.Frontend!$A$1:$A$24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5" l="1"/>
  <c r="H17" i="5"/>
  <c r="H18" i="5"/>
  <c r="H19" i="5"/>
  <c r="H20" i="5"/>
  <c r="H21" i="5"/>
  <c r="I16" i="5"/>
  <c r="I17" i="5"/>
  <c r="I18" i="5"/>
  <c r="I19" i="5"/>
  <c r="I20" i="5"/>
  <c r="I21" i="5"/>
  <c r="K16" i="5"/>
  <c r="K17" i="5"/>
  <c r="K18" i="5"/>
  <c r="K19" i="5"/>
  <c r="K20" i="5"/>
  <c r="K21" i="5"/>
  <c r="K15" i="5"/>
  <c r="I15" i="5"/>
  <c r="H15" i="5"/>
  <c r="F16" i="5"/>
  <c r="F17" i="5"/>
  <c r="F18" i="5"/>
  <c r="F19" i="5"/>
  <c r="F20" i="5"/>
  <c r="F21" i="5"/>
  <c r="C21" i="5" l="1"/>
  <c r="B21" i="5"/>
  <c r="D21" i="5" s="1"/>
  <c r="C20" i="5"/>
  <c r="B20" i="5"/>
  <c r="D20" i="5" s="1"/>
  <c r="T20" i="5" s="1"/>
  <c r="C19" i="5"/>
  <c r="B19" i="5"/>
  <c r="D19" i="5" s="1"/>
  <c r="C18" i="5"/>
  <c r="B18" i="5"/>
  <c r="D18" i="5" s="1"/>
  <c r="T18" i="5" s="1"/>
  <c r="C17" i="5"/>
  <c r="B17" i="5"/>
  <c r="D17" i="5" s="1"/>
  <c r="C16" i="5"/>
  <c r="B16" i="5"/>
  <c r="D16" i="5" s="1"/>
  <c r="G15" i="1"/>
  <c r="E15" i="1"/>
  <c r="H15" i="1" s="1"/>
  <c r="E21" i="5" s="1"/>
  <c r="D15" i="1"/>
  <c r="T15" i="1" s="1"/>
  <c r="L14" i="1"/>
  <c r="G14" i="1"/>
  <c r="E14" i="1"/>
  <c r="H14" i="1" s="1"/>
  <c r="E20" i="5" s="1"/>
  <c r="D14" i="1"/>
  <c r="V14" i="1" s="1"/>
  <c r="L13" i="1"/>
  <c r="G13" i="1"/>
  <c r="E13" i="1"/>
  <c r="H13" i="1" s="1"/>
  <c r="E19" i="5" s="1"/>
  <c r="D13" i="1"/>
  <c r="T13" i="1" s="1"/>
  <c r="L12" i="1"/>
  <c r="G12" i="1"/>
  <c r="E12" i="1"/>
  <c r="H12" i="1" s="1"/>
  <c r="E18" i="5" s="1"/>
  <c r="D12" i="1"/>
  <c r="V12" i="1" s="1"/>
  <c r="G11" i="1"/>
  <c r="E11" i="1"/>
  <c r="H11" i="1" s="1"/>
  <c r="E17" i="5" s="1"/>
  <c r="D11" i="1"/>
  <c r="G10" i="1"/>
  <c r="E10" i="1"/>
  <c r="H10" i="1" s="1"/>
  <c r="E16" i="5" s="1"/>
  <c r="D10" i="1"/>
  <c r="V10" i="1" s="1"/>
  <c r="G9" i="1"/>
  <c r="F15" i="5" s="1"/>
  <c r="E9" i="1"/>
  <c r="H9" i="1" s="1"/>
  <c r="E15" i="5" s="1"/>
  <c r="D9" i="1"/>
  <c r="W10" i="1" l="1"/>
  <c r="W12" i="1"/>
  <c r="I9" i="1"/>
  <c r="T10" i="1"/>
  <c r="W14" i="1"/>
  <c r="U17" i="5"/>
  <c r="U20" i="5"/>
  <c r="V21" i="5"/>
  <c r="U19" i="5"/>
  <c r="V20" i="5"/>
  <c r="G20" i="5"/>
  <c r="S20" i="5" s="1"/>
  <c r="L20" i="5"/>
  <c r="T21" i="5"/>
  <c r="G16" i="5"/>
  <c r="S16" i="5" s="1"/>
  <c r="U21" i="5"/>
  <c r="U16" i="5"/>
  <c r="L16" i="5"/>
  <c r="G21" i="5"/>
  <c r="S21" i="5" s="1"/>
  <c r="L21" i="5"/>
  <c r="V16" i="5"/>
  <c r="T17" i="5"/>
  <c r="T19" i="5"/>
  <c r="T16" i="5"/>
  <c r="G17" i="5"/>
  <c r="S17" i="5" s="1"/>
  <c r="L17" i="5"/>
  <c r="V17" i="5"/>
  <c r="G19" i="5"/>
  <c r="S19" i="5" s="1"/>
  <c r="L19" i="5"/>
  <c r="V19" i="5"/>
  <c r="P14" i="1"/>
  <c r="P12" i="1"/>
  <c r="T14" i="1"/>
  <c r="P10" i="1"/>
  <c r="T12" i="1"/>
  <c r="M11" i="1"/>
  <c r="W11" i="1"/>
  <c r="O11" i="1"/>
  <c r="M15" i="1"/>
  <c r="W15" i="1"/>
  <c r="O15" i="1"/>
  <c r="J15" i="1"/>
  <c r="N15" i="1"/>
  <c r="I15" i="1"/>
  <c r="T9" i="1"/>
  <c r="P9" i="1"/>
  <c r="I11" i="1"/>
  <c r="M13" i="1"/>
  <c r="W13" i="1"/>
  <c r="O13" i="1"/>
  <c r="J13" i="1"/>
  <c r="N13" i="1"/>
  <c r="I13" i="1"/>
  <c r="M9" i="1"/>
  <c r="W9" i="1"/>
  <c r="O9" i="1"/>
  <c r="V9" i="1"/>
  <c r="T11" i="1"/>
  <c r="P11" i="1"/>
  <c r="V11" i="1"/>
  <c r="V13" i="1"/>
  <c r="V15" i="1"/>
  <c r="M10" i="1"/>
  <c r="M12" i="1"/>
  <c r="M14" i="1"/>
  <c r="I10" i="1"/>
  <c r="N10" i="1"/>
  <c r="I12" i="1"/>
  <c r="N12" i="1"/>
  <c r="P13" i="1"/>
  <c r="I14" i="1"/>
  <c r="N14" i="1"/>
  <c r="L15" i="1"/>
  <c r="P15" i="1"/>
  <c r="J10" i="1"/>
  <c r="O10" i="1"/>
  <c r="J12" i="1"/>
  <c r="O12" i="1"/>
  <c r="J14" i="1"/>
  <c r="O14" i="1"/>
  <c r="C15" i="5"/>
  <c r="B15" i="5" l="1"/>
  <c r="D15" i="5" s="1"/>
  <c r="T15" i="5" s="1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L18" i="5" l="1"/>
  <c r="G18" i="5"/>
  <c r="S18" i="5" s="1"/>
  <c r="U18" i="5"/>
  <c r="R10" i="5"/>
  <c r="M45" i="3" s="1"/>
  <c r="N38" i="3" l="1"/>
  <c r="B8" i="5"/>
  <c r="B5" i="5"/>
  <c r="P10" i="5" l="1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V17" i="1"/>
  <c r="N3" i="1" l="1"/>
  <c r="M3" i="1"/>
  <c r="O3" i="1"/>
  <c r="T12" i="5" l="1"/>
  <c r="H12" i="5"/>
  <c r="I12" i="5"/>
  <c r="K12" i="5"/>
  <c r="U12" i="5"/>
  <c r="L12" i="5"/>
  <c r="V12" i="5"/>
  <c r="S12" i="5"/>
  <c r="R3" i="1" l="1"/>
  <c r="D1" i="1"/>
  <c r="F6" i="1"/>
  <c r="T13" i="5"/>
  <c r="T17" i="1"/>
  <c r="T7" i="1" l="1"/>
  <c r="W17" i="1"/>
  <c r="G6" i="1" l="1"/>
  <c r="V18" i="5" l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U15" i="5" l="1"/>
  <c r="V15" i="5"/>
  <c r="G15" i="5"/>
  <c r="S15" i="5" s="1"/>
  <c r="L15" i="5"/>
  <c r="I3" i="1"/>
  <c r="B7" i="1"/>
  <c r="V13" i="5"/>
  <c r="L13" i="5"/>
  <c r="K13" i="5"/>
  <c r="S13" i="5"/>
  <c r="I13" i="5"/>
  <c r="H13" i="5"/>
  <c r="U13" i="5"/>
  <c r="K10" i="5" l="1"/>
  <c r="F45" i="3" s="1"/>
  <c r="J11" i="1"/>
  <c r="N9" i="1"/>
  <c r="N11" i="1"/>
  <c r="J9" i="1"/>
  <c r="L11" i="1"/>
  <c r="L10" i="1"/>
  <c r="L9" i="1"/>
  <c r="I10" i="5"/>
  <c r="D45" i="3" s="1"/>
  <c r="H10" i="5"/>
  <c r="C45" i="3" s="1"/>
  <c r="L10" i="5"/>
  <c r="G45" i="3" s="1"/>
  <c r="C7" i="1"/>
  <c r="O17" i="1"/>
  <c r="J17" i="1"/>
  <c r="I17" i="1"/>
  <c r="P17" i="1"/>
  <c r="N17" i="1"/>
  <c r="Q7" i="1" l="1"/>
  <c r="M38" i="3" s="1"/>
  <c r="L7" i="1"/>
  <c r="G38" i="3" s="1"/>
  <c r="K38" i="3"/>
  <c r="J38" i="3"/>
  <c r="M17" i="1"/>
  <c r="K17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 xr:uid="{00000000-0006-0000-0000-000007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 xr:uid="{00000000-0006-0000-0000-000009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7" authorId="1" shapeId="0" xr:uid="{00000000-0006-0000-0000-00000A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7" authorId="1" shapeId="0" xr:uid="{00000000-0006-0000-0000-00000B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7" authorId="1" shapeId="0" xr:uid="{00000000-0006-0000-0000-00000C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<sst xmlns="http://schemas.openxmlformats.org/spreadsheetml/2006/main" count="357" uniqueCount="286">
  <si>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</si>
  <si>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</si>
  <si>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</si>
  <si>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</si>
  <si>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</si>
  <si>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</si>
  <si>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</si>
  <si>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</si>
  <si>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</si>
  <si>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</si>
  <si>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</si>
  <si>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</si>
  <si>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</si>
  <si>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</si>
  <si>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</si>
  <si>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</si>
  <si>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</si>
  <si>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</si>
  <si>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</si>
  <si>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</si>
  <si>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</si>
  <si>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</si>
  <si>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</si>
  <si>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</si>
  <si>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</si>
  <si>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</si>
  <si>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</si>
  <si>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</si>
  <si>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</si>
  <si>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</si>
  <si>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</si>
  <si>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</si>
  <si>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</si>
  <si>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</si>
  <si>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</si>
  <si>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</si>
  <si>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</si>
  <si>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</si>
  <si>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</si>
  <si>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</si>
  <si>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</si>
  <si>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</si>
  <si>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</si>
  <si>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</si>
  <si>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</si>
  <si>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</si>
  <si>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</si>
  <si>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</si>
  <si>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</si>
  <si>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</si>
  <si>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</si>
  <si>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</si>
  <si>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</si>
  <si>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</si>
  <si>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</si>
  <si>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</si>
  <si>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</si>
  <si>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</si>
  <si>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</si>
  <si>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</si>
  <si>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</si>
  <si>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</si>
  <si>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</si>
  <si>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</si>
  <si>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</si>
  <si>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</si>
  <si>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</si>
  <si>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</si>
  <si>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</si>
  <si>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</si>
  <si>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</si>
  <si>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</si>
  <si>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</si>
  <si>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</si>
  <si>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</si>
  <si>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</si>
  <si>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</si>
  <si>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</si>
  <si>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</si>
  <si>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</si>
  <si>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</si>
  <si>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</si>
  <si>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</si>
  <si>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</si>
  <si>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</si>
  <si>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</si>
  <si>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</si>
  <si>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</si>
  <si>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</si>
  <si>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</si>
  <si>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</si>
  <si>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</si>
  <si>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</si>
  <si>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</si>
  <si>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</si>
  <si>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</si>
  <si>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</si>
  <si>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</si>
  <si>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</si>
  <si>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</si>
  <si>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</si>
  <si>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</si>
  <si>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</si>
  <si>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</si>
  <si>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</si>
  <si>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</si>
  <si>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</si>
  <si>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</si>
  <si>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</si>
  <si>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</si>
  <si>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</si>
  <si>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</si>
  <si>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</si>
  <si>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</si>
  <si>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</si>
  <si>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</si>
  <si>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</si>
  <si>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</si>
  <si>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</si>
  <si>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</si>
  <si>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</si>
  <si>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</si>
  <si>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</si>
  <si>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</si>
  <si>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</si>
  <si>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</si>
  <si>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</si>
  <si>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</si>
  <si>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</si>
  <si>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</si>
  <si>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</si>
  <si>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</si>
  <si>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</si>
  <si>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</si>
  <si>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</si>
  <si>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</si>
  <si>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</si>
  <si>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</si>
  <si>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</si>
  <si>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</si>
  <si>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</si>
  <si>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</si>
  <si>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</si>
  <si>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</si>
  <si>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</si>
  <si>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</si>
  <si>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</si>
  <si>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</si>
  <si>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</si>
  <si>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</si>
  <si>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</si>
  <si>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</si>
  <si>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</si>
  <si>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</si>
  <si>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</si>
  <si>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</si>
  <si>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</si>
  <si>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</si>
  <si>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</si>
  <si>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</si>
  <si>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</si>
  <si>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</si>
  <si>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</si>
  <si>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</si>
  <si>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</si>
  <si>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</si>
  <si>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</si>
  <si>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</si>
  <si>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</si>
  <si>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</si>
  <si>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</si>
  <si>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</si>
  <si>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</si>
  <si>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</si>
  <si>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</si>
  <si>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</si>
  <si>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</si>
  <si>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</si>
  <si>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</si>
  <si>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</si>
  <si>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</si>
  <si>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</si>
  <si>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</si>
  <si>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</si>
  <si>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</si>
  <si>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</si>
  <si>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</si>
  <si>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</si>
  <si>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</si>
  <si>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</si>
  <si>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</si>
  <si>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</si>
  <si>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</si>
  <si>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</si>
  <si>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</si>
  <si>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</si>
  <si>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</si>
  <si>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</si>
  <si>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</si>
  <si>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</si>
  <si>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</si>
  <si>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</si>
  <si>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</si>
  <si>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</si>
  <si>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</si>
  <si>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</si>
  <si>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</si>
  <si>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</si>
  <si>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</si>
  <si>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</si>
  <si>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</si>
  <si>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</si>
  <si>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</si>
  <si>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</si>
  <si>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</si>
  <si>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</si>
  <si>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</si>
  <si>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</si>
  <si>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</si>
  <si>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</si>
  <si>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</si>
  <si>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</si>
  <si>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</si>
  <si>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</si>
  <si>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</si>
  <si>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</si>
  <si>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</si>
  <si>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</si>
  <si>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</si>
  <si>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</si>
  <si>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</si>
  <si>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</si>
  <si>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</si>
  <si>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</si>
  <si>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</si>
  <si>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</si>
  <si>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</si>
  <si>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</si>
  <si>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</si>
  <si>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</si>
  <si>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</si>
  <si>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</si>
  <si>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</si>
  <si>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</si>
  <si>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</si>
  <si>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</si>
  <si>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</si>
  <si>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</si>
  <si>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</si>
  <si>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</si>
  <si>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</si>
  <si>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</si>
  <si>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</si>
  <si>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</si>
  <si>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</si>
  <si>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</si>
  <si>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</si>
  <si>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</si>
  <si>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</si>
  <si>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</si>
  <si>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</si>
  <si>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</si>
  <si>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</si>
  <si>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</si>
  <si>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</si>
  <si>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</si>
  <si>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</si>
  <si>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</si>
  <si>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</si>
  <si>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varchar(1)</t>
  </si>
  <si>
    <t>Painting.Andon</t>
  </si>
  <si>
    <t>LINE</t>
  </si>
  <si>
    <t>varchar(5)</t>
  </si>
  <si>
    <t>SHIFT</t>
  </si>
  <si>
    <t>WORKING_DATE</t>
  </si>
  <si>
    <t>VOL_ACTUAL</t>
  </si>
  <si>
    <t>Painting Andon Line Efficiency Details</t>
  </si>
  <si>
    <t>PtsAdoLineEfficiencyDetails</t>
  </si>
  <si>
    <t>LineEfficiencyDetails</t>
  </si>
  <si>
    <t>LINE_STOP_TIME</t>
  </si>
  <si>
    <t>LINE_EFFICIENCY</t>
  </si>
  <si>
    <t>decimal(5, 2)</t>
  </si>
  <si>
    <t>varchar(40)</t>
  </si>
  <si>
    <t>STATUS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</si>
  <si>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</si>
  <si>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 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</si>
</sst>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0" fillId="8" borderId="0" xfId="0" applyFill="1" applyBorder="1" applyAlignment="1">
      <alignment wrapText="1"/>
    </xf>
    <xf numFmtId="0" fontId="18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7"/>
  <sheetViews>
    <sheetView topLeftCell="A40" workbookViewId="0">
      <selection activeCell="C45" sqref="C45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2" t="s">
        <v>226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[Table("PtsAdoLineEfficiencyDetails")]
	[Index(nameof(Line), Name="IX_PtsAdoLineEfficiencyDetails_Line")]
	[Index(nameof(VolActual), Name="IX_PtsAdoLineEfficiencyDetails_VolActual")]
	[Index(nameof(LineStopTime), Name="IX_PtsAdoLineEfficiencyDetails_LineStopTime")]
	public class PtsAdoLineEfficiencyDetails: FullAuditedEntity&lt;long&gt;, IEntity&lt;long&gt;	
	{
		public const int MaxLineLength = 5;
		public const int MaxShiftLength = 40;
		public const int MaxStatusLength = 1;
		[StringLength(MaxLineLength)]
		public virtual string Line { get; set; }
		public virtual int VolActual { get; set; }
		public virtual int LineStopTime { get; set; }
		public virtual decimal LineEfficiency { get; set; }
		public virtual DateTime WorkingDate { get; set; }
		[StringLength(MaxShiftLength)]
		public virtual string Shift { get; set; }
		[StringLength(MaxStatusLength)]
		public virtual string Status { get; set; }
	}
}
</v>
      </c>
      <c r="D38" s="51" t="str">
        <f>A.Backend!O7</f>
        <v xml:space="preserve">		public const string Pages_Painting_Andon_LineEfficiencyDetails = "Pages.Painting.Andon.LineEfficiencyDetails";
		public const string Pages_Painting_Andon_LineEfficiencyDetails_CreateEdit = "Pages.Painting.Andon.LineEfficiencyDetails.CreateEdit";
		public const string Pages_Painting_Andon_LineEfficiencyDetails_Delete = "Pages.Painting.Andon.LineEfficiencyDetails.Delete";
</v>
      </c>
      <c r="E38" s="51" t="str">
        <f>A.Backend!N7</f>
        <v xml:space="preserve">		var perPtsAdoLineEfficiencyDetails = PARENTS.CreateChildPermission(AppPermissions.Pages_Painting_Andon_LineEfficiencyDetails, L( "PaintingAndonLineEfficiencyDetails"));
		perPtsAdoLineEfficiencyDetails.CreateChildPermission(AppPermissions.Pages_Painting_Andon_LineEfficiencyDetails_CreateEdit, L( "PaintingAndonLineEfficiencyDetailsCreateEdit"));
		perPtsAdoLineEfficiencyDetails.CreateChildPermission(AppPermissions.Pages_Painting_Andon_LineEfficiencyDetails_Delete, L( "PaintingAndonLineEfficiencyDetailsDelete"));</v>
      </c>
      <c r="F38" s="51" t="str">
        <f>A.Backend!K7</f>
        <v>public virtual DbSet&lt;PtsAdoLineEfficiencyDetails&gt; PtsAdoLineEfficiencyDetailss { get; set; }</v>
      </c>
      <c r="G38" s="51" t="str">
        <f ca="1">A.Backend!L7</f>
        <v xml:space="preserve">namespace vovina.Painting.Andon
{
	public class PtsAdoLineEfficiencyDetailsConsts	
	{
		public const int MaxLineLength = 5;
		public const int MaxShiftLength = 40;
		public const int MaxStatusLength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vovina.Painting.Andon.Dto
{
	public class PtsAdoLineEfficiencyDetailsDto : EntityDto&lt;long?&gt;	
	{
		public virtual string Line { get; set; }
		public virtual int VolActual { get; set; }
		public virtual int LineStopTime { get; set; }
		public virtual decimal LineEfficiency { get; set; }
		public virtual DateTime? WorkingDate { get; set; }
		public virtual string Shift { get; set; }
		public virtual string Status { get; set; }
	}
	public class CreateOrEditPtsAdoLineEfficiencyDetailsDto : EntityDto&lt;long?&gt;	
	{
		[StringLength(PtsAdoLineEfficiencyDetailsConsts.MaxLineLength)]
		public virtual string Line { get; set; }
		public virtual int VolActual { get; set; }
		public virtual int LineStopTime { get; set; }
		public virtual decimal LineEfficiency { get; set; }
		public virtual DateTime? WorkingDate { get; set; }
		[StringLength(PtsAdoLineEfficiencyDetailsConsts.MaxShiftLength)]
		public virtual string Shift { get; set; }
		[StringLength(PtsAdoLineEfficiencyDetailsConsts.MaxStatusLength)]
		public virtual string Status { get; set; }
	}
	public class GetPtsAdoLineEfficiencyDetailsInput : PagedAndSortedResultRequestDto	
	{
		public virtual string Line { get; set; }
		public virtual int VolActual { get; set; }
		public virtual int LineStopTime { get; set; }
		public virtual DateTime? WorkingDate { get; set; }
		public virtual string Shift { get; set; }
		public virtual string Status { get; set; }
	}
}
</v>
      </c>
      <c r="I38" s="51" t="str">
        <f ca="1">A.Backend!R7</f>
        <v xml:space="preserve">using Abp.Application.Services.Dto;
using System;
using System.ComponentModel.DataAnnotations;
namespace vovina.Painting.Andon.Dto
{
	public class PtsAdoLineEfficiencyDetailsExportInput{
		public virtual string Line { get; set; }
		public virtual int VolActual { get; set; }
		public virtual int LineStopTime { get; set; }
		public virtual decimal LineEfficiency { get; set; }
		public virtual DateTime? WorkingDate { get; set; }
		public virtual string Shift { get; set; }
		public virtual string Status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vovina.Painting.Andon.Dto;
namespace vovina.Painting.Andon
{
	public interface IPtsAdoLineEfficiencyDetailsAppService : IApplicationService
	{
		Task&lt;PagedResultDto&lt;PtsAdoLineEfficiencyDetailsDto&gt;&gt; GetAll(GetPtsAdoLineEfficiencyDetailsInput input);
		Task CreateOrEdit(CreateOrEditPtsAdoLineEfficiencyDetailsDto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IPtsAdoLineEfficiencyDetailsExcelExporter : IApplicationService
	{
		FileDto ExportToFile(List&lt;PtsAdoLineEfficiencyDetailsDto&gt; ptsadolineefficiencydetails);
	}
}
</v>
      </c>
      <c r="L38" s="51" t="str">
        <f ca="1">A.Backend!T7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PtsAdoLineEfficiencyDetailsExcelExporter : NpoiExcelExporterBase, IPtsAdoLineEfficiencyDetailsExcelExporter
    {
        public PtsAdoLineEfficiencyDetailsExcelExporter(ITempFileCacheManager tempFileCacheManager) : base(tempFileCacheManager) { }
        public FileDto ExportToFile(List&lt;PtsAdoLineEfficiencyDetailsDto&gt; lineefficiencydetails)
        {
            return CreateExcelPackage(
				"PaintingAndonLineEfficiencyDetails.xlsx",
				excelPackage =&gt;
				 {
					var sheet = excelPackage.CreateSheet("LineEfficiencyDetails");
					AddHeader(
								sheet,
								("Line"),
								("VolActual"),
								("LineStopTime"),
								("LineEfficiency"),
								("WorkingDate"),
								("Shift"),
								("Status"),
							   );
					AddObjects(
						 sheet, 1, lineefficiencydetails,                                       
								_ =&gt; _.Line,
								_ =&gt; _.VolActual,
								_ =&gt; _.LineStopTime,
								_ =&gt; _.LineEfficiency,
								_ =&gt; _.WorkingDate,
								_ =&gt; _.Shift,
								_ =&gt; _.Status,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[AbpAuthorize(AppPermissions.Pages_Painting_Andon_LineEfficiencyDetails)]
    public class PtsAdoLineEfficiencyDetailsAppService : vovinaAppServiceBase, IPtsAdoLineEfficiencyDetailsAppService
    {
        private readonly IDapperRepository&lt;PtsAdoLineEfficiencyDetails, long&gt; _dapperRepo;
        private readonly IRepository&lt;PtsAdoLineEfficiencyDetails, long&gt; _repo;
        private readonly IPtsAdoLineEfficiencyDetailsExcelExporter _calendarListExcelExporter;
        public PtsAdoLineEfficiencyDetailsAppService(IRepository&lt;PtsAdoLineEfficiencyDetails,long&gt; repo, 
                                         IDapperRepository&lt;PtsAdoLineEfficiencyDetails,long&gt; dapperRepo,
                                        IPtsAdoLineEfficiencyDetailsExcelExporter calendarListExcelExporter
            )
        {
            _repo = repo;
            _dapperRepo = dapperRepo;
            _calendarListExcelExporter = calendarListExcelExporter;
        }
        [AbpAuthorize(AppPermissions.Pages_Painting_Andon_LineEfficiencyDetails_CreateEdit)]
        public async Task CreateOrEdit(CreateOrEditPtsAdoLineEfficiencyDetailsDto input)
        {
            if (input.Id == null) await Create(input);
            else await Update(input);
        }
        //CREATE
        private async Task Create(CreateOrEditPtsAdoLineEfficiencyDetailsDto input)
        {          
            var mainObj = ObjectMapper.Map&lt;PtsAdoLineEfficiencyDetails&gt;(input);
            await CurrentUnitOfWork.GetDbContext&lt;vovinaDbContext&gt;().AddAsync(mainObj);
        }
        // EDIT
        private async Task Update(CreateOrEditPtsAdoLineEfficiencyDetailsDto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[AbpAuthorize(AppPermissions.Pages_Painting_Andon_LineEfficiencyDetails_Delete)]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Task&lt;PagedResultDto&lt;PtsAdoLineEfficiencyDetailsDto&gt;&gt; GetAll(GetPtsAdoLineEfficiencyDetailsInput input)
        {
            var filtered = _repo.GetAll()
				.WhereIf(!string.IsNullOrWhiteSpace(input.Line), e =&gt; e.Line.Contains(input.Line))
				.WhereIf(input.WorkingDate.HasValue, t =&gt; t.WorkingDate == input.WorkingDate.Value)
				.WhereIf(!string.IsNullOrWhiteSpace(input.Shift), e =&gt; e.Shift.Contains(input.Shift))
				.WhereIf(!string.IsNullOrWhiteSpace(input.Status), e =&gt; e.Status.Contains(input.Status))                   
				;
            var pageAndFiltered = filtered.OrderBy(s =&gt; s.Id);
            var system = from o in pageAndFiltered
                         select new PtsAdoLineEfficiencyDetailsDto
                        {
							Id = o.Id,
							Line = o.Line,
							VolActual = o.VolActual,
							LineStopTime = o.LineStopTime,
							LineEfficiency = o.LineEfficiency,
							WorkingDate = o.WorkingDate,
							Shift = o.Shift,
							Status = o.Status,
                        };
            var totalCount = await filtered.CountAsync();
			var paged = system.PageBy(input);
            return new PagedResultDto&lt;PtsAdoLineEfficiencyDetailsDto&gt;(
                totalCount,
                 await paged.ToListAsync()
            );
        }
        public async Task&lt;FileDto&gt; GetLineEfficiencyDetailsToExcel(PtsAdoLineEfficiencyDetailsExportInput input)
        {
            var query = from o in _repo.GetAll()
                        select new PtsAdoLineEfficiencyDetailsDto
                        {
							Id = o.Id,
							Line = o.Line,
							VolActual = o.VolActual,
							LineStopTime = o.LineStopTime,
							LineEfficiency = o.LineEfficiency,
							WorkingDate = o.WorkingDate,
							Shift = o.Shift,
							Status = o.Status,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_dapperRepo.ExecuteAsync(PtsAdoLineEfficiencyDetailsConsts.SP_MST_WPT_CALENDAR_GENERATE);
       // }
    }
}</v>
      </c>
      <c r="N38" s="62" t="str">
        <f>A.Backend!U7</f>
        <v xml:space="preserve">  configuration.CreateMap&lt;PtsAdoLineEfficiencyDetailsDto, PtsAdoLineEfficiencyDetails&gt;();
  configuration.CreateMap&lt;PtsAdoLineEfficiencyDetails, PtsAdoLineEfficiencyDetailsDto&gt;();
  configuration.CreateMap&lt;CreateOrEditPtsAdoLineEfficiencyDetailsDto, PtsAdoLineEfficiencyDetails&gt;();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lineefficiencydetails</v>
      </c>
      <c r="C43" s="72" t="str">
        <f>"create folder " &amp;B43</f>
        <v>create folder lineefficiencydetails</v>
      </c>
      <c r="D43" s="72"/>
      <c r="E43" s="72"/>
      <c r="F43" s="72"/>
      <c r="G43" s="72"/>
      <c r="H43" s="72"/>
      <c r="I43" s="72"/>
      <c r="J43" s="72"/>
      <c r="K43" s="73" t="s">
        <v>228</v>
      </c>
      <c r="L43" s="73"/>
      <c r="M43" s="31"/>
    </row>
    <row r="44" spans="1:14" s="28" customFormat="1" ht="18" customHeight="1" x14ac:dyDescent="0.25">
      <c r="B44" s="60" t="s">
        <v>229</v>
      </c>
      <c r="C44" s="31" t="str">
        <f>B.Frontend!H14</f>
        <v>lineefficiencydetails.component.ts</v>
      </c>
      <c r="D44" s="31" t="str">
        <f>B.Frontend!I14</f>
        <v>lineefficiencydetails.component.html</v>
      </c>
      <c r="E44" s="31" t="str">
        <f>B.Frontend!J14</f>
        <v>lineefficiencydetails.component.less</v>
      </c>
      <c r="F44" s="31" t="str">
        <f>B.Frontend!K14</f>
        <v>create-or-edit-lineefficiencydetails-modal.component.html</v>
      </c>
      <c r="G44" s="31" t="str">
        <f>B.Frontend!L14</f>
        <v>create-or-edit-lineefficiencydetails-modal.component.ts</v>
      </c>
      <c r="H44" s="31" t="str">
        <f>B.Frontend!M14</f>
        <v>create-or-edit-lineefficiencydetails-modal.component.less</v>
      </c>
      <c r="I44" s="31" t="str">
        <f>B.Frontend!N14</f>
        <v>lineefficiencydetails.module.ts</v>
      </c>
      <c r="J44" s="31" t="str">
        <f>B.Frontend!O14</f>
        <v>lineefficiencydetails-routing.module.ts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232</v>
      </c>
    </row>
    <row r="45" spans="1:14" ht="21.75" customHeight="1" x14ac:dyDescent="0.25">
      <c r="B45" s="61" t="s">
        <v>226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PtsAdoLineEfficiencyDetailsDto, PtsAdoLineEfficiencyDetailsServiceProxy } from '@shared/service-proxies/service-proxies';
import { finalize } from 'rxjs/internal/operators/finalize';
import { CreateOrEditLineEfficiencyDetailsModalComponent } from './create-or-edit-lineefficiencydetails-modal.component';
import { DatePipe } from '@angular/common';
import { FileDownloadService } from '@shared/utils/file-download.service';
import ceil from 'lodash-es/ceil';
import { Paginator } from 'primeng/paginator';
@Component({
    templateUrl: './lineefficiencydetails.component.html',
    styleUrls: ['./lineefficiencydetails.component.less'],
})
export class LineEfficiencyDetailsComponent extends AppComponentBase implements OnInit {
    @ViewChild('createOrEditModalLineEfficiencyDetails', { static: true }) createOrEditModalLineEfficiencyDetails:| CreateOrEditLineEfficiencyDetailsModalComponent|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PtsAdoLineEfficiencyDetailsDto = new PtsAdoLineEfficiencyDetailsDto();
    saveSelectedRow: PtsAdoLineEfficiencyDetailsDto = new PtsAdoLineEfficiencyDetailsDto();
    datas: PtsAdoLineEfficiencyDetailsDto = new PtsAdoLineEfficiencyDetailsDto();
    isLoading: boolean = false;
    dataParams: GridParams | undefined;
    rowData: any[] = [];
    gridApi!: GridApi;
    rowSelection = 'multiple';
    filter: string = '';
	pipe = new DatePipe('en-US');
	frameworkComponents: FrameworkComponent;
    line : string = '' ; 
volActual : number = 0 ;
	lineStopTime : number = 0 ;
	lineEfficiency
	workingDate : any ;
	shift : string = '' ; 
status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PtsAdoLineEfficiencyDetailsServiceProxy,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this.l('Line'),headerTooltip: this.l('Line'),field: 'line',flex: 1},
			{headerName: this.l('Vol Actual'),headerTooltip: this.l('Vol Actual'),field: 'volActual',flex: 1},
			{headerName: this.l('Line Stop Time'),headerTooltip: this.l('Line Stop Time'),field: 'lineStopTime',flex: 1},
			{headerName: this.l('Line Efficiency'),headerTooltip: this.l('Line Efficiency'),field: 'lineEfficiency',flex: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this.l('Status'),headerTooltip: this.l('Status'),field:  'status', cellClass: ['text-center'], width: 120, cellRenderer: 'agCellButtonComponent',
buttonDefTwo: { text: params =&gt; (params.data?.'status' == 'Y') ? 'Active' : 'Inactive',iconName: 'fa fa-circle',className: params =&gt; (params.data?.'status'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this.line,
			this.volActual,
			this.lineStopTime,
			this.lineEfficiency,
			this.workingDate,
			this.shift,
			this.status,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this.line = '',
this.volActual = 0,
		this.lineStopTime = 0,
		this.lineEfficiency = '',
		this.workingDate = '',
		this.shift = '',
this.status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this.line,
			this.volActual,
			this.lineStopTime,
			this.lineEfficiency,
			this.workingDate,
			this.shift,
			this.status,
			'',
            this.paginationParams.skipCount,
            this.paginationParams.pageSize
        );
    }
    onChangeRowSelection(params: { api: { getSelectedRows: () =&gt; PtsAdoLineEfficiencyDetailsDto[] } }) {
        this.saveSelectedRow = params.api.getSelectedRows()[0] ?? new PtsAdoLineEfficiencyDetailsDto();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PtsAdoLineEfficiencyDetailsDto):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this._service.getLineEfficiencyDetailsToExcel(
			this.line,
			this.volActual,
			this.lineStopTime,
			this.lineEfficiency,
			this.workingDate,
			this.shift,
			this.status,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Line Efficiency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 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(click)="createOrEditModalLineEfficiencyDetails.show()"&gt;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(click)="createOrEditModalLineEfficiencyDetails.show(selectedRow)"&gt;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&lt;create-or-edit-lineefficiencydetails-modal
    #createOrEditModalLineEfficiencyDetails
    (modalSave)="callBackDataGrid(dataParams)"
    (modalClose)="onChangeRowSelection(dataParams)"
&gt;
&lt;/create-or-edit-lineefficiencydetails-modal&gt;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#createOrEditModalLineEfficiencyDetails="bs-modal"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LineEfficiencyDetails')}}&lt;/h3&gt;
                    &lt;h3 *ngIf="!rowdata.id"&gt;{{('Create New LineEfficiencyDetails')}}&lt;/h3&gt;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title'&gt;Vol Actual&lt;/label&gt;
						&lt;input type='number' class='col-md-10 form-control input-text' name='VolActual' [(ngModel)]='rowdata.volActual'&gt;
					&lt;/div&gt;
					&lt;div class='col-md-12 form-group row'&gt;
						&lt;label class='col-md-2 form-control title'&gt;Line Stop Time&lt;/label&gt;
						&lt;input type='number' class='col-md-10 form-control input-text' name='LineStopTime' [(ngModel)]='rowdata.lineStopTime'&gt;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title'&gt;Status&lt;/label&gt;
						&lt;new-checkbox [(ngModel)]='_status' name='status'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CreateOrEditPtsAdoLineEfficiencyDetailsDto, PtsAdoLineEfficiencyDetailsServiceProxy } from '@shared/service-proxies/service-proxies';
import { BsDatepickerDirective } from 'ngx-bootstrap/datepicker';
@Component({
    selector: 'create-or-edit-lineefficiencydetails-modal',
    templateUrl: './create-or-edit-lineefficiencydetails-modal.component.html',
    styleUrls: ['./create-or-edit-lineefficiencydetails-modal.component.less']
    })
export class CreateOrEditLineEfficiencyDetailsModalComponent extends AppComponentBase {
    @ViewChild('createOrEditModalLineEfficiencyDetails',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CreateOrEditPtsAdoLineEfficiencyDetailsDto = new CreateOrEditPtsAdoLineEfficiencyDetailsDto();
    active: boolean = false;
    saving: boolean = false;
    _status: boolean;
    constructor(
        injector: Injector,
        private _mstwptLineEfficiencyDetailsService: PtsAdoLineEfficiencyDetailsServiceProxy,
    ) 
    {
        super(injector);
    }
    show(rowdata?: CreateOrEditPtsAdoLineEfficiencyDetailsDto): void {
        if (!rowdata) this.rowdata = new CreateOrEditPtsAdoLineEfficiencyDetailsDto();
        else this.rowdata = rowdata;
		const dateValue =  this.rowdata.workingDate ? new Date(this.rowdata.workingDate?.toString()) : new Date();
		this.datepicker?.bsValueChange.emit(dateValue);
        this._status = (this.rowdata.status == "N")? false: true;
        this.active = true;
        this.modal.show();
    } 
    changeActive(event){
        this._status = event.target.checked;
    }
    save(): void {
    this.saving = true; 
    this.rowdata.status = (this._status == true) ? 'Y' : 'N'
    this._mstwptLineEfficiencyDetailsService.createOrEdit(this.rowdata)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LineEfficiencyDetailsRoutingModule } from './lineefficiencydetails-routing.module';
import { LineEfficiencyDetailsComponent } from './lineefficiencydetails.component';
import { CreateOrEditLineEfficiencyDetailsModalComponent } from './create-or-edit-lineefficiencydetails-modal.component';
@NgModule({
    declarations: [
       LineEfficiencyDetailsComponent, 
        CreateOrEditLineEfficiencyDetailsModalComponent
    ],
    imports: [
        AppSharedModule, LineEfficiencyDetailsRoutingModule]
})
export class LineEfficiencyDetailsModule {}</v>
      </c>
      <c r="J45" s="49" t="str">
        <f>B.Frontend!O10</f>
        <v>import {NgModule} from '@angular/core';
import {RouterModule, Routes} from '@angular/router';
import { LineEfficiencyDetailsComponent } from './lineefficiencydetails.component';
const routes: Routes = [{
    path: '',
    component: LineEfficiencyDetailsComponent,
    pathMatch: 'full'
}];
@NgModule({
    imports: [RouterModule.forChild(routes)],
    exports: [RouterModule],
})
export class LineEfficiencyDetailsRoutingModule {}</v>
      </c>
      <c r="K45" s="49" t="str">
        <f>B.Frontend!P10</f>
        <v xml:space="preserve"> new AppMenuItem("LineEfficiencyDetails", "Pages.Painting.Andon.LineEfficiencyDetails", "flaticon-book",   "/app/main/painting/andon/lineefficiencydetails"),</v>
      </c>
      <c r="L45" s="50" t="str">
        <f>B.Frontend!Q10</f>
        <v>{
    path: 'painting/andon/lineefficiencydetails',
    loadChildren: () =&gt; import('./painting/andon/lineefficiencydetails/lineefficiencydetails.module').then(m =&gt; m.LineEfficiencyDetailsModule),
    data: { permission: 'Pages.Painting.Andon.LineEfficiencyDetails' }
},</v>
      </c>
      <c r="M45" s="48" t="str">
        <f>B.Frontend!R10</f>
        <v>ApiServiceProxies.PtsAdoLineEfficiencyDetailsServiceProxy,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7"/>
  <sheetViews>
    <sheetView workbookViewId="0">
      <pane xSplit="1" topLeftCell="B1" activePane="topRight" state="frozen"/>
      <selection pane="topRight" activeCell="A9" sqref="A9:A1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vovina.Painting.Andon.Dto;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270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277</v>
      </c>
      <c r="C3" s="10" t="s">
        <v>43</v>
      </c>
      <c r="D3" s="10" t="s">
        <v>44</v>
      </c>
      <c r="E3" s="10" t="s">
        <v>39</v>
      </c>
      <c r="F3" s="11" t="str">
        <f>"J"&amp;COUNTA($A:$A)</f>
        <v>J15</v>
      </c>
      <c r="G3" s="4" t="s">
        <v>57</v>
      </c>
      <c r="H3" s="10" t="str">
        <f>"I"&amp;COUNTA($A:$A)</f>
        <v>I15</v>
      </c>
      <c r="I3" s="10" t="str">
        <f>REPT(CHAR(9),2)&amp;"[Required]"&amp;"
"</f>
        <v xml:space="preserve">		[Required]
</v>
      </c>
      <c r="J3" s="11" t="str">
        <f>"L"&amp;COUNTA($A:$A)</f>
        <v>L15</v>
      </c>
      <c r="K3" s="5" t="s">
        <v>56</v>
      </c>
      <c r="L3" s="11" t="str">
        <f>"M"&amp;COUNTA($A:$A)</f>
        <v>M15</v>
      </c>
      <c r="M3" s="11" t="str">
        <f>"N"&amp;COUNTA($A:$A)</f>
        <v>N15</v>
      </c>
      <c r="N3" s="11" t="str">
        <f>"O"&amp;COUNTA($A:$A)</f>
        <v>O15</v>
      </c>
      <c r="O3" s="11" t="str">
        <f>"P"&amp;COUNTA($A:$A)</f>
        <v>P15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PtsAdoLineEfficiencyDetailsExportInput{
</v>
      </c>
      <c r="S3" s="11" t="str">
        <f>"namespace "&amp;$B$6&amp;".Exporting
"&amp;$C$3</f>
        <v xml:space="preserve">namespace vovina.Painting.Andon.Exporting
{
</v>
      </c>
      <c r="T3" s="11" t="str">
        <f>"T"&amp;COUNTA($A:$A)</f>
        <v>T15</v>
      </c>
      <c r="V3" s="11" t="str">
        <f>"V"&amp;COUNTA($A:$A)</f>
        <v>V15</v>
      </c>
      <c r="W3" s="10" t="str">
        <f>"W"&amp;COUNTA($A:$A)</f>
        <v>W15</v>
      </c>
    </row>
    <row r="4" spans="1:23" s="11" customFormat="1" ht="33" customHeight="1" x14ac:dyDescent="0.25">
      <c r="A4" s="1" t="s">
        <v>237</v>
      </c>
      <c r="B4" s="64" t="s">
        <v>91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278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vovina.Painting.Andon</v>
      </c>
      <c r="C6" s="11" t="str">
        <f>"namespace "&amp;$B$6&amp;"
"&amp;$C$3</f>
        <v xml:space="preserve">namespace vovina.Painting.Andon
{
</v>
      </c>
      <c r="D6" s="11" t="str">
        <f>REPT(CHAR(9),1)&amp;"public class "&amp;B3&amp;G3&amp;REPT(CHAR(9),1)&amp;"
"&amp;REPT(CHAR(9),1)&amp;C3</f>
        <v xml:space="preserve">	public class PtsAdoLineEfficiencyDetails: FullAuditedEntity&lt;long&gt;, IEntity&lt;long&gt;	
	{
</v>
      </c>
      <c r="E6" s="11" t="str">
        <f>REPT(CHAR(9),1)&amp;"public class "&amp;B3&amp;"Consts"&amp;REPT(CHAR(9),1)&amp;"
"&amp;REPT(CHAR(9),1)&amp;C3</f>
        <v xml:space="preserve">	public class PtsAdoLineEfficiencyDetailsConsts	
	{
</v>
      </c>
      <c r="F6" s="11" t="str">
        <f>REPT(CHAR(9),1)&amp;"public class "&amp;B3&amp;"Dto"&amp;K3&amp;REPT(CHAR(9),1)&amp;"
"&amp;REPT(CHAR(9),1)&amp;C3</f>
        <v xml:space="preserve">	public class PtsAdoLineEfficiencyDetailsDto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CreateOrEditPtsAdoLineEfficiencyDetailsDto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GetPtsAdoLineEfficiencyDetailsInput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PtsAdoLineEfficiencyDetails</v>
      </c>
      <c r="C7" s="11" t="str">
        <f>REPT(CHAR(9),1)&amp;"[Table("""&amp;B7&amp;""")]"&amp;"
"</f>
        <v xml:space="preserve">	[Table("PtsAdoLineEfficiencyDetails")]
</v>
      </c>
      <c r="D7" s="11"/>
      <c r="E7" s="11"/>
      <c r="F7" s="11"/>
      <c r="G7" s="11"/>
      <c r="H7" s="11"/>
      <c r="I7" s="11"/>
      <c r="J7" s="6" t="str">
        <f ca="1">SUBSTITUTE(SUBSTITUTE((B1&amp;C6&amp;C7&amp;K17&amp;D6&amp;I17&amp;E3&amp;J17&amp;""&amp;REPT(CHAR(9),1)&amp;D3&amp;D3),"WorkingPattern",$Q$3),"Master",$B$4)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[Table("PtsAdoLineEfficiencyDetails")]
	[Index(nameof(Line), Name="IX_PtsAdoLineEfficiencyDetails_Line")]
	[Index(nameof(VolActual), Name="IX_PtsAdoLineEfficiencyDetails_VolActual")]
	[Index(nameof(LineStopTime), Name="IX_PtsAdoLineEfficiencyDetails_LineStopTime")]
	public class PtsAdoLineEfficiencyDetails: FullAuditedEntity&lt;long&gt;, IEntity&lt;long&gt;	
	{
		public const int MaxLineLength = 5;
		public const int MaxShiftLength = 40;
		public const int MaxStatusLength = 1;
		[StringLength(MaxLineLength)]
		public virtual string Line { get; set; }
		public virtual int VolActual { get; set; }
		public virtual int LineStopTime { get; set; }
		public virtual decimal LineEfficiency { get; set; }
		public virtual DateTime WorkingDate { get; set; }
		[StringLength(MaxShiftLength)]
		public virtual string Shift { get; set; }
		[StringLength(MaxStatusLength)]
		public virtual string Status { get; set; }
	}
}
</v>
      </c>
      <c r="K7" t="str">
        <f>SUBSTITUTE(SUBSTITUTE(("public virtual DbSet&lt;"&amp;B3&amp;"&gt; "&amp;B3&amp;"s { get; set; }"),"WorkingPattern",$Q$3),"Master",$B$4)</f>
        <v>public virtual DbSet&lt;PtsAdoLineEfficiencyDetails&gt; PtsAdoLineEfficiencyDetailss { get; set; }</v>
      </c>
      <c r="L7" t="str">
        <f ca="1">SUBSTITUTE(SUBSTITUTE((C6&amp;E6&amp;I17&amp;"
"&amp;REPT(CHAR(9),2)&amp;"// Define Store Name: Format SP_ + &lt;Store Name&gt; = &lt;Store Name&gt;
"&amp;E3&amp;REPT(CHAR(9),1)&amp;D3&amp;D3),"WorkingPattern",$Q$3),"Master",$B$4)</f>
        <v xml:space="preserve">namespace vovina.Painting.Andon
{
	public class PtsAdoLineEfficiencyDetailsConsts	
	{
		public const int MaxLineLength = 5;
		public const int MaxShiftLength = 40;
		public const int MaxStatusLength = 1;
		// Define Store Name: Format SP_ + &lt;Store Name&gt; = &lt;Store Name&gt;
	}
}
</v>
      </c>
      <c r="M7" t="str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 xml:space="preserve">using Abp.Application.Services.Dto;
using System;
using System.ComponentModel.DataAnnotations;
namespace vovina.Painting.Andon.Dto
{
	public class PtsAdoLineEfficiencyDetailsDto : EntityDto&lt;long?&gt;	
	{
		public virtual string Line { get; set; }
		public virtual int VolActual { get; set; }
		public virtual int LineStopTime { get; set; }
		public virtual decimal LineEfficiency { get; set; }
		public virtual DateTime? WorkingDate { get; set; }
		public virtual string Shift { get; set; }
		public virtual string Status { get; set; }
	}
	public class CreateOrEditPtsAdoLineEfficiencyDetailsDto : EntityDto&lt;long?&gt;	
	{
		[StringLength(PtsAdoLineEfficiencyDetailsConsts.MaxLineLength)]
		public virtual string Line { get; set; }
		public virtual int VolActual { get; set; }
		public virtual int LineStopTime { get; set; }
		public virtual decimal LineEfficiency { get; set; }
		public virtual DateTime? WorkingDate { get; set; }
		[StringLength(PtsAdoLineEfficiencyDetailsConsts.MaxShiftLength)]
		public virtual string Shift { get; set; }
		[StringLength(PtsAdoLineEfficiencyDetailsConsts.MaxStatusLength)]
		public virtual string Status { get; set; }
	}
	public class GetPtsAdoLineEfficiencyDetailsInput : PagedAndSortedResultRequestDto	
	{
		public virtual string Line { get; set; }
		public virtual int VolActual { get; set; }
		public virtual int LineStopTime { get; set; }
		public virtual DateTime? WorkingDate { get; set; }
		public virtual string Shift { get; set; }
		public virtual string Status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perPtsAdoLineEfficiencyDetails = PARENTS.CreateChildPermission(AppPermissions.Pages_Painting_Andon_LineEfficiencyDetails, L( "PaintingAndonLineEfficiencyDetails"));
		perPtsAdoLineEfficiencyDetails.CreateChildPermission(AppPermissions.Pages_Painting_Andon_LineEfficiencyDetails_CreateEdit, L( "PaintingAndonLineEfficiencyDetailsCreateEdit"));
		perPtsAdoLineEfficiencyDetails.CreateChildPermission(AppPermissions.Pages_Painting_Andon_LineEfficiencyDetails_Delete, L( "PaintingAndonLineEfficiencyDetailsDelete"));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Pages_Painting_Andon_LineEfficiencyDetails = "Pages.Painting.Andon.LineEfficiencyDetails";
		public const string Pages_Painting_Andon_LineEfficiencyDetails_CreateEdit = "Pages.Painting.Andon.LineEfficiencyDetails.CreateEdit";
		public const string Pages_Painting_Andon_LineEfficiencyDetails_Delete = "Pages.Painting.Andon.LineEfficiencyDetails.Delete";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
{
	public interface IPtsAdoLineEfficiencyDetailsAppService : IApplicationService
	{
		Task&lt;PagedResultDto&lt;PtsAdoLineEfficiencyDetailsDto&gt;&gt; GetAll(GetPtsAdoLineEfficiencyDetailsInput input);
		Task CreateOrEdit(CreateOrEditPtsAdoLineEfficiencyDetailsDto input);
		Task Delete(EntityDto input);
	}
}
</v>
      </c>
      <c r="Q7" t="str">
        <f ca="1">SUBSTITUTE(SUBSTITUTE(SUBSTITUTE(SUBSTITUTE(SUBSTITUTE(SUBSTITUTE(E1,"MstWptCalendar",$B$3),"&lt;PROPERTIES&gt;",P17),"Calendar",$B$5),"WorkingPattern",$Q$3),"Master",$B$4),"&lt;PARAMS_SEARCH&gt;",$W$17)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[AbpAuthorize(AppPermissions.Pages_Painting_Andon_LineEfficiencyDetails)]
    public class PtsAdoLineEfficiencyDetailsAppService : vovinaAppServiceBase, IPtsAdoLineEfficiencyDetailsAppService
    {
        private readonly IDapperRepository&lt;PtsAdoLineEfficiencyDetails, long&gt; _dapperRepo;
        private readonly IRepository&lt;PtsAdoLineEfficiencyDetails, long&gt; _repo;
        private readonly IPtsAdoLineEfficiencyDetailsExcelExporter _calendarListExcelExporter;
        public PtsAdoLineEfficiencyDetailsAppService(IRepository&lt;PtsAdoLineEfficiencyDetails,long&gt; repo, 
                                         IDapperRepository&lt;PtsAdoLineEfficiencyDetails,long&gt; dapperRepo,
                                        IPtsAdoLineEfficiencyDetailsExcelExporter calendarListExcelExporter
            )
        {
            _repo = repo;
            _dapperRepo = dapperRepo;
            _calendarListExcelExporter = calendarListExcelExporter;
        }
        [AbpAuthorize(AppPermissions.Pages_Painting_Andon_LineEfficiencyDetails_CreateEdit)]
        public async Task CreateOrEdit(CreateOrEditPtsAdoLineEfficiencyDetailsDto input)
        {
            if (input.Id == null) await Create(input);
            else await Update(input);
        }
        //CREATE
        private async Task Create(CreateOrEditPtsAdoLineEfficiencyDetailsDto input)
        {          
            var mainObj = ObjectMapper.Map&lt;PtsAdoLineEfficiencyDetails&gt;(input);
            await CurrentUnitOfWork.GetDbContext&lt;vovinaDbContext&gt;().AddAsync(mainObj);
        }
        // EDIT
        private async Task Update(CreateOrEditPtsAdoLineEfficiencyDetailsDto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[AbpAuthorize(AppPermissions.Pages_Painting_Andon_LineEfficiencyDetails_Delete)]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Task&lt;PagedResultDto&lt;PtsAdoLineEfficiencyDetailsDto&gt;&gt; GetAll(GetPtsAdoLineEfficiencyDetailsInput input)
        {
            var filtered = _repo.GetAll()
				.WhereIf(!string.IsNullOrWhiteSpace(input.Line), e =&gt; e.Line.Contains(input.Line))
				.WhereIf(input.WorkingDate.HasValue, t =&gt; t.WorkingDate == input.WorkingDate.Value)
				.WhereIf(!string.IsNullOrWhiteSpace(input.Shift), e =&gt; e.Shift.Contains(input.Shift))
				.WhereIf(!string.IsNullOrWhiteSpace(input.Status), e =&gt; e.Status.Contains(input.Status))                   
				;
            var pageAndFiltered = filtered.OrderBy(s =&gt; s.Id);
            var system = from o in pageAndFiltered
                         select new PtsAdoLineEfficiencyDetailsDto
                        {
							Id = o.Id,
							Line = o.Line,
							VolActual = o.VolActual,
							LineStopTime = o.LineStopTime,
							LineEfficiency = o.LineEfficiency,
							WorkingDate = o.WorkingDate,
							Shift = o.Shift,
							Status = o.Status,
                        };
            var totalCount = await filtered.CountAsync();
			var paged = system.PageBy(input);
            return new PagedResultDto&lt;PtsAdoLineEfficiencyDetailsDto&gt;(
                totalCount,
                 await paged.ToListAsync()
            );
        }
        public async Task&lt;FileDto&gt; GetLineEfficiencyDetailsToExcel(PtsAdoLineEfficiencyDetailsExportInput input)
        {
            var query = from o in _repo.GetAll()
                        select new PtsAdoLineEfficiencyDetailsDto
                        {
							Id = o.Id,
							Line = o.Line,
							VolActual = o.VolActual,
							LineStopTime = o.LineStopTime,
							LineEfficiency = o.LineEfficiency,
							WorkingDate = o.WorkingDate,
							Shift = o.Shift,
							Status = o.Status,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_dapperRepo.ExecuteAsync(PtsAdoLineEfficiencyDetailsConsts.SP_MST_WPT_CALENDAR_GENERATE);
       // }
    }
}</v>
      </c>
      <c r="R7" t="str">
        <f ca="1">SUBSTITUTE(SUBSTITUTE((C1&amp;"namespace "&amp;B6&amp;".Dto"&amp;E3&amp;C3&amp;R3&amp;M17&amp;E3&amp;REPT(CHAR(9),1)&amp;D3&amp;D3),"WorkingPattern",$Q$3),"Master",$B$4)</f>
        <v xml:space="preserve">using Abp.Application.Services.Dto;
using System;
using System.ComponentModel.DataAnnotations;
namespace vovina.Painting.Andon.Dto
{
	public class PtsAdoLineEfficiencyDetailsExportInput{
		public virtual string Line { get; set; }
		public virtual int VolActual { get; set; }
		public virtual int LineStopTime { get; set; }
		public virtual decimal LineEfficiency { get; set; }
		public virtual DateTime? WorkingDate { get; set; }
		public virtual string Shift { get; set; }
		public virtual string Status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IPtsAdoLineEfficiencyDetailsExcelExporter : IApplicationService
	{
		FileDto ExportToFile(List&lt;PtsAdoLineEfficiencyDetailsDto&gt; ptsadolineefficiencydetails);
	}
}
</v>
      </c>
      <c r="T7" s="28" t="str">
        <f ca="1">SUBSTITUTE(SUBSTITUTE(SUBSTITUTE(SUBSTITUTE(SUBSTITUTE(SUBSTITUTE(SUBSTITUTE(T1,"MstWptCalendar",$B$3),"&lt;PROPERTIES1&gt;",V17),"&lt;PROPERTIES&gt;",T17),"Calendar",$B$5),"calendar",LOWER(B5)),"WorkingPattern",$Q$3),"Master",$B$4)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PtsAdoLineEfficiencyDetailsExcelExporter : NpoiExcelExporterBase, IPtsAdoLineEfficiencyDetailsExcelExporter
    {
        public PtsAdoLineEfficiencyDetailsExcelExporter(ITempFileCacheManager tempFileCacheManager) : base(tempFileCacheManager) { }
        public FileDto ExportToFile(List&lt;PtsAdoLineEfficiencyDetailsDto&gt; lineefficiencydetails)
        {
            return CreateExcelPackage(
				"PaintingAndonLineEfficiencyDetails.xlsx",
				excelPackage =&gt;
				 {
					var sheet = excelPackage.CreateSheet("LineEfficiencyDetails");
					AddHeader(
								sheet,
								("Line"),
								("VolActual"),
								("LineStopTime"),
								("LineEfficiency"),
								("WorkingDate"),
								("Shift"),
								("Status"),
							   );
					AddObjects(
						 sheet, 1, lineefficiencydetails,                                       
								_ =&gt; _.Line,
								_ =&gt; _.VolActual,
								_ =&gt; _.LineStopTime,
								_ =&gt; _.LineEfficiency,
								_ =&gt; _.WorkingDate,
								_ =&gt; _.Shift,
								_ =&gt; _.Status,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configuration.CreateMap&lt;PtsAdoLineEfficiencyDetailsDto, PtsAdoLineEfficiencyDetails&gt;();
  configuration.CreateMap&lt;PtsAdoLineEfficiencyDetails, PtsAdoLineEfficiencyDetailsDto&gt;();
  configuration.CreateMap&lt;CreateOrEditPtsAdoLineEfficiencyDetailsDto, PtsAdoLineEfficiencyDetails&gt;();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271</v>
      </c>
      <c r="B9" t="s">
        <v>272</v>
      </c>
      <c r="C9" t="s">
        <v>1</v>
      </c>
      <c r="D9" t="str">
        <f>SUBSTITUTE(PROPER(A9),"_","")</f>
        <v>Line</v>
      </c>
      <c r="E9" t="str">
        <f t="shared" ref="E9:E15" si="0">IFERROR(LEFT(B9, FIND("(",B9)-1),B9)</f>
        <v>varchar</v>
      </c>
      <c r="F9" s="7"/>
      <c r="G9" t="str">
        <f t="shared" ref="G9:G15" si="1">IFERROR(MID(B9,FIND("(",B9) +1, FIND(")",B9) - FIND("(",B9) - 1),"")</f>
        <v>5</v>
      </c>
      <c r="H9" t="str">
        <f>+VLOOKUP(E9,'Data Type Mapping'!A:B,2,)</f>
        <v>string</v>
      </c>
      <c r="I9" t="str">
        <f t="shared" ref="I9:I15" si="2">IF(H9="string",REPT(CHAR(9),2)&amp;"public const int Max"&amp;D9&amp;"Length = "&amp;G9&amp;";"&amp;$E$3,"" )</f>
        <v xml:space="preserve">		public const int MaxLineLength = 5;
</v>
      </c>
      <c r="J9" t="str">
        <f t="shared" ref="J9:J15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[StringLength(MaxLineLength)]
		public virtual string Line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[Index(nameof(Line), Name="IX_PtsAdoLineEfficiencyDetails_Line")]</v>
      </c>
      <c r="M9" t="str">
        <f>REPT(CHAR(9),2)&amp;"public virtual "&amp;IF(OR(H9="DateTime",H9="TimeSpan"),H9&amp;"?",H9)&amp;IF(C9="?","? "," ")&amp;D9&amp;" { get; set; }" &amp; "
"</f>
        <v xml:space="preserve">		public virtual string Line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[StringLength(PtsAdoLineEfficiencyDetailsConsts.MaxLineLength)]
		public virtual string Line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Line { get; set; }
</v>
      </c>
      <c r="P9" t="str">
        <f t="shared" ref="P9:P15" si="4">REPT(CHAR(9),7)&amp;D9&amp;" = o." &amp;D9 &amp;","</f>
        <v xml:space="preserve">							Line = o.Line,</v>
      </c>
      <c r="T9" s="69" t="str">
        <f>REPT(CHAR(9),8)&amp;"("""&amp;D9&amp;"""),"</f>
        <v xml:space="preserve">								("Line"),</v>
      </c>
      <c r="V9" s="70" t="str">
        <f>REPT(CHAR(9),8)&amp;"_ =&gt; _."&amp;D9&amp;","</f>
        <v xml:space="preserve">								_ =&gt; _.Line,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.WhereIf(!string.IsNullOrWhiteSpace(input.Line), e =&gt; e.Line.Contains(input.Line))</v>
      </c>
    </row>
    <row r="10" spans="1:23" customFormat="1" ht="21" customHeight="1" x14ac:dyDescent="0.25">
      <c r="A10" t="s">
        <v>275</v>
      </c>
      <c r="B10" t="s">
        <v>4</v>
      </c>
      <c r="C10" t="s">
        <v>1</v>
      </c>
      <c r="D10" t="str">
        <f t="shared" ref="D10:D11" si="5">SUBSTITUTE(PROPER(A10),"_","")</f>
        <v>VolActual</v>
      </c>
      <c r="E10" t="str">
        <f t="shared" si="0"/>
        <v>int</v>
      </c>
      <c r="F10" s="7"/>
      <c r="G10" t="str">
        <f t="shared" si="1"/>
        <v/>
      </c>
      <c r="H10" t="str">
        <f>+VLOOKUP(E10,'Data Type Mapping'!A:B,2,)</f>
        <v>int</v>
      </c>
      <c r="I10" t="str">
        <f t="shared" si="2"/>
        <v/>
      </c>
      <c r="J10" t="str">
        <f t="shared" si="3"/>
        <v xml:space="preserve">		public virtual int VolActual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[Index(nameof(VolActual), Name="IX_PtsAdoLineEfficiencyDetails_VolActual")]</v>
      </c>
      <c r="M10" t="str">
        <f t="shared" ref="M10:M15" si="7">REPT(CHAR(9),2)&amp;"public virtual "&amp;IF(OR(H10="DateTime",H10="TimeSpan"),H10&amp;"?",H10)&amp;IF(C10="?","? "," ")&amp;D10&amp;" { get; set; }" &amp; "
"</f>
        <v xml:space="preserve">		public virtual int VolActual { get; set; }
</v>
      </c>
      <c r="N10" t="str">
        <f t="shared" ref="N10:N15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int VolActual { get; set; }
</v>
      </c>
      <c r="O10" t="str">
        <f t="shared" ref="O10:O15" si="9">IF(OR(H10="string",H10="DateTime",H10="int"),REPT(CHAR(9),2)&amp;"public virtual "&amp;IF(OR(H10="DateTime",H10="TimeSpan"),H10&amp;"?",H10)&amp;IF(C10="?","? "," ")&amp;D10&amp;" { get; set; }"&amp;$E$3,"")</f>
        <v xml:space="preserve">		public virtual int VolActual { get; set; }
</v>
      </c>
      <c r="P10" t="str">
        <f t="shared" si="4"/>
        <v xml:space="preserve">							VolActual = o.VolActual,</v>
      </c>
      <c r="T10" s="69" t="str">
        <f t="shared" ref="T10:T15" si="10">REPT(CHAR(9),8)&amp;"("""&amp;D10&amp;"""),"</f>
        <v xml:space="preserve">								("VolActual"),</v>
      </c>
      <c r="V10" s="70" t="str">
        <f t="shared" ref="V10:V15" si="11">REPT(CHAR(9),8)&amp;"_ =&gt; _."&amp;D10&amp;","</f>
        <v xml:space="preserve">								_ =&gt; _.VolActual,</v>
      </c>
      <c r="W10" s="69" t="str">
        <f t="shared" ref="W10:W15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25">
      <c r="A11" t="s">
        <v>279</v>
      </c>
      <c r="B11" t="s">
        <v>4</v>
      </c>
      <c r="C11" t="s">
        <v>1</v>
      </c>
      <c r="D11" t="str">
        <f t="shared" si="5"/>
        <v>LineStopTime</v>
      </c>
      <c r="E11" t="str">
        <f t="shared" si="0"/>
        <v>int</v>
      </c>
      <c r="F11" s="7"/>
      <c r="G11" t="str">
        <f t="shared" si="1"/>
        <v/>
      </c>
      <c r="H11" t="str">
        <f>+VLOOKUP(E11,'Data Type Mapping'!A:B,2,)</f>
        <v>int</v>
      </c>
      <c r="I11" t="str">
        <f t="shared" si="2"/>
        <v/>
      </c>
      <c r="J11" t="str">
        <f t="shared" si="3"/>
        <v xml:space="preserve">		public virtual int LineStopTime { get; set; }
</v>
      </c>
      <c r="K11" s="7" t="s">
        <v>206</v>
      </c>
      <c r="L11" t="str">
        <f t="shared" si="6"/>
        <v xml:space="preserve">	[Index(nameof(LineStopTime), Name="IX_PtsAdoLineEfficiencyDetails_LineStopTime")]</v>
      </c>
      <c r="M11" t="str">
        <f t="shared" si="7"/>
        <v xml:space="preserve">		public virtual int LineStopTime { get; set; }
</v>
      </c>
      <c r="N11" t="str">
        <f t="shared" si="8"/>
        <v xml:space="preserve">		public virtual int LineStopTime { get; set; }
</v>
      </c>
      <c r="O11" t="str">
        <f t="shared" si="9"/>
        <v xml:space="preserve">		public virtual int LineStopTime { get; set; }
</v>
      </c>
      <c r="P11" t="str">
        <f t="shared" si="4"/>
        <v xml:space="preserve">							LineStopTime = o.LineStopTime,</v>
      </c>
      <c r="T11" s="69" t="str">
        <f t="shared" si="10"/>
        <v xml:space="preserve">								("LineStopTime"),</v>
      </c>
      <c r="V11" s="70" t="str">
        <f t="shared" si="11"/>
        <v xml:space="preserve">								_ =&gt; _.LineStopTime,</v>
      </c>
      <c r="W11" s="69" t="str">
        <f t="shared" si="12"/>
        <v/>
      </c>
    </row>
    <row r="12" spans="1:23" customFormat="1" ht="22.5" customHeight="1" x14ac:dyDescent="0.25">
      <c r="A12" t="s">
        <v>280</v>
      </c>
      <c r="B12" t="s">
        <v>281</v>
      </c>
      <c r="C12" t="s">
        <v>1</v>
      </c>
      <c r="D12" t="str">
        <f>SUBSTITUTE(PROPER(A12),"_","")</f>
        <v>LineEfficiency</v>
      </c>
      <c r="E12" t="str">
        <f t="shared" si="0"/>
        <v>decimal</v>
      </c>
      <c r="F12" s="7"/>
      <c r="G12" t="str">
        <f t="shared" si="1"/>
        <v>5, 2</v>
      </c>
      <c r="H12" t="str">
        <f>+VLOOKUP(E12,'Data Type Mapping'!A:B,2,)</f>
        <v>decimal</v>
      </c>
      <c r="I12" t="str">
        <f t="shared" si="2"/>
        <v/>
      </c>
      <c r="J12" t="str">
        <f t="shared" si="3"/>
        <v xml:space="preserve">		public virtual decimal LineEfficiency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decimal LineEfficiency { get; set; }
</v>
      </c>
      <c r="N12" t="str">
        <f t="shared" si="8"/>
        <v xml:space="preserve">		public virtual decimal LineEfficiency { get; set; }
</v>
      </c>
      <c r="O12" t="str">
        <f t="shared" si="9"/>
        <v/>
      </c>
      <c r="P12" t="str">
        <f t="shared" si="4"/>
        <v xml:space="preserve">							LineEfficiency = o.LineEfficiency,</v>
      </c>
      <c r="T12" s="69" t="str">
        <f t="shared" si="10"/>
        <v xml:space="preserve">								("LineEfficiency"),</v>
      </c>
      <c r="V12" s="70" t="str">
        <f t="shared" si="11"/>
        <v xml:space="preserve">								_ =&gt; _.LineEfficiency,</v>
      </c>
      <c r="W12" s="69" t="str">
        <f t="shared" si="12"/>
        <v/>
      </c>
    </row>
    <row r="13" spans="1:23" customFormat="1" ht="21" customHeight="1" x14ac:dyDescent="0.25">
      <c r="A13" t="s">
        <v>274</v>
      </c>
      <c r="B13" t="s">
        <v>2</v>
      </c>
      <c r="C13" t="s">
        <v>1</v>
      </c>
      <c r="D13" t="str">
        <f t="shared" ref="D13:D15" si="13">SUBSTITUTE(PROPER(A13),"_","")</f>
        <v>WorkingDate</v>
      </c>
      <c r="E13" t="str">
        <f t="shared" si="0"/>
        <v>date</v>
      </c>
      <c r="F13" s="7"/>
      <c r="G13" t="str">
        <f t="shared" si="1"/>
        <v/>
      </c>
      <c r="H13" t="str">
        <f>+VLOOKUP(E13,'Data Type Mapping'!A:B,2,)</f>
        <v>DateTime</v>
      </c>
      <c r="I13" t="str">
        <f t="shared" si="2"/>
        <v/>
      </c>
      <c r="J13" t="str">
        <f t="shared" si="3"/>
        <v xml:space="preserve">		public virtual DateTime WorkingDate { get; set; }
</v>
      </c>
      <c r="K13" s="7"/>
      <c r="L13" t="str">
        <f t="shared" ref="L13:L15" si="14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DateTime? WorkingDate { get; set; }
</v>
      </c>
      <c r="N13" t="str">
        <f t="shared" si="8"/>
        <v xml:space="preserve">		public virtual DateTime? WorkingDate { get; set; }
</v>
      </c>
      <c r="O13" t="str">
        <f t="shared" si="9"/>
        <v xml:space="preserve">		public virtual DateTime? WorkingDate { get; set; }
</v>
      </c>
      <c r="P13" t="str">
        <f t="shared" si="4"/>
        <v xml:space="preserve">							WorkingDate = o.WorkingDate,</v>
      </c>
      <c r="T13" s="69" t="str">
        <f t="shared" si="10"/>
        <v xml:space="preserve">								("WorkingDate"),</v>
      </c>
      <c r="V13" s="70" t="str">
        <f t="shared" si="11"/>
        <v xml:space="preserve">								_ =&gt; _.WorkingDate,</v>
      </c>
      <c r="W13" s="69" t="str">
        <f t="shared" si="12"/>
        <v xml:space="preserve">				.WhereIf(input.WorkingDate.HasValue, t =&gt; t.WorkingDate == input.WorkingDate.Value)</v>
      </c>
    </row>
    <row r="14" spans="1:23" customFormat="1" ht="21" customHeight="1" x14ac:dyDescent="0.25">
      <c r="A14" t="s">
        <v>273</v>
      </c>
      <c r="B14" t="s">
        <v>282</v>
      </c>
      <c r="C14" t="s">
        <v>1</v>
      </c>
      <c r="D14" t="str">
        <f t="shared" si="13"/>
        <v>Shift</v>
      </c>
      <c r="E14" t="str">
        <f t="shared" si="0"/>
        <v>varchar</v>
      </c>
      <c r="F14" s="7"/>
      <c r="G14" t="str">
        <f t="shared" si="1"/>
        <v>40</v>
      </c>
      <c r="H14" t="str">
        <f>+VLOOKUP(E14,'Data Type Mapping'!A:B,2,)</f>
        <v>string</v>
      </c>
      <c r="I14" t="str">
        <f t="shared" si="2"/>
        <v xml:space="preserve">		public const int MaxShiftLength = 40;
</v>
      </c>
      <c r="J14" t="str">
        <f t="shared" si="3"/>
        <v xml:space="preserve">		[StringLength(MaxShiftLength)]
		public virtual string Shift { get; set; }
</v>
      </c>
      <c r="K14" s="7"/>
      <c r="L14" t="str">
        <f t="shared" si="14"/>
        <v/>
      </c>
      <c r="M14" t="str">
        <f t="shared" si="7"/>
        <v xml:space="preserve">		public virtual string Shift { get; set; }
</v>
      </c>
      <c r="N14" t="str">
        <f t="shared" si="8"/>
        <v xml:space="preserve">		[StringLength(PtsAdoLineEfficiencyDetailsConsts.MaxShiftLength)]
		public virtual string Shift { get; set; }
</v>
      </c>
      <c r="O14" t="str">
        <f t="shared" si="9"/>
        <v xml:space="preserve">		public virtual string Shift { get; set; }
</v>
      </c>
      <c r="P14" t="str">
        <f t="shared" si="4"/>
        <v xml:space="preserve">							Shift = o.Shift,</v>
      </c>
      <c r="T14" s="69" t="str">
        <f t="shared" si="10"/>
        <v xml:space="preserve">								("Shift"),</v>
      </c>
      <c r="V14" s="70" t="str">
        <f t="shared" si="11"/>
        <v xml:space="preserve">								_ =&gt; _.Shift,</v>
      </c>
      <c r="W14" s="69" t="str">
        <f t="shared" si="12"/>
        <v xml:space="preserve">				.WhereIf(!string.IsNullOrWhiteSpace(input.Shift), e =&gt; e.Shift.Contains(input.Shift))</v>
      </c>
    </row>
    <row r="15" spans="1:23" customFormat="1" ht="18.75" customHeight="1" x14ac:dyDescent="0.25">
      <c r="A15" t="s">
        <v>283</v>
      </c>
      <c r="B15" t="s">
        <v>269</v>
      </c>
      <c r="C15" t="s">
        <v>1</v>
      </c>
      <c r="D15" t="str">
        <f t="shared" si="13"/>
        <v>Status</v>
      </c>
      <c r="E15" t="str">
        <f t="shared" si="0"/>
        <v>varchar</v>
      </c>
      <c r="F15" s="7"/>
      <c r="G15" t="str">
        <f t="shared" si="1"/>
        <v>1</v>
      </c>
      <c r="H15" t="str">
        <f>+VLOOKUP(E15,'Data Type Mapping'!A:B,2,)</f>
        <v>string</v>
      </c>
      <c r="I15" t="str">
        <f t="shared" si="2"/>
        <v xml:space="preserve">		public const int MaxStatusLength = 1;
</v>
      </c>
      <c r="J15" t="str">
        <f t="shared" si="3"/>
        <v xml:space="preserve">		[StringLength(MaxStatusLength)]
		public virtual string Status { get; set; }
</v>
      </c>
      <c r="K15" s="7"/>
      <c r="L15" t="str">
        <f t="shared" si="14"/>
        <v/>
      </c>
      <c r="M15" t="str">
        <f t="shared" si="7"/>
        <v xml:space="preserve">		public virtual string Status { get; set; }
</v>
      </c>
      <c r="N15" t="str">
        <f t="shared" si="8"/>
        <v xml:space="preserve">		[StringLength(PtsAdoLineEfficiencyDetailsConsts.MaxStatusLength)]
		public virtual string Status { get; set; }
</v>
      </c>
      <c r="O15" t="str">
        <f t="shared" si="9"/>
        <v xml:space="preserve">		public virtual string Status { get; set; }
</v>
      </c>
      <c r="P15" t="str">
        <f t="shared" si="4"/>
        <v xml:space="preserve">							Status = o.Status,</v>
      </c>
      <c r="T15" s="69" t="str">
        <f t="shared" si="10"/>
        <v xml:space="preserve">								("Status"),</v>
      </c>
      <c r="V15" s="70" t="str">
        <f t="shared" si="11"/>
        <v xml:space="preserve">								_ =&gt; _.Status,</v>
      </c>
      <c r="W15" s="69" t="str">
        <f t="shared" si="12"/>
        <v xml:space="preserve">				.WhereIf(!string.IsNullOrWhiteSpace(input.Status), e =&gt; e.Status.Contains(input.Status))</v>
      </c>
    </row>
    <row r="17" spans="8:23" ht="45.75" customHeight="1" x14ac:dyDescent="0.25">
      <c r="H17" s="12"/>
      <c r="I17" s="34" t="str">
        <f ca="1">TEXTJOIN2("
", TRUE,INDIRECT( $H$1):INDIRECT( $H$3))</f>
        <v xml:space="preserve">		public const int MaxLineLength = 5;
		public const int MaxShiftLength = 40;
		public const int MaxStatusLength = 1;
</v>
      </c>
      <c r="J17" s="33" t="str">
        <f ca="1">TEXTJOIN2("
", TRUE,INDIRECT( $F$1):INDIRECT( $F$3))</f>
        <v xml:space="preserve">		[StringLength(MaxLineLength)]
		public virtual string Line { get; set; }
		public virtual int VolActual { get; set; }
		public virtual int LineStopTime { get; set; }
		public virtual decimal LineEfficiency { get; set; }
		public virtual DateTime WorkingDate { get; set; }
		[StringLength(MaxShiftLength)]
		public virtual string Shift { get; set; }
		[StringLength(MaxStatusLength)]
		public virtual string Status { get; set; }
</v>
      </c>
      <c r="K17" s="35" t="str">
        <f ca="1">TEXTJOIN2("
", TRUE,INDIRECT( $J$1):INDIRECT( $J$3))</f>
        <v xml:space="preserve">	[Index(nameof(Line), Name="IX_PtsAdoLineEfficiencyDetails_Line")]
	[Index(nameof(VolActual), Name="IX_PtsAdoLineEfficiencyDetails_VolActual")]
	[Index(nameof(LineStopTime), Name="IX_PtsAdoLineEfficiencyDetails_LineStopTime")]
</v>
      </c>
      <c r="L17" s="13" t="s">
        <v>60</v>
      </c>
      <c r="M17" s="36" t="str">
        <f ca="1">TEXTJOIN2("
",TRUE,INDIRECT( $L$1):INDIRECT($L$3))</f>
        <v xml:space="preserve">		public virtual string Line { get; set; }
		public virtual int VolActual { get; set; }
		public virtual int LineStopTime { get; set; }
		public virtual decimal LineEfficiency { get; set; }
		public virtual DateTime? WorkingDate { get; set; }
		public virtual string Shift { get; set; }
		public virtual string Status { get; set; }
</v>
      </c>
      <c r="N17" s="33" t="str">
        <f ca="1">TEXTJOIN2("
",TRUE,INDIRECT( $M$1):INDIRECT($M$3))</f>
        <v xml:space="preserve">		[StringLength(PtsAdoLineEfficiencyDetailsConsts.MaxLineLength)]
		public virtual string Line { get; set; }
		public virtual int VolActual { get; set; }
		public virtual int LineStopTime { get; set; }
		public virtual decimal LineEfficiency { get; set; }
		public virtual DateTime? WorkingDate { get; set; }
		[StringLength(PtsAdoLineEfficiencyDetailsConsts.MaxShiftLength)]
		public virtual string Shift { get; set; }
		[StringLength(PtsAdoLineEfficiencyDetailsConsts.MaxStatusLength)]
		public virtual string Status { get; set; }
</v>
      </c>
      <c r="O17" s="33" t="str">
        <f ca="1">TEXTJOIN2("
",TRUE,INDIRECT( $N$1):INDIRECT($N$3))</f>
        <v xml:space="preserve">		public virtual string Line { get; set; }
		public virtual int VolActual { get; set; }
		public virtual int LineStopTime { get; set; }
		public virtual DateTime? WorkingDate { get; set; }
		public virtual string Shift { get; set; }
		public virtual string Status { get; set; }
</v>
      </c>
      <c r="P17" s="9" t="str">
        <f ca="1">TEXTJOIN2("
",TRUE,INDIRECT( $O$1):INDIRECT($O$3))</f>
        <v xml:space="preserve">							Line = o.Line,
							VolActual = o.VolActual,
							LineStopTime = o.LineStopTime,
							LineEfficiency = o.LineEfficiency,
							WorkingDate = o.WorkingDate,
							Shift = o.Shift,
							Status = o.Status,</v>
      </c>
      <c r="T17" s="9" t="str">
        <f ca="1">TEXTJOIN2("
",TRUE,INDIRECT( $T$2):INDIRECT($T$3))</f>
        <v xml:space="preserve">								("Line"),
								("VolActual"),
								("LineStopTime"),
								("LineEfficiency"),
								("WorkingDate"),
								("Shift"),
								("Status"),</v>
      </c>
      <c r="V17" s="9" t="str">
        <f ca="1">TEXTJOIN2("
",TRUE,INDIRECT( $V$2):INDIRECT($V$3))</f>
        <v xml:space="preserve">								_ =&gt; _.Line,
								_ =&gt; _.VolActual,
								_ =&gt; _.LineStopTime,
								_ =&gt; _.LineEfficiency,
								_ =&gt; _.WorkingDate,
								_ =&gt; _.Shift,
								_ =&gt; _.Status,</v>
      </c>
      <c r="W17" s="9" t="str">
        <f ca="1">TEXTJOIN2("
",TRUE,INDIRECT( $W$2):INDIRECT($W$3))</f>
        <v xml:space="preserve">				.WhereIf(!string.IsNullOrWhiteSpace(input.Line), e =&gt; e.Line.Contains(input.Line))
				.WhereIf(input.WorkingDate.HasValue, t =&gt; t.WorkingDate == input.WorkingDate.Value)
				.WhereIf(!string.IsNullOrWhiteSpace(input.Shift), e =&gt; e.Shift.Contains(input.Shift))
				.WhereIf(!string.IsNullOrWhiteSpace(input.Status), e =&gt; e.Status.Contains(input.Status))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4"/>
  <sheetViews>
    <sheetView tabSelected="1" topLeftCell="G7" workbookViewId="0">
      <selection activeCell="H15" sqref="H1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2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276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Painting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painting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PtsAdoLineEfficiencyDetails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LineEfficiencyDetails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lineefficiencydetails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284</v>
      </c>
      <c r="I9" s="46" t="s">
        <v>285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PtsAdoLineEfficiencyDetailsDto, PtsAdoLineEfficiencyDetailsServiceProxy } from '@shared/service-proxies/service-proxies';
import { finalize } from 'rxjs/internal/operators/finalize';
import { CreateOrEditLineEfficiencyDetailsModalComponent } from './create-or-edit-lineefficiencydetails-modal.component';
import { DatePipe } from '@angular/common';
import { FileDownloadService } from '@shared/utils/file-download.service';
import ceil from 'lodash-es/ceil';
import { Paginator } from 'primeng/paginator';
@Component({
    templateUrl: './lineefficiencydetails.component.html',
    styleUrls: ['./lineefficiencydetails.component.less'],
})
export class LineEfficiencyDetailsComponent extends AppComponentBase implements OnInit {
    @ViewChild('createOrEditModalLineEfficiencyDetails', { static: true }) createOrEditModalLineEfficiencyDetails:| CreateOrEditLineEfficiencyDetailsModalComponent|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PtsAdoLineEfficiencyDetailsDto = new PtsAdoLineEfficiencyDetailsDto();
    saveSelectedRow: PtsAdoLineEfficiencyDetailsDto = new PtsAdoLineEfficiencyDetailsDto();
    datas: PtsAdoLineEfficiencyDetailsDto = new PtsAdoLineEfficiencyDetailsDto();
    isLoading: boolean = false;
    dataParams: GridParams | undefined;
    rowData: any[] = [];
    gridApi!: GridApi;
    rowSelection = 'multiple';
    filter: string = '';
	pipe = new DatePipe('en-US');
	frameworkComponents: FrameworkComponent;
    line : string = '' ; 
volActual : number = 0 ;
	lineStopTime : number = 0 ;
	lineEfficiency
	workingDate : any ;
	shift : string = '' ; 
status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PtsAdoLineEfficiencyDetailsServiceProxy,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this.l('Line'),headerTooltip: this.l('Line'),field: 'line',flex: 1},
			{headerName: this.l('Vol Actual'),headerTooltip: this.l('Vol Actual'),field: 'volActual',flex: 1},
			{headerName: this.l('Line Stop Time'),headerTooltip: this.l('Line Stop Time'),field: 'lineStopTime',flex: 1},
			{headerName: this.l('Line Efficiency'),headerTooltip: this.l('Line Efficiency'),field: 'lineEfficiency',flex: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this.l('Status'),headerTooltip: this.l('Status'),field:  'status', cellClass: ['text-center'], width: 120, cellRenderer: 'agCellButtonComponent',
buttonDefTwo: { text: params =&gt; (params.data?.'status' == 'Y') ? 'Active' : 'Inactive',iconName: 'fa fa-circle',className: params =&gt; (params.data?.'status'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this.line,
			this.volActual,
			this.lineStopTime,
			this.lineEfficiency,
			this.workingDate,
			this.shift,
			this.status,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this.line = '',
this.volActual = 0,
		this.lineStopTime = 0,
		this.lineEfficiency = '',
		this.workingDate = '',
		this.shift = '',
this.status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this.line,
			this.volActual,
			this.lineStopTime,
			this.lineEfficiency,
			this.workingDate,
			this.shift,
			this.status,
			'',
            this.paginationParams.skipCount,
            this.paginationParams.pageSize
        );
    }
    onChangeRowSelection(params: { api: { getSelectedRows: () =&gt; PtsAdoLineEfficiencyDetailsDto[] } }) {
        this.saveSelectedRow = params.api.getSelectedRows()[0] ?? new PtsAdoLineEfficiencyDetailsDto();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PtsAdoLineEfficiencyDetailsDto):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this._service.getLineEfficiencyDetailsToExcel(
			this.line,
			this.volActual,
			this.lineStopTime,
			this.lineEfficiency,
			this.workingDate,
			this.shift,
			this.status,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Line Efficiency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 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(click)="createOrEditModalLineEfficiencyDetails.show()"&gt;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(click)="createOrEditModalLineEfficiencyDetails.show(selectedRow)"&gt;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&lt;create-or-edit-lineefficiencydetails-modal
    #createOrEditModalLineEfficiencyDetails
    (modalSave)="callBackDataGrid(dataParams)"
    (modalClose)="onChangeRowSelection(dataParams)"
&gt;
&lt;/create-or-edit-lineefficiencydetails-modal&gt;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#createOrEditModalLineEfficiencyDetails="bs-modal"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LineEfficiencyDetails')}}&lt;/h3&gt;
                    &lt;h3 *ngIf="!rowdata.id"&gt;{{('Create New LineEfficiencyDetails')}}&lt;/h3&gt;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title'&gt;Vol Actual&lt;/label&gt;
						&lt;input type='number' class='col-md-10 form-control input-text' name='VolActual' [(ngModel)]='rowdata.volActual'&gt;
					&lt;/div&gt;
					&lt;div class='col-md-12 form-group row'&gt;
						&lt;label class='col-md-2 form-control title'&gt;Line Stop Time&lt;/label&gt;
						&lt;input type='number' class='col-md-10 form-control input-text' name='LineStopTime' [(ngModel)]='rowdata.lineStopTime'&gt;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title'&gt;Status&lt;/label&gt;
						&lt;new-checkbox [(ngModel)]='_status' name='status'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CreateOrEditPtsAdoLineEfficiencyDetailsDto, PtsAdoLineEfficiencyDetailsServiceProxy } from '@shared/service-proxies/service-proxies';
import { BsDatepickerDirective } from 'ngx-bootstrap/datepicker';
@Component({
    selector: 'create-or-edit-lineefficiencydetails-modal',
    templateUrl: './create-or-edit-lineefficiencydetails-modal.component.html',
    styleUrls: ['./create-or-edit-lineefficiencydetails-modal.component.less']
    })
export class CreateOrEditLineEfficiencyDetailsModalComponent extends AppComponentBase {
    @ViewChild('createOrEditModalLineEfficiencyDetails',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CreateOrEditPtsAdoLineEfficiencyDetailsDto = new CreateOrEditPtsAdoLineEfficiencyDetailsDto();
    active: boolean = false;
    saving: boolean = false;
    _status: boolean;
    constructor(
        injector: Injector,
        private _mstwptLineEfficiencyDetailsService: PtsAdoLineEfficiencyDetailsServiceProxy,
    ) 
    {
        super(injector);
    }
    show(rowdata?: CreateOrEditPtsAdoLineEfficiencyDetailsDto): void {
        if (!rowdata) this.rowdata = new CreateOrEditPtsAdoLineEfficiencyDetailsDto();
        else this.rowdata = rowdata;
		const dateValue =  this.rowdata.workingDate ? new Date(this.rowdata.workingDate?.toString()) : new Date();
		this.datepicker?.bsValueChange.emit(dateValue);
        this._status = (this.rowdata.status == "N")? false: true;
        this.active = true;
        this.modal.show();
    } 
    changeActive(event){
        this._status = event.target.checked;
    }
    save(): void {
    this.saving = true; 
    this.rowdata.status = (this._status == true) ? 'Y' : 'N'
    this._mstwptLineEfficiencyDetailsService.createOrEdit(this.rowdata)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LineEfficiencyDetailsRoutingModule } from './lineefficiencydetails-routing.module';
import { LineEfficiencyDetailsComponent } from './lineefficiencydetails.component';
import { CreateOrEditLineEfficiencyDetailsModalComponent } from './create-or-edit-lineefficiencydetails-modal.component';
@NgModule({
    declarations: [
       LineEfficiencyDetailsComponent, 
        CreateOrEditLineEfficiencyDetailsModalComponent
    ],
    imports: [
        AppSharedModule, LineEfficiencyDetailsRoutingModule]
})
export class LineEfficiencyDetailsModule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LineEfficiencyDetailsComponent } from './lineefficiencydetails.component';
const routes: Routes = [{
    path: '',
    component: LineEfficiencyDetailsComponent,
    pathMatch: 'full'
}];
@NgModule({
    imports: [RouterModule.forChild(routes)],
    exports: [RouterModule],
})
export class LineEfficiencyDetailsRoutingModule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AppMenuItem("LineEfficiencyDetails", "Pages.Painting.Andon.LineEfficiencyDetails", "flaticon-book",   "/app/main/painting/andon/lineefficiencydetails"),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'painting/andon/lineefficiencydetails',
    loadChildren: () =&gt; import('./painting/andon/lineefficiencydetails/lineefficiencydetails.module').then(m =&gt; m.LineEfficiencyDetailsModule),
    data: { permission: 'Pages.Painting.Andon.LineEfficiencyDetails' }
},</v>
      </c>
      <c r="R10" s="50" t="str">
        <f>SUBSTITUTE(R9,"MstWptCalendar",$B$6)</f>
        <v>ApiServiceProxies.PtsAdoLineEfficiencyDetailsServiceProxy,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H21</v>
      </c>
      <c r="I12" s="31" t="str">
        <f>"I"&amp;COUNTA($A:$A)</f>
        <v>I21</v>
      </c>
      <c r="J12" s="31"/>
      <c r="K12" s="31" t="str">
        <f>"K"&amp;COUNTA($A:$A)</f>
        <v>K21</v>
      </c>
      <c r="L12" s="31" t="str">
        <f>"L"&amp;COUNTA($A:$A)</f>
        <v>L21</v>
      </c>
      <c r="M12" s="31"/>
      <c r="N12" s="31"/>
      <c r="O12" s="31"/>
      <c r="P12" s="31"/>
      <c r="Q12" s="31"/>
      <c r="R12" s="31"/>
      <c r="S12" s="31" t="str">
        <f>"S"&amp;COUNTA($A:$A)</f>
        <v>S21</v>
      </c>
      <c r="T12" s="31" t="str">
        <f>"T"&amp;COUNTA($A:$A)</f>
        <v>T21</v>
      </c>
      <c r="U12" s="31" t="str">
        <f>"U"&amp;COUNTA($A:$A)</f>
        <v>U21</v>
      </c>
      <c r="V12" s="31" t="str">
        <f>"V"&amp;COUNTA($A:$A)</f>
        <v>V21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this.l('Line'),headerTooltip: this.l('Line'),field: 'line',flex: 1},
			{headerName: this.l('Vol Actual'),headerTooltip: this.l('Vol Actual'),field: 'volActual',flex: 1},
			{headerName: this.l('Line Stop Time'),headerTooltip: this.l('Line Stop Time'),field: 'lineStopTime',flex: 1},
			{headerName: this.l('Line Efficiency'),headerTooltip: this.l('Line Efficiency'),field: 'lineEfficiency',flex: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this.l('Status'),headerTooltip: this.l('Status'),field:  'status', cellClass: ['text-center'], width: 120, cellRenderer: 'agCellButtonComponent',
buttonDefTwo: { text: params =&gt; (params.data?.'status' == 'Y') ? 'Active' : 'Inactive',iconName: 'fa fa-circle',className: params =&gt; (params.data?.'status' == 'Y') ? 'btnActive' : 'btnInActive',},}</v>
      </c>
      <c r="I13" s="38" t="str">
        <f ca="1">TEXTJOIN2("
",TRUE,INDIRECT(I11):INDIRECT(I12))</f>
        <v xml:space="preserve">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title'&gt;Vol Actual&lt;/label&gt;
						&lt;input type='number' class='col-md-10 form-control input-text' name='VolActual' [(ngModel)]='rowdata.volActual'&gt;
					&lt;/div&gt;
					&lt;div class='col-md-12 form-group row'&gt;
						&lt;label class='col-md-2 form-control title'&gt;Line Stop Time&lt;/label&gt;
						&lt;input type='number' class='col-md-10 form-control input-text' name='LineStopTime' [(ngModel)]='rowdata.lineStopTime'&gt;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title'&gt;Status&lt;/label&gt;
						&lt;new-checkbox [(ngModel)]='_status' name='status' className='col-md-10' &gt; &lt;/new-checkbox&gt;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line : string = '' ; 
volActual : number = 0 ;
	lineStopTime : number = 0 ;
	lineEfficiency
	workingDate : any ;
	shift : string = '' ; 
status : string = '' ; </v>
      </c>
      <c r="T13" s="68" t="str">
        <f ca="1">TEXTJOIN2("
",TRUE,INDIRECT(T11):INDIRECT(T12))</f>
        <v xml:space="preserve">			this.line,
			this.volActual,
			this.lineStopTime,
			this.lineEfficiency,
			this.workingDate,
			this.shift,
			this.status,</v>
      </c>
      <c r="U13" s="68" t="str">
        <f ca="1">TEXTJOIN2("
",TRUE,INDIRECT(U11):INDIRECT(U12))</f>
        <v>this.line = '',
this.volActual = 0,
		this.lineStopTime = 0,
		this.lineEfficiency = '',
		this.workingDate = '',
		this.shift = '',
this.status = '',</v>
      </c>
      <c r="V13" s="31" t="str">
        <f ca="1">TEXTJOIN2("
",TRUE,INDIRECT(V11):INDIRECT(V12))</f>
        <v>status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lineefficiencydetails.component.ts</v>
      </c>
      <c r="I14" s="40" t="str">
        <f>B8&amp;".component.html"</f>
        <v>lineefficiencydetails.component.html</v>
      </c>
      <c r="J14" s="39" t="str">
        <f>B8&amp;".component.less"</f>
        <v>lineefficiencydetails.component.less</v>
      </c>
      <c r="K14" s="40" t="str">
        <f>"create-or-edit-"&amp;B8&amp;"-modal.component.html"</f>
        <v>create-or-edit-lineefficiencydetails-modal.component.html</v>
      </c>
      <c r="L14" s="40" t="str">
        <f>"create-or-edit-"&amp;B8&amp;"-modal.component.ts"</f>
        <v>create-or-edit-lineefficiencydetails-modal.component.ts</v>
      </c>
      <c r="M14" s="40" t="str">
        <f>"create-or-edit-"&amp;B8&amp;"-modal.component.less"</f>
        <v>create-or-edit-lineefficiencydetails-modal.component.less</v>
      </c>
      <c r="N14" s="40" t="str">
        <f>B8&amp;".module.ts"</f>
        <v>lineefficiencydetails.module.ts</v>
      </c>
      <c r="O14" s="40" t="str">
        <f>B8&amp;"-routing.module.ts"</f>
        <v>lineefficiencydetails-routing.module.ts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271</v>
      </c>
      <c r="B15" s="31" t="str">
        <f>SUBSTITUTE(PROPER(A15),"_","")</f>
        <v>Line</v>
      </c>
      <c r="C15" s="31" t="str">
        <f>SUBSTITUTE(PROPER(A15),"_"," ")</f>
        <v>Line</v>
      </c>
      <c r="D15" s="31" t="str">
        <f>LOWER(LEFT(B15,1))&amp;RIGHT(B15,LEN(B15) - 1)</f>
        <v>line</v>
      </c>
      <c r="E15" s="31" t="str">
        <f>A.Backend!H9</f>
        <v>string</v>
      </c>
      <c r="F15" s="31" t="str">
        <f>A.Backend!G9</f>
        <v>5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this.l('Line'),headerTooltip: this.l('Line'),field: 'line',flex: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[(ngModel)]='line' name='line'
									class='form-control' [placeholder]="l('Line')"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title'&gt;Line&lt;/label&gt;
						&lt;input type='text' class='col-md-10 form-control input-text' name='Line' [(ngModel)]='rowdata.line'&gt;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line : string = '' ; </v>
      </c>
      <c r="T15" s="31" t="str">
        <f>REPT(CHAR(9),3)&amp;"this."&amp;D15&amp;","</f>
        <v xml:space="preserve">			this.line,</v>
      </c>
      <c r="U15" s="31" t="str">
        <f>IF(E15="int","this."&amp;D15&amp;" = 0,","this."&amp;D15&amp;" = '',")</f>
        <v>this.line = '',</v>
      </c>
      <c r="V15" s="31" t="str">
        <f>IF(AND(E15="string",F15="1"),D15,"")</f>
        <v/>
      </c>
    </row>
    <row r="16" spans="1:22" ht="18" customHeight="1" x14ac:dyDescent="0.25">
      <c r="A16" s="44" t="s">
        <v>275</v>
      </c>
      <c r="B16" s="31" t="str">
        <f>SUBSTITUTE(PROPER(A16),"_","")</f>
        <v>VolActual</v>
      </c>
      <c r="C16" s="31" t="str">
        <f>SUBSTITUTE(PROPER(A16),"_"," ")</f>
        <v>Vol Actual</v>
      </c>
      <c r="D16" s="31" t="str">
        <f>LOWER(LEFT(B16,1))&amp;RIGHT(B16,LEN(B16) - 1)</f>
        <v>volActual</v>
      </c>
      <c r="E16" s="31" t="str">
        <f>A.Backend!H10</f>
        <v>int</v>
      </c>
      <c r="F16" s="31" t="str">
        <f>A.Backend!G10</f>
        <v/>
      </c>
      <c r="G16" s="31" t="str">
        <f>IF(E16="string"," : string = '' ; ",IF(OR(E16="DateTime",E16="TimeSpan")," : any ;",IF(E16="int"," : number = 0 ;","")))</f>
        <v xml:space="preserve"> : number = 0 ;</v>
      </c>
      <c r="H16" s="38" t="str">
        <f t="shared" ref="H16:H21" si="0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this.l('Vol Actual'),headerTooltip: this.l('Vol Actual'),field: 'volActual',flex: 1},</v>
      </c>
      <c r="I16" s="38" t="str">
        <f t="shared" ref="I16:I21" si="1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31"/>
      <c r="K16" s="38" t="str">
        <f t="shared" ref="K16:K21" si="2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title'&gt;Vol Actual&lt;/label&gt;
						&lt;input type='number' class='col-md-10 form-control input-text' name='VolActual' [(ngModel)]='rowdata.volActual'&gt;
					&lt;/div&gt;</v>
      </c>
      <c r="L16" s="60" t="str">
        <f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D16&amp;G16</f>
        <v>volActual : number = 0 ;</v>
      </c>
      <c r="T16" s="31" t="str">
        <f>REPT(CHAR(9),3)&amp;"this."&amp;D16&amp;","</f>
        <v xml:space="preserve">			this.volActual,</v>
      </c>
      <c r="U16" s="31" t="str">
        <f>IF(E16="int","this."&amp;D16&amp;" = 0,","this."&amp;D16&amp;" = '',")</f>
        <v>this.volActual = 0,</v>
      </c>
      <c r="V16" s="31" t="str">
        <f>IF(AND(E16="string",F16="1"),D16,"")</f>
        <v/>
      </c>
    </row>
    <row r="17" spans="1:22" ht="18" customHeight="1" x14ac:dyDescent="0.25">
      <c r="A17" s="44" t="s">
        <v>279</v>
      </c>
      <c r="B17" s="31" t="str">
        <f t="shared" ref="B17" si="3">SUBSTITUTE(PROPER(A17),"_","")</f>
        <v>LineStopTime</v>
      </c>
      <c r="C17" s="31" t="str">
        <f t="shared" ref="C17" si="4">SUBSTITUTE(PROPER(A17),"_"," ")</f>
        <v>Line Stop Time</v>
      </c>
      <c r="D17" s="31" t="str">
        <f t="shared" ref="D17" si="5">LOWER(LEFT(B17,1))&amp;RIGHT(B17,LEN(B17) - 1)</f>
        <v>lineStopTime</v>
      </c>
      <c r="E17" s="31" t="str">
        <f>A.Backend!H11</f>
        <v>int</v>
      </c>
      <c r="F17" s="31" t="str">
        <f>A.Backend!G11</f>
        <v/>
      </c>
      <c r="G17" s="31" t="str">
        <f t="shared" ref="G17:G20" si="6">IF(E17="string"," : string = '' ; ",IF(OR(E17="DateTime",E17="TimeSpan")," : any ;",IF(E17="int"," : number = 0 ;","")))</f>
        <v xml:space="preserve"> : number = 0 ;</v>
      </c>
      <c r="H17" s="38" t="str">
        <f t="shared" si="0"/>
        <v xml:space="preserve">			{headerName: this.l('Line Stop Time'),headerTooltip: this.l('Line Stop Time'),field: 'lineStopTime',flex: 1},</v>
      </c>
      <c r="I17" s="38" t="str">
        <f t="shared" si="1"/>
        <v/>
      </c>
      <c r="J17" s="31"/>
      <c r="K17" s="38" t="str">
        <f t="shared" si="2"/>
        <v xml:space="preserve">					&lt;div class='col-md-12 form-group row'&gt;
						&lt;label class='col-md-2 form-control title'&gt;Line Stop Time&lt;/label&gt;
						&lt;input type='number' class='col-md-10 form-control input-text' name='LineStopTime' [(ngModel)]='rowdata.lineStopTime'&gt;
					&lt;/div&gt;</v>
      </c>
      <c r="L17" s="60" t="str">
        <f t="shared" ref="L17:L20" si="7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:S19" si="8">REPT(CHAR(9),1)&amp;D17&amp;G17</f>
        <v xml:space="preserve">	lineStopTime : number = 0 ;</v>
      </c>
      <c r="T17" s="31" t="str">
        <f t="shared" ref="T17:T19" si="9">REPT(CHAR(9),3)&amp;"this."&amp;D17&amp;","</f>
        <v xml:space="preserve">			this.lineStopTime,</v>
      </c>
      <c r="U17" s="31" t="str">
        <f t="shared" ref="U17:U19" si="10">IF(E17="int",REPT(CHAR(9),2)&amp;"this."&amp;D17&amp;" = 0,",REPT(CHAR(9),2)&amp;"this."&amp;D17&amp;" = '',")</f>
        <v xml:space="preserve">		this.lineStopTime = 0,</v>
      </c>
      <c r="V17" s="31" t="str">
        <f t="shared" ref="V17:V20" si="11">IF(AND(E17="string",F17="1"),D17,"")</f>
        <v/>
      </c>
    </row>
    <row r="18" spans="1:22" ht="18" customHeight="1" x14ac:dyDescent="0.25">
      <c r="A18" s="44" t="s">
        <v>280</v>
      </c>
      <c r="B18" s="31" t="str">
        <f>SUBSTITUTE(PROPER(A18),"_","")</f>
        <v>LineEfficiency</v>
      </c>
      <c r="C18" s="31" t="str">
        <f>SUBSTITUTE(PROPER(A18),"_"," ")</f>
        <v>Line Efficiency</v>
      </c>
      <c r="D18" s="31" t="str">
        <f>LOWER(LEFT(B18,1))&amp;RIGHT(B18,LEN(B18) - 1)</f>
        <v>lineEfficiency</v>
      </c>
      <c r="E18" s="31" t="str">
        <f>A.Backend!H12</f>
        <v>decimal</v>
      </c>
      <c r="F18" s="31" t="str">
        <f>A.Backend!G12</f>
        <v>5, 2</v>
      </c>
      <c r="G18" s="31" t="str">
        <f t="shared" si="6"/>
        <v/>
      </c>
      <c r="H18" s="38" t="str">
        <f t="shared" si="0"/>
        <v xml:space="preserve">			{headerName: this.l('Line Efficiency'),headerTooltip: this.l('Line Efficiency'),field: 'lineEfficiency',flex: 1},</v>
      </c>
      <c r="I18" s="38" t="str">
        <f t="shared" si="1"/>
        <v/>
      </c>
      <c r="J18" s="31"/>
      <c r="K18" s="38" t="str">
        <f t="shared" si="2"/>
        <v/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8"/>
        <v xml:space="preserve">	lineEfficiency</v>
      </c>
      <c r="T18" s="31" t="str">
        <f t="shared" si="9"/>
        <v xml:space="preserve">			this.lineEfficiency,</v>
      </c>
      <c r="U18" s="31" t="str">
        <f t="shared" si="10"/>
        <v xml:space="preserve">		this.lineEfficiency = '',</v>
      </c>
      <c r="V18" s="31" t="str">
        <f t="shared" si="11"/>
        <v/>
      </c>
    </row>
    <row r="19" spans="1:22" ht="15" customHeight="1" x14ac:dyDescent="0.25">
      <c r="A19" s="44" t="s">
        <v>274</v>
      </c>
      <c r="B19" s="31" t="str">
        <f t="shared" ref="B19:B20" si="12">SUBSTITUTE(PROPER(A19),"_","")</f>
        <v>WorkingDate</v>
      </c>
      <c r="C19" s="31" t="str">
        <f t="shared" ref="C19:C20" si="13">SUBSTITUTE(PROPER(A19),"_"," ")</f>
        <v>Working Date</v>
      </c>
      <c r="D19" s="31" t="str">
        <f t="shared" ref="D19:D20" si="14">LOWER(LEFT(B19,1))&amp;RIGHT(B19,LEN(B19) - 1)</f>
        <v>workingDate</v>
      </c>
      <c r="E19" s="31" t="str">
        <f>A.Backend!H13</f>
        <v>DateTime</v>
      </c>
      <c r="F19" s="31" t="str">
        <f>A.Backend!G13</f>
        <v/>
      </c>
      <c r="G19" s="31" t="str">
        <f t="shared" si="6"/>
        <v xml:space="preserve"> : any ;</v>
      </c>
      <c r="H19" s="38" t="str">
        <f t="shared" si="0"/>
        <v xml:space="preserve">			{headerName: this.l('Working Date'),headerTooltip: this.l('Working Date'),field: 'workingDate',valueGetter: (params) =&gt; this.pipe.transform(params.data?.workingDate, 'dd/MM/yyyy'),flex: 1},</v>
      </c>
      <c r="I19" s="38" t="str">
        <f t="shared" si="1"/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19" s="31"/>
      <c r="K19" s="38" t="str">
        <f t="shared" si="2"/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9" s="60" t="str">
        <f t="shared" si="7"/>
        <v xml:space="preserve">		const dateValue =  this.rowdata.workingDate ? new Date(this.rowdata.workingDate?.toString()) : new Date();
		this.datepicker?.bsValueChange.emit(dateValue);</v>
      </c>
      <c r="M19" s="31"/>
      <c r="N19" s="31"/>
      <c r="O19" s="31"/>
      <c r="P19" s="31"/>
      <c r="Q19" s="31"/>
      <c r="R19" s="31"/>
      <c r="S19" s="31" t="str">
        <f t="shared" si="8"/>
        <v xml:space="preserve">	workingDate : any ;</v>
      </c>
      <c r="T19" s="31" t="str">
        <f t="shared" si="9"/>
        <v xml:space="preserve">			this.workingDate,</v>
      </c>
      <c r="U19" s="31" t="str">
        <f t="shared" si="10"/>
        <v xml:space="preserve">		this.workingDate = '',</v>
      </c>
      <c r="V19" s="31" t="str">
        <f t="shared" si="11"/>
        <v/>
      </c>
    </row>
    <row r="20" spans="1:22" ht="15" customHeight="1" x14ac:dyDescent="0.25">
      <c r="A20" s="44" t="s">
        <v>273</v>
      </c>
      <c r="B20" s="31" t="str">
        <f t="shared" si="12"/>
        <v>Shift</v>
      </c>
      <c r="C20" s="31" t="str">
        <f t="shared" si="13"/>
        <v>Shift</v>
      </c>
      <c r="D20" s="31" t="str">
        <f t="shared" si="14"/>
        <v>shift</v>
      </c>
      <c r="E20" s="31" t="str">
        <f>A.Backend!H14</f>
        <v>string</v>
      </c>
      <c r="F20" s="31" t="str">
        <f>A.Backend!G14</f>
        <v>40</v>
      </c>
      <c r="G20" s="31" t="str">
        <f t="shared" si="6"/>
        <v xml:space="preserve"> : string = '' ; </v>
      </c>
      <c r="H20" s="38" t="str">
        <f t="shared" si="0"/>
        <v xml:space="preserve">			{headerName: this.l('Shift'),headerTooltip: this.l('Shift'),field: 'shift',flex: 1},</v>
      </c>
      <c r="I20" s="38" t="str">
        <f t="shared" si="1"/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20" s="31"/>
      <c r="K20" s="38" t="str">
        <f t="shared" si="2"/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shift : string = '' ; </v>
      </c>
      <c r="T20" s="31" t="str">
        <f>REPT(CHAR(9),3)&amp;"this."&amp;D20&amp;","</f>
        <v xml:space="preserve">			this.shift,</v>
      </c>
      <c r="U20" s="31" t="str">
        <f>IF(E20="int",REPT(CHAR(9),2)&amp;"this."&amp;D20&amp;" = 0,",REPT(CHAR(9),2)&amp;"this."&amp;D20&amp;" = '',")</f>
        <v xml:space="preserve">		this.shift = '',</v>
      </c>
      <c r="V20" s="31" t="str">
        <f t="shared" si="11"/>
        <v/>
      </c>
    </row>
    <row r="21" spans="1:22" ht="18" customHeight="1" x14ac:dyDescent="0.25">
      <c r="A21" s="44" t="s">
        <v>283</v>
      </c>
      <c r="B21" s="31" t="str">
        <f>SUBSTITUTE(PROPER(A21),"_","")</f>
        <v>Status</v>
      </c>
      <c r="C21" s="31" t="str">
        <f>SUBSTITUTE(PROPER(A21),"_"," ")</f>
        <v>Status</v>
      </c>
      <c r="D21" s="31" t="str">
        <f>LOWER(LEFT(B21,1))&amp;RIGHT(B21,LEN(B21) - 1)</f>
        <v>status</v>
      </c>
      <c r="E21" s="31" t="str">
        <f>A.Backend!H15</f>
        <v>string</v>
      </c>
      <c r="F21" s="31" t="str">
        <f>A.Backend!G15</f>
        <v>1</v>
      </c>
      <c r="G21" s="31" t="str">
        <f>IF(E21="string"," : string = '' ; ",IF(OR(E21="DateTime",E21="TimeSpan")," : any ;",IF(E21="int"," : number = 0 ;","")))</f>
        <v xml:space="preserve"> : string = '' ; </v>
      </c>
      <c r="H21" s="38" t="str">
        <f t="shared" si="0"/>
        <v xml:space="preserve">			{headerName: this.l('Status'),headerTooltip: this.l('Status'),field:  'status', cellClass: ['text-center'], width: 120, cellRenderer: 'agCellButtonComponent',
buttonDefTwo: { text: params =&gt; (params.data?.'status' == 'Y') ? 'Active' : 'Inactive',iconName: 'fa fa-circle',className: params =&gt; (params.data?.'status' == 'Y') ? 'btnActive' : 'btnInActive',},}</v>
      </c>
      <c r="I21" s="38" t="str">
        <f t="shared" si="1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1" s="31"/>
      <c r="K21" s="38" t="str">
        <f t="shared" si="2"/>
        <v xml:space="preserve">					&lt;div class='col-md-12 form-group row'&gt;
						&lt;label class='col-md-2 form-control title'&gt;Status&lt;/label&gt;
						&lt;new-checkbox [(ngModel)]='_status' name='status' className='col-md-10' &gt; &lt;/new-checkbox&gt;
					&lt;/div&gt;</v>
      </c>
      <c r="L21" s="60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D21&amp;G21</f>
        <v xml:space="preserve">status : string = '' ; </v>
      </c>
      <c r="T21" s="31" t="str">
        <f>REPT(CHAR(9),3)&amp;"this."&amp;D21&amp;","</f>
        <v xml:space="preserve">			this.status,</v>
      </c>
      <c r="U21" s="31" t="str">
        <f>IF(E21="int","this."&amp;D21&amp;" = 0,","this."&amp;D21&amp;" = '',")</f>
        <v>this.status = '',</v>
      </c>
      <c r="V21" s="31" t="str">
        <f>IF(AND(E21="string",F21="1"),D21,"")</f>
        <v>status</v>
      </c>
    </row>
    <row r="24" spans="1:22" ht="17.25" customHeight="1" x14ac:dyDescent="0.25"/>
  </sheetData>
  <conditionalFormatting sqref="A1:A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2022-06-13T02:41:45Z</dcterms:modified>
</cp:coreProperties>
</file>
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painting\Andon\"/>
    </mc:Choice>
  </mc:AlternateContent>
  <xr:revisionPtr revIDLastSave="0" documentId="13_ncr:1_{BE3CB495-7035-47CE-8921-28A0C81A47BE}" xr6:coauthVersionLast="36" xr6:coauthVersionMax="36" xr10:uidLastSave="{00000000-0000-0000-0000-000000000000}"/>
  <bookViews>
    <workbookView xWindow="0" yWindow="0" windowWidth="28800" windowHeight="11805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8" i="5" l="1"/>
  <c r="B18" i="5" s="1"/>
  <c r="D18" i="5" s="1"/>
  <c r="A17" i="5"/>
  <c r="B17" i="5" s="1"/>
  <c r="D17" i="5" s="1"/>
  <c r="A16" i="5"/>
  <c r="C16" i="5" s="1"/>
  <c r="L11" i="1"/>
  <c r="G11" i="1"/>
  <c r="E11" i="1"/>
  <c r="H11" i="1" s="1"/>
  <c r="D11" i="1"/>
  <c r="V11" i="1" s="1"/>
  <c r="L10" i="1"/>
  <c r="G10" i="1"/>
  <c r="E10" i="1"/>
  <c r="H10" i="1" s="1"/>
  <c r="O10" i="1" s="1"/>
  <c r="D10" i="1"/>
  <c r="V10" i="1" s="1"/>
  <c r="L12" i="1"/>
  <c r="G12" i="1"/>
  <c r="E12" i="1"/>
  <c r="H12" i="1" s="1"/>
  <c r="D12" i="1"/>
  <c r="V12" i="1" s="1"/>
  <c r="C18" i="5" l="1"/>
  <c r="B16" i="5"/>
  <c r="D16" i="5" s="1"/>
  <c r="F16" i="5" s="1"/>
  <c r="C17" i="5"/>
  <c r="P10" i="1"/>
  <c r="T10" i="1"/>
  <c r="I11" i="1"/>
  <c r="O11" i="1"/>
  <c r="N11" i="1"/>
  <c r="M11" i="1"/>
  <c r="J11" i="1"/>
  <c r="I10" i="1"/>
  <c r="J10" i="1"/>
  <c r="P11" i="1"/>
  <c r="M10" i="1"/>
  <c r="N10" i="1"/>
  <c r="T11" i="1"/>
  <c r="I12" i="1"/>
  <c r="O12" i="1"/>
  <c r="M12" i="1"/>
  <c r="P12" i="1"/>
  <c r="T12" i="1"/>
  <c r="H4" i="1"/>
  <c r="E17" i="5" l="1"/>
  <c r="H17" i="5"/>
  <c r="E18" i="5"/>
  <c r="H18" i="5"/>
  <c r="E16" i="5"/>
  <c r="H16" i="5"/>
  <c r="F18" i="5"/>
  <c r="F17" i="5"/>
  <c r="O8" i="5"/>
  <c r="M44" i="3" s="1"/>
  <c r="U5" i="1"/>
  <c r="A13" i="5"/>
  <c r="N37" i="3" l="1"/>
  <c r="B6" i="5"/>
  <c r="B3" i="5"/>
  <c r="D7" i="1"/>
  <c r="I8" i="5" l="1"/>
  <c r="G44" i="3" s="1"/>
  <c r="B42" i="3"/>
  <c r="C42" i="3" s="1"/>
  <c r="J12" i="5"/>
  <c r="H43" i="3" s="1"/>
  <c r="I12" i="5"/>
  <c r="G43" i="3" s="1"/>
  <c r="H12" i="5"/>
  <c r="F43" i="3" s="1"/>
  <c r="H44" i="3"/>
  <c r="L43" i="3"/>
  <c r="K43" i="3"/>
  <c r="L12" i="5"/>
  <c r="J43" i="3" s="1"/>
  <c r="K12" i="5"/>
  <c r="I43" i="3" s="1"/>
  <c r="G12" i="5"/>
  <c r="E43" i="3" s="1"/>
  <c r="F12" i="5"/>
  <c r="D43" i="3" s="1"/>
  <c r="E12" i="5"/>
  <c r="C43" i="3" s="1"/>
  <c r="N8" i="5"/>
  <c r="L44" i="3" s="1"/>
  <c r="M8" i="5"/>
  <c r="K44" i="3" s="1"/>
  <c r="L8" i="5"/>
  <c r="J44" i="3" s="1"/>
  <c r="K8" i="5"/>
  <c r="I44" i="3" s="1"/>
  <c r="J8" i="5"/>
  <c r="G8" i="5"/>
  <c r="E44" i="3" s="1"/>
  <c r="N3" i="1" l="1"/>
  <c r="M3" i="1"/>
  <c r="O3" i="1"/>
  <c r="D8" i="1"/>
  <c r="D9" i="1"/>
  <c r="C13" i="5" l="1"/>
  <c r="B13" i="5"/>
  <c r="D13" i="5" s="1"/>
  <c r="A14" i="5"/>
  <c r="A15" i="5"/>
  <c r="F13" i="5" l="1"/>
  <c r="E10" i="5"/>
  <c r="F10" i="5"/>
  <c r="H10" i="5"/>
  <c r="H13" i="5"/>
  <c r="E13" i="5"/>
  <c r="C15" i="5"/>
  <c r="B15" i="5"/>
  <c r="D15" i="5" s="1"/>
  <c r="F15" i="5" s="1"/>
  <c r="C14" i="5"/>
  <c r="B14" i="5"/>
  <c r="D14" i="5" s="1"/>
  <c r="F14" i="5" s="1"/>
  <c r="H14" i="5" l="1"/>
  <c r="H15" i="5"/>
  <c r="E14" i="5"/>
  <c r="E15" i="5"/>
  <c r="R3" i="1"/>
  <c r="Q3" i="1"/>
  <c r="D1" i="1"/>
  <c r="F4" i="1"/>
  <c r="H11" i="5"/>
  <c r="E11" i="5"/>
  <c r="F11" i="5"/>
  <c r="H8" i="5" l="1"/>
  <c r="F44" i="3" s="1"/>
  <c r="E8" i="5"/>
  <c r="C44" i="3" s="1"/>
  <c r="F8" i="5"/>
  <c r="D44" i="3" s="1"/>
  <c r="V7" i="1"/>
  <c r="T7" i="1"/>
  <c r="T9" i="1"/>
  <c r="V9" i="1"/>
  <c r="V8" i="1"/>
  <c r="T8" i="1"/>
  <c r="L9" i="1"/>
  <c r="G7" i="1"/>
  <c r="G8" i="1"/>
  <c r="G9" i="1"/>
  <c r="E7" i="1"/>
  <c r="H7" i="1" s="1"/>
  <c r="E8" i="1"/>
  <c r="H8" i="1" s="1"/>
  <c r="E9" i="1"/>
  <c r="H9" i="1" s="1"/>
  <c r="P7" i="1"/>
  <c r="P8" i="1"/>
  <c r="P9" i="1"/>
  <c r="T14" i="1"/>
  <c r="V14" i="1"/>
  <c r="T5" i="1" l="1"/>
  <c r="O9" i="1"/>
  <c r="M9" i="1"/>
  <c r="I9" i="1"/>
  <c r="O8" i="1"/>
  <c r="M8" i="1"/>
  <c r="I8" i="1"/>
  <c r="O7" i="1"/>
  <c r="M7" i="1"/>
  <c r="I7" i="1"/>
  <c r="O5" i="1" l="1"/>
  <c r="G4" i="1"/>
  <c r="N5" i="1" l="1"/>
  <c r="E37" i="3" s="1"/>
  <c r="L37" i="3" l="1"/>
  <c r="D37" i="3"/>
  <c r="D4" i="1"/>
  <c r="B4" i="1" l="1"/>
  <c r="L3" i="1"/>
  <c r="J3" i="1"/>
  <c r="H3" i="1"/>
  <c r="F3" i="1"/>
  <c r="C4" i="1" l="1"/>
  <c r="P5" i="1" s="1"/>
  <c r="S3" i="1"/>
  <c r="S5" i="1" s="1"/>
  <c r="E4" i="1"/>
  <c r="K5" i="1"/>
  <c r="F37" i="3" s="1"/>
  <c r="I3" i="1" l="1"/>
  <c r="B5" i="1"/>
  <c r="N12" i="1" l="1"/>
  <c r="J12" i="1"/>
  <c r="L7" i="1"/>
  <c r="L8" i="1"/>
  <c r="N9" i="1"/>
  <c r="J9" i="1"/>
  <c r="N7" i="1"/>
  <c r="J7" i="1"/>
  <c r="N8" i="1"/>
  <c r="J8" i="1"/>
  <c r="C5" i="1"/>
  <c r="K14" i="1"/>
  <c r="K37" i="3" l="1"/>
  <c r="J37" i="3"/>
  <c r="P14" i="1"/>
  <c r="N14" i="1"/>
  <c r="J14" i="1"/>
  <c r="O14" i="1"/>
  <c r="M14" i="1"/>
  <c r="Q5" i="1" l="1"/>
  <c r="M37" i="3" s="1"/>
  <c r="M5" i="1"/>
  <c r="H37" i="3" s="1"/>
  <c r="R5" i="1"/>
  <c r="I37" i="3" s="1"/>
  <c r="I14" i="1"/>
  <c r="L5" i="1" l="1"/>
  <c r="G37" i="3" s="1"/>
  <c r="J5" i="1"/>
  <c r="C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6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6" authorId="1" shapeId="0" xr:uid="{E2C1BE3F-43CF-4E02-B518-778FEEF62A6C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6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6" authorId="1" shapeId="0" xr:uid="{E1AE12FC-09B5-436E-925E-1F822EB67BC7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6" authorId="1" shapeId="0" xr:uid="{3574DE0C-7EF1-4A5B-B32B-F08E31BE0FAD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6" authorId="1" shapeId="0" xr:uid="{953EF841-E8C4-42B1-849B-3CED6C455A96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6" authorId="1" shapeId="0" xr:uid="{8807A45F-EC6A-431C-9A48-B31C56B63BF8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<sst xmlns="http://schemas.openxmlformats.org/spreadsheetml/2006/main" count="330" uniqueCount="273">
  <si>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</si>
  <si>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</si>
  <si>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</si>
  <si>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</si>
  <si>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</si>
  <si>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</si>
  <si>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</si>
  <si>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</si>
  <si>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</si>
  <si>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</si>
  <si>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</si>
  <si>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</si>
  <si>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</si>
  <si>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</si>
  <si>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</si>
  <si>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</si>
  <si>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</si>
  <si>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</si>
  <si>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</si>
  <si>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</si>
  <si>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</si>
  <si>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</si>
  <si>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</si>
  <si>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</si>
  <si>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</si>
  <si>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</si>
  <si>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</si>
  <si>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</si>
  <si>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</si>
  <si>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</si>
  <si>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</si>
  <si>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</si>
  <si>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</si>
  <si>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</si>
  <si>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</si>
  <si>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</si>
  <si>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</si>
  <si>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</si>
  <si>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</si>
  <si>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</si>
  <si>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</si>
  <si>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</si>
  <si>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</si>
  <si>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</si>
  <si>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</si>
  <si>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</si>
  <si>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</si>
  <si>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</si>
  <si>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</si>
  <si>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</si>
  <si>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</si>
  <si>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</si>
  <si>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</si>
  <si>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</si>
  <si>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</si>
  <si>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</si>
  <si>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</si>
  <si>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</si>
  <si>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</si>
  <si>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</si>
  <si>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</si>
  <si>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</si>
  <si>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</si>
  <si>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</si>
  <si>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</si>
  <si>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</si>
  <si>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</si>
  <si>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</si>
  <si>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</si>
  <si>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5) Core AppPermissions</t>
  </si>
  <si>
    <t>6) AppAuthorizationProvider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</si>
  <si>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</si>
  <si>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</si>
  <si>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</si>
  <si>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</si>
  <si>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J7</t>
  </si>
  <si>
    <t>I7</t>
  </si>
  <si>
    <t>L7</t>
  </si>
  <si>
    <t>M7</t>
  </si>
  <si>
    <t>N7</t>
  </si>
  <si>
    <t>O7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</si>
  <si>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</si>
  <si>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</si>
  <si>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</si>
  <si>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</si>
  <si>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</si>
  <si>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</si>
  <si>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</si>
  <si>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</si>
  <si>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</si>
  <si>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</si>
  <si>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</si>
  <si>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</si>
  <si>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</si>
  <si>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P7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</si>
  <si>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</si>
  <si>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</si>
  <si>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</si>
  <si>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</si>
  <si>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</si>
  <si>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</si>
  <si>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</si>
  <si>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</si>
  <si>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</si>
  <si>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</si>
  <si>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</si>
  <si>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</si>
  <si>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</si>
  <si>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</si>
  <si>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Mmm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</si>
  <si>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</si>
  <si>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</si>
  <si>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</si>
  <si>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</si>
  <si>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</si>
  <si>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</si>
  <si>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</si>
  <si>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</si>
  <si>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</si>
  <si>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</si>
  <si>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</si>
  <si>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</si>
  <si>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</si>
  <si>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</si>
  <si>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</si>
  <si>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</si>
  <si>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</si>
  <si>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</si>
  <si>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</si>
  <si>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</si>
  <si>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</si>
  <si>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</si>
  <si>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</si>
  <si>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</si>
  <si>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</si>
  <si>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</si>
  <si>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</si>
  <si>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</si>
  <si>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</si>
  <si>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</si>
  <si>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</si>
  <si>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</si>
  <si>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</si>
  <si>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</si>
  <si>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</si>
  <si>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</si>
  <si>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</si>
  <si>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</si>
  <si>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</si>
  <si>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</si>
  <si>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</si>
  <si>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</si>
  <si>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</si>
  <si>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</si>
  <si>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</si>
  <si>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</si>
  <si>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</si>
  <si>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</si>
  <si>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</si>
  <si>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</si>
  <si>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</si>
  <si>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</si>
  <si>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</si>
  <si>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</si>
  <si>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</si>
  <si>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</si>
  <si>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</si>
  <si>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</si>
  <si>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</si>
  <si>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</si>
  <si>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</si>
  <si>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</si>
  <si>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</si>
  <si>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</si>
  <si>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</si>
  <si>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</si>
  <si>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</si>
  <si>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</si>
  <si>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</si>
  <si>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</si>
  <si>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</si>
  <si>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</si>
  <si>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</si>
  <si>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</si>
  <si>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</si>
  <si>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</si>
  <si>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</si>
  <si>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</si>
  <si>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</si>
  <si>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</si>
  <si>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</si>
  <si>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</si>
  <si>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</si>
  <si>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</si>
  <si>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</si>
  <si>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</si>
  <si>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</si>
  <si>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</si>
  <si>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</si>
  <si>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</si>
  <si>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</si>
  <si>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</si>
  <si>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</si>
  <si>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</si>
  <si>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</si>
  <si>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</si>
  <si>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</si>
  <si>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</si>
  <si>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</si>
  <si>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</si>
  <si>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</si>
  <si>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</si>
  <si>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</si>
  <si>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</si>
  <si>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</si>
  <si>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</si>
  <si>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</si>
  <si>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</si>
  <si>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T7</t>
  </si>
  <si>
    <t>T9</t>
  </si>
  <si>
    <t>V7</t>
  </si>
  <si>
    <t>V9</t>
  </si>
  <si>
    <t>2)AppPermissions</t>
  </si>
  <si>
    <t>3)AppAuthorizationProvider</t>
  </si>
  <si>
    <t>9) interface Export</t>
  </si>
  <si>
    <t>10) Export Service</t>
  </si>
  <si>
    <t>11) Services</t>
  </si>
  <si>
    <t>using System.Collections.Generic;
using vovina.DataExporting.Excel.NPOI;
using vovina.Dto;
using vovina.Master.WorkingPattern.Calendar.Exporting;
using vovina.Master.WorkingPattern.Dto;
using vovina.Storage;
using vovina.Master.WorkingPattern.Calendar.Dto;
namespace vovina.MasterWorkingPattern.Calendar.Exporting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                                 "MasterWorkingPatternCalendar.xlsx",
                                 excelPackage =&gt;
                                 {
                                     var sheet = excelPackage.CreateSheet("Calendar");
                                     AddHeader(
                                               sheet,
                                                      &lt;PROPERTIES&gt;
                                               );
                                     AddObjects(
                                         sheet, 1, calendar,
                                         &lt;PROPERTIES1&gt;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t>
  </si>
  <si>
    <t>Full Name</t>
  </si>
  <si>
    <t>Name Normal</t>
  </si>
  <si>
    <t>Menu Name</t>
  </si>
  <si>
    <t>NameFront</t>
  </si>
  <si>
    <t>example code</t>
  </si>
  <si>
    <t>code copy</t>
  </si>
  <si>
    <t>E13</t>
  </si>
  <si>
    <t>Filde Name</t>
  </si>
  <si>
    <t>F13</t>
  </si>
  <si>
    <t>.input-search{
    width: 250px;
    border-radius: 10px;
    margin-left: 10px;
}
.btn-search{
    width: 50px;
    margin-left: 10px;
}</t>
  </si>
  <si>
    <t>H13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</si>
  <si>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&lt;PROPERTIES&gt;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</si>
  <si>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selector: 'create-or-edit-calendar-modal',
  templateUrl: './create-or-edit-calendar-modal.component.html',
  styleUrls: ['./create-or-edit-calendar-modal.component.less']
})
export class CreateOrEditCalendarModalComponent extends AppComponentBase {
  @ViewChild('createOrEditModalCalendar',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CreateOrEditMstWptCalendarDto = new CreateOrEditMstWptCalendarDto();
  active: boolean = false;
  saving: boolean = false;
  _isActive: boolean;
  constructor(
    injector: Injector,
    private _mstwptCalendarService: MstWptCalendarServiceProxy,
    ) {
    super(injector);
  }
  show(rowdata?: CreateOrEditMstWptCalendarDto): void {
    if (!rowdata) this.rowdata = new CreateOrEditMstWptCalendarDto();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this._mstwptCalendarService.createOrEdit(this.rowdata)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t>
  </si>
  <si>
    <t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</si>
  <si>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</si>
  <si>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</si>
  <si>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</si>
  <si>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</si>
  <si>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</si>
  <si>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</si>
  <si>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{
                        path: 'master/workingpattern/calendar',
                        loadChildren: () =&gt; import('./master/workingpattern/calendar/calendar.module').then(m =&gt; m.CalendarModule),
                        data: { permission: 'Pages.Master.WorkingPattern.Calendar' }
                    },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</si>
  <si>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</si>
  <si>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</si>
  <si>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</si>
  <si>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</si>
  <si>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</si>
  <si>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</si>
  <si>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</si>
  <si>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</si>
  <si>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vovina.Master.WorkingPattern.Calendar.Exporting;
using vovina.Master.WorkingPattern.Dto;
using vovina.Master.WorkingPattern.Calendar;
using vovina.Master.WorkingPattern.Calendar.Dto;
namespace vovina.Master.WorkingPattern
{
    [AbpAuthorize(AppPermissions.Pages_Master_WorkingPattern)]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MstWptCalendarDto
                         {Id = o.Id,
                              &lt;PROPERTIES&gt;
 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{Id = o.Id,
                               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</si>
  <si>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@Component({
  templateUrl: './calendar.component.html',
  styleUrls: ['./calendar.component.less',],
})
export class CalendarComponent extends AppComponentBase implements OnInit {
  @ViewChild('createOrEditModalCalendar', { static: true }) createOrEditModalCalendar: CreateOrEditCalendarModalComponent | undefined;
  defaultColDefs: CustomColDef[] = [];
  paginationParams: PaginationParamsModel = { pageNum: 1, pageSize: 20, totalCount: 0, skipCount: 0, sorting: '', totalPage: 1 };
  selectedRow: MstWptCalendarDto = new MstWptCalendarDto();
  saveSelectedRow: MstWptCalendarDto = new MstWptCalendarDto();
  datas: MstWptCalendarDto = new MstWptCalendarDto();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_mstwptCalendarService: MstWptCalendarServiceProxy,
    private gridTableService: GridTableService,
    private _fileDownloadService: FileDownloadService,
  ) {
    super(injector);
    this.defaultColDefs = [
          {
            headerName: this.l('STT'),
            headerTooltip: this.l('STT'),
            cellRenderer: (params) =&gt; params.rowIndex + 1,
            cellClass: ['text-center'],
            width: 55,
        },
		&lt;PROPERTIES&gt;      
    ];
   }
  ngOnInit(): void {
    this.paginationParams = { pageNum: 1, pageSize: 20, totalCount: 0 };
  }
  searchDatas(): void {
    this._mstwptCalendarService.getAll('','','',,'',this.paginationParams.skipCount,this.paginationParams.pageSize)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this._mstwptCalendarService.getAll('','','',,'',this.paginationParams.skipCount,this.paginationParams.pageSize);
  }
    onChangeRowSelection(params: { api: { getSelectedRows: () =&gt; MstWptCalendarDto[]; }; }) {
      this.saveSelectedRow = params.api.getSelectedRows()[0] ?? new MstWptCalendarDto();
      this.selectedRow = Object.assign({}, this.saveSelectedRow);
    }
	 changePage(paginationParams) {
      console.log(paginationParams)
      this.paginationParams = paginationParams;
      this.paginationParams.skipCount =
          (paginationParams.pageNum - 1) * paginationParams.pageSize;
      // this.maxResultCount = paginationParams.pageSize;
      this.getDatas(this.paginationParams).subscribe((result) =&gt; {
          this.rowData = result.items;
          this.paginationParams.totalPage = ceil(
              result.totalCount / this.paginationParams.pageSize
          );
      });
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MstWptCalendarDto): void {
      this.message.confirm(
          this.l('AreYouSureToDelete'),"Delete Row",
          isConfirmed =&gt; {
              if (isConfirmed) {
                  this._mstwptCalendarService.delete(system.id).subscribe(()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this._mstwptCalendarService.getCalendarToExcel('','','')
        .subscribe(result =&gt; {
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</si>
  <si>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 &lt;FULL_TITLE&gt; 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									&lt;!-- 	&lt;PROPERTIES&gt;  --&gt;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   (changePaginationParams)="changePage($event)"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	#createOrEditModalCalendar
    (modalSave)="callBackDataGrid(dataParams)"
    (modalClose)="onChangeRowSelection(dataParams)"
&gt;
&lt;/create-or-edit-calendar-modal&gt;</t>
  </si>
  <si>
    <t>nvarchar(50)</t>
  </si>
  <si>
    <t>datetime2(7)</t>
  </si>
  <si>
    <t>nvarchar(1)</t>
  </si>
  <si>
    <t>Painting.Andon.ScanInfo</t>
  </si>
  <si>
    <t>PtsAdoScanInfo</t>
  </si>
  <si>
    <t>Painting Andon Scan Info</t>
  </si>
  <si>
    <t>ScanInfo</t>
  </si>
  <si>
    <t>Scan_Type</t>
  </si>
  <si>
    <t>Scan_Value</t>
  </si>
  <si>
    <t>Scan_Location</t>
  </si>
  <si>
    <t>Scan_Time</t>
  </si>
  <si>
    <t>Scan_By</t>
  </si>
  <si>
    <t>Is_Processed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</si>
</sst>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6"/>
  <sheetViews>
    <sheetView topLeftCell="A30" workbookViewId="0">
      <selection activeCell="J29" sqref="J29"/>
    </sheetView>
  </sheetViews>
  <sheetFormatPr defaultRowHeight="15" x14ac:dyDescent="0.25"/>
  <cols>
    <col min="1" max="1" width="3.5703125" customWidth="1"/>
    <col min="2" max="2" width="18.5703125" customWidth="1"/>
    <col min="3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82</v>
      </c>
    </row>
    <row r="2" spans="1:6" ht="15.75" x14ac:dyDescent="0.25">
      <c r="A2" s="1"/>
      <c r="B2" s="27" t="s">
        <v>207</v>
      </c>
    </row>
    <row r="3" spans="1:6" x14ac:dyDescent="0.25">
      <c r="A3" s="1"/>
      <c r="B3" s="1" t="s">
        <v>85</v>
      </c>
    </row>
    <row r="4" spans="1:6" x14ac:dyDescent="0.25">
      <c r="A4" s="1"/>
      <c r="B4" s="17" t="s">
        <v>84</v>
      </c>
    </row>
    <row r="5" spans="1:6" x14ac:dyDescent="0.25">
      <c r="A5" s="1"/>
      <c r="B5" s="17" t="s">
        <v>87</v>
      </c>
    </row>
    <row r="6" spans="1:6" x14ac:dyDescent="0.25">
      <c r="A6" s="1"/>
      <c r="B6" s="17" t="s">
        <v>97</v>
      </c>
    </row>
    <row r="7" spans="1:6" x14ac:dyDescent="0.25">
      <c r="A7" s="1"/>
      <c r="B7" s="17"/>
      <c r="C7" s="2" t="s">
        <v>107</v>
      </c>
      <c r="D7" s="2"/>
      <c r="E7" s="2"/>
      <c r="F7" s="2" t="s">
        <v>116</v>
      </c>
    </row>
    <row r="8" spans="1:6" x14ac:dyDescent="0.25">
      <c r="A8" s="1"/>
      <c r="B8" s="17"/>
      <c r="C8" t="s">
        <v>98</v>
      </c>
      <c r="F8" s="1" t="s">
        <v>108</v>
      </c>
    </row>
    <row r="9" spans="1:6" x14ac:dyDescent="0.25">
      <c r="A9" s="1"/>
      <c r="B9" s="17"/>
      <c r="D9" t="s">
        <v>99</v>
      </c>
      <c r="F9" s="1" t="s">
        <v>109</v>
      </c>
    </row>
    <row r="10" spans="1:6" x14ac:dyDescent="0.25">
      <c r="A10" s="1"/>
      <c r="B10" s="17"/>
      <c r="D10" t="s">
        <v>100</v>
      </c>
      <c r="F10" s="1" t="s">
        <v>110</v>
      </c>
    </row>
    <row r="11" spans="1:6" x14ac:dyDescent="0.25">
      <c r="A11" s="1"/>
      <c r="B11" s="17"/>
      <c r="D11" t="s">
        <v>101</v>
      </c>
      <c r="F11" s="1" t="s">
        <v>111</v>
      </c>
    </row>
    <row r="12" spans="1:6" x14ac:dyDescent="0.25">
      <c r="A12" s="1"/>
      <c r="B12" s="17"/>
      <c r="D12" t="s">
        <v>102</v>
      </c>
      <c r="F12" s="1" t="s">
        <v>112</v>
      </c>
    </row>
    <row r="13" spans="1:6" x14ac:dyDescent="0.25">
      <c r="A13" s="1"/>
      <c r="B13" s="17"/>
      <c r="D13" t="s">
        <v>103</v>
      </c>
      <c r="F13" s="1" t="s">
        <v>113</v>
      </c>
    </row>
    <row r="14" spans="1:6" x14ac:dyDescent="0.25">
      <c r="A14" s="1"/>
      <c r="B14" s="17"/>
      <c r="D14" t="s">
        <v>104</v>
      </c>
      <c r="F14" s="1" t="s">
        <v>114</v>
      </c>
    </row>
    <row r="15" spans="1:6" x14ac:dyDescent="0.25">
      <c r="A15" s="1"/>
      <c r="B15" s="17"/>
      <c r="C15" t="s">
        <v>101</v>
      </c>
      <c r="F15" s="1" t="s">
        <v>111</v>
      </c>
    </row>
    <row r="16" spans="1:6" x14ac:dyDescent="0.25">
      <c r="A16" s="1"/>
      <c r="B16" s="17"/>
      <c r="D16" t="s">
        <v>105</v>
      </c>
      <c r="F16" s="1" t="s">
        <v>125</v>
      </c>
    </row>
    <row r="17" spans="1:6" x14ac:dyDescent="0.25">
      <c r="A17" s="1"/>
      <c r="B17" s="17"/>
      <c r="D17" t="s">
        <v>106</v>
      </c>
      <c r="F17" s="1" t="s">
        <v>115</v>
      </c>
    </row>
    <row r="18" spans="1:6" x14ac:dyDescent="0.25">
      <c r="A18" s="1"/>
      <c r="B18" s="17"/>
      <c r="C18" t="s">
        <v>102</v>
      </c>
      <c r="F18" s="1" t="s">
        <v>112</v>
      </c>
    </row>
    <row r="19" spans="1:6" x14ac:dyDescent="0.25">
      <c r="A19" s="1"/>
      <c r="B19" s="17"/>
      <c r="C19" t="s">
        <v>103</v>
      </c>
      <c r="F19" s="1" t="s">
        <v>113</v>
      </c>
    </row>
    <row r="20" spans="1:6" x14ac:dyDescent="0.25">
      <c r="A20" s="1"/>
      <c r="B20" s="17"/>
    </row>
    <row r="21" spans="1:6" x14ac:dyDescent="0.25">
      <c r="A21" s="1"/>
      <c r="B21" s="17" t="s">
        <v>96</v>
      </c>
    </row>
    <row r="22" spans="1:6" x14ac:dyDescent="0.25">
      <c r="A22" s="1"/>
      <c r="B22" s="17" t="s">
        <v>92</v>
      </c>
    </row>
    <row r="23" spans="1:6" x14ac:dyDescent="0.25">
      <c r="A23" s="1"/>
      <c r="B23" s="17"/>
      <c r="C23" s="19" t="s">
        <v>89</v>
      </c>
    </row>
    <row r="24" spans="1:6" x14ac:dyDescent="0.25">
      <c r="A24" s="1"/>
      <c r="B24" s="17"/>
      <c r="C24" s="18" t="s">
        <v>90</v>
      </c>
    </row>
    <row r="25" spans="1:6" x14ac:dyDescent="0.25">
      <c r="A25" s="1"/>
      <c r="B25" s="17"/>
      <c r="C25" s="18" t="s">
        <v>91</v>
      </c>
    </row>
    <row r="26" spans="1:6" x14ac:dyDescent="0.25">
      <c r="A26" s="1"/>
      <c r="B26" s="17" t="s">
        <v>117</v>
      </c>
      <c r="C26" s="18"/>
    </row>
    <row r="27" spans="1:6" x14ac:dyDescent="0.25">
      <c r="A27" s="1"/>
      <c r="B27" s="17"/>
      <c r="C27" s="18" t="s">
        <v>118</v>
      </c>
    </row>
    <row r="28" spans="1:6" x14ac:dyDescent="0.25">
      <c r="A28" s="1"/>
      <c r="B28" s="17"/>
      <c r="C28" s="18" t="s">
        <v>119</v>
      </c>
    </row>
    <row r="29" spans="1:6" x14ac:dyDescent="0.25">
      <c r="A29" s="1"/>
      <c r="B29" s="17"/>
      <c r="C29" s="18" t="s">
        <v>120</v>
      </c>
    </row>
    <row r="30" spans="1:6" x14ac:dyDescent="0.25">
      <c r="A30" s="1"/>
      <c r="B30" s="17"/>
      <c r="C30" s="18" t="s">
        <v>122</v>
      </c>
    </row>
    <row r="31" spans="1:6" x14ac:dyDescent="0.25">
      <c r="A31" s="1"/>
      <c r="B31" s="17"/>
      <c r="C31" s="18" t="s">
        <v>124</v>
      </c>
    </row>
    <row r="32" spans="1:6" x14ac:dyDescent="0.25">
      <c r="A32" s="1"/>
      <c r="B32" s="17"/>
      <c r="C32" s="18" t="s">
        <v>123</v>
      </c>
    </row>
    <row r="33" spans="1:14" x14ac:dyDescent="0.25">
      <c r="A33" s="1"/>
      <c r="B33" s="17"/>
      <c r="C33" s="18" t="s">
        <v>121</v>
      </c>
    </row>
    <row r="34" spans="1:14" ht="21" customHeight="1" x14ac:dyDescent="0.25">
      <c r="B34" s="21" t="s">
        <v>86</v>
      </c>
    </row>
    <row r="35" spans="1:14" ht="21" customHeight="1" x14ac:dyDescent="0.25">
      <c r="B35" s="63" t="s">
        <v>254</v>
      </c>
    </row>
    <row r="36" spans="1:14" ht="15.75" thickBot="1" x14ac:dyDescent="0.3">
      <c r="C36" s="1" t="s">
        <v>74</v>
      </c>
      <c r="D36" s="1" t="s">
        <v>222</v>
      </c>
      <c r="E36" s="1" t="s">
        <v>223</v>
      </c>
      <c r="F36" s="1" t="s">
        <v>209</v>
      </c>
      <c r="G36" s="1" t="s">
        <v>210</v>
      </c>
      <c r="H36" s="1" t="s">
        <v>211</v>
      </c>
      <c r="I36" s="1" t="s">
        <v>212</v>
      </c>
      <c r="J36" s="1" t="s">
        <v>216</v>
      </c>
      <c r="K36" s="1" t="s">
        <v>224</v>
      </c>
      <c r="L36" s="1" t="s">
        <v>225</v>
      </c>
      <c r="M36" s="1" t="s">
        <v>226</v>
      </c>
      <c r="N36" s="1" t="s">
        <v>250</v>
      </c>
    </row>
    <row r="37" spans="1:14" s="16" customFormat="1" ht="21.75" customHeight="1" thickBot="1" x14ac:dyDescent="0.3">
      <c r="B37" s="52" t="s">
        <v>249</v>
      </c>
      <c r="C37" s="51" t="str">
        <f ca="1">A.Backend!J5</f>
        <v xml:space="preserve">using Abp.Domain.Entities;
using Abp.Domain.Entities.Auditing;
using Microsoft.EntityFrameworkCore;
using System;
using System.ComponentModel.DataAnnotations;
using System.ComponentModel.DataAnnotations.Schema;
namespace vovina.Painting.Andon.ScanInfo
{
	[Table("PtsAdoScanInfo")]
	[Index(nameof(ScanType), Name="IX_PtsAdoScanInfo_ScanType")]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	}
}
</v>
      </c>
      <c r="D37" s="51" t="str">
        <f>A.Backend!O5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E37" s="51" t="str">
        <f>A.Backend!N5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F37" s="51" t="str">
        <f>A.Backend!K5</f>
        <v xml:space="preserve">public virtual DbSet&lt;PtsAdoScanInfo&gt; PtsAdoScanInfos { get; set; }
</v>
      </c>
      <c r="G37" s="51" t="str">
        <f ca="1">A.Backend!L5</f>
        <v xml:space="preserve">namespace vovina.Painting.Andon.ScanInfo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H37" s="51" t="str">
        <f ca="1">A.Backend!M5</f>
        <v xml:space="preserve">using Abp.Application.Services.Dto;
using System;
using System.ComponentModel.DataAnnotations;
namespace vovina.Painting.Andon.ScanInfo.Dto
{
	public class PtsAdoScanInfoDto : EntityDto&lt;long?&gt;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 ScanTime { get; set; }
		[StringLength(PtsAdoScanInfoConsts.MaxScanByLength)]
		public virtual string ScanBy { get; set; }
		[StringLength(PtsAdoScanInfoConsts.MaxIsProcessedLength)]
		public virtual string IsProcessed { get; set; }
	}
	public class GetPtsAdoScanInfoInput : PagedAndSortedResultRequestDto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}
</v>
      </c>
      <c r="I37" s="51" t="str">
        <f ca="1">A.Backend!R5</f>
        <v xml:space="preserve">using Abp.Application.Services.Dto;
using System;
using System.ComponentModel.DataAnnotations;
namespace vovina.Painting.Andon.ScanInfo.Dto
{
	public class PtsAdoScanInfoExportInput{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}
</v>
      </c>
      <c r="J37" s="51" t="str">
        <f>A.Backend!P5</f>
        <v xml:space="preserve">using Abp.Application.Services;
using Abp.Application.Services.Dto;
using System.Collections.Generic;using vovina.Dto;
using System.Threading.Tasks;
using vovina.Painting.Andon.ScanInfo.Dto;
namespace vovina.Painting.Andon.ScanInfo
{
	public interface IPtsAdoScanInfoAppService : IApplicationService
	{
		Task&lt;PagedResultDto&lt;PtsAdoScanInfoDto&gt;&gt; GetAll(GetPtsAdoScanInfoInput input);
		Task CreateOrEdit(CreateOrEditPtsAdoScanInfoDto input);
		Task Delete(EntityDto input);
	}
}
</v>
      </c>
      <c r="K37" s="51" t="str">
        <f>A.Backend!S5</f>
        <v xml:space="preserve">using Abp.Application.Services;
using Abp.Application.Services.Dto;
using System.Collections.Generic;using vovina.Dto;
using System.Threading.Tasks;
using vovina.Painting.Andon.ScanInfo.Dto;
namespace vovina.Painting.Andon.ScanInfo.Exporting
{
	public interface IPtsAdoScanInfoExcelExporter : IApplicationService
	{
		FileDto ExportToFile(List&lt;PtsAdoScanInfoDto&gt; ptsadoscaninfo);}
}
</v>
      </c>
      <c r="L37" s="51" t="str">
        <f ca="1">A.Backend!T5</f>
        <v>using System.Collections.Generic;
using vovina.DataExporting.Excel.NPOI;
using vovina.Dto;
using vovina.Master.WorkingPattern..ScanInfo.Exporting;
using vovina.Master.WorkingPattern.Dto;
using vovina.Storage;
using vovina.Master.WorkingPattern..ScanInfo.Dto;
namespace vovina.MasterWorkingPattern..ScanInfo.Exporting
{
    public class PtsAdoScanInfoExcelExporter : NpoiExcelExporterBase, IPtsAdoScanInfoExcelExporter
    {
        public PtsAdoScanInfoExcelExporter(ITempFileCacheManager tempFileCacheManager) : base(tempFileCacheManager) { }
        public FileDto ExportToFile(List&lt;PtsAdoScanInfoDto&gt; .scaninfo)
        {
            return CreateExcelPackage(
                                 "MasterWorkingPattern.ScanInfo.xlsx",
                                 excelPackage =&gt;
                                 {
                                     var sheet = excelPackage.CreateSheet(".ScanInfo");
                                     AddHeader(
                                               sheet,
                                                      ("ScanType"),
("ScanValue"),
("ScanLocation"),
                                               );
                                     AddObjects(
                                         sheet, 1, .scaninfo,
                                         _ =&gt; _.ScanType,
_ =&gt; _.ScanValue,
_ =&gt; _.ScanLocation,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v>
      </c>
      <c r="M37" s="59" t="str">
        <f ca="1">A.Backend!Q5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vovina.Master.WorkingPattern..ScanInfo.Exporting;
using vovina.Master.WorkingPattern.Dto;
using vovina.Master.WorkingPattern..ScanInfo;
using vovina.Master.WorkingPattern..ScanInfo.Dto;
namespace vovina.Master.WorkingPattern
{
    [AbpAuthorize(AppPermissions.Pages_Master_WorkingPattern)]
    public class PtsAdoScanInfoAppService : vovinaAppServiceBase, IPtsAdoScanInfoAppService
    {
        private readonly IDapperRepository&lt;PtsAdoScanInfo, long&gt; _dapperRepo;
        private readonly IRepository&lt;PtsAdoScanInfo, long&gt; _repo;
        private readonly IPtsAdoScanInfoExcelExporter _calendarListExcelExporter;
        public PtsAdoScanInfoAppService(IRepository&lt;PtsAdoScanInfo,long&gt; repo, 
                                         IDapperRepository&lt;PtsAdoScanInfo,long&gt; dapperRepo,
                                        IPtsAdoScanInfoExcelExporter calendarListExcelExporter
            )
        {
            _repo = repo;
            _dapperRepo = dapperRepo;
            _calendarListExcelExporter = calendarListExcelExporter;
        }
        [AbpAuthorize(AppPermissions.Pages_Master_WorkingPattern_.ScanInfo_CreateEdit)]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          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[AbpAuthorize(AppPermissions.Pages_Master_WorkingPattern_.ScanInfo_Delete)]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Task&lt;PagedResultDto&lt;PtsAdoScanInfoDto&gt;&gt; GetAll(GetPtsAdoScanInfoInput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PtsAdoScanInfoDto
                         {Id = o.Id,
                              							ScanType = o.ScanType,
							ScanValue = o.ScanValue,
							ScanLocation = o.ScanLocation,
							ScanTime = o.ScanTime,
							ScanBy = o.ScanBy,
							IsProcessed = o.IsProcessed,
                         };
            var totalCount = await filtered.CountAsync();
			var paged = system.PageBy(input);
            return new PagedResultDto&lt;PtsAdoScanInfoDto&gt;(
                totalCount,
                 await paged.ToListAsync()
            );
        }
        public async Task&lt;FileDto&gt; Get.ScanInfoToExcel(PtsAdoScanInfoExportInput input)
        {
            var query = from o in _repo.GetAll()
                        select new PtsAdoScanInfoDto
                        {Id = o.Id,
                               							ScanType = o.ScanType,
							ScanValue = o.ScanValue,
							ScanLocation = o.ScanLocation,
							ScanTime = o.ScanTime,
							ScanBy = o.ScanBy,
							IsProcessed = o.IsProcessed,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_dapperRepo.ExecuteAsync(PtsAdoScanInfoConsts.SP_MST_WPT_CALENDAR_GENERATE);
       // }
    }
}</v>
      </c>
      <c r="N37" s="62" t="str">
        <f>A.Backend!U5</f>
        <v xml:space="preserve">  configuration.CreateMap&lt;PtsAdoScanInfoDto, PtsAdoScanInfo&gt;();
  configuration.CreateMap&lt;PtsAdoScanInfo, PtsAdoScanInfoDto&gt;();
  configuration.CreateMap&lt;CreateOrEditPtsAdoScanInfoDto, PtsAdoScanInfo&gt;();</v>
      </c>
    </row>
    <row r="38" spans="1:14" s="16" customFormat="1" ht="21.75" customHeight="1" x14ac:dyDescent="0.25">
      <c r="C38" s="29"/>
      <c r="D38" s="29"/>
      <c r="E38" s="29"/>
      <c r="F38" s="29"/>
      <c r="G38" s="29"/>
      <c r="H38" s="29"/>
      <c r="J38" s="29"/>
      <c r="K38" s="29"/>
      <c r="M38" s="29"/>
    </row>
    <row r="39" spans="1:14" s="16" customFormat="1" ht="21.75" customHeight="1" x14ac:dyDescent="0.25">
      <c r="C39" s="29"/>
      <c r="D39" s="29"/>
      <c r="E39" s="29"/>
      <c r="F39" s="29"/>
      <c r="G39" s="29"/>
      <c r="H39" s="29"/>
      <c r="J39" s="29"/>
      <c r="K39" s="29"/>
      <c r="M39" s="29"/>
    </row>
    <row r="40" spans="1:14" s="16" customFormat="1" ht="21.75" customHeight="1" x14ac:dyDescent="0.25">
      <c r="C40" s="29"/>
      <c r="D40" s="29"/>
      <c r="E40" s="29"/>
      <c r="G40" s="29"/>
      <c r="H40" s="29"/>
    </row>
    <row r="41" spans="1:14" x14ac:dyDescent="0.25">
      <c r="B41" s="1" t="s">
        <v>81</v>
      </c>
    </row>
    <row r="42" spans="1:14" ht="21" x14ac:dyDescent="0.35">
      <c r="B42" t="str">
        <f>B.Frontend!B6</f>
        <v>scaninfo</v>
      </c>
      <c r="C42" s="64" t="str">
        <f>"create folder " &amp;B42</f>
        <v>create folder scaninfo</v>
      </c>
      <c r="D42" s="64"/>
      <c r="E42" s="64"/>
      <c r="F42" s="64"/>
      <c r="G42" s="64"/>
      <c r="H42" s="64"/>
      <c r="I42" s="64"/>
      <c r="J42" s="64"/>
      <c r="K42" s="65" t="s">
        <v>251</v>
      </c>
      <c r="L42" s="65"/>
      <c r="M42" s="31"/>
    </row>
    <row r="43" spans="1:14" s="28" customFormat="1" ht="18" customHeight="1" x14ac:dyDescent="0.25">
      <c r="B43" s="60" t="s">
        <v>252</v>
      </c>
      <c r="C43" s="31" t="str">
        <f>B.Frontend!E12</f>
        <v>scaninfo.component.ts</v>
      </c>
      <c r="D43" s="31" t="str">
        <f>B.Frontend!F12</f>
        <v>scaninfo.component.html</v>
      </c>
      <c r="E43" s="31" t="str">
        <f>B.Frontend!G12</f>
        <v>scaninfo.component.less</v>
      </c>
      <c r="F43" s="31" t="str">
        <f>B.Frontend!H12</f>
        <v>create-or-edit-scaninfo-modal.component.html</v>
      </c>
      <c r="G43" s="31" t="str">
        <f>B.Frontend!I12</f>
        <v>create-or-edit-scaninfo-modal.component.ts</v>
      </c>
      <c r="H43" s="31" t="str">
        <f>B.Frontend!J12</f>
        <v>create-or-edit-scaninfo-modal.component.less</v>
      </c>
      <c r="I43" s="31" t="str">
        <f>B.Frontend!K12</f>
        <v>scaninfo.module.ts</v>
      </c>
      <c r="J43" s="31" t="str">
        <f>B.Frontend!L12</f>
        <v>scaninfo-routing.module.ts</v>
      </c>
      <c r="K43" s="31" t="str">
        <f>B.Frontend!M12</f>
        <v>app.navigation.service.ts</v>
      </c>
      <c r="L43" s="31" t="str">
        <f>B.Frontend!N12</f>
        <v>main.routing.module.ts</v>
      </c>
      <c r="M43" s="60" t="s">
        <v>255</v>
      </c>
    </row>
    <row r="44" spans="1:14" ht="21.75" customHeight="1" x14ac:dyDescent="0.25">
      <c r="B44" s="61" t="s">
        <v>249</v>
      </c>
      <c r="C44" s="49" t="str">
        <f ca="1">B.Frontend!E8</f>
        <v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PtsAdoScanInfoDto, PtsAdoScanInfoServiceProxy } from '@shared/service-proxies/service-proxies';
import { finalize } from 'rxjs/internal/operators/finalize';
import { CreateOrEditScanInfoModalComponent } from './create-or-edit-scaninfo-modal.component';
import { DatePipe } from '@angular/common';
import { FileDownloadService } from '@shared/utils/file-download.service';
import ceil from 'lodash-es/ceil';
@Component({
  templateUrl: './scaninfo.component.html',
  styleUrls: ['./scaninfo.component.less',],
})
export class ScanInfoComponent extends AppComponentBase implements OnInit {
  @ViewChild('createOrEditModalScanInfo', { static: true }) createOrEditModalScanInfo: CreateOrEditScanInfoModalComponent | undefined;
  defaultColDefs: CustomColDef[] = [];
  paginationParams: PaginationParamsModel = { pageNum: 1, pageSize: 20, totalCount: 0, skipCount: 0, sorting: '', totalPage: 1 };
  selectedRow: PtsAdoScanInfoDto = new PtsAdoScanInfoDto();
  saveSelectedRow: PtsAdoScanInfoDto = new PtsAdoScanInfoDto();
  datas: PtsAdoScanInfoDto = new PtsAdoScanInfoDto();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_mstwptScanInfoService: PtsAdoScanInfoServiceProxy,
    private gridTableService: GridTableService,
    private _fileDownloadService: FileDownloadService,
  ) {
    super(injector);
    this.defaultColDefs = [
          {
            headerName: this.l('STT'),
            headerTooltip: this.l('STT'),
            cellRenderer: (params) =&gt; params.rowIndex + 1,
            cellClass: ['text-center'],
            width: 55,
        },
		{headerName: this.l('Scan Type'),headerTooltip: this.l('Scan Type'),field: 'scanType',flex: 1,},
{headerName: this.l('Scan Value'),headerTooltip: this.l('Scan Value'),field: 'scanValue',flex: 1,},
{headerName: this.l('Scan Location'),headerTooltip: this.l('Scan Location'),field: 'scanLocation',flex: 1,},
{headerName: this.l('Scan Time'),headerTooltip: this.l('Scan Time'),field: 'scanTime',flex: 1,},
{headerName: this.l('Scan By'),headerTooltip: this.l('Scan By'),field: 'scanBy',flex: 1,},
{headerName: this.l('Is Processed'),headerTooltip: this.l('Is Processed'),field: 'isProcessed',flex: 1,},      
    ];
   }
  ngOnInit(): void {
    this.paginationParams = { pageNum: 1, pageSize: 20, totalCount: 0 };
  }
  searchDatas(): void {
    this._mstwptScanInfoService.getAll('','','',,'',this.paginationParams.skipCount,this.paginationParams.pageSize)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this._mstwptScanInfoService.getAll('','','',,'',this.paginationParams.skipCount,this.paginationParams.pageSize);
  }
    onChangeRowSelection(params: { api: { getSelectedRows: () =&gt; PtsAdoScanInfoDto[]; }; }) {
      this.saveSelectedRow = params.api.getSelectedRows()[0] ?? new PtsAdoScanInfoDto();
      this.selectedRow = Object.assign({}, this.saveSelectedRow);
    }
	 changePage(paginationParams) {
      console.log(paginationParams)
      this.paginationParams = paginationParams;
      this.paginationParams.skipCount =
          (paginationParams.pageNum - 1) * paginationParams.pageSize;
      // this.maxResultCount = paginationParams.pageSize;
      this.getDatas(this.paginationParams).subscribe((result) =&gt; {
          this.rowData = result.items;
          this.paginationParams.totalPage = ceil(
              result.totalCount / this.paginationParams.pageSize
          );
      });
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PtsAdoScanInfoDto): void {
      this.message.confirm(
          this.l('AreYouSureToDelete'),"Delete Row",
          isConfirmed =&gt; {
              if (isConfirmed) {
                  this._mstwptScanInfoService.delete(system.id).subscribe(()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this._mstwptScanInfoService.getScanInfoToExcel('','','')
        .subscribe(result =&gt; {
            this._fileDownloadService.downloadTempFile(result);
        });
    }
}</v>
      </c>
      <c r="D44" s="49" t="str">
        <f ca="1">B.Frontend!F8</f>
        <v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 Painting Andon Scan Info 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									&lt;!-- 	&lt;div class='input-search'&gt;&lt;input [(ngModel)]='scanType' name='scanType' class='form-control'  placeholder='Scan Type' /&gt;&lt;/div&gt;
&lt;div class='input-search'&gt;&lt;input [(ngModel)]='scanValue' name='scanValue' class='form-control'  placeholder='Scan Value' /&gt;&lt;/div&gt;
&lt;div class='input-search'&gt;&lt;input [(ngModel)]='scanLocation' name='scanLocation' class='form-control'  placeholder='Scan Location' /&gt;&lt;/div&gt;
&lt;div class='input-search'&gt;&lt;input [(ngModel)]='scanTime' name='scanTime' class='form-control'  placeholder='Scan Time' /&gt;&lt;/div&gt;
&lt;div class='input-search'&gt;&lt;input [(ngModel)]='scanBy' name='scanBy' class='form-control'  placeholder='Scan By' /&gt;&lt;/div&gt;
&lt;div class='input-search'&gt;&lt;input [(ngModel)]='isProcessed' name='isProcessed' class='form-control'  placeholder='Is Processed' /&gt;&lt;/div&gt;  --&gt;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   (changePaginationParams)="changePage($event)"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&lt;create-or-edit-scaninfo-modal
	#createOrEditModalScanInfo
    (modalSave)="callBackDataGrid(dataParams)"
    (modalClose)="onChangeRowSelection(dataParams)"
&gt;
&lt;/create-or-edit-scaninfo-modal&gt;</v>
      </c>
      <c r="E44" s="49" t="str">
        <f>B.Frontend!G8</f>
        <v>.input-search{
    width: 250px;
    border-radius: 10px;
    margin-left: 10px;
}
.btn-search{
    width: 50px;
    margin-left: 10px;
}</v>
      </c>
      <c r="F44" s="49" t="str">
        <f ca="1">B.Frontend!H8</f>
        <v>&lt;div bsModal #createOrEditModalScanInfo="bs-modal"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ScanInfo')}}&lt;/h3&gt;
                    &lt;h3 *ngIf="!rowdata.id"&gt;{{('Create New 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&lt;div class='col-md-12 form-group row'&gt;&lt;label class='col-md-2 form-control title'&gt;Scan Type&lt;/label&gt;&lt;input type='text' class='col-md-10 form-control input-text' name='ScanType' [(ngModel)]='rowdata.scanType'&gt;&lt;/div&gt;
&lt;div class='col-md-12 form-group row'&gt;&lt;label class='col-md-2 form-control title'&gt;Scan Value&lt;/label&gt;&lt;input type='text' class='col-md-10 form-control input-text' name='ScanValue' [(ngModel)]='rowdata.scanValue'&gt;&lt;/div&gt;
&lt;div class='col-md-12 form-group row'&gt;&lt;label class='col-md-2 form-control title'&gt;Scan Location&lt;/label&gt;&lt;input type='text' class='col-md-10 form-control input-text' name='ScanLocation' [(ngModel)]='rowdata.scanLocation'&gt;&lt;/div&gt;
&lt;div class='col-md-12 form-group row'&gt;&lt;label class='col-md-2 form-control title'&gt;Scan Time&lt;/label&gt;&lt;input type='text' class='col-md-10 form-control input-text' name='ScanTime' [(ngModel)]='rowdata.scanTime'&gt;&lt;/div&gt;
&lt;div class='col-md-12 form-group row'&gt;&lt;label class='col-md-2 form-control title'&gt;Scan By&lt;/label&gt;&lt;input type='text' class='col-md-10 form-control input-text' name='ScanBy' [(ngModel)]='rowdata.scanBy'&gt;&lt;/div&gt;
&lt;div class='col-md-12 form-group row'&gt;&lt;label class='col-md-2 form-control title'&gt;Is Processed&lt;/label&gt;&lt;input type='text' class='col-md-10 form-control input-text' name='IsProcessed' [(ngModel)]='rowdata.isProcessed'&gt;&lt;/div&gt;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4" s="49" t="str">
        <f>B.Frontend!I8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CreateOrEditPtsAdoScanInfoDto, PtsAdoScanInfoServiceProxy } from '@shared/service-proxies/service-proxies';
import { BsDatepickerDirective } from 'ngx-bootstrap/datepicker';
@Component({
  selector: 'create-or-edit-scaninfo-modal',
  templateUrl: './create-or-edit-scaninfo-modal.component.html',
  styleUrls: ['./create-or-edit-scaninfo-modal.component.less']
})
export class CreateOrEditScanInfoModalComponent extends AppComponentBase {
  @ViewChild('createOrEditModalScanInfo',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CreateOrEditPtsAdoScanInfoDto = new CreateOrEditPtsAdoScanInfoDto();
  active: boolean = false;
  saving: boolean = false;
  _isActive: boolean;
  constructor(
    injector: Injector,
    private _mstwptScanInfoService: PtsAdoScanInfoServiceProxy,
    ) {
    super(injector);
  }
  show(rowdata?: CreateOrEditPtsAdoScanInfoDto): void {
    if (!rowdata) this.rowdata = new CreateOrEditPtsAdoScanInfoDto();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this._mstwptScanInfoService.createOrEdit(this.rowdata)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v>
      </c>
      <c r="H44" s="49" t="str">
        <f>B.Frontend!J8</f>
        <v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v>
      </c>
      <c r="I44" s="49" t="str">
        <f>B.Frontend!K8</f>
        <v>import {NgModule} from '@angular/core';
import {AppSharedModule} from '@app/shared/app-shared.module';
import { ScanInfoRoutingModule } from './scaninfo-routing.module';
import { ScanInfoComponent } from './scaninfo.component';
import { CreateOrEditScanInfoModalComponent } from './create-or-edit-scaninfo-modal.component';
@NgModule({
    declarations: [
       ScanInfoComponent, 
        CreateOrEditScanInfoModalComponent
    ],
    imports: [
        AppSharedModule, ScanInfoRoutingModule]
})
export class ScanInfoModule {}</v>
      </c>
      <c r="J44" s="49" t="str">
        <f>B.Frontend!L8</f>
        <v>import {NgModule} from '@angular/core';
import {RouterModule, Routes} from '@angular/router';
import { ScanInfoComponent } from './scaninfo.component';
const routes: Routes = [{
    path: '',
    component: ScanInfoComponent,
    pathMatch: 'full'
}];
@NgModule({
    imports: [RouterModule.forChild(routes)],
    exports: [RouterModule],
})
export class ScanInfoRoutingModule {}</v>
      </c>
      <c r="K44" s="49" t="str">
        <f>B.Frontend!M8</f>
        <v xml:space="preserve"> new AppMenuItem("ScanInfo", "Pages.Master.Andon.ScanInfo", "flaticon-book",   "/app/main/master/andon/scaninfo"),</v>
      </c>
      <c r="L44" s="50" t="str">
        <f>B.Frontend!N8</f>
        <v>{
                        path: 'master/andon/scaninfo',
                        loadChildren: () =&gt; import('./master/andon/scaninfo/scaninfo.module').then(m =&gt; m.ScanInfoModule),
                        data: { permission: 'Pages.Master.Andon.ScanInfo' }
                    },</v>
      </c>
      <c r="M44" s="48" t="str">
        <f>B.Frontend!O8</f>
        <v>ApiServiceProxies.PtsAdoScanInfoServiceProxy,</v>
      </c>
    </row>
    <row r="46" spans="1:14" x14ac:dyDescent="0.25">
      <c r="B46" s="1" t="s">
        <v>83</v>
      </c>
    </row>
  </sheetData>
  <mergeCells count="2">
    <mergeCell ref="C42:J42"/>
    <mergeCell ref="K42:L4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V14"/>
  <sheetViews>
    <sheetView tabSelected="1" topLeftCell="A7" workbookViewId="0">
      <pane xSplit="1" topLeftCell="B1" activePane="topRight" state="frozen"/>
      <selection pane="topRight" activeCell="B14" sqref="B1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20.7109375" style="8" customWidth="1"/>
    <col min="22" max="22" width="17.85546875" style="8" customWidth="1"/>
    <col min="23" max="16384" width="9.140625" style="8"/>
  </cols>
  <sheetData>
    <row r="1" spans="1:22" s="11" customFormat="1" ht="14.25" customHeight="1" x14ac:dyDescent="0.25">
      <c r="A1" s="1" t="s">
        <v>11</v>
      </c>
      <c r="B1" s="10" t="s">
        <v>73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vovina.Painting.Andon.ScanInfo.Dto;</v>
      </c>
      <c r="E1" s="10" t="s">
        <v>257</v>
      </c>
      <c r="F1" s="11" t="s">
        <v>75</v>
      </c>
      <c r="H1" s="11" t="s">
        <v>76</v>
      </c>
      <c r="J1" s="11" t="s">
        <v>77</v>
      </c>
      <c r="L1" s="11" t="s">
        <v>78</v>
      </c>
      <c r="M1" s="11" t="s">
        <v>79</v>
      </c>
      <c r="N1" s="11" t="s">
        <v>80</v>
      </c>
      <c r="O1" s="11" t="s">
        <v>94</v>
      </c>
      <c r="T1" s="10" t="s">
        <v>227</v>
      </c>
      <c r="U1" s="10" t="s">
        <v>253</v>
      </c>
    </row>
    <row r="2" spans="1:22" s="11" customFormat="1" ht="30" x14ac:dyDescent="0.25">
      <c r="A2" s="1" t="s">
        <v>12</v>
      </c>
      <c r="B2" s="30" t="s">
        <v>263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95</v>
      </c>
      <c r="T2" s="11" t="s">
        <v>218</v>
      </c>
      <c r="V2" s="11" t="s">
        <v>220</v>
      </c>
    </row>
    <row r="3" spans="1:22" s="11" customFormat="1" ht="33" customHeight="1" x14ac:dyDescent="0.25">
      <c r="A3" s="1" t="s">
        <v>5</v>
      </c>
      <c r="B3" s="30" t="s">
        <v>264</v>
      </c>
      <c r="C3" s="10" t="s">
        <v>43</v>
      </c>
      <c r="D3" s="10" t="s">
        <v>44</v>
      </c>
      <c r="E3" s="10" t="s">
        <v>39</v>
      </c>
      <c r="F3" s="11" t="str">
        <f>"J"&amp;COUNTA($A:$A)</f>
        <v>J12</v>
      </c>
      <c r="G3" s="4" t="s">
        <v>57</v>
      </c>
      <c r="H3" s="10" t="str">
        <f>"I"&amp;COUNTA($A:$A)</f>
        <v>I12</v>
      </c>
      <c r="I3" s="10" t="str">
        <f>REPT(CHAR(9),2)&amp;"[Required]"&amp;"
"</f>
        <v xml:space="preserve">		[Required]
</v>
      </c>
      <c r="J3" s="11" t="str">
        <f>"L"&amp;COUNTA($A:$A)</f>
        <v>L12</v>
      </c>
      <c r="K3" s="5" t="s">
        <v>56</v>
      </c>
      <c r="L3" s="11" t="str">
        <f>"M"&amp;COUNTA($A:$A)</f>
        <v>M12</v>
      </c>
      <c r="M3" s="11" t="str">
        <f>"N"&amp;COUNTA($A:$A)</f>
        <v>N12</v>
      </c>
      <c r="N3" s="11" t="str">
        <f>"O"&amp;COUNTA($A:$A)</f>
        <v>O12</v>
      </c>
      <c r="O3" s="11" t="str">
        <f>"P"&amp;COUNTA($A:$A)</f>
        <v>P12</v>
      </c>
      <c r="Q3" s="11" t="str">
        <f>RIGHT(B2,FIND(".",B2,1))</f>
        <v>.ScanInfo</v>
      </c>
      <c r="R3" s="32" t="str">
        <f>REPT(CHAR(9),1)&amp;"public class "&amp;B3&amp;"ExportInput"&amp;C3</f>
        <v xml:space="preserve">	public class PtsAdoScanInfoExportInput{
</v>
      </c>
      <c r="S3" s="11" t="str">
        <f>"namespace "&amp;$B$4&amp;".Exporting
"&amp;$C$3</f>
        <v xml:space="preserve">namespace vovina.Painting.Andon.ScanInfo.Exporting
{
</v>
      </c>
      <c r="T3" s="11" t="s">
        <v>219</v>
      </c>
      <c r="V3" s="11" t="s">
        <v>221</v>
      </c>
    </row>
    <row r="4" spans="1:22" customFormat="1" ht="16.5" customHeight="1" x14ac:dyDescent="0.25">
      <c r="A4" s="1" t="s">
        <v>6</v>
      </c>
      <c r="B4" s="10" t="str">
        <f>"vovina."&amp;B2</f>
        <v>vovina.Painting.Andon.ScanInfo</v>
      </c>
      <c r="C4" s="11" t="str">
        <f>"namespace "&amp;$B$4&amp;"
"&amp;$C$3</f>
        <v xml:space="preserve">namespace vovina.Painting.Andon.ScanInfo
{
</v>
      </c>
      <c r="D4" s="11" t="str">
        <f>REPT(CHAR(9),1)&amp;"public class "&amp;B3&amp;G3&amp;REPT(CHAR(9),1)&amp;"
"&amp;REPT(CHAR(9),1)&amp;C3</f>
        <v xml:space="preserve">	public class PtsAdoScanInfo: FullAuditedEntity&lt;long&gt;, IEntity&lt;long&gt;	
	{
</v>
      </c>
      <c r="E4" s="11" t="str">
        <f>REPT(CHAR(9),1)&amp;"public class "&amp;B3&amp;"Consts"&amp;REPT(CHAR(9),1)&amp;"
"&amp;REPT(CHAR(9),1)&amp;C3</f>
        <v xml:space="preserve">	public class PtsAdoScanInfoConsts	
	{
</v>
      </c>
      <c r="F4" s="11" t="str">
        <f>REPT(CHAR(9),1)&amp;"public class "&amp;B3&amp;"Dto"&amp;K3&amp;REPT(CHAR(9),1)&amp;"
"&amp;REPT(CHAR(9),1)&amp;C3</f>
        <v xml:space="preserve">	public class PtsAdoScanInfoDto : EntityDto&lt;long?&gt;	
	{
</v>
      </c>
      <c r="G4" s="11" t="str">
        <f>REPT(CHAR(9),1)&amp;"public class CreateOrEdit"&amp;B3&amp;"Dto"&amp;K3&amp;REPT(CHAR(9),1)&amp;"
"&amp;REPT(CHAR(9),1)&amp;C3</f>
        <v xml:space="preserve">	public class CreateOrEditPtsAdoScanInfoDto : EntityDto&lt;long?&gt;	
	{
</v>
      </c>
      <c r="H4" s="11" t="str">
        <f>REPT(CHAR(9),1)&amp;"public class Get"&amp;B3&amp;"Input : PagedAndSortedResultRequestDto"&amp;REPT(CHAR(9),1)&amp;"
"&amp;REPT(CHAR(9),1)&amp;C3</f>
        <v xml:space="preserve">	public class GetPtsAdoScanInfoInput : PagedAndSortedResultRequestDto	
	{
</v>
      </c>
      <c r="I4" s="11"/>
      <c r="J4" s="1" t="s">
        <v>74</v>
      </c>
      <c r="K4" s="1" t="s">
        <v>66</v>
      </c>
      <c r="L4" s="1" t="s">
        <v>67</v>
      </c>
      <c r="M4" s="1" t="s">
        <v>68</v>
      </c>
      <c r="N4" s="1" t="s">
        <v>69</v>
      </c>
      <c r="O4" s="1" t="s">
        <v>70</v>
      </c>
      <c r="P4" s="1" t="s">
        <v>71</v>
      </c>
      <c r="Q4" s="1" t="s">
        <v>72</v>
      </c>
      <c r="R4" s="1" t="s">
        <v>213</v>
      </c>
      <c r="S4" s="1" t="s">
        <v>215</v>
      </c>
      <c r="T4" s="1" t="s">
        <v>214</v>
      </c>
      <c r="U4" s="1" t="s">
        <v>250</v>
      </c>
    </row>
    <row r="5" spans="1:22" customFormat="1" ht="15.75" customHeight="1" x14ac:dyDescent="0.25">
      <c r="A5" s="1" t="s">
        <v>13</v>
      </c>
      <c r="B5" s="10" t="str">
        <f>B3</f>
        <v>PtsAdoScanInfo</v>
      </c>
      <c r="C5" s="11" t="str">
        <f>REPT(CHAR(9),1)&amp;"[Table("""&amp;B5&amp;""")]"&amp;"
"</f>
        <v xml:space="preserve">	[Table("PtsAdoScanInfo")]
</v>
      </c>
      <c r="D5" s="11"/>
      <c r="E5" s="11"/>
      <c r="F5" s="11"/>
      <c r="G5" s="11"/>
      <c r="H5" s="11"/>
      <c r="I5" s="11"/>
      <c r="J5" s="6" t="str">
        <f ca="1">B1&amp;C4&amp;C5&amp;K14&amp;D4&amp;I14&amp;E3&amp;J14&amp;"
"&amp;REPT(CHAR(9),1)&amp;D3&amp;D3</f>
        <v xml:space="preserve">using Abp.Domain.Entities;
using Abp.Domain.Entities.Auditing;
using Microsoft.EntityFrameworkCore;
using System;
using System.ComponentModel.DataAnnotations;
using System.ComponentModel.DataAnnotations.Schema;
namespace vovina.Painting.Andon.ScanInfo
{
	[Table("PtsAdoScanInfo")]
	[Index(nameof(ScanType), Name="IX_PtsAdoScanInfo_ScanType")]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	}
}
</v>
      </c>
      <c r="K5" t="str">
        <f>"public virtual DbSet&lt;"&amp;B3&amp;"&gt; "&amp;B3&amp;"s { get; set; }
"</f>
        <v xml:space="preserve">public virtual DbSet&lt;PtsAdoScanInfo&gt; PtsAdoScanInfos { get; set; }
</v>
      </c>
      <c r="L5" t="str">
        <f ca="1">C4&amp;E4&amp;I14&amp;"
"&amp;REPT(CHAR(9),2)&amp;"// Define Store Name: Format SP_ + &lt;Store Name&gt; = &lt;Store Name&gt;
"&amp;E3&amp;REPT(CHAR(9),1)&amp;D3&amp;D3</f>
        <v xml:space="preserve">namespace vovina.Painting.Andon.ScanInfo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M5" t="str">
        <f ca="1">C1&amp;"namespace "&amp;B4&amp;".Dto"&amp;E3&amp;C3&amp;F4&amp;M14&amp;E3&amp;REPT(CHAR(9),1)&amp;D3&amp;G4&amp;N14&amp;REPT(CHAR(9),1)&amp;D3&amp;H4&amp;O14&amp;"
"&amp;REPT(CHAR(9),1)&amp;D3&amp;D3</f>
        <v xml:space="preserve">using Abp.Application.Services.Dto;
using System;
using System.ComponentModel.DataAnnotations;
namespace vovina.Painting.Andon.ScanInfo.Dto
{
	public class PtsAdoScanInfoDto : EntityDto&lt;long?&gt;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 ScanTime { get; set; }
		[StringLength(PtsAdoScanInfoConsts.MaxScanByLength)]
		public virtual string ScanBy { get; set; }
		[StringLength(PtsAdoScanInfoConsts.MaxIsProcessedLength)]
		public virtual string IsProcessed { get; set; }
	}
	public class GetPtsAdoScanInfoInput : PagedAndSortedResultRequestDto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}
</v>
      </c>
      <c r="N5" t="str">
        <f>REPT(CHAR(9),2)&amp;"var per"&amp;B3&amp;" = PARENTS.CreateChildPermission(AppPermissions.Pages_"&amp;SUBSTITUTE(B2,".","_")&amp;", L( """&amp;SUBSTITUTE(B2,".","")&amp;"""));"
&amp;E3&amp;REPT(CHAR(9),2)&amp;"per"&amp;B3&amp;".CreateChildPermission(AppPermissions.Pages_"&amp;SUBSTITUTE(B2,".","_")&amp;"_CreateEdit, L( """&amp;SUBSTITUTE(B2,".","")&amp;"CreateEdit"&amp;"""));"
&amp;E3&amp;REPT(CHAR(9),2)&amp;"per"&amp;B3&amp;".CreateChildPermission(AppPermissions.Pages_"&amp;SUBSTITUTE(B2,".","_")&amp;"_Delete, L( """&amp;SUBSTITUTE(B2,".","")&amp;"Delete"&amp;"""));"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O5" t="str">
        <f>REPT(CHAR(9),2)&amp;"public const string Pages_"&amp;SUBSTITUTE(B2,".","_")&amp;" = ""Pages."&amp;B2&amp;""";"
&amp;E3&amp;REPT(CHAR(9),2)&amp;"public const string Pages_"&amp;SUBSTITUTE(B2,".","_")&amp;"_CreateEdit"&amp;" = ""Pages."&amp;B2&amp;".CreateEdit"";"
&amp;E3&amp;REPT(CHAR(9),2)&amp;"public const string Pages_"&amp;SUBSTITUTE(B2,".","_")&amp;"_Delete"&amp;" = ""Pages."&amp;B2&amp;".Delete"";
"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P5" t="str">
        <f>D1&amp;E3&amp;E3
&amp;C4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</f>
        <v xml:space="preserve">using Abp.Application.Services;
using Abp.Application.Services.Dto;
using System.Collections.Generic;using vovina.Dto;
using System.Threading.Tasks;
using vovina.Painting.Andon.ScanInfo.Dto;
namespace vovina.Painting.Andon.ScanInfo
{
	public interface IPtsAdoScanInfoAppService : IApplicationService
	{
		Task&lt;PagedResultDto&lt;PtsAdoScanInfoDto&gt;&gt; GetAll(GetPtsAdoScanInfoInput input);
		Task CreateOrEdit(CreateOrEditPtsAdoScanInfoDto input);
		Task Delete(EntityDto input);
	}
}
</v>
      </c>
      <c r="Q5" t="str">
        <f ca="1">SUBSTITUTE(SUBSTITUTE(SUBSTITUTE(E1,"MstWptCalendar",$B$3),"&lt;PROPERTIES&gt;",P14),"Calendar",$Q$3)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vovina.Master.WorkingPattern..ScanInfo.Exporting;
using vovina.Master.WorkingPattern.Dto;
using vovina.Master.WorkingPattern..ScanInfo;
using vovina.Master.WorkingPattern..ScanInfo.Dto;
namespace vovina.Master.WorkingPattern
{
    [AbpAuthorize(AppPermissions.Pages_Master_WorkingPattern)]
    public class PtsAdoScanInfoAppService : vovinaAppServiceBase, IPtsAdoScanInfoAppService
    {
        private readonly IDapperRepository&lt;PtsAdoScanInfo, long&gt; _dapperRepo;
        private readonly IRepository&lt;PtsAdoScanInfo, long&gt; _repo;
        private readonly IPtsAdoScanInfoExcelExporter _calendarListExcelExporter;
        public PtsAdoScanInfoAppService(IRepository&lt;PtsAdoScanInfo,long&gt; repo, 
                                         IDapperRepository&lt;PtsAdoScanInfo,long&gt; dapperRepo,
                                        IPtsAdoScanInfoExcelExporter calendarListExcelExporter
            )
        {
            _repo = repo;
            _dapperRepo = dapperRepo;
            _calendarListExcelExporter = calendarListExcelExporter;
        }
        [AbpAuthorize(AppPermissions.Pages_Master_WorkingPattern_.ScanInfo_CreateEdit)]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          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[AbpAuthorize(AppPermissions.Pages_Master_WorkingPattern_.ScanInfo_Delete)]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Task&lt;PagedResultDto&lt;PtsAdoScanInfoDto&gt;&gt; GetAll(GetPtsAdoScanInfoInput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PtsAdoScanInfoDto
                         {Id = o.Id,
                              							ScanType = o.ScanType,
							ScanValue = o.ScanValue,
							ScanLocation = o.ScanLocation,
							ScanTime = o.ScanTime,
							ScanBy = o.ScanBy,
							IsProcessed = o.IsProcessed,
                         };
            var totalCount = await filtered.CountAsync();
			var paged = system.PageBy(input);
            return new PagedResultDto&lt;PtsAdoScanInfoDto&gt;(
                totalCount,
                 await paged.ToListAsync()
            );
        }
        public async Task&lt;FileDto&gt; Get.ScanInfoToExcel(PtsAdoScanInfoExportInput input)
        {
            var query = from o in _repo.GetAll()
                        select new PtsAdoScanInfoDto
                        {Id = o.Id,
                               							ScanType = o.ScanType,
							ScanValue = o.ScanValue,
							ScanLocation = o.ScanLocation,
							ScanTime = o.ScanTime,
							ScanBy = o.ScanBy,
							IsProcessed = o.IsProcessed,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_dapperRepo.ExecuteAsync(PtsAdoScanInfoConsts.SP_MST_WPT_CALENDAR_GENERATE);
       // }
    }
}</v>
      </c>
      <c r="R5" t="str">
        <f ca="1">C1&amp;"namespace "&amp;B4&amp;".Dto"&amp;E3&amp;C3&amp;R3&amp;M14&amp;E3&amp;REPT(CHAR(9),1)&amp;D3&amp;D3</f>
        <v xml:space="preserve">using Abp.Application.Services.Dto;
using System;
using System.ComponentModel.DataAnnotations;
namespace vovina.Painting.Andon.ScanInfo.Dto
{
	public class PtsAdoScanInfoExportInput{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}
</v>
      </c>
      <c r="S5" t="str">
        <f>D1&amp;E3&amp;E3
&amp;S3
&amp;REPT(CHAR(9),1)&amp;"public interface I"&amp;B3&amp;"ExcelExporter : IApplicationService"&amp;E3&amp;REPT(CHAR(9),1)&amp;C3&amp;REPT(CHAR(9),2)&amp;"FileDto ExportToFile(List&lt;"&amp;B3&amp;"Dto&gt; "&amp;LOWER(B3)&amp;");"&amp;D3&amp;D3</f>
        <v xml:space="preserve">using Abp.Application.Services;
using Abp.Application.Services.Dto;
using System.Collections.Generic;using vovina.Dto;
using System.Threading.Tasks;
using vovina.Painting.Andon.ScanInfo.Dto;
namespace vovina.Painting.Andon.ScanInfo.Exporting
{
	public interface IPtsAdoScanInfoExcelExporter : IApplicationService
	{
		FileDto ExportToFile(List&lt;PtsAdoScanInfoDto&gt; ptsadoscaninfo);}
}
</v>
      </c>
      <c r="T5" s="28" t="str">
        <f ca="1">SUBSTITUTE(SUBSTITUTE(SUBSTITUTE(SUBSTITUTE(SUBSTITUTE(T1,"MstWptCalendar",$B$3),"&lt;PROPERTIES1&gt;",V14),"&lt;PROPERTIES&gt;",T14),"Calendar",$Q$3),"calendar",LOWER(Q3))</f>
        <v>using System.Collections.Generic;
using vovina.DataExporting.Excel.NPOI;
using vovina.Dto;
using vovina.Master.WorkingPattern..ScanInfo.Exporting;
using vovina.Master.WorkingPattern.Dto;
using vovina.Storage;
using vovina.Master.WorkingPattern..ScanInfo.Dto;
namespace vovina.MasterWorkingPattern..ScanInfo.Exporting
{
    public class PtsAdoScanInfoExcelExporter : NpoiExcelExporterBase, IPtsAdoScanInfoExcelExporter
    {
        public PtsAdoScanInfoExcelExporter(ITempFileCacheManager tempFileCacheManager) : base(tempFileCacheManager) { }
        public FileDto ExportToFile(List&lt;PtsAdoScanInfoDto&gt; .scaninfo)
        {
            return CreateExcelPackage(
                                 "MasterWorkingPattern.ScanInfo.xlsx",
                                 excelPackage =&gt;
                                 {
                                     var sheet = excelPackage.CreateSheet(".ScanInfo");
                                     AddHeader(
                                               sheet,
                                                      ("ScanType"),
("ScanValue"),
("ScanLocation"),
                                               );
                                     AddObjects(
                                         sheet, 1, .scaninfo,
                                         _ =&gt; _.ScanType,
_ =&gt; _.ScanValue,
_ =&gt; _.ScanLocation,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v>
      </c>
      <c r="U5" s="28" t="str">
        <f>SUBSTITUTE(U1,"MstWptCalendar",$B$3)</f>
        <v xml:space="preserve">  configuration.CreateMap&lt;PtsAdoScanInfoDto, PtsAdoScanInfo&gt;();
  configuration.CreateMap&lt;PtsAdoScanInfo, PtsAdoScanInfoDto&gt;();
  configuration.CreateMap&lt;CreateOrEditPtsAdoScanInfoDto, PtsAdoScanInfo&gt;();</v>
      </c>
      <c r="V5" s="28"/>
    </row>
    <row r="6" spans="1:22" s="2" customFormat="1" x14ac:dyDescent="0.25">
      <c r="A6" s="2" t="s">
        <v>7</v>
      </c>
      <c r="B6" s="3" t="s">
        <v>8</v>
      </c>
      <c r="C6" s="2" t="s">
        <v>10</v>
      </c>
      <c r="D6" s="2" t="s">
        <v>14</v>
      </c>
      <c r="E6" s="2" t="s">
        <v>37</v>
      </c>
      <c r="F6" s="2" t="s">
        <v>59</v>
      </c>
      <c r="G6" s="2" t="s">
        <v>9</v>
      </c>
      <c r="H6" s="2" t="s">
        <v>15</v>
      </c>
      <c r="I6" s="2" t="s">
        <v>50</v>
      </c>
      <c r="J6" s="2" t="s">
        <v>38</v>
      </c>
      <c r="K6" s="2" t="s">
        <v>46</v>
      </c>
      <c r="L6" s="2" t="s">
        <v>47</v>
      </c>
      <c r="M6" s="2" t="s">
        <v>63</v>
      </c>
      <c r="N6" s="2" t="s">
        <v>58</v>
      </c>
      <c r="O6" s="2" t="s">
        <v>64</v>
      </c>
      <c r="P6" s="20" t="s">
        <v>93</v>
      </c>
    </row>
    <row r="7" spans="1:22" customFormat="1" ht="22.5" customHeight="1" x14ac:dyDescent="0.25">
      <c r="A7" t="s">
        <v>267</v>
      </c>
      <c r="B7" t="s">
        <v>260</v>
      </c>
      <c r="C7" t="s">
        <v>88</v>
      </c>
      <c r="D7" t="str">
        <f>SUBSTITUTE(PROPER(A7),"_","")</f>
        <v>ScanType</v>
      </c>
      <c r="E7" t="str">
        <f t="shared" ref="E7:E9" si="0">IFERROR(LEFT(B7, FIND("(",B7)-1),B7)</f>
        <v>nvarchar</v>
      </c>
      <c r="F7" s="7"/>
      <c r="G7" t="str">
        <f t="shared" ref="G7:G9" si="1">IFERROR(MID(B7,FIND("(",B7) +1, FIND(")",B7) - FIND("(",B7) - 1),"")</f>
        <v>50</v>
      </c>
      <c r="H7" t="str">
        <f>+VLOOKUP(E7,'Data Type Mapping'!A:B,2,)</f>
        <v>string</v>
      </c>
      <c r="I7" t="str">
        <f t="shared" ref="I7:I9" si="2">IF(H7="string",REPT(CHAR(9),2)&amp;"public const int Max"&amp;D7&amp;"Length = "&amp;G7&amp;";"&amp;$E$3,"" )</f>
        <v xml:space="preserve">		public const int MaxScanTypeLength = 50;
</v>
      </c>
      <c r="J7" t="str">
        <f t="shared" ref="J7:J9" si="3">IF(F7="","",REPT(CHAR(9),2)&amp;"[Column(TypeName="""&amp;F7&amp;""")]"&amp;$E$3)&amp;IF(C7="Checked","",$I$3)&amp;IF(H7="string",REPT(CHAR(9),2)&amp;"[StringLength(Max"&amp;D7&amp;"Length"&amp;")]"&amp;$E$3,"")&amp;REPT(CHAR(9),2)&amp;"public virtual "&amp;H7&amp;IF(C7="?","? "," ")&amp;D7&amp;" { get; set; }" &amp; "
"</f>
        <v xml:space="preserve">		[Required]
		[StringLength(MaxScanTypeLength)]
		public virtual string ScanType { get; set; }
</v>
      </c>
      <c r="K7" s="7" t="s">
        <v>217</v>
      </c>
      <c r="L7" t="str">
        <f>IF(K7="","",REPT(CHAR(9),1)&amp;"[Index(nameof("&amp;IF(D7="","",""&amp;D7)&amp;")"&amp;", Name="&amp;"""IX_"&amp;$B$5&amp;"_"&amp;D7&amp;""")]")</f>
        <v xml:space="preserve">	[Index(nameof(ScanType), Name="IX_PtsAdoScanInfo_ScanType")]</v>
      </c>
      <c r="M7" t="str">
        <f t="shared" ref="M7:M9" si="4">REPT(CHAR(9),2)&amp;"public virtual "&amp;H7&amp;IF(C7="?","? "," ")&amp;D7&amp;" { get; set; }" &amp; "
"</f>
        <v xml:space="preserve">		public virtual string ScanType { get; set; }
</v>
      </c>
      <c r="N7" t="str">
        <f t="shared" ref="N7:N9" si="5">IF(C7="Checked","",$I$3)&amp;IF(H7="string",REPT(CHAR(9),2)&amp;"[StringLength("&amp;$B$3&amp;"Consts.Max"&amp;D7&amp;"Length"&amp;")]"&amp;$E$3,"")&amp;REPT(CHAR(9),2)&amp;"public virtual "&amp;H7&amp;IF(C7="?","? "," ")&amp;D7&amp;" { get; set; }" &amp; "
"</f>
        <v xml:space="preserve">		[Required]
		[StringLength(PtsAdoScanInfoConsts.MaxScanTypeLength)]
		public virtual string ScanType { get; set; }
</v>
      </c>
      <c r="O7" t="str">
        <f t="shared" ref="O7:O9" si="6">IF(OR(H7="string",H7="DateTime"),REPT(CHAR(9),2)&amp;"public virtual "&amp;H7&amp;IF(C7="?","? "," ")&amp;D7&amp;" { get; set; }"&amp;$E$3,"")</f>
        <v xml:space="preserve">		public virtual string ScanType { get; set; }
</v>
      </c>
      <c r="P7" t="str">
        <f t="shared" ref="P7:P9" si="7">REPT(CHAR(9),7)&amp;D7&amp;" = o." &amp;D7 &amp;","</f>
        <v xml:space="preserve">							ScanType = o.ScanType,</v>
      </c>
      <c r="T7" s="28" t="str">
        <f>"("""&amp;D7&amp;"""),"</f>
        <v>("ScanType"),</v>
      </c>
      <c r="V7" t="str">
        <f t="shared" ref="V7:V12" si="8">"_ =&gt; _."&amp;D7&amp;","</f>
        <v>_ =&gt; _.ScanType,</v>
      </c>
    </row>
    <row r="8" spans="1:22" customFormat="1" ht="21" customHeight="1" x14ac:dyDescent="0.25">
      <c r="A8" t="s">
        <v>268</v>
      </c>
      <c r="B8" t="s">
        <v>260</v>
      </c>
      <c r="C8" t="s">
        <v>1</v>
      </c>
      <c r="D8" t="str">
        <f t="shared" ref="D8:D9" si="9">SUBSTITUTE(PROPER(A8),"_","")</f>
        <v>ScanValue</v>
      </c>
      <c r="E8" t="str">
        <f t="shared" si="0"/>
        <v>nvarchar</v>
      </c>
      <c r="F8" s="7"/>
      <c r="G8" t="str">
        <f t="shared" si="1"/>
        <v>50</v>
      </c>
      <c r="H8" t="str">
        <f>+VLOOKUP(E8,'Data Type Mapping'!A:B,2,)</f>
        <v>string</v>
      </c>
      <c r="I8" t="str">
        <f t="shared" si="2"/>
        <v xml:space="preserve">		public const int MaxScanValueLength = 50;
</v>
      </c>
      <c r="J8" t="str">
        <f t="shared" si="3"/>
        <v xml:space="preserve">		[StringLength(MaxScanValueLength)]
		public virtual string ScanValue { get; set; }
</v>
      </c>
      <c r="K8" s="7"/>
      <c r="L8" t="str">
        <f t="shared" ref="L8:L9" si="10">IF(K8="","",REPT(CHAR(9),1)&amp;"[Index(nameof("&amp;IF(D8="","",""&amp;D8)&amp;")"&amp;", Name="&amp;"""IX_"&amp;$B$5&amp;"_"&amp;D8&amp;""")]")</f>
        <v/>
      </c>
      <c r="M8" t="str">
        <f t="shared" si="4"/>
        <v xml:space="preserve">		public virtual string ScanValue { get; set; }
</v>
      </c>
      <c r="N8" t="str">
        <f t="shared" si="5"/>
        <v xml:space="preserve">		[StringLength(PtsAdoScanInfoConsts.MaxScanValueLength)]
		public virtual string ScanValue { get; set; }
</v>
      </c>
      <c r="O8" t="str">
        <f t="shared" si="6"/>
        <v xml:space="preserve">		public virtual string ScanValue { get; set; }
</v>
      </c>
      <c r="P8" t="str">
        <f t="shared" si="7"/>
        <v xml:space="preserve">							ScanValue = o.ScanValue,</v>
      </c>
      <c r="T8" s="28" t="str">
        <f t="shared" ref="T8:T9" si="11">"("""&amp;D8&amp;"""),"</f>
        <v>("ScanValue"),</v>
      </c>
      <c r="V8" t="str">
        <f t="shared" si="8"/>
        <v>_ =&gt; _.ScanValue,</v>
      </c>
    </row>
    <row r="9" spans="1:22" customFormat="1" ht="18.75" customHeight="1" x14ac:dyDescent="0.25">
      <c r="A9" t="s">
        <v>269</v>
      </c>
      <c r="B9" t="s">
        <v>260</v>
      </c>
      <c r="C9" t="s">
        <v>1</v>
      </c>
      <c r="D9" t="str">
        <f t="shared" si="9"/>
        <v>ScanLocation</v>
      </c>
      <c r="E9" t="str">
        <f t="shared" si="0"/>
        <v>nvarchar</v>
      </c>
      <c r="F9" s="7"/>
      <c r="G9" t="str">
        <f t="shared" si="1"/>
        <v>50</v>
      </c>
      <c r="H9" t="str">
        <f>+VLOOKUP(E9,'Data Type Mapping'!A:B,2,)</f>
        <v>string</v>
      </c>
      <c r="I9" t="str">
        <f t="shared" si="2"/>
        <v xml:space="preserve">		public const int MaxScanLocationLength = 50;
</v>
      </c>
      <c r="J9" t="str">
        <f t="shared" si="3"/>
        <v xml:space="preserve">		[StringLength(MaxScanLocationLength)]
		public virtual string ScanLocation { get; set; }
</v>
      </c>
      <c r="K9" s="7"/>
      <c r="L9" t="str">
        <f t="shared" si="10"/>
        <v/>
      </c>
      <c r="M9" t="str">
        <f t="shared" si="4"/>
        <v xml:space="preserve">		public virtual string ScanLocation { get; set; }
</v>
      </c>
      <c r="N9" t="str">
        <f t="shared" si="5"/>
        <v xml:space="preserve">		[StringLength(PtsAdoScanInfoConsts.MaxScanLocationLength)]
		public virtual string ScanLocation { get; set; }
</v>
      </c>
      <c r="O9" t="str">
        <f t="shared" si="6"/>
        <v xml:space="preserve">		public virtual string ScanLocation { get; set; }
</v>
      </c>
      <c r="P9" t="str">
        <f t="shared" si="7"/>
        <v xml:space="preserve">							ScanLocation = o.ScanLocation,</v>
      </c>
      <c r="T9" s="28" t="str">
        <f t="shared" si="11"/>
        <v>("ScanLocation"),</v>
      </c>
      <c r="V9" t="str">
        <f t="shared" si="8"/>
        <v>_ =&gt; _.ScanLocation,</v>
      </c>
    </row>
    <row r="10" spans="1:22" customFormat="1" ht="21" customHeight="1" x14ac:dyDescent="0.25">
      <c r="A10" t="s">
        <v>270</v>
      </c>
      <c r="B10" t="s">
        <v>261</v>
      </c>
      <c r="C10" t="s">
        <v>88</v>
      </c>
      <c r="D10" t="str">
        <f t="shared" ref="D10:D11" si="12">SUBSTITUTE(PROPER(A10),"_","")</f>
        <v>ScanTime</v>
      </c>
      <c r="E10" t="str">
        <f t="shared" ref="E10:E11" si="13">IFERROR(LEFT(B10, FIND("(",B10)-1),B10)</f>
        <v>datetime2</v>
      </c>
      <c r="F10" s="7"/>
      <c r="G10" t="str">
        <f t="shared" ref="G10:G11" si="14">IFERROR(MID(B10,FIND("(",B10) +1, FIND(")",B10) - FIND("(",B10) - 1),"")</f>
        <v>7</v>
      </c>
      <c r="H10" t="str">
        <f>+VLOOKUP(E10,'Data Type Mapping'!A:B,2,)</f>
        <v>DateTime</v>
      </c>
      <c r="I10" t="str">
        <f t="shared" ref="I10:I11" si="15">IF(H10="string",REPT(CHAR(9),2)&amp;"public const int Max"&amp;D10&amp;"Length = "&amp;G10&amp;";"&amp;$E$3,"" )</f>
        <v/>
      </c>
      <c r="J10" t="str">
        <f t="shared" ref="J10:J11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[Required]
		public virtual DateTime ScanTime { get; set; }
</v>
      </c>
      <c r="K10" s="7"/>
      <c r="L10" t="str">
        <f t="shared" ref="L10:L11" si="17">IF(K10="","",REPT(CHAR(9),1)&amp;"[Index(nameof("&amp;IF(D10="","",""&amp;D10)&amp;")"&amp;", Name="&amp;"""IX_"&amp;$B$5&amp;"_"&amp;D10&amp;""")]")</f>
        <v/>
      </c>
      <c r="M10" t="str">
        <f t="shared" ref="M10:M11" si="18">REPT(CHAR(9),2)&amp;"public virtual "&amp;H10&amp;IF(C10="?","? "," ")&amp;D10&amp;" { get; set; }" &amp; "
"</f>
        <v xml:space="preserve">		public virtual DateTime ScanTime { get; set; }
</v>
      </c>
      <c r="N10" t="str">
        <f t="shared" ref="N10:N11" si="19">IF(C10="Checked","",$I$3)&amp;IF(H10="string",REPT(CHAR(9),2)&amp;"[StringLength("&amp;$B$3&amp;"Consts.Max"&amp;D10&amp;"Length"&amp;")]"&amp;$E$3,"")&amp;REPT(CHAR(9),2)&amp;"public virtual "&amp;H10&amp;IF(C10="?","? "," ")&amp;D10&amp;" { get; set; }" &amp; "
"</f>
        <v xml:space="preserve">		[Required]
		public virtual DateTime ScanTime { get; set; }
</v>
      </c>
      <c r="O10" t="str">
        <f t="shared" ref="O10:O11" si="20">IF(OR(H10="string",H10="DateTime"),REPT(CHAR(9),2)&amp;"public virtual "&amp;H10&amp;IF(C10="?","? "," ")&amp;D10&amp;" { get; set; }"&amp;$E$3,"")</f>
        <v xml:space="preserve">		public virtual DateTime ScanTime { get; set; }
</v>
      </c>
      <c r="P10" t="str">
        <f t="shared" ref="P10:P11" si="21">REPT(CHAR(9),7)&amp;D10&amp;" = o." &amp;D10 &amp;","</f>
        <v xml:space="preserve">							ScanTime = o.ScanTime,</v>
      </c>
      <c r="T10" s="28" t="str">
        <f t="shared" ref="T10:T11" si="22">"("""&amp;D10&amp;"""),"</f>
        <v>("ScanTime"),</v>
      </c>
      <c r="V10" t="str">
        <f t="shared" si="8"/>
        <v>_ =&gt; _.ScanTime,</v>
      </c>
    </row>
    <row r="11" spans="1:22" customFormat="1" ht="18.75" customHeight="1" x14ac:dyDescent="0.25">
      <c r="A11" t="s">
        <v>271</v>
      </c>
      <c r="B11" t="s">
        <v>260</v>
      </c>
      <c r="C11" t="s">
        <v>1</v>
      </c>
      <c r="D11" t="str">
        <f t="shared" si="12"/>
        <v>ScanBy</v>
      </c>
      <c r="E11" t="str">
        <f t="shared" si="13"/>
        <v>nvarchar</v>
      </c>
      <c r="F11" s="7"/>
      <c r="G11" t="str">
        <f t="shared" si="14"/>
        <v>50</v>
      </c>
      <c r="H11" t="str">
        <f>+VLOOKUP(E11,'Data Type Mapping'!A:B,2,)</f>
        <v>string</v>
      </c>
      <c r="I11" t="str">
        <f t="shared" si="15"/>
        <v xml:space="preserve">		public const int MaxScanByLength = 50;
</v>
      </c>
      <c r="J11" t="str">
        <f t="shared" si="16"/>
        <v xml:space="preserve">		[StringLength(MaxScanByLength)]
		public virtual string ScanBy { get; set; }
</v>
      </c>
      <c r="K11" s="7"/>
      <c r="L11" t="str">
        <f t="shared" si="17"/>
        <v/>
      </c>
      <c r="M11" t="str">
        <f t="shared" si="18"/>
        <v xml:space="preserve">		public virtual string ScanBy { get; set; }
</v>
      </c>
      <c r="N11" t="str">
        <f t="shared" si="19"/>
        <v xml:space="preserve">		[StringLength(PtsAdoScanInfoConsts.MaxScanByLength)]
		public virtual string ScanBy { get; set; }
</v>
      </c>
      <c r="O11" t="str">
        <f t="shared" si="20"/>
        <v xml:space="preserve">		public virtual string ScanBy { get; set; }
</v>
      </c>
      <c r="P11" t="str">
        <f t="shared" si="21"/>
        <v xml:space="preserve">							ScanBy = o.ScanBy,</v>
      </c>
      <c r="T11" s="28" t="str">
        <f t="shared" si="22"/>
        <v>("ScanBy"),</v>
      </c>
      <c r="V11" t="str">
        <f t="shared" si="8"/>
        <v>_ =&gt; _.ScanBy,</v>
      </c>
    </row>
    <row r="12" spans="1:22" customFormat="1" ht="18.75" customHeight="1" x14ac:dyDescent="0.25">
      <c r="A12" t="s">
        <v>272</v>
      </c>
      <c r="B12" t="s">
        <v>262</v>
      </c>
      <c r="C12" t="s">
        <v>1</v>
      </c>
      <c r="D12" t="str">
        <f t="shared" ref="D12" si="23">SUBSTITUTE(PROPER(A12),"_","")</f>
        <v>IsProcessed</v>
      </c>
      <c r="E12" t="str">
        <f t="shared" ref="E12" si="24">IFERROR(LEFT(B12, FIND("(",B12)-1),B12)</f>
        <v>nvarchar</v>
      </c>
      <c r="F12" s="7"/>
      <c r="G12" t="str">
        <f t="shared" ref="G12" si="25">IFERROR(MID(B12,FIND("(",B12) +1, FIND(")",B12) - FIND("(",B12) - 1),"")</f>
        <v>1</v>
      </c>
      <c r="H12" t="str">
        <f>+VLOOKUP(E12,'Data Type Mapping'!A:B,2,)</f>
        <v>string</v>
      </c>
      <c r="I12" t="str">
        <f t="shared" ref="I12" si="26">IF(H12="string",REPT(CHAR(9),2)&amp;"public const int Max"&amp;D12&amp;"Length = "&amp;G12&amp;";"&amp;$E$3,"" )</f>
        <v xml:space="preserve">		public const int MaxIsProcessedLength = 1;
</v>
      </c>
      <c r="J12" t="str">
        <f t="shared" ref="J12" si="27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[StringLength(MaxIsProcessedLength)]
		public virtual string IsProcessed { get; set; }
</v>
      </c>
      <c r="K12" s="7"/>
      <c r="L12" t="str">
        <f t="shared" ref="L12" si="28">IF(K12="","",REPT(CHAR(9),1)&amp;"[Index(nameof("&amp;IF(D12="","",""&amp;D12)&amp;")"&amp;", Name="&amp;"""IX_"&amp;$B$5&amp;"_"&amp;D12&amp;""")]")</f>
        <v/>
      </c>
      <c r="M12" t="str">
        <f t="shared" ref="M12" si="29">REPT(CHAR(9),2)&amp;"public virtual "&amp;H12&amp;IF(C12="?","? "," ")&amp;D12&amp;" { get; set; }" &amp; "
"</f>
        <v xml:space="preserve">		public virtual string IsProcessed { get; set; }
</v>
      </c>
      <c r="N12" t="str">
        <f t="shared" ref="N12" si="30">IF(C12="Checked","",$I$3)&amp;IF(H12="string",REPT(CHAR(9),2)&amp;"[StringLength("&amp;$B$3&amp;"Consts.Max"&amp;D12&amp;"Length"&amp;")]"&amp;$E$3,"")&amp;REPT(CHAR(9),2)&amp;"public virtual "&amp;H12&amp;IF(C12="?","? "," ")&amp;D12&amp;" { get; set; }" &amp; "
"</f>
        <v xml:space="preserve">		[StringLength(PtsAdoScanInfoConsts.MaxIsProcessedLength)]
		public virtual string IsProcessed { get; set; }
</v>
      </c>
      <c r="O12" t="str">
        <f t="shared" ref="O12" si="31">IF(OR(H12="string",H12="DateTime"),REPT(CHAR(9),2)&amp;"public virtual "&amp;H12&amp;IF(C12="?","? "," ")&amp;D12&amp;" { get; set; }"&amp;$E$3,"")</f>
        <v xml:space="preserve">		public virtual string IsProcessed { get; set; }
</v>
      </c>
      <c r="P12" t="str">
        <f t="shared" ref="P12" si="32">REPT(CHAR(9),7)&amp;D12&amp;" = o." &amp;D12 &amp;","</f>
        <v xml:space="preserve">							IsProcessed = o.IsProcessed,</v>
      </c>
      <c r="T12" s="28" t="str">
        <f t="shared" ref="T12" si="33">"("""&amp;D12&amp;"""),"</f>
        <v>("IsProcessed"),</v>
      </c>
      <c r="V12" t="str">
        <f t="shared" si="8"/>
        <v>_ =&gt; _.IsProcessed,</v>
      </c>
    </row>
    <row r="14" spans="1:22" ht="45.75" customHeight="1" x14ac:dyDescent="0.25">
      <c r="H14" s="12"/>
      <c r="I14" s="34" t="str">
        <f ca="1">TEXTJOIN2("
", TRUE,INDIRECT( $H$1):INDIRECT( $H$3))</f>
        <v xml:space="preserve">		public const int MaxScanTypeLength = 50;
		public const int MaxScanValueLength = 50;
		public const int MaxScanLocationLength = 50;
		public const int MaxScanByLength = 50;
		public const int MaxIsProcessedLength = 1;
</v>
      </c>
      <c r="J14" s="33" t="str">
        <f ca="1">TEXTJOIN2("
", TRUE,INDIRECT( $F$1):INDIRECT( $F$3))</f>
        <v xml:space="preserve">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</v>
      </c>
      <c r="K14" s="35" t="str">
        <f ca="1">TEXTJOIN2("
", TRUE,INDIRECT( $J$1):INDIRECT( $J$3))</f>
        <v xml:space="preserve">	[Index(nameof(ScanType), Name="IX_PtsAdoScanInfo_ScanType")]
</v>
      </c>
      <c r="L14" s="13" t="s">
        <v>60</v>
      </c>
      <c r="M14" s="36" t="str">
        <f ca="1">TEXTJOIN2("
",TRUE,INDIRECT( $L$1):INDIRECT($L$3))</f>
        <v xml:space="preserve">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</v>
      </c>
      <c r="N14" s="33" t="str">
        <f ca="1">TEXTJOIN2("
",TRUE,INDIRECT( $M$1):INDIRECT($M$3))</f>
        <v xml:space="preserve">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 ScanTime { get; set; }
		[StringLength(PtsAdoScanInfoConsts.MaxScanByLength)]
		public virtual string ScanBy { get; set; }
		[StringLength(PtsAdoScanInfoConsts.MaxIsProcessedLength)]
		public virtual string IsProcessed { get; set; }
</v>
      </c>
      <c r="O14" s="33" t="str">
        <f ca="1">TEXTJOIN2("
",TRUE,INDIRECT( $N$1):INDIRECT($N$3))</f>
        <v xml:space="preserve">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</v>
      </c>
      <c r="P14" s="9" t="str">
        <f ca="1">TEXTJOIN2("
",TRUE,INDIRECT( $O$1):INDIRECT($O$3))</f>
        <v xml:space="preserve">							ScanType = o.ScanType,
							ScanValue = o.ScanValue,
							ScanLocation = o.ScanLocation,
							ScanTime = o.ScanTime,
							ScanBy = o.ScanBy,
							IsProcessed = o.IsProcessed,</v>
      </c>
      <c r="T14" s="9" t="str">
        <f ca="1">TEXTJOIN2("
",TRUE,INDIRECT( $T$2):INDIRECT($T$3))</f>
        <v>("ScanType"),
("ScanValue"),
("ScanLocation"),</v>
      </c>
      <c r="V14" s="9" t="str">
        <f ca="1">TEXTJOIN2("
",TRUE,INDIRECT( $V$2):INDIRECT($V$3))</f>
        <v>_ =&gt; _.ScanType,
_ =&gt; _.ScanValue,
_ =&gt; _.ScanLocation,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21"/>
  <sheetViews>
    <sheetView topLeftCell="B10" workbookViewId="0">
      <selection activeCell="C13" sqref="C13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4" width="15.140625" customWidth="1"/>
    <col min="5" max="5" width="24.42578125" customWidth="1"/>
    <col min="6" max="6" width="26.140625" customWidth="1"/>
    <col min="7" max="7" width="22.28515625" customWidth="1"/>
    <col min="8" max="8" width="25.85546875" customWidth="1"/>
    <col min="9" max="9" width="23.7109375" customWidth="1"/>
    <col min="10" max="10" width="23.42578125" customWidth="1"/>
    <col min="11" max="11" width="20.42578125" customWidth="1"/>
    <col min="12" max="12" width="20.5703125" customWidth="1"/>
    <col min="13" max="13" width="25.85546875" customWidth="1"/>
    <col min="14" max="15" width="25.42578125" customWidth="1"/>
  </cols>
  <sheetData>
    <row r="1" spans="1:15" ht="30" x14ac:dyDescent="0.25">
      <c r="A1" s="41" t="s">
        <v>228</v>
      </c>
      <c r="B1" s="42" t="s">
        <v>265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1:15" x14ac:dyDescent="0.25">
      <c r="A2" s="41" t="s">
        <v>230</v>
      </c>
      <c r="B2" s="43" t="s">
        <v>105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</row>
    <row r="3" spans="1:15" x14ac:dyDescent="0.25">
      <c r="A3" s="41" t="s">
        <v>230</v>
      </c>
      <c r="B3" s="43" t="str">
        <f>LOWER(B2)</f>
        <v>andon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</row>
    <row r="4" spans="1:15" x14ac:dyDescent="0.25">
      <c r="A4" s="41" t="s">
        <v>246</v>
      </c>
      <c r="B4" s="44" t="s">
        <v>264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</row>
    <row r="5" spans="1:15" x14ac:dyDescent="0.25">
      <c r="A5" s="41" t="s">
        <v>231</v>
      </c>
      <c r="B5" s="43" t="s">
        <v>266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</row>
    <row r="6" spans="1:15" x14ac:dyDescent="0.25">
      <c r="A6" s="41" t="s">
        <v>229</v>
      </c>
      <c r="B6" s="43" t="str">
        <f>LOWER(B5)</f>
        <v>scaninfo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</row>
    <row r="7" spans="1:15" ht="18.75" customHeight="1" x14ac:dyDescent="0.25">
      <c r="A7" s="53" t="s">
        <v>232</v>
      </c>
      <c r="B7" s="54"/>
      <c r="C7" s="53"/>
      <c r="D7" s="53"/>
      <c r="E7" s="45" t="s">
        <v>258</v>
      </c>
      <c r="F7" s="46" t="s">
        <v>259</v>
      </c>
      <c r="G7" s="45" t="s">
        <v>237</v>
      </c>
      <c r="H7" s="47" t="s">
        <v>239</v>
      </c>
      <c r="I7" s="46" t="s">
        <v>240</v>
      </c>
      <c r="J7" s="45" t="s">
        <v>241</v>
      </c>
      <c r="K7" s="45" t="s">
        <v>242</v>
      </c>
      <c r="L7" s="45" t="s">
        <v>243</v>
      </c>
      <c r="M7" s="46" t="s">
        <v>245</v>
      </c>
      <c r="N7" s="45" t="s">
        <v>248</v>
      </c>
      <c r="O7" s="45" t="s">
        <v>256</v>
      </c>
    </row>
    <row r="8" spans="1:15" ht="18.75" customHeight="1" x14ac:dyDescent="0.25">
      <c r="A8" s="55" t="s">
        <v>233</v>
      </c>
      <c r="B8" s="56"/>
      <c r="C8" s="57"/>
      <c r="D8" s="57"/>
      <c r="E8" s="48" t="str">
        <f ca="1">SUBSTITUTE(SUBSTITUTE(SUBSTITUTE(SUBSTITUTE(E7,"MstWptCalendar",$B$4),"Calendar",$B$5),"calendar",$B$6),"&lt;PROPERTIES&gt;",E11)</f>
        <v>import { 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PtsAdoScanInfoDto, PtsAdoScanInfoServiceProxy } from '@shared/service-proxies/service-proxies';
import { finalize } from 'rxjs/internal/operators/finalize';
import { CreateOrEditScanInfoModalComponent } from './create-or-edit-scaninfo-modal.component';
import { DatePipe } from '@angular/common';
import { FileDownloadService } from '@shared/utils/file-download.service';
import ceil from 'lodash-es/ceil';
@Component({
  templateUrl: './scaninfo.component.html',
  styleUrls: ['./scaninfo.component.less',],
})
export class ScanInfoComponent extends AppComponentBase implements OnInit {
  @ViewChild('createOrEditModalScanInfo', { static: true }) createOrEditModalScanInfo: CreateOrEditScanInfoModalComponent | undefined;
  defaultColDefs: CustomColDef[] = [];
  paginationParams: PaginationParamsModel = { pageNum: 1, pageSize: 20, totalCount: 0, skipCount: 0, sorting: '', totalPage: 1 };
  selectedRow: PtsAdoScanInfoDto = new PtsAdoScanInfoDto();
  saveSelectedRow: PtsAdoScanInfoDto = new PtsAdoScanInfoDto();
  datas: PtsAdoScanInfoDto = new PtsAdoScanInfoDto();
  isLoading: boolean = false;
  dataParams: GridParams | undefined;
  rowData: any[] = [];
  filter: string = '';
  workingType: string = '';
  workingStatus: string = '';
  today: Date = new Date();
  pipe = new DatePipe('en-US');
  gridApi!: GridApi;
  rowSelection = 'multiple';
  workingDate: any;
  defaultColDef = {
    resizable: true,
    sortable: true,
    floatingFilterComponentParams: { suppressFilterButton: true },
    filter: true,
    floatingFilter: true,
    suppressHorizontalScroll: true,
    textFormatter: function (r: any) {
        if (r == null) return null;
        return r.toLowerCase();
    },
};
  constructor(
    injector: Injector,
    private _mstwptScanInfoService: PtsAdoScanInfoServiceProxy,
    private gridTableService: GridTableService,
    private _fileDownloadService: FileDownloadService,
  ) {
    super(injector);
    this.defaultColDefs = [
          {
            headerName: this.l('STT'),
            headerTooltip: this.l('STT'),
            cellRenderer: (params) =&gt; params.rowIndex + 1,
            cellClass: ['text-center'],
            width: 55,
        },
		{headerName: this.l('Scan Type'),headerTooltip: this.l('Scan Type'),field: 'scanType',flex: 1,},
{headerName: this.l('Scan Value'),headerTooltip: this.l('Scan Value'),field: 'scanValue',flex: 1,},
{headerName: this.l('Scan Location'),headerTooltip: this.l('Scan Location'),field: 'scanLocation',flex: 1,},
{headerName: this.l('Scan Time'),headerTooltip: this.l('Scan Time'),field: 'scanTime',flex: 1,},
{headerName: this.l('Scan By'),headerTooltip: this.l('Scan By'),field: 'scanBy',flex: 1,},
{headerName: this.l('Is Processed'),headerTooltip: this.l('Is Processed'),field: 'isProcessed',flex: 1,},      
    ];
   }
  ngOnInit(): void {
    this.paginationParams = { pageNum: 1, pageSize: 20, totalCount: 0 };
  }
  searchDatas(): void {
    this._mstwptScanInfoService.getAll('','','',,'',this.paginationParams.skipCount,this.paginationParams.pageSize)
    .subscribe((result) =&gt; {
        this.rowData = result.items;
    });
  }
  clearTextSearch(){
    this.workingDate = '';
    this.workingType = '';
    this.workingStatus = '';
    this.searchDatas();
  }
  onSelectionChanged(params) {
    var selectedRows = this.gridApi.getSelectedRows();
    var selectedRowsString = '';
    var maxToShow = 5;
    selectedRows.forEach(function (selectedRow, index) {
      if (index &gt;= maxToShow) {
        return;
      }
      if (index &gt; 0) {
        selectedRowsString += ', ';
      }
      selectedRowsString += selectedRow.athlete;
    });
    if (selectedRows.length &gt; maxToShow) {
      var othersCount = selectedRows.length - maxToShow;
      selectedRowsString +=
        ' and ' + othersCount + ' other' + (othersCount !== 1 ? 's' : '');
    }
    (document.querySelector(
      '#selectedRows'
    ) as any).innerHTML = selectedRowsString;
  }
  getDatas(paginationParams?: PaginationParamsModel) {
      return this._mstwptScanInfoService.getAll('','','',,'',this.paginationParams.skipCount,this.paginationParams.pageSize);
  }
    onChangeRowSelection(params: { api: { getSelectedRows: () =&gt; PtsAdoScanInfoDto[]; }; }) {
      this.saveSelectedRow = params.api.getSelectedRows()[0] ?? new PtsAdoScanInfoDto();
      this.selectedRow = Object.assign({}, this.saveSelectedRow);
    }
	 changePage(paginationParams) {
      console.log(paginationParams)
      this.paginationParams = paginationParams;
      this.paginationParams.skipCount =
          (paginationParams.pageNum - 1) * paginationParams.pageSize;
      // this.maxResultCount = paginationParams.pageSize;
      this.getDatas(this.paginationParams).subscribe((result) =&gt; {
          this.rowData = result.items;
          this.paginationParams.totalPage = ceil(
              result.totalCount / this.paginationParams.pageSize
          );
      });
  }
    callBackDataGrid(params: GridParams) {
      this.isLoading = true;
      this.dataParams = params;
      params.api.paginationSetPageSize(this.paginationParams.pageSize);
      this.paginationParams.skipCount =
          ((this.paginationParams.pageNum ?? 1) - 1) * (this.paginationParams.pageSize ?? 0);
      this.paginationParams.pageSize = this.paginationParams.pageSize;
      this.getDatas(this.paginationParams)
      .pipe(finalize(() =&gt;
          this.gridTableService.selectFirstRow(this.dataParams!.api)
      ))
      .subscribe((result) =&gt; {
          this.paginationParams.totalCount = result.totalCount;
            this.rowData = result.items ?? [];
            this.paginationParams.totalPage = ceil(
                result.totalCount / (this.paginationParams.pageSize ?? 0)
            );
          this.isLoading = false;
      })
    }
    deleteRow(system: PtsAdoScanInfoDto): void {
      this.message.confirm(
          this.l('AreYouSureToDelete'),"Delete Row",
          isConfirmed =&gt; {
              if (isConfirmed) {
                  this._mstwptScanInfoService.delete(system.id).subscribe(() =&gt; {
                      this.callBackDataGrid(this.dataParams!);
                      this.notify.success(this.l('SuccessfullyDeleted'));
                      this.notify.info(this.l('SuccessfullyDeleted'));
                  });
              }
          }
      );
    } 
    exportToExcel(): void {
    this._mstwptScanInfoService.getScanInfoToExcel('','','')
        .subscribe(result =&gt; {
            this._fileDownloadService.downloadTempFile(result);
        });
    }
}</v>
      </c>
      <c r="F8" s="48" t="str">
        <f ca="1">SUBSTITUTE(SUBSTITUTE(SUBSTITUTE(SUBSTITUTE(SUBSTITUTE(F7,"MstWptCalendar",$B$4),"Calendar",$B$5),"calendar",$B$6),"&lt;PROPERTIES&gt;",F11),"&lt;FULL_TITLE&gt;",B1)</f>
        <v>&lt;div id="container" class="mt-2" [busyIf]="isLoading"&gt;
    &lt;div class="ui-g-12"&gt;
        &lt;fieldset class="fieldset-border grid-parent"&gt;
            &lt;div class="ui-g-12"&gt;
                &lt;div class="ui-g-12" style="border-bottom: none;"&gt;
                    &lt;h6 class="card-header"&gt;
                        {{ l(' Painting Andon Scan Info ') }}
                    &lt;/h6&gt;
                &lt;/div&gt;
                &lt;br&gt;
                &lt;div class="prod-cont"&gt;
                    &lt;div class="ui-g-12"&gt;
                        &lt;div class="form-group m-form__group align-items-center"&gt;
                            &lt;div class="input-group"&gt;
									&lt;!-- 	&lt;div class='input-search'&gt;&lt;input [(ngModel)]='scanType' name='scanType' class='form-control'  placeholder='Scan Type' /&gt;&lt;/div&gt;
&lt;div class='input-search'&gt;&lt;input [(ngModel)]='scanValue' name='scanValue' class='form-control'  placeholder='Scan Value' /&gt;&lt;/div&gt;
&lt;div class='input-search'&gt;&lt;input [(ngModel)]='scanLocation' name='scanLocation' class='form-control'  placeholder='Scan Location' /&gt;&lt;/div&gt;
&lt;div class='input-search'&gt;&lt;input [(ngModel)]='scanTime' name='scanTime' class='form-control'  placeholder='Scan Time' /&gt;&lt;/div&gt;
&lt;div class='input-search'&gt;&lt;input [(ngModel)]='scanBy' name='scanBy' class='form-control'  placeholder='Scan By' /&gt;&lt;/div&gt;
&lt;div class='input-search'&gt;&lt;input [(ngModel)]='isProcessed' name='isProcessed' class='form-control'  placeholder='Is Processed' /&gt;&lt;/div&gt;  --&gt;
                                &lt;div class="btn-search"&gt;
                                    &lt;button (click)="searchDatas()" 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(onChangeSelection)="onChangeRowSelection($event)"
                                [rowSelection]="rowSelection"
                                (selectionChanged)="onSelectionChanged($event)"   (changePaginationParams)="changePage($event)"
                            &gt;
                            &lt;/simple-ag-grid&gt;
                        &lt;/div&gt;
                        &lt;/form&gt;
                        &lt;hr&gt;
                        &lt;div class="text-right pr-5 mt-2 mb-2"&gt;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&lt;create-or-edit-scaninfo-modal
	#createOrEditModalScanInfo
    (modalSave)="callBackDataGrid(dataParams)"
    (modalClose)="onChangeRowSelection(dataParams)"
&gt;
&lt;/create-or-edit-scaninfo-modal&gt;</v>
      </c>
      <c r="G8" s="48" t="str">
        <f>G7</f>
        <v>.input-search{
    width: 250px;
    border-radius: 10px;
    margin-left: 10px;
}
.btn-search{
    width: 50px;
    margin-left: 10px;
}</v>
      </c>
      <c r="H8" s="48" t="str">
        <f ca="1">SUBSTITUTE(SUBSTITUTE(SUBSTITUTE(SUBSTITUTE(H7,"MstWptCalendar",$B$4),"Calendar",$B$5),"calendar",$B$6),"&lt;PROPERTIES&gt;",H11)</f>
        <v>&lt;div bsModal #createOrEditModalScanInfo="bs-modal"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ScanInfo')}}&lt;/h3&gt;
                    &lt;h3 *ngIf="!rowdata.id"&gt;{{('Create New 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&lt;div class='col-md-12 form-group row'&gt;&lt;label class='col-md-2 form-control title'&gt;Scan Type&lt;/label&gt;&lt;input type='text' class='col-md-10 form-control input-text' name='ScanType' [(ngModel)]='rowdata.scanType'&gt;&lt;/div&gt;
&lt;div class='col-md-12 form-group row'&gt;&lt;label class='col-md-2 form-control title'&gt;Scan Value&lt;/label&gt;&lt;input type='text' class='col-md-10 form-control input-text' name='ScanValue' [(ngModel)]='rowdata.scanValue'&gt;&lt;/div&gt;
&lt;div class='col-md-12 form-group row'&gt;&lt;label class='col-md-2 form-control title'&gt;Scan Location&lt;/label&gt;&lt;input type='text' class='col-md-10 form-control input-text' name='ScanLocation' [(ngModel)]='rowdata.scanLocation'&gt;&lt;/div&gt;
&lt;div class='col-md-12 form-group row'&gt;&lt;label class='col-md-2 form-control title'&gt;Scan Time&lt;/label&gt;&lt;input type='text' class='col-md-10 form-control input-text' name='ScanTime' [(ngModel)]='rowdata.scanTime'&gt;&lt;/div&gt;
&lt;div class='col-md-12 form-group row'&gt;&lt;label class='col-md-2 form-control title'&gt;Scan By&lt;/label&gt;&lt;input type='text' class='col-md-10 form-control input-text' name='ScanBy' [(ngModel)]='rowdata.scanBy'&gt;&lt;/div&gt;
&lt;div class='col-md-12 form-group row'&gt;&lt;label class='col-md-2 form-control title'&gt;Is Processed&lt;/label&gt;&lt;input type='text' class='col-md-10 form-control input-text' name='IsProcessed' [(ngModel)]='rowdata.isProcessed'&gt;&lt;/div&gt;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I8" s="48" t="str">
        <f>SUBSTITUTE(SUBSTITUTE(SUBSTITUTE(I7,"MstWptCalendar",$B$4),"Calendar",$B$5),"calendar",$B$6)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CreateOrEditPtsAdoScanInfoDto, PtsAdoScanInfoServiceProxy } from '@shared/service-proxies/service-proxies';
import { BsDatepickerDirective } from 'ngx-bootstrap/datepicker';
@Component({
  selector: 'create-or-edit-scaninfo-modal',
  templateUrl: './create-or-edit-scaninfo-modal.component.html',
  styleUrls: ['./create-or-edit-scaninfo-modal.component.less']
})
export class CreateOrEditScanInfoModalComponent extends AppComponentBase {
  @ViewChild('createOrEditModalScanInfo',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CreateOrEditPtsAdoScanInfoDto = new CreateOrEditPtsAdoScanInfoDto();
  active: boolean = false;
  saving: boolean = false;
  _isActive: boolean;
  constructor(
    injector: Injector,
    private _mstwptScanInfoService: PtsAdoScanInfoServiceProxy,
    ) {
    super(injector);
  }
  show(rowdata?: CreateOrEditPtsAdoScanInfoDto): void {
    if (!rowdata) this.rowdata = new CreateOrEditPtsAdoScanInfoDto();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this._mstwptScanInfoService.createOrEdit(this.rowdata)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v>
      </c>
      <c r="J8" s="48" t="str">
        <f>J7</f>
        <v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v>
      </c>
      <c r="K8" s="48" t="str">
        <f>SUBSTITUTE(SUBSTITUTE(SUBSTITUTE(K7,"MstWptCalendar",$B$4),"Calendar",$B$5),"calendar",$B$6)</f>
        <v>import {NgModule} from '@angular/core';
import {AppSharedModule} from '@app/shared/app-shared.module';
import { ScanInfoRoutingModule } from './scaninfo-routing.module';
import { ScanInfoComponent } from './scaninfo.component';
import { CreateOrEditScanInfoModalComponent } from './create-or-edit-scaninfo-modal.component';
@NgModule({
    declarations: [
       ScanInfoComponent, 
        CreateOrEditScanInfoModalComponent
    ],
    imports: [
        AppSharedModule, ScanInfoRoutingModule]
})
export class ScanInfoModule {}</v>
      </c>
      <c r="L8" s="48" t="str">
        <f>SUBSTITUTE(SUBSTITUTE(SUBSTITUTE(L7,"MstWptCalendar",$B$4),"Calendar",$B$5),"calendar",$B$6)</f>
        <v>import {NgModule} from '@angular/core';
import {RouterModule, Routes} from '@angular/router';
import { ScanInfoComponent } from './scaninfo.component';
const routes: Routes = [{
    path: '',
    component: ScanInfoComponent,
    pathMatch: 'full'
}];
@NgModule({
    imports: [RouterModule.forChild(routes)],
    exports: [RouterModule],
})
export class ScanInfoRoutingModule {}</v>
      </c>
      <c r="M8" s="48" t="str">
        <f>SUBSTITUTE(SUBSTITUTE(SUBSTITUTE(SUBSTITUTE(SUBSTITUTE(M7,"MstWptCalendar",$B$4),"Calendar",$B$5),"calendar",$B$6),"WorkingPattern",$B$2),"workingpattern",$B$3)</f>
        <v xml:space="preserve"> new AppMenuItem("ScanInfo", "Pages.Master.Andon.ScanInfo", "flaticon-book",   "/app/main/master/andon/scaninfo"),</v>
      </c>
      <c r="N8" s="48" t="str">
        <f>SUBSTITUTE(SUBSTITUTE(SUBSTITUTE(SUBSTITUTE(SUBSTITUTE(N7,"MstWptCalendar",$B$4),"Calendar",$B$5),"calendar",$B$6),"WorkingPattern",$B$2),"workingpattern",$B$3)</f>
        <v>{
                        path: 'master/andon/scaninfo',
                        loadChildren: () =&gt; import('./master/andon/scaninfo/scaninfo.module').then(m =&gt; m.ScanInfoModule),
                        data: { permission: 'Pages.Master.Andon.ScanInfo' }
                    },</v>
      </c>
      <c r="O8" s="50" t="str">
        <f>SUBSTITUTE(O7,"MstWptCalendar",$B$4)</f>
        <v>ApiServiceProxies.PtsAdoScanInfoServiceProxy,</v>
      </c>
    </row>
    <row r="9" spans="1:15" x14ac:dyDescent="0.25">
      <c r="A9" s="58">
        <v>1</v>
      </c>
      <c r="B9" s="37"/>
      <c r="C9" s="31"/>
      <c r="D9" s="31"/>
      <c r="E9" s="31" t="s">
        <v>234</v>
      </c>
      <c r="F9" s="31" t="s">
        <v>236</v>
      </c>
      <c r="G9" s="31"/>
      <c r="H9" s="31" t="s">
        <v>238</v>
      </c>
      <c r="I9" s="31"/>
      <c r="J9" s="38"/>
      <c r="K9" s="31"/>
      <c r="L9" s="31"/>
      <c r="M9" s="31"/>
      <c r="N9" s="31"/>
      <c r="O9" s="31"/>
    </row>
    <row r="10" spans="1:15" x14ac:dyDescent="0.25">
      <c r="A10" s="58">
        <v>2</v>
      </c>
      <c r="B10" s="37"/>
      <c r="C10" s="31"/>
      <c r="D10" s="31"/>
      <c r="E10" s="31" t="str">
        <f>"E"&amp;COUNTA($A:$A)</f>
        <v>E18</v>
      </c>
      <c r="F10" s="31" t="str">
        <f>"F"&amp;COUNTA($A:$A)</f>
        <v>F18</v>
      </c>
      <c r="G10" s="31"/>
      <c r="H10" s="31" t="str">
        <f>"H"&amp;COUNTA($A:$A)</f>
        <v>H18</v>
      </c>
      <c r="I10" s="31"/>
      <c r="J10" s="31"/>
      <c r="K10" s="31"/>
      <c r="L10" s="31"/>
      <c r="M10" s="31"/>
      <c r="N10" s="31"/>
      <c r="O10" s="31"/>
    </row>
    <row r="11" spans="1:15" ht="17.25" customHeight="1" x14ac:dyDescent="0.25">
      <c r="A11" s="58">
        <v>3</v>
      </c>
      <c r="B11" s="31"/>
      <c r="C11" s="31"/>
      <c r="D11" s="31"/>
      <c r="E11" s="38" t="str">
        <f ca="1">TEXTJOIN2("
",TRUE,INDIRECT(E9):INDIRECT(E10))</f>
        <v>{headerName: this.l('Scan Type'),headerTooltip: this.l('Scan Type'),field: 'scanType',flex: 1,},
{headerName: this.l('Scan Value'),headerTooltip: this.l('Scan Value'),field: 'scanValue',flex: 1,},
{headerName: this.l('Scan Location'),headerTooltip: this.l('Scan Location'),field: 'scanLocation',flex: 1,},
{headerName: this.l('Scan Time'),headerTooltip: this.l('Scan Time'),field: 'scanTime',flex: 1,},
{headerName: this.l('Scan By'),headerTooltip: this.l('Scan By'),field: 'scanBy',flex: 1,},
{headerName: this.l('Is Processed'),headerTooltip: this.l('Is Processed'),field: 'isProcessed',flex: 1,},</v>
      </c>
      <c r="F11" s="38" t="str">
        <f ca="1">TEXTJOIN2("
",TRUE,INDIRECT(F9):INDIRECT(F10))</f>
        <v>&lt;div class='input-search'&gt;&lt;input [(ngModel)]='scanType' name='scanType' class='form-control'  placeholder='Scan Type' /&gt;&lt;/div&gt;
&lt;div class='input-search'&gt;&lt;input [(ngModel)]='scanValue' name='scanValue' class='form-control'  placeholder='Scan Value' /&gt;&lt;/div&gt;
&lt;div class='input-search'&gt;&lt;input [(ngModel)]='scanLocation' name='scanLocation' class='form-control'  placeholder='Scan Location' /&gt;&lt;/div&gt;
&lt;div class='input-search'&gt;&lt;input [(ngModel)]='scanTime' name='scanTime' class='form-control'  placeholder='Scan Time' /&gt;&lt;/div&gt;
&lt;div class='input-search'&gt;&lt;input [(ngModel)]='scanBy' name='scanBy' class='form-control'  placeholder='Scan By' /&gt;&lt;/div&gt;
&lt;div class='input-search'&gt;&lt;input [(ngModel)]='isProcessed' name='isProcessed' class='form-control'  placeholder='Is Processed' /&gt;&lt;/div&gt;</v>
      </c>
      <c r="G11" s="31"/>
      <c r="H11" s="38" t="str">
        <f ca="1">TEXTJOIN2("
",TRUE,INDIRECT(H9):INDIRECT(H10))</f>
        <v>&lt;div class='col-md-12 form-group row'&gt;&lt;label class='col-md-2 form-control title'&gt;Scan Type&lt;/label&gt;&lt;input type='text' class='col-md-10 form-control input-text' name='ScanType' [(ngModel)]='rowdata.scanType'&gt;&lt;/div&gt;
&lt;div class='col-md-12 form-group row'&gt;&lt;label class='col-md-2 form-control title'&gt;Scan Value&lt;/label&gt;&lt;input type='text' class='col-md-10 form-control input-text' name='ScanValue' [(ngModel)]='rowdata.scanValue'&gt;&lt;/div&gt;
&lt;div class='col-md-12 form-group row'&gt;&lt;label class='col-md-2 form-control title'&gt;Scan Location&lt;/label&gt;&lt;input type='text' class='col-md-10 form-control input-text' name='ScanLocation' [(ngModel)]='rowdata.scanLocation'&gt;&lt;/div&gt;
&lt;div class='col-md-12 form-group row'&gt;&lt;label class='col-md-2 form-control title'&gt;Scan Time&lt;/label&gt;&lt;input type='text' class='col-md-10 form-control input-text' name='ScanTime' [(ngModel)]='rowdata.scanTime'&gt;&lt;/div&gt;
&lt;div class='col-md-12 form-group row'&gt;&lt;label class='col-md-2 form-control title'&gt;Scan By&lt;/label&gt;&lt;input type='text' class='col-md-10 form-control input-text' name='ScanBy' [(ngModel)]='rowdata.scanBy'&gt;&lt;/div&gt;
&lt;div class='col-md-12 form-group row'&gt;&lt;label class='col-md-2 form-control title'&gt;Is Processed&lt;/label&gt;&lt;input type='text' class='col-md-10 form-control input-text' name='IsProcessed' [(ngModel)]='rowdata.isProcessed'&gt;&lt;/div&gt;</v>
      </c>
      <c r="I11" s="31"/>
      <c r="J11" s="31"/>
      <c r="K11" s="31"/>
      <c r="L11" s="31"/>
      <c r="M11" s="31"/>
      <c r="N11" s="31"/>
      <c r="O11" s="31"/>
    </row>
    <row r="12" spans="1:15" x14ac:dyDescent="0.25">
      <c r="A12" s="41" t="s">
        <v>235</v>
      </c>
      <c r="B12" s="31"/>
      <c r="C12" s="31"/>
      <c r="D12" s="31"/>
      <c r="E12" s="39" t="str">
        <f>B6&amp;".component.ts"</f>
        <v>scaninfo.component.ts</v>
      </c>
      <c r="F12" s="40" t="str">
        <f>B6&amp;".component.html"</f>
        <v>scaninfo.component.html</v>
      </c>
      <c r="G12" s="39" t="str">
        <f>B6&amp;".component.less"</f>
        <v>scaninfo.component.less</v>
      </c>
      <c r="H12" s="40" t="str">
        <f>"create-or-edit-"&amp;B6&amp;"-modal.component.html"</f>
        <v>create-or-edit-scaninfo-modal.component.html</v>
      </c>
      <c r="I12" s="40" t="str">
        <f>"create-or-edit-"&amp;B6&amp;"-modal.component.ts"</f>
        <v>create-or-edit-scaninfo-modal.component.ts</v>
      </c>
      <c r="J12" s="40" t="str">
        <f>"create-or-edit-"&amp;B6&amp;"-modal.component.less"</f>
        <v>create-or-edit-scaninfo-modal.component.less</v>
      </c>
      <c r="K12" s="40" t="str">
        <f>B6&amp;".module.ts"</f>
        <v>scaninfo.module.ts</v>
      </c>
      <c r="L12" s="40" t="str">
        <f>B6&amp;"-routing.module.ts"</f>
        <v>scaninfo-routing.module.ts</v>
      </c>
      <c r="M12" s="40" t="s">
        <v>244</v>
      </c>
      <c r="N12" s="40" t="s">
        <v>247</v>
      </c>
      <c r="O12" s="41" t="s">
        <v>255</v>
      </c>
    </row>
    <row r="13" spans="1:15" ht="18" customHeight="1" x14ac:dyDescent="0.25">
      <c r="A13" s="44" t="str">
        <f>A.Backend!A7</f>
        <v>Scan_Type</v>
      </c>
      <c r="B13" s="31" t="str">
        <f>SUBSTITUTE(PROPER(A13),"_","")</f>
        <v>ScanType</v>
      </c>
      <c r="C13" s="31" t="str">
        <f>SUBSTITUTE(PROPER(A13),"_"," ")</f>
        <v>Scan Type</v>
      </c>
      <c r="D13" s="31" t="str">
        <f>LOWER(LEFT(B13,1))&amp;RIGHT(B13,LEN(B13) - 1)</f>
        <v>scanType</v>
      </c>
      <c r="E13" s="38" t="str">
        <f>"{headerName: this.l('"&amp;C13&amp;"'),headerTooltip: this.l('"&amp;C13&amp;"'),field: '"&amp;D13&amp;"',flex: 1,},"</f>
        <v>{headerName: this.l('Scan Type'),headerTooltip: this.l('Scan Type'),field: 'scanType',flex: 1,},</v>
      </c>
      <c r="F13" s="38" t="str">
        <f>"&lt;div class='input-search'&gt;&lt;input [(ngModel)]='"&amp;D13&amp;"' name='"&amp;D13&amp;"' class='form-control'  placeholder='"&amp;C13&amp;"' /&gt;&lt;/div&gt;"</f>
        <v>&lt;div class='input-search'&gt;&lt;input [(ngModel)]='scanType' name='scanType' class='form-control'  placeholder='Scan Type' /&gt;&lt;/div&gt;</v>
      </c>
      <c r="G13" s="31"/>
      <c r="H13" s="38" t="str">
        <f>"&lt;div class='col-md-12 form-group row'&gt;&lt;label class='col-md-2 form-control title'&gt;"&amp;C13&amp;"&lt;/label&gt;&lt;input type='text' class='col-md-10 form-control input-text' name='"&amp;B13&amp;"' [(ngModel)]='rowdata."&amp;D13&amp;"'&gt;&lt;/div&gt;"</f>
        <v>&lt;div class='col-md-12 form-group row'&gt;&lt;label class='col-md-2 form-control title'&gt;Scan Type&lt;/label&gt;&lt;input type='text' class='col-md-10 form-control input-text' name='ScanType' [(ngModel)]='rowdata.scanType'&gt;&lt;/div&gt;</v>
      </c>
      <c r="I13" s="31"/>
      <c r="J13" s="31"/>
      <c r="K13" s="31"/>
      <c r="L13" s="31"/>
      <c r="M13" s="31"/>
      <c r="N13" s="31"/>
      <c r="O13" s="31"/>
    </row>
    <row r="14" spans="1:15" ht="15" customHeight="1" x14ac:dyDescent="0.25">
      <c r="A14" s="44" t="str">
        <f>A.Backend!A8</f>
        <v>Scan_Value</v>
      </c>
      <c r="B14" s="31" t="str">
        <f t="shared" ref="B14:B15" si="0">SUBSTITUTE(PROPER(A14),"_","")</f>
        <v>ScanValue</v>
      </c>
      <c r="C14" s="31" t="str">
        <f t="shared" ref="C14:C15" si="1">SUBSTITUTE(PROPER(A14),"_"," ")</f>
        <v>Scan Value</v>
      </c>
      <c r="D14" s="31" t="str">
        <f t="shared" ref="D14:D15" si="2">LOWER(LEFT(B14,1))&amp;RIGHT(B14,LEN(B14) - 1)</f>
        <v>scanValue</v>
      </c>
      <c r="E14" s="38" t="str">
        <f t="shared" ref="E14:E15" si="3">"{headerName: this.l('"&amp;C14&amp;"'),headerTooltip: this.l('"&amp;C14&amp;"'),field: '"&amp;D14&amp;"',flex: 1,},"</f>
        <v>{headerName: this.l('Scan Value'),headerTooltip: this.l('Scan Value'),field: 'scanValue',flex: 1,},</v>
      </c>
      <c r="F14" s="38" t="str">
        <f t="shared" ref="F14:F15" si="4">"&lt;div class='input-search'&gt;&lt;input [(ngModel)]='"&amp;D14&amp;"' name='"&amp;D14&amp;"' class='form-control'  placeholder='"&amp;C14&amp;"' /&gt;&lt;/div&gt;"</f>
        <v>&lt;div class='input-search'&gt;&lt;input [(ngModel)]='scanValue' name='scanValue' class='form-control'  placeholder='Scan Value' /&gt;&lt;/div&gt;</v>
      </c>
      <c r="G14" s="31"/>
      <c r="H14" s="38" t="str">
        <f t="shared" ref="H14:H15" si="5">"&lt;div class='col-md-12 form-group row'&gt;&lt;label class='col-md-2 form-control title'&gt;"&amp;C14&amp;"&lt;/label&gt;&lt;input type='text' class='col-md-10 form-control input-text' name='"&amp;B14&amp;"' [(ngModel)]='rowdata."&amp;D14&amp;"'&gt;&lt;/div&gt;"</f>
        <v>&lt;div class='col-md-12 form-group row'&gt;&lt;label class='col-md-2 form-control title'&gt;Scan Value&lt;/label&gt;&lt;input type='text' class='col-md-10 form-control input-text' name='ScanValue' [(ngModel)]='rowdata.scanValue'&gt;&lt;/div&gt;</v>
      </c>
      <c r="I14" s="31"/>
      <c r="J14" s="31"/>
      <c r="K14" s="31"/>
      <c r="L14" s="31"/>
      <c r="M14" s="31"/>
      <c r="N14" s="31"/>
      <c r="O14" s="31"/>
    </row>
    <row r="15" spans="1:15" ht="18" customHeight="1" x14ac:dyDescent="0.25">
      <c r="A15" s="44" t="str">
        <f>A.Backend!A9</f>
        <v>Scan_Location</v>
      </c>
      <c r="B15" s="31" t="str">
        <f t="shared" si="0"/>
        <v>ScanLocation</v>
      </c>
      <c r="C15" s="31" t="str">
        <f t="shared" si="1"/>
        <v>Scan Location</v>
      </c>
      <c r="D15" s="31" t="str">
        <f t="shared" si="2"/>
        <v>scanLocation</v>
      </c>
      <c r="E15" s="38" t="str">
        <f t="shared" si="3"/>
        <v>{headerName: this.l('Scan Location'),headerTooltip: this.l('Scan Location'),field: 'scanLocation',flex: 1,},</v>
      </c>
      <c r="F15" s="38" t="str">
        <f t="shared" si="4"/>
        <v>&lt;div class='input-search'&gt;&lt;input [(ngModel)]='scanLocation' name='scanLocation' class='form-control'  placeholder='Scan Location' /&gt;&lt;/div&gt;</v>
      </c>
      <c r="G15" s="31"/>
      <c r="H15" s="38" t="str">
        <f t="shared" si="5"/>
        <v>&lt;div class='col-md-12 form-group row'&gt;&lt;label class='col-md-2 form-control title'&gt;Scan Location&lt;/label&gt;&lt;input type='text' class='col-md-10 form-control input-text' name='ScanLocation' [(ngModel)]='rowdata.scanLocation'&gt;&lt;/div&gt;</v>
      </c>
      <c r="I15" s="31"/>
      <c r="J15" s="31"/>
      <c r="K15" s="31"/>
      <c r="L15" s="31"/>
      <c r="M15" s="31"/>
      <c r="N15" s="31"/>
      <c r="O15" s="31"/>
    </row>
    <row r="16" spans="1:15" ht="18" customHeight="1" x14ac:dyDescent="0.25">
      <c r="A16" s="44" t="str">
        <f>A.Backend!A10</f>
        <v>Scan_Time</v>
      </c>
      <c r="B16" s="31" t="str">
        <f>SUBSTITUTE(PROPER(A16),"_","")</f>
        <v>ScanTime</v>
      </c>
      <c r="C16" s="31" t="str">
        <f>SUBSTITUTE(PROPER(A16),"_"," ")</f>
        <v>Scan Time</v>
      </c>
      <c r="D16" s="31" t="str">
        <f>LOWER(LEFT(B16,1))&amp;RIGHT(B16,LEN(B16) - 1)</f>
        <v>scanTime</v>
      </c>
      <c r="E16" s="38" t="str">
        <f>"{headerName: this.l('"&amp;C16&amp;"'),headerTooltip: this.l('"&amp;C16&amp;"'),field: '"&amp;D16&amp;"',flex: 1,},"</f>
        <v>{headerName: this.l('Scan Time'),headerTooltip: this.l('Scan Time'),field: 'scanTime',flex: 1,},</v>
      </c>
      <c r="F16" s="38" t="str">
        <f>"&lt;div class='input-search'&gt;&lt;input [(ngModel)]='"&amp;D16&amp;"' name='"&amp;D16&amp;"' class='form-control'  placeholder='"&amp;C16&amp;"' /&gt;&lt;/div&gt;"</f>
        <v>&lt;div class='input-search'&gt;&lt;input [(ngModel)]='scanTime' name='scanTime' class='form-control'  placeholder='Scan Time' /&gt;&lt;/div&gt;</v>
      </c>
      <c r="G16" s="31"/>
      <c r="H16" s="38" t="str">
        <f>"&lt;div class='col-md-12 form-group row'&gt;&lt;label class='col-md-2 form-control title'&gt;"&amp;C16&amp;"&lt;/label&gt;&lt;input type='text' class='col-md-10 form-control input-text' name='"&amp;B16&amp;"' [(ngModel)]='rowdata."&amp;D16&amp;"'&gt;&lt;/div&gt;"</f>
        <v>&lt;div class='col-md-12 form-group row'&gt;&lt;label class='col-md-2 form-control title'&gt;Scan Time&lt;/label&gt;&lt;input type='text' class='col-md-10 form-control input-text' name='ScanTime' [(ngModel)]='rowdata.scanTime'&gt;&lt;/div&gt;</v>
      </c>
      <c r="I16" s="31"/>
      <c r="J16" s="31"/>
      <c r="K16" s="31"/>
      <c r="L16" s="31"/>
      <c r="M16" s="31"/>
      <c r="N16" s="31"/>
      <c r="O16" s="31"/>
    </row>
    <row r="17" spans="1:15" ht="15" customHeight="1" x14ac:dyDescent="0.25">
      <c r="A17" s="44" t="str">
        <f>A.Backend!A11</f>
        <v>Scan_By</v>
      </c>
      <c r="B17" s="31" t="str">
        <f t="shared" ref="B17:B18" si="6">SUBSTITUTE(PROPER(A17),"_","")</f>
        <v>ScanBy</v>
      </c>
      <c r="C17" s="31" t="str">
        <f t="shared" ref="C17:C18" si="7">SUBSTITUTE(PROPER(A17),"_"," ")</f>
        <v>Scan By</v>
      </c>
      <c r="D17" s="31" t="str">
        <f t="shared" ref="D17:D18" si="8">LOWER(LEFT(B17,1))&amp;RIGHT(B17,LEN(B17) - 1)</f>
        <v>scanBy</v>
      </c>
      <c r="E17" s="38" t="str">
        <f t="shared" ref="E17:E18" si="9">"{headerName: this.l('"&amp;C17&amp;"'),headerTooltip: this.l('"&amp;C17&amp;"'),field: '"&amp;D17&amp;"',flex: 1,},"</f>
        <v>{headerName: this.l('Scan By'),headerTooltip: this.l('Scan By'),field: 'scanBy',flex: 1,},</v>
      </c>
      <c r="F17" s="38" t="str">
        <f t="shared" ref="F17:F18" si="10">"&lt;div class='input-search'&gt;&lt;input [(ngModel)]='"&amp;D17&amp;"' name='"&amp;D17&amp;"' class='form-control'  placeholder='"&amp;C17&amp;"' /&gt;&lt;/div&gt;"</f>
        <v>&lt;div class='input-search'&gt;&lt;input [(ngModel)]='scanBy' name='scanBy' class='form-control'  placeholder='Scan By' /&gt;&lt;/div&gt;</v>
      </c>
      <c r="G17" s="31"/>
      <c r="H17" s="38" t="str">
        <f t="shared" ref="H17:H18" si="11">"&lt;div class='col-md-12 form-group row'&gt;&lt;label class='col-md-2 form-control title'&gt;"&amp;C17&amp;"&lt;/label&gt;&lt;input type='text' class='col-md-10 form-control input-text' name='"&amp;B17&amp;"' [(ngModel)]='rowdata."&amp;D17&amp;"'&gt;&lt;/div&gt;"</f>
        <v>&lt;div class='col-md-12 form-group row'&gt;&lt;label class='col-md-2 form-control title'&gt;Scan By&lt;/label&gt;&lt;input type='text' class='col-md-10 form-control input-text' name='ScanBy' [(ngModel)]='rowdata.scanBy'&gt;&lt;/div&gt;</v>
      </c>
      <c r="I17" s="31"/>
      <c r="J17" s="31"/>
      <c r="K17" s="31"/>
      <c r="L17" s="31"/>
      <c r="M17" s="31"/>
      <c r="N17" s="31"/>
      <c r="O17" s="31"/>
    </row>
    <row r="18" spans="1:15" ht="18" customHeight="1" x14ac:dyDescent="0.25">
      <c r="A18" s="44" t="str">
        <f>A.Backend!A12</f>
        <v>Is_Processed</v>
      </c>
      <c r="B18" s="31" t="str">
        <f t="shared" si="6"/>
        <v>IsProcessed</v>
      </c>
      <c r="C18" s="31" t="str">
        <f t="shared" si="7"/>
        <v>Is Processed</v>
      </c>
      <c r="D18" s="31" t="str">
        <f t="shared" si="8"/>
        <v>isProcessed</v>
      </c>
      <c r="E18" s="38" t="str">
        <f t="shared" si="9"/>
        <v>{headerName: this.l('Is Processed'),headerTooltip: this.l('Is Processed'),field: 'isProcessed',flex: 1,},</v>
      </c>
      <c r="F18" s="38" t="str">
        <f t="shared" si="10"/>
        <v>&lt;div class='input-search'&gt;&lt;input [(ngModel)]='isProcessed' name='isProcessed' class='form-control'  placeholder='Is Processed' /&gt;&lt;/div&gt;</v>
      </c>
      <c r="G18" s="31"/>
      <c r="H18" s="38" t="str">
        <f t="shared" si="11"/>
        <v>&lt;div class='col-md-12 form-group row'&gt;&lt;label class='col-md-2 form-control title'&gt;Is Processed&lt;/label&gt;&lt;input type='text' class='col-md-10 form-control input-text' name='IsProcessed' [(ngModel)]='rowdata.isProcessed'&gt;&lt;/div&gt;</v>
      </c>
      <c r="I18" s="31"/>
      <c r="J18" s="31"/>
      <c r="K18" s="31"/>
      <c r="L18" s="31"/>
      <c r="M18" s="31"/>
      <c r="N18" s="31"/>
      <c r="O18" s="31"/>
    </row>
    <row r="21" spans="1:15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9"/>
  <sheetViews>
    <sheetView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25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204</v>
      </c>
      <c r="B2" s="25" t="s">
        <v>201</v>
      </c>
    </row>
    <row r="3" spans="1:2" x14ac:dyDescent="0.25">
      <c r="B3" s="22" t="s">
        <v>126</v>
      </c>
    </row>
    <row r="4" spans="1:2" x14ac:dyDescent="0.25">
      <c r="B4" s="22" t="s">
        <v>127</v>
      </c>
    </row>
    <row r="5" spans="1:2" x14ac:dyDescent="0.25">
      <c r="B5" s="22" t="s">
        <v>128</v>
      </c>
    </row>
    <row r="6" spans="1:2" x14ac:dyDescent="0.25">
      <c r="B6" s="22" t="s">
        <v>129</v>
      </c>
    </row>
    <row r="7" spans="1:2" x14ac:dyDescent="0.25">
      <c r="B7" s="22" t="s">
        <v>130</v>
      </c>
    </row>
    <row r="8" spans="1:2" x14ac:dyDescent="0.25">
      <c r="B8" s="22" t="s">
        <v>131</v>
      </c>
    </row>
    <row r="9" spans="1:2" x14ac:dyDescent="0.25">
      <c r="B9" s="22" t="s">
        <v>132</v>
      </c>
    </row>
    <row r="10" spans="1:2" x14ac:dyDescent="0.25">
      <c r="B10" s="22" t="s">
        <v>133</v>
      </c>
    </row>
    <row r="11" spans="1:2" x14ac:dyDescent="0.25">
      <c r="B11" s="22" t="s">
        <v>134</v>
      </c>
    </row>
    <row r="12" spans="1:2" x14ac:dyDescent="0.25">
      <c r="B12" s="22" t="s">
        <v>135</v>
      </c>
    </row>
    <row r="13" spans="1:2" x14ac:dyDescent="0.25">
      <c r="B13" s="22" t="s">
        <v>136</v>
      </c>
    </row>
    <row r="14" spans="1:2" x14ac:dyDescent="0.25">
      <c r="B14" s="22" t="s">
        <v>137</v>
      </c>
    </row>
    <row r="15" spans="1:2" x14ac:dyDescent="0.25">
      <c r="B15" s="22" t="s">
        <v>138</v>
      </c>
    </row>
    <row r="16" spans="1:2" x14ac:dyDescent="0.25">
      <c r="B16" s="22" t="s">
        <v>139</v>
      </c>
    </row>
    <row r="17" spans="1:3" x14ac:dyDescent="0.25">
      <c r="B17" s="22" t="s">
        <v>140</v>
      </c>
    </row>
    <row r="18" spans="1:3" x14ac:dyDescent="0.25">
      <c r="B18" s="22" t="s">
        <v>141</v>
      </c>
      <c r="C18" t="s">
        <v>203</v>
      </c>
    </row>
    <row r="19" spans="1:3" x14ac:dyDescent="0.25">
      <c r="B19" s="22" t="s">
        <v>142</v>
      </c>
    </row>
    <row r="20" spans="1:3" x14ac:dyDescent="0.25">
      <c r="B20" s="22" t="s">
        <v>143</v>
      </c>
    </row>
    <row r="21" spans="1:3" x14ac:dyDescent="0.25">
      <c r="B21" s="22" t="s">
        <v>144</v>
      </c>
    </row>
    <row r="22" spans="1:3" x14ac:dyDescent="0.25">
      <c r="B22" s="22" t="s">
        <v>145</v>
      </c>
      <c r="C22" t="s">
        <v>208</v>
      </c>
    </row>
    <row r="23" spans="1:3" x14ac:dyDescent="0.25">
      <c r="B23" s="22" t="s">
        <v>146</v>
      </c>
    </row>
    <row r="24" spans="1:3" x14ac:dyDescent="0.25">
      <c r="B24" s="22" t="s">
        <v>147</v>
      </c>
    </row>
    <row r="25" spans="1:3" x14ac:dyDescent="0.25">
      <c r="B25" s="22" t="s">
        <v>148</v>
      </c>
    </row>
    <row r="26" spans="1:3" x14ac:dyDescent="0.25">
      <c r="A26" s="24" t="s">
        <v>205</v>
      </c>
      <c r="B26" s="25" t="s">
        <v>202</v>
      </c>
    </row>
    <row r="27" spans="1:3" x14ac:dyDescent="0.25">
      <c r="B27" s="22" t="s">
        <v>149</v>
      </c>
    </row>
    <row r="28" spans="1:3" x14ac:dyDescent="0.25">
      <c r="B28" s="23" t="s">
        <v>150</v>
      </c>
    </row>
    <row r="29" spans="1:3" x14ac:dyDescent="0.25">
      <c r="B29" s="22" t="s">
        <v>151</v>
      </c>
    </row>
    <row r="30" spans="1:3" x14ac:dyDescent="0.25">
      <c r="B30" s="22" t="s">
        <v>152</v>
      </c>
    </row>
    <row r="31" spans="1:3" x14ac:dyDescent="0.25">
      <c r="B31" s="22" t="s">
        <v>153</v>
      </c>
    </row>
    <row r="32" spans="1:3" x14ac:dyDescent="0.25">
      <c r="B32" s="22" t="s">
        <v>154</v>
      </c>
    </row>
    <row r="33" spans="2:2" x14ac:dyDescent="0.25">
      <c r="B33" s="22" t="s">
        <v>155</v>
      </c>
    </row>
    <row r="34" spans="2:2" x14ac:dyDescent="0.25">
      <c r="B34" s="22" t="s">
        <v>156</v>
      </c>
    </row>
    <row r="35" spans="2:2" x14ac:dyDescent="0.25">
      <c r="B35" s="22" t="s">
        <v>157</v>
      </c>
    </row>
    <row r="36" spans="2:2" x14ac:dyDescent="0.25">
      <c r="B36" s="22" t="s">
        <v>158</v>
      </c>
    </row>
    <row r="37" spans="2:2" x14ac:dyDescent="0.25">
      <c r="B37" s="22" t="s">
        <v>159</v>
      </c>
    </row>
    <row r="38" spans="2:2" x14ac:dyDescent="0.25">
      <c r="B38" s="22" t="s">
        <v>160</v>
      </c>
    </row>
    <row r="39" spans="2:2" x14ac:dyDescent="0.25">
      <c r="B39" s="22" t="s">
        <v>161</v>
      </c>
    </row>
    <row r="40" spans="2:2" x14ac:dyDescent="0.25">
      <c r="B40" s="22" t="s">
        <v>162</v>
      </c>
    </row>
    <row r="41" spans="2:2" x14ac:dyDescent="0.25">
      <c r="B41" s="22" t="s">
        <v>163</v>
      </c>
    </row>
    <row r="42" spans="2:2" x14ac:dyDescent="0.25">
      <c r="B42" s="22" t="s">
        <v>164</v>
      </c>
    </row>
    <row r="43" spans="2:2" x14ac:dyDescent="0.25">
      <c r="B43" s="23" t="s">
        <v>165</v>
      </c>
    </row>
    <row r="44" spans="2:2" x14ac:dyDescent="0.25">
      <c r="B44" s="22" t="s">
        <v>151</v>
      </c>
    </row>
    <row r="45" spans="2:2" x14ac:dyDescent="0.25">
      <c r="B45" s="22" t="s">
        <v>166</v>
      </c>
    </row>
    <row r="46" spans="2:2" x14ac:dyDescent="0.25">
      <c r="B46" s="22" t="s">
        <v>167</v>
      </c>
    </row>
    <row r="47" spans="2:2" x14ac:dyDescent="0.25">
      <c r="B47" s="22" t="s">
        <v>168</v>
      </c>
    </row>
    <row r="48" spans="2:2" x14ac:dyDescent="0.25">
      <c r="B48" s="22" t="s">
        <v>169</v>
      </c>
    </row>
    <row r="49" spans="2:2" x14ac:dyDescent="0.25">
      <c r="B49" s="22" t="s">
        <v>152</v>
      </c>
    </row>
    <row r="50" spans="2:2" x14ac:dyDescent="0.25">
      <c r="B50" s="22" t="s">
        <v>153</v>
      </c>
    </row>
    <row r="51" spans="2:2" x14ac:dyDescent="0.25">
      <c r="B51" s="22" t="s">
        <v>154</v>
      </c>
    </row>
    <row r="52" spans="2:2" x14ac:dyDescent="0.25">
      <c r="B52" s="22" t="s">
        <v>155</v>
      </c>
    </row>
    <row r="53" spans="2:2" x14ac:dyDescent="0.25">
      <c r="B53" s="22" t="s">
        <v>156</v>
      </c>
    </row>
    <row r="54" spans="2:2" x14ac:dyDescent="0.25">
      <c r="B54" s="22" t="s">
        <v>157</v>
      </c>
    </row>
    <row r="55" spans="2:2" x14ac:dyDescent="0.25">
      <c r="B55" s="22" t="s">
        <v>158</v>
      </c>
    </row>
    <row r="56" spans="2:2" x14ac:dyDescent="0.25">
      <c r="B56" s="22" t="s">
        <v>170</v>
      </c>
    </row>
    <row r="57" spans="2:2" x14ac:dyDescent="0.25">
      <c r="B57" s="22" t="s">
        <v>171</v>
      </c>
    </row>
    <row r="58" spans="2:2" x14ac:dyDescent="0.25">
      <c r="B58" s="22" t="s">
        <v>159</v>
      </c>
    </row>
    <row r="59" spans="2:2" x14ac:dyDescent="0.25">
      <c r="B59" s="22" t="s">
        <v>160</v>
      </c>
    </row>
    <row r="60" spans="2:2" x14ac:dyDescent="0.25">
      <c r="B60" s="22" t="s">
        <v>172</v>
      </c>
    </row>
    <row r="61" spans="2:2" x14ac:dyDescent="0.25">
      <c r="B61" s="22" t="s">
        <v>173</v>
      </c>
    </row>
    <row r="62" spans="2:2" x14ac:dyDescent="0.25">
      <c r="B62" s="22" t="s">
        <v>174</v>
      </c>
    </row>
    <row r="63" spans="2:2" x14ac:dyDescent="0.25">
      <c r="B63" s="22" t="s">
        <v>169</v>
      </c>
    </row>
    <row r="64" spans="2:2" x14ac:dyDescent="0.25">
      <c r="B64" s="22" t="s">
        <v>161</v>
      </c>
    </row>
    <row r="65" spans="2:2" x14ac:dyDescent="0.25">
      <c r="B65" s="22" t="s">
        <v>162</v>
      </c>
    </row>
    <row r="66" spans="2:2" x14ac:dyDescent="0.25">
      <c r="B66" s="22" t="s">
        <v>175</v>
      </c>
    </row>
    <row r="67" spans="2:2" x14ac:dyDescent="0.25">
      <c r="B67" s="22" t="s">
        <v>169</v>
      </c>
    </row>
    <row r="68" spans="2:2" x14ac:dyDescent="0.25">
      <c r="B68" s="22" t="s">
        <v>163</v>
      </c>
    </row>
    <row r="69" spans="2:2" x14ac:dyDescent="0.25">
      <c r="B69" s="22" t="s">
        <v>176</v>
      </c>
    </row>
    <row r="70" spans="2:2" x14ac:dyDescent="0.25">
      <c r="B70" s="23" t="s">
        <v>177</v>
      </c>
    </row>
    <row r="71" spans="2:2" x14ac:dyDescent="0.25">
      <c r="B71" s="22" t="s">
        <v>151</v>
      </c>
    </row>
    <row r="72" spans="2:2" x14ac:dyDescent="0.25">
      <c r="B72" s="22" t="s">
        <v>152</v>
      </c>
    </row>
    <row r="73" spans="2:2" x14ac:dyDescent="0.25">
      <c r="B73" s="22" t="s">
        <v>153</v>
      </c>
    </row>
    <row r="74" spans="2:2" x14ac:dyDescent="0.25">
      <c r="B74" s="22" t="s">
        <v>154</v>
      </c>
    </row>
    <row r="75" spans="2:2" x14ac:dyDescent="0.25">
      <c r="B75" s="22" t="s">
        <v>158</v>
      </c>
    </row>
    <row r="76" spans="2:2" x14ac:dyDescent="0.25">
      <c r="B76" s="22" t="s">
        <v>160</v>
      </c>
    </row>
    <row r="77" spans="2:2" x14ac:dyDescent="0.25">
      <c r="B77" s="22" t="s">
        <v>161</v>
      </c>
    </row>
    <row r="78" spans="2:2" x14ac:dyDescent="0.25">
      <c r="B78" s="22" t="s">
        <v>162</v>
      </c>
    </row>
    <row r="79" spans="2:2" x14ac:dyDescent="0.25">
      <c r="B79" s="22" t="s">
        <v>163</v>
      </c>
    </row>
    <row r="80" spans="2:2" x14ac:dyDescent="0.25">
      <c r="B80" s="22" t="s">
        <v>176</v>
      </c>
    </row>
    <row r="81" spans="1:2" x14ac:dyDescent="0.25">
      <c r="B81" s="23" t="s">
        <v>178</v>
      </c>
    </row>
    <row r="82" spans="1:2" x14ac:dyDescent="0.25">
      <c r="B82" s="23" t="s">
        <v>179</v>
      </c>
    </row>
    <row r="83" spans="1:2" x14ac:dyDescent="0.25">
      <c r="B83" s="23" t="s">
        <v>180</v>
      </c>
    </row>
    <row r="84" spans="1:2" x14ac:dyDescent="0.25">
      <c r="B84" s="23" t="s">
        <v>181</v>
      </c>
    </row>
    <row r="85" spans="1:2" x14ac:dyDescent="0.25">
      <c r="B85" s="23" t="s">
        <v>182</v>
      </c>
    </row>
    <row r="86" spans="1:2" x14ac:dyDescent="0.25">
      <c r="B86" s="23" t="s">
        <v>183</v>
      </c>
    </row>
    <row r="87" spans="1:2" x14ac:dyDescent="0.25">
      <c r="B87" s="23" t="s">
        <v>184</v>
      </c>
    </row>
    <row r="88" spans="1:2" x14ac:dyDescent="0.25">
      <c r="A88" s="24" t="s">
        <v>206</v>
      </c>
      <c r="B88" s="26" t="s">
        <v>185</v>
      </c>
    </row>
    <row r="89" spans="1:2" x14ac:dyDescent="0.25">
      <c r="B89" s="22" t="s">
        <v>186</v>
      </c>
    </row>
    <row r="90" spans="1:2" x14ac:dyDescent="0.25">
      <c r="B90" s="22" t="s">
        <v>187</v>
      </c>
    </row>
    <row r="91" spans="1:2" x14ac:dyDescent="0.25">
      <c r="B91" s="22" t="s">
        <v>188</v>
      </c>
    </row>
    <row r="92" spans="1:2" x14ac:dyDescent="0.25">
      <c r="B92" s="22" t="s">
        <v>189</v>
      </c>
    </row>
    <row r="93" spans="1:2" x14ac:dyDescent="0.25">
      <c r="B93" s="22" t="s">
        <v>190</v>
      </c>
    </row>
    <row r="94" spans="1:2" x14ac:dyDescent="0.25">
      <c r="B94" s="22" t="s">
        <v>191</v>
      </c>
    </row>
    <row r="95" spans="1:2" x14ac:dyDescent="0.25">
      <c r="B95" s="22" t="s">
        <v>192</v>
      </c>
    </row>
    <row r="96" spans="1:2" x14ac:dyDescent="0.25">
      <c r="B96" s="22" t="s">
        <v>193</v>
      </c>
    </row>
    <row r="97" spans="2:2" x14ac:dyDescent="0.25">
      <c r="B97" s="22" t="s">
        <v>194</v>
      </c>
    </row>
    <row r="98" spans="2:2" x14ac:dyDescent="0.25">
      <c r="B98" s="22" t="s">
        <v>195</v>
      </c>
    </row>
    <row r="99" spans="2:2" x14ac:dyDescent="0.25">
      <c r="B99" s="22" t="s">
        <v>196</v>
      </c>
    </row>
    <row r="100" spans="2:2" x14ac:dyDescent="0.25">
      <c r="B100" s="22" t="s">
        <v>197</v>
      </c>
    </row>
    <row r="101" spans="2:2" x14ac:dyDescent="0.25">
      <c r="B101" s="22" t="s">
        <v>198</v>
      </c>
    </row>
    <row r="102" spans="2:2" x14ac:dyDescent="0.25">
      <c r="B102" s="22" t="s">
        <v>199</v>
      </c>
    </row>
    <row r="103" spans="2:2" x14ac:dyDescent="0.25">
      <c r="B103" s="22" t="s">
        <v>200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2022-05-16T02:52:09Z</dcterms:modified>
</cp:coreProperties>
</file>
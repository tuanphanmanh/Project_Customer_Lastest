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ductTmv\prod\docs\design\painting\Andon\"/>
    </mc:Choice>
  </mc:AlternateContent>
  <xr:revisionPtr revIDLastSave="0" documentId="13_ncr:1_{06B7176E-72E9-45D5-BC45-37416ED910E0}" xr6:coauthVersionLast="36" xr6:coauthVersionMax="36" xr10:uidLastSave="{00000000-0000-0000-0000-000000000000}"/>
  <bookViews>
    <workbookView xWindow="0" yWindow="0" windowWidth="28800" windowHeight="11805" xr2:uid="{00000000-000D-0000-FFFF-FFFF00000000}"/>
  </bookViews>
  <sheets>
    <sheet name="Dev Guide" sheetId="3" r:id="rId1"/>
    <sheet name="A.Backend" sheetId="1" r:id="rId2"/>
    <sheet name="B.Frontend" sheetId="5" r:id="rId3"/>
    <sheet name="Sheet1" sheetId="7" r:id="rId4"/>
    <sheet name="Data Type Mapping" sheetId="2" r:id="rId5"/>
    <sheet name="Directory Tree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6" i="5" l="1"/>
  <c r="G17" i="5"/>
  <c r="G18" i="5"/>
  <c r="G19" i="5"/>
  <c r="G20" i="5"/>
  <c r="F16" i="5"/>
  <c r="F17" i="5"/>
  <c r="F18" i="5"/>
  <c r="F19" i="5"/>
  <c r="F20" i="5"/>
  <c r="W3" i="1" l="1"/>
  <c r="V3" i="1"/>
  <c r="A17" i="5" l="1"/>
  <c r="B2" i="5" l="1"/>
  <c r="B3" i="5" s="1"/>
  <c r="O7" i="1"/>
  <c r="A20" i="5"/>
  <c r="B20" i="5" s="1"/>
  <c r="D20" i="5" s="1"/>
  <c r="A19" i="5"/>
  <c r="C19" i="5" s="1"/>
  <c r="A18" i="5"/>
  <c r="B18" i="5" s="1"/>
  <c r="D18" i="5" s="1"/>
  <c r="L14" i="1"/>
  <c r="G14" i="1"/>
  <c r="E14" i="1"/>
  <c r="H14" i="1" s="1"/>
  <c r="D14" i="1"/>
  <c r="L13" i="1"/>
  <c r="G13" i="1"/>
  <c r="E13" i="1"/>
  <c r="H13" i="1" s="1"/>
  <c r="D13" i="1"/>
  <c r="G12" i="1"/>
  <c r="E12" i="1"/>
  <c r="H12" i="1" s="1"/>
  <c r="D12" i="1"/>
  <c r="M14" i="1" l="1"/>
  <c r="O14" i="1"/>
  <c r="N14" i="1"/>
  <c r="V13" i="1"/>
  <c r="T13" i="1"/>
  <c r="N13" i="1"/>
  <c r="O13" i="1"/>
  <c r="M13" i="1"/>
  <c r="N12" i="1"/>
  <c r="O12" i="1"/>
  <c r="M12" i="1"/>
  <c r="V12" i="1"/>
  <c r="T12" i="1"/>
  <c r="T14" i="1"/>
  <c r="V14" i="1"/>
  <c r="W14" i="1"/>
  <c r="E20" i="5"/>
  <c r="W12" i="1"/>
  <c r="E18" i="5"/>
  <c r="K18" i="5" s="1"/>
  <c r="W13" i="1"/>
  <c r="E19" i="5"/>
  <c r="T18" i="5"/>
  <c r="T20" i="5"/>
  <c r="P13" i="1"/>
  <c r="C18" i="5"/>
  <c r="C20" i="5"/>
  <c r="B19" i="5"/>
  <c r="D19" i="5" s="1"/>
  <c r="J12" i="1"/>
  <c r="I12" i="1"/>
  <c r="I14" i="1"/>
  <c r="J14" i="1"/>
  <c r="I13" i="1"/>
  <c r="P12" i="1"/>
  <c r="J13" i="1"/>
  <c r="P14" i="1"/>
  <c r="B6" i="5"/>
  <c r="K20" i="5" l="1"/>
  <c r="K19" i="5"/>
  <c r="I19" i="5"/>
  <c r="L19" i="5"/>
  <c r="U19" i="5"/>
  <c r="V19" i="5"/>
  <c r="S20" i="5"/>
  <c r="I20" i="5"/>
  <c r="U20" i="5"/>
  <c r="L20" i="5"/>
  <c r="V20" i="5"/>
  <c r="H20" i="5"/>
  <c r="S18" i="5"/>
  <c r="I18" i="5"/>
  <c r="U18" i="5"/>
  <c r="L18" i="5"/>
  <c r="V18" i="5"/>
  <c r="T19" i="5"/>
  <c r="S19" i="5"/>
  <c r="H18" i="5"/>
  <c r="H19" i="5"/>
  <c r="A15" i="5"/>
  <c r="U7" i="1" l="1"/>
  <c r="B7" i="5" l="1"/>
  <c r="Q3" i="1" l="1"/>
  <c r="T3" i="1"/>
  <c r="F3" i="1"/>
  <c r="B4" i="5" l="1"/>
  <c r="N7" i="1"/>
  <c r="E38" i="3" s="1"/>
  <c r="K7" i="1"/>
  <c r="H6" i="1"/>
  <c r="R10" i="5" l="1"/>
  <c r="M45" i="3" s="1"/>
  <c r="N38" i="3" l="1"/>
  <c r="B8" i="5"/>
  <c r="B5" i="5"/>
  <c r="D9" i="1"/>
  <c r="T9" i="1" l="1"/>
  <c r="V9" i="1"/>
  <c r="P10" i="5"/>
  <c r="K45" i="3" s="1"/>
  <c r="Q10" i="5"/>
  <c r="L45" i="3" s="1"/>
  <c r="B43" i="3"/>
  <c r="C43" i="3" s="1"/>
  <c r="M14" i="5"/>
  <c r="H44" i="3" s="1"/>
  <c r="L14" i="5"/>
  <c r="G44" i="3" s="1"/>
  <c r="K14" i="5"/>
  <c r="F44" i="3" s="1"/>
  <c r="L44" i="3"/>
  <c r="K44" i="3"/>
  <c r="O14" i="5"/>
  <c r="J44" i="3" s="1"/>
  <c r="N14" i="5"/>
  <c r="I44" i="3" s="1"/>
  <c r="J14" i="5"/>
  <c r="E44" i="3" s="1"/>
  <c r="I14" i="5"/>
  <c r="D44" i="3" s="1"/>
  <c r="H14" i="5"/>
  <c r="C44" i="3" s="1"/>
  <c r="O10" i="5"/>
  <c r="J45" i="3" s="1"/>
  <c r="N10" i="5"/>
  <c r="I45" i="3" s="1"/>
  <c r="M10" i="5"/>
  <c r="H45" i="3" s="1"/>
  <c r="J10" i="5"/>
  <c r="E45" i="3" s="1"/>
  <c r="N3" i="1" l="1"/>
  <c r="M3" i="1"/>
  <c r="O3" i="1"/>
  <c r="D10" i="1"/>
  <c r="D11" i="1"/>
  <c r="V10" i="1" l="1"/>
  <c r="T10" i="1"/>
  <c r="T11" i="1"/>
  <c r="V11" i="1"/>
  <c r="C15" i="5"/>
  <c r="B15" i="5"/>
  <c r="D15" i="5" s="1"/>
  <c r="A16" i="5"/>
  <c r="V16" i="1"/>
  <c r="U12" i="5" l="1"/>
  <c r="L12" i="5"/>
  <c r="K12" i="5"/>
  <c r="T12" i="5"/>
  <c r="I12" i="5"/>
  <c r="H12" i="5"/>
  <c r="S12" i="5"/>
  <c r="V12" i="5"/>
  <c r="T15" i="5"/>
  <c r="C17" i="5"/>
  <c r="B17" i="5"/>
  <c r="D17" i="5" s="1"/>
  <c r="C16" i="5"/>
  <c r="B16" i="5"/>
  <c r="D16" i="5" s="1"/>
  <c r="T16" i="5" s="1"/>
  <c r="T17" i="5" l="1"/>
  <c r="R3" i="1"/>
  <c r="D1" i="1"/>
  <c r="F6" i="1"/>
  <c r="T13" i="5"/>
  <c r="L11" i="1" l="1"/>
  <c r="G9" i="1"/>
  <c r="F15" i="5" s="1"/>
  <c r="G10" i="1"/>
  <c r="G11" i="1"/>
  <c r="E9" i="1"/>
  <c r="H9" i="1" s="1"/>
  <c r="E10" i="1"/>
  <c r="H10" i="1" s="1"/>
  <c r="E11" i="1"/>
  <c r="H11" i="1" s="1"/>
  <c r="P9" i="1"/>
  <c r="P10" i="1"/>
  <c r="P11" i="1"/>
  <c r="T16" i="1"/>
  <c r="O11" i="1" l="1"/>
  <c r="M11" i="1"/>
  <c r="N11" i="1"/>
  <c r="O10" i="1"/>
  <c r="M10" i="1"/>
  <c r="N10" i="1"/>
  <c r="M9" i="1"/>
  <c r="N9" i="1"/>
  <c r="O9" i="1"/>
  <c r="W11" i="1"/>
  <c r="E17" i="5"/>
  <c r="K17" i="5" s="1"/>
  <c r="E15" i="5"/>
  <c r="K15" i="5" s="1"/>
  <c r="W9" i="1"/>
  <c r="W10" i="1"/>
  <c r="E16" i="5"/>
  <c r="K16" i="5" s="1"/>
  <c r="T7" i="1"/>
  <c r="I11" i="1"/>
  <c r="I10" i="1"/>
  <c r="I9" i="1"/>
  <c r="W16" i="1"/>
  <c r="S16" i="5" l="1"/>
  <c r="I16" i="5"/>
  <c r="H16" i="5"/>
  <c r="L16" i="5"/>
  <c r="U16" i="5"/>
  <c r="V16" i="5"/>
  <c r="G15" i="5"/>
  <c r="S15" i="5" s="1"/>
  <c r="I15" i="5"/>
  <c r="L15" i="5"/>
  <c r="V15" i="5"/>
  <c r="H15" i="5"/>
  <c r="U15" i="5"/>
  <c r="S17" i="5"/>
  <c r="I17" i="5"/>
  <c r="U17" i="5"/>
  <c r="L17" i="5"/>
  <c r="V17" i="5"/>
  <c r="H17" i="5"/>
  <c r="G6" i="1"/>
  <c r="S13" i="5"/>
  <c r="L13" i="5"/>
  <c r="K13" i="5"/>
  <c r="I13" i="5"/>
  <c r="U13" i="5"/>
  <c r="V13" i="5"/>
  <c r="H13" i="5"/>
  <c r="K10" i="5" l="1"/>
  <c r="F45" i="3" s="1"/>
  <c r="I10" i="5"/>
  <c r="D45" i="3" s="1"/>
  <c r="H10" i="5"/>
  <c r="C45" i="3" s="1"/>
  <c r="L10" i="5"/>
  <c r="G45" i="3" s="1"/>
  <c r="L38" i="3"/>
  <c r="D38" i="3"/>
  <c r="D6" i="1"/>
  <c r="B6" i="1" l="1"/>
  <c r="L3" i="1"/>
  <c r="J3" i="1"/>
  <c r="H3" i="1"/>
  <c r="C6" i="1" l="1"/>
  <c r="P7" i="1" s="1"/>
  <c r="S3" i="1"/>
  <c r="S7" i="1" s="1"/>
  <c r="E6" i="1"/>
  <c r="F38" i="3"/>
  <c r="I3" i="1" l="1"/>
  <c r="B7" i="1"/>
  <c r="L12" i="1" s="1"/>
  <c r="L9" i="1" l="1"/>
  <c r="L10" i="1"/>
  <c r="J11" i="1"/>
  <c r="J9" i="1"/>
  <c r="J10" i="1"/>
  <c r="C7" i="1"/>
  <c r="O16" i="1"/>
  <c r="I16" i="1"/>
  <c r="J16" i="1"/>
  <c r="P16" i="1"/>
  <c r="N16" i="1"/>
  <c r="Q7" i="1" l="1"/>
  <c r="M38" i="3" s="1"/>
  <c r="L7" i="1"/>
  <c r="G38" i="3" s="1"/>
  <c r="K38" i="3"/>
  <c r="J38" i="3"/>
  <c r="M16" i="1"/>
  <c r="K16" i="1"/>
  <c r="R7" i="1" l="1"/>
  <c r="I38" i="3" s="1"/>
  <c r="M7" i="1"/>
  <c r="H38" i="3" s="1"/>
  <c r="J7" i="1"/>
  <c r="C3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3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3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37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3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3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37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37" authorId="1" shapeId="0" xr:uid="{00000000-0006-0000-0000-000007000000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 Share</t>
        </r>
      </text>
    </comment>
    <comment ref="J37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37" authorId="1" shapeId="0" xr:uid="{00000000-0006-0000-0000-000009000000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L37" authorId="1" shapeId="0" xr:uid="{00000000-0006-0000-0000-00000A000000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M37" authorId="1" shapeId="0" xr:uid="{00000000-0006-0000-0000-00000B000000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N37" authorId="1" shapeId="0" xr:uid="{00000000-0006-0000-0000-00000C000000}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<sst xmlns="http://schemas.openxmlformats.org/spreadsheetml/2006/main" count="364" uniqueCount="291">
  <si>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</si>
  <si>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</si>
  <si>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</si>
  <si>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</si>
  <si>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</si>
  <si>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</si>
  <si>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</si>
  <si>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</si>
  <si>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</si>
  <si>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</si>
  <si>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</si>
  <si>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</si>
  <si>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</si>
  <si>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</si>
  <si>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</si>
  <si>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</si>
  <si>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</si>
  <si>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</si>
  <si>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</si>
  <si>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</si>
  <si>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</si>
  <si>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</si>
  <si>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</si>
  <si>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</si>
  <si>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</si>
  <si>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</si>
  <si>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</si>
  <si>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</si>
  <si>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</si>
  <si>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</si>
  <si>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</si>
  <si>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</si>
  <si>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</si>
  <si>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</si>
  <si>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</si>
  <si>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</si>
  <si>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</si>
  <si>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</si>
  <si>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</si>
  <si>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</si>
  <si>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</si>
  <si>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</si>
  <si>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</si>
  <si>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</si>
  <si>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</si>
  <si>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</si>
  <si>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</si>
  <si>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</si>
  <si>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</si>
  <si>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</si>
  <si>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</si>
  <si>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</si>
  <si>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</si>
  <si>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</si>
  <si>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</si>
  <si>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</si>
  <si>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</si>
  <si>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</si>
  <si>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</si>
  <si>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</si>
  <si>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</si>
  <si>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</si>
  <si>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</si>
  <si>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</si>
  <si>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</si>
  <si>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</si>
  <si>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</si>
  <si>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</si>
  <si>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</si>
  <si>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</si>
  <si>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</si>
  <si>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</si>
  <si>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</si>
  <si>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</si>
  <si>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</si>
  <si>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</si>
  <si>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</si>
  <si>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</si>
  <si>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</si>
  <si>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</si>
  <si>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Unchecked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</si>
  <si>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</si>
  <si>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</si>
  <si>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</si>
  <si>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</si>
  <si>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</si>
  <si>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</si>
  <si>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</si>
  <si>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</si>
  <si>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</si>
  <si>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</si>
  <si>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</si>
  <si>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</si>
  <si>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</si>
  <si>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</si>
  <si>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</si>
  <si>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</si>
  <si>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</si>
  <si>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</si>
  <si>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</si>
  <si>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</si>
  <si>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</si>
  <si>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</si>
  <si>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</si>
  <si>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</si>
  <si>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</si>
  <si>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</si>
  <si>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</si>
  <si>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</si>
  <si>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</si>
  <si>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</si>
  <si>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</si>
  <si>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</si>
  <si>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</si>
  <si>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</si>
  <si>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</si>
  <si>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</si>
  <si>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</si>
  <si>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</si>
  <si>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</si>
  <si>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</si>
  <si>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</si>
  <si>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</si>
  <si>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</si>
  <si>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</si>
  <si>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</si>
  <si>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</si>
  <si>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</si>
  <si>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</si>
  <si>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</si>
  <si>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</si>
  <si>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</si>
  <si>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</si>
  <si>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</si>
  <si>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</si>
  <si>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</si>
  <si>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</si>
  <si>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</si>
  <si>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</si>
  <si>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</si>
  <si>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</si>
  <si>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</si>
  <si>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</si>
  <si>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</si>
  <si>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</si>
  <si>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</si>
  <si>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</si>
  <si>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</si>
  <si>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</si>
  <si>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</si>
  <si>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</si>
  <si>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</si>
  <si>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</si>
  <si>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</si>
  <si>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</si>
  <si>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</si>
  <si>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</si>
  <si>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</si>
  <si>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</si>
  <si>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</si>
  <si>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</si>
  <si>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</si>
  <si>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</si>
  <si>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</si>
  <si>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</si>
  <si>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</si>
  <si>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</si>
  <si>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</si>
  <si>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</si>
  <si>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</si>
  <si>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</si>
  <si>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</si>
  <si>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</si>
  <si>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</si>
  <si>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</si>
  <si>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</si>
  <si>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</si>
  <si>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</si>
  <si>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</si>
  <si>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</si>
  <si>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</si>
  <si>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</si>
  <si>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</si>
  <si>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</si>
  <si>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</si>
  <si>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</si>
  <si>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</si>
  <si>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</si>
  <si>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</si>
  <si>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</si>
  <si>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</si>
  <si>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</si>
  <si>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</si>
  <si>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</si>
  <si>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</si>
  <si>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</si>
  <si>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</si>
  <si>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</si>
  <si>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</si>
  <si>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</si>
  <si>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</si>
  <si>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</si>
  <si>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</si>
  <si>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</si>
  <si>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</si>
  <si>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</si>
  <si>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</si>
  <si>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</si>
  <si>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</si>
  <si>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</si>
  <si>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</si>
  <si>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</si>
  <si>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</si>
  <si>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</si>
  <si>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</si>
  <si>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</si>
  <si>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</si>
  <si>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</si>
  <si>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</si>
  <si>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</si>
  <si>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</si>
  <si>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</si>
  <si>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</si>
  <si>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</si>
  <si>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</si>
  <si>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</si>
  <si>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</si>
  <si>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</si>
  <si>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</si>
  <si>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</si>
  <si>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</si>
  <si>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</si>
  <si>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</si>
  <si>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</si>
  <si>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</si>
  <si>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</si>
  <si>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</si>
  <si>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</si>
  <si>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</si>
  <si>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</si>
  <si>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</si>
  <si>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</si>
  <si>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</si>
  <si>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</si>
  <si>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</si>
  <si>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</si>
  <si>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</si>
  <si>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</si>
  <si>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</si>
  <si>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nvarchar(50)</t>
  </si>
  <si>
    <t>datetime2(7)</t>
  </si>
  <si>
    <t>nvarchar(1)</t>
  </si>
  <si>
    <t>PtsAdoScanInfo</t>
  </si>
  <si>
    <t>Painting.Andon</t>
  </si>
  <si>
    <t>ScanInfo</t>
  </si>
  <si>
    <t>Painting Andon Scan Info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</si>
  <si>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</si>
  <si>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</si>
  <si>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</si>
  <si>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</si>
  <si>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Scan_Type</t>
  </si>
  <si>
    <t>Scan_Value</t>
  </si>
  <si>
    <t>Scan_Location</t>
  </si>
  <si>
    <t>Scan_Time</t>
  </si>
  <si>
    <t>Scan_By</t>
  </si>
  <si>
    <t>Is_Processed</t>
  </si>
  <si>
    <t>param</t>
  </si>
  <si>
    <t>S15</t>
  </si>
  <si>
    <t>T15</t>
  </si>
  <si>
    <t>clearparams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</si>
  <si>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</si>
  <si>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</si>
  <si>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</si>
  <si>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</si>
  <si>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</si>
  <si>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</si>
  <si>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</si>
  <si>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</si>
  <si>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</si>
  <si>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</si>
  <si>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</si>
  <si>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</si>
  <si>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</si>
  <si>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</si>
  <si>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</si>
  <si>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ScanType</t>
  </si>
  <si>
    <t>ScanValue</t>
  </si>
  <si>
    <t>ScanLocation</t>
  </si>
  <si>
    <t>ScanTime</t>
  </si>
  <si>
    <t>ScanBy</t>
  </si>
  <si>
    <t>IsProcessed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</si>
</sst>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7" fillId="9" borderId="0" xfId="0" applyFont="1" applyFill="1"/>
    <xf numFmtId="0" fontId="0" fillId="8" borderId="0" xfId="0" applyFill="1" applyBorder="1" applyAlignment="1">
      <alignment wrapText="1"/>
    </xf>
    <xf numFmtId="0" fontId="18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5" fillId="0" borderId="3" xfId="0" applyFont="1" applyBorder="1" applyAlignment="1">
      <alignment horizontal="center"/>
    </xf>
    <xf numFmtId="0" fontId="16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47"/>
  <sheetViews>
    <sheetView tabSelected="1" topLeftCell="A34" workbookViewId="0">
      <selection activeCell="D49" sqref="D49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6" ht="23.25" x14ac:dyDescent="0.35">
      <c r="A1" s="15" t="s">
        <v>74</v>
      </c>
    </row>
    <row r="2" spans="1:6" ht="15.75" x14ac:dyDescent="0.25">
      <c r="A2" s="1"/>
      <c r="B2" s="27" t="s">
        <v>197</v>
      </c>
    </row>
    <row r="3" spans="1:6" x14ac:dyDescent="0.25">
      <c r="A3" s="1"/>
      <c r="B3" s="1" t="s">
        <v>77</v>
      </c>
    </row>
    <row r="4" spans="1:6" x14ac:dyDescent="0.25">
      <c r="A4" s="1"/>
      <c r="B4" s="17" t="s">
        <v>76</v>
      </c>
    </row>
    <row r="5" spans="1:6" x14ac:dyDescent="0.25">
      <c r="A5" s="1"/>
      <c r="B5" s="17" t="s">
        <v>79</v>
      </c>
    </row>
    <row r="6" spans="1:6" x14ac:dyDescent="0.25">
      <c r="A6" s="1"/>
      <c r="B6" s="17" t="s">
        <v>88</v>
      </c>
    </row>
    <row r="7" spans="1:6" x14ac:dyDescent="0.25">
      <c r="A7" s="1"/>
      <c r="B7" s="17"/>
      <c r="C7" s="2" t="s">
        <v>98</v>
      </c>
      <c r="D7" s="2"/>
      <c r="E7" s="2"/>
      <c r="F7" s="2" t="s">
        <v>106</v>
      </c>
    </row>
    <row r="8" spans="1:6" x14ac:dyDescent="0.25">
      <c r="A8" s="1"/>
      <c r="B8" s="17"/>
      <c r="C8" t="s">
        <v>90</v>
      </c>
      <c r="F8" s="1" t="s">
        <v>235</v>
      </c>
    </row>
    <row r="9" spans="1:6" x14ac:dyDescent="0.25">
      <c r="A9" s="1"/>
      <c r="B9" s="17"/>
      <c r="C9" t="s">
        <v>89</v>
      </c>
      <c r="F9" s="1" t="s">
        <v>99</v>
      </c>
    </row>
    <row r="10" spans="1:6" x14ac:dyDescent="0.25">
      <c r="A10" s="1"/>
      <c r="B10" s="17"/>
      <c r="D10" t="s">
        <v>90</v>
      </c>
      <c r="F10" s="1" t="s">
        <v>235</v>
      </c>
    </row>
    <row r="11" spans="1:6" x14ac:dyDescent="0.25">
      <c r="A11" s="1"/>
      <c r="B11" s="17"/>
      <c r="D11" t="s">
        <v>91</v>
      </c>
      <c r="F11" s="1" t="s">
        <v>100</v>
      </c>
    </row>
    <row r="12" spans="1:6" x14ac:dyDescent="0.25">
      <c r="A12" s="1"/>
      <c r="B12" s="17"/>
      <c r="D12" t="s">
        <v>92</v>
      </c>
      <c r="F12" s="1" t="s">
        <v>101</v>
      </c>
    </row>
    <row r="13" spans="1:6" x14ac:dyDescent="0.25">
      <c r="A13" s="1"/>
      <c r="B13" s="17"/>
      <c r="D13" t="s">
        <v>93</v>
      </c>
      <c r="F13" s="1" t="s">
        <v>102</v>
      </c>
    </row>
    <row r="14" spans="1:6" x14ac:dyDescent="0.25">
      <c r="A14" s="1"/>
      <c r="B14" s="17"/>
      <c r="D14" t="s">
        <v>94</v>
      </c>
      <c r="F14" s="1" t="s">
        <v>103</v>
      </c>
    </row>
    <row r="15" spans="1:6" x14ac:dyDescent="0.25">
      <c r="A15" s="1"/>
      <c r="B15" s="17"/>
      <c r="D15" t="s">
        <v>95</v>
      </c>
      <c r="F15" s="1" t="s">
        <v>104</v>
      </c>
    </row>
    <row r="16" spans="1:6" x14ac:dyDescent="0.25">
      <c r="A16" s="1"/>
      <c r="B16" s="17"/>
      <c r="C16" t="s">
        <v>92</v>
      </c>
      <c r="F16" s="1" t="s">
        <v>101</v>
      </c>
    </row>
    <row r="17" spans="1:6" x14ac:dyDescent="0.25">
      <c r="A17" s="1"/>
      <c r="B17" s="17"/>
      <c r="D17" t="s">
        <v>96</v>
      </c>
      <c r="F17" s="1" t="s">
        <v>115</v>
      </c>
    </row>
    <row r="18" spans="1:6" x14ac:dyDescent="0.25">
      <c r="A18" s="1"/>
      <c r="B18" s="17"/>
      <c r="D18" t="s">
        <v>97</v>
      </c>
      <c r="F18" s="1" t="s">
        <v>105</v>
      </c>
    </row>
    <row r="19" spans="1:6" x14ac:dyDescent="0.25">
      <c r="A19" s="1"/>
      <c r="B19" s="17"/>
      <c r="C19" t="s">
        <v>93</v>
      </c>
      <c r="F19" s="1" t="s">
        <v>102</v>
      </c>
    </row>
    <row r="20" spans="1:6" x14ac:dyDescent="0.25">
      <c r="A20" s="1"/>
      <c r="B20" s="17"/>
      <c r="C20" t="s">
        <v>94</v>
      </c>
      <c r="F20" s="1" t="s">
        <v>103</v>
      </c>
    </row>
    <row r="21" spans="1:6" x14ac:dyDescent="0.25">
      <c r="A21" s="1"/>
      <c r="B21" s="17"/>
    </row>
    <row r="22" spans="1:6" x14ac:dyDescent="0.25">
      <c r="A22" s="1"/>
      <c r="B22" s="17" t="s">
        <v>87</v>
      </c>
    </row>
    <row r="23" spans="1:6" x14ac:dyDescent="0.25">
      <c r="A23" s="1"/>
      <c r="B23" s="17" t="s">
        <v>84</v>
      </c>
    </row>
    <row r="24" spans="1:6" x14ac:dyDescent="0.25">
      <c r="A24" s="1"/>
      <c r="B24" s="17"/>
      <c r="C24" s="19" t="s">
        <v>81</v>
      </c>
    </row>
    <row r="25" spans="1:6" x14ac:dyDescent="0.25">
      <c r="A25" s="1"/>
      <c r="B25" s="17"/>
      <c r="C25" s="18" t="s">
        <v>82</v>
      </c>
    </row>
    <row r="26" spans="1:6" x14ac:dyDescent="0.25">
      <c r="A26" s="1"/>
      <c r="B26" s="17"/>
      <c r="C26" s="18" t="s">
        <v>83</v>
      </c>
    </row>
    <row r="27" spans="1:6" x14ac:dyDescent="0.25">
      <c r="A27" s="1"/>
      <c r="B27" s="17" t="s">
        <v>107</v>
      </c>
      <c r="C27" s="18"/>
    </row>
    <row r="28" spans="1:6" x14ac:dyDescent="0.25">
      <c r="A28" s="1"/>
      <c r="B28" s="17"/>
      <c r="C28" s="18" t="s">
        <v>108</v>
      </c>
    </row>
    <row r="29" spans="1:6" x14ac:dyDescent="0.25">
      <c r="A29" s="1"/>
      <c r="B29" s="17"/>
      <c r="C29" s="18" t="s">
        <v>109</v>
      </c>
    </row>
    <row r="30" spans="1:6" x14ac:dyDescent="0.25">
      <c r="A30" s="1"/>
      <c r="B30" s="17"/>
      <c r="C30" s="18" t="s">
        <v>110</v>
      </c>
    </row>
    <row r="31" spans="1:6" x14ac:dyDescent="0.25">
      <c r="A31" s="1"/>
      <c r="B31" s="17"/>
      <c r="C31" s="18" t="s">
        <v>112</v>
      </c>
    </row>
    <row r="32" spans="1:6" x14ac:dyDescent="0.25">
      <c r="A32" s="1"/>
      <c r="B32" s="17"/>
      <c r="C32" s="18" t="s">
        <v>114</v>
      </c>
    </row>
    <row r="33" spans="1:14" x14ac:dyDescent="0.25">
      <c r="A33" s="1"/>
      <c r="B33" s="17"/>
      <c r="C33" s="18" t="s">
        <v>113</v>
      </c>
    </row>
    <row r="34" spans="1:14" x14ac:dyDescent="0.25">
      <c r="A34" s="1"/>
      <c r="B34" s="17"/>
      <c r="C34" s="18" t="s">
        <v>111</v>
      </c>
    </row>
    <row r="35" spans="1:14" ht="21" customHeight="1" x14ac:dyDescent="0.25">
      <c r="B35" s="21" t="s">
        <v>78</v>
      </c>
    </row>
    <row r="36" spans="1:14" ht="21" customHeight="1" x14ac:dyDescent="0.25">
      <c r="B36" s="63" t="s">
        <v>232</v>
      </c>
    </row>
    <row r="37" spans="1:14" ht="15.75" thickBot="1" x14ac:dyDescent="0.3">
      <c r="C37" s="1" t="s">
        <v>72</v>
      </c>
      <c r="D37" s="1" t="s">
        <v>208</v>
      </c>
      <c r="E37" s="1" t="s">
        <v>209</v>
      </c>
      <c r="F37" s="1" t="s">
        <v>199</v>
      </c>
      <c r="G37" s="1" t="s">
        <v>200</v>
      </c>
      <c r="H37" s="1" t="s">
        <v>201</v>
      </c>
      <c r="I37" s="1" t="s">
        <v>202</v>
      </c>
      <c r="J37" s="1" t="s">
        <v>206</v>
      </c>
      <c r="K37" s="1" t="s">
        <v>210</v>
      </c>
      <c r="L37" s="1" t="s">
        <v>211</v>
      </c>
      <c r="M37" s="1" t="s">
        <v>212</v>
      </c>
      <c r="N37" s="1" t="s">
        <v>228</v>
      </c>
    </row>
    <row r="38" spans="1:14" s="16" customFormat="1" ht="21.75" customHeight="1" thickBot="1" x14ac:dyDescent="0.3">
      <c r="B38" s="52" t="s">
        <v>227</v>
      </c>
      <c r="C3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vovina.Painting.Andon
{
	[Table("PtsAdoScanInfo")]
	[Index(nameof(ScanType), Name="IX_PtsAdoScanInfo_ScanType")]
	[Index(nameof(ScanTime), Name="IX_PtsAdoScanInfo_ScanTime")]
	public class PtsAdoScanInfo: FullAuditedEntity&lt;long&gt;, IEntity&lt;long&gt;	
	{
		public const int MaxScanTypeLength = 50;
		public const int MaxScanValueLength = 50;
		public const int MaxScanLocationLength = 50;
		public const int MaxScanByLength = 50;
		public const int MaxIsProcessedLength = 1;
		[Required]
		[StringLength(MaxScanTypeLength)]
		public virtual string ScanType { get; set; }
		[StringLength(MaxScanValueLength)]
		public virtual string ScanValue { get; set; }
		[StringLength(MaxScanLocationLength)]
		public virtual string ScanLocation { get; set; }
		[Required]
		public virtual DateTime ScanTime { get; set; }
		[StringLength(MaxScanByLength)]
		public virtual string ScanBy { get; set; }
		[StringLength(MaxIsProcessedLength)]
		public virtual string IsProcessed { get; set; }
	}
}
</v>
      </c>
      <c r="D38" s="51" t="str">
        <f>A.Backend!O7</f>
        <v xml:space="preserve">		public const string Pages_Painting_Andon_ScanInfo = "Pages.Painting.Andon.ScanInfo";
		public const string Pages_Painting_Andon_ScanInfo_CreateEdit = "Pages.Painting.Andon.ScanInfo.CreateEdit";
		public const string Pages_Painting_Andon_ScanInfo_Delete = "Pages.Painting.Andon.ScanInfo.Delete";
</v>
      </c>
      <c r="E38" s="51" t="str">
        <f>A.Backend!N7</f>
        <v xml:space="preserve">		var perPtsAdoScanInfo = PARENTS.CreateChildPermission(AppPermissions.Pages_Painting_Andon_ScanInfo, L( "PaintingAndonScanInfo"));
		perPtsAdoScanInfo.CreateChildPermission(AppPermissions.Pages_Painting_Andon_ScanInfo_CreateEdit, L( "PaintingAndonScanInfoCreateEdit"));
		perPtsAdoScanInfo.CreateChildPermission(AppPermissions.Pages_Painting_Andon_ScanInfo_Delete, L( "PaintingAndonScanInfoDelete"));</v>
      </c>
      <c r="F38" s="51" t="str">
        <f>A.Backend!K7</f>
        <v>public virtual DbSet&lt;PtsAdoScanInfo&gt; PtsAdoScanInfos { get; set; }</v>
      </c>
      <c r="G38" s="51" t="str">
        <f ca="1">A.Backend!L7</f>
        <v xml:space="preserve">namespace vovina.Painting.Andon
{
	public class PtsAdoScanInfoConsts	
	{
		public const int MaxScanTypeLength = 50;
		public const int MaxScanValueLength = 50;
		public const int MaxScanLocationLength = 50;
		public const int MaxScanByLength = 50;
		public const int MaxIsProcessedLength = 1;
		// Define Store Name: Format SP_ + &lt;Store Name&gt; = &lt;Store Name&gt;
	}
}
</v>
      </c>
      <c r="H38" s="51" t="str">
        <f ca="1">A.Backend!M7</f>
        <v xml:space="preserve">using Abp.Application.Services.Dto;
using System;
using System.ComponentModel.DataAnnotations;
namespace vovina.Painting.Andon.Dto
{
	public class PtsAdoScanInfoDto : EntityDto&lt;long?&gt;	
	{
		public virtual string ScanType { get; set; }
		public virtual string ScanValue { get; set; }
		public virtual string ScanLocation { get; set; }
		public virtual DateTime? ScanTime { get; set; }
		public virtual string ScanBy { get; set; }
		public virtual string IsProcessed { get; set; }
	}
	public class CreateOrEditPtsAdoScanInfoDto : EntityDto&lt;long?&gt;	
	{
		[Required]
		[StringLength(PtsAdoScanInfoConsts.MaxScanTypeLength)]
		public virtual string ScanType { get; set; }
		[StringLength(PtsAdoScanInfoConsts.MaxScanValueLength)]
		public virtual string ScanValue { get; set; }
		[StringLength(PtsAdoScanInfoConsts.MaxScanLocationLength)]
		public virtual string ScanLocation { get; set; }
		[Required]
		public virtual DateTime? ScanTime { get; set; }
		[StringLength(PtsAdoScanInfoConsts.MaxScanByLength)]
		public virtual string ScanBy { get; set; }
		[StringLength(PtsAdoScanInfoConsts.MaxIsProcessedLength)]
		public virtual string IsProcessed { get; set; }
	}
	public class GetPtsAdoScanInfoInput : PagedAndSortedResultRequestDto	
	{
		public virtual string ScanType { get; set; }
		public virtual string ScanValue { get; set; }
		public virtual string ScanLocation { get; set; }
		public virtual DateTime? ScanTime { get; set; }
		public virtual string ScanBy { get; set; }
		public virtual string IsProcessed { get; set; }
	}
}
</v>
      </c>
      <c r="I38" s="51" t="str">
        <f ca="1">A.Backend!R7</f>
        <v xml:space="preserve">using Abp.Application.Services.Dto;
using System;
using System.ComponentModel.DataAnnotations;
namespace vovina.Painting.Andon.Dto
{
	public class PtsAdoScanInfoExportInput{
		public virtual string ScanType { get; set; }
		public virtual string ScanValue { get; set; }
		public virtual string ScanLocation { get; set; }
		public virtual DateTime? ScanTime { get; set; }
		public virtual string ScanBy { get; set; }
		public virtual string IsProcessed { get; set; }
	}
}
</v>
      </c>
      <c r="J38" s="51" t="str">
        <f>A.Backend!P7</f>
        <v xml:space="preserve">using Abp.Application.Services;
using Abp.Application.Services.Dto;
using System.Collections.Generic;using vovina.Dto;
using System.Threading.Tasks;
using vovina.Painting.Andon.Dto;
namespace vovina.Painting.Andon
{
	public interface IPtsAdoScanInfoAppService : IApplicationService
	{
		Task&lt;PagedResultDto&lt;PtsAdoScanInfoDto&gt;&gt; GetAll(GetPtsAdoScanInfoInput input);
		Task CreateOrEdit(CreateOrEditPtsAdoScanInfoDto input);
		Task Delete(EntityDto input);
	}
}
</v>
      </c>
      <c r="K38" s="51" t="str">
        <f>A.Backend!S7</f>
        <v xml:space="preserve">using Abp.Application.Services;
using Abp.Application.Services.Dto;
using System.Collections.Generic;using vovina.Dto;
using System.Threading.Tasks;
using vovina.Painting.Andon.Dto;
namespace vovina.Painting.Andon.Exporting
{
	public interface IPtsAdoScanInfoExcelExporter : IApplicationService
	{
		FileDto ExportToFile(List&lt;PtsAdoScanInfoDto&gt; ptsadoscaninfo);
	}
}
</v>
      </c>
      <c r="L38" s="51" t="str">
        <f ca="1">A.Backend!T7</f>
        <v>using System.Collections.Generic;
using vovina.DataExporting.Excel.NPOI;
using vovina.Dto;
using vovina.Painting.Andon.Exporting;
using vovina.Painting.Andon.Dto;
using vovina.Storage;
using vovina.Painting.Andon.Dto;
namespace vovina.Painting.Andon.Exporting
{
    public class PtsAdoScanInfoExcelExporter : NpoiExcelExporterBase, IPtsAdoScanInfoExcelExporter
    {
        public PtsAdoScanInfoExcelExporter(ITempFileCacheManager tempFileCacheManager) : base(tempFileCacheManager) { }
        public FileDto ExportToFile(List&lt;PtsAdoScanInfoDto&gt; scaninfo)
        {
            return CreateExcelPackage(
				"PaintingAndonScanInfo.xlsx",
				excelPackage =&gt;
				 {
					var sheet = excelPackage.CreateSheet("ScanInfo");
					AddHeader(
								sheet,
								("ScanType"),
								("ScanValue"),
								("ScanLocation"),
								("ScanTime"),
								("ScanBy"),
								("IsProcessed"),
							   );
					AddObjects(
						 sheet, 1, scaninfo,                                       
								_ =&gt; _.ScanType,
								_ =&gt; _.ScanValue,
								_ =&gt; _.ScanLocation,
								_ =&gt; _.ScanTime,
								_ =&gt; _.ScanBy,
								_ =&gt; _.IsProcessed,
								);
			for (var i = 0; i &lt; 8; i++)
				{
					sheet.AutoSizeColumn(i);
				}
			});
        }
    }
}</v>
      </c>
      <c r="M3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vovina.Painting.Andon.Dto;
using vovina.Painting.Andon.Exporting;
namespace vovina.Painting.Andon
{
    [AbpAuthorize(AppPermissions.Pages_Painting_Andon_ScanInfo)]
    public class PtsAdoScanInfoAppService : vovinaAppServiceBase, IPtsAdoScanInfoAppService
    {
        private readonly IDapperRepository&lt;PtsAdoScanInfo, long&gt; _dapperRepo;
        private readonly IRepository&lt;PtsAdoScanInfo, long&gt; _repo;
        private readonly IPtsAdoScanInfoExcelExporter _calendarListExcelExporter;
        public PtsAdoScanInfoAppService(IRepository&lt;PtsAdoScanInfo,long&gt; repo, 
                                         IDapperRepository&lt;PtsAdoScanInfo,long&gt; dapperRepo,
                                        IPtsAdoScanInfoExcelExporter calendarListExcelExporter
            )
        {
            _repo = repo;
            _dapperRepo = dapperRepo;
            _calendarListExcelExporter = calendarListExcelExporter;
        }
        [AbpAuthorize(AppPermissions.Pages_Painting_Andon_ScanInfo_CreateEdit)]
        public async Task CreateOrEdit(CreateOrEditPtsAdoScanInfoDto input)
        {
            if (input.Id == null) await Create(input);
            else await Update(input);
        }
        //CREATE
        private async Task Create(CreateOrEditPtsAdoScanInfoDto input)
        {          
            var mainObj = ObjectMapper.Map&lt;PtsAdoScanInfo&gt;(input);
            await CurrentUnitOfWork.GetDbContext&lt;vovinaDbContext&gt;().AddAsync(mainObj);
        }
        // EDIT
        private async Task Update(CreateOrEditPtsAdoScanInfoDto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[AbpAuthorize(AppPermissions.Pages_Painting_Andon_ScanInfo_Delete)]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Task&lt;PagedResultDto&lt;PtsAdoScanInfoDto&gt;&gt; GetAll(GetPtsAdoScanInfoInput input)
        {
            var filtered = _repo.GetAll()
				.WhereIf(!string.IsNullOrWhiteSpace(input.ScanType), e =&gt; e.ScanType.Contains(input.ScanType))
				.WhereIf(!string.IsNullOrWhiteSpace(input.ScanValue), e =&gt; e.ScanValue.Contains(input.ScanValue))
				.WhereIf(!string.IsNullOrWhiteSpace(input.ScanLocation), e =&gt; e.ScanLocation.Contains(input.ScanLocation))
				.WhereIf(input.ScanTime.HasValue, t =&gt; t.ScanTime == input.ScanTime.Value)
				.WhereIf(!string.IsNullOrWhiteSpace(input.ScanBy), e =&gt; e.ScanBy.Contains(input.ScanBy))
				.WhereIf(!string.IsNullOrWhiteSpace(input.IsProcessed), e =&gt; e.IsProcessed.Contains(input.IsProcessed))                   
				;
            var pageAndFiltered = filtered.OrderBy(s =&gt; s.Id);
            var system = from o in pageAndFiltered
                         select new PtsAdoScanInfoDto
                        {
							Id = o.Id,
							ScanType = o.ScanType,
							ScanValue = o.ScanValue,
							ScanLocation = o.ScanLocation,
							ScanTime = o.ScanTime,
							ScanBy = o.ScanBy,
							IsProcessed = o.IsProcessed,
                        };
            var totalCount = await filtered.CountAsync();
			var paged = system.PageBy(input);
            return new PagedResultDto&lt;PtsAdoScanInfoDto&gt;(
                totalCount,
                 await paged.ToListAsync()
            );
        }
        public async Task&lt;FileDto&gt; GetScanInfoToExcel(PtsAdoScanInfoExportInput input)
        {
            var query = from o in _repo.GetAll()
                        select new PtsAdoScanInfoDto
                        {
							Id = o.Id,
							ScanType = o.ScanType,
							ScanValue = o.ScanValue,
							ScanLocation = o.ScanLocation,
							ScanTime = o.ScanTime,
							ScanBy = o.ScanBy,
							IsProcessed = o.IsProcessed,
                        };
            var exportToExcel = await query.ToListAsync();
            return _calendarListExcelExporter.ExportToFile(exportToExcel);
        }
       // public async Task GenerateAsync()
      //  {
        //    await _dapperRepo.ExecuteAsync(PtsAdoScanInfoConsts.SP_MST_WPT_CALENDAR_GENERATE);
       // }
    }
}</v>
      </c>
      <c r="N38" s="62" t="str">
        <f>A.Backend!U7</f>
        <v xml:space="preserve">  configuration.CreateMap&lt;PtsAdoScanInfoDto, PtsAdoScanInfo&gt;();
  configuration.CreateMap&lt;PtsAdoScanInfo, PtsAdoScanInfoDto&gt;();
  configuration.CreateMap&lt;CreateOrEditPtsAdoScanInfoDto, PtsAdoScanInfo&gt;();</v>
      </c>
    </row>
    <row r="39" spans="1:14" s="16" customFormat="1" ht="21.75" customHeight="1" x14ac:dyDescent="0.25">
      <c r="C39" s="65"/>
      <c r="D39" s="29"/>
      <c r="E39" s="29"/>
      <c r="F39" s="29"/>
      <c r="G39" s="29"/>
      <c r="H39" s="66"/>
      <c r="I39" s="67"/>
      <c r="J39" s="29"/>
      <c r="K39" s="29"/>
      <c r="M39" s="66"/>
    </row>
    <row r="40" spans="1:14" s="16" customFormat="1" ht="21.75" customHeight="1" x14ac:dyDescent="0.25">
      <c r="C40" s="29"/>
      <c r="D40" s="29"/>
      <c r="E40" s="29"/>
      <c r="F40" s="29"/>
      <c r="G40" s="29"/>
      <c r="H40" s="29"/>
      <c r="J40" s="29"/>
      <c r="K40" s="29"/>
      <c r="M40" s="29"/>
    </row>
    <row r="41" spans="1:14" s="16" customFormat="1" ht="21.75" customHeight="1" x14ac:dyDescent="0.25">
      <c r="C41" s="29"/>
      <c r="D41" s="29"/>
      <c r="E41" s="29"/>
      <c r="G41" s="29"/>
      <c r="H41" s="29"/>
    </row>
    <row r="42" spans="1:14" x14ac:dyDescent="0.25">
      <c r="B42" s="1" t="s">
        <v>73</v>
      </c>
    </row>
    <row r="43" spans="1:14" ht="21" x14ac:dyDescent="0.35">
      <c r="B43" t="str">
        <f>B.Frontend!B8</f>
        <v>scaninfo</v>
      </c>
      <c r="C43" s="72" t="str">
        <f>"create folder " &amp;B43</f>
        <v>create folder scaninfo</v>
      </c>
      <c r="D43" s="72"/>
      <c r="E43" s="72"/>
      <c r="F43" s="72"/>
      <c r="G43" s="72"/>
      <c r="H43" s="72"/>
      <c r="I43" s="72"/>
      <c r="J43" s="72"/>
      <c r="K43" s="73" t="s">
        <v>229</v>
      </c>
      <c r="L43" s="73"/>
      <c r="M43" s="31"/>
    </row>
    <row r="44" spans="1:14" s="28" customFormat="1" ht="18" customHeight="1" x14ac:dyDescent="0.25">
      <c r="B44" s="60" t="s">
        <v>230</v>
      </c>
      <c r="C44" s="31" t="str">
        <f>B.Frontend!H14</f>
        <v>scaninfo.component.ts</v>
      </c>
      <c r="D44" s="31" t="str">
        <f>B.Frontend!I14</f>
        <v>scaninfo.component.html</v>
      </c>
      <c r="E44" s="31" t="str">
        <f>B.Frontend!J14</f>
        <v>scaninfo.component.less</v>
      </c>
      <c r="F44" s="31" t="str">
        <f>B.Frontend!K14</f>
        <v>create-or-edit-scaninfo-modal.component.html</v>
      </c>
      <c r="G44" s="31" t="str">
        <f>B.Frontend!L14</f>
        <v>create-or-edit-scaninfo-modal.component.ts</v>
      </c>
      <c r="H44" s="31" t="str">
        <f>B.Frontend!M14</f>
        <v>create-or-edit-scaninfo-modal.component.less</v>
      </c>
      <c r="I44" s="31" t="str">
        <f>B.Frontend!N14</f>
        <v>scaninfo.module.ts</v>
      </c>
      <c r="J44" s="31" t="str">
        <f>B.Frontend!O14</f>
        <v>scaninfo-routing.module.ts</v>
      </c>
      <c r="K44" s="31" t="str">
        <f>B.Frontend!P14</f>
        <v>app.navigation.service.ts</v>
      </c>
      <c r="L44" s="31" t="str">
        <f>B.Frontend!Q14</f>
        <v>main.routing.module.ts</v>
      </c>
      <c r="M44" s="60" t="s">
        <v>233</v>
      </c>
    </row>
    <row r="45" spans="1:14" ht="21.75" customHeight="1" x14ac:dyDescent="0.25">
      <c r="B45" s="61" t="s">
        <v>227</v>
      </c>
      <c r="C45" s="49" t="str">
        <f ca="1">B.Frontend!H10</f>
        <v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PtsAdoScanInfoDto, PtsAdoScanInfoServiceProxy } from '@shared/service-proxies/service-proxies';
import { finalize } from 'rxjs/internal/operators/finalize';
import { CreateOrEditScanInfoModalComponent } from './create-or-edit-scaninfo-modal.component';
import { DatePipe } from '@angular/common';
import { FileDownloadService } from '@shared/utils/file-download.service';
import ceil from 'lodash-es/ceil';
import { Paginator } from 'primeng/paginator';
@Component({
    templateUrl: './scaninfo.component.html',
    styleUrls: ['./scaninfo.component.less'],
})
export class ScanInfoComponent extends AppComponentBase implements OnInit {
    @ViewChild('createOrEditModalScanInfo', { static: true }) createOrEditModalScanInfo:| CreateOrEditScanInfoModalComponent|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PtsAdoScanInfoDto = new PtsAdoScanInfoDto();
    saveSelectedRow: PtsAdoScanInfoDto = new PtsAdoScanInfoDto();
    datas: PtsAdoScanInfoDto = new PtsAdoScanInfoDto();
    isLoading: boolean = false;
    dataParams: GridParams | undefined;
    rowData: any[] = [];
    gridApi!: GridApi;
    rowSelection = 'multiple';
    filter: string = '';
	pipe = new DatePipe('en-US');
    scanType : string = '' ; 
	scanValue : string = '' ; 
	scanLocation : string = '' ; 
	scanTime : any ;
	scanBy : string = '' ; 
	isProcessed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PtsAdoScanInfoServiceProxy,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this.l('Scan Type'),headerTooltip: this.l('Scan Type'),field: 'scanType',flex: 1},
			{headerName: this.l('Scan Value'),headerTooltip: this.l('Scan Value'),field: 'scanValue',flex: 1},
			{headerName: this.l('Scan Location'),headerTooltip: this.l('Scan Location'),field: 'scanLocation',flex: 1},
			{headerName: this.l('Scan Time'),headerTooltip: this.l('Scan Time'),field: 'scanTime',valueGetter: (params) =&gt; this.pipe.transform(params.data?.scanTime, 'dd/MM/yyyy'),flex: 1},
			{headerName: this.l('Scan By'),headerTooltip: this.l('Scan By'),field: 'scanBy',flex: 1},
			{headerName: this.l('Is Processed'),headerTooltip: this.l('Is Processed'),field: 'isProcessed',flex: 1},      	  
        ];
    }
    ngOnInit(): void {
        this.paginationParams = { pageNum: 1, pageSize: 20, totalCount: 0 };
    }
    searchDatas(): void {
        // this.paginator.changePage(this.paginator.getPage());
        this._service.getAll(
			this.scanType,
			this.scanValue,
			this.scanLocation,
			this.scanTime,
			this.scanBy,
			this.isProcessed,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this.scanType = '',
		this.scanValue = '',
		this.scanLocation = '',
		this.scanTime = '',
		this.scanBy = '',
		this.isProcessed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this.scanType,
			this.scanValue,
			this.scanLocation,
			this.scanTime,
			this.scanBy,
			this.isProcessed,
			'',
            this.paginationParams.skipCount,
            this.paginationParams.pageSize
        );
    }
    onChangeRowSelection(params: { api: { getSelectedRows: () =&gt; PtsAdoScanInfoDto[] } }) {
        this.saveSelectedRow = params.api.getSelectedRows()[0] ?? new PtsAdoScanInfoDto();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PtsAdoScanInfoDto):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this._service.getScanInfoToExcel(
			this.scanType,
			this.scanValue,
			this.scanLocation,
			this.scanTime,
			this.scanBy,
			this.isProcessed,
            )
            .subscribe((result) =&gt; {
                this._fileDownloadService.downloadTempFile(result);
        });
    }
}</v>
      </c>
      <c r="D4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Painting Andon Scan Info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[(ngModel)]='scanType' name='scanType'
									class='form-control' [placeholder]="l('Scan Type')"
									type='text' (keyup.enter)='searchDatas()'&gt;
								&lt;/div&gt;
								&lt;div class='input-search'&gt;
									&lt;input [(ngModel)]='scanValue' name='scanValue'
									class='form-control' [placeholder]="l('Scan Value')"
									type='text' (keyup.enter)='searchDatas()'&gt;
								&lt;/div&gt;
								&lt;div class='input-search'&gt;
									&lt;input [(ngModel)]='scanLocation' name='scanLocation'
									class='form-control' [placeholder]="l('Scan Location')"
									type='text' (keyup.enter)='searchDatas()'&gt;
								&lt;/div&gt;
								&lt;div class='input-search'&gt;
									&lt;input type='text' [placeholder]="l('Scan Time')" [(ngModel)]='scanTime' 
									name='scanTime'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[(ngModel)]='scanBy' name='scanBy'
									class='form-control' [placeholder]="l('Scan By')"
									type='text' (keyup.enter)='searchDatas()'&gt;
								&lt;/div&gt;
								&lt;div class='input-search'&gt;
									&lt;input [(ngModel)]='isProcessed' name='isProcessed'
									class='form-control' [placeholder]="l('Is Processed')"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(click)="createOrEditModalScanInfo.show()"&gt;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(click)="createOrEditModalScanInfo.show(selectedRow)"&gt;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&lt;create-or-edit-scaninfo-modal
    #createOrEditModalScanInfo
    (modalSave)="callBackDataGrid(dataParams)"
    (modalClose)="onChangeRowSelection(dataParams)"
&gt;
&lt;/create-or-edit-scaninfo-modal&gt;</v>
      </c>
      <c r="E45" s="49" t="str">
        <f>B.Frontend!J10</f>
        <v>.input-search{
    width: 250px;
    border-radius: 10px;
    margin-left: 10px;
}
.btn-search{
    width: 50px;
    margin-left: 10px;
}</v>
      </c>
      <c r="F45" s="49" t="str">
        <f ca="1">B.Frontend!K10</f>
        <v>&lt;div bsModal #createOrEditModalScanInfo="bs-modal"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ScanInfo')}}&lt;/h3&gt;
                    &lt;h3 *ngIf="!rowdata.id"&gt;{{('Create New ScanInfo')}}&lt;/h3&gt;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title'&gt;Scan Type&lt;/label&gt;
						&lt;input type='text' class='col-md-10 form-control input-text' name='ScanType' [(ngModel)]='rowdata.scanType'&gt;
					&lt;/div&gt;
					&lt;div class='col-md-12 form-group row'&gt;
						&lt;label class='col-md-2 form-control title'&gt;Scan Value&lt;/label&gt;
						&lt;input type='text' class='col-md-10 form-control input-text' name='ScanValue' [(ngModel)]='rowdata.scanValue'&gt;
					&lt;/div&gt;
					&lt;div class='col-md-12 form-group row'&gt;
						&lt;label class='col-md-2 form-control title'&gt;Scan Location&lt;/label&gt;
						&lt;input type='text' class='col-md-10 form-control input-text' name='ScanLocation' [(ngModel)]='rowdata.scanLocation'&gt;
					&lt;/div&gt;
					&lt;div class='col-md-12 form-group row'&gt;
						&lt;label class='col-md-2 form-control title'&gt;Scan Time&lt;/label&gt;
						&lt;input type='text' class='col-md-10 form-control input-text' name='scanTime' 
						#datepicker='bsDatepicker' [(ngModel)]='rowdata.scanTime'  bsDatepicker &gt;
					&lt;/div&gt;
					&lt;div class='col-md-12 form-group row'&gt;
						&lt;label class='col-md-2 form-control title'&gt;Scan By&lt;/label&gt;
						&lt;input type='text' class='col-md-10 form-control input-text' name='ScanBy' [(ngModel)]='rowdata.scanBy'&gt;
					&lt;/div&gt;
					&lt;div class='col-md-12 form-group row'&gt;
						&lt;label class='col-md-2 form-control title'&gt;Is Processed&lt;/label&gt;
						&lt;input class='col-md-10 form-control checkboxActive' type='checkbox' name='isProcessed'
						[checked]='_isProcessed' (change)='changeActive($event)'&gt;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4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CreateOrEditPtsAdoScanInfoDto, PtsAdoScanInfoServiceProxy } from '@shared/service-proxies/service-proxies';
import { BsDatepickerDirective } from 'ngx-bootstrap/datepicker';
@Component({
    selector: 'create-or-edit-scaninfo-modal',
    templateUrl: './create-or-edit-scaninfo-modal.component.html',
    styleUrls: ['./create-or-edit-scaninfo-modal.component.less']
    })
export class CreateOrEditScanInfoModalComponent extends AppComponentBase {
    @ViewChild('createOrEditModalScanInfo',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CreateOrEditPtsAdoScanInfoDto = new CreateOrEditPtsAdoScanInfoDto();
    active: boolean = false;
    saving: boolean = false;
    _isProcessed: boolean;
    constructor(
        injector: Injector,
        private _mstwptScanInfoService: PtsAdoScanInfoServiceProxy,
    ) 
    {
        super(injector);
    }
    show(rowdata?: CreateOrEditPtsAdoScanInfoDto): void {
        if (!rowdata) this.rowdata = new CreateOrEditPtsAdoScanInfoDto();
        else this.rowdata = rowdata;
		const dateValue =  this.rowdata.scanTime ? new Date(this.rowdata.scanTime?.toString()) : new Date();
		this.datepicker?.bsValueChange.emit(dateValue);
        this._isProcessed = (this.rowdata.isProcessed == "N")? false: true;
        this.active = true;
        this.modal.show();
    } 
    changeActive(event){
        this._isProcessed = event.target.checked;
    }
    save(): void {
    this.saving = true; 
    this.rowdata.isProcessed = (this._isProcessed == true) ? 'Y' : 'N'
    this._mstwptScanInfoService.createOrEdit(this.rowdata)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4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45" s="49" t="str">
        <f>B.Frontend!N10</f>
        <v>import {NgModule} from '@angular/core';
import {AppSharedModule} from '@app/shared/app-shared.module';
import { ScanInfoRoutingModule } from './scaninfo-routing.module';
import { ScanInfoComponent } from './scaninfo.component';
import { CreateOrEditScanInfoModalComponent } from './create-or-edit-scaninfo-modal.component';
@NgModule({
    declarations: [
       ScanInfoComponent, 
        CreateOrEditScanInfoModalComponent
    ],
    imports: [
        AppSharedModule, ScanInfoRoutingModule]
})
export class ScanInfoModule {}</v>
      </c>
      <c r="J45" s="49" t="str">
        <f>B.Frontend!O10</f>
        <v>import {NgModule} from '@angular/core';
import {RouterModule, Routes} from '@angular/router';
import { ScanInfoComponent } from './scaninfo.component';
const routes: Routes = [{
    path: '',
    component: ScanInfoComponent,
    pathMatch: 'full'
}];
@NgModule({
    imports: [RouterModule.forChild(routes)],
    exports: [RouterModule],
})
export class ScanInfoRoutingModule {}</v>
      </c>
      <c r="K45" s="49" t="str">
        <f>B.Frontend!P10</f>
        <v xml:space="preserve"> new AppMenuItem("ScanInfo", "Pages.Painting.Andon.ScanInfo", "flaticon-book",   "/app/main/painting/andon/scaninfo"),</v>
      </c>
      <c r="L45" s="50" t="str">
        <f>B.Frontend!Q10</f>
        <v>{
    path: 'painting/andon/scaninfo',
    loadChildren: () =&gt; import('./painting/andon/scaninfo/scaninfo.module').then(m =&gt; m.ScanInfoModule),
    data: { permission: 'Pages.Painting.Andon.ScanInfo' }
},</v>
      </c>
      <c r="M45" s="48" t="str">
        <f>B.Frontend!R10</f>
        <v>ApiServiceProxies.PtsAdoScanInfoServiceProxy,</v>
      </c>
    </row>
    <row r="47" spans="1:14" x14ac:dyDescent="0.25">
      <c r="B47" s="1" t="s">
        <v>75</v>
      </c>
    </row>
  </sheetData>
  <mergeCells count="2">
    <mergeCell ref="C43:J43"/>
    <mergeCell ref="K43:L4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16"/>
  <sheetViews>
    <sheetView topLeftCell="A7" workbookViewId="0">
      <pane xSplit="1" topLeftCell="B1" activePane="topRight" state="frozen"/>
      <selection pane="topRight" activeCell="A14" sqref="A14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vovina.Painting.Andon.Dto;</v>
      </c>
      <c r="E1" s="10" t="s">
        <v>282</v>
      </c>
      <c r="F1" s="11" t="s">
        <v>240</v>
      </c>
      <c r="H1" s="11" t="s">
        <v>241</v>
      </c>
      <c r="J1" s="11" t="s">
        <v>242</v>
      </c>
      <c r="L1" s="11" t="s">
        <v>243</v>
      </c>
      <c r="M1" s="11" t="s">
        <v>244</v>
      </c>
      <c r="N1" s="11" t="s">
        <v>245</v>
      </c>
      <c r="O1" s="11" t="s">
        <v>246</v>
      </c>
      <c r="T1" s="10" t="s">
        <v>273</v>
      </c>
      <c r="U1" s="10" t="s">
        <v>231</v>
      </c>
      <c r="W1" s="10"/>
    </row>
    <row r="2" spans="1:23" s="11" customFormat="1" x14ac:dyDescent="0.25">
      <c r="A2" s="1" t="s">
        <v>12</v>
      </c>
      <c r="B2" s="30" t="s">
        <v>253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86</v>
      </c>
      <c r="T2" s="11" t="s">
        <v>247</v>
      </c>
      <c r="V2" s="11" t="s">
        <v>248</v>
      </c>
      <c r="W2" s="10" t="s">
        <v>272</v>
      </c>
    </row>
    <row r="3" spans="1:23" s="11" customFormat="1" ht="33" customHeight="1" x14ac:dyDescent="0.25">
      <c r="A3" s="1" t="s">
        <v>5</v>
      </c>
      <c r="B3" s="30" t="s">
        <v>252</v>
      </c>
      <c r="C3" s="10" t="s">
        <v>43</v>
      </c>
      <c r="D3" s="10" t="s">
        <v>44</v>
      </c>
      <c r="E3" s="10" t="s">
        <v>39</v>
      </c>
      <c r="F3" s="11" t="str">
        <f>"J"&amp;COUNTA($A:$A)</f>
        <v>J14</v>
      </c>
      <c r="G3" s="4" t="s">
        <v>57</v>
      </c>
      <c r="H3" s="10" t="str">
        <f>"I"&amp;COUNTA($A:$A)</f>
        <v>I14</v>
      </c>
      <c r="I3" s="10" t="str">
        <f>REPT(CHAR(9),2)&amp;"[Required]"&amp;"
"</f>
        <v xml:space="preserve">		[Required]
</v>
      </c>
      <c r="J3" s="11" t="str">
        <f>"L"&amp;COUNTA($A:$A)</f>
        <v>L14</v>
      </c>
      <c r="K3" s="5" t="s">
        <v>56</v>
      </c>
      <c r="L3" s="11" t="str">
        <f>"M"&amp;COUNTA($A:$A)</f>
        <v>M14</v>
      </c>
      <c r="M3" s="11" t="str">
        <f>"N"&amp;COUNTA($A:$A)</f>
        <v>N14</v>
      </c>
      <c r="N3" s="11" t="str">
        <f>"O"&amp;COUNTA($A:$A)</f>
        <v>O14</v>
      </c>
      <c r="O3" s="11" t="str">
        <f>"P"&amp;COUNTA($A:$A)</f>
        <v>P14</v>
      </c>
      <c r="Q3" s="11" t="str">
        <f>RIGHT(B2,(LEN(B2)-FIND(".",B2,1)))</f>
        <v>Andon</v>
      </c>
      <c r="R3" s="32" t="str">
        <f>REPT(CHAR(9),1)&amp;"public class "&amp;B3&amp;"ExportInput"&amp;C3</f>
        <v xml:space="preserve">	public class PtsAdoScanInfoExportInput{
</v>
      </c>
      <c r="S3" s="11" t="str">
        <f>"namespace "&amp;$B$6&amp;".Exporting
"&amp;$C$3</f>
        <v xml:space="preserve">namespace vovina.Painting.Andon.Exporting
{
</v>
      </c>
      <c r="T3" s="11" t="str">
        <f>"T"&amp;COUNTA($A:$A)</f>
        <v>T14</v>
      </c>
      <c r="V3" s="11" t="str">
        <f>"V"&amp;COUNTA($A:$A)</f>
        <v>V14</v>
      </c>
      <c r="W3" s="10" t="str">
        <f>"W"&amp;COUNTA($A:$A)</f>
        <v>W14</v>
      </c>
    </row>
    <row r="4" spans="1:23" s="11" customFormat="1" ht="33" customHeight="1" x14ac:dyDescent="0.25">
      <c r="A4" s="1" t="s">
        <v>238</v>
      </c>
      <c r="B4" s="64" t="s">
        <v>92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239</v>
      </c>
      <c r="B5" s="64" t="s">
        <v>254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vovina.Painting.Andon</v>
      </c>
      <c r="C6" s="11" t="str">
        <f>"namespace "&amp;$B$6&amp;"
"&amp;$C$3</f>
        <v xml:space="preserve">namespace vovina.Painting.Andon
{
</v>
      </c>
      <c r="D6" s="11" t="str">
        <f>REPT(CHAR(9),1)&amp;"public class "&amp;B3&amp;G3&amp;REPT(CHAR(9),1)&amp;"
"&amp;REPT(CHAR(9),1)&amp;C3</f>
        <v xml:space="preserve">	public class PtsAdoScanInfo: FullAuditedEntity&lt;long&gt;, IEntity&lt;long&gt;	
	{
</v>
      </c>
      <c r="E6" s="11" t="str">
        <f>REPT(CHAR(9),1)&amp;"public class "&amp;B3&amp;"Consts"&amp;REPT(CHAR(9),1)&amp;"
"&amp;REPT(CHAR(9),1)&amp;C3</f>
        <v xml:space="preserve">	public class PtsAdoScanInfoConsts	
	{
</v>
      </c>
      <c r="F6" s="11" t="str">
        <f>REPT(CHAR(9),1)&amp;"public class "&amp;B3&amp;"Dto"&amp;K3&amp;REPT(CHAR(9),1)&amp;"
"&amp;REPT(CHAR(9),1)&amp;C3</f>
        <v xml:space="preserve">	public class PtsAdoScanInfoDto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CreateOrEditPtsAdoScanInfoDto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GetPtsAdoScanInfoInput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237</v>
      </c>
      <c r="O6" s="1" t="s">
        <v>236</v>
      </c>
      <c r="P6" s="1" t="s">
        <v>69</v>
      </c>
      <c r="Q6" s="1" t="s">
        <v>70</v>
      </c>
      <c r="R6" s="1" t="s">
        <v>203</v>
      </c>
      <c r="S6" s="1" t="s">
        <v>205</v>
      </c>
      <c r="T6" s="1" t="s">
        <v>204</v>
      </c>
      <c r="U6" s="1" t="s">
        <v>228</v>
      </c>
      <c r="W6" s="28"/>
    </row>
    <row r="7" spans="1:23" customFormat="1" ht="15.75" customHeight="1" x14ac:dyDescent="0.25">
      <c r="A7" s="1" t="s">
        <v>13</v>
      </c>
      <c r="B7" s="10" t="str">
        <f>B3</f>
        <v>PtsAdoScanInfo</v>
      </c>
      <c r="C7" s="11" t="str">
        <f>REPT(CHAR(9),1)&amp;"[Table("""&amp;B7&amp;""")]"&amp;"
"</f>
        <v xml:space="preserve">	[Table("PtsAdoScanInfo")]
</v>
      </c>
      <c r="D7" s="11"/>
      <c r="E7" s="11"/>
      <c r="F7" s="11"/>
      <c r="G7" s="11"/>
      <c r="H7" s="11"/>
      <c r="I7" s="11"/>
      <c r="J7" s="6" t="str">
        <f ca="1">SUBSTITUTE(SUBSTITUTE((B1&amp;C6&amp;C7&amp;K16&amp;D6&amp;I16&amp;E3&amp;J16&amp;""&amp;REPT(CHAR(9),1)&amp;D3&amp;D3),"WorkingPattern",$Q$3),"Master",$B$4)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vovina.Painting.Andon
{
	[Table("PtsAdoScanInfo")]
	[Index(nameof(ScanType), Name="IX_PtsAdoScanInfo_ScanType")]
	[Index(nameof(ScanTime), Name="IX_PtsAdoScanInfo_ScanTime")]
	public class PtsAdoScanInfo: FullAuditedEntity&lt;long&gt;, IEntity&lt;long&gt;	
	{
		public const int MaxScanTypeLength = 50;
		public const int MaxScanValueLength = 50;
		public const int MaxScanLocationLength = 50;
		public const int MaxScanByLength = 50;
		public const int MaxIsProcessedLength = 1;
		[Required]
		[StringLength(MaxScanTypeLength)]
		public virtual string ScanType { get; set; }
		[StringLength(MaxScanValueLength)]
		public virtual string ScanValue { get; set; }
		[StringLength(MaxScanLocationLength)]
		public virtual string ScanLocation { get; set; }
		[Required]
		public virtual DateTime ScanTime { get; set; }
		[StringLength(MaxScanByLength)]
		public virtual string ScanBy { get; set; }
		[StringLength(MaxIsProcessedLength)]
		public virtual string IsProcessed { get; set; }
	}
}
</v>
      </c>
      <c r="K7" t="str">
        <f>SUBSTITUTE(SUBSTITUTE(("public virtual DbSet&lt;"&amp;B3&amp;"&gt; "&amp;B3&amp;"s { get; set; }"),"WorkingPattern",$Q$3),"Master",$B$4)</f>
        <v>public virtual DbSet&lt;PtsAdoScanInfo&gt; PtsAdoScanInfos { get; set; }</v>
      </c>
      <c r="L7" t="str">
        <f ca="1">SUBSTITUTE(SUBSTITUTE((C6&amp;E6&amp;I16&amp;"
"&amp;REPT(CHAR(9),2)&amp;"// Define Store Name: Format SP_ + &lt;Store Name&gt; = &lt;Store Name&gt;
"&amp;E3&amp;REPT(CHAR(9),1)&amp;D3&amp;D3),"WorkingPattern",$Q$3),"Master",$B$4)</f>
        <v xml:space="preserve">namespace vovina.Painting.Andon
{
	public class PtsAdoScanInfoConsts	
	{
		public const int MaxScanTypeLength = 50;
		public const int MaxScanValueLength = 50;
		public const int MaxScanLocationLength = 50;
		public const int MaxScanByLength = 50;
		public const int MaxIsProcessedLength = 1;
		// Define Store Name: Format SP_ + &lt;Store Name&gt; = &lt;Store Name&gt;
	}
}
</v>
      </c>
      <c r="M7" t="str">
        <f ca="1">SUBSTITUTE(SUBSTITUTE((C1&amp;"namespace "&amp;B6&amp;".Dto"&amp;E3&amp;C3&amp;F6&amp;M16&amp;E3&amp;REPT(CHAR(9),1)&amp;D3&amp;G6&amp;N16&amp;REPT(CHAR(9),1)&amp;D3&amp;H6&amp;O16&amp;"
"&amp;REPT(CHAR(9),1)&amp;D3&amp;D3),"WorkingPattern",$Q$3),"Master",$B$4)</f>
        <v xml:space="preserve">using Abp.Application.Services.Dto;
using System;
using System.ComponentModel.DataAnnotations;
namespace vovina.Painting.Andon.Dto
{
	public class PtsAdoScanInfoDto : EntityDto&lt;long?&gt;	
	{
		public virtual string ScanType { get; set; }
		public virtual string ScanValue { get; set; }
		public virtual string ScanLocation { get; set; }
		public virtual DateTime? ScanTime { get; set; }
		public virtual string ScanBy { get; set; }
		public virtual string IsProcessed { get; set; }
	}
	public class CreateOrEditPtsAdoScanInfoDto : EntityDto&lt;long?&gt;	
	{
		[Required]
		[StringLength(PtsAdoScanInfoConsts.MaxScanTypeLength)]
		public virtual string ScanType { get; set; }
		[StringLength(PtsAdoScanInfoConsts.MaxScanValueLength)]
		public virtual string ScanValue { get; set; }
		[StringLength(PtsAdoScanInfoConsts.MaxScanLocationLength)]
		public virtual string ScanLocation { get; set; }
		[Required]
		public virtual DateTime? ScanTime { get; set; }
		[StringLength(PtsAdoScanInfoConsts.MaxScanByLength)]
		public virtual string ScanBy { get; set; }
		[StringLength(PtsAdoScanInfoConsts.MaxIsProcessedLength)]
		public virtual string IsProcessed { get; set; }
	}
	public class GetPtsAdoScanInfoInput : PagedAndSortedResultRequestDto	
	{
		public virtual string ScanType { get; set; }
		public virtual string ScanValue { get; set; }
		public virtual string ScanLocation { get; set; }
		public virtual DateTime? ScanTime { get; set; }
		public virtual string ScanBy { get; set; }
		public virtual string IsProcessed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perPtsAdoScanInfo = PARENTS.CreateChildPermission(AppPermissions.Pages_Painting_Andon_ScanInfo, L( "PaintingAndonScanInfo"));
		perPtsAdoScanInfo.CreateChildPermission(AppPermissions.Pages_Painting_Andon_ScanInfo_CreateEdit, L( "PaintingAndonScanInfoCreateEdit"));
		perPtsAdoScanInfo.CreateChildPermission(AppPermissions.Pages_Painting_Andon_ScanInfo_Delete, L( "PaintingAndonScanInfoDelete"));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Pages_Painting_Andon_ScanInfo = "Pages.Painting.Andon.ScanInfo";
		public const string Pages_Painting_Andon_ScanInfo_CreateEdit = "Pages.Painting.Andon.ScanInfo.CreateEdit";
		public const string Pages_Painting_Andon_ScanInfo_Delete = "Pages.Painting.Andon.ScanInfo.Delete";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vovina.Painting.Andon.Dto;
namespace vovina.Painting.Andon
{
	public interface IPtsAdoScanInfoAppService : IApplicationService
	{
		Task&lt;PagedResultDto&lt;PtsAdoScanInfoDto&gt;&gt; GetAll(GetPtsAdoScanInfoInput input);
		Task CreateOrEdit(CreateOrEditPtsAdoScanInfoDto input);
		Task Delete(EntityDto input);
	}
}
</v>
      </c>
      <c r="Q7" t="str">
        <f ca="1">SUBSTITUTE(SUBSTITUTE(SUBSTITUTE(SUBSTITUTE(SUBSTITUTE(SUBSTITUTE(E1,"MstWptCalendar",$B$3),"&lt;PROPERTIES&gt;",P16),"Calendar",$B$5),"WorkingPattern",$Q$3),"Master",$B$4),"&lt;PARAMS_SEARCH&gt;",$W$16)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vovina.Painting.Andon.Dto;
using vovina.Painting.Andon.Exporting;
namespace vovina.Painting.Andon
{
    [AbpAuthorize(AppPermissions.Pages_Painting_Andon_ScanInfo)]
    public class PtsAdoScanInfoAppService : vovinaAppServiceBase, IPtsAdoScanInfoAppService
    {
        private readonly IDapperRepository&lt;PtsAdoScanInfo, long&gt; _dapperRepo;
        private readonly IRepository&lt;PtsAdoScanInfo, long&gt; _repo;
        private readonly IPtsAdoScanInfoExcelExporter _calendarListExcelExporter;
        public PtsAdoScanInfoAppService(IRepository&lt;PtsAdoScanInfo,long&gt; repo, 
                                         IDapperRepository&lt;PtsAdoScanInfo,long&gt; dapperRepo,
                                        IPtsAdoScanInfoExcelExporter calendarListExcelExporter
            )
        {
            _repo = repo;
            _dapperRepo = dapperRepo;
            _calendarListExcelExporter = calendarListExcelExporter;
        }
        [AbpAuthorize(AppPermissions.Pages_Painting_Andon_ScanInfo_CreateEdit)]
        public async Task CreateOrEdit(CreateOrEditPtsAdoScanInfoDto input)
        {
            if (input.Id == null) await Create(input);
            else await Update(input);
        }
        //CREATE
        private async Task Create(CreateOrEditPtsAdoScanInfoDto input)
        {          
            var mainObj = ObjectMapper.Map&lt;PtsAdoScanInfo&gt;(input);
            await CurrentUnitOfWork.GetDbContext&lt;vovinaDbContext&gt;().AddAsync(mainObj);
        }
        // EDIT
        private async Task Update(CreateOrEditPtsAdoScanInfoDto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[AbpAuthorize(AppPermissions.Pages_Painting_Andon_ScanInfo_Delete)]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Task&lt;PagedResultDto&lt;PtsAdoScanInfoDto&gt;&gt; GetAll(GetPtsAdoScanInfoInput input)
        {
            var filtered = _repo.GetAll()
				.WhereIf(!string.IsNullOrWhiteSpace(input.ScanType), e =&gt; e.ScanType.Contains(input.ScanType))
				.WhereIf(!string.IsNullOrWhiteSpace(input.ScanValue), e =&gt; e.ScanValue.Contains(input.ScanValue))
				.WhereIf(!string.IsNullOrWhiteSpace(input.ScanLocation), e =&gt; e.ScanLocation.Contains(input.ScanLocation))
				.WhereIf(input.ScanTime.HasValue, t =&gt; t.ScanTime == input.ScanTime.Value)
				.WhereIf(!string.IsNullOrWhiteSpace(input.ScanBy), e =&gt; e.ScanBy.Contains(input.ScanBy))
				.WhereIf(!string.IsNullOrWhiteSpace(input.IsProcessed), e =&gt; e.IsProcessed.Contains(input.IsProcessed))                   
				;
            var pageAndFiltered = filtered.OrderBy(s =&gt; s.Id);
            var system = from o in pageAndFiltered
                         select new PtsAdoScanInfoDto
                        {
							Id = o.Id,
							ScanType = o.ScanType,
							ScanValue = o.ScanValue,
							ScanLocation = o.ScanLocation,
							ScanTime = o.ScanTime,
							ScanBy = o.ScanBy,
							IsProcessed = o.IsProcessed,
                        };
            var totalCount = await filtered.CountAsync();
			var paged = system.PageBy(input);
            return new PagedResultDto&lt;PtsAdoScanInfoDto&gt;(
                totalCount,
                 await paged.ToListAsync()
            );
        }
        public async Task&lt;FileDto&gt; GetScanInfoToExcel(PtsAdoScanInfoExportInput input)
        {
            var query = from o in _repo.GetAll()
                        select new PtsAdoScanInfoDto
                        {
							Id = o.Id,
							ScanType = o.ScanType,
							ScanValue = o.ScanValue,
							ScanLocation = o.ScanLocation,
							ScanTime = o.ScanTime,
							ScanBy = o.ScanBy,
							IsProcessed = o.IsProcessed,
                        };
            var exportToExcel = await query.ToListAsync();
            return _calendarListExcelExporter.ExportToFile(exportToExcel);
        }
       // public async Task GenerateAsync()
      //  {
        //    await _dapperRepo.ExecuteAsync(PtsAdoScanInfoConsts.SP_MST_WPT_CALENDAR_GENERATE);
       // }
    }
}</v>
      </c>
      <c r="R7" t="str">
        <f ca="1">SUBSTITUTE(SUBSTITUTE((C1&amp;"namespace "&amp;B6&amp;".Dto"&amp;E3&amp;C3&amp;R3&amp;M16&amp;E3&amp;REPT(CHAR(9),1)&amp;D3&amp;D3),"WorkingPattern",$Q$3),"Master",$B$4)</f>
        <v xml:space="preserve">using Abp.Application.Services.Dto;
using System;
using System.ComponentModel.DataAnnotations;
namespace vovina.Painting.Andon.Dto
{
	public class PtsAdoScanInfoExportInput{
		public virtual string ScanType { get; set; }
		public virtual string ScanValue { get; set; }
		public virtual string ScanLocation { get; set; }
		public virtual DateTime? ScanTime { get; set; }
		public virtual string ScanBy { get; set; }
		public virtual string IsProcessed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vovina.Painting.Andon.Dto;
namespace vovina.Painting.Andon.Exporting
{
	public interface IPtsAdoScanInfoExcelExporter : IApplicationService
	{
		FileDto ExportToFile(List&lt;PtsAdoScanInfoDto&gt; ptsadoscaninfo);
	}
}
</v>
      </c>
      <c r="T7" s="28" t="str">
        <f ca="1">SUBSTITUTE(SUBSTITUTE(SUBSTITUTE(SUBSTITUTE(SUBSTITUTE(SUBSTITUTE(SUBSTITUTE(T1,"MstWptCalendar",$B$3),"&lt;PROPERTIES1&gt;",V16),"&lt;PROPERTIES&gt;",T16),"Calendar",$B$5),"calendar",LOWER(B5)),"WorkingPattern",$Q$3),"Master",$B$4)</f>
        <v>using System.Collections.Generic;
using vovina.DataExporting.Excel.NPOI;
using vovina.Dto;
using vovina.Painting.Andon.Exporting;
using vovina.Painting.Andon.Dto;
using vovina.Storage;
using vovina.Painting.Andon.Dto;
namespace vovina.Painting.Andon.Exporting
{
    public class PtsAdoScanInfoExcelExporter : NpoiExcelExporterBase, IPtsAdoScanInfoExcelExporter
    {
        public PtsAdoScanInfoExcelExporter(ITempFileCacheManager tempFileCacheManager) : base(tempFileCacheManager) { }
        public FileDto ExportToFile(List&lt;PtsAdoScanInfoDto&gt; scaninfo)
        {
            return CreateExcelPackage(
				"PaintingAndonScanInfo.xlsx",
				excelPackage =&gt;
				 {
					var sheet = excelPackage.CreateSheet("ScanInfo");
					AddHeader(
								sheet,
								("ScanType"),
								("ScanValue"),
								("ScanLocation"),
								("ScanTime"),
								("ScanBy"),
								("IsProcessed"),
							   );
					AddObjects(
						 sheet, 1, scaninfo,                                       
								_ =&gt; _.ScanType,
								_ =&gt; _.ScanValue,
								_ =&gt; _.ScanLocation,
								_ =&gt; _.ScanTime,
								_ =&gt; _.ScanBy,
								_ =&gt; _.IsProcessed,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configuration.CreateMap&lt;PtsAdoScanInfoDto, PtsAdoScanInfo&gt;();
  configuration.CreateMap&lt;PtsAdoScanInfo, PtsAdoScanInfoDto&gt;();
  configuration.CreateMap&lt;CreateOrEditPtsAdoScanInfoDto, PtsAdoScanInfo&gt;();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85</v>
      </c>
      <c r="W8" s="3"/>
    </row>
    <row r="9" spans="1:23" customFormat="1" ht="22.5" customHeight="1" x14ac:dyDescent="0.25">
      <c r="A9" t="s">
        <v>260</v>
      </c>
      <c r="B9" t="s">
        <v>249</v>
      </c>
      <c r="C9" t="s">
        <v>80</v>
      </c>
      <c r="D9" t="str">
        <f>SUBSTITUTE(PROPER(A9),"_","")</f>
        <v>ScanType</v>
      </c>
      <c r="E9" t="str">
        <f t="shared" ref="E9:E11" si="0">IFERROR(LEFT(B9, FIND("(",B9)-1),B9)</f>
        <v>nvarchar</v>
      </c>
      <c r="F9" s="7"/>
      <c r="G9" t="str">
        <f t="shared" ref="G9:G11" si="1">IFERROR(MID(B9,FIND("(",B9) +1, FIND(")",B9) - FIND("(",B9) - 1),"")</f>
        <v>50</v>
      </c>
      <c r="H9" t="str">
        <f>+VLOOKUP(E9,'Data Type Mapping'!A:B,2,)</f>
        <v>string</v>
      </c>
      <c r="I9" t="str">
        <f t="shared" ref="I9:I11" si="2">IF(H9="string",REPT(CHAR(9),2)&amp;"public const int Max"&amp;D9&amp;"Length = "&amp;G9&amp;";"&amp;$E$3,"" )</f>
        <v xml:space="preserve">		public const int MaxScanTypeLength = 50;
</v>
      </c>
      <c r="J9" t="str">
        <f t="shared" ref="J9:J11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[Required]
		[StringLength(MaxScanTypeLength)]
		public virtual string ScanType { get; set; }
</v>
      </c>
      <c r="K9" s="7" t="s">
        <v>207</v>
      </c>
      <c r="L9" t="str">
        <f>IF(K9="","",REPT(CHAR(9),1)&amp;"[Index(nameof("&amp;IF(D9="","",""&amp;D9)&amp;")"&amp;", Name="&amp;"""IX_"&amp;$B$7&amp;"_"&amp;D9&amp;""")]")</f>
        <v xml:space="preserve">	[Index(nameof(ScanType), Name="IX_PtsAdoScanInfo_ScanType")]</v>
      </c>
      <c r="M9" t="str">
        <f>REPT(CHAR(9),2)&amp;"public virtual "&amp;IF(OR(H9="DateTime",H9="TimeSpan"),H9&amp;"?",H9)&amp;IF(C9="?","? "," ")&amp;D9&amp;" { get; set; }" &amp; "
"</f>
        <v xml:space="preserve">		public virtual string ScanType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[Required]
		[StringLength(PtsAdoScanInfoConsts.MaxScanTypeLength)]
		public virtual string ScanType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string ScanType { get; set; }
</v>
      </c>
      <c r="P9" t="str">
        <f t="shared" ref="P9:P11" si="4">REPT(CHAR(9),7)&amp;D9&amp;" = o." &amp;D9 &amp;","</f>
        <v xml:space="preserve">							ScanType = o.ScanType,</v>
      </c>
      <c r="T9" s="69" t="str">
        <f>REPT(CHAR(9),8)&amp;"("""&amp;D9&amp;"""),"</f>
        <v xml:space="preserve">								("ScanType"),</v>
      </c>
      <c r="V9" s="70" t="str">
        <f>REPT(CHAR(9),8)&amp;"_ =&gt; _."&amp;D9&amp;","</f>
        <v xml:space="preserve">								_ =&gt; _.ScanType,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.WhereIf(!string.IsNullOrWhiteSpace(input.ScanType), e =&gt; e.ScanType.Contains(input.ScanType))</v>
      </c>
    </row>
    <row r="10" spans="1:23" customFormat="1" ht="21" customHeight="1" x14ac:dyDescent="0.25">
      <c r="A10" t="s">
        <v>261</v>
      </c>
      <c r="B10" t="s">
        <v>249</v>
      </c>
      <c r="C10" t="s">
        <v>1</v>
      </c>
      <c r="D10" t="str">
        <f t="shared" ref="D10:D11" si="5">SUBSTITUTE(PROPER(A10),"_","")</f>
        <v>ScanValue</v>
      </c>
      <c r="E10" t="str">
        <f t="shared" si="0"/>
        <v>nvarchar</v>
      </c>
      <c r="F10" s="7"/>
      <c r="G10" t="str">
        <f t="shared" si="1"/>
        <v>50</v>
      </c>
      <c r="H10" t="str">
        <f>+VLOOKUP(E10,'Data Type Mapping'!A:B,2,)</f>
        <v>string</v>
      </c>
      <c r="I10" t="str">
        <f t="shared" si="2"/>
        <v xml:space="preserve">		public const int MaxScanValueLength = 50;
</v>
      </c>
      <c r="J10" t="str">
        <f t="shared" si="3"/>
        <v xml:space="preserve">		[StringLength(MaxScanValueLength)]
		public virtual string ScanValue { get; set; }
</v>
      </c>
      <c r="K10" s="7"/>
      <c r="L10" t="str">
        <f t="shared" ref="L10:L11" si="6">IF(K10="","",REPT(CHAR(9),1)&amp;"[Index(nameof("&amp;IF(D10="","",""&amp;D10)&amp;")"&amp;", Name="&amp;"""IX_"&amp;$B$7&amp;"_"&amp;D10&amp;""")]")</f>
        <v/>
      </c>
      <c r="M10" t="str">
        <f t="shared" ref="M10:M14" si="7">REPT(CHAR(9),2)&amp;"public virtual "&amp;IF(OR(H10="DateTime",H10="TimeSpan"),H10&amp;"?",H10)&amp;IF(C10="?","? "," ")&amp;D10&amp;" { get; set; }" &amp; "
"</f>
        <v xml:space="preserve">		public virtual string ScanValue { get; set; }
</v>
      </c>
      <c r="N10" t="str">
        <f t="shared" ref="N10:N14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[StringLength(PtsAdoScanInfoConsts.MaxScanValueLength)]
		public virtual string ScanValue { get; set; }
</v>
      </c>
      <c r="O10" t="str">
        <f t="shared" ref="O10:O14" si="9">IF(OR(H10="string",H10="DateTime",H10="int"),REPT(CHAR(9),2)&amp;"public virtual "&amp;IF(OR(H10="DateTime",H10="TimeSpan"),H10&amp;"?",H10)&amp;IF(C10="?","? "," ")&amp;D10&amp;" { get; set; }"&amp;$E$3,"")</f>
        <v xml:space="preserve">		public virtual string ScanValue { get; set; }
</v>
      </c>
      <c r="P10" t="str">
        <f t="shared" si="4"/>
        <v xml:space="preserve">							ScanValue = o.ScanValue,</v>
      </c>
      <c r="T10" s="69" t="str">
        <f t="shared" ref="T10:T14" si="10">REPT(CHAR(9),8)&amp;"("""&amp;D10&amp;"""),"</f>
        <v xml:space="preserve">								("ScanValue"),</v>
      </c>
      <c r="V10" s="70" t="str">
        <f t="shared" ref="V10:V14" si="11">REPT(CHAR(9),8)&amp;"_ =&gt; _."&amp;D10&amp;","</f>
        <v xml:space="preserve">								_ =&gt; _.ScanValue,</v>
      </c>
      <c r="W10" s="69" t="str">
        <f t="shared" ref="W10:W14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.WhereIf(!string.IsNullOrWhiteSpace(input.ScanValue), e =&gt; e.ScanValue.Contains(input.ScanValue))</v>
      </c>
    </row>
    <row r="11" spans="1:23" customFormat="1" ht="18.75" customHeight="1" x14ac:dyDescent="0.25">
      <c r="A11" t="s">
        <v>262</v>
      </c>
      <c r="B11" t="s">
        <v>249</v>
      </c>
      <c r="C11" t="s">
        <v>1</v>
      </c>
      <c r="D11" t="str">
        <f t="shared" si="5"/>
        <v>ScanLocation</v>
      </c>
      <c r="E11" t="str">
        <f t="shared" si="0"/>
        <v>nvarchar</v>
      </c>
      <c r="F11" s="7"/>
      <c r="G11" t="str">
        <f t="shared" si="1"/>
        <v>50</v>
      </c>
      <c r="H11" t="str">
        <f>+VLOOKUP(E11,'Data Type Mapping'!A:B,2,)</f>
        <v>string</v>
      </c>
      <c r="I11" t="str">
        <f t="shared" si="2"/>
        <v xml:space="preserve">		public const int MaxScanLocationLength = 50;
</v>
      </c>
      <c r="J11" t="str">
        <f t="shared" si="3"/>
        <v xml:space="preserve">		[StringLength(MaxScanLocationLength)]
		public virtual string ScanLocation { get; set; }
</v>
      </c>
      <c r="K11" s="7"/>
      <c r="L11" t="str">
        <f t="shared" si="6"/>
        <v/>
      </c>
      <c r="M11" t="str">
        <f t="shared" si="7"/>
        <v xml:space="preserve">		public virtual string ScanLocation { get; set; }
</v>
      </c>
      <c r="N11" t="str">
        <f t="shared" si="8"/>
        <v xml:space="preserve">		[StringLength(PtsAdoScanInfoConsts.MaxScanLocationLength)]
		public virtual string ScanLocation { get; set; }
</v>
      </c>
      <c r="O11" t="str">
        <f t="shared" si="9"/>
        <v xml:space="preserve">		public virtual string ScanLocation { get; set; }
</v>
      </c>
      <c r="P11" t="str">
        <f t="shared" si="4"/>
        <v xml:space="preserve">							ScanLocation = o.ScanLocation,</v>
      </c>
      <c r="T11" s="69" t="str">
        <f t="shared" si="10"/>
        <v xml:space="preserve">								("ScanLocation"),</v>
      </c>
      <c r="V11" s="70" t="str">
        <f t="shared" si="11"/>
        <v xml:space="preserve">								_ =&gt; _.ScanLocation,</v>
      </c>
      <c r="W11" s="69" t="str">
        <f t="shared" si="12"/>
        <v xml:space="preserve">				.WhereIf(!string.IsNullOrWhiteSpace(input.ScanLocation), e =&gt; e.ScanLocation.Contains(input.ScanLocation))</v>
      </c>
    </row>
    <row r="12" spans="1:23" customFormat="1" ht="22.5" customHeight="1" x14ac:dyDescent="0.25">
      <c r="A12" t="s">
        <v>263</v>
      </c>
      <c r="B12" t="s">
        <v>250</v>
      </c>
      <c r="C12" t="s">
        <v>80</v>
      </c>
      <c r="D12" t="str">
        <f>SUBSTITUTE(PROPER(A12),"_","")</f>
        <v>ScanTime</v>
      </c>
      <c r="E12" t="str">
        <f t="shared" ref="E12:E14" si="13">IFERROR(LEFT(B12, FIND("(",B12)-1),B12)</f>
        <v>datetime2</v>
      </c>
      <c r="F12" s="7"/>
      <c r="G12" t="str">
        <f t="shared" ref="G12:G14" si="14">IFERROR(MID(B12,FIND("(",B12) +1, FIND(")",B12) - FIND("(",B12) - 1),"")</f>
        <v>7</v>
      </c>
      <c r="H12" t="str">
        <f>+VLOOKUP(E12,'Data Type Mapping'!A:B,2,)</f>
        <v>DateTime</v>
      </c>
      <c r="I12" t="str">
        <f t="shared" ref="I12:I14" si="15">IF(H12="string",REPT(CHAR(9),2)&amp;"public const int Max"&amp;D12&amp;"Length = "&amp;G12&amp;";"&amp;$E$3,"" )</f>
        <v/>
      </c>
      <c r="J12" t="str">
        <f t="shared" ref="J12:J14" si="16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[Required]
		public virtual DateTime ScanTime { get; set; }
</v>
      </c>
      <c r="K12" s="7" t="s">
        <v>207</v>
      </c>
      <c r="L12" t="str">
        <f>IF(K12="","",REPT(CHAR(9),1)&amp;"[Index(nameof("&amp;IF(D12="","",""&amp;D12)&amp;")"&amp;", Name="&amp;"""IX_"&amp;$B$7&amp;"_"&amp;D12&amp;""")]")</f>
        <v xml:space="preserve">	[Index(nameof(ScanTime), Name="IX_PtsAdoScanInfo_ScanTime")]</v>
      </c>
      <c r="M12" t="str">
        <f t="shared" si="7"/>
        <v xml:space="preserve">		public virtual DateTime? ScanTime { get; set; }
</v>
      </c>
      <c r="N12" t="str">
        <f t="shared" si="8"/>
        <v xml:space="preserve">		[Required]
		public virtual DateTime? ScanTime { get; set; }
</v>
      </c>
      <c r="O12" t="str">
        <f t="shared" si="9"/>
        <v xml:space="preserve">		public virtual DateTime? ScanTime { get; set; }
</v>
      </c>
      <c r="P12" t="str">
        <f t="shared" ref="P12:P14" si="17">REPT(CHAR(9),7)&amp;D12&amp;" = o." &amp;D12 &amp;","</f>
        <v xml:space="preserve">							ScanTime = o.ScanTime,</v>
      </c>
      <c r="T12" s="69" t="str">
        <f t="shared" si="10"/>
        <v xml:space="preserve">								("ScanTime"),</v>
      </c>
      <c r="V12" s="70" t="str">
        <f t="shared" si="11"/>
        <v xml:space="preserve">								_ =&gt; _.ScanTime,</v>
      </c>
      <c r="W12" s="69" t="str">
        <f t="shared" si="12"/>
        <v xml:space="preserve">				.WhereIf(input.ScanTime.HasValue, t =&gt; t.ScanTime == input.ScanTime.Value)</v>
      </c>
    </row>
    <row r="13" spans="1:23" customFormat="1" ht="21" customHeight="1" x14ac:dyDescent="0.25">
      <c r="A13" t="s">
        <v>264</v>
      </c>
      <c r="B13" t="s">
        <v>249</v>
      </c>
      <c r="C13" t="s">
        <v>1</v>
      </c>
      <c r="D13" t="str">
        <f t="shared" ref="D13:D14" si="18">SUBSTITUTE(PROPER(A13),"_","")</f>
        <v>ScanBy</v>
      </c>
      <c r="E13" t="str">
        <f t="shared" si="13"/>
        <v>nvarchar</v>
      </c>
      <c r="F13" s="7"/>
      <c r="G13" t="str">
        <f t="shared" si="14"/>
        <v>50</v>
      </c>
      <c r="H13" t="str">
        <f>+VLOOKUP(E13,'Data Type Mapping'!A:B,2,)</f>
        <v>string</v>
      </c>
      <c r="I13" t="str">
        <f t="shared" si="15"/>
        <v xml:space="preserve">		public const int MaxScanByLength = 50;
</v>
      </c>
      <c r="J13" t="str">
        <f t="shared" si="16"/>
        <v xml:space="preserve">		[StringLength(MaxScanByLength)]
		public virtual string ScanBy { get; set; }
</v>
      </c>
      <c r="K13" s="7"/>
      <c r="L13" t="str">
        <f t="shared" ref="L13:L14" si="19">IF(K13="","",REPT(CHAR(9),1)&amp;"[Index(nameof("&amp;IF(D13="","",""&amp;D13)&amp;")"&amp;", Name="&amp;"""IX_"&amp;$B$7&amp;"_"&amp;D13&amp;""")]")</f>
        <v/>
      </c>
      <c r="M13" t="str">
        <f t="shared" si="7"/>
        <v xml:space="preserve">		public virtual string ScanBy { get; set; }
</v>
      </c>
      <c r="N13" t="str">
        <f t="shared" si="8"/>
        <v xml:space="preserve">		[StringLength(PtsAdoScanInfoConsts.MaxScanByLength)]
		public virtual string ScanBy { get; set; }
</v>
      </c>
      <c r="O13" t="str">
        <f t="shared" si="9"/>
        <v xml:space="preserve">		public virtual string ScanBy { get; set; }
</v>
      </c>
      <c r="P13" t="str">
        <f t="shared" si="17"/>
        <v xml:space="preserve">							ScanBy = o.ScanBy,</v>
      </c>
      <c r="T13" s="69" t="str">
        <f t="shared" si="10"/>
        <v xml:space="preserve">								("ScanBy"),</v>
      </c>
      <c r="V13" s="70" t="str">
        <f t="shared" si="11"/>
        <v xml:space="preserve">								_ =&gt; _.ScanBy,</v>
      </c>
      <c r="W13" s="69" t="str">
        <f t="shared" si="12"/>
        <v xml:space="preserve">				.WhereIf(!string.IsNullOrWhiteSpace(input.ScanBy), e =&gt; e.ScanBy.Contains(input.ScanBy))</v>
      </c>
    </row>
    <row r="14" spans="1:23" customFormat="1" ht="18.75" customHeight="1" x14ac:dyDescent="0.25">
      <c r="A14" t="s">
        <v>265</v>
      </c>
      <c r="B14" t="s">
        <v>251</v>
      </c>
      <c r="C14" t="s">
        <v>1</v>
      </c>
      <c r="D14" t="str">
        <f t="shared" si="18"/>
        <v>IsProcessed</v>
      </c>
      <c r="E14" t="str">
        <f t="shared" si="13"/>
        <v>nvarchar</v>
      </c>
      <c r="F14" s="7"/>
      <c r="G14" t="str">
        <f t="shared" si="14"/>
        <v>1</v>
      </c>
      <c r="H14" t="str">
        <f>+VLOOKUP(E14,'Data Type Mapping'!A:B,2,)</f>
        <v>string</v>
      </c>
      <c r="I14" t="str">
        <f t="shared" si="15"/>
        <v xml:space="preserve">		public const int MaxIsProcessedLength = 1;
</v>
      </c>
      <c r="J14" t="str">
        <f t="shared" si="16"/>
        <v xml:space="preserve">		[StringLength(MaxIsProcessedLength)]
		public virtual string IsProcessed { get; set; }
</v>
      </c>
      <c r="K14" s="7"/>
      <c r="L14" t="str">
        <f t="shared" si="19"/>
        <v/>
      </c>
      <c r="M14" t="str">
        <f t="shared" si="7"/>
        <v xml:space="preserve">		public virtual string IsProcessed { get; set; }
</v>
      </c>
      <c r="N14" t="str">
        <f t="shared" si="8"/>
        <v xml:space="preserve">		[StringLength(PtsAdoScanInfoConsts.MaxIsProcessedLength)]
		public virtual string IsProcessed { get; set; }
</v>
      </c>
      <c r="O14" t="str">
        <f t="shared" si="9"/>
        <v xml:space="preserve">		public virtual string IsProcessed { get; set; }
</v>
      </c>
      <c r="P14" t="str">
        <f t="shared" si="17"/>
        <v xml:space="preserve">							IsProcessed = o.IsProcessed,</v>
      </c>
      <c r="T14" s="69" t="str">
        <f t="shared" si="10"/>
        <v xml:space="preserve">								("IsProcessed"),</v>
      </c>
      <c r="V14" s="70" t="str">
        <f t="shared" si="11"/>
        <v xml:space="preserve">								_ =&gt; _.IsProcessed,</v>
      </c>
      <c r="W14" s="69" t="str">
        <f t="shared" si="12"/>
        <v xml:space="preserve">				.WhereIf(!string.IsNullOrWhiteSpace(input.IsProcessed), e =&gt; e.IsProcessed.Contains(input.IsProcessed))</v>
      </c>
    </row>
    <row r="16" spans="1:23" ht="45.75" customHeight="1" x14ac:dyDescent="0.25">
      <c r="H16" s="12"/>
      <c r="I16" s="34" t="str">
        <f ca="1">TEXTJOIN2("
", TRUE,INDIRECT( $H$1):INDIRECT( $H$3))</f>
        <v xml:space="preserve">		public const int MaxScanTypeLength = 50;
		public const int MaxScanValueLength = 50;
		public const int MaxScanLocationLength = 50;
		public const int MaxScanByLength = 50;
		public const int MaxIsProcessedLength = 1;
</v>
      </c>
      <c r="J16" s="33" t="str">
        <f ca="1">TEXTJOIN2("
", TRUE,INDIRECT( $F$1):INDIRECT( $F$3))</f>
        <v xml:space="preserve">		[Required]
		[StringLength(MaxScanTypeLength)]
		public virtual string ScanType { get; set; }
		[StringLength(MaxScanValueLength)]
		public virtual string ScanValue { get; set; }
		[StringLength(MaxScanLocationLength)]
		public virtual string ScanLocation { get; set; }
		[Required]
		public virtual DateTime ScanTime { get; set; }
		[StringLength(MaxScanByLength)]
		public virtual string ScanBy { get; set; }
		[StringLength(MaxIsProcessedLength)]
		public virtual string IsProcessed { get; set; }
</v>
      </c>
      <c r="K16" s="35" t="str">
        <f ca="1">TEXTJOIN2("
", TRUE,INDIRECT( $J$1):INDIRECT( $J$3))</f>
        <v xml:space="preserve">	[Index(nameof(ScanType), Name="IX_PtsAdoScanInfo_ScanType")]
	[Index(nameof(ScanTime), Name="IX_PtsAdoScanInfo_ScanTime")]
</v>
      </c>
      <c r="L16" s="13" t="s">
        <v>60</v>
      </c>
      <c r="M16" s="36" t="str">
        <f ca="1">TEXTJOIN2("
",TRUE,INDIRECT( $L$1):INDIRECT($L$3))</f>
        <v xml:space="preserve">		public virtual string ScanType { get; set; }
		public virtual string ScanValue { get; set; }
		public virtual string ScanLocation { get; set; }
		public virtual DateTime? ScanTime { get; set; }
		public virtual string ScanBy { get; set; }
		public virtual string IsProcessed { get; set; }
</v>
      </c>
      <c r="N16" s="33" t="str">
        <f ca="1">TEXTJOIN2("
",TRUE,INDIRECT( $M$1):INDIRECT($M$3))</f>
        <v xml:space="preserve">		[Required]
		[StringLength(PtsAdoScanInfoConsts.MaxScanTypeLength)]
		public virtual string ScanType { get; set; }
		[StringLength(PtsAdoScanInfoConsts.MaxScanValueLength)]
		public virtual string ScanValue { get; set; }
		[StringLength(PtsAdoScanInfoConsts.MaxScanLocationLength)]
		public virtual string ScanLocation { get; set; }
		[Required]
		public virtual DateTime? ScanTime { get; set; }
		[StringLength(PtsAdoScanInfoConsts.MaxScanByLength)]
		public virtual string ScanBy { get; set; }
		[StringLength(PtsAdoScanInfoConsts.MaxIsProcessedLength)]
		public virtual string IsProcessed { get; set; }
</v>
      </c>
      <c r="O16" s="33" t="str">
        <f ca="1">TEXTJOIN2("
",TRUE,INDIRECT( $N$1):INDIRECT($N$3))</f>
        <v xml:space="preserve">		public virtual string ScanType { get; set; }
		public virtual string ScanValue { get; set; }
		public virtual string ScanLocation { get; set; }
		public virtual DateTime? ScanTime { get; set; }
		public virtual string ScanBy { get; set; }
		public virtual string IsProcessed { get; set; }
</v>
      </c>
      <c r="P16" s="9" t="str">
        <f ca="1">TEXTJOIN2("
",TRUE,INDIRECT( $O$1):INDIRECT($O$3))</f>
        <v xml:space="preserve">							ScanType = o.ScanType,
							ScanValue = o.ScanValue,
							ScanLocation = o.ScanLocation,
							ScanTime = o.ScanTime,
							ScanBy = o.ScanBy,
							IsProcessed = o.IsProcessed,</v>
      </c>
      <c r="T16" s="9" t="str">
        <f ca="1">TEXTJOIN2("
",TRUE,INDIRECT( $T$2):INDIRECT($T$3))</f>
        <v xml:space="preserve">								("ScanType"),
								("ScanValue"),
								("ScanLocation"),
								("ScanTime"),
								("ScanBy"),
								("IsProcessed"),</v>
      </c>
      <c r="V16" s="9" t="str">
        <f ca="1">TEXTJOIN2("
",TRUE,INDIRECT( $V$2):INDIRECT($V$3))</f>
        <v xml:space="preserve">								_ =&gt; _.ScanType,
								_ =&gt; _.ScanValue,
								_ =&gt; _.ScanLocation,
								_ =&gt; _.ScanTime,
								_ =&gt; _.ScanBy,
								_ =&gt; _.IsProcessed,</v>
      </c>
      <c r="W16" s="9" t="str">
        <f ca="1">TEXTJOIN2("
",TRUE,INDIRECT( $W$2):INDIRECT($W$3))</f>
        <v xml:space="preserve">				.WhereIf(!string.IsNullOrWhiteSpace(input.ScanType), e =&gt; e.ScanType.Contains(input.ScanType))
				.WhereIf(!string.IsNullOrWhiteSpace(input.ScanValue), e =&gt; e.ScanValue.Contains(input.ScanValue))
				.WhereIf(!string.IsNullOrWhiteSpace(input.ScanLocation), e =&gt; e.ScanLocation.Contains(input.ScanLocation))
				.WhereIf(input.ScanTime.HasValue, t =&gt; t.ScanTime == input.ScanTime.Value)
				.WhereIf(!string.IsNullOrWhiteSpace(input.ScanBy), e =&gt; e.ScanBy.Contains(input.ScanBy))
				.WhereIf(!string.IsNullOrWhiteSpace(input.IsProcessed), e =&gt; e.IsProcessed.Contains(input.IsProcessed))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23"/>
  <sheetViews>
    <sheetView topLeftCell="A7" workbookViewId="0">
      <selection activeCell="H23" sqref="H23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213</v>
      </c>
      <c r="B1" s="42" t="s">
        <v>255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238</v>
      </c>
      <c r="B2" s="42" t="str">
        <f>A.Backend!B4</f>
        <v>Painting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238</v>
      </c>
      <c r="B3" s="42" t="str">
        <f>LOWER(B2)</f>
        <v>painting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215</v>
      </c>
      <c r="B4" s="43" t="str">
        <f>A.Backend!Q3</f>
        <v>Andon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215</v>
      </c>
      <c r="B5" s="43" t="str">
        <f>LOWER(B4)</f>
        <v>andon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225</v>
      </c>
      <c r="B6" s="44" t="str">
        <f>A.Backend!B3</f>
        <v>PtsAdoScanInfo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216</v>
      </c>
      <c r="B7" s="43" t="str">
        <f>A.Backend!B5</f>
        <v>ScanInfo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214</v>
      </c>
      <c r="B8" s="43" t="str">
        <f>LOWER(B7)</f>
        <v>scaninfo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217</v>
      </c>
      <c r="B9" s="54"/>
      <c r="C9" s="53"/>
      <c r="D9" s="53"/>
      <c r="E9" s="53"/>
      <c r="F9" s="53"/>
      <c r="G9" s="53"/>
      <c r="H9" s="45" t="s">
        <v>276</v>
      </c>
      <c r="I9" s="46" t="s">
        <v>270</v>
      </c>
      <c r="J9" s="45" t="s">
        <v>220</v>
      </c>
      <c r="K9" s="47" t="s">
        <v>271</v>
      </c>
      <c r="L9" s="46" t="s">
        <v>275</v>
      </c>
      <c r="M9" s="45" t="s">
        <v>257</v>
      </c>
      <c r="N9" s="45" t="s">
        <v>221</v>
      </c>
      <c r="O9" s="45" t="s">
        <v>222</v>
      </c>
      <c r="P9" s="46" t="s">
        <v>224</v>
      </c>
      <c r="Q9" s="45" t="s">
        <v>258</v>
      </c>
      <c r="R9" s="45" t="s">
        <v>234</v>
      </c>
      <c r="S9" s="31"/>
      <c r="T9" s="31"/>
      <c r="U9" s="31"/>
      <c r="V9" s="31"/>
    </row>
    <row r="10" spans="1:22" ht="18.75" customHeight="1" x14ac:dyDescent="0.25">
      <c r="A10" s="55" t="s">
        <v>218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PtsAdoScanInfoDto, PtsAdoScanInfoServiceProxy } from '@shared/service-proxies/service-proxies';
import { finalize } from 'rxjs/internal/operators/finalize';
import { CreateOrEditScanInfoModalComponent } from './create-or-edit-scaninfo-modal.component';
import { DatePipe } from '@angular/common';
import { FileDownloadService } from '@shared/utils/file-download.service';
import ceil from 'lodash-es/ceil';
import { Paginator } from 'primeng/paginator';
@Component({
    templateUrl: './scaninfo.component.html',
    styleUrls: ['./scaninfo.component.less'],
})
export class ScanInfoComponent extends AppComponentBase implements OnInit {
    @ViewChild('createOrEditModalScanInfo', { static: true }) createOrEditModalScanInfo:| CreateOrEditScanInfoModalComponent|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PtsAdoScanInfoDto = new PtsAdoScanInfoDto();
    saveSelectedRow: PtsAdoScanInfoDto = new PtsAdoScanInfoDto();
    datas: PtsAdoScanInfoDto = new PtsAdoScanInfoDto();
    isLoading: boolean = false;
    dataParams: GridParams | undefined;
    rowData: any[] = [];
    gridApi!: GridApi;
    rowSelection = 'multiple';
    filter: string = '';
	pipe = new DatePipe('en-US');
    scanType : string = '' ; 
	scanValue : string = '' ; 
	scanLocation : string = '' ; 
	scanTime : any ;
	scanBy : string = '' ; 
	isProcessed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PtsAdoScanInfoServiceProxy,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this.l('Scan Type'),headerTooltip: this.l('Scan Type'),field: 'scanType',flex: 1},
			{headerName: this.l('Scan Value'),headerTooltip: this.l('Scan Value'),field: 'scanValue',flex: 1},
			{headerName: this.l('Scan Location'),headerTooltip: this.l('Scan Location'),field: 'scanLocation',flex: 1},
			{headerName: this.l('Scan Time'),headerTooltip: this.l('Scan Time'),field: 'scanTime',valueGetter: (params) =&gt; this.pipe.transform(params.data?.scanTime, 'dd/MM/yyyy'),flex: 1},
			{headerName: this.l('Scan By'),headerTooltip: this.l('Scan By'),field: 'scanBy',flex: 1},
			{headerName: this.l('Is Processed'),headerTooltip: this.l('Is Processed'),field: 'isProcessed',flex: 1},      	  
        ];
    }
    ngOnInit(): void {
        this.paginationParams = { pageNum: 1, pageSize: 20, totalCount: 0 };
    }
    searchDatas(): void {
        // this.paginator.changePage(this.paginator.getPage());
        this._service.getAll(
			this.scanType,
			this.scanValue,
			this.scanLocation,
			this.scanTime,
			this.scanBy,
			this.isProcessed,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this.scanType = '',
		this.scanValue = '',
		this.scanLocation = '',
		this.scanTime = '',
		this.scanBy = '',
		this.isProcessed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this.scanType,
			this.scanValue,
			this.scanLocation,
			this.scanTime,
			this.scanBy,
			this.isProcessed,
			'',
            this.paginationParams.skipCount,
            this.paginationParams.pageSize
        );
    }
    onChangeRowSelection(params: { api: { getSelectedRows: () =&gt; PtsAdoScanInfoDto[] } }) {
        this.saveSelectedRow = params.api.getSelectedRows()[0] ?? new PtsAdoScanInfoDto();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PtsAdoScanInfoDto):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this._service.getScanInfoToExcel(
			this.scanType,
			this.scanValue,
			this.scanLocation,
			this.scanTime,
			this.scanBy,
			this.isProcessed,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Painting Andon Scan Info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[(ngModel)]='scanType' name='scanType'
									class='form-control' [placeholder]="l('Scan Type')"
									type='text' (keyup.enter)='searchDatas()'&gt;
								&lt;/div&gt;
								&lt;div class='input-search'&gt;
									&lt;input [(ngModel)]='scanValue' name='scanValue'
									class='form-control' [placeholder]="l('Scan Value')"
									type='text' (keyup.enter)='searchDatas()'&gt;
								&lt;/div&gt;
								&lt;div class='input-search'&gt;
									&lt;input [(ngModel)]='scanLocation' name='scanLocation'
									class='form-control' [placeholder]="l('Scan Location')"
									type='text' (keyup.enter)='searchDatas()'&gt;
								&lt;/div&gt;
								&lt;div class='input-search'&gt;
									&lt;input type='text' [placeholder]="l('Scan Time')" [(ngModel)]='scanTime' 
									name='scanTime'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[(ngModel)]='scanBy' name='scanBy'
									class='form-control' [placeholder]="l('Scan By')"
									type='text' (keyup.enter)='searchDatas()'&gt;
								&lt;/div&gt;
								&lt;div class='input-search'&gt;
									&lt;input [(ngModel)]='isProcessed' name='isProcessed'
									class='form-control' [placeholder]="l('Is Processed')"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(click)="createOrEditModalScanInfo.show()"&gt;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(click)="createOrEditModalScanInfo.show(selectedRow)"&gt;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&lt;create-or-edit-scaninfo-modal
    #createOrEditModalScanInfo
    (modalSave)="callBackDataGrid(dataParams)"
    (modalClose)="onChangeRowSelection(dataParams)"
&gt;
&lt;/create-or-edit-scaninfo-modal&gt;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#createOrEditModalScanInfo="bs-modal"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ScanInfo')}}&lt;/h3&gt;
                    &lt;h3 *ngIf="!rowdata.id"&gt;{{('Create New ScanInfo')}}&lt;/h3&gt;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title'&gt;Scan Type&lt;/label&gt;
						&lt;input type='text' class='col-md-10 form-control input-text' name='ScanType' [(ngModel)]='rowdata.scanType'&gt;
					&lt;/div&gt;
					&lt;div class='col-md-12 form-group row'&gt;
						&lt;label class='col-md-2 form-control title'&gt;Scan Value&lt;/label&gt;
						&lt;input type='text' class='col-md-10 form-control input-text' name='ScanValue' [(ngModel)]='rowdata.scanValue'&gt;
					&lt;/div&gt;
					&lt;div class='col-md-12 form-group row'&gt;
						&lt;label class='col-md-2 form-control title'&gt;Scan Location&lt;/label&gt;
						&lt;input type='text' class='col-md-10 form-control input-text' name='ScanLocation' [(ngModel)]='rowdata.scanLocation'&gt;
					&lt;/div&gt;
					&lt;div class='col-md-12 form-group row'&gt;
						&lt;label class='col-md-2 form-control title'&gt;Scan Time&lt;/label&gt;
						&lt;input type='text' class='col-md-10 form-control input-text' name='scanTime' 
						#datepicker='bsDatepicker' [(ngModel)]='rowdata.scanTime'  bsDatepicker &gt;
					&lt;/div&gt;
					&lt;div class='col-md-12 form-group row'&gt;
						&lt;label class='col-md-2 form-control title'&gt;Scan By&lt;/label&gt;
						&lt;input type='text' class='col-md-10 form-control input-text' name='ScanBy' [(ngModel)]='rowdata.scanBy'&gt;
					&lt;/div&gt;
					&lt;div class='col-md-12 form-group row'&gt;
						&lt;label class='col-md-2 form-control title'&gt;Is Processed&lt;/label&gt;
						&lt;input class='col-md-10 form-control checkboxActive' type='checkbox' name='isProcessed'
						[checked]='_isProcessed' (change)='changeActive($event)'&gt;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CreateOrEditPtsAdoScanInfoDto, PtsAdoScanInfoServiceProxy } from '@shared/service-proxies/service-proxies';
import { BsDatepickerDirective } from 'ngx-bootstrap/datepicker';
@Component({
    selector: 'create-or-edit-scaninfo-modal',
    templateUrl: './create-or-edit-scaninfo-modal.component.html',
    styleUrls: ['./create-or-edit-scaninfo-modal.component.less']
    })
export class CreateOrEditScanInfoModalComponent extends AppComponentBase {
    @ViewChild('createOrEditModalScanInfo',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CreateOrEditPtsAdoScanInfoDto = new CreateOrEditPtsAdoScanInfoDto();
    active: boolean = false;
    saving: boolean = false;
    _isProcessed: boolean;
    constructor(
        injector: Injector,
        private _mstwptScanInfoService: PtsAdoScanInfoServiceProxy,
    ) 
    {
        super(injector);
    }
    show(rowdata?: CreateOrEditPtsAdoScanInfoDto): void {
        if (!rowdata) this.rowdata = new CreateOrEditPtsAdoScanInfoDto();
        else this.rowdata = rowdata;
		const dateValue =  this.rowdata.scanTime ? new Date(this.rowdata.scanTime?.toString()) : new Date();
		this.datepicker?.bsValueChange.emit(dateValue);
        this._isProcessed = (this.rowdata.isProcessed == "N")? false: true;
        this.active = true;
        this.modal.show();
    } 
    changeActive(event){
        this._isProcessed = event.target.checked;
    }
    save(): void {
    this.saving = true; 
    this.rowdata.isProcessed = (this._isProcessed == true) ? 'Y' : 'N'
    this._mstwptScanInfoService.createOrEdit(this.rowdata)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ScanInfoRoutingModule } from './scaninfo-routing.module';
import { ScanInfoComponent } from './scaninfo.component';
import { CreateOrEditScanInfoModalComponent } from './create-or-edit-scaninfo-modal.component';
@NgModule({
    declarations: [
       ScanInfoComponent, 
        CreateOrEditScanInfoModalComponent
    ],
    imports: [
        AppSharedModule, ScanInfoRoutingModule]
})
export class ScanInfoModule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ScanInfoComponent } from './scaninfo.component';
const routes: Routes = [{
    path: '',
    component: ScanInfoComponent,
    pathMatch: 'full'
}];
@NgModule({
    imports: [RouterModule.forChild(routes)],
    exports: [RouterModule],
})
export class ScanInfoRoutingModule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AppMenuItem("ScanInfo", "Pages.Painting.Andon.ScanInfo", "flaticon-book",   "/app/main/painting/andon/scaninfo"),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'painting/andon/scaninfo',
    loadChildren: () =&gt; import('./painting/andon/scaninfo/scaninfo.module').then(m =&gt; m.ScanInfoModule),
    data: { permission: 'Pages.Painting.Andon.ScanInfo' }
},</v>
      </c>
      <c r="R10" s="50" t="str">
        <f>SUBSTITUTE(R9,"MstWptCalendar",$B$6)</f>
        <v>ApiServiceProxies.PtsAdoScanInfoServiceProxy,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256</v>
      </c>
      <c r="I11" s="31" t="s">
        <v>277</v>
      </c>
      <c r="J11" s="31"/>
      <c r="K11" s="31" t="s">
        <v>274</v>
      </c>
      <c r="L11" s="31" t="s">
        <v>278</v>
      </c>
      <c r="M11" s="38"/>
      <c r="N11" s="31"/>
      <c r="O11" s="31"/>
      <c r="P11" s="31"/>
      <c r="Q11" s="31"/>
      <c r="R11" s="31"/>
      <c r="S11" s="31" t="s">
        <v>267</v>
      </c>
      <c r="T11" s="31" t="s">
        <v>268</v>
      </c>
      <c r="U11" s="31" t="s">
        <v>279</v>
      </c>
      <c r="V11" s="71" t="s">
        <v>281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H20</v>
      </c>
      <c r="I12" s="31" t="str">
        <f>"I"&amp;COUNTA($A:$A)</f>
        <v>I20</v>
      </c>
      <c r="J12" s="31"/>
      <c r="K12" s="31" t="str">
        <f>"K"&amp;COUNTA($A:$A)</f>
        <v>K20</v>
      </c>
      <c r="L12" s="31" t="str">
        <f>"L"&amp;COUNTA($A:$A)</f>
        <v>L20</v>
      </c>
      <c r="M12" s="31"/>
      <c r="N12" s="31"/>
      <c r="O12" s="31"/>
      <c r="P12" s="31"/>
      <c r="Q12" s="31"/>
      <c r="R12" s="31"/>
      <c r="S12" s="31" t="str">
        <f>"S"&amp;COUNTA($A:$A)</f>
        <v>S20</v>
      </c>
      <c r="T12" s="31" t="str">
        <f>"T"&amp;COUNTA($A:$A)</f>
        <v>T20</v>
      </c>
      <c r="U12" s="31" t="str">
        <f>"U"&amp;COUNTA($A:$A)</f>
        <v>U20</v>
      </c>
      <c r="V12" s="31" t="str">
        <f>"V"&amp;COUNTA($A:$A)</f>
        <v>V20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this.l('Scan Type'),headerTooltip: this.l('Scan Type'),field: 'scanType',flex: 1},
			{headerName: this.l('Scan Value'),headerTooltip: this.l('Scan Value'),field: 'scanValue',flex: 1},
			{headerName: this.l('Scan Location'),headerTooltip: this.l('Scan Location'),field: 'scanLocation',flex: 1},
			{headerName: this.l('Scan Time'),headerTooltip: this.l('Scan Time'),field: 'scanTime',valueGetter: (params) =&gt; this.pipe.transform(params.data?.scanTime, 'dd/MM/yyyy'),flex: 1},
			{headerName: this.l('Scan By'),headerTooltip: this.l('Scan By'),field: 'scanBy',flex: 1},
			{headerName: this.l('Is Processed'),headerTooltip: this.l('Is Processed'),field: 'isProcessed',flex: 1},</v>
      </c>
      <c r="I13" s="38" t="str">
        <f ca="1">TEXTJOIN2("
",TRUE,INDIRECT(I11):INDIRECT(I12))</f>
        <v xml:space="preserve">								&lt;div class='input-search'&gt;
									&lt;input [(ngModel)]='scanType' name='scanType'
									class='form-control' [placeholder]="l('Scan Type')"
									type='text' (keyup.enter)='searchDatas()'&gt;
								&lt;/div&gt;
								&lt;div class='input-search'&gt;
									&lt;input [(ngModel)]='scanValue' name='scanValue'
									class='form-control' [placeholder]="l('Scan Value')"
									type='text' (keyup.enter)='searchDatas()'&gt;
								&lt;/div&gt;
								&lt;div class='input-search'&gt;
									&lt;input [(ngModel)]='scanLocation' name='scanLocation'
									class='form-control' [placeholder]="l('Scan Location')"
									type='text' (keyup.enter)='searchDatas()'&gt;
								&lt;/div&gt;
								&lt;div class='input-search'&gt;
									&lt;input type='text' [placeholder]="l('Scan Time')" [(ngModel)]='scanTime' 
									name='scanTime'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[(ngModel)]='scanBy' name='scanBy'
									class='form-control' [placeholder]="l('Scan By')"
									type='text' (keyup.enter)='searchDatas()'&gt;
								&lt;/div&gt;
								&lt;div class='input-search'&gt;
									&lt;input [(ngModel)]='isProcessed' name='isProcessed'
									class='form-control' [placeholder]="l('Is Processed')"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title'&gt;Scan Type&lt;/label&gt;
						&lt;input type='text' class='col-md-10 form-control input-text' name='ScanType' [(ngModel)]='rowdata.scanType'&gt;
					&lt;/div&gt;
					&lt;div class='col-md-12 form-group row'&gt;
						&lt;label class='col-md-2 form-control title'&gt;Scan Value&lt;/label&gt;
						&lt;input type='text' class='col-md-10 form-control input-text' name='ScanValue' [(ngModel)]='rowdata.scanValue'&gt;
					&lt;/div&gt;
					&lt;div class='col-md-12 form-group row'&gt;
						&lt;label class='col-md-2 form-control title'&gt;Scan Location&lt;/label&gt;
						&lt;input type='text' class='col-md-10 form-control input-text' name='ScanLocation' [(ngModel)]='rowdata.scanLocation'&gt;
					&lt;/div&gt;
					&lt;div class='col-md-12 form-group row'&gt;
						&lt;label class='col-md-2 form-control title'&gt;Scan Time&lt;/label&gt;
						&lt;input type='text' class='col-md-10 form-control input-text' name='scanTime' 
						#datepicker='bsDatepicker' [(ngModel)]='rowdata.scanTime'  bsDatepicker &gt;
					&lt;/div&gt;
					&lt;div class='col-md-12 form-group row'&gt;
						&lt;label class='col-md-2 form-control title'&gt;Scan By&lt;/label&gt;
						&lt;input type='text' class='col-md-10 form-control input-text' name='ScanBy' [(ngModel)]='rowdata.scanBy'&gt;
					&lt;/div&gt;
					&lt;div class='col-md-12 form-group row'&gt;
						&lt;label class='col-md-2 form-control title'&gt;Is Processed&lt;/label&gt;
						&lt;input class='col-md-10 form-control checkboxActive' type='checkbox' name='isProcessed'
						[checked]='_isProcessed' (change)='changeActive($event)'&gt;
					&lt;/div&gt;</v>
      </c>
      <c r="L13" s="60" t="str">
        <f ca="1">TEXTJOIN2("
",TRUE,INDIRECT(L11):INDIRECT(L12))</f>
        <v xml:space="preserve">		const dateValue =  this.rowdata.scanTime ? new Date(this.rowdata.scanTime?.toString())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scanType : string = '' ; 
	scanValue : string = '' ; 
	scanLocation : string = '' ; 
	scanTime : any ;
	scanBy : string = '' ; 
	isProcessed : string = '' ; </v>
      </c>
      <c r="T13" s="68" t="str">
        <f ca="1">TEXTJOIN2("
",TRUE,INDIRECT(T11):INDIRECT(T12))</f>
        <v xml:space="preserve">			this.scanType,
			this.scanValue,
			this.scanLocation,
			this.scanTime,
			this.scanBy,
			this.isProcessed,</v>
      </c>
      <c r="U13" s="68" t="str">
        <f ca="1">TEXTJOIN2("
",TRUE,INDIRECT(U11):INDIRECT(U12))</f>
        <v>this.scanType = '',
		this.scanValue = '',
		this.scanLocation = '',
		this.scanTime = '',
		this.scanBy = '',
		this.isProcessed = '',</v>
      </c>
      <c r="V13" s="31" t="str">
        <f ca="1">TEXTJOIN2("
",TRUE,INDIRECT(V11):INDIRECT(V12))</f>
        <v>isProcessed</v>
      </c>
    </row>
    <row r="14" spans="1:22" x14ac:dyDescent="0.25">
      <c r="A14" s="41" t="s">
        <v>219</v>
      </c>
      <c r="B14" s="31"/>
      <c r="C14" s="31"/>
      <c r="D14" s="31"/>
      <c r="E14" s="31"/>
      <c r="F14" s="31"/>
      <c r="G14" s="31"/>
      <c r="H14" s="39" t="str">
        <f>B8&amp;".component.ts"</f>
        <v>scaninfo.component.ts</v>
      </c>
      <c r="I14" s="40" t="str">
        <f>B8&amp;".component.html"</f>
        <v>scaninfo.component.html</v>
      </c>
      <c r="J14" s="39" t="str">
        <f>B8&amp;".component.less"</f>
        <v>scaninfo.component.less</v>
      </c>
      <c r="K14" s="40" t="str">
        <f>"create-or-edit-"&amp;B8&amp;"-modal.component.html"</f>
        <v>create-or-edit-scaninfo-modal.component.html</v>
      </c>
      <c r="L14" s="40" t="str">
        <f>"create-or-edit-"&amp;B8&amp;"-modal.component.ts"</f>
        <v>create-or-edit-scaninfo-modal.component.ts</v>
      </c>
      <c r="M14" s="40" t="str">
        <f>"create-or-edit-"&amp;B8&amp;"-modal.component.less"</f>
        <v>create-or-edit-scaninfo-modal.component.less</v>
      </c>
      <c r="N14" s="40" t="str">
        <f>B8&amp;".module.ts"</f>
        <v>scaninfo.module.ts</v>
      </c>
      <c r="O14" s="40" t="str">
        <f>B8&amp;"-routing.module.ts"</f>
        <v>scaninfo-routing.module.ts</v>
      </c>
      <c r="P14" s="40" t="s">
        <v>223</v>
      </c>
      <c r="Q14" s="40" t="s">
        <v>226</v>
      </c>
      <c r="R14" s="41" t="s">
        <v>233</v>
      </c>
      <c r="S14" s="40" t="s">
        <v>259</v>
      </c>
      <c r="T14" s="40" t="s">
        <v>266</v>
      </c>
      <c r="U14" s="40" t="s">
        <v>269</v>
      </c>
      <c r="V14" s="40" t="s">
        <v>280</v>
      </c>
    </row>
    <row r="15" spans="1:22" ht="18" customHeight="1" x14ac:dyDescent="0.25">
      <c r="A15" s="44" t="str">
        <f>A.Backend!A9</f>
        <v>Scan_Type</v>
      </c>
      <c r="B15" s="31" t="str">
        <f>SUBSTITUTE(PROPER(A15),"_","")</f>
        <v>ScanType</v>
      </c>
      <c r="C15" s="31" t="str">
        <f>SUBSTITUTE(PROPER(A15),"_"," ")</f>
        <v>Scan Type</v>
      </c>
      <c r="D15" s="31" t="str">
        <f>LOWER(LEFT(B15,1))&amp;RIGHT(B15,LEN(B15) - 1)</f>
        <v>scanType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REPT(CHAR(9),3)&amp;"{headerName: this.l('"&amp;C15&amp;"'),headerTooltip: this.l('"&amp;C15&amp;"'),field: '"&amp;D15&amp;"',flex: 1},")</f>
        <v xml:space="preserve">			{headerName: this.l('Scan Type'),headerTooltip: this.l('Scan Type'),field: 'scanType',flex: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[(ngModel)]='scanType' name='scanType'
									class='form-control' [placeholder]="l('Scan Type')"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"&amp;REPT(CHAR(9),6)&amp;"&lt;input class='col-md-10 form-control checkboxActive' type='checkbox' name='"&amp;D15&amp;"'
"&amp;REPT(CHAR(9),6)&amp;"[checked]='_"&amp;D15&amp;"' (change)='changeActive($event)'&gt;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title'&gt;Scan Type&lt;/label&gt;
						&lt;input type='text' class='col-md-10 form-control input-text' name='ScanType' [(ngModel)]='rowdata.scanType'&gt;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scanType : string = '' ; </v>
      </c>
      <c r="T15" s="31" t="str">
        <f>REPT(CHAR(9),3)&amp;"this."&amp;D15&amp;","</f>
        <v xml:space="preserve">			this.scanType,</v>
      </c>
      <c r="U15" s="31" t="str">
        <f>IF(E15="int","this."&amp;D15&amp;" = 0,","this."&amp;D15&amp;" = '',")</f>
        <v>this.scanType = '',</v>
      </c>
      <c r="V15" s="31" t="str">
        <f>IF(AND(E15="string",F15="1"),D15,"")</f>
        <v/>
      </c>
    </row>
    <row r="16" spans="1:22" ht="15" customHeight="1" x14ac:dyDescent="0.25">
      <c r="A16" s="44" t="str">
        <f>A.Backend!A10</f>
        <v>Scan_Value</v>
      </c>
      <c r="B16" s="31" t="str">
        <f t="shared" ref="B16:B17" si="0">SUBSTITUTE(PROPER(A16),"_","")</f>
        <v>ScanValue</v>
      </c>
      <c r="C16" s="31" t="str">
        <f t="shared" ref="C16:C17" si="1">SUBSTITUTE(PROPER(A16),"_"," ")</f>
        <v>Scan Value</v>
      </c>
      <c r="D16" s="31" t="str">
        <f t="shared" ref="D16:D17" si="2">LOWER(LEFT(B16,1))&amp;RIGHT(B16,LEN(B16) - 1)</f>
        <v>scanValue</v>
      </c>
      <c r="E16" s="31" t="str">
        <f>A.Backend!H10</f>
        <v>string</v>
      </c>
      <c r="F16" s="31" t="str">
        <f>A.Backend!G10</f>
        <v>50</v>
      </c>
      <c r="G16" s="31" t="str">
        <f t="shared" ref="G16:G20" si="3">IF(E16="string"," : string = '' ; ",IF(OR(E16="DateTime",E16="TimeSpan")," : any ;",IF(E16="int"," : number = 0 ;","")))</f>
        <v xml:space="preserve"> : string = '' ; </v>
      </c>
      <c r="H16" s="38" t="str">
        <f>IF(E16="DateTime",
REPT(CHAR(9),3)&amp;"{headerName: this.l('"&amp;C16&amp;"'),headerTooltip: this.l('"&amp;C16&amp;"'),field: '"&amp;D16&amp;"',valueGetter: (params) =&gt; this.pipe.transform(params.data?."&amp;D16&amp;", 'dd/MM/yyyy'),flex: 1},",
REPT(CHAR(9),3)&amp;"{headerName: this.l('"&amp;C16&amp;"'),headerTooltip: this.l('"&amp;C16&amp;"'),field: '"&amp;D16&amp;"',flex: 1},")</f>
        <v xml:space="preserve">			{headerName: this.l('Scan Value'),headerTooltip: this.l('Scan Value'),field: 'scanValue',flex: 1},</v>
      </c>
      <c r="I16" s="38" t="str">
        <f t="shared" ref="I16:I20" si="4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[(ngModel)]='scanValue' name='scanValue'
									class='form-control' [placeholder]="l('Scan Value')"
									type='text' (keyup.enter)='searchDatas()'&gt;
								&lt;/div&gt;</v>
      </c>
      <c r="J16" s="31"/>
      <c r="K16" s="38" t="str">
        <f t="shared" ref="K16:K20" si="5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"&amp;REPT(CHAR(9),6)&amp;"&lt;input class='col-md-10 form-control checkboxActive' type='checkbox' name='"&amp;D16&amp;"'
"&amp;REPT(CHAR(9),6)&amp;"[checked]='_"&amp;D16&amp;"' (change)='changeActive($event)'&gt;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title'&gt;Scan Value&lt;/label&gt;
						&lt;input type='text' class='col-md-10 form-control input-text' name='ScanValue' [(ngModel)]='rowdata.scanValue'&gt;
					&lt;/div&gt;</v>
      </c>
      <c r="L16" s="60" t="str">
        <f t="shared" ref="L16:L20" si="6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scanValue : string = '' ; </v>
      </c>
      <c r="T16" s="31" t="str">
        <f>REPT(CHAR(9),3)&amp;"this."&amp;D16&amp;","</f>
        <v xml:space="preserve">			this.scanValue,</v>
      </c>
      <c r="U16" s="31" t="str">
        <f>IF(E16="int",REPT(CHAR(9),2)&amp;"this."&amp;D16&amp;" = 0,",REPT(CHAR(9),2)&amp;"this."&amp;D16&amp;" = '',")</f>
        <v xml:space="preserve">		this.scanValue = '',</v>
      </c>
      <c r="V16" s="31" t="str">
        <f t="shared" ref="V16:V20" si="7">IF(AND(E16="string",F16="1"),D16,"")</f>
        <v/>
      </c>
    </row>
    <row r="17" spans="1:22" ht="18" customHeight="1" x14ac:dyDescent="0.25">
      <c r="A17" s="44" t="str">
        <f>A.Backend!A11</f>
        <v>Scan_Location</v>
      </c>
      <c r="B17" s="31" t="str">
        <f t="shared" si="0"/>
        <v>ScanLocation</v>
      </c>
      <c r="C17" s="31" t="str">
        <f t="shared" si="1"/>
        <v>Scan Location</v>
      </c>
      <c r="D17" s="31" t="str">
        <f t="shared" si="2"/>
        <v>scanLocation</v>
      </c>
      <c r="E17" s="31" t="str">
        <f>A.Backend!H11</f>
        <v>string</v>
      </c>
      <c r="F17" s="31" t="str">
        <f>A.Backend!G11</f>
        <v>50</v>
      </c>
      <c r="G17" s="31" t="str">
        <f t="shared" si="3"/>
        <v xml:space="preserve"> : string = '' ; </v>
      </c>
      <c r="H17" s="38" t="str">
        <f t="shared" ref="H17:H19" si="8">IF(E17="DateTime",
REPT(CHAR(9),3)&amp;"{headerName: this.l('"&amp;C17&amp;"'),headerTooltip: this.l('"&amp;C17&amp;"'),field: '"&amp;D17&amp;"',valueGetter: (params) =&gt; this.pipe.transform(params.data?."&amp;D17&amp;", 'dd/MM/yyyy'),flex: 1},",
REPT(CHAR(9),3)&amp;"{headerName: this.l('"&amp;C17&amp;"'),headerTooltip: this.l('"&amp;C17&amp;"'),field: '"&amp;D17&amp;"',flex: 1},")</f>
        <v xml:space="preserve">			{headerName: this.l('Scan Location'),headerTooltip: this.l('Scan Location'),field: 'scanLocation',flex: 1},</v>
      </c>
      <c r="I17" s="38" t="str">
        <f t="shared" si="4"/>
        <v xml:space="preserve">								&lt;div class='input-search'&gt;
									&lt;input [(ngModel)]='scanLocation' name='scanLocation'
									class='form-control' [placeholder]="l('Scan Location')"
									type='text' (keyup.enter)='searchDatas()'&gt;
								&lt;/div&gt;</v>
      </c>
      <c r="J17" s="31"/>
      <c r="K17" s="38" t="str">
        <f t="shared" si="5"/>
        <v xml:space="preserve">					&lt;div class='col-md-12 form-group row'&gt;
						&lt;label class='col-md-2 form-control title'&gt;Scan Location&lt;/label&gt;
						&lt;input type='text' class='col-md-10 form-control input-text' name='ScanLocation' [(ngModel)]='rowdata.scanLocation'&gt;
					&lt;/div&gt;</v>
      </c>
      <c r="L17" s="60" t="str">
        <f t="shared" si="6"/>
        <v/>
      </c>
      <c r="M17" s="31"/>
      <c r="N17" s="31"/>
      <c r="O17" s="31"/>
      <c r="P17" s="31"/>
      <c r="Q17" s="31"/>
      <c r="R17" s="31"/>
      <c r="S17" s="31" t="str">
        <f t="shared" ref="S17:S20" si="9">REPT(CHAR(9),1)&amp;D17&amp;G17</f>
        <v xml:space="preserve">	scanLocation : string = '' ; </v>
      </c>
      <c r="T17" s="31" t="str">
        <f t="shared" ref="T17:T20" si="10">REPT(CHAR(9),3)&amp;"this."&amp;D17&amp;","</f>
        <v xml:space="preserve">			this.scanLocation,</v>
      </c>
      <c r="U17" s="31" t="str">
        <f t="shared" ref="U17:U20" si="11">IF(E17="int",REPT(CHAR(9),2)&amp;"this."&amp;D17&amp;" = 0,",REPT(CHAR(9),2)&amp;"this."&amp;D17&amp;" = '',")</f>
        <v xml:space="preserve">		this.scanLocation = '',</v>
      </c>
      <c r="V17" s="31" t="str">
        <f t="shared" si="7"/>
        <v/>
      </c>
    </row>
    <row r="18" spans="1:22" ht="18" customHeight="1" x14ac:dyDescent="0.25">
      <c r="A18" s="44" t="str">
        <f>A.Backend!A12</f>
        <v>Scan_Time</v>
      </c>
      <c r="B18" s="31" t="str">
        <f>SUBSTITUTE(PROPER(A18),"_","")</f>
        <v>ScanTime</v>
      </c>
      <c r="C18" s="31" t="str">
        <f>SUBSTITUTE(PROPER(A18),"_"," ")</f>
        <v>Scan Time</v>
      </c>
      <c r="D18" s="31" t="str">
        <f>LOWER(LEFT(B18,1))&amp;RIGHT(B18,LEN(B18) - 1)</f>
        <v>scanTime</v>
      </c>
      <c r="E18" s="31" t="str">
        <f>A.Backend!H12</f>
        <v>DateTime</v>
      </c>
      <c r="F18" s="31" t="str">
        <f>A.Backend!G12</f>
        <v>7</v>
      </c>
      <c r="G18" s="31" t="str">
        <f t="shared" si="3"/>
        <v xml:space="preserve"> : any ;</v>
      </c>
      <c r="H18" s="38" t="str">
        <f t="shared" si="8"/>
        <v xml:space="preserve">			{headerName: this.l('Scan Time'),headerTooltip: this.l('Scan Time'),field: 'scanTime',valueGetter: (params) =&gt; this.pipe.transform(params.data?.scanTime, 'dd/MM/yyyy'),flex: 1},</v>
      </c>
      <c r="I18" s="38" t="str">
        <f t="shared" si="4"/>
        <v xml:space="preserve">								&lt;div class='input-search'&gt;
									&lt;input type='text' [placeholder]="l('Scan Time')" [(ngModel)]='scanTime' 
									name='scanTime' (keydown)='searchDatas()' class='form-control' 
									bsDatepicker #d='bsDatepicker' placement='bottom left'&gt;
									&lt;i class='fa fa-calendar-alt' (click)='d.toggle()'&gt;&lt;/i&gt;
								&lt;/div&gt;</v>
      </c>
      <c r="J18" s="31"/>
      <c r="K18" s="38" t="str">
        <f t="shared" si="5"/>
        <v xml:space="preserve">					&lt;div class='col-md-12 form-group row'&gt;
						&lt;label class='col-md-2 form-control title'&gt;Scan Time&lt;/label&gt;
						&lt;input type='text' class='col-md-10 form-control input-text' name='scanTime' 
						#datepicker='bsDatepicker' [(ngModel)]='rowdata.scanTime'  bsDatepicker &gt;
					&lt;/div&gt;</v>
      </c>
      <c r="L18" s="60" t="str">
        <f t="shared" si="6"/>
        <v xml:space="preserve">		const dateValue =  this.rowdata.scanTime ? new Date(this.rowdata.scanTime?.toString()) : new Date();
		this.datepicker?.bsValueChange.emit(dateValue);</v>
      </c>
      <c r="M18" s="31"/>
      <c r="N18" s="31"/>
      <c r="O18" s="31"/>
      <c r="P18" s="31"/>
      <c r="Q18" s="31"/>
      <c r="R18" s="31"/>
      <c r="S18" s="31" t="str">
        <f t="shared" si="9"/>
        <v xml:space="preserve">	scanTime : any ;</v>
      </c>
      <c r="T18" s="31" t="str">
        <f t="shared" si="10"/>
        <v xml:space="preserve">			this.scanTime,</v>
      </c>
      <c r="U18" s="31" t="str">
        <f t="shared" si="11"/>
        <v xml:space="preserve">		this.scanTime = '',</v>
      </c>
      <c r="V18" s="31" t="str">
        <f t="shared" si="7"/>
        <v/>
      </c>
    </row>
    <row r="19" spans="1:22" ht="15" customHeight="1" x14ac:dyDescent="0.25">
      <c r="A19" s="44" t="str">
        <f>A.Backend!A13</f>
        <v>Scan_By</v>
      </c>
      <c r="B19" s="31" t="str">
        <f t="shared" ref="B19:B20" si="12">SUBSTITUTE(PROPER(A19),"_","")</f>
        <v>ScanBy</v>
      </c>
      <c r="C19" s="31" t="str">
        <f t="shared" ref="C19:C20" si="13">SUBSTITUTE(PROPER(A19),"_"," ")</f>
        <v>Scan By</v>
      </c>
      <c r="D19" s="31" t="str">
        <f t="shared" ref="D19:D20" si="14">LOWER(LEFT(B19,1))&amp;RIGHT(B19,LEN(B19) - 1)</f>
        <v>scanBy</v>
      </c>
      <c r="E19" s="31" t="str">
        <f>A.Backend!H13</f>
        <v>string</v>
      </c>
      <c r="F19" s="31" t="str">
        <f>A.Backend!G13</f>
        <v>50</v>
      </c>
      <c r="G19" s="31" t="str">
        <f t="shared" si="3"/>
        <v xml:space="preserve"> : string = '' ; </v>
      </c>
      <c r="H19" s="38" t="str">
        <f t="shared" si="8"/>
        <v xml:space="preserve">			{headerName: this.l('Scan By'),headerTooltip: this.l('Scan By'),field: 'scanBy',flex: 1},</v>
      </c>
      <c r="I19" s="38" t="str">
        <f t="shared" si="4"/>
        <v xml:space="preserve">								&lt;div class='input-search'&gt;
									&lt;input [(ngModel)]='scanBy' name='scanBy'
									class='form-control' [placeholder]="l('Scan By')"
									type='text' (keyup.enter)='searchDatas()'&gt;
								&lt;/div&gt;</v>
      </c>
      <c r="J19" s="31"/>
      <c r="K19" s="38" t="str">
        <f t="shared" si="5"/>
        <v xml:space="preserve">					&lt;div class='col-md-12 form-group row'&gt;
						&lt;label class='col-md-2 form-control title'&gt;Scan By&lt;/label&gt;
						&lt;input type='text' class='col-md-10 form-control input-text' name='ScanBy' [(ngModel)]='rowdata.scanBy'&gt;
					&lt;/div&gt;</v>
      </c>
      <c r="L19" s="60" t="str">
        <f t="shared" si="6"/>
        <v/>
      </c>
      <c r="M19" s="31"/>
      <c r="N19" s="31"/>
      <c r="O19" s="31"/>
      <c r="P19" s="31"/>
      <c r="Q19" s="31"/>
      <c r="R19" s="31"/>
      <c r="S19" s="31" t="str">
        <f t="shared" si="9"/>
        <v xml:space="preserve">	scanBy : string = '' ; </v>
      </c>
      <c r="T19" s="31" t="str">
        <f t="shared" si="10"/>
        <v xml:space="preserve">			this.scanBy,</v>
      </c>
      <c r="U19" s="31" t="str">
        <f t="shared" si="11"/>
        <v xml:space="preserve">		this.scanBy = '',</v>
      </c>
      <c r="V19" s="31" t="str">
        <f t="shared" si="7"/>
        <v/>
      </c>
    </row>
    <row r="20" spans="1:22" ht="18" customHeight="1" x14ac:dyDescent="0.25">
      <c r="A20" s="44" t="str">
        <f>A.Backend!A14</f>
        <v>Is_Processed</v>
      </c>
      <c r="B20" s="31" t="str">
        <f t="shared" si="12"/>
        <v>IsProcessed</v>
      </c>
      <c r="C20" s="31" t="str">
        <f t="shared" si="13"/>
        <v>Is Processed</v>
      </c>
      <c r="D20" s="31" t="str">
        <f t="shared" si="14"/>
        <v>isProcessed</v>
      </c>
      <c r="E20" s="31" t="str">
        <f>A.Backend!H14</f>
        <v>string</v>
      </c>
      <c r="F20" s="31" t="str">
        <f>A.Backend!G14</f>
        <v>1</v>
      </c>
      <c r="G20" s="31" t="str">
        <f t="shared" si="3"/>
        <v xml:space="preserve"> : string = '' ; </v>
      </c>
      <c r="H20" s="38" t="str">
        <f>IF(E20="DateTime",
REPT(CHAR(9),3)&amp;"{headerName: this.l('"&amp;C20&amp;"'),headerTooltip: this.l('"&amp;C20&amp;"'),field: '"&amp;D20&amp;"',valueGetter: (params) =&gt; this.pipe.transform(params.data?."&amp;D20&amp;", 'dd/MM/yyyy'),flex: 1},",
REPT(CHAR(9),3)&amp;"{headerName: this.l('"&amp;C20&amp;"'),headerTooltip: this.l('"&amp;C20&amp;"'),field: '"&amp;D20&amp;"',flex: 1},")</f>
        <v xml:space="preserve">			{headerName: this.l('Is Processed'),headerTooltip: this.l('Is Processed'),field: 'isProcessed',flex: 1},</v>
      </c>
      <c r="I20" s="38" t="str">
        <f t="shared" si="4"/>
        <v xml:space="preserve">								&lt;div class='input-search'&gt;
									&lt;input [(ngModel)]='isProcessed' name='isProcessed'
									class='form-control' [placeholder]="l('Is Processed')"
									type='text' (keyup.enter)='searchDatas()'&gt;
								&lt;/div&gt;</v>
      </c>
      <c r="J20" s="31"/>
      <c r="K20" s="38" t="str">
        <f t="shared" si="5"/>
        <v xml:space="preserve">					&lt;div class='col-md-12 form-group row'&gt;
						&lt;label class='col-md-2 form-control title'&gt;Is Processed&lt;/label&gt;
						&lt;input class='col-md-10 form-control checkboxActive' type='checkbox' name='isProcessed'
						[checked]='_isProcessed' (change)='changeActive($event)'&gt;
					&lt;/div&gt;</v>
      </c>
      <c r="L20" s="60" t="str">
        <f t="shared" si="6"/>
        <v/>
      </c>
      <c r="M20" s="31"/>
      <c r="N20" s="31"/>
      <c r="O20" s="31"/>
      <c r="P20" s="31"/>
      <c r="Q20" s="31"/>
      <c r="R20" s="31"/>
      <c r="S20" s="31" t="str">
        <f t="shared" si="9"/>
        <v xml:space="preserve">	isProcessed : string = '' ; </v>
      </c>
      <c r="T20" s="31" t="str">
        <f t="shared" si="10"/>
        <v xml:space="preserve">			this.isProcessed,</v>
      </c>
      <c r="U20" s="31" t="str">
        <f t="shared" si="11"/>
        <v xml:space="preserve">		this.isProcessed = '',</v>
      </c>
      <c r="V20" s="31" t="str">
        <f t="shared" si="7"/>
        <v>isProcessed</v>
      </c>
    </row>
    <row r="23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C7FFF-6895-445D-979E-B76DA91CBC93}">
  <dimension ref="A1:C6"/>
  <sheetViews>
    <sheetView workbookViewId="0">
      <selection sqref="A1:C6"/>
    </sheetView>
  </sheetViews>
  <sheetFormatPr defaultRowHeight="15" x14ac:dyDescent="0.25"/>
  <sheetData>
    <row r="1" spans="1:3" x14ac:dyDescent="0.25">
      <c r="A1" t="s">
        <v>285</v>
      </c>
      <c r="B1" t="s">
        <v>249</v>
      </c>
      <c r="C1" t="s">
        <v>80</v>
      </c>
    </row>
    <row r="2" spans="1:3" x14ac:dyDescent="0.25">
      <c r="A2" t="s">
        <v>286</v>
      </c>
      <c r="B2" t="s">
        <v>249</v>
      </c>
      <c r="C2" t="s">
        <v>1</v>
      </c>
    </row>
    <row r="3" spans="1:3" x14ac:dyDescent="0.25">
      <c r="A3" t="s">
        <v>287</v>
      </c>
      <c r="B3" t="s">
        <v>249</v>
      </c>
      <c r="C3" t="s">
        <v>1</v>
      </c>
    </row>
    <row r="4" spans="1:3" x14ac:dyDescent="0.25">
      <c r="A4" t="s">
        <v>288</v>
      </c>
      <c r="B4" t="s">
        <v>250</v>
      </c>
      <c r="C4" t="s">
        <v>80</v>
      </c>
    </row>
    <row r="5" spans="1:3" x14ac:dyDescent="0.25">
      <c r="A5" t="s">
        <v>289</v>
      </c>
      <c r="B5" t="s">
        <v>249</v>
      </c>
      <c r="C5" t="s">
        <v>1</v>
      </c>
    </row>
    <row r="6" spans="1:3" x14ac:dyDescent="0.25">
      <c r="A6" t="s">
        <v>290</v>
      </c>
      <c r="B6" t="s">
        <v>251</v>
      </c>
      <c r="C6" t="s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283</v>
      </c>
      <c r="B20" t="s">
        <v>284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194</v>
      </c>
      <c r="B2" s="25" t="s">
        <v>191</v>
      </c>
    </row>
    <row r="3" spans="1:2" x14ac:dyDescent="0.25">
      <c r="B3" s="22" t="s">
        <v>116</v>
      </c>
    </row>
    <row r="4" spans="1:2" x14ac:dyDescent="0.25">
      <c r="B4" s="22" t="s">
        <v>117</v>
      </c>
    </row>
    <row r="5" spans="1:2" x14ac:dyDescent="0.25">
      <c r="B5" s="22" t="s">
        <v>118</v>
      </c>
    </row>
    <row r="6" spans="1:2" x14ac:dyDescent="0.25">
      <c r="B6" s="22" t="s">
        <v>119</v>
      </c>
    </row>
    <row r="7" spans="1:2" x14ac:dyDescent="0.25">
      <c r="B7" s="22" t="s">
        <v>120</v>
      </c>
    </row>
    <row r="8" spans="1:2" x14ac:dyDescent="0.25">
      <c r="B8" s="22" t="s">
        <v>121</v>
      </c>
    </row>
    <row r="9" spans="1:2" x14ac:dyDescent="0.25">
      <c r="B9" s="22" t="s">
        <v>122</v>
      </c>
    </row>
    <row r="10" spans="1:2" x14ac:dyDescent="0.25">
      <c r="B10" s="22" t="s">
        <v>123</v>
      </c>
    </row>
    <row r="11" spans="1:2" x14ac:dyDescent="0.25">
      <c r="B11" s="22" t="s">
        <v>124</v>
      </c>
    </row>
    <row r="12" spans="1:2" x14ac:dyDescent="0.25">
      <c r="B12" s="22" t="s">
        <v>125</v>
      </c>
    </row>
    <row r="13" spans="1:2" x14ac:dyDescent="0.25">
      <c r="B13" s="22" t="s">
        <v>126</v>
      </c>
    </row>
    <row r="14" spans="1:2" x14ac:dyDescent="0.25">
      <c r="B14" s="22" t="s">
        <v>127</v>
      </c>
    </row>
    <row r="15" spans="1:2" x14ac:dyDescent="0.25">
      <c r="B15" s="22" t="s">
        <v>128</v>
      </c>
    </row>
    <row r="16" spans="1:2" x14ac:dyDescent="0.25">
      <c r="B16" s="22" t="s">
        <v>129</v>
      </c>
    </row>
    <row r="17" spans="1:3" x14ac:dyDescent="0.25">
      <c r="B17" s="22" t="s">
        <v>130</v>
      </c>
    </row>
    <row r="18" spans="1:3" x14ac:dyDescent="0.25">
      <c r="B18" s="22" t="s">
        <v>131</v>
      </c>
      <c r="C18" t="s">
        <v>193</v>
      </c>
    </row>
    <row r="19" spans="1:3" x14ac:dyDescent="0.25">
      <c r="B19" s="22" t="s">
        <v>132</v>
      </c>
    </row>
    <row r="20" spans="1:3" x14ac:dyDescent="0.25">
      <c r="B20" s="22" t="s">
        <v>133</v>
      </c>
    </row>
    <row r="21" spans="1:3" x14ac:dyDescent="0.25">
      <c r="B21" s="22" t="s">
        <v>134</v>
      </c>
    </row>
    <row r="22" spans="1:3" x14ac:dyDescent="0.25">
      <c r="B22" s="22" t="s">
        <v>135</v>
      </c>
      <c r="C22" t="s">
        <v>198</v>
      </c>
    </row>
    <row r="23" spans="1:3" x14ac:dyDescent="0.25">
      <c r="B23" s="22" t="s">
        <v>136</v>
      </c>
    </row>
    <row r="24" spans="1:3" x14ac:dyDescent="0.25">
      <c r="B24" s="22" t="s">
        <v>137</v>
      </c>
    </row>
    <row r="25" spans="1:3" x14ac:dyDescent="0.25">
      <c r="B25" s="22" t="s">
        <v>138</v>
      </c>
    </row>
    <row r="26" spans="1:3" x14ac:dyDescent="0.25">
      <c r="A26" s="24" t="s">
        <v>195</v>
      </c>
      <c r="B26" s="25" t="s">
        <v>192</v>
      </c>
    </row>
    <row r="27" spans="1:3" x14ac:dyDescent="0.25">
      <c r="B27" s="22" t="s">
        <v>139</v>
      </c>
    </row>
    <row r="28" spans="1:3" x14ac:dyDescent="0.25">
      <c r="B28" s="23" t="s">
        <v>140</v>
      </c>
    </row>
    <row r="29" spans="1:3" x14ac:dyDescent="0.25">
      <c r="B29" s="22" t="s">
        <v>141</v>
      </c>
    </row>
    <row r="30" spans="1:3" x14ac:dyDescent="0.25">
      <c r="B30" s="22" t="s">
        <v>142</v>
      </c>
    </row>
    <row r="31" spans="1:3" x14ac:dyDescent="0.25">
      <c r="B31" s="22" t="s">
        <v>143</v>
      </c>
    </row>
    <row r="32" spans="1:3" x14ac:dyDescent="0.25">
      <c r="B32" s="22" t="s">
        <v>144</v>
      </c>
    </row>
    <row r="33" spans="2:2" x14ac:dyDescent="0.25">
      <c r="B33" s="22" t="s">
        <v>145</v>
      </c>
    </row>
    <row r="34" spans="2:2" x14ac:dyDescent="0.25">
      <c r="B34" s="22" t="s">
        <v>146</v>
      </c>
    </row>
    <row r="35" spans="2:2" x14ac:dyDescent="0.25">
      <c r="B35" s="22" t="s">
        <v>147</v>
      </c>
    </row>
    <row r="36" spans="2:2" x14ac:dyDescent="0.25">
      <c r="B36" s="22" t="s">
        <v>148</v>
      </c>
    </row>
    <row r="37" spans="2:2" x14ac:dyDescent="0.25">
      <c r="B37" s="22" t="s">
        <v>149</v>
      </c>
    </row>
    <row r="38" spans="2:2" x14ac:dyDescent="0.25">
      <c r="B38" s="22" t="s">
        <v>150</v>
      </c>
    </row>
    <row r="39" spans="2:2" x14ac:dyDescent="0.25">
      <c r="B39" s="22" t="s">
        <v>151</v>
      </c>
    </row>
    <row r="40" spans="2:2" x14ac:dyDescent="0.25">
      <c r="B40" s="22" t="s">
        <v>152</v>
      </c>
    </row>
    <row r="41" spans="2:2" x14ac:dyDescent="0.25">
      <c r="B41" s="22" t="s">
        <v>153</v>
      </c>
    </row>
    <row r="42" spans="2:2" x14ac:dyDescent="0.25">
      <c r="B42" s="22" t="s">
        <v>154</v>
      </c>
    </row>
    <row r="43" spans="2:2" x14ac:dyDescent="0.25">
      <c r="B43" s="23" t="s">
        <v>155</v>
      </c>
    </row>
    <row r="44" spans="2:2" x14ac:dyDescent="0.25">
      <c r="B44" s="22" t="s">
        <v>141</v>
      </c>
    </row>
    <row r="45" spans="2:2" x14ac:dyDescent="0.25">
      <c r="B45" s="22" t="s">
        <v>156</v>
      </c>
    </row>
    <row r="46" spans="2:2" x14ac:dyDescent="0.25">
      <c r="B46" s="22" t="s">
        <v>157</v>
      </c>
    </row>
    <row r="47" spans="2:2" x14ac:dyDescent="0.25">
      <c r="B47" s="22" t="s">
        <v>158</v>
      </c>
    </row>
    <row r="48" spans="2:2" x14ac:dyDescent="0.25">
      <c r="B48" s="22" t="s">
        <v>159</v>
      </c>
    </row>
    <row r="49" spans="2:2" x14ac:dyDescent="0.25">
      <c r="B49" s="22" t="s">
        <v>142</v>
      </c>
    </row>
    <row r="50" spans="2:2" x14ac:dyDescent="0.25">
      <c r="B50" s="22" t="s">
        <v>143</v>
      </c>
    </row>
    <row r="51" spans="2:2" x14ac:dyDescent="0.25">
      <c r="B51" s="22" t="s">
        <v>144</v>
      </c>
    </row>
    <row r="52" spans="2:2" x14ac:dyDescent="0.25">
      <c r="B52" s="22" t="s">
        <v>145</v>
      </c>
    </row>
    <row r="53" spans="2:2" x14ac:dyDescent="0.25">
      <c r="B53" s="22" t="s">
        <v>146</v>
      </c>
    </row>
    <row r="54" spans="2:2" x14ac:dyDescent="0.25">
      <c r="B54" s="22" t="s">
        <v>147</v>
      </c>
    </row>
    <row r="55" spans="2:2" x14ac:dyDescent="0.25">
      <c r="B55" s="22" t="s">
        <v>148</v>
      </c>
    </row>
    <row r="56" spans="2:2" x14ac:dyDescent="0.25">
      <c r="B56" s="22" t="s">
        <v>160</v>
      </c>
    </row>
    <row r="57" spans="2:2" x14ac:dyDescent="0.25">
      <c r="B57" s="22" t="s">
        <v>161</v>
      </c>
    </row>
    <row r="58" spans="2:2" x14ac:dyDescent="0.25">
      <c r="B58" s="22" t="s">
        <v>149</v>
      </c>
    </row>
    <row r="59" spans="2:2" x14ac:dyDescent="0.25">
      <c r="B59" s="22" t="s">
        <v>150</v>
      </c>
    </row>
    <row r="60" spans="2:2" x14ac:dyDescent="0.25">
      <c r="B60" s="22" t="s">
        <v>162</v>
      </c>
    </row>
    <row r="61" spans="2:2" x14ac:dyDescent="0.25">
      <c r="B61" s="22" t="s">
        <v>163</v>
      </c>
    </row>
    <row r="62" spans="2:2" x14ac:dyDescent="0.25">
      <c r="B62" s="22" t="s">
        <v>164</v>
      </c>
    </row>
    <row r="63" spans="2:2" x14ac:dyDescent="0.25">
      <c r="B63" s="22" t="s">
        <v>159</v>
      </c>
    </row>
    <row r="64" spans="2:2" x14ac:dyDescent="0.25">
      <c r="B64" s="22" t="s">
        <v>151</v>
      </c>
    </row>
    <row r="65" spans="2:2" x14ac:dyDescent="0.25">
      <c r="B65" s="22" t="s">
        <v>152</v>
      </c>
    </row>
    <row r="66" spans="2:2" x14ac:dyDescent="0.25">
      <c r="B66" s="22" t="s">
        <v>165</v>
      </c>
    </row>
    <row r="67" spans="2:2" x14ac:dyDescent="0.25">
      <c r="B67" s="22" t="s">
        <v>159</v>
      </c>
    </row>
    <row r="68" spans="2:2" x14ac:dyDescent="0.25">
      <c r="B68" s="22" t="s">
        <v>153</v>
      </c>
    </row>
    <row r="69" spans="2:2" x14ac:dyDescent="0.25">
      <c r="B69" s="22" t="s">
        <v>166</v>
      </c>
    </row>
    <row r="70" spans="2:2" x14ac:dyDescent="0.25">
      <c r="B70" s="23" t="s">
        <v>167</v>
      </c>
    </row>
    <row r="71" spans="2:2" x14ac:dyDescent="0.25">
      <c r="B71" s="22" t="s">
        <v>141</v>
      </c>
    </row>
    <row r="72" spans="2:2" x14ac:dyDescent="0.25">
      <c r="B72" s="22" t="s">
        <v>142</v>
      </c>
    </row>
    <row r="73" spans="2:2" x14ac:dyDescent="0.25">
      <c r="B73" s="22" t="s">
        <v>143</v>
      </c>
    </row>
    <row r="74" spans="2:2" x14ac:dyDescent="0.25">
      <c r="B74" s="22" t="s">
        <v>144</v>
      </c>
    </row>
    <row r="75" spans="2:2" x14ac:dyDescent="0.25">
      <c r="B75" s="22" t="s">
        <v>148</v>
      </c>
    </row>
    <row r="76" spans="2:2" x14ac:dyDescent="0.25">
      <c r="B76" s="22" t="s">
        <v>150</v>
      </c>
    </row>
    <row r="77" spans="2:2" x14ac:dyDescent="0.25">
      <c r="B77" s="22" t="s">
        <v>151</v>
      </c>
    </row>
    <row r="78" spans="2:2" x14ac:dyDescent="0.25">
      <c r="B78" s="22" t="s">
        <v>152</v>
      </c>
    </row>
    <row r="79" spans="2:2" x14ac:dyDescent="0.25">
      <c r="B79" s="22" t="s">
        <v>153</v>
      </c>
    </row>
    <row r="80" spans="2:2" x14ac:dyDescent="0.25">
      <c r="B80" s="22" t="s">
        <v>166</v>
      </c>
    </row>
    <row r="81" spans="1:2" x14ac:dyDescent="0.25">
      <c r="B81" s="23" t="s">
        <v>168</v>
      </c>
    </row>
    <row r="82" spans="1:2" x14ac:dyDescent="0.25">
      <c r="B82" s="23" t="s">
        <v>169</v>
      </c>
    </row>
    <row r="83" spans="1:2" x14ac:dyDescent="0.25">
      <c r="B83" s="23" t="s">
        <v>170</v>
      </c>
    </row>
    <row r="84" spans="1:2" x14ac:dyDescent="0.25">
      <c r="B84" s="23" t="s">
        <v>171</v>
      </c>
    </row>
    <row r="85" spans="1:2" x14ac:dyDescent="0.25">
      <c r="B85" s="23" t="s">
        <v>172</v>
      </c>
    </row>
    <row r="86" spans="1:2" x14ac:dyDescent="0.25">
      <c r="B86" s="23" t="s">
        <v>173</v>
      </c>
    </row>
    <row r="87" spans="1:2" x14ac:dyDescent="0.25">
      <c r="B87" s="23" t="s">
        <v>174</v>
      </c>
    </row>
    <row r="88" spans="1:2" x14ac:dyDescent="0.25">
      <c r="A88" s="24" t="s">
        <v>196</v>
      </c>
      <c r="B88" s="26" t="s">
        <v>175</v>
      </c>
    </row>
    <row r="89" spans="1:2" x14ac:dyDescent="0.25">
      <c r="B89" s="22" t="s">
        <v>176</v>
      </c>
    </row>
    <row r="90" spans="1:2" x14ac:dyDescent="0.25">
      <c r="B90" s="22" t="s">
        <v>177</v>
      </c>
    </row>
    <row r="91" spans="1:2" x14ac:dyDescent="0.25">
      <c r="B91" s="22" t="s">
        <v>178</v>
      </c>
    </row>
    <row r="92" spans="1:2" x14ac:dyDescent="0.25">
      <c r="B92" s="22" t="s">
        <v>179</v>
      </c>
    </row>
    <row r="93" spans="1:2" x14ac:dyDescent="0.25">
      <c r="B93" s="22" t="s">
        <v>180</v>
      </c>
    </row>
    <row r="94" spans="1:2" x14ac:dyDescent="0.25">
      <c r="B94" s="22" t="s">
        <v>181</v>
      </c>
    </row>
    <row r="95" spans="1:2" x14ac:dyDescent="0.25">
      <c r="B95" s="22" t="s">
        <v>182</v>
      </c>
    </row>
    <row r="96" spans="1:2" x14ac:dyDescent="0.25">
      <c r="B96" s="22" t="s">
        <v>183</v>
      </c>
    </row>
    <row r="97" spans="2:2" x14ac:dyDescent="0.25">
      <c r="B97" s="22" t="s">
        <v>184</v>
      </c>
    </row>
    <row r="98" spans="2:2" x14ac:dyDescent="0.25">
      <c r="B98" s="22" t="s">
        <v>185</v>
      </c>
    </row>
    <row r="99" spans="2:2" x14ac:dyDescent="0.25">
      <c r="B99" s="22" t="s">
        <v>186</v>
      </c>
    </row>
    <row r="100" spans="2:2" x14ac:dyDescent="0.25">
      <c r="B100" s="22" t="s">
        <v>187</v>
      </c>
    </row>
    <row r="101" spans="2:2" x14ac:dyDescent="0.25">
      <c r="B101" s="22" t="s">
        <v>188</v>
      </c>
    </row>
    <row r="102" spans="2:2" x14ac:dyDescent="0.25">
      <c r="B102" s="22" t="s">
        <v>189</v>
      </c>
    </row>
    <row r="103" spans="2:2" x14ac:dyDescent="0.25">
      <c r="B103" s="22" t="s">
        <v>190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Dev Guide</vt:lpstr>
      <vt:lpstr>A.Backend</vt:lpstr>
      <vt:lpstr>B.Frontend</vt:lpstr>
      <vt:lpstr>Sheet1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2022-06-02T03:04:50Z</dcterms:modified>
</cp:coreProperties>
</file>
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86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ProductTmv\prod\docs\design\painting\Andon\"/>
    </mc:Choice>
  </mc:AlternateContent>
  <xr:revisionPtr revIDLastSave="0" documentId="13_ncr:1_{9A20A13B-9A6A-4DC3-8599-2D0D24584F47}" xr6:coauthVersionLast="36" xr6:coauthVersionMax="36" xr10:uidLastSave="{00000000-0000-0000-0000-000000000000}"/>
  <bookViews>
    <workbookView xWindow="0" yWindow="0" windowWidth="28800" windowHeight="11805" activeTab="2" xr2:uid="{00000000-000D-0000-FFFF-FFFF00000000}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9"/>
  <definedNames>
    <definedName name="_xlnm._FilterDatabase" localSheetId="2" hidden="1">B.Frontend!$A$1:$A$34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6" i="5" l="1"/>
  <c r="L17" i="5"/>
  <c r="L18" i="5"/>
  <c r="L19" i="5"/>
  <c r="L20" i="5"/>
  <c r="L21" i="5"/>
  <c r="L22" i="5"/>
  <c r="L23" i="5"/>
  <c r="L24" i="5"/>
  <c r="L25" i="5"/>
  <c r="L26" i="5"/>
  <c r="L27" i="5"/>
  <c r="L28" i="5"/>
  <c r="L29" i="5"/>
  <c r="L30" i="5"/>
  <c r="L31" i="5"/>
  <c r="L15" i="5"/>
  <c r="K16" i="5"/>
  <c r="K17" i="5"/>
  <c r="K18" i="5"/>
  <c r="K19" i="5"/>
  <c r="K20" i="5"/>
  <c r="K21" i="5"/>
  <c r="K22" i="5"/>
  <c r="K23" i="5"/>
  <c r="K24" i="5"/>
  <c r="K25" i="5"/>
  <c r="K26" i="5"/>
  <c r="K27" i="5"/>
  <c r="K28" i="5"/>
  <c r="K29" i="5"/>
  <c r="K30" i="5"/>
  <c r="K31" i="5"/>
  <c r="K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15" i="5"/>
  <c r="G17" i="5" l="1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16" i="5"/>
  <c r="B16" i="5"/>
  <c r="B17" i="5"/>
  <c r="B18" i="5"/>
  <c r="B19" i="5"/>
  <c r="B20" i="5"/>
  <c r="B21" i="5"/>
  <c r="B22" i="5"/>
  <c r="B23" i="5"/>
  <c r="D23" i="5" s="1"/>
  <c r="B24" i="5"/>
  <c r="B25" i="5"/>
  <c r="D25" i="5" s="1"/>
  <c r="B26" i="5"/>
  <c r="B27" i="5"/>
  <c r="B28" i="5"/>
  <c r="B29" i="5"/>
  <c r="B30" i="5"/>
  <c r="B31" i="5"/>
  <c r="D31" i="5" s="1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D16" i="5"/>
  <c r="D17" i="5"/>
  <c r="D18" i="5"/>
  <c r="D19" i="5"/>
  <c r="D20" i="5"/>
  <c r="D21" i="5"/>
  <c r="D22" i="5"/>
  <c r="D24" i="5"/>
  <c r="D26" i="5"/>
  <c r="D27" i="5"/>
  <c r="D28" i="5"/>
  <c r="D29" i="5"/>
  <c r="D30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T16" i="5" l="1"/>
  <c r="C15" i="5"/>
  <c r="B15" i="5"/>
  <c r="D15" i="5" s="1"/>
  <c r="G10" i="1"/>
  <c r="E10" i="1"/>
  <c r="H10" i="1" s="1"/>
  <c r="V16" i="5" s="1"/>
  <c r="D10" i="1"/>
  <c r="V10" i="1" s="1"/>
  <c r="G9" i="1"/>
  <c r="F15" i="5" s="1"/>
  <c r="E9" i="1"/>
  <c r="H9" i="1" s="1"/>
  <c r="D9" i="1"/>
  <c r="T9" i="1" s="1"/>
  <c r="M9" i="1" l="1"/>
  <c r="E15" i="5"/>
  <c r="T15" i="5"/>
  <c r="U15" i="5"/>
  <c r="G15" i="5"/>
  <c r="S15" i="5" s="1"/>
  <c r="V15" i="5"/>
  <c r="U16" i="5"/>
  <c r="S16" i="5"/>
  <c r="W10" i="1"/>
  <c r="O10" i="1"/>
  <c r="J10" i="1"/>
  <c r="N10" i="1"/>
  <c r="I10" i="1"/>
  <c r="M10" i="1"/>
  <c r="P10" i="1"/>
  <c r="J9" i="1"/>
  <c r="O9" i="1"/>
  <c r="W9" i="1"/>
  <c r="T10" i="1"/>
  <c r="I9" i="1"/>
  <c r="N9" i="1"/>
  <c r="V9" i="1"/>
  <c r="P9" i="1"/>
  <c r="T31" i="5"/>
  <c r="L24" i="1"/>
  <c r="G24" i="1"/>
  <c r="E24" i="1"/>
  <c r="H24" i="1" s="1"/>
  <c r="D24" i="1"/>
  <c r="V24" i="1" s="1"/>
  <c r="W24" i="1" l="1"/>
  <c r="O24" i="1"/>
  <c r="J24" i="1"/>
  <c r="N24" i="1"/>
  <c r="I24" i="1"/>
  <c r="M24" i="1"/>
  <c r="P24" i="1"/>
  <c r="T24" i="1"/>
  <c r="T22" i="5" l="1"/>
  <c r="T20" i="5"/>
  <c r="G18" i="1"/>
  <c r="E18" i="1"/>
  <c r="H18" i="1" s="1"/>
  <c r="D18" i="1"/>
  <c r="V18" i="1" s="1"/>
  <c r="L17" i="1"/>
  <c r="G17" i="1"/>
  <c r="E17" i="1"/>
  <c r="H17" i="1" s="1"/>
  <c r="D17" i="1"/>
  <c r="T17" i="1" s="1"/>
  <c r="L16" i="1"/>
  <c r="G16" i="1"/>
  <c r="E16" i="1"/>
  <c r="H16" i="1" s="1"/>
  <c r="D16" i="1"/>
  <c r="V16" i="1" s="1"/>
  <c r="G15" i="1"/>
  <c r="E15" i="1"/>
  <c r="H15" i="1" s="1"/>
  <c r="D15" i="1"/>
  <c r="T15" i="1" s="1"/>
  <c r="L14" i="1"/>
  <c r="G14" i="1"/>
  <c r="E14" i="1"/>
  <c r="H14" i="1" s="1"/>
  <c r="D14" i="1"/>
  <c r="V14" i="1" s="1"/>
  <c r="L13" i="1"/>
  <c r="G13" i="1"/>
  <c r="E13" i="1"/>
  <c r="H13" i="1" s="1"/>
  <c r="D13" i="1"/>
  <c r="T13" i="1" s="1"/>
  <c r="G12" i="1"/>
  <c r="E12" i="1"/>
  <c r="H12" i="1" s="1"/>
  <c r="D12" i="1"/>
  <c r="V12" i="1" s="1"/>
  <c r="G11" i="1"/>
  <c r="E11" i="1"/>
  <c r="H11" i="1" s="1"/>
  <c r="D11" i="1"/>
  <c r="L23" i="1"/>
  <c r="G23" i="1"/>
  <c r="E23" i="1"/>
  <c r="H23" i="1" s="1"/>
  <c r="D23" i="1"/>
  <c r="T23" i="1" s="1"/>
  <c r="L22" i="1"/>
  <c r="G22" i="1"/>
  <c r="E22" i="1"/>
  <c r="H22" i="1" s="1"/>
  <c r="D22" i="1"/>
  <c r="V22" i="1" s="1"/>
  <c r="L21" i="1"/>
  <c r="G21" i="1"/>
  <c r="E21" i="1"/>
  <c r="H21" i="1" s="1"/>
  <c r="D21" i="1"/>
  <c r="T21" i="1" s="1"/>
  <c r="L20" i="1"/>
  <c r="G20" i="1"/>
  <c r="E20" i="1"/>
  <c r="H20" i="1" s="1"/>
  <c r="D20" i="1"/>
  <c r="V20" i="1" s="1"/>
  <c r="G19" i="1"/>
  <c r="E19" i="1"/>
  <c r="H19" i="1" s="1"/>
  <c r="D19" i="1"/>
  <c r="T19" i="1" s="1"/>
  <c r="T16" i="1" l="1"/>
  <c r="M23" i="1"/>
  <c r="W12" i="1"/>
  <c r="W16" i="1"/>
  <c r="M19" i="1"/>
  <c r="V27" i="5"/>
  <c r="M21" i="1"/>
  <c r="W18" i="1"/>
  <c r="W14" i="1"/>
  <c r="U19" i="5"/>
  <c r="U22" i="5"/>
  <c r="V23" i="5"/>
  <c r="V29" i="5"/>
  <c r="U21" i="5"/>
  <c r="V22" i="5"/>
  <c r="V24" i="5"/>
  <c r="S26" i="5"/>
  <c r="U26" i="5"/>
  <c r="V30" i="5"/>
  <c r="S22" i="5"/>
  <c r="S24" i="5"/>
  <c r="U24" i="5"/>
  <c r="V25" i="5"/>
  <c r="S30" i="5"/>
  <c r="U30" i="5"/>
  <c r="V26" i="5"/>
  <c r="T28" i="5"/>
  <c r="T24" i="5"/>
  <c r="T26" i="5"/>
  <c r="T30" i="5"/>
  <c r="T23" i="5"/>
  <c r="T25" i="5"/>
  <c r="T27" i="5"/>
  <c r="T29" i="5"/>
  <c r="S18" i="5"/>
  <c r="U23" i="5"/>
  <c r="U25" i="5"/>
  <c r="U29" i="5"/>
  <c r="U18" i="5"/>
  <c r="S23" i="5"/>
  <c r="S25" i="5"/>
  <c r="S29" i="5"/>
  <c r="V18" i="5"/>
  <c r="T19" i="5"/>
  <c r="T21" i="5"/>
  <c r="T18" i="5"/>
  <c r="S19" i="5"/>
  <c r="V19" i="5"/>
  <c r="S21" i="5"/>
  <c r="V21" i="5"/>
  <c r="P14" i="1"/>
  <c r="P20" i="1"/>
  <c r="P12" i="1"/>
  <c r="T14" i="1"/>
  <c r="P18" i="1"/>
  <c r="P22" i="1"/>
  <c r="I19" i="1"/>
  <c r="T12" i="1"/>
  <c r="P16" i="1"/>
  <c r="T18" i="1"/>
  <c r="M11" i="1"/>
  <c r="W11" i="1"/>
  <c r="O11" i="1"/>
  <c r="M15" i="1"/>
  <c r="W15" i="1"/>
  <c r="O15" i="1"/>
  <c r="J15" i="1"/>
  <c r="N15" i="1"/>
  <c r="I15" i="1"/>
  <c r="I11" i="1"/>
  <c r="M17" i="1"/>
  <c r="W17" i="1"/>
  <c r="O17" i="1"/>
  <c r="J17" i="1"/>
  <c r="N17" i="1"/>
  <c r="I17" i="1"/>
  <c r="M13" i="1"/>
  <c r="W13" i="1"/>
  <c r="O13" i="1"/>
  <c r="J13" i="1"/>
  <c r="N13" i="1"/>
  <c r="I13" i="1"/>
  <c r="T11" i="1"/>
  <c r="P11" i="1"/>
  <c r="V11" i="1"/>
  <c r="V13" i="1"/>
  <c r="V15" i="1"/>
  <c r="V17" i="1"/>
  <c r="M12" i="1"/>
  <c r="M14" i="1"/>
  <c r="M16" i="1"/>
  <c r="M18" i="1"/>
  <c r="I21" i="1"/>
  <c r="I12" i="1"/>
  <c r="N12" i="1"/>
  <c r="P13" i="1"/>
  <c r="I14" i="1"/>
  <c r="N14" i="1"/>
  <c r="L15" i="1"/>
  <c r="P15" i="1"/>
  <c r="I16" i="1"/>
  <c r="N16" i="1"/>
  <c r="P17" i="1"/>
  <c r="I18" i="1"/>
  <c r="N18" i="1"/>
  <c r="J12" i="1"/>
  <c r="O12" i="1"/>
  <c r="J14" i="1"/>
  <c r="O14" i="1"/>
  <c r="J16" i="1"/>
  <c r="O16" i="1"/>
  <c r="J18" i="1"/>
  <c r="O18" i="1"/>
  <c r="W22" i="1"/>
  <c r="O22" i="1"/>
  <c r="J22" i="1"/>
  <c r="N22" i="1"/>
  <c r="I22" i="1"/>
  <c r="M22" i="1"/>
  <c r="W20" i="1"/>
  <c r="O20" i="1"/>
  <c r="J20" i="1"/>
  <c r="N20" i="1"/>
  <c r="I20" i="1"/>
  <c r="M20" i="1"/>
  <c r="N21" i="1"/>
  <c r="V21" i="1"/>
  <c r="I23" i="1"/>
  <c r="N23" i="1"/>
  <c r="V23" i="1"/>
  <c r="J19" i="1"/>
  <c r="O19" i="1"/>
  <c r="W19" i="1"/>
  <c r="T20" i="1"/>
  <c r="J21" i="1"/>
  <c r="O21" i="1"/>
  <c r="W21" i="1"/>
  <c r="T22" i="1"/>
  <c r="J23" i="1"/>
  <c r="O23" i="1"/>
  <c r="W23" i="1"/>
  <c r="N19" i="1"/>
  <c r="V19" i="1"/>
  <c r="L19" i="1"/>
  <c r="P19" i="1"/>
  <c r="P21" i="1"/>
  <c r="P23" i="1"/>
  <c r="G25" i="1"/>
  <c r="E25" i="1"/>
  <c r="H25" i="1" s="1"/>
  <c r="D25" i="1"/>
  <c r="T25" i="1" s="1"/>
  <c r="U31" i="5" l="1"/>
  <c r="V31" i="5"/>
  <c r="S31" i="5"/>
  <c r="U28" i="5"/>
  <c r="S28" i="5"/>
  <c r="V28" i="5"/>
  <c r="S27" i="5"/>
  <c r="U27" i="5"/>
  <c r="M25" i="1"/>
  <c r="I25" i="1"/>
  <c r="N25" i="1"/>
  <c r="J25" i="1"/>
  <c r="O25" i="1"/>
  <c r="W25" i="1"/>
  <c r="P25" i="1"/>
  <c r="V25" i="1"/>
  <c r="T17" i="5"/>
  <c r="W3" i="1" l="1"/>
  <c r="V3" i="1"/>
  <c r="B2" i="5" l="1"/>
  <c r="B3" i="5" s="1"/>
  <c r="B6" i="5" l="1"/>
  <c r="U7" i="1" l="1"/>
  <c r="B7" i="5" l="1"/>
  <c r="Q3" i="1" l="1"/>
  <c r="O7" i="1" s="1"/>
  <c r="T3" i="1"/>
  <c r="F3" i="1"/>
  <c r="B4" i="5" l="1"/>
  <c r="N7" i="1"/>
  <c r="E38" i="3" s="1"/>
  <c r="K7" i="1"/>
  <c r="H6" i="1"/>
  <c r="S20" i="5" l="1"/>
  <c r="U20" i="5"/>
  <c r="R10" i="5"/>
  <c r="M45" i="3" s="1"/>
  <c r="N38" i="3" l="1"/>
  <c r="B8" i="5"/>
  <c r="B5" i="5"/>
  <c r="P10" i="5" l="1"/>
  <c r="K45" i="3" s="1"/>
  <c r="Q10" i="5"/>
  <c r="L45" i="3" s="1"/>
  <c r="B43" i="3"/>
  <c r="C43" i="3" s="1"/>
  <c r="M14" i="5"/>
  <c r="H44" i="3" s="1"/>
  <c r="L14" i="5"/>
  <c r="G44" i="3" s="1"/>
  <c r="K14" i="5"/>
  <c r="F44" i="3" s="1"/>
  <c r="L44" i="3"/>
  <c r="K44" i="3"/>
  <c r="O14" i="5"/>
  <c r="J44" i="3" s="1"/>
  <c r="N14" i="5"/>
  <c r="I44" i="3" s="1"/>
  <c r="J14" i="5"/>
  <c r="E44" i="3" s="1"/>
  <c r="I14" i="5"/>
  <c r="D44" i="3" s="1"/>
  <c r="H14" i="5"/>
  <c r="C44" i="3" s="1"/>
  <c r="O10" i="5"/>
  <c r="J45" i="3" s="1"/>
  <c r="N10" i="5"/>
  <c r="I45" i="3" s="1"/>
  <c r="M10" i="5"/>
  <c r="H45" i="3" s="1"/>
  <c r="J10" i="5"/>
  <c r="E45" i="3" s="1"/>
  <c r="V27" i="1"/>
  <c r="N3" i="1" l="1"/>
  <c r="M3" i="1"/>
  <c r="O3" i="1"/>
  <c r="T12" i="5" l="1"/>
  <c r="H12" i="5"/>
  <c r="I12" i="5"/>
  <c r="K12" i="5"/>
  <c r="U12" i="5"/>
  <c r="L12" i="5"/>
  <c r="V12" i="5"/>
  <c r="S12" i="5"/>
  <c r="R3" i="1" l="1"/>
  <c r="D1" i="1"/>
  <c r="F6" i="1"/>
  <c r="T27" i="1"/>
  <c r="T13" i="5"/>
  <c r="T7" i="1" l="1"/>
  <c r="W27" i="1"/>
  <c r="G6" i="1" l="1"/>
  <c r="V20" i="5" l="1"/>
  <c r="L38" i="3"/>
  <c r="D38" i="3"/>
  <c r="D6" i="1"/>
  <c r="B6" i="1" l="1"/>
  <c r="L3" i="1"/>
  <c r="J3" i="1"/>
  <c r="H3" i="1"/>
  <c r="C6" i="1" l="1"/>
  <c r="P7" i="1" s="1"/>
  <c r="S3" i="1"/>
  <c r="S7" i="1" s="1"/>
  <c r="E6" i="1"/>
  <c r="F38" i="3"/>
  <c r="U17" i="5" l="1"/>
  <c r="V17" i="5"/>
  <c r="S17" i="5"/>
  <c r="I3" i="1"/>
  <c r="B7" i="1"/>
  <c r="V13" i="5"/>
  <c r="K13" i="5"/>
  <c r="S13" i="5"/>
  <c r="U13" i="5"/>
  <c r="L13" i="5"/>
  <c r="H13" i="5"/>
  <c r="I13" i="5"/>
  <c r="L9" i="1" l="1"/>
  <c r="L10" i="1"/>
  <c r="L12" i="1"/>
  <c r="J11" i="1"/>
  <c r="N11" i="1"/>
  <c r="L11" i="1"/>
  <c r="L18" i="1"/>
  <c r="L25" i="1"/>
  <c r="I10" i="5"/>
  <c r="D45" i="3" s="1"/>
  <c r="K10" i="5"/>
  <c r="F45" i="3" s="1"/>
  <c r="H10" i="5"/>
  <c r="C45" i="3" s="1"/>
  <c r="L10" i="5"/>
  <c r="G45" i="3" s="1"/>
  <c r="C7" i="1"/>
  <c r="I27" i="1"/>
  <c r="P27" i="1"/>
  <c r="N27" i="1"/>
  <c r="J27" i="1"/>
  <c r="O27" i="1"/>
  <c r="Q7" i="1" l="1"/>
  <c r="M38" i="3" s="1"/>
  <c r="L7" i="1"/>
  <c r="G38" i="3" s="1"/>
  <c r="K38" i="3"/>
  <c r="J38" i="3"/>
  <c r="K27" i="1"/>
  <c r="M27" i="1"/>
  <c r="R7" i="1" l="1"/>
  <c r="I38" i="3" s="1"/>
  <c r="M7" i="1"/>
  <c r="H38" i="3" s="1"/>
  <c r="J7" i="1"/>
  <c r="C38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S_member</author>
    <author>Quang Trung</author>
  </authors>
  <commentList>
    <comment ref="C37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</t>
        </r>
      </text>
    </comment>
    <comment ref="D3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E37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F3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EF Core</t>
        </r>
      </text>
    </comment>
    <comment ref="G37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H37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I37" authorId="1" shapeId="0" xr:uid="{00000000-0006-0000-0000-000007000000}">
      <text>
        <r>
          <rPr>
            <b/>
            <sz val="9"/>
            <color indexed="81"/>
            <rFont val="Tahoma"/>
            <charset val="1"/>
          </rPr>
          <t>Quang Trung:</t>
        </r>
        <r>
          <rPr>
            <sz val="9"/>
            <color indexed="81"/>
            <rFont val="Tahoma"/>
            <charset val="1"/>
          </rPr>
          <t xml:space="preserve">
Application Share</t>
        </r>
      </text>
    </comment>
    <comment ref="J37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Application Share</t>
        </r>
      </text>
    </comment>
    <comment ref="K37" authorId="1" shapeId="0" xr:uid="{00000000-0006-0000-0000-000009000000}">
      <text>
        <r>
          <rPr>
            <b/>
            <sz val="9"/>
            <color indexed="81"/>
            <rFont val="Tahoma"/>
            <charset val="1"/>
          </rPr>
          <t>Quang Trung:</t>
        </r>
        <r>
          <rPr>
            <sz val="9"/>
            <color indexed="81"/>
            <rFont val="Tahoma"/>
            <charset val="1"/>
          </rPr>
          <t xml:space="preserve">
Application
</t>
        </r>
      </text>
    </comment>
    <comment ref="L37" authorId="1" shapeId="0" xr:uid="{00000000-0006-0000-0000-00000A000000}">
      <text>
        <r>
          <rPr>
            <b/>
            <sz val="9"/>
            <color indexed="81"/>
            <rFont val="Tahoma"/>
            <charset val="1"/>
          </rPr>
          <t>Quang Trung:</t>
        </r>
        <r>
          <rPr>
            <sz val="9"/>
            <color indexed="81"/>
            <rFont val="Tahoma"/>
            <charset val="1"/>
          </rPr>
          <t xml:space="preserve">
Application
</t>
        </r>
      </text>
    </comment>
    <comment ref="M37" authorId="1" shapeId="0" xr:uid="{00000000-0006-0000-0000-00000B000000}">
      <text>
        <r>
          <rPr>
            <b/>
            <sz val="9"/>
            <color indexed="81"/>
            <rFont val="Tahoma"/>
            <charset val="1"/>
          </rPr>
          <t>Quang Trung:</t>
        </r>
        <r>
          <rPr>
            <sz val="9"/>
            <color indexed="81"/>
            <rFont val="Tahoma"/>
            <charset val="1"/>
          </rPr>
          <t xml:space="preserve">
Application
</t>
        </r>
      </text>
    </comment>
    <comment ref="N37" authorId="1" shapeId="0" xr:uid="{00000000-0006-0000-0000-00000C000000}">
      <text>
        <r>
          <rPr>
            <b/>
            <sz val="9"/>
            <color indexed="81"/>
            <rFont val="Tahoma"/>
            <charset val="1"/>
          </rPr>
          <t>Quang Trung:</t>
        </r>
        <r>
          <rPr>
            <sz val="9"/>
            <color indexed="81"/>
            <rFont val="Tahoma"/>
            <charset val="1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<sst xmlns="http://schemas.openxmlformats.org/spreadsheetml/2006/main" count="407" uniqueCount="296">
  <si>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</si>
  <si>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</si>
  <si>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</si>
  <si>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</si>
  <si>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</si>
  <si>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</si>
  <si>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</si>
  <si>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</si>
  <si>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</si>
  <si>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</si>
  <si>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</si>
  <si>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</si>
  <si>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</si>
  <si>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</si>
  <si>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</si>
  <si>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</si>
  <si>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</si>
  <si>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</si>
  <si>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</si>
  <si>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</si>
  <si>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</si>
  <si>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</si>
  <si>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</si>
  <si>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</si>
  <si>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</si>
  <si>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</si>
  <si>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</si>
  <si>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</si>
  <si>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</si>
  <si>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</si>
  <si>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</si>
  <si>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</si>
  <si>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DateTime</t>
  </si>
  <si>
    <t>string</t>
  </si>
  <si>
    <t>byte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</si>
  <si>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</si>
  <si>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</si>
  <si>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</si>
  <si>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</si>
  <si>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</si>
  <si>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</si>
  <si>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</si>
  <si>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</si>
  <si>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</si>
  <si>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</si>
  <si>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</si>
  <si>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</si>
  <si>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</si>
  <si>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long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</si>
  <si>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</si>
  <si>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</si>
  <si>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</si>
  <si>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</si>
  <si>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</si>
  <si>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</si>
  <si>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</si>
  <si>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</si>
  <si>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</si>
  <si>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</si>
  <si>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</si>
  <si>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</si>
  <si>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</si>
  <si>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</si>
  <si>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</si>
  <si>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</si>
  <si>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</si>
  <si>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</si>
  <si>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</si>
  <si>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</si>
  <si>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</si>
  <si>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</si>
  <si>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</si>
  <si>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</si>
  <si>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</si>
  <si>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</si>
  <si>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</si>
  <si>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</si>
  <si>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</si>
  <si>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</si>
  <si>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</si>
  <si>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</si>
  <si>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</si>
  <si>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</si>
  <si>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</si>
  <si>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</si>
  <si>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</si>
  <si>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</si>
  <si>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</si>
  <si>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</si>
  <si>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</si>
  <si>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</si>
  <si>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</si>
  <si>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</si>
  <si>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</si>
  <si>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</si>
  <si>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</si>
  <si>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</si>
  <si>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</si>
  <si>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</si>
  <si>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</si>
  <si>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</si>
  <si>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</si>
  <si>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</si>
  <si>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</si>
  <si>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</si>
  <si>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</si>
  <si>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</si>
  <si>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</si>
  <si>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</si>
  <si>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</si>
  <si>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</si>
  <si>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</si>
  <si>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</si>
  <si>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</si>
  <si>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</si>
  <si>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</si>
  <si>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</si>
  <si>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</si>
  <si>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</si>
  <si>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</si>
  <si>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</si>
  <si>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</si>
  <si>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</si>
  <si>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</si>
  <si>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</si>
  <si>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</si>
  <si>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</si>
  <si>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</si>
  <si>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</si>
  <si>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</si>
  <si>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</si>
  <si>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</si>
  <si>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</si>
  <si>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</si>
  <si>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</si>
  <si>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</si>
  <si>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</si>
  <si>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</si>
  <si>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</si>
  <si>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</si>
  <si>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</si>
  <si>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</si>
  <si>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</si>
  <si>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</si>
  <si>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</si>
  <si>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</si>
  <si>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</si>
  <si>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</si>
  <si>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</si>
  <si>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</si>
  <si>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</si>
  <si>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</si>
  <si>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</si>
  <si>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</si>
  <si>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</si>
  <si>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</si>
  <si>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</si>
  <si>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</si>
  <si>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</si>
  <si>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</si>
  <si>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</si>
  <si>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</si>
  <si>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</si>
  <si>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</si>
  <si>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</si>
  <si>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</si>
  <si>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</si>
  <si>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</si>
  <si>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</si>
  <si>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</si>
  <si>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</si>
  <si>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</si>
  <si>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</si>
  <si>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</si>
  <si>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</si>
  <si>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</si>
  <si>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</si>
  <si>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</si>
  <si>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</si>
  <si>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</si>
  <si>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</si>
  <si>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</si>
  <si>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</si>
  <si>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</si>
  <si>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</si>
  <si>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</si>
  <si>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</si>
  <si>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</si>
  <si>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</si>
  <si>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</si>
  <si>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</si>
  <si>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</si>
  <si>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</si>
  <si>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</si>
  <si>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</si>
  <si>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</si>
  <si>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</si>
  <si>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</si>
  <si>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</si>
  <si>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</si>
  <si>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</si>
  <si>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</si>
  <si>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</si>
  <si>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</si>
  <si>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</si>
  <si>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</si>
  <si>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Y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</si>
  <si>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</si>
  <si>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</si>
  <si>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</si>
  <si>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</si>
  <si>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</si>
  <si>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</si>
  <si>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</si>
  <si>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</si>
  <si>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</si>
  <si>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</si>
  <si>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</si>
  <si>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</si>
  <si>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</si>
  <si>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</si>
  <si>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</si>
  <si>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</si>
  <si>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</si>
  <si>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</si>
  <si>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</si>
  <si>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</si>
  <si>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</si>
  <si>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</si>
  <si>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</si>
  <si>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</si>
  <si>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</si>
  <si>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</si>
  <si>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</si>
  <si>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</si>
  <si>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</si>
  <si>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</si>
  <si>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</si>
  <si>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</si>
  <si>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</si>
  <si>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</si>
  <si>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</si>
  <si>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</si>
  <si>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</si>
  <si>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</si>
  <si>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</si>
  <si>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</si>
  <si>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</si>
  <si>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</si>
  <si>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</si>
  <si>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</si>
  <si>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</si>
  <si>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</si>
  <si>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</si>
  <si>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</si>
  <si>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</si>
  <si>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</si>
  <si>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</si>
  <si>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</si>
  <si>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</si>
  <si>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</si>
  <si>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</si>
  <si>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</si>
  <si>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</si>
  <si>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</si>
  <si>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</si>
  <si>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</si>
  <si>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</si>
  <si>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TimeSpan</t>
  </si>
  <si>
    <t>varchar(1)</t>
  </si>
  <si>
    <t>IS_ACTIVE</t>
  </si>
  <si>
    <t>Painting.Andon</t>
  </si>
  <si>
    <t>PtsAdoTotalDelay</t>
  </si>
  <si>
    <t>TotalDelay</t>
  </si>
  <si>
    <t>BODY_NO</t>
  </si>
  <si>
    <t>varchar(50)</t>
  </si>
  <si>
    <t>LOT_NO</t>
  </si>
  <si>
    <t>COLOR</t>
  </si>
  <si>
    <t>MODE</t>
  </si>
  <si>
    <t>TARGET_REPAIR</t>
  </si>
  <si>
    <t>varchar(100)</t>
  </si>
  <si>
    <t>START_REPAIR</t>
  </si>
  <si>
    <t>datetime2(7)</t>
  </si>
  <si>
    <t>LOCATION</t>
  </si>
  <si>
    <t>A_IN_PLAN_DATE</t>
  </si>
  <si>
    <t>ED_IN_ACT</t>
  </si>
  <si>
    <t>REPAIR_IN</t>
  </si>
  <si>
    <t>LEADTIME</t>
  </si>
  <si>
    <t>LEADTIME_PLUS</t>
  </si>
  <si>
    <t>ETD</t>
  </si>
  <si>
    <t>RECOAT_IN</t>
  </si>
  <si>
    <t>Painting Andon Total Delay</t>
  </si>
  <si>
    <t>WIP_ID</t>
  </si>
  <si>
    <t>PROGRESS_ID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</si>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</sst>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5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0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applyFont="1"/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0" borderId="0" xfId="0" applyBorder="1" applyAlignment="1">
      <alignment vertical="center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 applyAlignment="1"/>
    <xf numFmtId="0" fontId="0" fillId="10" borderId="3" xfId="0" applyFill="1" applyBorder="1" applyAlignment="1">
      <alignment wrapText="1"/>
    </xf>
    <xf numFmtId="0" fontId="0" fillId="10" borderId="1" xfId="0" applyFill="1" applyBorder="1" applyAlignment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ont="1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10" borderId="3" xfId="0" applyFill="1" applyBorder="1"/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7" fillId="9" borderId="0" xfId="0" applyFont="1" applyFill="1"/>
    <xf numFmtId="0" fontId="0" fillId="8" borderId="0" xfId="0" applyFill="1" applyBorder="1" applyAlignment="1">
      <alignment wrapText="1"/>
    </xf>
    <xf numFmtId="0" fontId="18" fillId="3" borderId="0" xfId="0" applyFont="1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3" xfId="0" applyFill="1" applyBorder="1"/>
    <xf numFmtId="0" fontId="0" fillId="5" borderId="3" xfId="0" applyFill="1" applyBorder="1"/>
    <xf numFmtId="0" fontId="15" fillId="0" borderId="3" xfId="0" applyFont="1" applyBorder="1" applyAlignment="1">
      <alignment horizontal="center"/>
    </xf>
    <xf numFmtId="0" fontId="16" fillId="0" borderId="3" xfId="0" applyFont="1" applyBorder="1" applyAlignment="1">
      <alignment horizontal="center"/>
    </xf>
  </cellXfs>
  <cellStyles count="1">
    <cellStyle name="Normal" xfId="0" builtinId="0"/>
  </cellStyles>
  <dxfs count="3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N47"/>
  <sheetViews>
    <sheetView topLeftCell="A16" workbookViewId="0">
      <selection activeCell="E34" sqref="E34"/>
    </sheetView>
  </sheetViews>
  <sheetFormatPr defaultRowHeight="15" x14ac:dyDescent="0.25"/>
  <cols>
    <col min="1" max="1" width="3.5703125" customWidth="1"/>
    <col min="2" max="2" width="18.5703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5703125" customWidth="1"/>
    <col min="14" max="18" width="18.5703125" customWidth="1"/>
  </cols>
  <sheetData>
    <row r="1" spans="1:6" ht="23.25" x14ac:dyDescent="0.35">
      <c r="A1" s="15" t="s">
        <v>74</v>
      </c>
    </row>
    <row r="2" spans="1:6" ht="15.75" x14ac:dyDescent="0.25">
      <c r="A2" s="1"/>
      <c r="B2" s="27" t="s">
        <v>196</v>
      </c>
    </row>
    <row r="3" spans="1:6" x14ac:dyDescent="0.25">
      <c r="A3" s="1"/>
      <c r="B3" s="1" t="s">
        <v>77</v>
      </c>
    </row>
    <row r="4" spans="1:6" x14ac:dyDescent="0.25">
      <c r="A4" s="1"/>
      <c r="B4" s="17" t="s">
        <v>76</v>
      </c>
    </row>
    <row r="5" spans="1:6" x14ac:dyDescent="0.25">
      <c r="A5" s="1"/>
      <c r="B5" s="17" t="s">
        <v>79</v>
      </c>
    </row>
    <row r="6" spans="1:6" x14ac:dyDescent="0.25">
      <c r="A6" s="1"/>
      <c r="B6" s="17" t="s">
        <v>87</v>
      </c>
    </row>
    <row r="7" spans="1:6" x14ac:dyDescent="0.25">
      <c r="A7" s="1"/>
      <c r="B7" s="17"/>
      <c r="C7" s="2" t="s">
        <v>97</v>
      </c>
      <c r="D7" s="2"/>
      <c r="E7" s="2"/>
      <c r="F7" s="2" t="s">
        <v>105</v>
      </c>
    </row>
    <row r="8" spans="1:6" x14ac:dyDescent="0.25">
      <c r="A8" s="1"/>
      <c r="B8" s="17"/>
      <c r="C8" t="s">
        <v>89</v>
      </c>
      <c r="F8" s="1" t="s">
        <v>234</v>
      </c>
    </row>
    <row r="9" spans="1:6" x14ac:dyDescent="0.25">
      <c r="A9" s="1"/>
      <c r="B9" s="17"/>
      <c r="C9" t="s">
        <v>88</v>
      </c>
      <c r="F9" s="1" t="s">
        <v>98</v>
      </c>
    </row>
    <row r="10" spans="1:6" x14ac:dyDescent="0.25">
      <c r="A10" s="1"/>
      <c r="B10" s="17"/>
      <c r="D10" t="s">
        <v>89</v>
      </c>
      <c r="F10" s="1" t="s">
        <v>234</v>
      </c>
    </row>
    <row r="11" spans="1:6" x14ac:dyDescent="0.25">
      <c r="A11" s="1"/>
      <c r="B11" s="17"/>
      <c r="D11" t="s">
        <v>90</v>
      </c>
      <c r="F11" s="1" t="s">
        <v>99</v>
      </c>
    </row>
    <row r="12" spans="1:6" x14ac:dyDescent="0.25">
      <c r="A12" s="1"/>
      <c r="B12" s="17"/>
      <c r="D12" t="s">
        <v>91</v>
      </c>
      <c r="F12" s="1" t="s">
        <v>100</v>
      </c>
    </row>
    <row r="13" spans="1:6" x14ac:dyDescent="0.25">
      <c r="A13" s="1"/>
      <c r="B13" s="17"/>
      <c r="D13" t="s">
        <v>92</v>
      </c>
      <c r="F13" s="1" t="s">
        <v>101</v>
      </c>
    </row>
    <row r="14" spans="1:6" x14ac:dyDescent="0.25">
      <c r="A14" s="1"/>
      <c r="B14" s="17"/>
      <c r="D14" t="s">
        <v>93</v>
      </c>
      <c r="F14" s="1" t="s">
        <v>102</v>
      </c>
    </row>
    <row r="15" spans="1:6" x14ac:dyDescent="0.25">
      <c r="A15" s="1"/>
      <c r="B15" s="17"/>
      <c r="D15" t="s">
        <v>94</v>
      </c>
      <c r="F15" s="1" t="s">
        <v>103</v>
      </c>
    </row>
    <row r="16" spans="1:6" x14ac:dyDescent="0.25">
      <c r="A16" s="1"/>
      <c r="B16" s="17"/>
      <c r="C16" t="s">
        <v>91</v>
      </c>
      <c r="F16" s="1" t="s">
        <v>100</v>
      </c>
    </row>
    <row r="17" spans="1:6" x14ac:dyDescent="0.25">
      <c r="A17" s="1"/>
      <c r="B17" s="17"/>
      <c r="D17" t="s">
        <v>95</v>
      </c>
      <c r="F17" s="1" t="s">
        <v>114</v>
      </c>
    </row>
    <row r="18" spans="1:6" x14ac:dyDescent="0.25">
      <c r="A18" s="1"/>
      <c r="B18" s="17"/>
      <c r="D18" t="s">
        <v>96</v>
      </c>
      <c r="F18" s="1" t="s">
        <v>104</v>
      </c>
    </row>
    <row r="19" spans="1:6" x14ac:dyDescent="0.25">
      <c r="A19" s="1"/>
      <c r="B19" s="17"/>
      <c r="C19" t="s">
        <v>92</v>
      </c>
      <c r="F19" s="1" t="s">
        <v>101</v>
      </c>
    </row>
    <row r="20" spans="1:6" x14ac:dyDescent="0.25">
      <c r="A20" s="1"/>
      <c r="B20" s="17"/>
      <c r="C20" t="s">
        <v>93</v>
      </c>
      <c r="F20" s="1" t="s">
        <v>102</v>
      </c>
    </row>
    <row r="21" spans="1:6" x14ac:dyDescent="0.25">
      <c r="A21" s="1"/>
      <c r="B21" s="17"/>
    </row>
    <row r="22" spans="1:6" x14ac:dyDescent="0.25">
      <c r="A22" s="1"/>
      <c r="B22" s="17" t="s">
        <v>86</v>
      </c>
    </row>
    <row r="23" spans="1:6" x14ac:dyDescent="0.25">
      <c r="A23" s="1"/>
      <c r="B23" s="17" t="s">
        <v>83</v>
      </c>
    </row>
    <row r="24" spans="1:6" x14ac:dyDescent="0.25">
      <c r="A24" s="1"/>
      <c r="B24" s="17"/>
      <c r="C24" s="19" t="s">
        <v>80</v>
      </c>
    </row>
    <row r="25" spans="1:6" x14ac:dyDescent="0.25">
      <c r="A25" s="1"/>
      <c r="B25" s="17"/>
      <c r="C25" s="18" t="s">
        <v>81</v>
      </c>
    </row>
    <row r="26" spans="1:6" x14ac:dyDescent="0.25">
      <c r="A26" s="1"/>
      <c r="B26" s="17"/>
      <c r="C26" s="18" t="s">
        <v>82</v>
      </c>
    </row>
    <row r="27" spans="1:6" x14ac:dyDescent="0.25">
      <c r="A27" s="1"/>
      <c r="B27" s="17" t="s">
        <v>106</v>
      </c>
      <c r="C27" s="18"/>
    </row>
    <row r="28" spans="1:6" x14ac:dyDescent="0.25">
      <c r="A28" s="1"/>
      <c r="B28" s="17"/>
      <c r="C28" s="18" t="s">
        <v>107</v>
      </c>
    </row>
    <row r="29" spans="1:6" x14ac:dyDescent="0.25">
      <c r="A29" s="1"/>
      <c r="B29" s="17"/>
      <c r="C29" s="18" t="s">
        <v>108</v>
      </c>
    </row>
    <row r="30" spans="1:6" x14ac:dyDescent="0.25">
      <c r="A30" s="1"/>
      <c r="B30" s="17"/>
      <c r="C30" s="18" t="s">
        <v>109</v>
      </c>
    </row>
    <row r="31" spans="1:6" x14ac:dyDescent="0.25">
      <c r="A31" s="1"/>
      <c r="B31" s="17"/>
      <c r="C31" s="18" t="s">
        <v>111</v>
      </c>
    </row>
    <row r="32" spans="1:6" x14ac:dyDescent="0.25">
      <c r="A32" s="1"/>
      <c r="B32" s="17"/>
      <c r="C32" s="18" t="s">
        <v>113</v>
      </c>
    </row>
    <row r="33" spans="1:14" x14ac:dyDescent="0.25">
      <c r="A33" s="1"/>
      <c r="B33" s="17"/>
      <c r="C33" s="18" t="s">
        <v>112</v>
      </c>
    </row>
    <row r="34" spans="1:14" x14ac:dyDescent="0.25">
      <c r="A34" s="1"/>
      <c r="B34" s="17"/>
      <c r="C34" s="18" t="s">
        <v>110</v>
      </c>
    </row>
    <row r="35" spans="1:14" ht="21" customHeight="1" x14ac:dyDescent="0.25">
      <c r="B35" s="21" t="s">
        <v>78</v>
      </c>
    </row>
    <row r="36" spans="1:14" ht="21" customHeight="1" x14ac:dyDescent="0.25">
      <c r="B36" s="63" t="s">
        <v>231</v>
      </c>
    </row>
    <row r="37" spans="1:14" ht="15.75" thickBot="1" x14ac:dyDescent="0.3">
      <c r="C37" s="1" t="s">
        <v>72</v>
      </c>
      <c r="D37" s="1" t="s">
        <v>207</v>
      </c>
      <c r="E37" s="1" t="s">
        <v>208</v>
      </c>
      <c r="F37" s="1" t="s">
        <v>198</v>
      </c>
      <c r="G37" s="1" t="s">
        <v>199</v>
      </c>
      <c r="H37" s="1" t="s">
        <v>200</v>
      </c>
      <c r="I37" s="1" t="s">
        <v>201</v>
      </c>
      <c r="J37" s="1" t="s">
        <v>205</v>
      </c>
      <c r="K37" s="1" t="s">
        <v>209</v>
      </c>
      <c r="L37" s="1" t="s">
        <v>210</v>
      </c>
      <c r="M37" s="1" t="s">
        <v>211</v>
      </c>
      <c r="N37" s="1" t="s">
        <v>227</v>
      </c>
    </row>
    <row r="38" spans="1:14" s="16" customFormat="1" ht="21.75" customHeight="1" thickBot="1" x14ac:dyDescent="0.3">
      <c r="B38" s="52" t="s">
        <v>226</v>
      </c>
      <c r="C38" s="51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vovina.Painting.Andon
{
	[Table("PtsAdoTotalDelay")]
	[Index(nameof(WipId), Name="IX_PtsAdoTotalDelay_WipId")]
	[Index(nameof(ProgressId), Name="IX_PtsAdoTotalDelay_ProgressId")]
	[Index(nameof(BodyNo), Name="IX_PtsAdoTotalDelay_BodyNo")]
	[Index(nameof(LotNo), Name="IX_PtsAdoTotalDelay_LotNo")]
	[Index(nameof(IsActive), Name="IX_PtsAdoTotalDelay_IsActive")]	public class PtsAdoTotalDelay: FullAuditedEntity&lt;long&gt;, IEntity&lt;long&gt;	
	{
		public const int MaxBodyNoLength = 50;
		public const int MaxLotNoLength = 50;
		public const int MaxColorLength = 50;
		public const int MaxModeLength = 50;
		public const int MaxTargetRepairLength = 100;
		public const int MaxLocationLength = 100;
		public const int MaxIsActiveLength = 1;
		public virtual long WipId { get; set; }
		public virtual long ProgressId { get; set; }
		[StringLength(MaxBodyNoLength)]
		public virtual string BodyNo { get; set; }
		[StringLength(MaxLotNoLength)]
		public virtual string LotNo { get; set; }
		[StringLength(MaxColorLength)]
		public virtual string Color { get; set; }
		[StringLength(MaxModeLength)]
		public virtual string Mode { get; set; }
		[StringLength(MaxTargetRepairLength)]
		public virtual string TargetRepair { get; set; }
		[Column(TypeName="datetime2(7)")]
		public virtual DateTime StartRepair { get; set; }
		[StringLength(MaxLocationLength)]
		public virtual string Location { get; set; }
		[Column(TypeName="datetime2(7)")]
		public virtual DateTime AInPlanDate { get; set; }
		[Column(TypeName="datetime2(7)")]
		public virtual DateTime EdInAct { get; set; }
		[Column(TypeName="datetime2(7)")]
		public virtual DateTime RepairIn { get; set; }
		[Column(TypeName="datetime2(7)")]
		public virtual DateTime Leadtime { get; set; }
		[Column(TypeName="datetime2(7)")]
		public virtual DateTime LeadtimePlus { get; set; }
		[Column(TypeName="datetime2(7)")]
		public virtual DateTime Etd { get; set; }
		[Column(TypeName="datetime2(7)")]
		public virtual DateTime RecoatIn { get; set; }
		[StringLength(MaxIsActiveLength)]
		public virtual string IsActive { get; set; }
	}
}
</v>
      </c>
      <c r="D38" s="51" t="str">
        <f>A.Backend!O7</f>
        <v xml:space="preserve">		public const string Pages_Painting_Andon_TotalDelay = "Pages.Painting.Andon.TotalDelay";
		public const string Pages_Painting_Andon_TotalDelay_CreateEdit = "Pages.Painting.Andon.TotalDelay.CreateEdit";
		public const string Pages_Painting_Andon_TotalDelay_Delete = "Pages.Painting.Andon.TotalDelay.Delete";
</v>
      </c>
      <c r="E38" s="51" t="str">
        <f>A.Backend!N7</f>
        <v xml:space="preserve">		var perPtsAdoTotalDelay = PARENTS.CreateChildPermission(AppPermissions.Pages_Painting_Andon_TotalDelay, L( "PaintingAndonTotalDelay"));
		perPtsAdoTotalDelay.CreateChildPermission(AppPermissions.Pages_Painting_Andon_TotalDelay_CreateEdit, L( "PaintingAndonTotalDelayCreateEdit"));
		perPtsAdoTotalDelay.CreateChildPermission(AppPermissions.Pages_Painting_Andon_TotalDelay_Delete, L( "PaintingAndonTotalDelayDelete"));</v>
      </c>
      <c r="F38" s="51" t="str">
        <f>A.Backend!K7</f>
        <v>public virtual DbSet&lt;PtsAdoTotalDelay&gt; PtsAdoTotalDelays { get; set; }</v>
      </c>
      <c r="G38" s="51" t="str">
        <f ca="1">A.Backend!L7</f>
        <v xml:space="preserve">namespace vovina.Painting.Andon
{
	public class PtsAdoTotalDelayConsts	
	{
		public const int MaxBodyNoLength = 50;
		public const int MaxLotNoLength = 50;
		public const int MaxColorLength = 50;
		public const int MaxModeLength = 50;
		public const int MaxTargetRepairLength = 100;
		public const int MaxLocationLength = 100;
		public const int MaxIsActiveLength = 1;
		// Define Store Name: Format SP_ + &lt;Store Name&gt; = &lt;Store Name&gt;
	}
}
</v>
      </c>
      <c r="H38" s="51" t="str">
        <f ca="1">A.Backend!M7</f>
        <v xml:space="preserve">using Abp.Application.Services.Dto;
using System;
using System.ComponentModel.DataAnnotations;
namespace vovina.Painting.Andon.Dto
{
	public class PtsAdoTotalDelayDto : EntityDto&lt;long?&gt;	
	{
		public virtual long WipId { get; set; }
		public virtual long ProgressId { get; set; }
		public virtual string BodyNo { get; set; }
		public virtual string LotNo { get; set; }
		public virtual string Color { get; set; }
		public virtual string Mode { get; set; }
		public virtual string TargetRepair { get; set; }
		public virtual DateTime? StartRepair { get; set; }
		public virtual string Location { get; set; }
		public virtual DateTime? AInPlanDate { get; set; }
		public virtual DateTime? EdInAct { get; set; }
		public virtual DateTime? RepairIn { get; set; }
		public virtual DateTime? Leadtime { get; set; }
		public virtual DateTime? LeadtimePlus { get; set; }
		public virtual DateTime? Etd { get; set; }
		public virtual DateTime? RecoatIn { get; set; }
		public virtual string IsActive { get; set; }
	}
	public class CreateOrEditPtsAdoTotalDelayDto : EntityDto&lt;long?&gt;	
	{
		public virtual long WipId { get; set; }
		public virtual long ProgressId { get; set; }
		[StringLength(PtsAdoTotalDelayConsts.MaxBodyNoLength)]
		public virtual string BodyNo { get; set; }
		[StringLength(PtsAdoTotalDelayConsts.MaxLotNoLength)]
		public virtual string LotNo { get; set; }
		[StringLength(PtsAdoTotalDelayConsts.MaxColorLength)]
		public virtual string Color { get; set; }
		[StringLength(PtsAdoTotalDelayConsts.MaxModeLength)]
		public virtual string Mode { get; set; }
		[StringLength(PtsAdoTotalDelayConsts.MaxTargetRepairLength)]
		public virtual string TargetRepair { get; set; }
		public virtual DateTime? StartRepair { get; set; }
		[StringLength(PtsAdoTotalDelayConsts.MaxLocationLength)]
		public virtual string Location { get; set; }
		public virtual DateTime? AInPlanDate { get; set; }
		public virtual DateTime? EdInAct { get; set; }
		public virtual DateTime? RepairIn { get; set; }
		public virtual DateTime? Leadtime { get; set; }
		public virtual DateTime? LeadtimePlus { get; set; }
		public virtual DateTime? Etd { get; set; }
		public virtual DateTime? RecoatIn { get; set; }
		[StringLength(PtsAdoTotalDelayConsts.MaxIsActiveLength)]
		public virtual string IsActive { get; set; }
	}
	public class GetPtsAdoTotalDelayInput : PagedAndSortedResultRequestDto	
	{
		public virtual string BodyNo { get; set; }
		public virtual string LotNo { get; set; }
		public virtual string Color { get; set; }
		public virtual string Mode { get; set; }
		public virtual string TargetRepair { get; set; }
		public virtual DateTime? StartRepair { get; set; }
		public virtual string Location { get; set; }
		public virtual DateTime? AInPlanDate { get; set; }
		public virtual DateTime? EdInAct { get; set; }
		public virtual DateTime? RepairIn { get; set; }
		public virtual DateTime? Leadtime { get; set; }
		public virtual DateTime? LeadtimePlus { get; set; }
		public virtual DateTime? Etd { get; set; }
		public virtual DateTime? RecoatIn { get; set; }
		public virtual string IsActive { get; set; }
	}
}
</v>
      </c>
      <c r="I38" s="51" t="str">
        <f ca="1">A.Backend!R7</f>
        <v xml:space="preserve">using Abp.Application.Services.Dto;
using System;
using System.ComponentModel.DataAnnotations;
namespace vovina.Painting.Andon.Dto
{
	public class PtsAdoTotalDelayExportInput{
		public virtual long WipId { get; set; }
		public virtual long ProgressId { get; set; }
		public virtual string BodyNo { get; set; }
		public virtual string LotNo { get; set; }
		public virtual string Color { get; set; }
		public virtual string Mode { get; set; }
		public virtual string TargetRepair { get; set; }
		public virtual DateTime? StartRepair { get; set; }
		public virtual string Location { get; set; }
		public virtual DateTime? AInPlanDate { get; set; }
		public virtual DateTime? EdInAct { get; set; }
		public virtual DateTime? RepairIn { get; set; }
		public virtual DateTime? Leadtime { get; set; }
		public virtual DateTime? LeadtimePlus { get; set; }
		public virtual DateTime? Etd { get; set; }
		public virtual DateTime? RecoatIn { get; set; }
		public virtual string IsActive { get; set; }
	}
}
</v>
      </c>
      <c r="J38" s="51" t="str">
        <f>A.Backend!P7</f>
        <v xml:space="preserve">using Abp.Application.Services;
using Abp.Application.Services.Dto;
using System.Collections.Generic;using vovina.Dto;
using System.Threading.Tasks;
using vovina.Painting.Andon.Dto;
namespace vovina.Painting.Andon
{
	public interface IPtsAdoTotalDelayAppService : IApplicationService
	{
		Task&lt;PagedResultDto&lt;PtsAdoTotalDelayDto&gt;&gt; GetAll(GetPtsAdoTotalDelayInput input);
		Task CreateOrEdit(CreateOrEditPtsAdoTotalDelayDto input);
		Task Delete(EntityDto input);
	}
}
</v>
      </c>
      <c r="K38" s="51" t="str">
        <f>A.Backend!S7</f>
        <v xml:space="preserve">using Abp.Application.Services;
using Abp.Application.Services.Dto;
using System.Collections.Generic;using vovina.Dto;
using System.Threading.Tasks;
using vovina.Painting.Andon.Dto;
namespace vovina.Painting.Andon.Exporting
{
	public interface IPtsAdoTotalDelayExcelExporter : IApplicationService
	{
		FileDto ExportToFile(List&lt;PtsAdoTotalDelayDto&gt; ptsadototaldelay);
	}
}
</v>
      </c>
      <c r="L38" s="51" t="str">
        <f ca="1">A.Backend!T7</f>
        <v>using System.Collections.Generic;
using vovina.DataExporting.Excel.NPOI;
using vovina.Dto;
using vovina.Painting.Andon.Exporting;
using vovina.Painting.Andon.Dto;
using vovina.Storage;
using vovina.Painting.Andon.Dto;
namespace vovina.Painting.Andon.Exporting
{
    public class PtsAdoTotalDelayExcelExporter : NpoiExcelExporterBase, IPtsAdoTotalDelayExcelExporter
    {
        public PtsAdoTotalDelayExcelExporter(ITempFileCacheManager tempFileCacheManager) : base(tempFileCacheManager) { }
        public FileDto ExportToFile(List&lt;PtsAdoTotalDelayDto&gt; totaldelay)
        {
            return CreateExcelPackage(
				"PaintingAndonTotalDelay.xlsx",
				excelPackage =&gt;
				 {
					var sheet = excelPackage.CreateSheet("TotalDelay");
					AddHeader(
								sheet,
								("WipId"),
								("ProgressId"),
								("BodyNo"),
								("LotNo"),
								("Color"),
								("Mode"),
								("TargetRepair"),
								("StartRepair"),
								("Location"),
								("AInPlanDate"),
								("EdInAct"),
								("RepairIn"),
								("Leadtime"),
								("LeadtimePlus"),
								("Etd"),
								("RecoatIn"),
								("IsActive"),
							   );
					AddObjects(
						 sheet, 1, totaldelay,                                       
								_ =&gt; _.WipId,
								_ =&gt; _.ProgressId,
								_ =&gt; _.BodyNo,
								_ =&gt; _.LotNo,
								_ =&gt; _.Color,
								_ =&gt; _.Mode,
								_ =&gt; _.TargetRepair,
								_ =&gt; _.StartRepair,
								_ =&gt; _.Location,
								_ =&gt; _.AInPlanDate,
								_ =&gt; _.EdInAct,
								_ =&gt; _.RepairIn,
								_ =&gt; _.Leadtime,
								_ =&gt; _.LeadtimePlus,
								_ =&gt; _.Etd,
								_ =&gt; _.RecoatIn,
								_ =&gt; _.IsActive,
								);
			for (var i = 0; i &lt; 8; i++)
				{
					sheet.AutoSizeColumn(i);
				}
			});
        }
    }
}</v>
      </c>
      <c r="M38" s="59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vovina.Painting.Andon.Dto;
using vovina.Painting.Andon.Exporting;
namespace vovina.Painting.Andon
{
    [AbpAuthorize(AppPermissions.Pages_Painting_Andon_TotalDelay)]
    public class PtsAdoTotalDelayAppService : vovinaAppServiceBase, IPtsAdoTotalDelayAppService
    {
        private readonly IDapperRepository&lt;PtsAdoTotalDelay, long&gt; _dapperRepo;
        private readonly IRepository&lt;PtsAdoTotalDelay, long&gt; _repo;
        private readonly IPtsAdoTotalDelayExcelExporter _calendarListExcelExporter;
        public PtsAdoTotalDelayAppService(IRepository&lt;PtsAdoTotalDelay,long&gt; repo, 
                                         IDapperRepository&lt;PtsAdoTotalDelay,long&gt; dapperRepo,
                                        IPtsAdoTotalDelayExcelExporter calendarListExcelExporter
            )
        {
            _repo = repo;
            _dapperRepo = dapperRepo;
            _calendarListExcelExporter = calendarListExcelExporter;
        }
        [AbpAuthorize(AppPermissions.Pages_Painting_Andon_TotalDelay_CreateEdit)]
        public async Task CreateOrEdit(CreateOrEditPtsAdoTotalDelayDto input)
        {
            if (input.Id == null) await Create(input);
            else await Update(input);
        }
        //CREATE
        private async Task Create(CreateOrEditPtsAdoTotalDelayDto input)
        {          
            var mainObj = ObjectMapper.Map&lt;PtsAdoTotalDelay&gt;(input);
            await CurrentUnitOfWork.GetDbContext&lt;vovinaDbContext&gt;().AddAsync(mainObj);
        }
        // EDIT
        private async Task Update(CreateOrEditPtsAdoTotalDelayDto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[AbpAuthorize(AppPermissions.Pages_Painting_Andon_TotalDelay_Delete)]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Task&lt;PagedResultDto&lt;PtsAdoTotalDelayDto&gt;&gt; GetAll(GetPtsAdoTotalDelayInput input)
        {
            var filtered = _repo.GetAll()
				.WhereIf(!string.IsNullOrWhiteSpace(input.BodyNo), e =&gt; e.BodyNo.Contains(input.BodyNo))
				.WhereIf(!string.IsNullOrWhiteSpace(input.LotNo), e =&gt; e.LotNo.Contains(input.LotNo))
				.WhereIf(!string.IsNullOrWhiteSpace(input.Color), e =&gt; e.Color.Contains(input.Color))
				.WhereIf(!string.IsNullOrWhiteSpace(input.Mode), e =&gt; e.Mode.Contains(input.Mode))
				.WhereIf(!string.IsNullOrWhiteSpace(input.TargetRepair), e =&gt; e.TargetRepair.Contains(input.TargetRepair))
				.WhereIf(input.StartRepair.HasValue, t =&gt; t.StartRepair == input.StartRepair.Value)
				.WhereIf(!string.IsNullOrWhiteSpace(input.Location), e =&gt; e.Location.Contains(input.Location))
				.WhereIf(input.AInPlanDate.HasValue, t =&gt; t.AInPlanDate == input.AInPlanDate.Value)
				.WhereIf(input.EdInAct.HasValue, t =&gt; t.EdInAct == input.EdInAct.Value)
				.WhereIf(input.RepairIn.HasValue, t =&gt; t.RepairIn == input.RepairIn.Value)
				.WhereIf(input.Leadtime.HasValue, t =&gt; t.Leadtime == input.Leadtime.Value)
				.WhereIf(input.LeadtimePlus.HasValue, t =&gt; t.LeadtimePlus == input.LeadtimePlus.Value)
				.WhereIf(input.Etd.HasValue, t =&gt; t.Etd == input.Etd.Value)
				.WhereIf(input.RecoatIn.HasValue, t =&gt; t.RecoatIn == input.RecoatIn.Value)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PtsAdoTotalDelayDto
                        {
							Id = o.Id,
							WipId = o.WipId,
							ProgressId = o.ProgressId,
							BodyNo = o.BodyNo,
							LotNo = o.LotNo,
							Color = o.Color,
							Mode = o.Mode,
							TargetRepair = o.TargetRepair,
							StartRepair = o.StartRepair,
							Location = o.Location,
							AInPlanDate = o.AInPlanDate,
							EdInAct = o.EdInAct,
							RepairIn = o.RepairIn,
							Leadtime = o.Leadtime,
							LeadtimePlus = o.LeadtimePlus,
							Etd = o.Etd,
							RecoatIn = o.RecoatIn,
							IsActive = o.IsActive,
                        };
            var totalCount = await filtered.CountAsync();
			var paged = system.PageBy(input);
            return new PagedResultDto&lt;PtsAdoTotalDelayDto&gt;(
                totalCount,
                 await paged.ToListAsync()
            );
        }
        public async Task&lt;FileDto&gt; GetTotalDelayToExcel(PtsAdoTotalDelayExportInput input)
        {
            var query = from o in _repo.GetAll()
                        select new PtsAdoTotalDelayDto
                        {
							Id = o.Id,
							WipId = o.WipId,
							ProgressId = o.ProgressId,
							BodyNo = o.BodyNo,
							LotNo = o.LotNo,
							Color = o.Color,
							Mode = o.Mode,
							TargetRepair = o.TargetRepair,
							StartRepair = o.StartRepair,
							Location = o.Location,
							AInPlanDate = o.AInPlanDate,
							EdInAct = o.EdInAct,
							RepairIn = o.RepairIn,
							Leadtime = o.Leadtime,
							LeadtimePlus = o.LeadtimePlus,
							Etd = o.Etd,
							RecoatIn = o.RecoatIn,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_dapperRepo.ExecuteAsync(PtsAdoTotalDelayConsts.SP_MST_WPT_CALENDAR_GENERATE);
       // }
    }
}</v>
      </c>
      <c r="N38" s="62" t="str">
        <f>A.Backend!U7</f>
        <v xml:space="preserve">  configuration.CreateMap&lt;PtsAdoTotalDelayDto, PtsAdoTotalDelay&gt;();
  configuration.CreateMap&lt;PtsAdoTotalDelay, PtsAdoTotalDelayDto&gt;();
  configuration.CreateMap&lt;CreateOrEditPtsAdoTotalDelayDto, PtsAdoTotalDelay&gt;();</v>
      </c>
    </row>
    <row r="39" spans="1:14" s="16" customFormat="1" ht="21.75" customHeight="1" x14ac:dyDescent="0.25">
      <c r="C39" s="65"/>
      <c r="D39" s="29"/>
      <c r="E39" s="29"/>
      <c r="F39" s="29"/>
      <c r="G39" s="29"/>
      <c r="H39" s="66"/>
      <c r="I39" s="67"/>
      <c r="J39" s="29"/>
      <c r="K39" s="29"/>
      <c r="M39" s="66"/>
    </row>
    <row r="40" spans="1:14" s="16" customFormat="1" ht="21.75" customHeight="1" x14ac:dyDescent="0.25">
      <c r="C40" s="29"/>
      <c r="D40" s="29"/>
      <c r="E40" s="29"/>
      <c r="F40" s="29"/>
      <c r="G40" s="29"/>
      <c r="H40" s="29"/>
      <c r="J40" s="29"/>
      <c r="K40" s="29"/>
      <c r="M40" s="29"/>
    </row>
    <row r="41" spans="1:14" s="16" customFormat="1" ht="21.75" customHeight="1" x14ac:dyDescent="0.25">
      <c r="C41" s="29"/>
      <c r="D41" s="29"/>
      <c r="E41" s="29"/>
      <c r="G41" s="29"/>
      <c r="H41" s="29"/>
    </row>
    <row r="42" spans="1:14" x14ac:dyDescent="0.25">
      <c r="B42" s="1" t="s">
        <v>73</v>
      </c>
    </row>
    <row r="43" spans="1:14" ht="21" x14ac:dyDescent="0.35">
      <c r="B43" t="str">
        <f>B.Frontend!B8</f>
        <v>totaldelay</v>
      </c>
      <c r="C43" s="73" t="str">
        <f>"create folder " &amp;B43</f>
        <v>create folder totaldelay</v>
      </c>
      <c r="D43" s="73"/>
      <c r="E43" s="73"/>
      <c r="F43" s="73"/>
      <c r="G43" s="73"/>
      <c r="H43" s="73"/>
      <c r="I43" s="73"/>
      <c r="J43" s="73"/>
      <c r="K43" s="74" t="s">
        <v>228</v>
      </c>
      <c r="L43" s="74"/>
      <c r="M43" s="31"/>
    </row>
    <row r="44" spans="1:14" s="28" customFormat="1" ht="18" customHeight="1" x14ac:dyDescent="0.25">
      <c r="B44" s="60" t="s">
        <v>229</v>
      </c>
      <c r="C44" s="31" t="str">
        <f>B.Frontend!H14</f>
        <v>totaldelay.component.ts</v>
      </c>
      <c r="D44" s="31" t="str">
        <f>B.Frontend!I14</f>
        <v>totaldelay.component.html</v>
      </c>
      <c r="E44" s="31" t="str">
        <f>B.Frontend!J14</f>
        <v>totaldelay.component.less</v>
      </c>
      <c r="F44" s="31" t="str">
        <f>B.Frontend!K14</f>
        <v>create-or-edit-totaldelay-modal.component.html</v>
      </c>
      <c r="G44" s="31" t="str">
        <f>B.Frontend!L14</f>
        <v>create-or-edit-totaldelay-modal.component.ts</v>
      </c>
      <c r="H44" s="31" t="str">
        <f>B.Frontend!M14</f>
        <v>create-or-edit-totaldelay-modal.component.less</v>
      </c>
      <c r="I44" s="31" t="str">
        <f>B.Frontend!N14</f>
        <v>totaldelay.module.ts</v>
      </c>
      <c r="J44" s="31" t="str">
        <f>B.Frontend!O14</f>
        <v>totaldelay-routing.module.ts</v>
      </c>
      <c r="K44" s="31" t="str">
        <f>B.Frontend!P14</f>
        <v>app.navigation.service.ts</v>
      </c>
      <c r="L44" s="31" t="str">
        <f>B.Frontend!Q14</f>
        <v>main.routing.module.ts</v>
      </c>
      <c r="M44" s="60" t="s">
        <v>232</v>
      </c>
    </row>
    <row r="45" spans="1:14" ht="21.75" customHeight="1" x14ac:dyDescent="0.25">
      <c r="B45" s="61" t="s">
        <v>226</v>
      </c>
      <c r="C45" s="49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PtsAdoTotalDelayDto, PtsAdoTotalDelayServiceProxy } from '@shared/service-proxies/service-proxies';
import { finalize } from 'rxjs/internal/operators/finalize';
import { CreateOrEditTotalDelayModalComponent } from './create-or-edit-totaldelay-modal.component';
import { DatePipe } from '@angular/common';
import { FileDownloadService } from '@shared/utils/file-download.service';
import ceil from 'lodash-es/ceil';
import { Paginator } from 'primeng/paginator';
@Component({
    templateUrl: './totaldelay.component.html',
    styleUrls: ['./totaldelay.component.less'],
})
export class TotalDelayComponent extends AppComponentBase implements OnInit {
    @ViewChild('createOrEditModalTotalDelay', { static: true }) createOrEditModalTotalDelay:| CreateOrEditTotalDelayModalComponent|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PtsAdoTotalDelayDto = new PtsAdoTotalDelayDto();
    saveSelectedRow: PtsAdoTotalDelayDto = new PtsAdoTotalDelayDto();
    datas: PtsAdoTotalDelayDto = new PtsAdoTotalDelayDto();
    isLoading: boolean = false;
    dataParams: GridParams | undefined;
    rowData: any[] = [];
    gridApi!: GridApi;
    rowSelection = 'multiple';
    filter: string = '';
	pipe = new DatePipe('en-US');
	frameworkComponents: FrameworkComponent;
    bodyNo
lotNo
bodyNo : string = '' ; 
lotNo : string = '' ; 
	color : string = '' ; 
	mode : string = '' ; 
	targetRepair : string = '' ; 
	startRepair : any ;
location : string = '' ; 
	aInPlanDate : any ;
	edInAct : any ;
	repairIn : any ;
	leadtime : any ;
	leadtimePlus : any ;
	etd : any ;
	recoatIn : any ;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PtsAdoTotalDelayServiceProxy,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this.l('Body No'),headerTooltip: this.l('Body No'),field: 'bodyNo',flex: 1},
			{headerName: this.l('Lot No'),headerTooltip: this.l('Lot No'),field: 'lotNo',flex: 1},
			{headerName: this.l('Body No'),headerTooltip: this.l('Body No'),field: 'bodyNo',flex: 1},
			{headerName: this.l('Lot No'),headerTooltip: this.l('Lot No'),field: 'lotNo',flex: 1},
			{headerName: this.l('Color'),headerTooltip: this.l('Color'),field: 'color',flex: 1},
			{headerName: this.l('Mode'),headerTooltip: this.l('Mode'),field: 'mode',flex: 1},
			{headerName: this.l('Target Repair'),headerTooltip: this.l('Target Repair'),field: 'targetRepair',flex: 1},
			{headerName: this.l('Start Repair'),headerTooltip: this.l('Start Repair'),field: 'startRepair',valueGetter: (params) =&gt; this.pipe.transform(params.data?.startRepair, 'dd/MM/yyyy'),flex: 1},
			{headerName: this.l('Location'),headerTooltip: this.l('Location'),field: 'location',flex: 1},
			{headerName: this.l('A In Plan Date'),headerTooltip: this.l('A In Plan Date'),field: 'aInPlanDate',valueGetter: (params) =&gt; this.pipe.transform(params.data?.aInPlanDate, 'dd/MM/yyyy'),flex: 1},
			{headerName: this.l('Ed In Act'),headerTooltip: this.l('Ed In Act'),field: 'edInAct',valueGetter: (params) =&gt; this.pipe.transform(params.data?.edInAct, 'dd/MM/yyyy'),flex: 1},
			{headerName: this.l('Repair In'),headerTooltip: this.l('Repair In'),field: 'repairIn',valueGetter: (params) =&gt; this.pipe.transform(params.data?.repairIn, 'dd/MM/yyyy'),flex: 1},
			{headerName: this.l('Leadtime'),headerTooltip: this.l('Leadtime'),field: 'leadtime',valueGetter: (params) =&gt; this.pipe.transform(params.data?.leadtime, 'dd/MM/yyyy'),flex: 1},
			{headerName: this.l('Leadtime Plus'),headerTooltip: this.l('Leadtime Plus'),field: 'leadtimePlus',valueGetter: (params) =&gt; this.pipe.transform(params.data?.leadtimePlus, 'dd/MM/yyyy'),flex: 1},
			{headerName: this.l('Etd'),headerTooltip: this.l('Etd'),field: 'etd',valueGetter: (params) =&gt; this.pipe.transform(params.data?.etd, 'dd/MM/yyyy'),flex: 1},
			{headerName: this.l('Recoat In'),headerTooltip: this.l('Recoat In'),field: 'recoatIn',valueGetter: (params) =&gt; this.pipe.transform(params.data?.recoatIn, 'dd/MM/yyyy'),flex: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this.bodyNo,
			this.lotNo,
			this.bodyNo,
			this.lotNo,
			this.color,
			this.mode,
			this.targetRepair,
			this.startRepair,
			this.location,
			this.aInPlanDate,
			this.edInAct,
			this.repairIn,
			this.leadtime,
			this.leadtimePlus,
			this.etd,
			this.recoatIn,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this.bodyNo = '',
this.lotNo = '',
this.bodyNo = '',
this.lotNo = '',
		this.color = '',
		this.mode = '',
		this.targetRepair = '',
		this.startRepair = '',
this.location = '',
		this.aInPlanDate = '',
		this.edInAct = '',
		this.repairIn = '',
		this.leadtime = '',
		this.leadtimePlus = '',
		this.etd = '',
		this.recoatIn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this.bodyNo,
			this.lotNo,
			this.bodyNo,
			this.lotNo,
			this.color,
			this.mode,
			this.targetRepair,
			this.startRepair,
			this.location,
			this.aInPlanDate,
			this.edInAct,
			this.repairIn,
			this.leadtime,
			this.leadtimePlus,
			this.etd,
			this.recoatIn,
			this.isActive,
			'',
            this.paginationParams.skipCount,
            this.paginationParams.pageSize
        );
    }
    onChangeRowSelection(params: { api: { getSelectedRows: () =&gt; PtsAdoTotalDelayDto[] } }) {
        this.saveSelectedRow = params.api.getSelectedRows()[0] ?? new PtsAdoTotalDelayDto();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PtsAdoTotalDelayDto):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this._service.getTotalDelayToExcel(
			this.bodyNo,
			this.lotNo,
			this.bodyNo,
			this.lotNo,
			this.color,
			this.mode,
			this.targetRepair,
			this.startRepair,
			this.location,
			this.aInPlanDate,
			this.edInAct,
			this.repairIn,
			this.leadtime,
			this.leadtimePlus,
			this.etd,
			this.recoatIn,
			this.isActive,
            )
            .subscribe((result) =&gt; {
                this._fileDownloadService.downloadTempFile(result);
        });
    }
}</v>
      </c>
      <c r="D45" s="49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Painting Andon Total Delay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[(ngModel)]='bodyNo' name='bodyNo'
									class='form-control' [placeholder]="l('Body No')"
									type='text' (keyup.enter)='searchDatas()'&gt;
								&lt;/div&gt;
								&lt;div class='input-search'&gt;
									&lt;input [(ngModel)]='lotNo' name='lotNo'
									class='form-control' [placeholder]="l('Lot No')"
									type='text' (keyup.enter)='searchDatas()'&gt;
								&lt;/div&gt;
								&lt;div class='input-search'&gt;
									&lt;input [(ngModel)]='color' name='color'
									class='form-control' [placeholder]="l('Color')"
									type='text' (keyup.enter)='searchDatas()'&gt;
								&lt;/div&gt;
								&lt;div class='input-search'&gt;
									&lt;input [(ngModel)]='mode' name='mode'
									class='form-control' [placeholder]="l('Mode')"
									type='text' (keyup.enter)='searchDatas()'&gt;
								&lt;/div&gt;
								&lt;div class='input-search'&gt;
									&lt;input [(ngModel)]='targetRepair' name='targetRepair'
									class='form-control' [placeholder]="l('Target Repair')"
									type='text' (keyup.enter)='searchDatas()'&gt;
								&lt;/div&gt;
								&lt;div class='input-search'&gt;
									&lt;input type='text' [placeholder]="l('Start Repair')" [(ngModel)]='startRepair' 
									name='startRepair'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[(ngModel)]='location' name='location'
									class='form-control' [placeholder]="l('Location')"
									type='text' (keyup.enter)='searchDatas()'&gt;
								&lt;/div&gt;
								&lt;div class='input-search'&gt;
									&lt;input type='text' [placeholder]="l('A In Plan Date')" [(ngModel)]='aInPlanDate' 
									name='aInPlanDate'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[placeholder]="l('Ed In Act')" [(ngModel)]='edInAct' 
									name='edInAct'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[placeholder]="l('Repair In')" [(ngModel)]='repairIn' 
									name='repairIn'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[placeholder]="l('Leadtime')" [(ngModel)]='leadtime' 
									name='leadtime'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[placeholder]="l('Leadtime Plus')" [(ngModel)]='leadtimePlus' 
									name='leadtimePlus'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[placeholder]="l('Etd')" [(ngModel)]='etd' 
									name='etd'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[placeholder]="l('Recoat In')" [(ngModel)]='recoatIn' 
									name='recoatIn'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(click)="createOrEditModalTotalDelay.show()"&gt;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(click)="createOrEditModalTotalDelay.show(selectedRow)"&gt;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&lt;create-or-edit-totaldelay-modal
    #createOrEditModalTotalDelay
    (modalSave)="callBackDataGrid(dataParams)"
    (modalClose)="onChangeRowSelection(dataParams)"
&gt;
&lt;/create-or-edit-totaldelay-modal&gt;</v>
      </c>
      <c r="E45" s="49" t="str">
        <f>B.Frontend!J10</f>
        <v>.input-search{
    width: 250px;
    border-radius: 10px;
    margin-left: 10px;
}
.btn-search{
    width: 50px;
    margin-left: 10px;
}</v>
      </c>
      <c r="F45" s="49" t="str">
        <f ca="1">B.Frontend!K10</f>
        <v>&lt;div bsModal #createOrEditModalTotalDelay="bs-modal"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TotalDelay')}}&lt;/h3&gt;
                    &lt;h3 *ngIf="!rowdata.id"&gt;{{('Create New TotalDelay')}}&lt;/h3&gt;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title'&gt;Body No&lt;/label&gt;
						&lt;input type='text' class='col-md-10 form-control input-text' name='BodyNo' [(ngModel)]='rowdata.bodyNo'&gt;
					&lt;/div&gt;
					&lt;div class='col-md-12 form-group row'&gt;
						&lt;label class='col-md-2 form-control title'&gt;Lot No&lt;/label&gt;
						&lt;input type='text' class='col-md-10 form-control input-text' name='LotNo' [(ngModel)]='rowdata.lotNo'&gt;
					&lt;/div&gt;
					&lt;div class='col-md-12 form-group row'&gt;
						&lt;label class='col-md-2 form-control title'&gt;Color&lt;/label&gt;
						&lt;input type='text' class='col-md-10 form-control input-text' name='Color' [(ngModel)]='rowdata.color'&gt;
					&lt;/div&gt;
					&lt;div class='col-md-12 form-group row'&gt;
						&lt;label class='col-md-2 form-control title'&gt;Mode&lt;/label&gt;
						&lt;input type='text' class='col-md-10 form-control input-text' name='Mode' [(ngModel)]='rowdata.mode'&gt;
					&lt;/div&gt;
					&lt;div class='col-md-12 form-group row'&gt;
						&lt;label class='col-md-2 form-control title'&gt;Target Repair&lt;/label&gt;
						&lt;input type='text' class='col-md-10 form-control input-text' name='TargetRepair' [(ngModel)]='rowdata.targetRepair'&gt;
					&lt;/div&gt;
					&lt;div class='col-md-12 form-group row'&gt;
						&lt;label class='col-md-2 form-control title'&gt;Start Repair&lt;/label&gt;
						&lt;input type='text' class='col-md-10 form-control input-text' name='startRepair' 
						#datepicker='bsDatepicker' [(ngModel)]='rowdata.startRepair'  bsDatepicker &gt;
					&lt;/div&gt;
					&lt;div class='col-md-12 form-group row'&gt;
						&lt;label class='col-md-2 form-control title'&gt;Location&lt;/label&gt;
						&lt;input type='text' class='col-md-10 form-control input-text' name='Location' [(ngModel)]='rowdata.location'&gt;
					&lt;/div&gt;
					&lt;div class='col-md-12 form-group row'&gt;
						&lt;label class='col-md-2 form-control title'&gt;A In Plan Date&lt;/label&gt;
						&lt;input type='text' class='col-md-10 form-control input-text' name='aInPlanDate' 
						#datepicker='bsDatepicker' [(ngModel)]='rowdata.aInPlanDate'  bsDatepicker &gt;
					&lt;/div&gt;
					&lt;div class='col-md-12 form-group row'&gt;
						&lt;label class='col-md-2 form-control title'&gt;Ed In Act&lt;/label&gt;
						&lt;input type='text' class='col-md-10 form-control input-text' name='edInAct' 
						#datepicker='bsDatepicker' [(ngModel)]='rowdata.edInAct'  bsDatepicker &gt;
					&lt;/div&gt;
					&lt;div class='col-md-12 form-group row'&gt;
						&lt;label class='col-md-2 form-control title'&gt;Repair In&lt;/label&gt;
						&lt;input type='text' class='col-md-10 form-control input-text' name='repairIn' 
						#datepicker='bsDatepicker' [(ngModel)]='rowdata.repairIn'  bsDatepicker &gt;
					&lt;/div&gt;
					&lt;div class='col-md-12 form-group row'&gt;
						&lt;label class='col-md-2 form-control title'&gt;Leadtime&lt;/label&gt;
						&lt;input type='text' class='col-md-10 form-control input-text' name='leadtime' 
						#datepicker='bsDatepicker' [(ngModel)]='rowdata.leadtime'  bsDatepicker &gt;
					&lt;/div&gt;
					&lt;div class='col-md-12 form-group row'&gt;
						&lt;label class='col-md-2 form-control title'&gt;Leadtime Plus&lt;/label&gt;
						&lt;input type='text' class='col-md-10 form-control input-text' name='leadtimePlus' 
						#datepicker='bsDatepicker' [(ngModel)]='rowdata.leadtimePlus'  bsDatepicker &gt;
					&lt;/div&gt;
					&lt;div class='col-md-12 form-group row'&gt;
						&lt;label class='col-md-2 form-control title'&gt;Etd&lt;/label&gt;
						&lt;input type='text' class='col-md-10 form-control input-text' name='etd' 
						#datepicker='bsDatepicker' [(ngModel)]='rowdata.etd'  bsDatepicker &gt;
					&lt;/div&gt;
					&lt;div class='col-md-12 form-group row'&gt;
						&lt;label class='col-md-2 form-control title'&gt;Recoat In&lt;/label&gt;
						&lt;input type='text' class='col-md-10 form-control input-text' name='recoatIn' 
						#datepicker='bsDatepicker' [(ngModel)]='rowdata.recoatIn'  bsDatepicker 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45" s="49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CreateOrEditPtsAdoTotalDelayDto, PtsAdoTotalDelayServiceProxy } from '@shared/service-proxies/service-proxies';
import { BsDatepickerDirective } from 'ngx-bootstrap/datepicker';
@Component({
    selector: 'create-or-edit-totaldelay-modal',
    templateUrl: './create-or-edit-totaldelay-modal.component.html',
    styleUrls: ['./create-or-edit-totaldelay-modal.component.less']
    })
export class CreateOrEditTotalDelayModalComponent extends AppComponentBase {
    @ViewChild('createOrEditModalTotalDelay',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CreateOrEditPtsAdoTotalDelayDto = new CreateOrEditPtsAdoTotalDelayDto();
    active: boolean = false;
    saving: boolean = false;
    _isActive: boolean;
    constructor(
        injector: Injector,
        private _mstwptTotalDelayService: PtsAdoTotalDelayServiceProxy,
    ) 
    {
        super(injector);
    }
    show(rowdata?: CreateOrEditPtsAdoTotalDelayDto): void {
        if (!rowdata) this.rowdata = new CreateOrEditPtsAdoTotalDelayDto();
        else this.rowdata = rowdata;
		const dateValue =  this.rowdata.startRepair ? new Date(this.rowdata.startRepair?.toString()) : new Date();
		this.datepicker?.bsValueChange.emit(dateValue);
		const dateValue =  this.rowdata.aInPlanDate ? new Date(this.rowdata.aInPlanDate?.toString()) : new Date();
		this.datepicker?.bsValueChange.emit(dateValue);
		const dateValue =  this.rowdata.edInAct ? new Date(this.rowdata.edInAct?.toString()) : new Date();
		this.datepicker?.bsValueChange.emit(dateValue);
		const dateValue =  this.rowdata.repairIn ? new Date(this.rowdata.repairIn?.toString()) : new Date();
		this.datepicker?.bsValueChange.emit(dateValue);
		const dateValue =  this.rowdata.leadtime ? new Date(this.rowdata.leadtime?.toString()) : new Date();
		this.datepicker?.bsValueChange.emit(dateValue);
		const dateValue =  this.rowdata.leadtimePlus ? new Date(this.rowdata.leadtimePlus?.toString()) : new Date();
		this.datepicker?.bsValueChange.emit(dateValue);
		const dateValue =  this.rowdata.etd ? new Date(this.rowdata.etd?.toString()) : new Date();
		this.datepicker?.bsValueChange.emit(dateValue);
		const dateValue =  this.rowdata.recoatIn ? new Date(this.rowdata.recoatIn?.toString()) : new Date();
		this.datepicker?.bsValueChange.emit(dateValue);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this._mstwptTotalDelayService.createOrEdit(this.rowdata)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45" s="49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45" s="49" t="str">
        <f>B.Frontend!N10</f>
        <v>import {NgModule} from '@angular/core';
import {AppSharedModule} from '@app/shared/app-shared.module';
import { TotalDelayRoutingModule } from './totaldelay-routing.module';
import { TotalDelayComponent } from './totaldelay.component';
import { CreateOrEditTotalDelayModalComponent } from './create-or-edit-totaldelay-modal.component';
@NgModule({
    declarations: [
       TotalDelayComponent, 
        CreateOrEditTotalDelayModalComponent
    ],
    imports: [
        AppSharedModule, TotalDelayRoutingModule]
})
export class TotalDelayModule {}</v>
      </c>
      <c r="J45" s="49" t="str">
        <f>B.Frontend!O10</f>
        <v>import {NgModule} from '@angular/core';
import {RouterModule, Routes} from '@angular/router';
import { TotalDelayComponent } from './totaldelay.component';
const routes: Routes = [{
    path: '',
    component: TotalDelayComponent,
    pathMatch: 'full'
}];
@NgModule({
    imports: [RouterModule.forChild(routes)],
    exports: [RouterModule],
})
export class TotalDelayRoutingModule {}</v>
      </c>
      <c r="K45" s="49" t="str">
        <f>B.Frontend!P10</f>
        <v xml:space="preserve"> new AppMenuItem("TotalDelay", "Pages.Painting.Andon.TotalDelay", "flaticon-book",   "/app/main/painting/andon/totaldelay"),</v>
      </c>
      <c r="L45" s="50" t="str">
        <f>B.Frontend!Q10</f>
        <v>{
    path: 'painting/andon/totaldelay',
    loadChildren: () =&gt; import('./painting/andon/totaldelay/totaldelay.module').then(m =&gt; m.TotalDelayModule),
    data: { permission: 'Pages.Painting.Andon.TotalDelay' }
},</v>
      </c>
      <c r="M45" s="48" t="str">
        <f>B.Frontend!R10</f>
        <v>ApiServiceProxies.PtsAdoTotalDelayServiceProxy,</v>
      </c>
    </row>
    <row r="47" spans="1:14" x14ac:dyDescent="0.25">
      <c r="B47" s="1" t="s">
        <v>75</v>
      </c>
    </row>
  </sheetData>
  <mergeCells count="2">
    <mergeCell ref="C43:J43"/>
    <mergeCell ref="K43:L4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W27"/>
  <sheetViews>
    <sheetView workbookViewId="0">
      <pane xSplit="1" topLeftCell="B1" activePane="topRight" state="frozen"/>
      <selection pane="topRight" activeCell="C11" sqref="C11"/>
    </sheetView>
  </sheetViews>
  <sheetFormatPr defaultColWidth="9.140625" defaultRowHeight="15" x14ac:dyDescent="0.25"/>
  <cols>
    <col min="1" max="1" width="20.85546875" style="8" customWidth="1"/>
    <col min="2" max="2" width="20.42578125" style="9" customWidth="1"/>
    <col min="3" max="3" width="19.42578125" style="8" customWidth="1"/>
    <col min="4" max="4" width="23.42578125" style="8" customWidth="1"/>
    <col min="5" max="5" width="14.42578125" style="8" customWidth="1"/>
    <col min="6" max="6" width="14.85546875" style="8" customWidth="1"/>
    <col min="7" max="7" width="17.28515625" style="8" bestFit="1" customWidth="1"/>
    <col min="8" max="8" width="15" style="8" customWidth="1"/>
    <col min="9" max="9" width="16" style="8" customWidth="1"/>
    <col min="10" max="10" width="15.85546875" style="8" customWidth="1"/>
    <col min="11" max="11" width="16" style="8" customWidth="1"/>
    <col min="12" max="12" width="16.7109375" style="8" customWidth="1"/>
    <col min="13" max="13" width="17.42578125" style="8" customWidth="1"/>
    <col min="14" max="14" width="16.140625" style="8" customWidth="1"/>
    <col min="15" max="15" width="14.7109375" style="8" customWidth="1"/>
    <col min="16" max="16" width="16" style="8" customWidth="1"/>
    <col min="17" max="17" width="15.7109375" style="8" customWidth="1"/>
    <col min="18" max="18" width="19.5703125" style="8" customWidth="1"/>
    <col min="19" max="19" width="20.5703125" style="8" customWidth="1"/>
    <col min="20" max="20" width="17" style="8" customWidth="1"/>
    <col min="21" max="21" width="14" style="8" customWidth="1"/>
    <col min="22" max="22" width="15.140625" style="8" customWidth="1"/>
    <col min="23" max="23" width="27.85546875" style="9" customWidth="1"/>
    <col min="24" max="16384" width="9.140625" style="8"/>
  </cols>
  <sheetData>
    <row r="1" spans="1:23" s="11" customFormat="1" ht="14.25" customHeight="1" x14ac:dyDescent="0.25">
      <c r="A1" s="1" t="s">
        <v>11</v>
      </c>
      <c r="B1" s="10" t="s">
        <v>71</v>
      </c>
      <c r="C1" s="10" t="s">
        <v>54</v>
      </c>
      <c r="D1" s="10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vovina.Painting.Andon.Dto;</v>
      </c>
      <c r="E1" s="10" t="s">
        <v>266</v>
      </c>
      <c r="F1" s="11" t="s">
        <v>239</v>
      </c>
      <c r="H1" s="11" t="s">
        <v>240</v>
      </c>
      <c r="J1" s="11" t="s">
        <v>241</v>
      </c>
      <c r="L1" s="11" t="s">
        <v>242</v>
      </c>
      <c r="M1" s="11" t="s">
        <v>243</v>
      </c>
      <c r="N1" s="11" t="s">
        <v>244</v>
      </c>
      <c r="O1" s="11" t="s">
        <v>245</v>
      </c>
      <c r="T1" s="10" t="s">
        <v>258</v>
      </c>
      <c r="U1" s="10" t="s">
        <v>230</v>
      </c>
      <c r="W1" s="10"/>
    </row>
    <row r="2" spans="1:23" s="11" customFormat="1" x14ac:dyDescent="0.25">
      <c r="A2" s="1" t="s">
        <v>12</v>
      </c>
      <c r="B2" s="30" t="s">
        <v>271</v>
      </c>
      <c r="C2" s="14" t="s">
        <v>40</v>
      </c>
      <c r="D2" s="14" t="s">
        <v>41</v>
      </c>
      <c r="E2" s="14" t="s">
        <v>42</v>
      </c>
      <c r="F2" s="14" t="s">
        <v>51</v>
      </c>
      <c r="G2" s="14" t="s">
        <v>49</v>
      </c>
      <c r="H2" s="14" t="s">
        <v>52</v>
      </c>
      <c r="I2" s="14" t="s">
        <v>45</v>
      </c>
      <c r="J2" s="14" t="s">
        <v>53</v>
      </c>
      <c r="K2" s="14" t="s">
        <v>55</v>
      </c>
      <c r="L2" s="14" t="s">
        <v>62</v>
      </c>
      <c r="M2" s="14" t="s">
        <v>61</v>
      </c>
      <c r="N2" s="14" t="s">
        <v>65</v>
      </c>
      <c r="O2" s="14" t="s">
        <v>85</v>
      </c>
      <c r="T2" s="11" t="s">
        <v>246</v>
      </c>
      <c r="V2" s="11" t="s">
        <v>247</v>
      </c>
      <c r="W2" s="10" t="s">
        <v>257</v>
      </c>
    </row>
    <row r="3" spans="1:23" s="11" customFormat="1" ht="33" customHeight="1" x14ac:dyDescent="0.25">
      <c r="A3" s="1" t="s">
        <v>5</v>
      </c>
      <c r="B3" s="30" t="s">
        <v>272</v>
      </c>
      <c r="C3" s="10" t="s">
        <v>43</v>
      </c>
      <c r="D3" s="10" t="s">
        <v>44</v>
      </c>
      <c r="E3" s="10" t="s">
        <v>39</v>
      </c>
      <c r="F3" s="11" t="str">
        <f>"J"&amp;COUNTA($A:$A)</f>
        <v>J25</v>
      </c>
      <c r="G3" s="4" t="s">
        <v>57</v>
      </c>
      <c r="H3" s="10" t="str">
        <f>"I"&amp;COUNTA($A:$A)</f>
        <v>I25</v>
      </c>
      <c r="I3" s="10" t="str">
        <f>REPT(CHAR(9),2)&amp;"[Required]"&amp;"
"</f>
        <v xml:space="preserve">		[Required]
</v>
      </c>
      <c r="J3" s="11" t="str">
        <f>"L"&amp;COUNTA($A:$A)</f>
        <v>L25</v>
      </c>
      <c r="K3" s="5" t="s">
        <v>56</v>
      </c>
      <c r="L3" s="11" t="str">
        <f>"M"&amp;COUNTA($A:$A)</f>
        <v>M25</v>
      </c>
      <c r="M3" s="11" t="str">
        <f>"N"&amp;COUNTA($A:$A)</f>
        <v>N25</v>
      </c>
      <c r="N3" s="11" t="str">
        <f>"O"&amp;COUNTA($A:$A)</f>
        <v>O25</v>
      </c>
      <c r="O3" s="11" t="str">
        <f>"P"&amp;COUNTA($A:$A)</f>
        <v>P25</v>
      </c>
      <c r="Q3" s="11" t="str">
        <f>RIGHT(B2,(LEN(B2)-FIND(".",B2,1)))</f>
        <v>Andon</v>
      </c>
      <c r="R3" s="32" t="str">
        <f>REPT(CHAR(9),1)&amp;"public class "&amp;B3&amp;"ExportInput"&amp;C3</f>
        <v xml:space="preserve">	public class PtsAdoTotalDelayExportInput{
</v>
      </c>
      <c r="S3" s="11" t="str">
        <f>"namespace "&amp;$B$6&amp;".Exporting
"&amp;$C$3</f>
        <v xml:space="preserve">namespace vovina.Painting.Andon.Exporting
{
</v>
      </c>
      <c r="T3" s="11" t="str">
        <f>"T"&amp;COUNTA($A:$A)</f>
        <v>T25</v>
      </c>
      <c r="V3" s="11" t="str">
        <f>"V"&amp;COUNTA($A:$A)</f>
        <v>V25</v>
      </c>
      <c r="W3" s="10" t="str">
        <f>"W"&amp;COUNTA($A:$A)</f>
        <v>W25</v>
      </c>
    </row>
    <row r="4" spans="1:23" s="11" customFormat="1" ht="33" customHeight="1" x14ac:dyDescent="0.25">
      <c r="A4" s="1" t="s">
        <v>237</v>
      </c>
      <c r="B4" s="64" t="s">
        <v>91</v>
      </c>
      <c r="C4" s="10"/>
      <c r="D4" s="10"/>
      <c r="E4" s="10"/>
      <c r="G4" s="4"/>
      <c r="H4" s="10"/>
      <c r="I4" s="10"/>
      <c r="K4" s="5"/>
      <c r="R4" s="32"/>
      <c r="W4" s="10"/>
    </row>
    <row r="5" spans="1:23" s="11" customFormat="1" ht="33" customHeight="1" x14ac:dyDescent="0.25">
      <c r="A5" s="1" t="s">
        <v>238</v>
      </c>
      <c r="B5" s="64" t="s">
        <v>273</v>
      </c>
      <c r="C5" s="10"/>
      <c r="D5" s="10"/>
      <c r="E5" s="10"/>
      <c r="G5" s="4"/>
      <c r="H5" s="10"/>
      <c r="I5" s="10"/>
      <c r="K5" s="5"/>
      <c r="R5" s="32"/>
      <c r="W5" s="10"/>
    </row>
    <row r="6" spans="1:23" customFormat="1" ht="16.5" customHeight="1" x14ac:dyDescent="0.25">
      <c r="A6" s="1" t="s">
        <v>6</v>
      </c>
      <c r="B6" s="10" t="str">
        <f>"vovina."&amp;B2</f>
        <v>vovina.Painting.Andon</v>
      </c>
      <c r="C6" s="11" t="str">
        <f>"namespace "&amp;$B$6&amp;"
"&amp;$C$3</f>
        <v xml:space="preserve">namespace vovina.Painting.Andon
{
</v>
      </c>
      <c r="D6" s="11" t="str">
        <f>REPT(CHAR(9),1)&amp;"public class "&amp;B3&amp;G3&amp;REPT(CHAR(9),1)&amp;"
"&amp;REPT(CHAR(9),1)&amp;C3</f>
        <v xml:space="preserve">	public class PtsAdoTotalDelay: FullAuditedEntity&lt;long&gt;, IEntity&lt;long&gt;	
	{
</v>
      </c>
      <c r="E6" s="11" t="str">
        <f>REPT(CHAR(9),1)&amp;"public class "&amp;B3&amp;"Consts"&amp;REPT(CHAR(9),1)&amp;"
"&amp;REPT(CHAR(9),1)&amp;C3</f>
        <v xml:space="preserve">	public class PtsAdoTotalDelayConsts	
	{
</v>
      </c>
      <c r="F6" s="11" t="str">
        <f>REPT(CHAR(9),1)&amp;"public class "&amp;B3&amp;"Dto"&amp;K3&amp;REPT(CHAR(9),1)&amp;"
"&amp;REPT(CHAR(9),1)&amp;C3</f>
        <v xml:space="preserve">	public class PtsAdoTotalDelayDto : EntityDto&lt;long?&gt;	
	{
</v>
      </c>
      <c r="G6" s="11" t="str">
        <f>REPT(CHAR(9),1)&amp;"public class CreateOrEdit"&amp;B3&amp;"Dto"&amp;K3&amp;REPT(CHAR(9),1)&amp;"
"&amp;REPT(CHAR(9),1)&amp;C3</f>
        <v xml:space="preserve">	public class CreateOrEditPtsAdoTotalDelayDto : EntityDto&lt;long?&gt;	
	{
</v>
      </c>
      <c r="H6" s="11" t="str">
        <f>REPT(CHAR(9),1)&amp;"public class Get"&amp;B3&amp;"Input : PagedAndSortedResultRequestDto"&amp;REPT(CHAR(9),1)&amp;"
"&amp;REPT(CHAR(9),1)&amp;C3</f>
        <v xml:space="preserve">	public class GetPtsAdoTotalDelayInput : PagedAndSortedResultRequestDto	
	{
</v>
      </c>
      <c r="I6" s="11"/>
      <c r="J6" s="1" t="s">
        <v>72</v>
      </c>
      <c r="K6" s="1" t="s">
        <v>66</v>
      </c>
      <c r="L6" s="1" t="s">
        <v>67</v>
      </c>
      <c r="M6" s="1" t="s">
        <v>68</v>
      </c>
      <c r="N6" s="1" t="s">
        <v>236</v>
      </c>
      <c r="O6" s="1" t="s">
        <v>235</v>
      </c>
      <c r="P6" s="1" t="s">
        <v>69</v>
      </c>
      <c r="Q6" s="1" t="s">
        <v>70</v>
      </c>
      <c r="R6" s="1" t="s">
        <v>202</v>
      </c>
      <c r="S6" s="1" t="s">
        <v>204</v>
      </c>
      <c r="T6" s="1" t="s">
        <v>203</v>
      </c>
      <c r="U6" s="1" t="s">
        <v>227</v>
      </c>
      <c r="W6" s="28"/>
    </row>
    <row r="7" spans="1:23" customFormat="1" ht="15.75" customHeight="1" x14ac:dyDescent="0.25">
      <c r="A7" s="1" t="s">
        <v>13</v>
      </c>
      <c r="B7" s="10" t="str">
        <f>B3</f>
        <v>PtsAdoTotalDelay</v>
      </c>
      <c r="C7" s="11" t="str">
        <f>REPT(CHAR(9),1)&amp;"[Table("""&amp;B7&amp;""")]"&amp;"
"</f>
        <v xml:space="preserve">	[Table("PtsAdoTotalDelay")]
</v>
      </c>
      <c r="D7" s="11"/>
      <c r="E7" s="11"/>
      <c r="F7" s="11"/>
      <c r="G7" s="11"/>
      <c r="H7" s="11"/>
      <c r="I7" s="11"/>
      <c r="J7" s="6" t="str">
        <f ca="1">SUBSTITUTE(SUBSTITUTE((B1&amp;C6&amp;C7&amp;K27&amp;D6&amp;I27&amp;E3&amp;J27&amp;""&amp;REPT(CHAR(9),1)&amp;D3&amp;D3),"WorkingPattern",$Q$3),"Master",$B$4)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vovina.Painting.Andon
{
	[Table("PtsAdoTotalDelay")]
	[Index(nameof(WipId), Name="IX_PtsAdoTotalDelay_WipId")]
	[Index(nameof(ProgressId), Name="IX_PtsAdoTotalDelay_ProgressId")]
	[Index(nameof(BodyNo), Name="IX_PtsAdoTotalDelay_BodyNo")]
	[Index(nameof(LotNo), Name="IX_PtsAdoTotalDelay_LotNo")]
	[Index(nameof(IsActive), Name="IX_PtsAdoTotalDelay_IsActive")]	public class PtsAdoTotalDelay: FullAuditedEntity&lt;long&gt;, IEntity&lt;long&gt;	
	{
		public const int MaxBodyNoLength = 50;
		public const int MaxLotNoLength = 50;
		public const int MaxColorLength = 50;
		public const int MaxModeLength = 50;
		public const int MaxTargetRepairLength = 100;
		public const int MaxLocationLength = 100;
		public const int MaxIsActiveLength = 1;
		public virtual long WipId { get; set; }
		public virtual long ProgressId { get; set; }
		[StringLength(MaxBodyNoLength)]
		public virtual string BodyNo { get; set; }
		[StringLength(MaxLotNoLength)]
		public virtual string LotNo { get; set; }
		[StringLength(MaxColorLength)]
		public virtual string Color { get; set; }
		[StringLength(MaxModeLength)]
		public virtual string Mode { get; set; }
		[StringLength(MaxTargetRepairLength)]
		public virtual string TargetRepair { get; set; }
		[Column(TypeName="datetime2(7)")]
		public virtual DateTime StartRepair { get; set; }
		[StringLength(MaxLocationLength)]
		public virtual string Location { get; set; }
		[Column(TypeName="datetime2(7)")]
		public virtual DateTime AInPlanDate { get; set; }
		[Column(TypeName="datetime2(7)")]
		public virtual DateTime EdInAct { get; set; }
		[Column(TypeName="datetime2(7)")]
		public virtual DateTime RepairIn { get; set; }
		[Column(TypeName="datetime2(7)")]
		public virtual DateTime Leadtime { get; set; }
		[Column(TypeName="datetime2(7)")]
		public virtual DateTime LeadtimePlus { get; set; }
		[Column(TypeName="datetime2(7)")]
		public virtual DateTime Etd { get; set; }
		[Column(TypeName="datetime2(7)")]
		public virtual DateTime RecoatIn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DbSet&lt;PtsAdoTotalDelay&gt; PtsAdoTotalDelays { get; set; }</v>
      </c>
      <c r="L7" t="str">
        <f ca="1">SUBSTITUTE(SUBSTITUTE((C6&amp;E6&amp;I27&amp;"
"&amp;REPT(CHAR(9),2)&amp;"// Define Store Name: Format SP_ + &lt;Store Name&gt; = &lt;Store Name&gt;
"&amp;E3&amp;REPT(CHAR(9),1)&amp;D3&amp;D3),"WorkingPattern",$Q$3),"Master",$B$4)</f>
        <v xml:space="preserve">namespace vovina.Painting.Andon
{
	public class PtsAdoTotalDelayConsts	
	{
		public const int MaxBodyNoLength = 50;
		public const int MaxLotNoLength = 50;
		public const int MaxColorLength = 50;
		public const int MaxModeLength = 50;
		public const int MaxTargetRepairLength = 100;
		public const int MaxLocationLength = 100;
		public const int MaxIsActiveLength = 1;
		// Define Store Name: Format SP_ + &lt;Store Name&gt; = &lt;Store Name&gt;
	}
}
</v>
      </c>
      <c r="M7" t="str">
        <f ca="1">SUBSTITUTE(SUBSTITUTE((C1&amp;"namespace "&amp;B6&amp;".Dto"&amp;E3&amp;C3&amp;F6&amp;M27&amp;E3&amp;REPT(CHAR(9),1)&amp;D3&amp;G6&amp;N27&amp;REPT(CHAR(9),1)&amp;D3&amp;H6&amp;O27&amp;"
"&amp;REPT(CHAR(9),1)&amp;D3&amp;D3),"WorkingPattern",$Q$3),"Master",$B$4)</f>
        <v xml:space="preserve">using Abp.Application.Services.Dto;
using System;
using System.ComponentModel.DataAnnotations;
namespace vovina.Painting.Andon.Dto
{
	public class PtsAdoTotalDelayDto : EntityDto&lt;long?&gt;	
	{
		public virtual long WipId { get; set; }
		public virtual long ProgressId { get; set; }
		public virtual string BodyNo { get; set; }
		public virtual string LotNo { get; set; }
		public virtual string Color { get; set; }
		public virtual string Mode { get; set; }
		public virtual string TargetRepair { get; set; }
		public virtual DateTime? StartRepair { get; set; }
		public virtual string Location { get; set; }
		public virtual DateTime? AInPlanDate { get; set; }
		public virtual DateTime? EdInAct { get; set; }
		public virtual DateTime? RepairIn { get; set; }
		public virtual DateTime? Leadtime { get; set; }
		public virtual DateTime? LeadtimePlus { get; set; }
		public virtual DateTime? Etd { get; set; }
		public virtual DateTime? RecoatIn { get; set; }
		public virtual string IsActive { get; set; }
	}
	public class CreateOrEditPtsAdoTotalDelayDto : EntityDto&lt;long?&gt;	
	{
		public virtual long WipId { get; set; }
		public virtual long ProgressId { get; set; }
		[StringLength(PtsAdoTotalDelayConsts.MaxBodyNoLength)]
		public virtual string BodyNo { get; set; }
		[StringLength(PtsAdoTotalDelayConsts.MaxLotNoLength)]
		public virtual string LotNo { get; set; }
		[StringLength(PtsAdoTotalDelayConsts.MaxColorLength)]
		public virtual string Color { get; set; }
		[StringLength(PtsAdoTotalDelayConsts.MaxModeLength)]
		public virtual string Mode { get; set; }
		[StringLength(PtsAdoTotalDelayConsts.MaxTargetRepairLength)]
		public virtual string TargetRepair { get; set; }
		public virtual DateTime? StartRepair { get; set; }
		[StringLength(PtsAdoTotalDelayConsts.MaxLocationLength)]
		public virtual string Location { get; set; }
		public virtual DateTime? AInPlanDate { get; set; }
		public virtual DateTime? EdInAct { get; set; }
		public virtual DateTime? RepairIn { get; set; }
		public virtual DateTime? Leadtime { get; set; }
		public virtual DateTime? LeadtimePlus { get; set; }
		public virtual DateTime? Etd { get; set; }
		public virtual DateTime? RecoatIn { get; set; }
		[StringLength(PtsAdoTotalDelayConsts.MaxIsActiveLength)]
		public virtual string IsActive { get; set; }
	}
	public class GetPtsAdoTotalDelayInput : PagedAndSortedResultRequestDto	
	{
		public virtual string BodyNo { get; set; }
		public virtual string LotNo { get; set; }
		public virtual string Color { get; set; }
		public virtual string Mode { get; set; }
		public virtual string TargetRepair { get; set; }
		public virtual DateTime? StartRepair { get; set; }
		public virtual string Location { get; set; }
		public virtual DateTime? AInPlanDate { get; set; }
		public virtual DateTime? EdInAct { get; set; }
		public virtual DateTime? RepairIn { get; set; }
		public virtual DateTime? Leadtime { get; set; }
		public virtual DateTime? LeadtimePlus { get; set; }
		public virtual DateTime? Etd { get; set; }
		public virtual DateTime? RecoatIn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"""&amp;SUBSTITUTE(B2,".","")&amp;B5&amp;"""));"
&amp;E3&amp;REPT(CHAR(9),2)&amp;"per"&amp;B3&amp;".CreateChildPermission(AppPermissions.Pages_"&amp;SUBSTITUTE(B2,".","_")&amp;"_"&amp;B5&amp;"_CreateEdit, L( """&amp;SUBSTITUTE(B2,".","")&amp;B5&amp;"CreateEdit"&amp;"""));"
&amp;E3&amp;REPT(CHAR(9),2)&amp;"per"&amp;B3&amp;".CreateChildPermission(AppPermissions.Pages_"&amp;SUBSTITUTE(B2,".","_")&amp;"_"&amp;B5&amp;"_Delete, L( """&amp;SUBSTITUTE(B2,".","")&amp;B5&amp;"Delete"&amp;"""));"),"WorkingPattern",$Q$3),"Master",$B$4)</f>
        <v xml:space="preserve">		var perPtsAdoTotalDelay = PARENTS.CreateChildPermission(AppPermissions.Pages_Painting_Andon_TotalDelay, L( "PaintingAndonTotalDelay"));
		perPtsAdoTotalDelay.CreateChildPermission(AppPermissions.Pages_Painting_Andon_TotalDelay_CreateEdit, L( "PaintingAndonTotalDelayCreateEdit"));
		perPtsAdoTotalDelay.CreateChildPermission(AppPermissions.Pages_Painting_Andon_TotalDelay_Delete, L( "PaintingAndonTotalDelayDelete"));</v>
      </c>
      <c r="O7" s="28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Pages_Painting_Andon_TotalDelay = "Pages.Painting.Andon.TotalDelay";
		public const string Pages_Painting_Andon_TotalDelay_CreateEdit = "Pages.Painting.Andon.TotalDelay.CreateEdit";
		public const string Pages_Painting_Andon_TotalDelay_Delete = "Pages.Painting.Andon.TotalDelay.Delete";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vovina.Painting.Andon.Dto;
namespace vovina.Painting.Andon
{
	public interface IPtsAdoTotalDelayAppService : IApplicationService
	{
		Task&lt;PagedResultDto&lt;PtsAdoTotalDelayDto&gt;&gt; GetAll(GetPtsAdoTotalDelayInput input);
		Task CreateOrEdit(CreateOrEditPtsAdoTotalDelayDto input);
		Task Delete(EntityDto input);
	}
}
</v>
      </c>
      <c r="Q7" t="str">
        <f ca="1">SUBSTITUTE(SUBSTITUTE(SUBSTITUTE(SUBSTITUTE(SUBSTITUTE(SUBSTITUTE(E1,"MstWptCalendar",$B$3),"&lt;PROPERTIES&gt;",P27),"Calendar",$B$5),"WorkingPattern",$Q$3),"Master",$B$4),"&lt;PARAMS_SEARCH&gt;",$W$27)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vovina.Painting.Andon.Dto;
using vovina.Painting.Andon.Exporting;
namespace vovina.Painting.Andon
{
    [AbpAuthorize(AppPermissions.Pages_Painting_Andon_TotalDelay)]
    public class PtsAdoTotalDelayAppService : vovinaAppServiceBase, IPtsAdoTotalDelayAppService
    {
        private readonly IDapperRepository&lt;PtsAdoTotalDelay, long&gt; _dapperRepo;
        private readonly IRepository&lt;PtsAdoTotalDelay, long&gt; _repo;
        private readonly IPtsAdoTotalDelayExcelExporter _calendarListExcelExporter;
        public PtsAdoTotalDelayAppService(IRepository&lt;PtsAdoTotalDelay,long&gt; repo, 
                                         IDapperRepository&lt;PtsAdoTotalDelay,long&gt; dapperRepo,
                                        IPtsAdoTotalDelayExcelExporter calendarListExcelExporter
            )
        {
            _repo = repo;
            _dapperRepo = dapperRepo;
            _calendarListExcelExporter = calendarListExcelExporter;
        }
        [AbpAuthorize(AppPermissions.Pages_Painting_Andon_TotalDelay_CreateEdit)]
        public async Task CreateOrEdit(CreateOrEditPtsAdoTotalDelayDto input)
        {
            if (input.Id == null) await Create(input);
            else await Update(input);
        }
        //CREATE
        private async Task Create(CreateOrEditPtsAdoTotalDelayDto input)
        {          
            var mainObj = ObjectMapper.Map&lt;PtsAdoTotalDelay&gt;(input);
            await CurrentUnitOfWork.GetDbContext&lt;vovinaDbContext&gt;().AddAsync(mainObj);
        }
        // EDIT
        private async Task Update(CreateOrEditPtsAdoTotalDelayDto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[AbpAuthorize(AppPermissions.Pages_Painting_Andon_TotalDelay_Delete)]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Task&lt;PagedResultDto&lt;PtsAdoTotalDelayDto&gt;&gt; GetAll(GetPtsAdoTotalDelayInput input)
        {
            var filtered = _repo.GetAll()
				.WhereIf(!string.IsNullOrWhiteSpace(input.BodyNo), e =&gt; e.BodyNo.Contains(input.BodyNo))
				.WhereIf(!string.IsNullOrWhiteSpace(input.LotNo), e =&gt; e.LotNo.Contains(input.LotNo))
				.WhereIf(!string.IsNullOrWhiteSpace(input.Color), e =&gt; e.Color.Contains(input.Color))
				.WhereIf(!string.IsNullOrWhiteSpace(input.Mode), e =&gt; e.Mode.Contains(input.Mode))
				.WhereIf(!string.IsNullOrWhiteSpace(input.TargetRepair), e =&gt; e.TargetRepair.Contains(input.TargetRepair))
				.WhereIf(input.StartRepair.HasValue, t =&gt; t.StartRepair == input.StartRepair.Value)
				.WhereIf(!string.IsNullOrWhiteSpace(input.Location), e =&gt; e.Location.Contains(input.Location))
				.WhereIf(input.AInPlanDate.HasValue, t =&gt; t.AInPlanDate == input.AInPlanDate.Value)
				.WhereIf(input.EdInAct.HasValue, t =&gt; t.EdInAct == input.EdInAct.Value)
				.WhereIf(input.RepairIn.HasValue, t =&gt; t.RepairIn == input.RepairIn.Value)
				.WhereIf(input.Leadtime.HasValue, t =&gt; t.Leadtime == input.Leadtime.Value)
				.WhereIf(input.LeadtimePlus.HasValue, t =&gt; t.LeadtimePlus == input.LeadtimePlus.Value)
				.WhereIf(input.Etd.HasValue, t =&gt; t.Etd == input.Etd.Value)
				.WhereIf(input.RecoatIn.HasValue, t =&gt; t.RecoatIn == input.RecoatIn.Value)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PtsAdoTotalDelayDto
                        {
							Id = o.Id,
							WipId = o.WipId,
							ProgressId = o.ProgressId,
							BodyNo = o.BodyNo,
							LotNo = o.LotNo,
							Color = o.Color,
							Mode = o.Mode,
							TargetRepair = o.TargetRepair,
							StartRepair = o.StartRepair,
							Location = o.Location,
							AInPlanDate = o.AInPlanDate,
							EdInAct = o.EdInAct,
							RepairIn = o.RepairIn,
							Leadtime = o.Leadtime,
							LeadtimePlus = o.LeadtimePlus,
							Etd = o.Etd,
							RecoatIn = o.RecoatIn,
							IsActive = o.IsActive,
                        };
            var totalCount = await filtered.CountAsync();
			var paged = system.PageBy(input);
            return new PagedResultDto&lt;PtsAdoTotalDelayDto&gt;(
                totalCount,
                 await paged.ToListAsync()
            );
        }
        public async Task&lt;FileDto&gt; GetTotalDelayToExcel(PtsAdoTotalDelayExportInput input)
        {
            var query = from o in _repo.GetAll()
                        select new PtsAdoTotalDelayDto
                        {
							Id = o.Id,
							WipId = o.WipId,
							ProgressId = o.ProgressId,
							BodyNo = o.BodyNo,
							LotNo = o.LotNo,
							Color = o.Color,
							Mode = o.Mode,
							TargetRepair = o.TargetRepair,
							StartRepair = o.StartRepair,
							Location = o.Location,
							AInPlanDate = o.AInPlanDate,
							EdInAct = o.EdInAct,
							RepairIn = o.RepairIn,
							Leadtime = o.Leadtime,
							LeadtimePlus = o.LeadtimePlus,
							Etd = o.Etd,
							RecoatIn = o.RecoatIn,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_dapperRepo.ExecuteAsync(PtsAdoTotalDelayConsts.SP_MST_WPT_CALENDAR_GENERATE);
       // }
    }
}</v>
      </c>
      <c r="R7" t="str">
        <f ca="1">SUBSTITUTE(SUBSTITUTE((C1&amp;"namespace "&amp;B6&amp;".Dto"&amp;E3&amp;C3&amp;R3&amp;M27&amp;E3&amp;REPT(CHAR(9),1)&amp;D3&amp;D3),"WorkingPattern",$Q$3),"Master",$B$4)</f>
        <v xml:space="preserve">using Abp.Application.Services.Dto;
using System;
using System.ComponentModel.DataAnnotations;
namespace vovina.Painting.Andon.Dto
{
	public class PtsAdoTotalDelayExportInput{
		public virtual long WipId { get; set; }
		public virtual long ProgressId { get; set; }
		public virtual string BodyNo { get; set; }
		public virtual string LotNo { get; set; }
		public virtual string Color { get; set; }
		public virtual string Mode { get; set; }
		public virtual string TargetRepair { get; set; }
		public virtual DateTime? StartRepair { get; set; }
		public virtual string Location { get; set; }
		public virtual DateTime? AInPlanDate { get; set; }
		public virtual DateTime? EdInAct { get; set; }
		public virtual DateTime? RepairIn { get; set; }
		public virtual DateTime? Leadtime { get; set; }
		public virtual DateTime? LeadtimePlus { get; set; }
		public virtual DateTime? Etd { get; set; }
		public virtual DateTime? RecoatIn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vovina.Painting.Andon.Dto;
namespace vovina.Painting.Andon.Exporting
{
	public interface IPtsAdoTotalDelayExcelExporter : IApplicationService
	{
		FileDto ExportToFile(List&lt;PtsAdoTotalDelayDto&gt; ptsadototaldelay);
	}
}
</v>
      </c>
      <c r="T7" s="28" t="str">
        <f ca="1">SUBSTITUTE(SUBSTITUTE(SUBSTITUTE(SUBSTITUTE(SUBSTITUTE(SUBSTITUTE(SUBSTITUTE(T1,"MstWptCalendar",$B$3),"&lt;PROPERTIES1&gt;",V27),"&lt;PROPERTIES&gt;",T27),"Calendar",$B$5),"calendar",LOWER(B5)),"WorkingPattern",$Q$3),"Master",$B$4)</f>
        <v>using System.Collections.Generic;
using vovina.DataExporting.Excel.NPOI;
using vovina.Dto;
using vovina.Painting.Andon.Exporting;
using vovina.Painting.Andon.Dto;
using vovina.Storage;
using vovina.Painting.Andon.Dto;
namespace vovina.Painting.Andon.Exporting
{
    public class PtsAdoTotalDelayExcelExporter : NpoiExcelExporterBase, IPtsAdoTotalDelayExcelExporter
    {
        public PtsAdoTotalDelayExcelExporter(ITempFileCacheManager tempFileCacheManager) : base(tempFileCacheManager) { }
        public FileDto ExportToFile(List&lt;PtsAdoTotalDelayDto&gt; totaldelay)
        {
            return CreateExcelPackage(
				"PaintingAndonTotalDelay.xlsx",
				excelPackage =&gt;
				 {
					var sheet = excelPackage.CreateSheet("TotalDelay");
					AddHeader(
								sheet,
								("WipId"),
								("ProgressId"),
								("BodyNo"),
								("LotNo"),
								("Color"),
								("Mode"),
								("TargetRepair"),
								("StartRepair"),
								("Location"),
								("AInPlanDate"),
								("EdInAct"),
								("RepairIn"),
								("Leadtime"),
								("LeadtimePlus"),
								("Etd"),
								("RecoatIn"),
								("IsActive"),
							   );
					AddObjects(
						 sheet, 1, totaldelay,                                       
								_ =&gt; _.WipId,
								_ =&gt; _.ProgressId,
								_ =&gt; _.BodyNo,
								_ =&gt; _.LotNo,
								_ =&gt; _.Color,
								_ =&gt; _.Mode,
								_ =&gt; _.TargetRepair,
								_ =&gt; _.StartRepair,
								_ =&gt; _.Location,
								_ =&gt; _.AInPlanDate,
								_ =&gt; _.EdInAct,
								_ =&gt; _.RepairIn,
								_ =&gt; _.Leadtime,
								_ =&gt; _.LeadtimePlus,
								_ =&gt; _.Etd,
								_ =&gt; _.RecoatIn,
								_ =&gt; _.IsActive,
								);
			for (var i = 0; i &lt; 8; i++)
				{
					sheet.AutoSizeColumn(i);
				}
			});
        }
    }
}</v>
      </c>
      <c r="U7" s="28" t="str">
        <f>SUBSTITUTE(SUBSTITUTE(U1,"MstWptCalendar",$B$3),"Master",$B$4)</f>
        <v xml:space="preserve">  configuration.CreateMap&lt;PtsAdoTotalDelayDto, PtsAdoTotalDelay&gt;();
  configuration.CreateMap&lt;PtsAdoTotalDelay, PtsAdoTotalDelayDto&gt;();
  configuration.CreateMap&lt;CreateOrEditPtsAdoTotalDelayDto, PtsAdoTotalDelay&gt;();</v>
      </c>
      <c r="V7" s="28"/>
      <c r="W7" s="28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37</v>
      </c>
      <c r="F8" s="2" t="s">
        <v>59</v>
      </c>
      <c r="G8" s="2" t="s">
        <v>9</v>
      </c>
      <c r="H8" s="2" t="s">
        <v>15</v>
      </c>
      <c r="I8" s="2" t="s">
        <v>50</v>
      </c>
      <c r="J8" s="2" t="s">
        <v>38</v>
      </c>
      <c r="K8" s="2" t="s">
        <v>46</v>
      </c>
      <c r="L8" s="2" t="s">
        <v>47</v>
      </c>
      <c r="M8" s="2" t="s">
        <v>63</v>
      </c>
      <c r="N8" s="2" t="s">
        <v>58</v>
      </c>
      <c r="O8" s="2" t="s">
        <v>64</v>
      </c>
      <c r="P8" s="20" t="s">
        <v>84</v>
      </c>
      <c r="W8" s="3"/>
    </row>
    <row r="9" spans="1:23" customFormat="1" ht="18.75" customHeight="1" x14ac:dyDescent="0.25">
      <c r="A9" t="s">
        <v>292</v>
      </c>
      <c r="B9" t="s">
        <v>0</v>
      </c>
      <c r="C9" t="s">
        <v>1</v>
      </c>
      <c r="D9" t="str">
        <f t="shared" ref="D9" si="0">SUBSTITUTE(PROPER(A9),"_","")</f>
        <v>WipId</v>
      </c>
      <c r="E9" t="str">
        <f t="shared" ref="E9:E10" si="1">IFERROR(LEFT(B9, FIND("(",B9)-1),B9)</f>
        <v>bigint</v>
      </c>
      <c r="F9" s="7"/>
      <c r="G9" t="str">
        <f t="shared" ref="G9:G10" si="2">IFERROR(MID(B9,FIND("(",B9) +1, FIND(")",B9) - FIND("(",B9) - 1),"")</f>
        <v/>
      </c>
      <c r="H9" t="str">
        <f>+VLOOKUP(E9,'Data Type Mapping'!A:B,2,)</f>
        <v>long</v>
      </c>
      <c r="I9" t="str">
        <f t="shared" ref="I9:I10" si="3">IF(H9="string",REPT(CHAR(9),2)&amp;"public const int Max"&amp;D9&amp;"Length = "&amp;G9&amp;";"&amp;$E$3,"" )</f>
        <v/>
      </c>
      <c r="J9" t="str">
        <f t="shared" ref="J9:J10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public virtual long WipId { get; set; }
</v>
      </c>
      <c r="K9" s="7" t="s">
        <v>206</v>
      </c>
      <c r="L9" t="str">
        <f t="shared" ref="L9" si="5">IF(K9="","",REPT(CHAR(9),1)&amp;"[Index(nameof("&amp;IF(D9="","",""&amp;D9)&amp;")"&amp;", Name="&amp;"""IX_"&amp;$B$7&amp;"_"&amp;D9&amp;""")]")</f>
        <v xml:space="preserve">	[Index(nameof(WipId), Name="IX_PtsAdoTotalDelay_WipId")]</v>
      </c>
      <c r="M9" t="str">
        <f t="shared" ref="M9:M10" si="6">REPT(CHAR(9),2)&amp;"public virtual "&amp;IF(OR(H9="DateTime",H9="TimeSpan"),H9&amp;"?",H9)&amp;IF(C9="?","? "," ")&amp;D9&amp;" { get; set; }" &amp; "
"</f>
        <v xml:space="preserve">		public virtual long WipId { get; set; }
</v>
      </c>
      <c r="N9" t="str">
        <f t="shared" ref="N9:N10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public virtual long WipId { get; set; }
</v>
      </c>
      <c r="O9" t="str">
        <f t="shared" ref="O9:O10" si="8">IF(OR(H9="string",H9="DateTime",H9="int"),REPT(CHAR(9),2)&amp;"public virtual "&amp;IF(OR(H9="DateTime",H9="TimeSpan"),H9&amp;"?",H9)&amp;IF(C9="?","? "," ")&amp;D9&amp;" { get; set; }"&amp;$E$3,"")</f>
        <v/>
      </c>
      <c r="P9" t="str">
        <f t="shared" ref="P9:P10" si="9">REPT(CHAR(9),7)&amp;D9&amp;" = o." &amp;D9 &amp;","</f>
        <v xml:space="preserve">							WipId = o.WipId,</v>
      </c>
      <c r="T9" s="69" t="str">
        <f t="shared" ref="T9:T10" si="10">REPT(CHAR(9),8)&amp;"("""&amp;D9&amp;"""),"</f>
        <v xml:space="preserve">								("WipId"),</v>
      </c>
      <c r="V9" s="70" t="str">
        <f t="shared" ref="V9:V10" si="11">REPT(CHAR(9),8)&amp;"_ =&gt; _."&amp;D9&amp;","</f>
        <v xml:space="preserve">								_ =&gt; _.WipId,</v>
      </c>
      <c r="W9" s="69" t="str">
        <f t="shared" ref="W9:W10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/>
      </c>
    </row>
    <row r="10" spans="1:23" customFormat="1" ht="22.5" customHeight="1" x14ac:dyDescent="0.25">
      <c r="A10" t="s">
        <v>293</v>
      </c>
      <c r="B10" t="s">
        <v>0</v>
      </c>
      <c r="C10" t="s">
        <v>1</v>
      </c>
      <c r="D10" t="str">
        <f>SUBSTITUTE(PROPER(A10),"_","")</f>
        <v>ProgressId</v>
      </c>
      <c r="E10" t="str">
        <f t="shared" si="1"/>
        <v>bigint</v>
      </c>
      <c r="F10" s="7"/>
      <c r="G10" t="str">
        <f t="shared" si="2"/>
        <v/>
      </c>
      <c r="H10" t="str">
        <f>+VLOOKUP(E10,'Data Type Mapping'!A:B,2,)</f>
        <v>long</v>
      </c>
      <c r="I10" t="str">
        <f t="shared" si="3"/>
        <v/>
      </c>
      <c r="J10" t="str">
        <f t="shared" si="4"/>
        <v xml:space="preserve">		public virtual long ProgressId { get; set; }
</v>
      </c>
      <c r="K10" s="7" t="s">
        <v>206</v>
      </c>
      <c r="L10" t="str">
        <f>IF(K10="","",REPT(CHAR(9),1)&amp;"[Index(nameof("&amp;IF(D10="","",""&amp;D10)&amp;")"&amp;", Name="&amp;"""IX_"&amp;$B$7&amp;"_"&amp;D10&amp;""")]")</f>
        <v xml:space="preserve">	[Index(nameof(ProgressId), Name="IX_PtsAdoTotalDelay_ProgressId")]</v>
      </c>
      <c r="M10" t="str">
        <f t="shared" si="6"/>
        <v xml:space="preserve">		public virtual long ProgressId { get; set; }
</v>
      </c>
      <c r="N10" t="str">
        <f t="shared" si="7"/>
        <v xml:space="preserve">		public virtual long ProgressId { get; set; }
</v>
      </c>
      <c r="O10" t="str">
        <f t="shared" si="8"/>
        <v/>
      </c>
      <c r="P10" t="str">
        <f t="shared" si="9"/>
        <v xml:space="preserve">							ProgressId = o.ProgressId,</v>
      </c>
      <c r="T10" s="69" t="str">
        <f t="shared" si="10"/>
        <v xml:space="preserve">								("ProgressId"),</v>
      </c>
      <c r="V10" s="70" t="str">
        <f t="shared" si="11"/>
        <v xml:space="preserve">								_ =&gt; _.ProgressId,</v>
      </c>
      <c r="W10" s="69" t="str">
        <f t="shared" si="12"/>
        <v/>
      </c>
    </row>
    <row r="11" spans="1:23" customFormat="1" ht="18.75" customHeight="1" x14ac:dyDescent="0.25">
      <c r="A11" t="s">
        <v>274</v>
      </c>
      <c r="B11" t="s">
        <v>275</v>
      </c>
      <c r="C11" t="s">
        <v>1</v>
      </c>
      <c r="D11" t="str">
        <f t="shared" ref="D11" si="13">SUBSTITUTE(PROPER(A11),"_","")</f>
        <v>BodyNo</v>
      </c>
      <c r="E11" t="str">
        <f t="shared" ref="E11:E18" si="14">IFERROR(LEFT(B11, FIND("(",B11)-1),B11)</f>
        <v>varchar</v>
      </c>
      <c r="F11" s="7"/>
      <c r="G11" t="str">
        <f t="shared" ref="G11:G18" si="15">IFERROR(MID(B11,FIND("(",B11) +1, FIND(")",B11) - FIND("(",B11) - 1),"")</f>
        <v>50</v>
      </c>
      <c r="H11" t="str">
        <f>+VLOOKUP(E11,'Data Type Mapping'!A:B,2,)</f>
        <v>string</v>
      </c>
      <c r="I11" t="str">
        <f t="shared" ref="I11:I18" si="16">IF(H11="string",REPT(CHAR(9),2)&amp;"public const int Max"&amp;D11&amp;"Length = "&amp;G11&amp;";"&amp;$E$3,"" )</f>
        <v xml:space="preserve">		public const int MaxBodyNoLength = 50;
</v>
      </c>
      <c r="J11" t="str">
        <f t="shared" ref="J11:J18" si="17">IF(F11="","",REPT(CHAR(9),2)&amp;"[Column(TypeName="""&amp;F11&amp;""")]"&amp;$E$3)&amp;IF(C11="Checked","",$I$3)&amp;IF(H11="string",REPT(CHAR(9),2)&amp;"[StringLength(Max"&amp;D11&amp;"Length"&amp;")]"&amp;$E$3,"")&amp;REPT(CHAR(9),2)&amp;"public virtual "&amp;H11&amp;IF(C11="?","? "," ")&amp;D11&amp;" { get; set; }" &amp; "
"</f>
        <v xml:space="preserve">		[StringLength(MaxBodyNoLength)]
		public virtual string BodyNo { get; set; }
</v>
      </c>
      <c r="K11" s="7" t="s">
        <v>206</v>
      </c>
      <c r="L11" t="str">
        <f t="shared" ref="L11" si="18">IF(K11="","",REPT(CHAR(9),1)&amp;"[Index(nameof("&amp;IF(D11="","",""&amp;D11)&amp;")"&amp;", Name="&amp;"""IX_"&amp;$B$7&amp;"_"&amp;D11&amp;""")]")</f>
        <v xml:space="preserve">	[Index(nameof(BodyNo), Name="IX_PtsAdoTotalDelay_BodyNo")]</v>
      </c>
      <c r="M11" t="str">
        <f t="shared" ref="M11:M18" si="19">REPT(CHAR(9),2)&amp;"public virtual "&amp;IF(OR(H11="DateTime",H11="TimeSpan"),H11&amp;"?",H11)&amp;IF(C11="?","? "," ")&amp;D11&amp;" { get; set; }" &amp; "
"</f>
        <v xml:space="preserve">		public virtual string BodyNo { get; set; }
</v>
      </c>
      <c r="N11" t="str">
        <f t="shared" ref="N11:N18" si="20">IF(C11="Checked","",$I$3)&amp;IF(H11="string",REPT(CHAR(9),2)&amp;"[StringLength("&amp;$B$3&amp;"Consts.Max"&amp;D11&amp;"Length"&amp;")]"&amp;$E$3,"")&amp;REPT(CHAR(9),2)&amp;"public virtual "&amp;IF(OR(H11="DateTime",H11="TimeSpan"),H11&amp;"?",H11)&amp;IF(C11="?","? "," ")&amp;D11&amp;" { get; set; }" &amp; "
"</f>
        <v xml:space="preserve">		[StringLength(PtsAdoTotalDelayConsts.MaxBodyNoLength)]
		public virtual string BodyNo { get; set; }
</v>
      </c>
      <c r="O11" t="str">
        <f t="shared" ref="O11:O18" si="21">IF(OR(H11="string",H11="DateTime",H11="int"),REPT(CHAR(9),2)&amp;"public virtual "&amp;IF(OR(H11="DateTime",H11="TimeSpan"),H11&amp;"?",H11)&amp;IF(C11="?","? "," ")&amp;D11&amp;" { get; set; }"&amp;$E$3,"")</f>
        <v xml:space="preserve">		public virtual string BodyNo { get; set; }
</v>
      </c>
      <c r="P11" t="str">
        <f t="shared" ref="P11:P18" si="22">REPT(CHAR(9),7)&amp;D11&amp;" = o." &amp;D11 &amp;","</f>
        <v xml:space="preserve">							BodyNo = o.BodyNo,</v>
      </c>
      <c r="T11" s="69" t="str">
        <f t="shared" ref="T11:T18" si="23">REPT(CHAR(9),8)&amp;"("""&amp;D11&amp;"""),"</f>
        <v xml:space="preserve">								("BodyNo"),</v>
      </c>
      <c r="V11" s="70" t="str">
        <f t="shared" ref="V11:V18" si="24">REPT(CHAR(9),8)&amp;"_ =&gt; _."&amp;D11&amp;","</f>
        <v xml:space="preserve">								_ =&gt; _.BodyNo,</v>
      </c>
      <c r="W11" s="69" t="str">
        <f t="shared" ref="W11:W18" si="25">IF(H11="string",REPT(CHAR(9),4)&amp;".WhereIf(!string.IsNullOrWhiteSpace(input."&amp;D11&amp;"), e =&gt; e."&amp;D11&amp;".Contains(input."&amp;D11&amp;"))",IF(H11="DateTime",REPT(CHAR(9),4)&amp;".WhereIf(input."&amp;D11&amp;".HasValue, t =&gt; t."&amp;D11&amp;" == input."&amp;D11&amp;".Value)",""))</f>
        <v xml:space="preserve">				.WhereIf(!string.IsNullOrWhiteSpace(input.BodyNo), e =&gt; e.BodyNo.Contains(input.BodyNo))</v>
      </c>
    </row>
    <row r="12" spans="1:23" customFormat="1" ht="22.5" customHeight="1" x14ac:dyDescent="0.25">
      <c r="A12" t="s">
        <v>276</v>
      </c>
      <c r="B12" t="s">
        <v>275</v>
      </c>
      <c r="C12" t="s">
        <v>1</v>
      </c>
      <c r="D12" t="str">
        <f>SUBSTITUTE(PROPER(A12),"_","")</f>
        <v>LotNo</v>
      </c>
      <c r="E12" t="str">
        <f t="shared" si="14"/>
        <v>varchar</v>
      </c>
      <c r="F12" s="7"/>
      <c r="G12" t="str">
        <f t="shared" si="15"/>
        <v>50</v>
      </c>
      <c r="H12" t="str">
        <f>+VLOOKUP(E12,'Data Type Mapping'!A:B,2,)</f>
        <v>string</v>
      </c>
      <c r="I12" t="str">
        <f t="shared" si="16"/>
        <v xml:space="preserve">		public const int MaxLotNoLength = 50;
</v>
      </c>
      <c r="J12" t="str">
        <f t="shared" si="17"/>
        <v xml:space="preserve">		[StringLength(MaxLotNoLength)]
		public virtual string LotNo { get; set; }
</v>
      </c>
      <c r="K12" s="7" t="s">
        <v>206</v>
      </c>
      <c r="L12" t="str">
        <f>IF(K12="","",REPT(CHAR(9),1)&amp;"[Index(nameof("&amp;IF(D12="","",""&amp;D12)&amp;")"&amp;", Name="&amp;"""IX_"&amp;$B$7&amp;"_"&amp;D12&amp;""")]")</f>
        <v xml:space="preserve">	[Index(nameof(LotNo), Name="IX_PtsAdoTotalDelay_LotNo")]</v>
      </c>
      <c r="M12" t="str">
        <f t="shared" si="19"/>
        <v xml:space="preserve">		public virtual string LotNo { get; set; }
</v>
      </c>
      <c r="N12" t="str">
        <f t="shared" si="20"/>
        <v xml:space="preserve">		[StringLength(PtsAdoTotalDelayConsts.MaxLotNoLength)]
		public virtual string LotNo { get; set; }
</v>
      </c>
      <c r="O12" t="str">
        <f t="shared" si="21"/>
        <v xml:space="preserve">		public virtual string LotNo { get; set; }
</v>
      </c>
      <c r="P12" t="str">
        <f t="shared" si="22"/>
        <v xml:space="preserve">							LotNo = o.LotNo,</v>
      </c>
      <c r="T12" s="69" t="str">
        <f t="shared" si="23"/>
        <v xml:space="preserve">								("LotNo"),</v>
      </c>
      <c r="V12" s="70" t="str">
        <f t="shared" si="24"/>
        <v xml:space="preserve">								_ =&gt; _.LotNo,</v>
      </c>
      <c r="W12" s="69" t="str">
        <f t="shared" si="25"/>
        <v xml:space="preserve">				.WhereIf(!string.IsNullOrWhiteSpace(input.LotNo), e =&gt; e.LotNo.Contains(input.LotNo))</v>
      </c>
    </row>
    <row r="13" spans="1:23" customFormat="1" ht="21" customHeight="1" x14ac:dyDescent="0.25">
      <c r="A13" t="s">
        <v>277</v>
      </c>
      <c r="B13" t="s">
        <v>275</v>
      </c>
      <c r="C13" t="s">
        <v>1</v>
      </c>
      <c r="D13" t="str">
        <f t="shared" ref="D13:D15" si="26">SUBSTITUTE(PROPER(A13),"_","")</f>
        <v>Color</v>
      </c>
      <c r="E13" t="str">
        <f t="shared" si="14"/>
        <v>varchar</v>
      </c>
      <c r="F13" s="7"/>
      <c r="G13" t="str">
        <f t="shared" si="15"/>
        <v>50</v>
      </c>
      <c r="H13" t="str">
        <f>+VLOOKUP(E13,'Data Type Mapping'!A:B,2,)</f>
        <v>string</v>
      </c>
      <c r="I13" t="str">
        <f t="shared" si="16"/>
        <v xml:space="preserve">		public const int MaxColorLength = 50;
</v>
      </c>
      <c r="J13" t="str">
        <f t="shared" si="17"/>
        <v xml:space="preserve">		[StringLength(MaxColorLength)]
		public virtual string Color { get; set; }
</v>
      </c>
      <c r="K13" s="7"/>
      <c r="L13" t="str">
        <f t="shared" ref="L13:L15" si="27">IF(K13="","",REPT(CHAR(9),1)&amp;"[Index(nameof("&amp;IF(D13="","",""&amp;D13)&amp;")"&amp;", Name="&amp;"""IX_"&amp;$B$7&amp;"_"&amp;D13&amp;""")]")</f>
        <v/>
      </c>
      <c r="M13" t="str">
        <f t="shared" si="19"/>
        <v xml:space="preserve">		public virtual string Color { get; set; }
</v>
      </c>
      <c r="N13" t="str">
        <f t="shared" si="20"/>
        <v xml:space="preserve">		[StringLength(PtsAdoTotalDelayConsts.MaxColorLength)]
		public virtual string Color { get; set; }
</v>
      </c>
      <c r="O13" t="str">
        <f t="shared" si="21"/>
        <v xml:space="preserve">		public virtual string Color { get; set; }
</v>
      </c>
      <c r="P13" t="str">
        <f t="shared" si="22"/>
        <v xml:space="preserve">							Color = o.Color,</v>
      </c>
      <c r="T13" s="69" t="str">
        <f t="shared" si="23"/>
        <v xml:space="preserve">								("Color"),</v>
      </c>
      <c r="V13" s="70" t="str">
        <f t="shared" si="24"/>
        <v xml:space="preserve">								_ =&gt; _.Color,</v>
      </c>
      <c r="W13" s="69" t="str">
        <f t="shared" si="25"/>
        <v xml:space="preserve">				.WhereIf(!string.IsNullOrWhiteSpace(input.Color), e =&gt; e.Color.Contains(input.Color))</v>
      </c>
    </row>
    <row r="14" spans="1:23" customFormat="1" ht="21" customHeight="1" x14ac:dyDescent="0.25">
      <c r="A14" t="s">
        <v>278</v>
      </c>
      <c r="B14" t="s">
        <v>275</v>
      </c>
      <c r="C14" t="s">
        <v>1</v>
      </c>
      <c r="D14" t="str">
        <f t="shared" si="26"/>
        <v>Mode</v>
      </c>
      <c r="E14" t="str">
        <f t="shared" si="14"/>
        <v>varchar</v>
      </c>
      <c r="F14" s="7"/>
      <c r="G14" t="str">
        <f t="shared" si="15"/>
        <v>50</v>
      </c>
      <c r="H14" t="str">
        <f>+VLOOKUP(E14,'Data Type Mapping'!A:B,2,)</f>
        <v>string</v>
      </c>
      <c r="I14" t="str">
        <f t="shared" si="16"/>
        <v xml:space="preserve">		public const int MaxModeLength = 50;
</v>
      </c>
      <c r="J14" t="str">
        <f t="shared" si="17"/>
        <v xml:space="preserve">		[StringLength(MaxModeLength)]
		public virtual string Mode { get; set; }
</v>
      </c>
      <c r="K14" s="7"/>
      <c r="L14" t="str">
        <f t="shared" si="27"/>
        <v/>
      </c>
      <c r="M14" t="str">
        <f t="shared" si="19"/>
        <v xml:space="preserve">		public virtual string Mode { get; set; }
</v>
      </c>
      <c r="N14" t="str">
        <f t="shared" si="20"/>
        <v xml:space="preserve">		[StringLength(PtsAdoTotalDelayConsts.MaxModeLength)]
		public virtual string Mode { get; set; }
</v>
      </c>
      <c r="O14" t="str">
        <f t="shared" si="21"/>
        <v xml:space="preserve">		public virtual string Mode { get; set; }
</v>
      </c>
      <c r="P14" t="str">
        <f t="shared" si="22"/>
        <v xml:space="preserve">							Mode = o.Mode,</v>
      </c>
      <c r="T14" s="69" t="str">
        <f t="shared" si="23"/>
        <v xml:space="preserve">								("Mode"),</v>
      </c>
      <c r="V14" s="70" t="str">
        <f t="shared" si="24"/>
        <v xml:space="preserve">								_ =&gt; _.Mode,</v>
      </c>
      <c r="W14" s="69" t="str">
        <f t="shared" si="25"/>
        <v xml:space="preserve">				.WhereIf(!string.IsNullOrWhiteSpace(input.Mode), e =&gt; e.Mode.Contains(input.Mode))</v>
      </c>
    </row>
    <row r="15" spans="1:23" customFormat="1" ht="18.75" customHeight="1" x14ac:dyDescent="0.25">
      <c r="A15" t="s">
        <v>279</v>
      </c>
      <c r="B15" t="s">
        <v>280</v>
      </c>
      <c r="C15" t="s">
        <v>1</v>
      </c>
      <c r="D15" t="str">
        <f t="shared" si="26"/>
        <v>TargetRepair</v>
      </c>
      <c r="E15" t="str">
        <f t="shared" si="14"/>
        <v>varchar</v>
      </c>
      <c r="F15" s="7"/>
      <c r="G15" t="str">
        <f t="shared" si="15"/>
        <v>100</v>
      </c>
      <c r="H15" t="str">
        <f>+VLOOKUP(E15,'Data Type Mapping'!A:B,2,)</f>
        <v>string</v>
      </c>
      <c r="I15" t="str">
        <f t="shared" si="16"/>
        <v xml:space="preserve">		public const int MaxTargetRepairLength = 100;
</v>
      </c>
      <c r="J15" t="str">
        <f t="shared" si="17"/>
        <v xml:space="preserve">		[StringLength(MaxTargetRepairLength)]
		public virtual string TargetRepair { get; set; }
</v>
      </c>
      <c r="K15" s="7"/>
      <c r="L15" t="str">
        <f t="shared" si="27"/>
        <v/>
      </c>
      <c r="M15" t="str">
        <f t="shared" si="19"/>
        <v xml:space="preserve">		public virtual string TargetRepair { get; set; }
</v>
      </c>
      <c r="N15" t="str">
        <f t="shared" si="20"/>
        <v xml:space="preserve">		[StringLength(PtsAdoTotalDelayConsts.MaxTargetRepairLength)]
		public virtual string TargetRepair { get; set; }
</v>
      </c>
      <c r="O15" t="str">
        <f t="shared" si="21"/>
        <v xml:space="preserve">		public virtual string TargetRepair { get; set; }
</v>
      </c>
      <c r="P15" t="str">
        <f t="shared" si="22"/>
        <v xml:space="preserve">							TargetRepair = o.TargetRepair,</v>
      </c>
      <c r="T15" s="69" t="str">
        <f t="shared" si="23"/>
        <v xml:space="preserve">								("TargetRepair"),</v>
      </c>
      <c r="V15" s="70" t="str">
        <f t="shared" si="24"/>
        <v xml:space="preserve">								_ =&gt; _.TargetRepair,</v>
      </c>
      <c r="W15" s="69" t="str">
        <f t="shared" si="25"/>
        <v xml:space="preserve">				.WhereIf(!string.IsNullOrWhiteSpace(input.TargetRepair), e =&gt; e.TargetRepair.Contains(input.TargetRepair))</v>
      </c>
    </row>
    <row r="16" spans="1:23" customFormat="1" ht="22.5" customHeight="1" x14ac:dyDescent="0.25">
      <c r="A16" t="s">
        <v>281</v>
      </c>
      <c r="B16" t="s">
        <v>282</v>
      </c>
      <c r="C16" t="s">
        <v>1</v>
      </c>
      <c r="D16" t="str">
        <f>SUBSTITUTE(PROPER(A16),"_","")</f>
        <v>StartRepair</v>
      </c>
      <c r="E16" t="str">
        <f t="shared" si="14"/>
        <v>datetime2</v>
      </c>
      <c r="F16" s="7" t="s">
        <v>282</v>
      </c>
      <c r="G16" t="str">
        <f t="shared" si="15"/>
        <v>7</v>
      </c>
      <c r="H16" t="str">
        <f>+VLOOKUP(E16,'Data Type Mapping'!A:B,2,)</f>
        <v>DateTime</v>
      </c>
      <c r="I16" t="str">
        <f t="shared" si="16"/>
        <v/>
      </c>
      <c r="J16" t="str">
        <f t="shared" si="17"/>
        <v xml:space="preserve">		[Column(TypeName="datetime2(7)")]
		public virtual DateTime StartRepair { get; set; }
</v>
      </c>
      <c r="K16" s="7"/>
      <c r="L16" t="str">
        <f>IF(K16="","",REPT(CHAR(9),1)&amp;"[Index(nameof("&amp;IF(D16="","",""&amp;D16)&amp;")"&amp;", Name="&amp;"""IX_"&amp;$B$7&amp;"_"&amp;D16&amp;""")]")</f>
        <v/>
      </c>
      <c r="M16" t="str">
        <f t="shared" si="19"/>
        <v xml:space="preserve">		public virtual DateTime? StartRepair { get; set; }
</v>
      </c>
      <c r="N16" t="str">
        <f t="shared" si="20"/>
        <v xml:space="preserve">		public virtual DateTime? StartRepair { get; set; }
</v>
      </c>
      <c r="O16" t="str">
        <f t="shared" si="21"/>
        <v xml:space="preserve">		public virtual DateTime? StartRepair { get; set; }
</v>
      </c>
      <c r="P16" t="str">
        <f t="shared" si="22"/>
        <v xml:space="preserve">							StartRepair = o.StartRepair,</v>
      </c>
      <c r="T16" s="69" t="str">
        <f t="shared" si="23"/>
        <v xml:space="preserve">								("StartRepair"),</v>
      </c>
      <c r="V16" s="70" t="str">
        <f t="shared" si="24"/>
        <v xml:space="preserve">								_ =&gt; _.StartRepair,</v>
      </c>
      <c r="W16" s="69" t="str">
        <f t="shared" si="25"/>
        <v xml:space="preserve">				.WhereIf(input.StartRepair.HasValue, t =&gt; t.StartRepair == input.StartRepair.Value)</v>
      </c>
    </row>
    <row r="17" spans="1:23" customFormat="1" ht="21" customHeight="1" x14ac:dyDescent="0.25">
      <c r="A17" t="s">
        <v>283</v>
      </c>
      <c r="B17" t="s">
        <v>280</v>
      </c>
      <c r="C17" t="s">
        <v>1</v>
      </c>
      <c r="D17" t="str">
        <f t="shared" ref="D17:D18" si="28">SUBSTITUTE(PROPER(A17),"_","")</f>
        <v>Location</v>
      </c>
      <c r="E17" t="str">
        <f t="shared" si="14"/>
        <v>varchar</v>
      </c>
      <c r="F17" s="7"/>
      <c r="G17" t="str">
        <f t="shared" si="15"/>
        <v>100</v>
      </c>
      <c r="H17" t="str">
        <f>+VLOOKUP(E17,'Data Type Mapping'!A:B,2,)</f>
        <v>string</v>
      </c>
      <c r="I17" t="str">
        <f t="shared" si="16"/>
        <v xml:space="preserve">		public const int MaxLocationLength = 100;
</v>
      </c>
      <c r="J17" t="str">
        <f t="shared" si="17"/>
        <v xml:space="preserve">		[StringLength(MaxLocationLength)]
		public virtual string Location { get; set; }
</v>
      </c>
      <c r="K17" s="7"/>
      <c r="L17" t="str">
        <f t="shared" ref="L17:L18" si="29">IF(K17="","",REPT(CHAR(9),1)&amp;"[Index(nameof("&amp;IF(D17="","",""&amp;D17)&amp;")"&amp;", Name="&amp;"""IX_"&amp;$B$7&amp;"_"&amp;D17&amp;""")]")</f>
        <v/>
      </c>
      <c r="M17" t="str">
        <f t="shared" si="19"/>
        <v xml:space="preserve">		public virtual string Location { get; set; }
</v>
      </c>
      <c r="N17" t="str">
        <f t="shared" si="20"/>
        <v xml:space="preserve">		[StringLength(PtsAdoTotalDelayConsts.MaxLocationLength)]
		public virtual string Location { get; set; }
</v>
      </c>
      <c r="O17" t="str">
        <f t="shared" si="21"/>
        <v xml:space="preserve">		public virtual string Location { get; set; }
</v>
      </c>
      <c r="P17" t="str">
        <f t="shared" si="22"/>
        <v xml:space="preserve">							Location = o.Location,</v>
      </c>
      <c r="T17" s="69" t="str">
        <f t="shared" si="23"/>
        <v xml:space="preserve">								("Location"),</v>
      </c>
      <c r="V17" s="70" t="str">
        <f t="shared" si="24"/>
        <v xml:space="preserve">								_ =&gt; _.Location,</v>
      </c>
      <c r="W17" s="69" t="str">
        <f t="shared" si="25"/>
        <v xml:space="preserve">				.WhereIf(!string.IsNullOrWhiteSpace(input.Location), e =&gt; e.Location.Contains(input.Location))</v>
      </c>
    </row>
    <row r="18" spans="1:23" customFormat="1" ht="18.75" customHeight="1" x14ac:dyDescent="0.25">
      <c r="A18" t="s">
        <v>284</v>
      </c>
      <c r="B18" t="s">
        <v>282</v>
      </c>
      <c r="C18" t="s">
        <v>1</v>
      </c>
      <c r="D18" t="str">
        <f t="shared" si="28"/>
        <v>AInPlanDate</v>
      </c>
      <c r="E18" t="str">
        <f t="shared" si="14"/>
        <v>datetime2</v>
      </c>
      <c r="F18" s="7" t="s">
        <v>282</v>
      </c>
      <c r="G18" t="str">
        <f t="shared" si="15"/>
        <v>7</v>
      </c>
      <c r="H18" t="str">
        <f>+VLOOKUP(E18,'Data Type Mapping'!A:B,2,)</f>
        <v>DateTime</v>
      </c>
      <c r="I18" t="str">
        <f t="shared" si="16"/>
        <v/>
      </c>
      <c r="J18" t="str">
        <f t="shared" si="17"/>
        <v xml:space="preserve">		[Column(TypeName="datetime2(7)")]
		public virtual DateTime AInPlanDate { get; set; }
</v>
      </c>
      <c r="K18" s="7"/>
      <c r="L18" t="str">
        <f t="shared" si="29"/>
        <v/>
      </c>
      <c r="M18" t="str">
        <f t="shared" si="19"/>
        <v xml:space="preserve">		public virtual DateTime? AInPlanDate { get; set; }
</v>
      </c>
      <c r="N18" t="str">
        <f t="shared" si="20"/>
        <v xml:space="preserve">		public virtual DateTime? AInPlanDate { get; set; }
</v>
      </c>
      <c r="O18" t="str">
        <f t="shared" si="21"/>
        <v xml:space="preserve">		public virtual DateTime? AInPlanDate { get; set; }
</v>
      </c>
      <c r="P18" t="str">
        <f t="shared" si="22"/>
        <v xml:space="preserve">							AInPlanDate = o.AInPlanDate,</v>
      </c>
      <c r="T18" s="69" t="str">
        <f t="shared" si="23"/>
        <v xml:space="preserve">								("AInPlanDate"),</v>
      </c>
      <c r="V18" s="70" t="str">
        <f t="shared" si="24"/>
        <v xml:space="preserve">								_ =&gt; _.AInPlanDate,</v>
      </c>
      <c r="W18" s="69" t="str">
        <f t="shared" si="25"/>
        <v xml:space="preserve">				.WhereIf(input.AInPlanDate.HasValue, t =&gt; t.AInPlanDate == input.AInPlanDate.Value)</v>
      </c>
    </row>
    <row r="19" spans="1:23" customFormat="1" ht="22.5" customHeight="1" x14ac:dyDescent="0.25">
      <c r="A19" t="s">
        <v>285</v>
      </c>
      <c r="B19" t="s">
        <v>282</v>
      </c>
      <c r="C19" t="s">
        <v>1</v>
      </c>
      <c r="D19" t="str">
        <f>SUBSTITUTE(PROPER(A19),"_","")</f>
        <v>EdInAct</v>
      </c>
      <c r="E19" t="str">
        <f t="shared" ref="E19:E23" si="30">IFERROR(LEFT(B19, FIND("(",B19)-1),B19)</f>
        <v>datetime2</v>
      </c>
      <c r="F19" s="7" t="s">
        <v>282</v>
      </c>
      <c r="G19" t="str">
        <f t="shared" ref="G19:G23" si="31">IFERROR(MID(B19,FIND("(",B19) +1, FIND(")",B19) - FIND("(",B19) - 1),"")</f>
        <v>7</v>
      </c>
      <c r="H19" t="str">
        <f>+VLOOKUP(E19,'Data Type Mapping'!A:B,2,)</f>
        <v>DateTime</v>
      </c>
      <c r="I19" t="str">
        <f t="shared" ref="I19:I23" si="32">IF(H19="string",REPT(CHAR(9),2)&amp;"public const int Max"&amp;D19&amp;"Length = "&amp;G19&amp;";"&amp;$E$3,"" )</f>
        <v/>
      </c>
      <c r="J19" t="str">
        <f t="shared" ref="J19:J23" si="33">IF(F19="","",REPT(CHAR(9),2)&amp;"[Column(TypeName="""&amp;F19&amp;""")]"&amp;$E$3)&amp;IF(C19="Checked","",$I$3)&amp;IF(H19="string",REPT(CHAR(9),2)&amp;"[StringLength(Max"&amp;D19&amp;"Length"&amp;")]"&amp;$E$3,"")&amp;REPT(CHAR(9),2)&amp;"public virtual "&amp;H19&amp;IF(C19="?","? "," ")&amp;D19&amp;" { get; set; }" &amp; "
"</f>
        <v xml:space="preserve">		[Column(TypeName="datetime2(7)")]
		public virtual DateTime EdInAct { get; set; }
</v>
      </c>
      <c r="K19" s="7"/>
      <c r="L19" t="str">
        <f>IF(K19="","",REPT(CHAR(9),1)&amp;"[Index(nameof("&amp;IF(D19="","",""&amp;D19)&amp;")"&amp;", Name="&amp;"""IX_"&amp;$B$7&amp;"_"&amp;D19&amp;""")]")</f>
        <v/>
      </c>
      <c r="M19" t="str">
        <f>REPT(CHAR(9),2)&amp;"public virtual "&amp;IF(OR(H19="DateTime",H19="TimeSpan"),H19&amp;"?",H19)&amp;IF(C19="?","? "," ")&amp;D19&amp;" { get; set; }" &amp; "
"</f>
        <v xml:space="preserve">		public virtual DateTime? EdInAct { get; set; }
</v>
      </c>
      <c r="N19" t="str">
        <f>IF(C19="Checked","",$I$3)&amp;IF(H19="string",REPT(CHAR(9),2)&amp;"[StringLength("&amp;$B$3&amp;"Consts.Max"&amp;D19&amp;"Length"&amp;")]"&amp;$E$3,"")&amp;REPT(CHAR(9),2)&amp;"public virtual "&amp;IF(OR(H19="DateTime",H19="TimeSpan"),H19&amp;"?",H19)&amp;IF(C19="?","? "," ")&amp;D19&amp;" { get; set; }" &amp; "
"</f>
        <v xml:space="preserve">		public virtual DateTime? EdInAct { get; set; }
</v>
      </c>
      <c r="O19" t="str">
        <f>IF(OR(H19="string",H19="DateTime",H19="int"),REPT(CHAR(9),2)&amp;"public virtual "&amp;IF(OR(H19="DateTime",H19="TimeSpan"),H19&amp;"?",H19)&amp;IF(C19="?","? "," ")&amp;D19&amp;" { get; set; }"&amp;$E$3,"")</f>
        <v xml:space="preserve">		public virtual DateTime? EdInAct { get; set; }
</v>
      </c>
      <c r="P19" t="str">
        <f t="shared" ref="P19:P23" si="34">REPT(CHAR(9),7)&amp;D19&amp;" = o." &amp;D19 &amp;","</f>
        <v xml:space="preserve">							EdInAct = o.EdInAct,</v>
      </c>
      <c r="T19" s="69" t="str">
        <f>REPT(CHAR(9),8)&amp;"("""&amp;D19&amp;"""),"</f>
        <v xml:space="preserve">								("EdInAct"),</v>
      </c>
      <c r="V19" s="70" t="str">
        <f>REPT(CHAR(9),8)&amp;"_ =&gt; _."&amp;D19&amp;","</f>
        <v xml:space="preserve">								_ =&gt; _.EdInAct,</v>
      </c>
      <c r="W19" s="69" t="str">
        <f>IF(H19="string",REPT(CHAR(9),4)&amp;".WhereIf(!string.IsNullOrWhiteSpace(input."&amp;D19&amp;"), e =&gt; e."&amp;D19&amp;".Contains(input."&amp;D19&amp;"))",IF(H19="DateTime",REPT(CHAR(9),4)&amp;".WhereIf(input."&amp;D19&amp;".HasValue, t =&gt; t."&amp;D19&amp;" == input."&amp;D19&amp;".Value)",""))</f>
        <v xml:space="preserve">				.WhereIf(input.EdInAct.HasValue, t =&gt; t.EdInAct == input.EdInAct.Value)</v>
      </c>
    </row>
    <row r="20" spans="1:23" customFormat="1" ht="21" customHeight="1" x14ac:dyDescent="0.25">
      <c r="A20" t="s">
        <v>286</v>
      </c>
      <c r="B20" t="s">
        <v>282</v>
      </c>
      <c r="C20" t="s">
        <v>1</v>
      </c>
      <c r="D20" t="str">
        <f t="shared" ref="D20:D21" si="35">SUBSTITUTE(PROPER(A20),"_","")</f>
        <v>RepairIn</v>
      </c>
      <c r="E20" t="str">
        <f t="shared" si="30"/>
        <v>datetime2</v>
      </c>
      <c r="F20" s="7" t="s">
        <v>282</v>
      </c>
      <c r="G20" t="str">
        <f t="shared" si="31"/>
        <v>7</v>
      </c>
      <c r="H20" t="str">
        <f>+VLOOKUP(E20,'Data Type Mapping'!A:B,2,)</f>
        <v>DateTime</v>
      </c>
      <c r="I20" t="str">
        <f t="shared" si="32"/>
        <v/>
      </c>
      <c r="J20" t="str">
        <f t="shared" si="33"/>
        <v xml:space="preserve">		[Column(TypeName="datetime2(7)")]
		public virtual DateTime RepairIn { get; set; }
</v>
      </c>
      <c r="K20" s="7"/>
      <c r="L20" t="str">
        <f t="shared" ref="L20:L21" si="36">IF(K20="","",REPT(CHAR(9),1)&amp;"[Index(nameof("&amp;IF(D20="","",""&amp;D20)&amp;")"&amp;", Name="&amp;"""IX_"&amp;$B$7&amp;"_"&amp;D20&amp;""")]")</f>
        <v/>
      </c>
      <c r="M20" t="str">
        <f t="shared" ref="M20:M23" si="37">REPT(CHAR(9),2)&amp;"public virtual "&amp;IF(OR(H20="DateTime",H20="TimeSpan"),H20&amp;"?",H20)&amp;IF(C20="?","? "," ")&amp;D20&amp;" { get; set; }" &amp; "
"</f>
        <v xml:space="preserve">		public virtual DateTime? RepairIn { get; set; }
</v>
      </c>
      <c r="N20" t="str">
        <f t="shared" ref="N20:N23" si="38">IF(C20="Checked","",$I$3)&amp;IF(H20="string",REPT(CHAR(9),2)&amp;"[StringLength("&amp;$B$3&amp;"Consts.Max"&amp;D20&amp;"Length"&amp;")]"&amp;$E$3,"")&amp;REPT(CHAR(9),2)&amp;"public virtual "&amp;IF(OR(H20="DateTime",H20="TimeSpan"),H20&amp;"?",H20)&amp;IF(C20="?","? "," ")&amp;D20&amp;" { get; set; }" &amp; "
"</f>
        <v xml:space="preserve">		public virtual DateTime? RepairIn { get; set; }
</v>
      </c>
      <c r="O20" t="str">
        <f t="shared" ref="O20:O23" si="39">IF(OR(H20="string",H20="DateTime",H20="int"),REPT(CHAR(9),2)&amp;"public virtual "&amp;IF(OR(H20="DateTime",H20="TimeSpan"),H20&amp;"?",H20)&amp;IF(C20="?","? "," ")&amp;D20&amp;" { get; set; }"&amp;$E$3,"")</f>
        <v xml:space="preserve">		public virtual DateTime? RepairIn { get; set; }
</v>
      </c>
      <c r="P20" t="str">
        <f t="shared" si="34"/>
        <v xml:space="preserve">							RepairIn = o.RepairIn,</v>
      </c>
      <c r="T20" s="69" t="str">
        <f t="shared" ref="T20:T23" si="40">REPT(CHAR(9),8)&amp;"("""&amp;D20&amp;"""),"</f>
        <v xml:space="preserve">								("RepairIn"),</v>
      </c>
      <c r="V20" s="70" t="str">
        <f t="shared" ref="V20:V23" si="41">REPT(CHAR(9),8)&amp;"_ =&gt; _."&amp;D20&amp;","</f>
        <v xml:space="preserve">								_ =&gt; _.RepairIn,</v>
      </c>
      <c r="W20" s="69" t="str">
        <f t="shared" ref="W20:W23" si="42">IF(H20="string",REPT(CHAR(9),4)&amp;".WhereIf(!string.IsNullOrWhiteSpace(input."&amp;D20&amp;"), e =&gt; e."&amp;D20&amp;".Contains(input."&amp;D20&amp;"))",IF(H20="DateTime",REPT(CHAR(9),4)&amp;".WhereIf(input."&amp;D20&amp;".HasValue, t =&gt; t."&amp;D20&amp;" == input."&amp;D20&amp;".Value)",""))</f>
        <v xml:space="preserve">				.WhereIf(input.RepairIn.HasValue, t =&gt; t.RepairIn == input.RepairIn.Value)</v>
      </c>
    </row>
    <row r="21" spans="1:23" customFormat="1" ht="18.75" customHeight="1" x14ac:dyDescent="0.25">
      <c r="A21" t="s">
        <v>287</v>
      </c>
      <c r="B21" t="s">
        <v>282</v>
      </c>
      <c r="C21" t="s">
        <v>1</v>
      </c>
      <c r="D21" t="str">
        <f t="shared" si="35"/>
        <v>Leadtime</v>
      </c>
      <c r="E21" t="str">
        <f t="shared" si="30"/>
        <v>datetime2</v>
      </c>
      <c r="F21" s="7" t="s">
        <v>282</v>
      </c>
      <c r="G21" t="str">
        <f t="shared" si="31"/>
        <v>7</v>
      </c>
      <c r="H21" t="str">
        <f>+VLOOKUP(E21,'Data Type Mapping'!A:B,2,)</f>
        <v>DateTime</v>
      </c>
      <c r="I21" t="str">
        <f t="shared" si="32"/>
        <v/>
      </c>
      <c r="J21" t="str">
        <f t="shared" si="33"/>
        <v xml:space="preserve">		[Column(TypeName="datetime2(7)")]
		public virtual DateTime Leadtime { get; set; }
</v>
      </c>
      <c r="K21" s="7"/>
      <c r="L21" t="str">
        <f t="shared" si="36"/>
        <v/>
      </c>
      <c r="M21" t="str">
        <f t="shared" si="37"/>
        <v xml:space="preserve">		public virtual DateTime? Leadtime { get; set; }
</v>
      </c>
      <c r="N21" t="str">
        <f t="shared" si="38"/>
        <v xml:space="preserve">		public virtual DateTime? Leadtime { get; set; }
</v>
      </c>
      <c r="O21" t="str">
        <f t="shared" si="39"/>
        <v xml:space="preserve">		public virtual DateTime? Leadtime { get; set; }
</v>
      </c>
      <c r="P21" t="str">
        <f t="shared" si="34"/>
        <v xml:space="preserve">							Leadtime = o.Leadtime,</v>
      </c>
      <c r="T21" s="69" t="str">
        <f t="shared" si="40"/>
        <v xml:space="preserve">								("Leadtime"),</v>
      </c>
      <c r="V21" s="70" t="str">
        <f t="shared" si="41"/>
        <v xml:space="preserve">								_ =&gt; _.Leadtime,</v>
      </c>
      <c r="W21" s="69" t="str">
        <f t="shared" si="42"/>
        <v xml:space="preserve">				.WhereIf(input.Leadtime.HasValue, t =&gt; t.Leadtime == input.Leadtime.Value)</v>
      </c>
    </row>
    <row r="22" spans="1:23" customFormat="1" ht="22.5" customHeight="1" x14ac:dyDescent="0.25">
      <c r="A22" t="s">
        <v>288</v>
      </c>
      <c r="B22" t="s">
        <v>282</v>
      </c>
      <c r="C22" t="s">
        <v>1</v>
      </c>
      <c r="D22" t="str">
        <f>SUBSTITUTE(PROPER(A22),"_","")</f>
        <v>LeadtimePlus</v>
      </c>
      <c r="E22" t="str">
        <f t="shared" si="30"/>
        <v>datetime2</v>
      </c>
      <c r="F22" s="7" t="s">
        <v>282</v>
      </c>
      <c r="G22" t="str">
        <f t="shared" si="31"/>
        <v>7</v>
      </c>
      <c r="H22" t="str">
        <f>+VLOOKUP(E22,'Data Type Mapping'!A:B,2,)</f>
        <v>DateTime</v>
      </c>
      <c r="I22" t="str">
        <f t="shared" si="32"/>
        <v/>
      </c>
      <c r="J22" t="str">
        <f t="shared" si="33"/>
        <v xml:space="preserve">		[Column(TypeName="datetime2(7)")]
		public virtual DateTime LeadtimePlus { get; set; }
</v>
      </c>
      <c r="K22" s="7"/>
      <c r="L22" t="str">
        <f>IF(K22="","",REPT(CHAR(9),1)&amp;"[Index(nameof("&amp;IF(D22="","",""&amp;D22)&amp;")"&amp;", Name="&amp;"""IX_"&amp;$B$7&amp;"_"&amp;D22&amp;""")]")</f>
        <v/>
      </c>
      <c r="M22" t="str">
        <f t="shared" si="37"/>
        <v xml:space="preserve">		public virtual DateTime? LeadtimePlus { get; set; }
</v>
      </c>
      <c r="N22" t="str">
        <f t="shared" si="38"/>
        <v xml:space="preserve">		public virtual DateTime? LeadtimePlus { get; set; }
</v>
      </c>
      <c r="O22" t="str">
        <f t="shared" si="39"/>
        <v xml:space="preserve">		public virtual DateTime? LeadtimePlus { get; set; }
</v>
      </c>
      <c r="P22" t="str">
        <f t="shared" si="34"/>
        <v xml:space="preserve">							LeadtimePlus = o.LeadtimePlus,</v>
      </c>
      <c r="T22" s="69" t="str">
        <f t="shared" si="40"/>
        <v xml:space="preserve">								("LeadtimePlus"),</v>
      </c>
      <c r="V22" s="70" t="str">
        <f t="shared" si="41"/>
        <v xml:space="preserve">								_ =&gt; _.LeadtimePlus,</v>
      </c>
      <c r="W22" s="69" t="str">
        <f t="shared" si="42"/>
        <v xml:space="preserve">				.WhereIf(input.LeadtimePlus.HasValue, t =&gt; t.LeadtimePlus == input.LeadtimePlus.Value)</v>
      </c>
    </row>
    <row r="23" spans="1:23" customFormat="1" ht="21" customHeight="1" x14ac:dyDescent="0.25">
      <c r="A23" t="s">
        <v>289</v>
      </c>
      <c r="B23" t="s">
        <v>282</v>
      </c>
      <c r="C23" t="s">
        <v>1</v>
      </c>
      <c r="D23" t="str">
        <f t="shared" ref="D23" si="43">SUBSTITUTE(PROPER(A23),"_","")</f>
        <v>Etd</v>
      </c>
      <c r="E23" t="str">
        <f t="shared" si="30"/>
        <v>datetime2</v>
      </c>
      <c r="F23" s="7" t="s">
        <v>282</v>
      </c>
      <c r="G23" t="str">
        <f t="shared" si="31"/>
        <v>7</v>
      </c>
      <c r="H23" t="str">
        <f>+VLOOKUP(E23,'Data Type Mapping'!A:B,2,)</f>
        <v>DateTime</v>
      </c>
      <c r="I23" t="str">
        <f t="shared" si="32"/>
        <v/>
      </c>
      <c r="J23" t="str">
        <f t="shared" si="33"/>
        <v xml:space="preserve">		[Column(TypeName="datetime2(7)")]
		public virtual DateTime Etd { get; set; }
</v>
      </c>
      <c r="K23" s="7"/>
      <c r="L23" t="str">
        <f t="shared" ref="L23" si="44">IF(K23="","",REPT(CHAR(9),1)&amp;"[Index(nameof("&amp;IF(D23="","",""&amp;D23)&amp;")"&amp;", Name="&amp;"""IX_"&amp;$B$7&amp;"_"&amp;D23&amp;""")]")</f>
        <v/>
      </c>
      <c r="M23" t="str">
        <f t="shared" si="37"/>
        <v xml:space="preserve">		public virtual DateTime? Etd { get; set; }
</v>
      </c>
      <c r="N23" t="str">
        <f t="shared" si="38"/>
        <v xml:space="preserve">		public virtual DateTime? Etd { get; set; }
</v>
      </c>
      <c r="O23" t="str">
        <f t="shared" si="39"/>
        <v xml:space="preserve">		public virtual DateTime? Etd { get; set; }
</v>
      </c>
      <c r="P23" t="str">
        <f t="shared" si="34"/>
        <v xml:space="preserve">							Etd = o.Etd,</v>
      </c>
      <c r="T23" s="69" t="str">
        <f t="shared" si="40"/>
        <v xml:space="preserve">								("Etd"),</v>
      </c>
      <c r="V23" s="70" t="str">
        <f t="shared" si="41"/>
        <v xml:space="preserve">								_ =&gt; _.Etd,</v>
      </c>
      <c r="W23" s="69" t="str">
        <f t="shared" si="42"/>
        <v xml:space="preserve">				.WhereIf(input.Etd.HasValue, t =&gt; t.Etd == input.Etd.Value)</v>
      </c>
    </row>
    <row r="24" spans="1:23" customFormat="1" ht="21" customHeight="1" x14ac:dyDescent="0.25">
      <c r="A24" t="s">
        <v>290</v>
      </c>
      <c r="B24" t="s">
        <v>282</v>
      </c>
      <c r="C24" t="s">
        <v>1</v>
      </c>
      <c r="D24" t="str">
        <f t="shared" ref="D24" si="45">SUBSTITUTE(PROPER(A24),"_","")</f>
        <v>RecoatIn</v>
      </c>
      <c r="E24" t="str">
        <f t="shared" ref="E24" si="46">IFERROR(LEFT(B24, FIND("(",B24)-1),B24)</f>
        <v>datetime2</v>
      </c>
      <c r="F24" s="7" t="s">
        <v>282</v>
      </c>
      <c r="G24" t="str">
        <f t="shared" ref="G24" si="47">IFERROR(MID(B24,FIND("(",B24) +1, FIND(")",B24) - FIND("(",B24) - 1),"")</f>
        <v>7</v>
      </c>
      <c r="H24" t="str">
        <f>+VLOOKUP(E24,'Data Type Mapping'!A:B,2,)</f>
        <v>DateTime</v>
      </c>
      <c r="I24" t="str">
        <f t="shared" ref="I24" si="48">IF(H24="string",REPT(CHAR(9),2)&amp;"public const int Max"&amp;D24&amp;"Length = "&amp;G24&amp;";"&amp;$E$3,"" )</f>
        <v/>
      </c>
      <c r="J24" t="str">
        <f t="shared" ref="J24" si="49">IF(F24="","",REPT(CHAR(9),2)&amp;"[Column(TypeName="""&amp;F24&amp;""")]"&amp;$E$3)&amp;IF(C24="Checked","",$I$3)&amp;IF(H24="string",REPT(CHAR(9),2)&amp;"[StringLength(Max"&amp;D24&amp;"Length"&amp;")]"&amp;$E$3,"")&amp;REPT(CHAR(9),2)&amp;"public virtual "&amp;H24&amp;IF(C24="?","? "," ")&amp;D24&amp;" { get; set; }" &amp; "
"</f>
        <v xml:space="preserve">		[Column(TypeName="datetime2(7)")]
		public virtual DateTime RecoatIn { get; set; }
</v>
      </c>
      <c r="K24" s="7"/>
      <c r="L24" t="str">
        <f t="shared" ref="L24" si="50">IF(K24="","",REPT(CHAR(9),1)&amp;"[Index(nameof("&amp;IF(D24="","",""&amp;D24)&amp;")"&amp;", Name="&amp;"""IX_"&amp;$B$7&amp;"_"&amp;D24&amp;""")]")</f>
        <v/>
      </c>
      <c r="M24" t="str">
        <f t="shared" ref="M24" si="51">REPT(CHAR(9),2)&amp;"public virtual "&amp;IF(OR(H24="DateTime",H24="TimeSpan"),H24&amp;"?",H24)&amp;IF(C24="?","? "," ")&amp;D24&amp;" { get; set; }" &amp; "
"</f>
        <v xml:space="preserve">		public virtual DateTime? RecoatIn { get; set; }
</v>
      </c>
      <c r="N24" t="str">
        <f t="shared" ref="N24" si="52">IF(C24="Checked","",$I$3)&amp;IF(H24="string",REPT(CHAR(9),2)&amp;"[StringLength("&amp;$B$3&amp;"Consts.Max"&amp;D24&amp;"Length"&amp;")]"&amp;$E$3,"")&amp;REPT(CHAR(9),2)&amp;"public virtual "&amp;IF(OR(H24="DateTime",H24="TimeSpan"),H24&amp;"?",H24)&amp;IF(C24="?","? "," ")&amp;D24&amp;" { get; set; }" &amp; "
"</f>
        <v xml:space="preserve">		public virtual DateTime? RecoatIn { get; set; }
</v>
      </c>
      <c r="O24" t="str">
        <f t="shared" ref="O24" si="53">IF(OR(H24="string",H24="DateTime",H24="int"),REPT(CHAR(9),2)&amp;"public virtual "&amp;IF(OR(H24="DateTime",H24="TimeSpan"),H24&amp;"?",H24)&amp;IF(C24="?","? "," ")&amp;D24&amp;" { get; set; }"&amp;$E$3,"")</f>
        <v xml:space="preserve">		public virtual DateTime? RecoatIn { get; set; }
</v>
      </c>
      <c r="P24" t="str">
        <f t="shared" ref="P24" si="54">REPT(CHAR(9),7)&amp;D24&amp;" = o." &amp;D24 &amp;","</f>
        <v xml:space="preserve">							RecoatIn = o.RecoatIn,</v>
      </c>
      <c r="T24" s="69" t="str">
        <f t="shared" ref="T24" si="55">REPT(CHAR(9),8)&amp;"("""&amp;D24&amp;"""),"</f>
        <v xml:space="preserve">								("RecoatIn"),</v>
      </c>
      <c r="V24" s="70" t="str">
        <f t="shared" ref="V24" si="56">REPT(CHAR(9),8)&amp;"_ =&gt; _."&amp;D24&amp;","</f>
        <v xml:space="preserve">								_ =&gt; _.RecoatIn,</v>
      </c>
      <c r="W24" s="69" t="str">
        <f t="shared" ref="W24" si="57">IF(H24="string",REPT(CHAR(9),4)&amp;".WhereIf(!string.IsNullOrWhiteSpace(input."&amp;D24&amp;"), e =&gt; e."&amp;D24&amp;".Contains(input."&amp;D24&amp;"))",IF(H24="DateTime",REPT(CHAR(9),4)&amp;".WhereIf(input."&amp;D24&amp;".HasValue, t =&gt; t."&amp;D24&amp;" == input."&amp;D24&amp;".Value)",""))</f>
        <v xml:space="preserve">				.WhereIf(input.RecoatIn.HasValue, t =&gt; t.RecoatIn == input.RecoatIn.Value)</v>
      </c>
    </row>
    <row r="25" spans="1:23" customFormat="1" ht="21" customHeight="1" x14ac:dyDescent="0.25">
      <c r="A25" t="s">
        <v>270</v>
      </c>
      <c r="B25" t="s">
        <v>269</v>
      </c>
      <c r="C25" t="s">
        <v>1</v>
      </c>
      <c r="D25" t="str">
        <f t="shared" ref="D25" si="58">SUBSTITUTE(PROPER(A25),"_","")</f>
        <v>IsActive</v>
      </c>
      <c r="E25" t="str">
        <f t="shared" ref="E25" si="59">IFERROR(LEFT(B25, FIND("(",B25)-1),B25)</f>
        <v>varchar</v>
      </c>
      <c r="F25" s="7"/>
      <c r="G25" t="str">
        <f t="shared" ref="G25" si="60">IFERROR(MID(B25,FIND("(",B25) +1, FIND(")",B25) - FIND("(",B25) - 1),"")</f>
        <v>1</v>
      </c>
      <c r="H25" t="str">
        <f>+VLOOKUP(E25,'Data Type Mapping'!A:B,2,)</f>
        <v>string</v>
      </c>
      <c r="I25" t="str">
        <f t="shared" ref="I25" si="61">IF(H25="string",REPT(CHAR(9),2)&amp;"public const int Max"&amp;D25&amp;"Length = "&amp;G25&amp;";"&amp;$E$3,"" )</f>
        <v xml:space="preserve">		public const int MaxIsActiveLength = 1;
</v>
      </c>
      <c r="J25" t="str">
        <f t="shared" ref="J25" si="62">IF(F25="","",REPT(CHAR(9),2)&amp;"[Column(TypeName="""&amp;F25&amp;""")]"&amp;$E$3)&amp;IF(C25="Checked","",$I$3)&amp;IF(H25="string",REPT(CHAR(9),2)&amp;"[StringLength(Max"&amp;D25&amp;"Length"&amp;")]"&amp;$E$3,"")&amp;REPT(CHAR(9),2)&amp;"public virtual "&amp;H25&amp;IF(C25="?","? "," ")&amp;D25&amp;" { get; set; }" &amp; "
"</f>
        <v xml:space="preserve">		[StringLength(MaxIsActiveLength)]
		public virtual string IsActive { get; set; }
</v>
      </c>
      <c r="K25" s="7" t="s">
        <v>206</v>
      </c>
      <c r="L25" t="str">
        <f t="shared" ref="L25" si="63">IF(K25="","",REPT(CHAR(9),1)&amp;"[Index(nameof("&amp;IF(D25="","",""&amp;D25)&amp;")"&amp;", Name="&amp;"""IX_"&amp;$B$7&amp;"_"&amp;D25&amp;""")]")</f>
        <v xml:space="preserve">	[Index(nameof(IsActive), Name="IX_PtsAdoTotalDelay_IsActive")]</v>
      </c>
      <c r="M25" t="str">
        <f t="shared" ref="M25" si="64">REPT(CHAR(9),2)&amp;"public virtual "&amp;IF(OR(H25="DateTime",H25="TimeSpan"),H25&amp;"?",H25)&amp;IF(C25="?","? "," ")&amp;D25&amp;" { get; set; }" &amp; "
"</f>
        <v xml:space="preserve">		public virtual string IsActive { get; set; }
</v>
      </c>
      <c r="N25" t="str">
        <f t="shared" ref="N25" si="65">IF(C25="Checked","",$I$3)&amp;IF(H25="string",REPT(CHAR(9),2)&amp;"[StringLength("&amp;$B$3&amp;"Consts.Max"&amp;D25&amp;"Length"&amp;")]"&amp;$E$3,"")&amp;REPT(CHAR(9),2)&amp;"public virtual "&amp;IF(OR(H25="DateTime",H25="TimeSpan"),H25&amp;"?",H25)&amp;IF(C25="?","? "," ")&amp;D25&amp;" { get; set; }" &amp; "
"</f>
        <v xml:space="preserve">		[StringLength(PtsAdoTotalDelayConsts.MaxIsActiveLength)]
		public virtual string IsActive { get; set; }
</v>
      </c>
      <c r="O25" t="str">
        <f t="shared" ref="O25" si="66">IF(OR(H25="string",H25="DateTime",H25="int"),REPT(CHAR(9),2)&amp;"public virtual "&amp;IF(OR(H25="DateTime",H25="TimeSpan"),H25&amp;"?",H25)&amp;IF(C25="?","? "," ")&amp;D25&amp;" { get; set; }"&amp;$E$3,"")</f>
        <v xml:space="preserve">		public virtual string IsActive { get; set; }
</v>
      </c>
      <c r="P25" t="str">
        <f t="shared" ref="P25" si="67">REPT(CHAR(9),7)&amp;D25&amp;" = o." &amp;D25 &amp;","</f>
        <v xml:space="preserve">							IsActive = o.IsActive,</v>
      </c>
      <c r="T25" s="69" t="str">
        <f t="shared" ref="T25" si="68">REPT(CHAR(9),8)&amp;"("""&amp;D25&amp;"""),"</f>
        <v xml:space="preserve">								("IsActive"),</v>
      </c>
      <c r="V25" s="70" t="str">
        <f t="shared" ref="V25" si="69">REPT(CHAR(9),8)&amp;"_ =&gt; _."&amp;D25&amp;","</f>
        <v xml:space="preserve">								_ =&gt; _.IsActive,</v>
      </c>
      <c r="W25" s="69" t="str">
        <f t="shared" ref="W25" si="70">IF(H25="string",REPT(CHAR(9),4)&amp;".WhereIf(!string.IsNullOrWhiteSpace(input."&amp;D25&amp;"), e =&gt; e."&amp;D25&amp;".Contains(input."&amp;D25&amp;"))",IF(H25="DateTime",REPT(CHAR(9),4)&amp;".WhereIf(input."&amp;D25&amp;".HasValue, t =&gt; t."&amp;D25&amp;" == input."&amp;D25&amp;".Value)",""))</f>
        <v xml:space="preserve">				.WhereIf(!string.IsNullOrWhiteSpace(input.IsActive), e =&gt; e.IsActive.Contains(input.IsActive))</v>
      </c>
    </row>
    <row r="27" spans="1:23" ht="45.75" customHeight="1" x14ac:dyDescent="0.25">
      <c r="H27" s="12"/>
      <c r="I27" s="34" t="str">
        <f ca="1">TEXTJOIN2("
", TRUE,INDIRECT( $H$1):INDIRECT( $H$3))</f>
        <v xml:space="preserve">		public const int MaxBodyNoLength = 50;
		public const int MaxLotNoLength = 50;
		public const int MaxColorLength = 50;
		public const int MaxModeLength = 50;
		public const int MaxTargetRepairLength = 100;
		public const int MaxLocationLength = 100;
		public const int MaxIsActiveLength = 1;
</v>
      </c>
      <c r="J27" s="33" t="str">
        <f ca="1">TEXTJOIN2("
", TRUE,INDIRECT( $F$1):INDIRECT( $F$3))</f>
        <v xml:space="preserve">		public virtual long WipId { get; set; }
		public virtual long ProgressId { get; set; }
		[StringLength(MaxBodyNoLength)]
		public virtual string BodyNo { get; set; }
		[StringLength(MaxLotNoLength)]
		public virtual string LotNo { get; set; }
		[StringLength(MaxColorLength)]
		public virtual string Color { get; set; }
		[StringLength(MaxModeLength)]
		public virtual string Mode { get; set; }
		[StringLength(MaxTargetRepairLength)]
		public virtual string TargetRepair { get; set; }
		[Column(TypeName="datetime2(7)")]
		public virtual DateTime StartRepair { get; set; }
		[StringLength(MaxLocationLength)]
		public virtual string Location { get; set; }
		[Column(TypeName="datetime2(7)")]
		public virtual DateTime AInPlanDate { get; set; }
		[Column(TypeName="datetime2(7)")]
		public virtual DateTime EdInAct { get; set; }
		[Column(TypeName="datetime2(7)")]
		public virtual DateTime RepairIn { get; set; }
		[Column(TypeName="datetime2(7)")]
		public virtual DateTime Leadtime { get; set; }
		[Column(TypeName="datetime2(7)")]
		public virtual DateTime LeadtimePlus { get; set; }
		[Column(TypeName="datetime2(7)")]
		public virtual DateTime Etd { get; set; }
		[Column(TypeName="datetime2(7)")]
		public virtual DateTime RecoatIn { get; set; }
		[StringLength(MaxIsActiveLength)]
		public virtual string IsActive { get; set; }
</v>
      </c>
      <c r="K27" s="35" t="str">
        <f ca="1">TEXTJOIN2("
", TRUE,INDIRECT( $J$1):INDIRECT( $J$3))</f>
        <v xml:space="preserve">	[Index(nameof(WipId), Name="IX_PtsAdoTotalDelay_WipId")]
	[Index(nameof(ProgressId), Name="IX_PtsAdoTotalDelay_ProgressId")]
	[Index(nameof(BodyNo), Name="IX_PtsAdoTotalDelay_BodyNo")]
	[Index(nameof(LotNo), Name="IX_PtsAdoTotalDelay_LotNo")]
	[Index(nameof(IsActive), Name="IX_PtsAdoTotalDelay_IsActive")]</v>
      </c>
      <c r="L27" s="13" t="s">
        <v>60</v>
      </c>
      <c r="M27" s="36" t="str">
        <f ca="1">TEXTJOIN2("
",TRUE,INDIRECT( $L$1):INDIRECT($L$3))</f>
        <v xml:space="preserve">		public virtual long WipId { get; set; }
		public virtual long ProgressId { get; set; }
		public virtual string BodyNo { get; set; }
		public virtual string LotNo { get; set; }
		public virtual string Color { get; set; }
		public virtual string Mode { get; set; }
		public virtual string TargetRepair { get; set; }
		public virtual DateTime? StartRepair { get; set; }
		public virtual string Location { get; set; }
		public virtual DateTime? AInPlanDate { get; set; }
		public virtual DateTime? EdInAct { get; set; }
		public virtual DateTime? RepairIn { get; set; }
		public virtual DateTime? Leadtime { get; set; }
		public virtual DateTime? LeadtimePlus { get; set; }
		public virtual DateTime? Etd { get; set; }
		public virtual DateTime? RecoatIn { get; set; }
		public virtual string IsActive { get; set; }
</v>
      </c>
      <c r="N27" s="33" t="str">
        <f ca="1">TEXTJOIN2("
",TRUE,INDIRECT( $M$1):INDIRECT($M$3))</f>
        <v xml:space="preserve">		public virtual long WipId { get; set; }
		public virtual long ProgressId { get; set; }
		[StringLength(PtsAdoTotalDelayConsts.MaxBodyNoLength)]
		public virtual string BodyNo { get; set; }
		[StringLength(PtsAdoTotalDelayConsts.MaxLotNoLength)]
		public virtual string LotNo { get; set; }
		[StringLength(PtsAdoTotalDelayConsts.MaxColorLength)]
		public virtual string Color { get; set; }
		[StringLength(PtsAdoTotalDelayConsts.MaxModeLength)]
		public virtual string Mode { get; set; }
		[StringLength(PtsAdoTotalDelayConsts.MaxTargetRepairLength)]
		public virtual string TargetRepair { get; set; }
		public virtual DateTime? StartRepair { get; set; }
		[StringLength(PtsAdoTotalDelayConsts.MaxLocationLength)]
		public virtual string Location { get; set; }
		public virtual DateTime? AInPlanDate { get; set; }
		public virtual DateTime? EdInAct { get; set; }
		public virtual DateTime? RepairIn { get; set; }
		public virtual DateTime? Leadtime { get; set; }
		public virtual DateTime? LeadtimePlus { get; set; }
		public virtual DateTime? Etd { get; set; }
		public virtual DateTime? RecoatIn { get; set; }
		[StringLength(PtsAdoTotalDelayConsts.MaxIsActiveLength)]
		public virtual string IsActive { get; set; }
</v>
      </c>
      <c r="O27" s="33" t="str">
        <f ca="1">TEXTJOIN2("
",TRUE,INDIRECT( $N$1):INDIRECT($N$3))</f>
        <v xml:space="preserve">		public virtual string BodyNo { get; set; }
		public virtual string LotNo { get; set; }
		public virtual string Color { get; set; }
		public virtual string Mode { get; set; }
		public virtual string TargetRepair { get; set; }
		public virtual DateTime? StartRepair { get; set; }
		public virtual string Location { get; set; }
		public virtual DateTime? AInPlanDate { get; set; }
		public virtual DateTime? EdInAct { get; set; }
		public virtual DateTime? RepairIn { get; set; }
		public virtual DateTime? Leadtime { get; set; }
		public virtual DateTime? LeadtimePlus { get; set; }
		public virtual DateTime? Etd { get; set; }
		public virtual DateTime? RecoatIn { get; set; }
		public virtual string IsActive { get; set; }
</v>
      </c>
      <c r="P27" s="9" t="str">
        <f ca="1">TEXTJOIN2("
",TRUE,INDIRECT( $O$1):INDIRECT($O$3))</f>
        <v xml:space="preserve">							WipId = o.WipId,
							ProgressId = o.ProgressId,
							BodyNo = o.BodyNo,
							LotNo = o.LotNo,
							Color = o.Color,
							Mode = o.Mode,
							TargetRepair = o.TargetRepair,
							StartRepair = o.StartRepair,
							Location = o.Location,
							AInPlanDate = o.AInPlanDate,
							EdInAct = o.EdInAct,
							RepairIn = o.RepairIn,
							Leadtime = o.Leadtime,
							LeadtimePlus = o.LeadtimePlus,
							Etd = o.Etd,
							RecoatIn = o.RecoatIn,
							IsActive = o.IsActive,</v>
      </c>
      <c r="T27" s="9" t="str">
        <f ca="1">TEXTJOIN2("
",TRUE,INDIRECT( $T$2):INDIRECT($T$3))</f>
        <v xml:space="preserve">								("WipId"),
								("ProgressId"),
								("BodyNo"),
								("LotNo"),
								("Color"),
								("Mode"),
								("TargetRepair"),
								("StartRepair"),
								("Location"),
								("AInPlanDate"),
								("EdInAct"),
								("RepairIn"),
								("Leadtime"),
								("LeadtimePlus"),
								("Etd"),
								("RecoatIn"),
								("IsActive"),</v>
      </c>
      <c r="V27" s="9" t="str">
        <f ca="1">TEXTJOIN2("
",TRUE,INDIRECT( $V$2):INDIRECT($V$3))</f>
        <v xml:space="preserve">								_ =&gt; _.WipId,
								_ =&gt; _.ProgressId,
								_ =&gt; _.BodyNo,
								_ =&gt; _.LotNo,
								_ =&gt; _.Color,
								_ =&gt; _.Mode,
								_ =&gt; _.TargetRepair,
								_ =&gt; _.StartRepair,
								_ =&gt; _.Location,
								_ =&gt; _.AInPlanDate,
								_ =&gt; _.EdInAct,
								_ =&gt; _.RepairIn,
								_ =&gt; _.Leadtime,
								_ =&gt; _.LeadtimePlus,
								_ =&gt; _.Etd,
								_ =&gt; _.RecoatIn,
								_ =&gt; _.IsActive,</v>
      </c>
      <c r="W27" s="9" t="str">
        <f ca="1">TEXTJOIN2("
",TRUE,INDIRECT( $W$2):INDIRECT($W$3))</f>
        <v xml:space="preserve">				.WhereIf(!string.IsNullOrWhiteSpace(input.BodyNo), e =&gt; e.BodyNo.Contains(input.BodyNo))
				.WhereIf(!string.IsNullOrWhiteSpace(input.LotNo), e =&gt; e.LotNo.Contains(input.LotNo))
				.WhereIf(!string.IsNullOrWhiteSpace(input.Color), e =&gt; e.Color.Contains(input.Color))
				.WhereIf(!string.IsNullOrWhiteSpace(input.Mode), e =&gt; e.Mode.Contains(input.Mode))
				.WhereIf(!string.IsNullOrWhiteSpace(input.TargetRepair), e =&gt; e.TargetRepair.Contains(input.TargetRepair))
				.WhereIf(input.StartRepair.HasValue, t =&gt; t.StartRepair == input.StartRepair.Value)
				.WhereIf(!string.IsNullOrWhiteSpace(input.Location), e =&gt; e.Location.Contains(input.Location))
				.WhereIf(input.AInPlanDate.HasValue, t =&gt; t.AInPlanDate == input.AInPlanDate.Value)
				.WhereIf(input.EdInAct.HasValue, t =&gt; t.EdInAct == input.EdInAct.Value)
				.WhereIf(input.RepairIn.HasValue, t =&gt; t.RepairIn == input.RepairIn.Value)
				.WhereIf(input.Leadtime.HasValue, t =&gt; t.Leadtime == input.Leadtime.Value)
				.WhereIf(input.LeadtimePlus.HasValue, t =&gt; t.LeadtimePlus == input.LeadtimePlus.Value)
				.WhereIf(input.Etd.HasValue, t =&gt; t.Etd == input.Etd.Value)
				.WhereIf(input.RecoatIn.HasValue, t =&gt; t.RecoatIn == input.RecoatIn.Value)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V34"/>
  <sheetViews>
    <sheetView tabSelected="1" topLeftCell="A4" workbookViewId="0">
      <selection activeCell="I10" sqref="I10"/>
    </sheetView>
  </sheetViews>
  <sheetFormatPr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4" width="20.42578125" customWidth="1"/>
    <col min="15" max="15" width="20.5703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ht="30" x14ac:dyDescent="0.25">
      <c r="A1" s="41" t="s">
        <v>212</v>
      </c>
      <c r="B1" s="42" t="s">
        <v>291</v>
      </c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</row>
    <row r="2" spans="1:22" x14ac:dyDescent="0.25">
      <c r="A2" s="41" t="s">
        <v>237</v>
      </c>
      <c r="B2" s="42" t="str">
        <f>A.Backend!B4</f>
        <v>Painting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</row>
    <row r="3" spans="1:22" x14ac:dyDescent="0.25">
      <c r="A3" s="41" t="s">
        <v>237</v>
      </c>
      <c r="B3" s="42" t="str">
        <f>LOWER(B2)</f>
        <v>painting</v>
      </c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</row>
    <row r="4" spans="1:22" x14ac:dyDescent="0.25">
      <c r="A4" s="41" t="s">
        <v>214</v>
      </c>
      <c r="B4" s="43" t="str">
        <f>A.Backend!Q3</f>
        <v>Andon</v>
      </c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</row>
    <row r="5" spans="1:22" x14ac:dyDescent="0.25">
      <c r="A5" s="41" t="s">
        <v>214</v>
      </c>
      <c r="B5" s="43" t="str">
        <f>LOWER(B4)</f>
        <v>andon</v>
      </c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</row>
    <row r="6" spans="1:22" x14ac:dyDescent="0.25">
      <c r="A6" s="41" t="s">
        <v>224</v>
      </c>
      <c r="B6" s="44" t="str">
        <f>A.Backend!B3</f>
        <v>PtsAdoTotalDelay</v>
      </c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</row>
    <row r="7" spans="1:22" x14ac:dyDescent="0.25">
      <c r="A7" s="41" t="s">
        <v>215</v>
      </c>
      <c r="B7" s="43" t="str">
        <f>A.Backend!B5</f>
        <v>TotalDelay</v>
      </c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</row>
    <row r="8" spans="1:22" x14ac:dyDescent="0.25">
      <c r="A8" s="41" t="s">
        <v>213</v>
      </c>
      <c r="B8" s="43" t="str">
        <f>LOWER(B7)</f>
        <v>totaldelay</v>
      </c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</row>
    <row r="9" spans="1:22" ht="18.75" customHeight="1" x14ac:dyDescent="0.25">
      <c r="A9" s="53" t="s">
        <v>216</v>
      </c>
      <c r="B9" s="54"/>
      <c r="C9" s="53"/>
      <c r="D9" s="53"/>
      <c r="E9" s="53"/>
      <c r="F9" s="53"/>
      <c r="G9" s="53"/>
      <c r="H9" s="45" t="s">
        <v>294</v>
      </c>
      <c r="I9" s="46" t="s">
        <v>295</v>
      </c>
      <c r="J9" s="45" t="s">
        <v>219</v>
      </c>
      <c r="K9" s="47" t="s">
        <v>256</v>
      </c>
      <c r="L9" s="46" t="s">
        <v>260</v>
      </c>
      <c r="M9" s="45" t="s">
        <v>249</v>
      </c>
      <c r="N9" s="45" t="s">
        <v>220</v>
      </c>
      <c r="O9" s="45" t="s">
        <v>221</v>
      </c>
      <c r="P9" s="46" t="s">
        <v>223</v>
      </c>
      <c r="Q9" s="45" t="s">
        <v>250</v>
      </c>
      <c r="R9" s="45" t="s">
        <v>233</v>
      </c>
      <c r="S9" s="31"/>
      <c r="T9" s="31"/>
      <c r="U9" s="31"/>
      <c r="V9" s="31"/>
    </row>
    <row r="10" spans="1:22" ht="18.75" customHeight="1" x14ac:dyDescent="0.25">
      <c r="A10" s="55" t="s">
        <v>217</v>
      </c>
      <c r="B10" s="56"/>
      <c r="C10" s="57"/>
      <c r="D10" s="57"/>
      <c r="E10" s="57"/>
      <c r="F10" s="57"/>
      <c r="G10" s="57"/>
      <c r="H10" s="48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PtsAdoTotalDelayDto, PtsAdoTotalDelayServiceProxy } from '@shared/service-proxies/service-proxies';
import { finalize } from 'rxjs/internal/operators/finalize';
import { CreateOrEditTotalDelayModalComponent } from './create-or-edit-totaldelay-modal.component';
import { DatePipe } from '@angular/common';
import { FileDownloadService } from '@shared/utils/file-download.service';
import ceil from 'lodash-es/ceil';
import { Paginator } from 'primeng/paginator';
@Component({
    templateUrl: './totaldelay.component.html',
    styleUrls: ['./totaldelay.component.less'],
})
export class TotalDelayComponent extends AppComponentBase implements OnInit {
    @ViewChild('createOrEditModalTotalDelay', { static: true }) createOrEditModalTotalDelay:| CreateOrEditTotalDelayModalComponent|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PtsAdoTotalDelayDto = new PtsAdoTotalDelayDto();
    saveSelectedRow: PtsAdoTotalDelayDto = new PtsAdoTotalDelayDto();
    datas: PtsAdoTotalDelayDto = new PtsAdoTotalDelayDto();
    isLoading: boolean = false;
    dataParams: GridParams | undefined;
    rowData: any[] = [];
    gridApi!: GridApi;
    rowSelection = 'multiple';
    filter: string = '';
	pipe = new DatePipe('en-US');
	frameworkComponents: FrameworkComponent;
    bodyNo
lotNo
bodyNo : string = '' ; 
lotNo : string = '' ; 
	color : string = '' ; 
	mode : string = '' ; 
	targetRepair : string = '' ; 
	startRepair : any ;
location : string = '' ; 
	aInPlanDate : any ;
	edInAct : any ;
	repairIn : any ;
	leadtime : any ;
	leadtimePlus : any ;
	etd : any ;
	recoatIn : any ;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PtsAdoTotalDelayServiceProxy,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this.l('Body No'),headerTooltip: this.l('Body No'),field: 'bodyNo',flex: 1},
			{headerName: this.l('Lot No'),headerTooltip: this.l('Lot No'),field: 'lotNo',flex: 1},
			{headerName: this.l('Body No'),headerTooltip: this.l('Body No'),field: 'bodyNo',flex: 1},
			{headerName: this.l('Lot No'),headerTooltip: this.l('Lot No'),field: 'lotNo',flex: 1},
			{headerName: this.l('Color'),headerTooltip: this.l('Color'),field: 'color',flex: 1},
			{headerName: this.l('Mode'),headerTooltip: this.l('Mode'),field: 'mode',flex: 1},
			{headerName: this.l('Target Repair'),headerTooltip: this.l('Target Repair'),field: 'targetRepair',flex: 1},
			{headerName: this.l('Start Repair'),headerTooltip: this.l('Start Repair'),field: 'startRepair',valueGetter: (params) =&gt; this.pipe.transform(params.data?.startRepair, 'dd/MM/yyyy'),flex: 1},
			{headerName: this.l('Location'),headerTooltip: this.l('Location'),field: 'location',flex: 1},
			{headerName: this.l('A In Plan Date'),headerTooltip: this.l('A In Plan Date'),field: 'aInPlanDate',valueGetter: (params) =&gt; this.pipe.transform(params.data?.aInPlanDate, 'dd/MM/yyyy'),flex: 1},
			{headerName: this.l('Ed In Act'),headerTooltip: this.l('Ed In Act'),field: 'edInAct',valueGetter: (params) =&gt; this.pipe.transform(params.data?.edInAct, 'dd/MM/yyyy'),flex: 1},
			{headerName: this.l('Repair In'),headerTooltip: this.l('Repair In'),field: 'repairIn',valueGetter: (params) =&gt; this.pipe.transform(params.data?.repairIn, 'dd/MM/yyyy'),flex: 1},
			{headerName: this.l('Leadtime'),headerTooltip: this.l('Leadtime'),field: 'leadtime',valueGetter: (params) =&gt; this.pipe.transform(params.data?.leadtime, 'dd/MM/yyyy'),flex: 1},
			{headerName: this.l('Leadtime Plus'),headerTooltip: this.l('Leadtime Plus'),field: 'leadtimePlus',valueGetter: (params) =&gt; this.pipe.transform(params.data?.leadtimePlus, 'dd/MM/yyyy'),flex: 1},
			{headerName: this.l('Etd'),headerTooltip: this.l('Etd'),field: 'etd',valueGetter: (params) =&gt; this.pipe.transform(params.data?.etd, 'dd/MM/yyyy'),flex: 1},
			{headerName: this.l('Recoat In'),headerTooltip: this.l('Recoat In'),field: 'recoatIn',valueGetter: (params) =&gt; this.pipe.transform(params.data?.recoatIn, 'dd/MM/yyyy'),flex: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this.bodyNo,
			this.lotNo,
			this.bodyNo,
			this.lotNo,
			this.color,
			this.mode,
			this.targetRepair,
			this.startRepair,
			this.location,
			this.aInPlanDate,
			this.edInAct,
			this.repairIn,
			this.leadtime,
			this.leadtimePlus,
			this.etd,
			this.recoatIn,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this.bodyNo = '',
this.lotNo = '',
this.bodyNo = '',
this.lotNo = '',
		this.color = '',
		this.mode = '',
		this.targetRepair = '',
		this.startRepair = '',
this.location = '',
		this.aInPlanDate = '',
		this.edInAct = '',
		this.repairIn = '',
		this.leadtime = '',
		this.leadtimePlus = '',
		this.etd = '',
		this.recoatIn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this.bodyNo,
			this.lotNo,
			this.bodyNo,
			this.lotNo,
			this.color,
			this.mode,
			this.targetRepair,
			this.startRepair,
			this.location,
			this.aInPlanDate,
			this.edInAct,
			this.repairIn,
			this.leadtime,
			this.leadtimePlus,
			this.etd,
			this.recoatIn,
			this.isActive,
			'',
            this.paginationParams.skipCount,
            this.paginationParams.pageSize
        );
    }
    onChangeRowSelection(params: { api: { getSelectedRows: () =&gt; PtsAdoTotalDelayDto[] } }) {
        this.saveSelectedRow = params.api.getSelectedRows()[0] ?? new PtsAdoTotalDelayDto();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PtsAdoTotalDelayDto):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this._service.getTotalDelayToExcel(
			this.bodyNo,
			this.lotNo,
			this.bodyNo,
			this.lotNo,
			this.color,
			this.mode,
			this.targetRepair,
			this.startRepair,
			this.location,
			this.aInPlanDate,
			this.edInAct,
			this.repairIn,
			this.leadtime,
			this.leadtimePlus,
			this.etd,
			this.recoatIn,
			this.isActive,
            )
            .subscribe((result) =&gt; {
                this._fileDownloadService.downloadTempFile(result);
        });
    }
}</v>
      </c>
      <c r="I10" s="48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Painting Andon Total Delay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[(ngModel)]='bodyNo' name='bodyNo'
									class='form-control' [placeholder]="l('Body No')"
									type='text' (keyup.enter)='searchDatas()'&gt;
								&lt;/div&gt;
								&lt;div class='input-search'&gt;
									&lt;input [(ngModel)]='lotNo' name='lotNo'
									class='form-control' [placeholder]="l('Lot No')"
									type='text' (keyup.enter)='searchDatas()'&gt;
								&lt;/div&gt;
								&lt;div class='input-search'&gt;
									&lt;input [(ngModel)]='color' name='color'
									class='form-control' [placeholder]="l('Color')"
									type='text' (keyup.enter)='searchDatas()'&gt;
								&lt;/div&gt;
								&lt;div class='input-search'&gt;
									&lt;input [(ngModel)]='mode' name='mode'
									class='form-control' [placeholder]="l('Mode')"
									type='text' (keyup.enter)='searchDatas()'&gt;
								&lt;/div&gt;
								&lt;div class='input-search'&gt;
									&lt;input [(ngModel)]='targetRepair' name='targetRepair'
									class='form-control' [placeholder]="l('Target Repair')"
									type='text' (keyup.enter)='searchDatas()'&gt;
								&lt;/div&gt;
								&lt;div class='input-search'&gt;
									&lt;input type='text' [placeholder]="l('Start Repair')" [(ngModel)]='startRepair' 
									name='startRepair'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[(ngModel)]='location' name='location'
									class='form-control' [placeholder]="l('Location')"
									type='text' (keyup.enter)='searchDatas()'&gt;
								&lt;/div&gt;
								&lt;div class='input-search'&gt;
									&lt;input type='text' [placeholder]="l('A In Plan Date')" [(ngModel)]='aInPlanDate' 
									name='aInPlanDate'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[placeholder]="l('Ed In Act')" [(ngModel)]='edInAct' 
									name='edInAct'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[placeholder]="l('Repair In')" [(ngModel)]='repairIn' 
									name='repairIn'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[placeholder]="l('Leadtime')" [(ngModel)]='leadtime' 
									name='leadtime'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[placeholder]="l('Leadtime Plus')" [(ngModel)]='leadtimePlus' 
									name='leadtimePlus'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[placeholder]="l('Etd')" [(ngModel)]='etd' 
									name='etd'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[placeholder]="l('Recoat In')" [(ngModel)]='recoatIn' 
									name='recoatIn'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(click)="createOrEditModalTotalDelay.show()"&gt;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(click)="createOrEditModalTotalDelay.show(selectedRow)"&gt;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&lt;create-or-edit-totaldelay-modal
    #createOrEditModalTotalDelay
    (modalSave)="callBackDataGrid(dataParams)"
    (modalClose)="onChangeRowSelection(dataParams)"
&gt;
&lt;/create-or-edit-totaldelay-modal&gt;</v>
      </c>
      <c r="J10" s="48" t="str">
        <f>J9</f>
        <v>.input-search{
    width: 250px;
    border-radius: 10px;
    margin-left: 10px;
}
.btn-search{
    width: 50px;
    margin-left: 10px;
}</v>
      </c>
      <c r="K10" s="48" t="str">
        <f ca="1">SUBSTITUTE(SUBSTITUTE(SUBSTITUTE(SUBSTITUTE(K9,"MstWptCalendar",$B$6),"Calendar",$B$7),"calendar",$B$8),"&lt;PROPERTIES&gt;",K13)</f>
        <v>&lt;div bsModal #createOrEditModalTotalDelay="bs-modal"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TotalDelay')}}&lt;/h3&gt;
                    &lt;h3 *ngIf="!rowdata.id"&gt;{{('Create New TotalDelay')}}&lt;/h3&gt;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title'&gt;Body No&lt;/label&gt;
						&lt;input type='text' class='col-md-10 form-control input-text' name='BodyNo' [(ngModel)]='rowdata.bodyNo'&gt;
					&lt;/div&gt;
					&lt;div class='col-md-12 form-group row'&gt;
						&lt;label class='col-md-2 form-control title'&gt;Lot No&lt;/label&gt;
						&lt;input type='text' class='col-md-10 form-control input-text' name='LotNo' [(ngModel)]='rowdata.lotNo'&gt;
					&lt;/div&gt;
					&lt;div class='col-md-12 form-group row'&gt;
						&lt;label class='col-md-2 form-control title'&gt;Color&lt;/label&gt;
						&lt;input type='text' class='col-md-10 form-control input-text' name='Color' [(ngModel)]='rowdata.color'&gt;
					&lt;/div&gt;
					&lt;div class='col-md-12 form-group row'&gt;
						&lt;label class='col-md-2 form-control title'&gt;Mode&lt;/label&gt;
						&lt;input type='text' class='col-md-10 form-control input-text' name='Mode' [(ngModel)]='rowdata.mode'&gt;
					&lt;/div&gt;
					&lt;div class='col-md-12 form-group row'&gt;
						&lt;label class='col-md-2 form-control title'&gt;Target Repair&lt;/label&gt;
						&lt;input type='text' class='col-md-10 form-control input-text' name='TargetRepair' [(ngModel)]='rowdata.targetRepair'&gt;
					&lt;/div&gt;
					&lt;div class='col-md-12 form-group row'&gt;
						&lt;label class='col-md-2 form-control title'&gt;Start Repair&lt;/label&gt;
						&lt;input type='text' class='col-md-10 form-control input-text' name='startRepair' 
						#datepicker='bsDatepicker' [(ngModel)]='rowdata.startRepair'  bsDatepicker &gt;
					&lt;/div&gt;
					&lt;div class='col-md-12 form-group row'&gt;
						&lt;label class='col-md-2 form-control title'&gt;Location&lt;/label&gt;
						&lt;input type='text' class='col-md-10 form-control input-text' name='Location' [(ngModel)]='rowdata.location'&gt;
					&lt;/div&gt;
					&lt;div class='col-md-12 form-group row'&gt;
						&lt;label class='col-md-2 form-control title'&gt;A In Plan Date&lt;/label&gt;
						&lt;input type='text' class='col-md-10 form-control input-text' name='aInPlanDate' 
						#datepicker='bsDatepicker' [(ngModel)]='rowdata.aInPlanDate'  bsDatepicker &gt;
					&lt;/div&gt;
					&lt;div class='col-md-12 form-group row'&gt;
						&lt;label class='col-md-2 form-control title'&gt;Ed In Act&lt;/label&gt;
						&lt;input type='text' class='col-md-10 form-control input-text' name='edInAct' 
						#datepicker='bsDatepicker' [(ngModel)]='rowdata.edInAct'  bsDatepicker &gt;
					&lt;/div&gt;
					&lt;div class='col-md-12 form-group row'&gt;
						&lt;label class='col-md-2 form-control title'&gt;Repair In&lt;/label&gt;
						&lt;input type='text' class='col-md-10 form-control input-text' name='repairIn' 
						#datepicker='bsDatepicker' [(ngModel)]='rowdata.repairIn'  bsDatepicker &gt;
					&lt;/div&gt;
					&lt;div class='col-md-12 form-group row'&gt;
						&lt;label class='col-md-2 form-control title'&gt;Leadtime&lt;/label&gt;
						&lt;input type='text' class='col-md-10 form-control input-text' name='leadtime' 
						#datepicker='bsDatepicker' [(ngModel)]='rowdata.leadtime'  bsDatepicker &gt;
					&lt;/div&gt;
					&lt;div class='col-md-12 form-group row'&gt;
						&lt;label class='col-md-2 form-control title'&gt;Leadtime Plus&lt;/label&gt;
						&lt;input type='text' class='col-md-10 form-control input-text' name='leadtimePlus' 
						#datepicker='bsDatepicker' [(ngModel)]='rowdata.leadtimePlus'  bsDatepicker &gt;
					&lt;/div&gt;
					&lt;div class='col-md-12 form-group row'&gt;
						&lt;label class='col-md-2 form-control title'&gt;Etd&lt;/label&gt;
						&lt;input type='text' class='col-md-10 form-control input-text' name='etd' 
						#datepicker='bsDatepicker' [(ngModel)]='rowdata.etd'  bsDatepicker &gt;
					&lt;/div&gt;
					&lt;div class='col-md-12 form-group row'&gt;
						&lt;label class='col-md-2 form-control title'&gt;Recoat In&lt;/label&gt;
						&lt;input type='text' class='col-md-10 form-control input-text' name='recoatIn' 
						#datepicker='bsDatepicker' [(ngModel)]='rowdata.recoatIn'  bsDatepicker 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8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CreateOrEditPtsAdoTotalDelayDto, PtsAdoTotalDelayServiceProxy } from '@shared/service-proxies/service-proxies';
import { BsDatepickerDirective } from 'ngx-bootstrap/datepicker';
@Component({
    selector: 'create-or-edit-totaldelay-modal',
    templateUrl: './create-or-edit-totaldelay-modal.component.html',
    styleUrls: ['./create-or-edit-totaldelay-modal.component.less']
    })
export class CreateOrEditTotalDelayModalComponent extends AppComponentBase {
    @ViewChild('createOrEditModalTotalDelay',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CreateOrEditPtsAdoTotalDelayDto = new CreateOrEditPtsAdoTotalDelayDto();
    active: boolean = false;
    saving: boolean = false;
    _isActive: boolean;
    constructor(
        injector: Injector,
        private _mstwptTotalDelayService: PtsAdoTotalDelayServiceProxy,
    ) 
    {
        super(injector);
    }
    show(rowdata?: CreateOrEditPtsAdoTotalDelayDto): void {
        if (!rowdata) this.rowdata = new CreateOrEditPtsAdoTotalDelayDto();
        else this.rowdata = rowdata;
		const dateValue =  this.rowdata.startRepair ? new Date(this.rowdata.startRepair?.toString()) : new Date();
		this.datepicker?.bsValueChange.emit(dateValue);
		const dateValue =  this.rowdata.aInPlanDate ? new Date(this.rowdata.aInPlanDate?.toString()) : new Date();
		this.datepicker?.bsValueChange.emit(dateValue);
		const dateValue =  this.rowdata.edInAct ? new Date(this.rowdata.edInAct?.toString()) : new Date();
		this.datepicker?.bsValueChange.emit(dateValue);
		const dateValue =  this.rowdata.repairIn ? new Date(this.rowdata.repairIn?.toString()) : new Date();
		this.datepicker?.bsValueChange.emit(dateValue);
		const dateValue =  this.rowdata.leadtime ? new Date(this.rowdata.leadtime?.toString()) : new Date();
		this.datepicker?.bsValueChange.emit(dateValue);
		const dateValue =  this.rowdata.leadtimePlus ? new Date(this.rowdata.leadtimePlus?.toString()) : new Date();
		this.datepicker?.bsValueChange.emit(dateValue);
		const dateValue =  this.rowdata.etd ? new Date(this.rowdata.etd?.toString()) : new Date();
		this.datepicker?.bsValueChange.emit(dateValue);
		const dateValue =  this.rowdata.recoatIn ? new Date(this.rowdata.recoatIn?.toString()) : new Date();
		this.datepicker?.bsValueChange.emit(dateValue);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this._mstwptTotalDelayService.createOrEdit(this.rowdata)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8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8" t="str">
        <f>SUBSTITUTE(SUBSTITUTE(SUBSTITUTE(N9,"MstWptCalendar",$B$6),"Calendar",$B$7),"calendar",$B$8)</f>
        <v>import {NgModule} from '@angular/core';
import {AppSharedModule} from '@app/shared/app-shared.module';
import { TotalDelayRoutingModule } from './totaldelay-routing.module';
import { TotalDelayComponent } from './totaldelay.component';
import { CreateOrEditTotalDelayModalComponent } from './create-or-edit-totaldelay-modal.component';
@NgModule({
    declarations: [
       TotalDelayComponent, 
        CreateOrEditTotalDelayModalComponent
    ],
    imports: [
        AppSharedModule, TotalDelayRoutingModule]
})
export class TotalDelayModule {}</v>
      </c>
      <c r="O10" s="48" t="str">
        <f>SUBSTITUTE(SUBSTITUTE(SUBSTITUTE(O9,"MstWptCalendar",$B$6),"Calendar",$B$7),"calendar",$B$8)</f>
        <v>import {NgModule} from '@angular/core';
import {RouterModule, Routes} from '@angular/router';
import { TotalDelayComponent } from './totaldelay.component';
const routes: Routes = [{
    path: '',
    component: TotalDelayComponent,
    pathMatch: 'full'
}];
@NgModule({
    imports: [RouterModule.forChild(routes)],
    exports: [RouterModule],
})
export class TotalDelayRoutingModule {}</v>
      </c>
      <c r="P10" s="48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AppMenuItem("TotalDelay", "Pages.Painting.Andon.TotalDelay", "flaticon-book",   "/app/main/painting/andon/totaldelay"),</v>
      </c>
      <c r="Q10" s="48" t="str">
        <f>SUBSTITUTE(SUBSTITUTE(SUBSTITUTE(SUBSTITUTE(SUBSTITUTE(SUBSTITUTE(SUBSTITUTE(Q9,"MstWptCalendar",$B$6),"Calendar",$B$7),"calendar",$B$8),"WorkingPattern",$B$4),"workingpattern",$B$5),"Master",$B$2),"master",$B$3)</f>
        <v>{
    path: 'painting/andon/totaldelay',
    loadChildren: () =&gt; import('./painting/andon/totaldelay/totaldelay.module').then(m =&gt; m.TotalDelayModule),
    data: { permission: 'Pages.Painting.Andon.TotalDelay' }
},</v>
      </c>
      <c r="R10" s="50" t="str">
        <f>SUBSTITUTE(R9,"MstWptCalendar",$B$6)</f>
        <v>ApiServiceProxies.PtsAdoTotalDelayServiceProxy,</v>
      </c>
      <c r="S10" s="31"/>
      <c r="T10" s="31"/>
      <c r="U10" s="31"/>
      <c r="V10" s="31"/>
    </row>
    <row r="11" spans="1:22" x14ac:dyDescent="0.25">
      <c r="A11" s="58">
        <v>1</v>
      </c>
      <c r="B11" s="37">
        <v>1</v>
      </c>
      <c r="C11" s="31"/>
      <c r="D11" s="31"/>
      <c r="E11" s="31"/>
      <c r="F11" s="31"/>
      <c r="G11" s="31"/>
      <c r="H11" s="31" t="s">
        <v>248</v>
      </c>
      <c r="I11" s="31" t="s">
        <v>261</v>
      </c>
      <c r="J11" s="31"/>
      <c r="K11" s="31" t="s">
        <v>259</v>
      </c>
      <c r="L11" s="31" t="s">
        <v>262</v>
      </c>
      <c r="M11" s="38"/>
      <c r="N11" s="31"/>
      <c r="O11" s="31"/>
      <c r="P11" s="31"/>
      <c r="Q11" s="31"/>
      <c r="R11" s="31"/>
      <c r="S11" s="31" t="s">
        <v>253</v>
      </c>
      <c r="T11" s="31" t="s">
        <v>254</v>
      </c>
      <c r="U11" s="31" t="s">
        <v>263</v>
      </c>
      <c r="V11" s="71" t="s">
        <v>265</v>
      </c>
    </row>
    <row r="12" spans="1:22" x14ac:dyDescent="0.25">
      <c r="A12" s="58">
        <v>2</v>
      </c>
      <c r="B12" s="37"/>
      <c r="C12" s="31"/>
      <c r="D12" s="31"/>
      <c r="E12" s="31"/>
      <c r="F12" s="31"/>
      <c r="G12" s="31"/>
      <c r="H12" s="31" t="str">
        <f>"H"&amp;COUNTA($A:$A)</f>
        <v>H31</v>
      </c>
      <c r="I12" s="31" t="str">
        <f>"I"&amp;COUNTA($A:$A)</f>
        <v>I31</v>
      </c>
      <c r="J12" s="31"/>
      <c r="K12" s="31" t="str">
        <f>"K"&amp;COUNTA($A:$A)</f>
        <v>K31</v>
      </c>
      <c r="L12" s="31" t="str">
        <f>"L"&amp;COUNTA($A:$A)</f>
        <v>L31</v>
      </c>
      <c r="M12" s="31"/>
      <c r="N12" s="31"/>
      <c r="O12" s="31"/>
      <c r="P12" s="31"/>
      <c r="Q12" s="31"/>
      <c r="R12" s="31"/>
      <c r="S12" s="31" t="str">
        <f>"S"&amp;COUNTA($A:$A)</f>
        <v>S31</v>
      </c>
      <c r="T12" s="31" t="str">
        <f>"T"&amp;COUNTA($A:$A)</f>
        <v>T31</v>
      </c>
      <c r="U12" s="31" t="str">
        <f>"U"&amp;COUNTA($A:$A)</f>
        <v>U31</v>
      </c>
      <c r="V12" s="31" t="str">
        <f>"V"&amp;COUNTA($A:$A)</f>
        <v>V31</v>
      </c>
    </row>
    <row r="13" spans="1:22" ht="17.25" customHeight="1" x14ac:dyDescent="0.25">
      <c r="A13" s="58">
        <v>3</v>
      </c>
      <c r="B13" s="31"/>
      <c r="C13" s="31"/>
      <c r="D13" s="31"/>
      <c r="E13" s="31"/>
      <c r="F13" s="31"/>
      <c r="G13" s="31"/>
      <c r="H13" s="38" t="str">
        <f ca="1">TEXTJOIN2("
",TRUE,INDIRECT(H11):INDIRECT(H12))</f>
        <v xml:space="preserve">			{headerName: this.l('Body No'),headerTooltip: this.l('Body No'),field: 'bodyNo',flex: 1},
			{headerName: this.l('Lot No'),headerTooltip: this.l('Lot No'),field: 'lotNo',flex: 1},
			{headerName: this.l('Body No'),headerTooltip: this.l('Body No'),field: 'bodyNo',flex: 1},
			{headerName: this.l('Lot No'),headerTooltip: this.l('Lot No'),field: 'lotNo',flex: 1},
			{headerName: this.l('Color'),headerTooltip: this.l('Color'),field: 'color',flex: 1},
			{headerName: this.l('Mode'),headerTooltip: this.l('Mode'),field: 'mode',flex: 1},
			{headerName: this.l('Target Repair'),headerTooltip: this.l('Target Repair'),field: 'targetRepair',flex: 1},
			{headerName: this.l('Start Repair'),headerTooltip: this.l('Start Repair'),field: 'startRepair',valueGetter: (params) =&gt; this.pipe.transform(params.data?.startRepair, 'dd/MM/yyyy'),flex: 1},
			{headerName: this.l('Location'),headerTooltip: this.l('Location'),field: 'location',flex: 1},
			{headerName: this.l('A In Plan Date'),headerTooltip: this.l('A In Plan Date'),field: 'aInPlanDate',valueGetter: (params) =&gt; this.pipe.transform(params.data?.aInPlanDate, 'dd/MM/yyyy'),flex: 1},
			{headerName: this.l('Ed In Act'),headerTooltip: this.l('Ed In Act'),field: 'edInAct',valueGetter: (params) =&gt; this.pipe.transform(params.data?.edInAct, 'dd/MM/yyyy'),flex: 1},
			{headerName: this.l('Repair In'),headerTooltip: this.l('Repair In'),field: 'repairIn',valueGetter: (params) =&gt; this.pipe.transform(params.data?.repairIn, 'dd/MM/yyyy'),flex: 1},
			{headerName: this.l('Leadtime'),headerTooltip: this.l('Leadtime'),field: 'leadtime',valueGetter: (params) =&gt; this.pipe.transform(params.data?.leadtime, 'dd/MM/yyyy'),flex: 1},
			{headerName: this.l('Leadtime Plus'),headerTooltip: this.l('Leadtime Plus'),field: 'leadtimePlus',valueGetter: (params) =&gt; this.pipe.transform(params.data?.leadtimePlus, 'dd/MM/yyyy'),flex: 1},
			{headerName: this.l('Etd'),headerTooltip: this.l('Etd'),field: 'etd',valueGetter: (params) =&gt; this.pipe.transform(params.data?.etd, 'dd/MM/yyyy'),flex: 1},
			{headerName: this.l('Recoat In'),headerTooltip: this.l('Recoat In'),field: 'recoatIn',valueGetter: (params) =&gt; this.pipe.transform(params.data?.recoatIn, 'dd/MM/yyyy'),flex: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3" s="38" t="str">
        <f ca="1">TEXTJOIN2("
",TRUE,INDIRECT(I11):INDIRECT(I12))</f>
        <v xml:space="preserve">								&lt;div class='input-search'&gt;
									&lt;input [(ngModel)]='bodyNo' name='bodyNo'
									class='form-control' [placeholder]="l('Body No')"
									type='text' (keyup.enter)='searchDatas()'&gt;
								&lt;/div&gt;
								&lt;div class='input-search'&gt;
									&lt;input [(ngModel)]='lotNo' name='lotNo'
									class='form-control' [placeholder]="l('Lot No')"
									type='text' (keyup.enter)='searchDatas()'&gt;
								&lt;/div&gt;
								&lt;div class='input-search'&gt;
									&lt;input [(ngModel)]='color' name='color'
									class='form-control' [placeholder]="l('Color')"
									type='text' (keyup.enter)='searchDatas()'&gt;
								&lt;/div&gt;
								&lt;div class='input-search'&gt;
									&lt;input [(ngModel)]='mode' name='mode'
									class='form-control' [placeholder]="l('Mode')"
									type='text' (keyup.enter)='searchDatas()'&gt;
								&lt;/div&gt;
								&lt;div class='input-search'&gt;
									&lt;input [(ngModel)]='targetRepair' name='targetRepair'
									class='form-control' [placeholder]="l('Target Repair')"
									type='text' (keyup.enter)='searchDatas()'&gt;
								&lt;/div&gt;
								&lt;div class='input-search'&gt;
									&lt;input type='text' [placeholder]="l('Start Repair')" [(ngModel)]='startRepair' 
									name='startRepair'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[(ngModel)]='location' name='location'
									class='form-control' [placeholder]="l('Location')"
									type='text' (keyup.enter)='searchDatas()'&gt;
								&lt;/div&gt;
								&lt;div class='input-search'&gt;
									&lt;input type='text' [placeholder]="l('A In Plan Date')" [(ngModel)]='aInPlanDate' 
									name='aInPlanDate'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[placeholder]="l('Ed In Act')" [(ngModel)]='edInAct' 
									name='edInAct'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[placeholder]="l('Repair In')" [(ngModel)]='repairIn' 
									name='repairIn'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[placeholder]="l('Leadtime')" [(ngModel)]='leadtime' 
									name='leadtime'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[placeholder]="l('Leadtime Plus')" [(ngModel)]='leadtimePlus' 
									name='leadtimePlus'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[placeholder]="l('Etd')" [(ngModel)]='etd' 
									name='etd'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[placeholder]="l('Recoat In')" [(ngModel)]='recoatIn' 
									name='recoatIn'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[(ngModel)]='isActive' name='isActive'
									class='form-control' [placeholder]="l('Is Active')"
									type='text' (keyup.enter)='searchDatas()'&gt;
								&lt;/div&gt;</v>
      </c>
      <c r="J13" s="31"/>
      <c r="K13" s="38" t="str">
        <f ca="1">TEXTJOIN2("
",TRUE,INDIRECT(K11):INDIRECT(K12))</f>
        <v xml:space="preserve">					&lt;div class='col-md-12 form-group row'&gt;
						&lt;label class='col-md-2 form-control title'&gt;Body No&lt;/label&gt;
						&lt;input type='text' class='col-md-10 form-control input-text' name='BodyNo' [(ngModel)]='rowdata.bodyNo'&gt;
					&lt;/div&gt;
					&lt;div class='col-md-12 form-group row'&gt;
						&lt;label class='col-md-2 form-control title'&gt;Lot No&lt;/label&gt;
						&lt;input type='text' class='col-md-10 form-control input-text' name='LotNo' [(ngModel)]='rowdata.lotNo'&gt;
					&lt;/div&gt;
					&lt;div class='col-md-12 form-group row'&gt;
						&lt;label class='col-md-2 form-control title'&gt;Color&lt;/label&gt;
						&lt;input type='text' class='col-md-10 form-control input-text' name='Color' [(ngModel)]='rowdata.color'&gt;
					&lt;/div&gt;
					&lt;div class='col-md-12 form-group row'&gt;
						&lt;label class='col-md-2 form-control title'&gt;Mode&lt;/label&gt;
						&lt;input type='text' class='col-md-10 form-control input-text' name='Mode' [(ngModel)]='rowdata.mode'&gt;
					&lt;/div&gt;
					&lt;div class='col-md-12 form-group row'&gt;
						&lt;label class='col-md-2 form-control title'&gt;Target Repair&lt;/label&gt;
						&lt;input type='text' class='col-md-10 form-control input-text' name='TargetRepair' [(ngModel)]='rowdata.targetRepair'&gt;
					&lt;/div&gt;
					&lt;div class='col-md-12 form-group row'&gt;
						&lt;label class='col-md-2 form-control title'&gt;Start Repair&lt;/label&gt;
						&lt;input type='text' class='col-md-10 form-control input-text' name='startRepair' 
						#datepicker='bsDatepicker' [(ngModel)]='rowdata.startRepair'  bsDatepicker &gt;
					&lt;/div&gt;
					&lt;div class='col-md-12 form-group row'&gt;
						&lt;label class='col-md-2 form-control title'&gt;Location&lt;/label&gt;
						&lt;input type='text' class='col-md-10 form-control input-text' name='Location' [(ngModel)]='rowdata.location'&gt;
					&lt;/div&gt;
					&lt;div class='col-md-12 form-group row'&gt;
						&lt;label class='col-md-2 form-control title'&gt;A In Plan Date&lt;/label&gt;
						&lt;input type='text' class='col-md-10 form-control input-text' name='aInPlanDate' 
						#datepicker='bsDatepicker' [(ngModel)]='rowdata.aInPlanDate'  bsDatepicker &gt;
					&lt;/div&gt;
					&lt;div class='col-md-12 form-group row'&gt;
						&lt;label class='col-md-2 form-control title'&gt;Ed In Act&lt;/label&gt;
						&lt;input type='text' class='col-md-10 form-control input-text' name='edInAct' 
						#datepicker='bsDatepicker' [(ngModel)]='rowdata.edInAct'  bsDatepicker &gt;
					&lt;/div&gt;
					&lt;div class='col-md-12 form-group row'&gt;
						&lt;label class='col-md-2 form-control title'&gt;Repair In&lt;/label&gt;
						&lt;input type='text' class='col-md-10 form-control input-text' name='repairIn' 
						#datepicker='bsDatepicker' [(ngModel)]='rowdata.repairIn'  bsDatepicker &gt;
					&lt;/div&gt;
					&lt;div class='col-md-12 form-group row'&gt;
						&lt;label class='col-md-2 form-control title'&gt;Leadtime&lt;/label&gt;
						&lt;input type='text' class='col-md-10 form-control input-text' name='leadtime' 
						#datepicker='bsDatepicker' [(ngModel)]='rowdata.leadtime'  bsDatepicker &gt;
					&lt;/div&gt;
					&lt;div class='col-md-12 form-group row'&gt;
						&lt;label class='col-md-2 form-control title'&gt;Leadtime Plus&lt;/label&gt;
						&lt;input type='text' class='col-md-10 form-control input-text' name='leadtimePlus' 
						#datepicker='bsDatepicker' [(ngModel)]='rowdata.leadtimePlus'  bsDatepicker &gt;
					&lt;/div&gt;
					&lt;div class='col-md-12 form-group row'&gt;
						&lt;label class='col-md-2 form-control title'&gt;Etd&lt;/label&gt;
						&lt;input type='text' class='col-md-10 form-control input-text' name='etd' 
						#datepicker='bsDatepicker' [(ngModel)]='rowdata.etd'  bsDatepicker &gt;
					&lt;/div&gt;
					&lt;div class='col-md-12 form-group row'&gt;
						&lt;label class='col-md-2 form-control title'&gt;Recoat In&lt;/label&gt;
						&lt;input type='text' class='col-md-10 form-control input-text' name='recoatIn' 
						#datepicker='bsDatepicker' [(ngModel)]='rowdata.recoatIn'  bsDatepicker 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3" s="60" t="str">
        <f ca="1">TEXTJOIN2("
",TRUE,INDIRECT(L11):INDIRECT(L12))</f>
        <v xml:space="preserve">		const dateValue =  this.rowdata.startRepair ? new Date(this.rowdata.startRepair?.toString()) : new Date();
		this.datepicker?.bsValueChange.emit(dateValue);
		const dateValue =  this.rowdata.aInPlanDate ? new Date(this.rowdata.aInPlanDate?.toString()) : new Date();
		this.datepicker?.bsValueChange.emit(dateValue);
		const dateValue =  this.rowdata.edInAct ? new Date(this.rowdata.edInAct?.toString()) : new Date();
		this.datepicker?.bsValueChange.emit(dateValue);
		const dateValue =  this.rowdata.repairIn ? new Date(this.rowdata.repairIn?.toString()) : new Date();
		this.datepicker?.bsValueChange.emit(dateValue);
		const dateValue =  this.rowdata.leadtime ? new Date(this.rowdata.leadtime?.toString()) : new Date();
		this.datepicker?.bsValueChange.emit(dateValue);
		const dateValue =  this.rowdata.leadtimePlus ? new Date(this.rowdata.leadtimePlus?.toString()) : new Date();
		this.datepicker?.bsValueChange.emit(dateValue);
		const dateValue =  this.rowdata.etd ? new Date(this.rowdata.etd?.toString()) : new Date();
		this.datepicker?.bsValueChange.emit(dateValue);
		const dateValue =  this.rowdata.recoatIn ? new Date(this.rowdata.recoatIn?.toString()) : new Date();
		this.datepicker?.bsValueChange.emit(dateValue);
</v>
      </c>
      <c r="M13" s="31"/>
      <c r="N13" s="31"/>
      <c r="O13" s="31"/>
      <c r="P13" s="31"/>
      <c r="Q13" s="31"/>
      <c r="R13" s="31"/>
      <c r="S13" s="68" t="str">
        <f ca="1">TEXTJOIN2("
",TRUE,INDIRECT(S11):INDIRECT(S12))</f>
        <v xml:space="preserve">bodyNo
lotNo
bodyNo : string = '' ; 
lotNo : string = '' ; 
	color : string = '' ; 
	mode : string = '' ; 
	targetRepair : string = '' ; 
	startRepair : any ;
location : string = '' ; 
	aInPlanDate : any ;
	edInAct : any ;
	repairIn : any ;
	leadtime : any ;
	leadtimePlus : any ;
	etd : any ;
	recoatIn : any ;
	isActive : string = '' ; </v>
      </c>
      <c r="T13" s="68" t="str">
        <f ca="1">TEXTJOIN2("
",TRUE,INDIRECT(T11):INDIRECT(T12))</f>
        <v xml:space="preserve">			this.bodyNo,
			this.lotNo,
			this.bodyNo,
			this.lotNo,
			this.color,
			this.mode,
			this.targetRepair,
			this.startRepair,
			this.location,
			this.aInPlanDate,
			this.edInAct,
			this.repairIn,
			this.leadtime,
			this.leadtimePlus,
			this.etd,
			this.recoatIn,
			this.isActive,</v>
      </c>
      <c r="U13" s="68" t="str">
        <f ca="1">TEXTJOIN2("
",TRUE,INDIRECT(U11):INDIRECT(U12))</f>
        <v>this.bodyNo = '',
this.lotNo = '',
this.bodyNo = '',
this.lotNo = '',
		this.color = '',
		this.mode = '',
		this.targetRepair = '',
		this.startRepair = '',
this.location = '',
		this.aInPlanDate = '',
		this.edInAct = '',
		this.repairIn = '',
		this.leadtime = '',
		this.leadtimePlus = '',
		this.etd = '',
		this.recoatIn = '',
		this.isActive = '',</v>
      </c>
      <c r="V13" s="31" t="str">
        <f ca="1">TEXTJOIN2("
",TRUE,INDIRECT(V11):INDIRECT(V12))</f>
        <v>isActive</v>
      </c>
    </row>
    <row r="14" spans="1:22" x14ac:dyDescent="0.25">
      <c r="A14" s="41" t="s">
        <v>218</v>
      </c>
      <c r="B14" s="31"/>
      <c r="C14" s="31"/>
      <c r="D14" s="31"/>
      <c r="E14" s="31"/>
      <c r="F14" s="31"/>
      <c r="G14" s="31"/>
      <c r="H14" s="39" t="str">
        <f>B8&amp;".component.ts"</f>
        <v>totaldelay.component.ts</v>
      </c>
      <c r="I14" s="40" t="str">
        <f>B8&amp;".component.html"</f>
        <v>totaldelay.component.html</v>
      </c>
      <c r="J14" s="39" t="str">
        <f>B8&amp;".component.less"</f>
        <v>totaldelay.component.less</v>
      </c>
      <c r="K14" s="40" t="str">
        <f>"create-or-edit-"&amp;B8&amp;"-modal.component.html"</f>
        <v>create-or-edit-totaldelay-modal.component.html</v>
      </c>
      <c r="L14" s="40" t="str">
        <f>"create-or-edit-"&amp;B8&amp;"-modal.component.ts"</f>
        <v>create-or-edit-totaldelay-modal.component.ts</v>
      </c>
      <c r="M14" s="40" t="str">
        <f>"create-or-edit-"&amp;B8&amp;"-modal.component.less"</f>
        <v>create-or-edit-totaldelay-modal.component.less</v>
      </c>
      <c r="N14" s="40" t="str">
        <f>B8&amp;".module.ts"</f>
        <v>totaldelay.module.ts</v>
      </c>
      <c r="O14" s="40" t="str">
        <f>B8&amp;"-routing.module.ts"</f>
        <v>totaldelay-routing.module.ts</v>
      </c>
      <c r="P14" s="40" t="s">
        <v>222</v>
      </c>
      <c r="Q14" s="40" t="s">
        <v>225</v>
      </c>
      <c r="R14" s="41" t="s">
        <v>232</v>
      </c>
      <c r="S14" s="40" t="s">
        <v>251</v>
      </c>
      <c r="T14" s="40" t="s">
        <v>252</v>
      </c>
      <c r="U14" s="40" t="s">
        <v>255</v>
      </c>
      <c r="V14" s="40" t="s">
        <v>264</v>
      </c>
    </row>
    <row r="15" spans="1:22" ht="18" customHeight="1" x14ac:dyDescent="0.25">
      <c r="A15" s="44" t="s">
        <v>274</v>
      </c>
      <c r="B15" s="31" t="str">
        <f>SUBSTITUTE(PROPER(A15),"_","")</f>
        <v>BodyNo</v>
      </c>
      <c r="C15" s="31" t="str">
        <f>SUBSTITUTE(PROPER(A15),"_"," ")</f>
        <v>Body No</v>
      </c>
      <c r="D15" s="31" t="str">
        <f>LOWER(LEFT(B15,1))&amp;RIGHT(B15,LEN(B15) - 1)</f>
        <v>bodyNo</v>
      </c>
      <c r="E15" s="72" t="str">
        <f>A.Backend!H9</f>
        <v>long</v>
      </c>
      <c r="F15" s="72" t="str">
        <f>A.Backend!G9</f>
        <v/>
      </c>
      <c r="G15" s="31" t="str">
        <f>IF(E15="string"," : string = '' ; ",IF(OR(E15="DateTime",E15="TimeSpan")," : any ;",IF(E15="int"," : number = 0 ;","")))</f>
        <v/>
      </c>
      <c r="H15" s="38" t="str">
        <f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this.l('Body No'),headerTooltip: this.l('Body No'),field: 'bodyNo',flex: 1},</v>
      </c>
      <c r="I15" s="38" t="str">
        <f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/>
      </c>
      <c r="J15" s="31"/>
      <c r="K15" s="38" t="str">
        <f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/>
      </c>
      <c r="L15" s="60" t="str">
        <f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31"/>
      <c r="N15" s="31"/>
      <c r="O15" s="31"/>
      <c r="P15" s="31"/>
      <c r="Q15" s="31"/>
      <c r="R15" s="31"/>
      <c r="S15" s="31" t="str">
        <f>D15&amp;G15</f>
        <v>bodyNo</v>
      </c>
      <c r="T15" s="31" t="str">
        <f>REPT(CHAR(9),3)&amp;"this."&amp;D15&amp;","</f>
        <v xml:space="preserve">			this.bodyNo,</v>
      </c>
      <c r="U15" s="31" t="str">
        <f>IF(E15="int","this."&amp;D15&amp;" = 0,","this."&amp;D15&amp;" = '',")</f>
        <v>this.bodyNo = '',</v>
      </c>
      <c r="V15" s="31" t="str">
        <f>IF(AND(E15="string",F15="1"),D15,"")</f>
        <v/>
      </c>
    </row>
    <row r="16" spans="1:22" ht="18" customHeight="1" x14ac:dyDescent="0.25">
      <c r="A16" s="44" t="s">
        <v>276</v>
      </c>
      <c r="B16" s="31" t="str">
        <f t="shared" ref="B16:B31" si="0">SUBSTITUTE(PROPER(A16),"_","")</f>
        <v>LotNo</v>
      </c>
      <c r="C16" s="31" t="str">
        <f t="shared" ref="C16:C31" si="1">SUBSTITUTE(PROPER(A16),"_"," ")</f>
        <v>Lot No</v>
      </c>
      <c r="D16" s="31" t="str">
        <f t="shared" ref="D16:D31" si="2">LOWER(LEFT(B16,1))&amp;RIGHT(B16,LEN(B16) - 1)</f>
        <v>lotNo</v>
      </c>
      <c r="E16" s="72" t="str">
        <f>A.Backend!H10</f>
        <v>long</v>
      </c>
      <c r="F16" s="72" t="str">
        <f>A.Backend!G10</f>
        <v/>
      </c>
      <c r="G16" s="31" t="str">
        <f t="shared" ref="G16:G31" si="3">IF(E16="string"," : string = '' ; ",IF(OR(E16="DateTime",E16="TimeSpan")," : any ;",IF(E16="int"," : number = 0 ;","")))</f>
        <v/>
      </c>
      <c r="H16" s="38" t="str">
        <f t="shared" ref="H16:H31" si="4">IF(E16="DateTime",
REPT(CHAR(9),3)&amp;"{headerName: this.l('"&amp;C16&amp;"'),headerTooltip: this.l('"&amp;C16&amp;"'),field: '"&amp;D16&amp;"',valueGetter: (params) =&gt; this.pipe.transform(params.data?."&amp;D16&amp;", 'dd/MM/yyyy'),flex: 1},",
IF(AND(E16="string",F16="1"),
REPT(CHAR(9),3)&amp;"{headerName: this.l('"&amp;C16&amp;"'),headerTooltip: this.l('"&amp;C16&amp;"'),field:  '"&amp;D16&amp;"', cellClass: ['text-center'], width: 120, cellRenderer: 'agCellButtonComponent',
buttonDefTwo: { text: params =&gt; (params.data?.'"&amp;D16&amp;"' == 'Y') ? 'Active' : 'Inactive',iconName: 'fa fa-circle',className: params =&gt; (params.data?.'"&amp;D16&amp;"' == 'Y') ? 'btnActive' : 'btnInActive',},}",
REPT(CHAR(9),3)&amp;"{headerName: this.l('"&amp;C16&amp;"'),headerTooltip: this.l('"&amp;C16&amp;"'),field: '"&amp;D16&amp;"',flex: 1},"))</f>
        <v xml:space="preserve">			{headerName: this.l('Lot No'),headerTooltip: this.l('Lot No'),field: 'lotNo',flex: 1},</v>
      </c>
      <c r="I16" s="38" t="str">
        <f t="shared" ref="I16:I31" si="5"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IF(E16="string",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/>
      </c>
      <c r="J16" s="31"/>
      <c r="K16" s="38" t="str">
        <f t="shared" ref="K16:K31" si="6">IF(OR(E16="DateTime",E16="TimeSpan"),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IF(E16="int",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/>
      </c>
      <c r="L16" s="60" t="str">
        <f t="shared" ref="L16:L31" si="7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31"/>
      <c r="N16" s="31"/>
      <c r="O16" s="31"/>
      <c r="P16" s="31"/>
      <c r="Q16" s="31"/>
      <c r="R16" s="31"/>
      <c r="S16" s="31" t="str">
        <f>D16&amp;G16</f>
        <v>lotNo</v>
      </c>
      <c r="T16" s="31" t="str">
        <f>REPT(CHAR(9),3)&amp;"this."&amp;D16&amp;","</f>
        <v xml:space="preserve">			this.lotNo,</v>
      </c>
      <c r="U16" s="31" t="str">
        <f>IF(E16="int","this."&amp;D16&amp;" = 0,","this."&amp;D16&amp;" = '',")</f>
        <v>this.lotNo = '',</v>
      </c>
      <c r="V16" s="31" t="str">
        <f>IF(AND(E16="string",F16="1"),D16,"")</f>
        <v/>
      </c>
    </row>
    <row r="17" spans="1:22" ht="18" customHeight="1" x14ac:dyDescent="0.25">
      <c r="A17" s="44" t="s">
        <v>274</v>
      </c>
      <c r="B17" s="31" t="str">
        <f t="shared" si="0"/>
        <v>BodyNo</v>
      </c>
      <c r="C17" s="31" t="str">
        <f t="shared" si="1"/>
        <v>Body No</v>
      </c>
      <c r="D17" s="31" t="str">
        <f t="shared" si="2"/>
        <v>bodyNo</v>
      </c>
      <c r="E17" s="72" t="str">
        <f>A.Backend!H11</f>
        <v>string</v>
      </c>
      <c r="F17" s="72" t="str">
        <f>A.Backend!G11</f>
        <v>50</v>
      </c>
      <c r="G17" s="31" t="str">
        <f t="shared" si="3"/>
        <v xml:space="preserve"> : string = '' ; </v>
      </c>
      <c r="H17" s="38" t="str">
        <f t="shared" si="4"/>
        <v xml:space="preserve">			{headerName: this.l('Body No'),headerTooltip: this.l('Body No'),field: 'bodyNo',flex: 1},</v>
      </c>
      <c r="I17" s="38" t="str">
        <f t="shared" si="5"/>
        <v xml:space="preserve">								&lt;div class='input-search'&gt;
									&lt;input [(ngModel)]='bodyNo' name='bodyNo'
									class='form-control' [placeholder]="l('Body No')"
									type='text' (keyup.enter)='searchDatas()'&gt;
								&lt;/div&gt;</v>
      </c>
      <c r="J17" s="31"/>
      <c r="K17" s="38" t="str">
        <f t="shared" si="6"/>
        <v xml:space="preserve">					&lt;div class='col-md-12 form-group row'&gt;
						&lt;label class='col-md-2 form-control title'&gt;Body No&lt;/label&gt;
						&lt;input type='text' class='col-md-10 form-control input-text' name='BodyNo' [(ngModel)]='rowdata.bodyNo'&gt;
					&lt;/div&gt;</v>
      </c>
      <c r="L17" s="60" t="str">
        <f t="shared" si="7"/>
        <v/>
      </c>
      <c r="M17" s="31"/>
      <c r="N17" s="31"/>
      <c r="O17" s="31"/>
      <c r="P17" s="31"/>
      <c r="Q17" s="31"/>
      <c r="R17" s="31"/>
      <c r="S17" s="31" t="str">
        <f>D17&amp;G17</f>
        <v xml:space="preserve">bodyNo : string = '' ; </v>
      </c>
      <c r="T17" s="31" t="str">
        <f>REPT(CHAR(9),3)&amp;"this."&amp;D17&amp;","</f>
        <v xml:space="preserve">			this.bodyNo,</v>
      </c>
      <c r="U17" s="31" t="str">
        <f>IF(E17="int","this."&amp;D17&amp;" = 0,","this."&amp;D17&amp;" = '',")</f>
        <v>this.bodyNo = '',</v>
      </c>
      <c r="V17" s="31" t="str">
        <f>IF(AND(E17="string",F17="1"),D17,"")</f>
        <v/>
      </c>
    </row>
    <row r="18" spans="1:22" ht="18" customHeight="1" x14ac:dyDescent="0.25">
      <c r="A18" s="44" t="s">
        <v>276</v>
      </c>
      <c r="B18" s="31" t="str">
        <f t="shared" si="0"/>
        <v>LotNo</v>
      </c>
      <c r="C18" s="31" t="str">
        <f t="shared" si="1"/>
        <v>Lot No</v>
      </c>
      <c r="D18" s="31" t="str">
        <f t="shared" si="2"/>
        <v>lotNo</v>
      </c>
      <c r="E18" s="72" t="str">
        <f>A.Backend!H12</f>
        <v>string</v>
      </c>
      <c r="F18" s="72" t="str">
        <f>A.Backend!G12</f>
        <v>50</v>
      </c>
      <c r="G18" s="31" t="str">
        <f t="shared" si="3"/>
        <v xml:space="preserve"> : string = '' ; </v>
      </c>
      <c r="H18" s="38" t="str">
        <f t="shared" si="4"/>
        <v xml:space="preserve">			{headerName: this.l('Lot No'),headerTooltip: this.l('Lot No'),field: 'lotNo',flex: 1},</v>
      </c>
      <c r="I18" s="38" t="str">
        <f t="shared" si="5"/>
        <v xml:space="preserve">								&lt;div class='input-search'&gt;
									&lt;input [(ngModel)]='lotNo' name='lotNo'
									class='form-control' [placeholder]="l('Lot No')"
									type='text' (keyup.enter)='searchDatas()'&gt;
								&lt;/div&gt;</v>
      </c>
      <c r="J18" s="31"/>
      <c r="K18" s="38" t="str">
        <f t="shared" si="6"/>
        <v xml:space="preserve">					&lt;div class='col-md-12 form-group row'&gt;
						&lt;label class='col-md-2 form-control title'&gt;Lot No&lt;/label&gt;
						&lt;input type='text' class='col-md-10 form-control input-text' name='LotNo' [(ngModel)]='rowdata.lotNo'&gt;
					&lt;/div&gt;</v>
      </c>
      <c r="L18" s="60" t="str">
        <f t="shared" si="7"/>
        <v/>
      </c>
      <c r="M18" s="31"/>
      <c r="N18" s="31"/>
      <c r="O18" s="31"/>
      <c r="P18" s="31"/>
      <c r="Q18" s="31"/>
      <c r="R18" s="31"/>
      <c r="S18" s="31" t="str">
        <f>D18&amp;G18</f>
        <v xml:space="preserve">lotNo : string = '' ; </v>
      </c>
      <c r="T18" s="31" t="str">
        <f>REPT(CHAR(9),3)&amp;"this."&amp;D18&amp;","</f>
        <v xml:space="preserve">			this.lotNo,</v>
      </c>
      <c r="U18" s="31" t="str">
        <f>IF(E18="int","this."&amp;D18&amp;" = 0,","this."&amp;D18&amp;" = '',")</f>
        <v>this.lotNo = '',</v>
      </c>
      <c r="V18" s="31" t="str">
        <f>IF(AND(E18="string",F18="1"),D18,"")</f>
        <v/>
      </c>
    </row>
    <row r="19" spans="1:22" ht="18" customHeight="1" x14ac:dyDescent="0.25">
      <c r="A19" s="44" t="s">
        <v>277</v>
      </c>
      <c r="B19" s="31" t="str">
        <f t="shared" si="0"/>
        <v>Color</v>
      </c>
      <c r="C19" s="31" t="str">
        <f t="shared" si="1"/>
        <v>Color</v>
      </c>
      <c r="D19" s="31" t="str">
        <f t="shared" si="2"/>
        <v>color</v>
      </c>
      <c r="E19" s="72" t="str">
        <f>A.Backend!H13</f>
        <v>string</v>
      </c>
      <c r="F19" s="72" t="str">
        <f>A.Backend!G13</f>
        <v>50</v>
      </c>
      <c r="G19" s="31" t="str">
        <f t="shared" si="3"/>
        <v xml:space="preserve"> : string = '' ; </v>
      </c>
      <c r="H19" s="38" t="str">
        <f t="shared" si="4"/>
        <v xml:space="preserve">			{headerName: this.l('Color'),headerTooltip: this.l('Color'),field: 'color',flex: 1},</v>
      </c>
      <c r="I19" s="38" t="str">
        <f t="shared" si="5"/>
        <v xml:space="preserve">								&lt;div class='input-search'&gt;
									&lt;input [(ngModel)]='color' name='color'
									class='form-control' [placeholder]="l('Color')"
									type='text' (keyup.enter)='searchDatas()'&gt;
								&lt;/div&gt;</v>
      </c>
      <c r="J19" s="31"/>
      <c r="K19" s="38" t="str">
        <f t="shared" si="6"/>
        <v xml:space="preserve">					&lt;div class='col-md-12 form-group row'&gt;
						&lt;label class='col-md-2 form-control title'&gt;Color&lt;/label&gt;
						&lt;input type='text' class='col-md-10 form-control input-text' name='Color' [(ngModel)]='rowdata.color'&gt;
					&lt;/div&gt;</v>
      </c>
      <c r="L19" s="60" t="str">
        <f t="shared" si="7"/>
        <v/>
      </c>
      <c r="M19" s="31"/>
      <c r="N19" s="31"/>
      <c r="O19" s="31"/>
      <c r="P19" s="31"/>
      <c r="Q19" s="31"/>
      <c r="R19" s="31"/>
      <c r="S19" s="31" t="str">
        <f t="shared" ref="S19:S21" si="8">REPT(CHAR(9),1)&amp;D19&amp;G19</f>
        <v xml:space="preserve">	color : string = '' ; </v>
      </c>
      <c r="T19" s="31" t="str">
        <f t="shared" ref="T19:T21" si="9">REPT(CHAR(9),3)&amp;"this."&amp;D19&amp;","</f>
        <v xml:space="preserve">			this.color,</v>
      </c>
      <c r="U19" s="31" t="str">
        <f t="shared" ref="U19:U21" si="10">IF(E19="int",REPT(CHAR(9),2)&amp;"this."&amp;D19&amp;" = 0,",REPT(CHAR(9),2)&amp;"this."&amp;D19&amp;" = '',")</f>
        <v xml:space="preserve">		this.color = '',</v>
      </c>
      <c r="V19" s="31" t="str">
        <f t="shared" ref="V19:V22" si="11">IF(AND(E19="string",F19="1"),D19,"")</f>
        <v/>
      </c>
    </row>
    <row r="20" spans="1:22" ht="18" customHeight="1" x14ac:dyDescent="0.25">
      <c r="A20" s="44" t="s">
        <v>278</v>
      </c>
      <c r="B20" s="31" t="str">
        <f t="shared" si="0"/>
        <v>Mode</v>
      </c>
      <c r="C20" s="31" t="str">
        <f t="shared" si="1"/>
        <v>Mode</v>
      </c>
      <c r="D20" s="31" t="str">
        <f t="shared" si="2"/>
        <v>mode</v>
      </c>
      <c r="E20" s="72" t="str">
        <f>A.Backend!H14</f>
        <v>string</v>
      </c>
      <c r="F20" s="72" t="str">
        <f>A.Backend!G14</f>
        <v>50</v>
      </c>
      <c r="G20" s="31" t="str">
        <f t="shared" si="3"/>
        <v xml:space="preserve"> : string = '' ; </v>
      </c>
      <c r="H20" s="38" t="str">
        <f t="shared" si="4"/>
        <v xml:space="preserve">			{headerName: this.l('Mode'),headerTooltip: this.l('Mode'),field: 'mode',flex: 1},</v>
      </c>
      <c r="I20" s="38" t="str">
        <f t="shared" si="5"/>
        <v xml:space="preserve">								&lt;div class='input-search'&gt;
									&lt;input [(ngModel)]='mode' name='mode'
									class='form-control' [placeholder]="l('Mode')"
									type='text' (keyup.enter)='searchDatas()'&gt;
								&lt;/div&gt;</v>
      </c>
      <c r="J20" s="31"/>
      <c r="K20" s="38" t="str">
        <f t="shared" si="6"/>
        <v xml:space="preserve">					&lt;div class='col-md-12 form-group row'&gt;
						&lt;label class='col-md-2 form-control title'&gt;Mode&lt;/label&gt;
						&lt;input type='text' class='col-md-10 form-control input-text' name='Mode' [(ngModel)]='rowdata.mode'&gt;
					&lt;/div&gt;</v>
      </c>
      <c r="L20" s="60" t="str">
        <f t="shared" si="7"/>
        <v/>
      </c>
      <c r="M20" s="31"/>
      <c r="N20" s="31"/>
      <c r="O20" s="31"/>
      <c r="P20" s="31"/>
      <c r="Q20" s="31"/>
      <c r="R20" s="31"/>
      <c r="S20" s="31" t="str">
        <f t="shared" si="8"/>
        <v xml:space="preserve">	mode : string = '' ; </v>
      </c>
      <c r="T20" s="31" t="str">
        <f t="shared" si="9"/>
        <v xml:space="preserve">			this.mode,</v>
      </c>
      <c r="U20" s="31" t="str">
        <f t="shared" si="10"/>
        <v xml:space="preserve">		this.mode = '',</v>
      </c>
      <c r="V20" s="31" t="str">
        <f t="shared" si="11"/>
        <v/>
      </c>
    </row>
    <row r="21" spans="1:22" ht="15" customHeight="1" x14ac:dyDescent="0.25">
      <c r="A21" s="44" t="s">
        <v>279</v>
      </c>
      <c r="B21" s="31" t="str">
        <f t="shared" si="0"/>
        <v>TargetRepair</v>
      </c>
      <c r="C21" s="31" t="str">
        <f t="shared" si="1"/>
        <v>Target Repair</v>
      </c>
      <c r="D21" s="31" t="str">
        <f t="shared" si="2"/>
        <v>targetRepair</v>
      </c>
      <c r="E21" s="72" t="str">
        <f>A.Backend!H15</f>
        <v>string</v>
      </c>
      <c r="F21" s="72" t="str">
        <f>A.Backend!G15</f>
        <v>100</v>
      </c>
      <c r="G21" s="31" t="str">
        <f t="shared" si="3"/>
        <v xml:space="preserve"> : string = '' ; </v>
      </c>
      <c r="H21" s="38" t="str">
        <f t="shared" si="4"/>
        <v xml:space="preserve">			{headerName: this.l('Target Repair'),headerTooltip: this.l('Target Repair'),field: 'targetRepair',flex: 1},</v>
      </c>
      <c r="I21" s="38" t="str">
        <f t="shared" si="5"/>
        <v xml:space="preserve">								&lt;div class='input-search'&gt;
									&lt;input [(ngModel)]='targetRepair' name='targetRepair'
									class='form-control' [placeholder]="l('Target Repair')"
									type='text' (keyup.enter)='searchDatas()'&gt;
								&lt;/div&gt;</v>
      </c>
      <c r="J21" s="31"/>
      <c r="K21" s="38" t="str">
        <f t="shared" si="6"/>
        <v xml:space="preserve">					&lt;div class='col-md-12 form-group row'&gt;
						&lt;label class='col-md-2 form-control title'&gt;Target Repair&lt;/label&gt;
						&lt;input type='text' class='col-md-10 form-control input-text' name='TargetRepair' [(ngModel)]='rowdata.targetRepair'&gt;
					&lt;/div&gt;</v>
      </c>
      <c r="L21" s="60" t="str">
        <f t="shared" si="7"/>
        <v/>
      </c>
      <c r="M21" s="31"/>
      <c r="N21" s="31"/>
      <c r="O21" s="31"/>
      <c r="P21" s="31"/>
      <c r="Q21" s="31"/>
      <c r="R21" s="31"/>
      <c r="S21" s="31" t="str">
        <f t="shared" si="8"/>
        <v xml:space="preserve">	targetRepair : string = '' ; </v>
      </c>
      <c r="T21" s="31" t="str">
        <f t="shared" si="9"/>
        <v xml:space="preserve">			this.targetRepair,</v>
      </c>
      <c r="U21" s="31" t="str">
        <f t="shared" si="10"/>
        <v xml:space="preserve">		this.targetRepair = '',</v>
      </c>
      <c r="V21" s="31" t="str">
        <f t="shared" si="11"/>
        <v/>
      </c>
    </row>
    <row r="22" spans="1:22" ht="15" customHeight="1" x14ac:dyDescent="0.25">
      <c r="A22" s="44" t="s">
        <v>281</v>
      </c>
      <c r="B22" s="31" t="str">
        <f t="shared" si="0"/>
        <v>StartRepair</v>
      </c>
      <c r="C22" s="31" t="str">
        <f t="shared" si="1"/>
        <v>Start Repair</v>
      </c>
      <c r="D22" s="31" t="str">
        <f t="shared" si="2"/>
        <v>startRepair</v>
      </c>
      <c r="E22" s="72" t="str">
        <f>A.Backend!H16</f>
        <v>DateTime</v>
      </c>
      <c r="F22" s="72" t="str">
        <f>A.Backend!G16</f>
        <v>7</v>
      </c>
      <c r="G22" s="31" t="str">
        <f t="shared" si="3"/>
        <v xml:space="preserve"> : any ;</v>
      </c>
      <c r="H22" s="38" t="str">
        <f t="shared" si="4"/>
        <v xml:space="preserve">			{headerName: this.l('Start Repair'),headerTooltip: this.l('Start Repair'),field: 'startRepair',valueGetter: (params) =&gt; this.pipe.transform(params.data?.startRepair, 'dd/MM/yyyy'),flex: 1},</v>
      </c>
      <c r="I22" s="38" t="str">
        <f t="shared" si="5"/>
        <v xml:space="preserve">								&lt;div class='input-search'&gt;
									&lt;input type='text' [placeholder]="l('Start Repair')" [(ngModel)]='startRepair' 
									name='startRepair' (keydown)='searchDatas()' class='form-control' 
									bsDatepicker #d='bsDatepicker' placement='bottom left'&gt;
									&lt;i class='fa fa-calendar-alt' (click)='d.toggle()'&gt;&lt;/i&gt;
								&lt;/div&gt;</v>
      </c>
      <c r="J22" s="31"/>
      <c r="K22" s="38" t="str">
        <f t="shared" si="6"/>
        <v xml:space="preserve">					&lt;div class='col-md-12 form-group row'&gt;
						&lt;label class='col-md-2 form-control title'&gt;Start Repair&lt;/label&gt;
						&lt;input type='text' class='col-md-10 form-control input-text' name='startRepair' 
						#datepicker='bsDatepicker' [(ngModel)]='rowdata.startRepair'  bsDatepicker &gt;
					&lt;/div&gt;</v>
      </c>
      <c r="L22" s="60" t="str">
        <f t="shared" si="7"/>
        <v xml:space="preserve">		const dateValue =  this.rowdata.startRepair ? new Date(this.rowdata.startRepair?.toString()) : new Date();
		this.datepicker?.bsValueChange.emit(dateValue);</v>
      </c>
      <c r="M22" s="31"/>
      <c r="N22" s="31"/>
      <c r="O22" s="31"/>
      <c r="P22" s="31"/>
      <c r="Q22" s="31"/>
      <c r="R22" s="31"/>
      <c r="S22" s="31" t="str">
        <f>REPT(CHAR(9),1)&amp;D22&amp;G22</f>
        <v xml:space="preserve">	startRepair : any ;</v>
      </c>
      <c r="T22" s="31" t="str">
        <f>REPT(CHAR(9),3)&amp;"this."&amp;D22&amp;","</f>
        <v xml:space="preserve">			this.startRepair,</v>
      </c>
      <c r="U22" s="31" t="str">
        <f>IF(E22="int",REPT(CHAR(9),2)&amp;"this."&amp;D22&amp;" = 0,",REPT(CHAR(9),2)&amp;"this."&amp;D22&amp;" = '',")</f>
        <v xml:space="preserve">		this.startRepair = '',</v>
      </c>
      <c r="V22" s="31" t="str">
        <f t="shared" si="11"/>
        <v/>
      </c>
    </row>
    <row r="23" spans="1:22" ht="18" customHeight="1" x14ac:dyDescent="0.25">
      <c r="A23" s="44" t="s">
        <v>283</v>
      </c>
      <c r="B23" s="31" t="str">
        <f t="shared" si="0"/>
        <v>Location</v>
      </c>
      <c r="C23" s="31" t="str">
        <f t="shared" si="1"/>
        <v>Location</v>
      </c>
      <c r="D23" s="31" t="str">
        <f t="shared" si="2"/>
        <v>location</v>
      </c>
      <c r="E23" s="72" t="str">
        <f>A.Backend!H17</f>
        <v>string</v>
      </c>
      <c r="F23" s="72" t="str">
        <f>A.Backend!G17</f>
        <v>100</v>
      </c>
      <c r="G23" s="31" t="str">
        <f t="shared" si="3"/>
        <v xml:space="preserve"> : string = '' ; </v>
      </c>
      <c r="H23" s="38" t="str">
        <f t="shared" si="4"/>
        <v xml:space="preserve">			{headerName: this.l('Location'),headerTooltip: this.l('Location'),field: 'location',flex: 1},</v>
      </c>
      <c r="I23" s="38" t="str">
        <f t="shared" si="5"/>
        <v xml:space="preserve">								&lt;div class='input-search'&gt;
									&lt;input [(ngModel)]='location' name='location'
									class='form-control' [placeholder]="l('Location')"
									type='text' (keyup.enter)='searchDatas()'&gt;
								&lt;/div&gt;</v>
      </c>
      <c r="J23" s="31"/>
      <c r="K23" s="38" t="str">
        <f t="shared" si="6"/>
        <v xml:space="preserve">					&lt;div class='col-md-12 form-group row'&gt;
						&lt;label class='col-md-2 form-control title'&gt;Location&lt;/label&gt;
						&lt;input type='text' class='col-md-10 form-control input-text' name='Location' [(ngModel)]='rowdata.location'&gt;
					&lt;/div&gt;</v>
      </c>
      <c r="L23" s="60" t="str">
        <f t="shared" si="7"/>
        <v/>
      </c>
      <c r="M23" s="31"/>
      <c r="N23" s="31"/>
      <c r="O23" s="31"/>
      <c r="P23" s="31"/>
      <c r="Q23" s="31"/>
      <c r="R23" s="31"/>
      <c r="S23" s="31" t="str">
        <f>D23&amp;G23</f>
        <v xml:space="preserve">location : string = '' ; </v>
      </c>
      <c r="T23" s="31" t="str">
        <f>REPT(CHAR(9),3)&amp;"this."&amp;D23&amp;","</f>
        <v xml:space="preserve">			this.location,</v>
      </c>
      <c r="U23" s="31" t="str">
        <f>IF(E23="int","this."&amp;D23&amp;" = 0,","this."&amp;D23&amp;" = '',")</f>
        <v>this.location = '',</v>
      </c>
      <c r="V23" s="31" t="str">
        <f>IF(AND(E23="string",F23="1"),D23,"")</f>
        <v/>
      </c>
    </row>
    <row r="24" spans="1:22" ht="18" customHeight="1" x14ac:dyDescent="0.25">
      <c r="A24" s="44" t="s">
        <v>284</v>
      </c>
      <c r="B24" s="31" t="str">
        <f t="shared" si="0"/>
        <v>AInPlanDate</v>
      </c>
      <c r="C24" s="31" t="str">
        <f t="shared" si="1"/>
        <v>A In Plan Date</v>
      </c>
      <c r="D24" s="31" t="str">
        <f t="shared" si="2"/>
        <v>aInPlanDate</v>
      </c>
      <c r="E24" s="72" t="str">
        <f>A.Backend!H18</f>
        <v>DateTime</v>
      </c>
      <c r="F24" s="72" t="str">
        <f>A.Backend!G18</f>
        <v>7</v>
      </c>
      <c r="G24" s="31" t="str">
        <f t="shared" si="3"/>
        <v xml:space="preserve"> : any ;</v>
      </c>
      <c r="H24" s="38" t="str">
        <f t="shared" si="4"/>
        <v xml:space="preserve">			{headerName: this.l('A In Plan Date'),headerTooltip: this.l('A In Plan Date'),field: 'aInPlanDate',valueGetter: (params) =&gt; this.pipe.transform(params.data?.aInPlanDate, 'dd/MM/yyyy'),flex: 1},</v>
      </c>
      <c r="I24" s="38" t="str">
        <f t="shared" si="5"/>
        <v xml:space="preserve">								&lt;div class='input-search'&gt;
									&lt;input type='text' [placeholder]="l('A In Plan Date')" [(ngModel)]='aInPlanDate' 
									name='aInPlanDate' (keydown)='searchDatas()' class='form-control' 
									bsDatepicker #d='bsDatepicker' placement='bottom left'&gt;
									&lt;i class='fa fa-calendar-alt' (click)='d.toggle()'&gt;&lt;/i&gt;
								&lt;/div&gt;</v>
      </c>
      <c r="J24" s="31"/>
      <c r="K24" s="38" t="str">
        <f t="shared" si="6"/>
        <v xml:space="preserve">					&lt;div class='col-md-12 form-group row'&gt;
						&lt;label class='col-md-2 form-control title'&gt;A In Plan Date&lt;/label&gt;
						&lt;input type='text' class='col-md-10 form-control input-text' name='aInPlanDate' 
						#datepicker='bsDatepicker' [(ngModel)]='rowdata.aInPlanDate'  bsDatepicker &gt;
					&lt;/div&gt;</v>
      </c>
      <c r="L24" s="60" t="str">
        <f t="shared" si="7"/>
        <v xml:space="preserve">		const dateValue =  this.rowdata.aInPlanDate ? new Date(this.rowdata.aInPlanDate?.toString()) : new Date();
		this.datepicker?.bsValueChange.emit(dateValue);</v>
      </c>
      <c r="M24" s="31"/>
      <c r="N24" s="31"/>
      <c r="O24" s="31"/>
      <c r="P24" s="31"/>
      <c r="Q24" s="31"/>
      <c r="R24" s="31"/>
      <c r="S24" s="31" t="str">
        <f t="shared" ref="S24:S26" si="12">REPT(CHAR(9),1)&amp;D24&amp;G24</f>
        <v xml:space="preserve">	aInPlanDate : any ;</v>
      </c>
      <c r="T24" s="31" t="str">
        <f t="shared" ref="T24:T26" si="13">REPT(CHAR(9),3)&amp;"this."&amp;D24&amp;","</f>
        <v xml:space="preserve">			this.aInPlanDate,</v>
      </c>
      <c r="U24" s="31" t="str">
        <f t="shared" ref="U24:U26" si="14">IF(E24="int",REPT(CHAR(9),2)&amp;"this."&amp;D24&amp;" = 0,",REPT(CHAR(9),2)&amp;"this."&amp;D24&amp;" = '',")</f>
        <v xml:space="preserve">		this.aInPlanDate = '',</v>
      </c>
      <c r="V24" s="31" t="str">
        <f t="shared" ref="V24:V30" si="15">IF(AND(E24="string",F24="1"),D24,"")</f>
        <v/>
      </c>
    </row>
    <row r="25" spans="1:22" ht="18" customHeight="1" x14ac:dyDescent="0.25">
      <c r="A25" s="44" t="s">
        <v>285</v>
      </c>
      <c r="B25" s="31" t="str">
        <f t="shared" si="0"/>
        <v>EdInAct</v>
      </c>
      <c r="C25" s="31" t="str">
        <f t="shared" si="1"/>
        <v>Ed In Act</v>
      </c>
      <c r="D25" s="31" t="str">
        <f t="shared" si="2"/>
        <v>edInAct</v>
      </c>
      <c r="E25" s="72" t="str">
        <f>A.Backend!H19</f>
        <v>DateTime</v>
      </c>
      <c r="F25" s="72" t="str">
        <f>A.Backend!G19</f>
        <v>7</v>
      </c>
      <c r="G25" s="31" t="str">
        <f t="shared" si="3"/>
        <v xml:space="preserve"> : any ;</v>
      </c>
      <c r="H25" s="38" t="str">
        <f t="shared" si="4"/>
        <v xml:space="preserve">			{headerName: this.l('Ed In Act'),headerTooltip: this.l('Ed In Act'),field: 'edInAct',valueGetter: (params) =&gt; this.pipe.transform(params.data?.edInAct, 'dd/MM/yyyy'),flex: 1},</v>
      </c>
      <c r="I25" s="38" t="str">
        <f t="shared" si="5"/>
        <v xml:space="preserve">								&lt;div class='input-search'&gt;
									&lt;input type='text' [placeholder]="l('Ed In Act')" [(ngModel)]='edInAct' 
									name='edInAct' (keydown)='searchDatas()' class='form-control' 
									bsDatepicker #d='bsDatepicker' placement='bottom left'&gt;
									&lt;i class='fa fa-calendar-alt' (click)='d.toggle()'&gt;&lt;/i&gt;
								&lt;/div&gt;</v>
      </c>
      <c r="J25" s="31"/>
      <c r="K25" s="38" t="str">
        <f t="shared" si="6"/>
        <v xml:space="preserve">					&lt;div class='col-md-12 form-group row'&gt;
						&lt;label class='col-md-2 form-control title'&gt;Ed In Act&lt;/label&gt;
						&lt;input type='text' class='col-md-10 form-control input-text' name='edInAct' 
						#datepicker='bsDatepicker' [(ngModel)]='rowdata.edInAct'  bsDatepicker &gt;
					&lt;/div&gt;</v>
      </c>
      <c r="L25" s="60" t="str">
        <f t="shared" si="7"/>
        <v xml:space="preserve">		const dateValue =  this.rowdata.edInAct ? new Date(this.rowdata.edInAct?.toString()) : new Date();
		this.datepicker?.bsValueChange.emit(dateValue);</v>
      </c>
      <c r="M25" s="31"/>
      <c r="N25" s="31"/>
      <c r="O25" s="31"/>
      <c r="P25" s="31"/>
      <c r="Q25" s="31"/>
      <c r="R25" s="31"/>
      <c r="S25" s="31" t="str">
        <f t="shared" si="12"/>
        <v xml:space="preserve">	edInAct : any ;</v>
      </c>
      <c r="T25" s="31" t="str">
        <f t="shared" si="13"/>
        <v xml:space="preserve">			this.edInAct,</v>
      </c>
      <c r="U25" s="31" t="str">
        <f t="shared" si="14"/>
        <v xml:space="preserve">		this.edInAct = '',</v>
      </c>
      <c r="V25" s="31" t="str">
        <f t="shared" si="15"/>
        <v/>
      </c>
    </row>
    <row r="26" spans="1:22" ht="15" customHeight="1" x14ac:dyDescent="0.25">
      <c r="A26" s="44" t="s">
        <v>286</v>
      </c>
      <c r="B26" s="31" t="str">
        <f t="shared" si="0"/>
        <v>RepairIn</v>
      </c>
      <c r="C26" s="31" t="str">
        <f t="shared" si="1"/>
        <v>Repair In</v>
      </c>
      <c r="D26" s="31" t="str">
        <f t="shared" si="2"/>
        <v>repairIn</v>
      </c>
      <c r="E26" s="72" t="str">
        <f>A.Backend!H20</f>
        <v>DateTime</v>
      </c>
      <c r="F26" s="72" t="str">
        <f>A.Backend!G20</f>
        <v>7</v>
      </c>
      <c r="G26" s="31" t="str">
        <f t="shared" si="3"/>
        <v xml:space="preserve"> : any ;</v>
      </c>
      <c r="H26" s="38" t="str">
        <f t="shared" si="4"/>
        <v xml:space="preserve">			{headerName: this.l('Repair In'),headerTooltip: this.l('Repair In'),field: 'repairIn',valueGetter: (params) =&gt; this.pipe.transform(params.data?.repairIn, 'dd/MM/yyyy'),flex: 1},</v>
      </c>
      <c r="I26" s="38" t="str">
        <f t="shared" si="5"/>
        <v xml:space="preserve">								&lt;div class='input-search'&gt;
									&lt;input type='text' [placeholder]="l('Repair In')" [(ngModel)]='repairIn' 
									name='repairIn' (keydown)='searchDatas()' class='form-control' 
									bsDatepicker #d='bsDatepicker' placement='bottom left'&gt;
									&lt;i class='fa fa-calendar-alt' (click)='d.toggle()'&gt;&lt;/i&gt;
								&lt;/div&gt;</v>
      </c>
      <c r="J26" s="31"/>
      <c r="K26" s="38" t="str">
        <f t="shared" si="6"/>
        <v xml:space="preserve">					&lt;div class='col-md-12 form-group row'&gt;
						&lt;label class='col-md-2 form-control title'&gt;Repair In&lt;/label&gt;
						&lt;input type='text' class='col-md-10 form-control input-text' name='repairIn' 
						#datepicker='bsDatepicker' [(ngModel)]='rowdata.repairIn'  bsDatepicker &gt;
					&lt;/div&gt;</v>
      </c>
      <c r="L26" s="60" t="str">
        <f t="shared" si="7"/>
        <v xml:space="preserve">		const dateValue =  this.rowdata.repairIn ? new Date(this.rowdata.repairIn?.toString()) : new Date();
		this.datepicker?.bsValueChange.emit(dateValue);</v>
      </c>
      <c r="M26" s="31"/>
      <c r="N26" s="31"/>
      <c r="O26" s="31"/>
      <c r="P26" s="31"/>
      <c r="Q26" s="31"/>
      <c r="R26" s="31"/>
      <c r="S26" s="31" t="str">
        <f t="shared" si="12"/>
        <v xml:space="preserve">	repairIn : any ;</v>
      </c>
      <c r="T26" s="31" t="str">
        <f t="shared" si="13"/>
        <v xml:space="preserve">			this.repairIn,</v>
      </c>
      <c r="U26" s="31" t="str">
        <f t="shared" si="14"/>
        <v xml:space="preserve">		this.repairIn = '',</v>
      </c>
      <c r="V26" s="31" t="str">
        <f t="shared" si="15"/>
        <v/>
      </c>
    </row>
    <row r="27" spans="1:22" ht="15" customHeight="1" x14ac:dyDescent="0.25">
      <c r="A27" s="44" t="s">
        <v>287</v>
      </c>
      <c r="B27" s="31" t="str">
        <f t="shared" si="0"/>
        <v>Leadtime</v>
      </c>
      <c r="C27" s="31" t="str">
        <f t="shared" si="1"/>
        <v>Leadtime</v>
      </c>
      <c r="D27" s="31" t="str">
        <f t="shared" si="2"/>
        <v>leadtime</v>
      </c>
      <c r="E27" s="72" t="str">
        <f>A.Backend!H21</f>
        <v>DateTime</v>
      </c>
      <c r="F27" s="72" t="str">
        <f>A.Backend!G21</f>
        <v>7</v>
      </c>
      <c r="G27" s="31" t="str">
        <f t="shared" si="3"/>
        <v xml:space="preserve"> : any ;</v>
      </c>
      <c r="H27" s="38" t="str">
        <f t="shared" si="4"/>
        <v xml:space="preserve">			{headerName: this.l('Leadtime'),headerTooltip: this.l('Leadtime'),field: 'leadtime',valueGetter: (params) =&gt; this.pipe.transform(params.data?.leadtime, 'dd/MM/yyyy'),flex: 1},</v>
      </c>
      <c r="I27" s="38" t="str">
        <f t="shared" si="5"/>
        <v xml:space="preserve">								&lt;div class='input-search'&gt;
									&lt;input type='text' [placeholder]="l('Leadtime')" [(ngModel)]='leadtime' 
									name='leadtime' (keydown)='searchDatas()' class='form-control' 
									bsDatepicker #d='bsDatepicker' placement='bottom left'&gt;
									&lt;i class='fa fa-calendar-alt' (click)='d.toggle()'&gt;&lt;/i&gt;
								&lt;/div&gt;</v>
      </c>
      <c r="J27" s="31"/>
      <c r="K27" s="38" t="str">
        <f t="shared" si="6"/>
        <v xml:space="preserve">					&lt;div class='col-md-12 form-group row'&gt;
						&lt;label class='col-md-2 form-control title'&gt;Leadtime&lt;/label&gt;
						&lt;input type='text' class='col-md-10 form-control input-text' name='leadtime' 
						#datepicker='bsDatepicker' [(ngModel)]='rowdata.leadtime'  bsDatepicker &gt;
					&lt;/div&gt;</v>
      </c>
      <c r="L27" s="60" t="str">
        <f t="shared" si="7"/>
        <v xml:space="preserve">		const dateValue =  this.rowdata.leadtime ? new Date(this.rowdata.leadtime?.toString()) : new Date();
		this.datepicker?.bsValueChange.emit(dateValue);</v>
      </c>
      <c r="M27" s="31"/>
      <c r="N27" s="31"/>
      <c r="O27" s="31"/>
      <c r="P27" s="31"/>
      <c r="Q27" s="31"/>
      <c r="R27" s="31"/>
      <c r="S27" s="31" t="str">
        <f>REPT(CHAR(9),1)&amp;D27&amp;G27</f>
        <v xml:space="preserve">	leadtime : any ;</v>
      </c>
      <c r="T27" s="31" t="str">
        <f>REPT(CHAR(9),3)&amp;"this."&amp;D27&amp;","</f>
        <v xml:space="preserve">			this.leadtime,</v>
      </c>
      <c r="U27" s="31" t="str">
        <f>IF(E27="int",REPT(CHAR(9),2)&amp;"this."&amp;D27&amp;" = 0,",REPT(CHAR(9),2)&amp;"this."&amp;D27&amp;" = '',")</f>
        <v xml:space="preserve">		this.leadtime = '',</v>
      </c>
      <c r="V27" s="31" t="str">
        <f t="shared" si="15"/>
        <v/>
      </c>
    </row>
    <row r="28" spans="1:22" ht="18" customHeight="1" x14ac:dyDescent="0.25">
      <c r="A28" s="44" t="s">
        <v>288</v>
      </c>
      <c r="B28" s="31" t="str">
        <f t="shared" si="0"/>
        <v>LeadtimePlus</v>
      </c>
      <c r="C28" s="31" t="str">
        <f t="shared" si="1"/>
        <v>Leadtime Plus</v>
      </c>
      <c r="D28" s="31" t="str">
        <f t="shared" si="2"/>
        <v>leadtimePlus</v>
      </c>
      <c r="E28" s="72" t="str">
        <f>A.Backend!H22</f>
        <v>DateTime</v>
      </c>
      <c r="F28" s="72" t="str">
        <f>A.Backend!G22</f>
        <v>7</v>
      </c>
      <c r="G28" s="31" t="str">
        <f t="shared" si="3"/>
        <v xml:space="preserve"> : any ;</v>
      </c>
      <c r="H28" s="38" t="str">
        <f t="shared" si="4"/>
        <v xml:space="preserve">			{headerName: this.l('Leadtime Plus'),headerTooltip: this.l('Leadtime Plus'),field: 'leadtimePlus',valueGetter: (params) =&gt; this.pipe.transform(params.data?.leadtimePlus, 'dd/MM/yyyy'),flex: 1},</v>
      </c>
      <c r="I28" s="38" t="str">
        <f t="shared" si="5"/>
        <v xml:space="preserve">								&lt;div class='input-search'&gt;
									&lt;input type='text' [placeholder]="l('Leadtime Plus')" [(ngModel)]='leadtimePlus' 
									name='leadtimePlus' (keydown)='searchDatas()' class='form-control' 
									bsDatepicker #d='bsDatepicker' placement='bottom left'&gt;
									&lt;i class='fa fa-calendar-alt' (click)='d.toggle()'&gt;&lt;/i&gt;
								&lt;/div&gt;</v>
      </c>
      <c r="J28" s="31"/>
      <c r="K28" s="38" t="str">
        <f t="shared" si="6"/>
        <v xml:space="preserve">					&lt;div class='col-md-12 form-group row'&gt;
						&lt;label class='col-md-2 form-control title'&gt;Leadtime Plus&lt;/label&gt;
						&lt;input type='text' class='col-md-10 form-control input-text' name='leadtimePlus' 
						#datepicker='bsDatepicker' [(ngModel)]='rowdata.leadtimePlus'  bsDatepicker &gt;
					&lt;/div&gt;</v>
      </c>
      <c r="L28" s="60" t="str">
        <f t="shared" si="7"/>
        <v xml:space="preserve">		const dateValue =  this.rowdata.leadtimePlus ? new Date(this.rowdata.leadtimePlus?.toString()) : new Date();
		this.datepicker?.bsValueChange.emit(dateValue);</v>
      </c>
      <c r="M28" s="31"/>
      <c r="N28" s="31"/>
      <c r="O28" s="31"/>
      <c r="P28" s="31"/>
      <c r="Q28" s="31"/>
      <c r="R28" s="31"/>
      <c r="S28" s="31" t="str">
        <f t="shared" ref="S28:S30" si="16">REPT(CHAR(9),1)&amp;D28&amp;G28</f>
        <v xml:space="preserve">	leadtimePlus : any ;</v>
      </c>
      <c r="T28" s="31" t="str">
        <f t="shared" ref="T28:T30" si="17">REPT(CHAR(9),3)&amp;"this."&amp;D28&amp;","</f>
        <v xml:space="preserve">			this.leadtimePlus,</v>
      </c>
      <c r="U28" s="31" t="str">
        <f t="shared" ref="U28:U30" si="18">IF(E28="int",REPT(CHAR(9),2)&amp;"this."&amp;D28&amp;" = 0,",REPT(CHAR(9),2)&amp;"this."&amp;D28&amp;" = '',")</f>
        <v xml:space="preserve">		this.leadtimePlus = '',</v>
      </c>
      <c r="V28" s="31" t="str">
        <f t="shared" si="15"/>
        <v/>
      </c>
    </row>
    <row r="29" spans="1:22" ht="18" customHeight="1" x14ac:dyDescent="0.25">
      <c r="A29" s="44" t="s">
        <v>289</v>
      </c>
      <c r="B29" s="31" t="str">
        <f t="shared" si="0"/>
        <v>Etd</v>
      </c>
      <c r="C29" s="31" t="str">
        <f t="shared" si="1"/>
        <v>Etd</v>
      </c>
      <c r="D29" s="31" t="str">
        <f t="shared" si="2"/>
        <v>etd</v>
      </c>
      <c r="E29" s="72" t="str">
        <f>A.Backend!H23</f>
        <v>DateTime</v>
      </c>
      <c r="F29" s="72" t="str">
        <f>A.Backend!G23</f>
        <v>7</v>
      </c>
      <c r="G29" s="31" t="str">
        <f t="shared" si="3"/>
        <v xml:space="preserve"> : any ;</v>
      </c>
      <c r="H29" s="38" t="str">
        <f t="shared" si="4"/>
        <v xml:space="preserve">			{headerName: this.l('Etd'),headerTooltip: this.l('Etd'),field: 'etd',valueGetter: (params) =&gt; this.pipe.transform(params.data?.etd, 'dd/MM/yyyy'),flex: 1},</v>
      </c>
      <c r="I29" s="38" t="str">
        <f t="shared" si="5"/>
        <v xml:space="preserve">								&lt;div class='input-search'&gt;
									&lt;input type='text' [placeholder]="l('Etd')" [(ngModel)]='etd' 
									name='etd' (keydown)='searchDatas()' class='form-control' 
									bsDatepicker #d='bsDatepicker' placement='bottom left'&gt;
									&lt;i class='fa fa-calendar-alt' (click)='d.toggle()'&gt;&lt;/i&gt;
								&lt;/div&gt;</v>
      </c>
      <c r="J29" s="31"/>
      <c r="K29" s="38" t="str">
        <f t="shared" si="6"/>
        <v xml:space="preserve">					&lt;div class='col-md-12 form-group row'&gt;
						&lt;label class='col-md-2 form-control title'&gt;Etd&lt;/label&gt;
						&lt;input type='text' class='col-md-10 form-control input-text' name='etd' 
						#datepicker='bsDatepicker' [(ngModel)]='rowdata.etd'  bsDatepicker &gt;
					&lt;/div&gt;</v>
      </c>
      <c r="L29" s="60" t="str">
        <f t="shared" si="7"/>
        <v xml:space="preserve">		const dateValue =  this.rowdata.etd ? new Date(this.rowdata.etd?.toString()) : new Date();
		this.datepicker?.bsValueChange.emit(dateValue);</v>
      </c>
      <c r="M29" s="31"/>
      <c r="N29" s="31"/>
      <c r="O29" s="31"/>
      <c r="P29" s="31"/>
      <c r="Q29" s="31"/>
      <c r="R29" s="31"/>
      <c r="S29" s="31" t="str">
        <f t="shared" si="16"/>
        <v xml:space="preserve">	etd : any ;</v>
      </c>
      <c r="T29" s="31" t="str">
        <f t="shared" si="17"/>
        <v xml:space="preserve">			this.etd,</v>
      </c>
      <c r="U29" s="31" t="str">
        <f t="shared" si="18"/>
        <v xml:space="preserve">		this.etd = '',</v>
      </c>
      <c r="V29" s="31" t="str">
        <f t="shared" si="15"/>
        <v/>
      </c>
    </row>
    <row r="30" spans="1:22" ht="18" customHeight="1" x14ac:dyDescent="0.25">
      <c r="A30" s="44" t="s">
        <v>290</v>
      </c>
      <c r="B30" s="31" t="str">
        <f t="shared" si="0"/>
        <v>RecoatIn</v>
      </c>
      <c r="C30" s="31" t="str">
        <f t="shared" si="1"/>
        <v>Recoat In</v>
      </c>
      <c r="D30" s="31" t="str">
        <f t="shared" si="2"/>
        <v>recoatIn</v>
      </c>
      <c r="E30" s="72" t="str">
        <f>A.Backend!H24</f>
        <v>DateTime</v>
      </c>
      <c r="F30" s="72" t="str">
        <f>A.Backend!G24</f>
        <v>7</v>
      </c>
      <c r="G30" s="31" t="str">
        <f t="shared" si="3"/>
        <v xml:space="preserve"> : any ;</v>
      </c>
      <c r="H30" s="38" t="str">
        <f t="shared" si="4"/>
        <v xml:space="preserve">			{headerName: this.l('Recoat In'),headerTooltip: this.l('Recoat In'),field: 'recoatIn',valueGetter: (params) =&gt; this.pipe.transform(params.data?.recoatIn, 'dd/MM/yyyy'),flex: 1},</v>
      </c>
      <c r="I30" s="38" t="str">
        <f t="shared" si="5"/>
        <v xml:space="preserve">								&lt;div class='input-search'&gt;
									&lt;input type='text' [placeholder]="l('Recoat In')" [(ngModel)]='recoatIn' 
									name='recoatIn' (keydown)='searchDatas()' class='form-control' 
									bsDatepicker #d='bsDatepicker' placement='bottom left'&gt;
									&lt;i class='fa fa-calendar-alt' (click)='d.toggle()'&gt;&lt;/i&gt;
								&lt;/div&gt;</v>
      </c>
      <c r="J30" s="31"/>
      <c r="K30" s="38" t="str">
        <f t="shared" si="6"/>
        <v xml:space="preserve">					&lt;div class='col-md-12 form-group row'&gt;
						&lt;label class='col-md-2 form-control title'&gt;Recoat In&lt;/label&gt;
						&lt;input type='text' class='col-md-10 form-control input-text' name='recoatIn' 
						#datepicker='bsDatepicker' [(ngModel)]='rowdata.recoatIn'  bsDatepicker &gt;
					&lt;/div&gt;</v>
      </c>
      <c r="L30" s="60" t="str">
        <f t="shared" si="7"/>
        <v xml:space="preserve">		const dateValue =  this.rowdata.recoatIn ? new Date(this.rowdata.recoatIn?.toString()) : new Date();
		this.datepicker?.bsValueChange.emit(dateValue);</v>
      </c>
      <c r="M30" s="31"/>
      <c r="N30" s="31"/>
      <c r="O30" s="31"/>
      <c r="P30" s="31"/>
      <c r="Q30" s="31"/>
      <c r="R30" s="31"/>
      <c r="S30" s="31" t="str">
        <f t="shared" si="16"/>
        <v xml:space="preserve">	recoatIn : any ;</v>
      </c>
      <c r="T30" s="31" t="str">
        <f t="shared" si="17"/>
        <v xml:space="preserve">			this.recoatIn,</v>
      </c>
      <c r="U30" s="31" t="str">
        <f t="shared" si="18"/>
        <v xml:space="preserve">		this.recoatIn = '',</v>
      </c>
      <c r="V30" s="31" t="str">
        <f t="shared" si="15"/>
        <v/>
      </c>
    </row>
    <row r="31" spans="1:22" ht="15" customHeight="1" x14ac:dyDescent="0.25">
      <c r="A31" s="44" t="s">
        <v>270</v>
      </c>
      <c r="B31" s="31" t="str">
        <f t="shared" si="0"/>
        <v>IsActive</v>
      </c>
      <c r="C31" s="31" t="str">
        <f t="shared" si="1"/>
        <v>Is Active</v>
      </c>
      <c r="D31" s="31" t="str">
        <f t="shared" si="2"/>
        <v>isActive</v>
      </c>
      <c r="E31" s="72" t="str">
        <f>A.Backend!H25</f>
        <v>string</v>
      </c>
      <c r="F31" s="72" t="str">
        <f>A.Backend!G25</f>
        <v>1</v>
      </c>
      <c r="G31" s="31" t="str">
        <f t="shared" si="3"/>
        <v xml:space="preserve"> : string = '' ; </v>
      </c>
      <c r="H31" s="38" t="str">
        <f t="shared" si="4"/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31" s="38" t="str">
        <f t="shared" si="5"/>
        <v xml:space="preserve">								&lt;div class='input-search'&gt;
									&lt;input [(ngModel)]='isActive' name='isActive'
									class='form-control' [placeholder]="l('Is Active')"
									type='text' (keyup.enter)='searchDatas()'&gt;
								&lt;/div&gt;</v>
      </c>
      <c r="J31" s="31"/>
      <c r="K31" s="38" t="str">
        <f t="shared" si="6"/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31" s="60" t="str">
        <f t="shared" si="7"/>
        <v/>
      </c>
      <c r="M31" s="31"/>
      <c r="N31" s="31"/>
      <c r="O31" s="31"/>
      <c r="P31" s="31"/>
      <c r="Q31" s="31"/>
      <c r="R31" s="31"/>
      <c r="S31" s="31" t="str">
        <f t="shared" ref="S31" si="19">REPT(CHAR(9),1)&amp;D31&amp;G31</f>
        <v xml:space="preserve">	isActive : string = '' ; </v>
      </c>
      <c r="T31" s="31" t="str">
        <f t="shared" ref="T31" si="20">REPT(CHAR(9),3)&amp;"this."&amp;D31&amp;","</f>
        <v xml:space="preserve">			this.isActive,</v>
      </c>
      <c r="U31" s="31" t="str">
        <f t="shared" ref="U31" si="21">IF(E31="int",REPT(CHAR(9),2)&amp;"this."&amp;D31&amp;" = 0,",REPT(CHAR(9),2)&amp;"this."&amp;D31&amp;" = '',")</f>
        <v xml:space="preserve">		this.isActive = '',</v>
      </c>
      <c r="V31" s="31" t="str">
        <f t="shared" ref="V31" si="22">IF(AND(E31="string",F31="1"),D31,"")</f>
        <v>isActive</v>
      </c>
    </row>
    <row r="34" ht="17.25" customHeight="1" x14ac:dyDescent="0.25"/>
  </sheetData>
  <conditionalFormatting sqref="A32:A1048576 A1:A14 A17:A30">
    <cfRule type="duplicateValues" dxfId="2" priority="3"/>
  </conditionalFormatting>
  <conditionalFormatting sqref="A31">
    <cfRule type="duplicateValues" dxfId="1" priority="2"/>
  </conditionalFormatting>
  <conditionalFormatting sqref="A15:A16">
    <cfRule type="duplicateValues" dxfId="0" priority="1"/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B20"/>
  <sheetViews>
    <sheetView topLeftCell="A4" workbookViewId="0">
      <selection activeCell="E18" sqref="E18"/>
    </sheetView>
  </sheetViews>
  <sheetFormatPr defaultRowHeight="15" x14ac:dyDescent="0.25"/>
  <cols>
    <col min="1" max="1" width="22.5703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33</v>
      </c>
    </row>
    <row r="3" spans="1:2" x14ac:dyDescent="0.25">
      <c r="A3" t="s">
        <v>18</v>
      </c>
      <c r="B3" t="s">
        <v>33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36</v>
      </c>
    </row>
    <row r="6" spans="1:2" x14ac:dyDescent="0.25">
      <c r="A6" t="s">
        <v>23</v>
      </c>
      <c r="B6" t="s">
        <v>34</v>
      </c>
    </row>
    <row r="7" spans="1:2" x14ac:dyDescent="0.25">
      <c r="A7" t="s">
        <v>24</v>
      </c>
      <c r="B7" t="s">
        <v>4</v>
      </c>
    </row>
    <row r="8" spans="1:2" x14ac:dyDescent="0.25">
      <c r="A8" t="s">
        <v>4</v>
      </c>
      <c r="B8" t="s">
        <v>4</v>
      </c>
    </row>
    <row r="9" spans="1:2" x14ac:dyDescent="0.25">
      <c r="A9" t="s">
        <v>0</v>
      </c>
      <c r="B9" t="s">
        <v>48</v>
      </c>
    </row>
    <row r="10" spans="1:2" x14ac:dyDescent="0.25">
      <c r="A10" t="s">
        <v>25</v>
      </c>
      <c r="B10" t="s">
        <v>28</v>
      </c>
    </row>
    <row r="11" spans="1:2" x14ac:dyDescent="0.25">
      <c r="A11" t="s">
        <v>26</v>
      </c>
      <c r="B11" t="s">
        <v>28</v>
      </c>
    </row>
    <row r="12" spans="1:2" x14ac:dyDescent="0.25">
      <c r="A12" t="s">
        <v>27</v>
      </c>
      <c r="B12" t="s">
        <v>28</v>
      </c>
    </row>
    <row r="13" spans="1:2" x14ac:dyDescent="0.25">
      <c r="A13" t="s">
        <v>28</v>
      </c>
      <c r="B13" t="s">
        <v>28</v>
      </c>
    </row>
    <row r="14" spans="1:2" x14ac:dyDescent="0.25">
      <c r="A14" t="s">
        <v>29</v>
      </c>
      <c r="B14" t="s">
        <v>28</v>
      </c>
    </row>
    <row r="15" spans="1:2" x14ac:dyDescent="0.25">
      <c r="A15" t="s">
        <v>30</v>
      </c>
      <c r="B15" t="s">
        <v>28</v>
      </c>
    </row>
    <row r="16" spans="1:2" x14ac:dyDescent="0.25">
      <c r="A16" t="s">
        <v>31</v>
      </c>
      <c r="B16" t="s">
        <v>32</v>
      </c>
    </row>
    <row r="17" spans="1:2" x14ac:dyDescent="0.25">
      <c r="A17" t="s">
        <v>3</v>
      </c>
      <c r="B17" t="s">
        <v>32</v>
      </c>
    </row>
    <row r="18" spans="1:2" x14ac:dyDescent="0.25">
      <c r="A18" t="s">
        <v>35</v>
      </c>
      <c r="B18" t="s">
        <v>32</v>
      </c>
    </row>
    <row r="19" spans="1:2" x14ac:dyDescent="0.25">
      <c r="A19" t="s">
        <v>2</v>
      </c>
      <c r="B19" t="s">
        <v>32</v>
      </c>
    </row>
    <row r="20" spans="1:2" x14ac:dyDescent="0.25">
      <c r="A20" t="s">
        <v>267</v>
      </c>
      <c r="B20" t="s">
        <v>268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/>
  <dimension ref="A2:C103"/>
  <sheetViews>
    <sheetView topLeftCell="A76" workbookViewId="0">
      <selection activeCell="E95" sqref="E95"/>
    </sheetView>
  </sheetViews>
  <sheetFormatPr defaultRowHeight="15.75" x14ac:dyDescent="0.25"/>
  <cols>
    <col min="1" max="1" width="14.28515625" customWidth="1"/>
    <col min="2" max="2" width="71.7109375" style="22" customWidth="1"/>
  </cols>
  <sheetData>
    <row r="2" spans="1:2" x14ac:dyDescent="0.25">
      <c r="A2" s="24" t="s">
        <v>193</v>
      </c>
      <c r="B2" s="25" t="s">
        <v>190</v>
      </c>
    </row>
    <row r="3" spans="1:2" x14ac:dyDescent="0.25">
      <c r="B3" s="22" t="s">
        <v>115</v>
      </c>
    </row>
    <row r="4" spans="1:2" x14ac:dyDescent="0.25">
      <c r="B4" s="22" t="s">
        <v>116</v>
      </c>
    </row>
    <row r="5" spans="1:2" x14ac:dyDescent="0.25">
      <c r="B5" s="22" t="s">
        <v>117</v>
      </c>
    </row>
    <row r="6" spans="1:2" x14ac:dyDescent="0.25">
      <c r="B6" s="22" t="s">
        <v>118</v>
      </c>
    </row>
    <row r="7" spans="1:2" x14ac:dyDescent="0.25">
      <c r="B7" s="22" t="s">
        <v>119</v>
      </c>
    </row>
    <row r="8" spans="1:2" x14ac:dyDescent="0.25">
      <c r="B8" s="22" t="s">
        <v>120</v>
      </c>
    </row>
    <row r="9" spans="1:2" x14ac:dyDescent="0.25">
      <c r="B9" s="22" t="s">
        <v>121</v>
      </c>
    </row>
    <row r="10" spans="1:2" x14ac:dyDescent="0.25">
      <c r="B10" s="22" t="s">
        <v>122</v>
      </c>
    </row>
    <row r="11" spans="1:2" x14ac:dyDescent="0.25">
      <c r="B11" s="22" t="s">
        <v>123</v>
      </c>
    </row>
    <row r="12" spans="1:2" x14ac:dyDescent="0.25">
      <c r="B12" s="22" t="s">
        <v>124</v>
      </c>
    </row>
    <row r="13" spans="1:2" x14ac:dyDescent="0.25">
      <c r="B13" s="22" t="s">
        <v>125</v>
      </c>
    </row>
    <row r="14" spans="1:2" x14ac:dyDescent="0.25">
      <c r="B14" s="22" t="s">
        <v>126</v>
      </c>
    </row>
    <row r="15" spans="1:2" x14ac:dyDescent="0.25">
      <c r="B15" s="22" t="s">
        <v>127</v>
      </c>
    </row>
    <row r="16" spans="1:2" x14ac:dyDescent="0.25">
      <c r="B16" s="22" t="s">
        <v>128</v>
      </c>
    </row>
    <row r="17" spans="1:3" x14ac:dyDescent="0.25">
      <c r="B17" s="22" t="s">
        <v>129</v>
      </c>
    </row>
    <row r="18" spans="1:3" x14ac:dyDescent="0.25">
      <c r="B18" s="22" t="s">
        <v>130</v>
      </c>
      <c r="C18" t="s">
        <v>192</v>
      </c>
    </row>
    <row r="19" spans="1:3" x14ac:dyDescent="0.25">
      <c r="B19" s="22" t="s">
        <v>131</v>
      </c>
    </row>
    <row r="20" spans="1:3" x14ac:dyDescent="0.25">
      <c r="B20" s="22" t="s">
        <v>132</v>
      </c>
    </row>
    <row r="21" spans="1:3" x14ac:dyDescent="0.25">
      <c r="B21" s="22" t="s">
        <v>133</v>
      </c>
    </row>
    <row r="22" spans="1:3" x14ac:dyDescent="0.25">
      <c r="B22" s="22" t="s">
        <v>134</v>
      </c>
      <c r="C22" t="s">
        <v>197</v>
      </c>
    </row>
    <row r="23" spans="1:3" x14ac:dyDescent="0.25">
      <c r="B23" s="22" t="s">
        <v>135</v>
      </c>
    </row>
    <row r="24" spans="1:3" x14ac:dyDescent="0.25">
      <c r="B24" s="22" t="s">
        <v>136</v>
      </c>
    </row>
    <row r="25" spans="1:3" x14ac:dyDescent="0.25">
      <c r="B25" s="22" t="s">
        <v>137</v>
      </c>
    </row>
    <row r="26" spans="1:3" x14ac:dyDescent="0.25">
      <c r="A26" s="24" t="s">
        <v>194</v>
      </c>
      <c r="B26" s="25" t="s">
        <v>191</v>
      </c>
    </row>
    <row r="27" spans="1:3" x14ac:dyDescent="0.25">
      <c r="B27" s="22" t="s">
        <v>138</v>
      </c>
    </row>
    <row r="28" spans="1:3" x14ac:dyDescent="0.25">
      <c r="B28" s="23" t="s">
        <v>139</v>
      </c>
    </row>
    <row r="29" spans="1:3" x14ac:dyDescent="0.25">
      <c r="B29" s="22" t="s">
        <v>140</v>
      </c>
    </row>
    <row r="30" spans="1:3" x14ac:dyDescent="0.25">
      <c r="B30" s="22" t="s">
        <v>141</v>
      </c>
    </row>
    <row r="31" spans="1:3" x14ac:dyDescent="0.25">
      <c r="B31" s="22" t="s">
        <v>142</v>
      </c>
    </row>
    <row r="32" spans="1:3" x14ac:dyDescent="0.25">
      <c r="B32" s="22" t="s">
        <v>143</v>
      </c>
    </row>
    <row r="33" spans="2:2" x14ac:dyDescent="0.25">
      <c r="B33" s="22" t="s">
        <v>144</v>
      </c>
    </row>
    <row r="34" spans="2:2" x14ac:dyDescent="0.25">
      <c r="B34" s="22" t="s">
        <v>145</v>
      </c>
    </row>
    <row r="35" spans="2:2" x14ac:dyDescent="0.25">
      <c r="B35" s="22" t="s">
        <v>146</v>
      </c>
    </row>
    <row r="36" spans="2:2" x14ac:dyDescent="0.25">
      <c r="B36" s="22" t="s">
        <v>147</v>
      </c>
    </row>
    <row r="37" spans="2:2" x14ac:dyDescent="0.25">
      <c r="B37" s="22" t="s">
        <v>148</v>
      </c>
    </row>
    <row r="38" spans="2:2" x14ac:dyDescent="0.25">
      <c r="B38" s="22" t="s">
        <v>149</v>
      </c>
    </row>
    <row r="39" spans="2:2" x14ac:dyDescent="0.25">
      <c r="B39" s="22" t="s">
        <v>150</v>
      </c>
    </row>
    <row r="40" spans="2:2" x14ac:dyDescent="0.25">
      <c r="B40" s="22" t="s">
        <v>151</v>
      </c>
    </row>
    <row r="41" spans="2:2" x14ac:dyDescent="0.25">
      <c r="B41" s="22" t="s">
        <v>152</v>
      </c>
    </row>
    <row r="42" spans="2:2" x14ac:dyDescent="0.25">
      <c r="B42" s="22" t="s">
        <v>153</v>
      </c>
    </row>
    <row r="43" spans="2:2" x14ac:dyDescent="0.25">
      <c r="B43" s="23" t="s">
        <v>154</v>
      </c>
    </row>
    <row r="44" spans="2:2" x14ac:dyDescent="0.25">
      <c r="B44" s="22" t="s">
        <v>140</v>
      </c>
    </row>
    <row r="45" spans="2:2" x14ac:dyDescent="0.25">
      <c r="B45" s="22" t="s">
        <v>155</v>
      </c>
    </row>
    <row r="46" spans="2:2" x14ac:dyDescent="0.25">
      <c r="B46" s="22" t="s">
        <v>156</v>
      </c>
    </row>
    <row r="47" spans="2:2" x14ac:dyDescent="0.25">
      <c r="B47" s="22" t="s">
        <v>157</v>
      </c>
    </row>
    <row r="48" spans="2:2" x14ac:dyDescent="0.25">
      <c r="B48" s="22" t="s">
        <v>158</v>
      </c>
    </row>
    <row r="49" spans="2:2" x14ac:dyDescent="0.25">
      <c r="B49" s="22" t="s">
        <v>141</v>
      </c>
    </row>
    <row r="50" spans="2:2" x14ac:dyDescent="0.25">
      <c r="B50" s="22" t="s">
        <v>142</v>
      </c>
    </row>
    <row r="51" spans="2:2" x14ac:dyDescent="0.25">
      <c r="B51" s="22" t="s">
        <v>143</v>
      </c>
    </row>
    <row r="52" spans="2:2" x14ac:dyDescent="0.25">
      <c r="B52" s="22" t="s">
        <v>144</v>
      </c>
    </row>
    <row r="53" spans="2:2" x14ac:dyDescent="0.25">
      <c r="B53" s="22" t="s">
        <v>145</v>
      </c>
    </row>
    <row r="54" spans="2:2" x14ac:dyDescent="0.25">
      <c r="B54" s="22" t="s">
        <v>146</v>
      </c>
    </row>
    <row r="55" spans="2:2" x14ac:dyDescent="0.25">
      <c r="B55" s="22" t="s">
        <v>147</v>
      </c>
    </row>
    <row r="56" spans="2:2" x14ac:dyDescent="0.25">
      <c r="B56" s="22" t="s">
        <v>159</v>
      </c>
    </row>
    <row r="57" spans="2:2" x14ac:dyDescent="0.25">
      <c r="B57" s="22" t="s">
        <v>160</v>
      </c>
    </row>
    <row r="58" spans="2:2" x14ac:dyDescent="0.25">
      <c r="B58" s="22" t="s">
        <v>148</v>
      </c>
    </row>
    <row r="59" spans="2:2" x14ac:dyDescent="0.25">
      <c r="B59" s="22" t="s">
        <v>149</v>
      </c>
    </row>
    <row r="60" spans="2:2" x14ac:dyDescent="0.25">
      <c r="B60" s="22" t="s">
        <v>161</v>
      </c>
    </row>
    <row r="61" spans="2:2" x14ac:dyDescent="0.25">
      <c r="B61" s="22" t="s">
        <v>162</v>
      </c>
    </row>
    <row r="62" spans="2:2" x14ac:dyDescent="0.25">
      <c r="B62" s="22" t="s">
        <v>163</v>
      </c>
    </row>
    <row r="63" spans="2:2" x14ac:dyDescent="0.25">
      <c r="B63" s="22" t="s">
        <v>158</v>
      </c>
    </row>
    <row r="64" spans="2:2" x14ac:dyDescent="0.25">
      <c r="B64" s="22" t="s">
        <v>150</v>
      </c>
    </row>
    <row r="65" spans="2:2" x14ac:dyDescent="0.25">
      <c r="B65" s="22" t="s">
        <v>151</v>
      </c>
    </row>
    <row r="66" spans="2:2" x14ac:dyDescent="0.25">
      <c r="B66" s="22" t="s">
        <v>164</v>
      </c>
    </row>
    <row r="67" spans="2:2" x14ac:dyDescent="0.25">
      <c r="B67" s="22" t="s">
        <v>158</v>
      </c>
    </row>
    <row r="68" spans="2:2" x14ac:dyDescent="0.25">
      <c r="B68" s="22" t="s">
        <v>152</v>
      </c>
    </row>
    <row r="69" spans="2:2" x14ac:dyDescent="0.25">
      <c r="B69" s="22" t="s">
        <v>165</v>
      </c>
    </row>
    <row r="70" spans="2:2" x14ac:dyDescent="0.25">
      <c r="B70" s="23" t="s">
        <v>166</v>
      </c>
    </row>
    <row r="71" spans="2:2" x14ac:dyDescent="0.25">
      <c r="B71" s="22" t="s">
        <v>140</v>
      </c>
    </row>
    <row r="72" spans="2:2" x14ac:dyDescent="0.25">
      <c r="B72" s="22" t="s">
        <v>141</v>
      </c>
    </row>
    <row r="73" spans="2:2" x14ac:dyDescent="0.25">
      <c r="B73" s="22" t="s">
        <v>142</v>
      </c>
    </row>
    <row r="74" spans="2:2" x14ac:dyDescent="0.25">
      <c r="B74" s="22" t="s">
        <v>143</v>
      </c>
    </row>
    <row r="75" spans="2:2" x14ac:dyDescent="0.25">
      <c r="B75" s="22" t="s">
        <v>147</v>
      </c>
    </row>
    <row r="76" spans="2:2" x14ac:dyDescent="0.25">
      <c r="B76" s="22" t="s">
        <v>149</v>
      </c>
    </row>
    <row r="77" spans="2:2" x14ac:dyDescent="0.25">
      <c r="B77" s="22" t="s">
        <v>150</v>
      </c>
    </row>
    <row r="78" spans="2:2" x14ac:dyDescent="0.25">
      <c r="B78" s="22" t="s">
        <v>151</v>
      </c>
    </row>
    <row r="79" spans="2:2" x14ac:dyDescent="0.25">
      <c r="B79" s="22" t="s">
        <v>152</v>
      </c>
    </row>
    <row r="80" spans="2:2" x14ac:dyDescent="0.25">
      <c r="B80" s="22" t="s">
        <v>165</v>
      </c>
    </row>
    <row r="81" spans="1:2" x14ac:dyDescent="0.25">
      <c r="B81" s="23" t="s">
        <v>167</v>
      </c>
    </row>
    <row r="82" spans="1:2" x14ac:dyDescent="0.25">
      <c r="B82" s="23" t="s">
        <v>168</v>
      </c>
    </row>
    <row r="83" spans="1:2" x14ac:dyDescent="0.25">
      <c r="B83" s="23" t="s">
        <v>169</v>
      </c>
    </row>
    <row r="84" spans="1:2" x14ac:dyDescent="0.25">
      <c r="B84" s="23" t="s">
        <v>170</v>
      </c>
    </row>
    <row r="85" spans="1:2" x14ac:dyDescent="0.25">
      <c r="B85" s="23" t="s">
        <v>171</v>
      </c>
    </row>
    <row r="86" spans="1:2" x14ac:dyDescent="0.25">
      <c r="B86" s="23" t="s">
        <v>172</v>
      </c>
    </row>
    <row r="87" spans="1:2" x14ac:dyDescent="0.25">
      <c r="B87" s="23" t="s">
        <v>173</v>
      </c>
    </row>
    <row r="88" spans="1:2" x14ac:dyDescent="0.25">
      <c r="A88" s="24" t="s">
        <v>195</v>
      </c>
      <c r="B88" s="26" t="s">
        <v>174</v>
      </c>
    </row>
    <row r="89" spans="1:2" x14ac:dyDescent="0.25">
      <c r="B89" s="22" t="s">
        <v>175</v>
      </c>
    </row>
    <row r="90" spans="1:2" x14ac:dyDescent="0.25">
      <c r="B90" s="22" t="s">
        <v>176</v>
      </c>
    </row>
    <row r="91" spans="1:2" x14ac:dyDescent="0.25">
      <c r="B91" s="22" t="s">
        <v>177</v>
      </c>
    </row>
    <row r="92" spans="1:2" x14ac:dyDescent="0.25">
      <c r="B92" s="22" t="s">
        <v>178</v>
      </c>
    </row>
    <row r="93" spans="1:2" x14ac:dyDescent="0.25">
      <c r="B93" s="22" t="s">
        <v>179</v>
      </c>
    </row>
    <row r="94" spans="1:2" x14ac:dyDescent="0.25">
      <c r="B94" s="22" t="s">
        <v>180</v>
      </c>
    </row>
    <row r="95" spans="1:2" x14ac:dyDescent="0.25">
      <c r="B95" s="22" t="s">
        <v>181</v>
      </c>
    </row>
    <row r="96" spans="1:2" x14ac:dyDescent="0.25">
      <c r="B96" s="22" t="s">
        <v>182</v>
      </c>
    </row>
    <row r="97" spans="2:2" x14ac:dyDescent="0.25">
      <c r="B97" s="22" t="s">
        <v>183</v>
      </c>
    </row>
    <row r="98" spans="2:2" x14ac:dyDescent="0.25">
      <c r="B98" s="22" t="s">
        <v>184</v>
      </c>
    </row>
    <row r="99" spans="2:2" x14ac:dyDescent="0.25">
      <c r="B99" s="22" t="s">
        <v>185</v>
      </c>
    </row>
    <row r="100" spans="2:2" x14ac:dyDescent="0.25">
      <c r="B100" s="22" t="s">
        <v>186</v>
      </c>
    </row>
    <row r="101" spans="2:2" x14ac:dyDescent="0.25">
      <c r="B101" s="22" t="s">
        <v>187</v>
      </c>
    </row>
    <row r="102" spans="2:2" x14ac:dyDescent="0.25">
      <c r="B102" s="22" t="s">
        <v>188</v>
      </c>
    </row>
    <row r="103" spans="2:2" x14ac:dyDescent="0.25">
      <c r="B103" s="22" t="s">
        <v>189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Quang Trung</cp:lastModifiedBy>
  <dcterms:created xsi:type="dcterms:W3CDTF">2022-04-01T07:31:40Z</dcterms:created>
  <dcterms:modified xsi:type="dcterms:W3CDTF">2022-06-13T02:41:40Z</dcterms:modified>
</cp:coreProperties>
</file>
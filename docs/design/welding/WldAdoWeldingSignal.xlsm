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welding\"/>
    </mc:Choice>
  </mc:AlternateContent>
  <bookViews>
    <workbookView xWindow="0" yWindow="0" windowWidth="28800" windowHeight="1180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V17" i="5" s="1"/>
  <c r="E18" i="5"/>
  <c r="F18" i="5"/>
  <c r="E19" i="5"/>
  <c r="F19" i="5"/>
  <c r="E20" i="5"/>
  <c r="F20" i="5"/>
  <c r="D17" i="5"/>
  <c r="T17" i="5" s="1"/>
  <c r="C17" i="5"/>
  <c r="B17" i="5"/>
  <c r="L16" i="5"/>
  <c r="G16" i="5"/>
  <c r="V16" i="5"/>
  <c r="I16" i="5"/>
  <c r="C16" i="5"/>
  <c r="B16" i="5"/>
  <c r="D16" i="5" s="1"/>
  <c r="L13" i="1"/>
  <c r="G13" i="1"/>
  <c r="E13" i="1"/>
  <c r="H13" i="1" s="1"/>
  <c r="D13" i="1"/>
  <c r="V13" i="1" s="1"/>
  <c r="L12" i="1"/>
  <c r="H12" i="1"/>
  <c r="M12" i="1" s="1"/>
  <c r="G12" i="1"/>
  <c r="E12" i="1"/>
  <c r="D12" i="1"/>
  <c r="T12" i="1" s="1"/>
  <c r="T16" i="5" l="1"/>
  <c r="S16" i="5"/>
  <c r="U16" i="5"/>
  <c r="H16" i="5"/>
  <c r="K16" i="5"/>
  <c r="H17" i="5"/>
  <c r="I17" i="5"/>
  <c r="K17" i="5"/>
  <c r="U17" i="5"/>
  <c r="G17" i="5"/>
  <c r="S17" i="5" s="1"/>
  <c r="L17" i="5"/>
  <c r="W13" i="1"/>
  <c r="O13" i="1"/>
  <c r="J13" i="1"/>
  <c r="N13" i="1"/>
  <c r="I13" i="1"/>
  <c r="M13" i="1"/>
  <c r="I12" i="1"/>
  <c r="N12" i="1"/>
  <c r="V12" i="1"/>
  <c r="P13" i="1"/>
  <c r="J12" i="1"/>
  <c r="O12" i="1"/>
  <c r="W12" i="1"/>
  <c r="T13" i="1"/>
  <c r="P12" i="1"/>
  <c r="L14" i="1"/>
  <c r="G14" i="1"/>
  <c r="E14" i="1"/>
  <c r="H14" i="1" s="1"/>
  <c r="D14" i="1"/>
  <c r="V14" i="1" s="1"/>
  <c r="L11" i="1"/>
  <c r="G11" i="1"/>
  <c r="E11" i="1"/>
  <c r="H11" i="1" s="1"/>
  <c r="D11" i="1"/>
  <c r="T11" i="1" s="1"/>
  <c r="L10" i="1"/>
  <c r="G10" i="1"/>
  <c r="E10" i="1"/>
  <c r="H10" i="1" s="1"/>
  <c r="D10" i="1"/>
  <c r="V10" i="1" s="1"/>
  <c r="B20" i="5"/>
  <c r="D20" i="5" s="1"/>
  <c r="B19" i="5"/>
  <c r="D19" i="5" s="1"/>
  <c r="C18" i="5"/>
  <c r="C15" i="5"/>
  <c r="M11" i="1" l="1"/>
  <c r="P14" i="1"/>
  <c r="P10" i="1"/>
  <c r="W14" i="1"/>
  <c r="O14" i="1"/>
  <c r="J14" i="1"/>
  <c r="N14" i="1"/>
  <c r="I14" i="1"/>
  <c r="M14" i="1"/>
  <c r="T14" i="1"/>
  <c r="C20" i="5"/>
  <c r="W10" i="1"/>
  <c r="O10" i="1"/>
  <c r="I10" i="1"/>
  <c r="M10" i="1"/>
  <c r="I11" i="1"/>
  <c r="V11" i="1"/>
  <c r="T10" i="1"/>
  <c r="O11" i="1"/>
  <c r="W11" i="1"/>
  <c r="P11" i="1"/>
  <c r="U19" i="5"/>
  <c r="T19" i="5"/>
  <c r="T20" i="5"/>
  <c r="B15" i="5"/>
  <c r="D15" i="5" s="1"/>
  <c r="T15" i="5" s="1"/>
  <c r="B18" i="5"/>
  <c r="D18" i="5" s="1"/>
  <c r="C19" i="5"/>
  <c r="H19" i="5" s="1"/>
  <c r="G19" i="5"/>
  <c r="S19" i="5" s="1"/>
  <c r="L19" i="5"/>
  <c r="V19" i="5"/>
  <c r="G18" i="5"/>
  <c r="L18" i="5"/>
  <c r="V18" i="5"/>
  <c r="I19" i="5"/>
  <c r="K18" i="5" l="1"/>
  <c r="K19" i="5"/>
  <c r="H18" i="5"/>
  <c r="I18" i="5"/>
  <c r="U18" i="5"/>
  <c r="T18" i="5"/>
  <c r="S18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T9" i="1" l="1"/>
  <c r="V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16" i="1"/>
  <c r="N3" i="1" l="1"/>
  <c r="M3" i="1"/>
  <c r="O3" i="1"/>
  <c r="T12" i="5" l="1"/>
  <c r="H12" i="5"/>
  <c r="I12" i="5"/>
  <c r="K12" i="5"/>
  <c r="U12" i="5"/>
  <c r="L12" i="5"/>
  <c r="V12" i="5"/>
  <c r="S12" i="5"/>
  <c r="R3" i="1" l="1"/>
  <c r="D1" i="1"/>
  <c r="F6" i="1"/>
  <c r="T13" i="5"/>
  <c r="G9" i="1" l="1"/>
  <c r="F15" i="5" s="1"/>
  <c r="E9" i="1"/>
  <c r="H9" i="1" s="1"/>
  <c r="E15" i="5" s="1"/>
  <c r="P9" i="1"/>
  <c r="T16" i="1"/>
  <c r="O9" i="1" l="1"/>
  <c r="M9" i="1"/>
  <c r="W9" i="1"/>
  <c r="T7" i="1"/>
  <c r="I9" i="1"/>
  <c r="W16" i="1"/>
  <c r="G6" i="1" l="1"/>
  <c r="L38" i="3" l="1"/>
  <c r="D38" i="3"/>
  <c r="D6" i="1"/>
  <c r="B6" i="1" l="1"/>
  <c r="L3" i="1"/>
  <c r="J3" i="1"/>
  <c r="H3" i="1"/>
  <c r="C6" i="1" l="1"/>
  <c r="P7" i="1" s="1"/>
  <c r="S3" i="1"/>
  <c r="S7" i="1" s="1"/>
  <c r="E6" i="1"/>
  <c r="F38" i="3"/>
  <c r="I20" i="5" l="1"/>
  <c r="L20" i="5"/>
  <c r="G20" i="5"/>
  <c r="S20" i="5" s="1"/>
  <c r="U20" i="5"/>
  <c r="K20" i="5"/>
  <c r="V20" i="5"/>
  <c r="H20" i="5"/>
  <c r="I15" i="5"/>
  <c r="U15" i="5"/>
  <c r="H15" i="5"/>
  <c r="V15" i="5"/>
  <c r="G15" i="5"/>
  <c r="S15" i="5" s="1"/>
  <c r="L15" i="5"/>
  <c r="K15" i="5"/>
  <c r="I3" i="1"/>
  <c r="B7" i="1"/>
  <c r="I13" i="5"/>
  <c r="V13" i="5"/>
  <c r="H13" i="5"/>
  <c r="S13" i="5"/>
  <c r="U13" i="5"/>
  <c r="K13" i="5"/>
  <c r="L13" i="5"/>
  <c r="N10" i="1" l="1"/>
  <c r="N11" i="1"/>
  <c r="J11" i="1"/>
  <c r="J10" i="1"/>
  <c r="N9" i="1"/>
  <c r="I10" i="5"/>
  <c r="D45" i="3" s="1"/>
  <c r="K10" i="5"/>
  <c r="F45" i="3" s="1"/>
  <c r="H10" i="5"/>
  <c r="C45" i="3" s="1"/>
  <c r="L10" i="5"/>
  <c r="G45" i="3" s="1"/>
  <c r="L9" i="1"/>
  <c r="J9" i="1"/>
  <c r="C7" i="1"/>
  <c r="O16" i="1"/>
  <c r="J16" i="1"/>
  <c r="P16" i="1"/>
  <c r="N16" i="1"/>
  <c r="I16" i="1"/>
  <c r="Q7" i="1" l="1"/>
  <c r="M38" i="3" s="1"/>
  <c r="L7" i="1"/>
  <c r="G38" i="3" s="1"/>
  <c r="K38" i="3"/>
  <c r="J38" i="3"/>
  <c r="M16" i="1"/>
  <c r="K16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<sst xmlns="http://schemas.openxmlformats.org/spreadsheetml/2006/main" count="354" uniqueCount="285">
  <si>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</si>
  <si>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</si>
  <si>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</si>
  <si>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</si>
  <si>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</si>
  <si>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</si>
  <si>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</si>
  <si>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</si>
  <si>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</si>
  <si>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</si>
  <si>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</si>
  <si>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</si>
  <si>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</si>
  <si>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</si>
  <si>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</si>
  <si>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</si>
  <si>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</si>
  <si>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</si>
  <si>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</si>
  <si>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</si>
  <si>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</si>
  <si>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</si>
  <si>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</si>
  <si>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</si>
  <si>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</si>
  <si>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</si>
  <si>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</si>
  <si>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</si>
  <si>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</si>
  <si>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</si>
  <si>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</si>
  <si>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</si>
  <si>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</si>
  <si>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</si>
  <si>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</si>
  <si>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</si>
  <si>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</si>
  <si>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</si>
  <si>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</si>
  <si>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</si>
  <si>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</si>
  <si>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</si>
  <si>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</si>
  <si>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</si>
  <si>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</si>
  <si>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</si>
  <si>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</si>
  <si>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</si>
  <si>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</si>
  <si>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</si>
  <si>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</si>
  <si>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</si>
  <si>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</si>
  <si>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</si>
  <si>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</si>
  <si>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</si>
  <si>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</si>
  <si>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</si>
  <si>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</si>
  <si>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</si>
  <si>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</si>
  <si>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</si>
  <si>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</si>
  <si>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</si>
  <si>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</si>
  <si>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</si>
  <si>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</si>
  <si>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</si>
  <si>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</si>
  <si>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</si>
  <si>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</si>
  <si>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</si>
  <si>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</si>
  <si>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</si>
  <si>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</si>
  <si>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</si>
  <si>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</si>
  <si>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</si>
  <si>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</si>
  <si>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</si>
  <si>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</si>
  <si>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</si>
  <si>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</si>
  <si>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</si>
  <si>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</si>
  <si>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</si>
  <si>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</si>
  <si>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</si>
  <si>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</si>
  <si>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</si>
  <si>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</si>
  <si>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</si>
  <si>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</si>
  <si>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</si>
  <si>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</si>
  <si>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</si>
  <si>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</si>
  <si>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</si>
  <si>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</si>
  <si>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</si>
  <si>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</si>
  <si>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</si>
  <si>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</si>
  <si>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</si>
  <si>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</si>
  <si>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</si>
  <si>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</si>
  <si>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</si>
  <si>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</si>
  <si>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</si>
  <si>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</si>
  <si>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</si>
  <si>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</si>
  <si>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</si>
  <si>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</si>
  <si>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</si>
  <si>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</si>
  <si>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</si>
  <si>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</si>
  <si>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</si>
  <si>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</si>
  <si>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</si>
  <si>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</si>
  <si>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</si>
  <si>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</si>
  <si>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</si>
  <si>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</si>
  <si>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</si>
  <si>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</si>
  <si>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</si>
  <si>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</si>
  <si>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</si>
  <si>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</si>
  <si>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</si>
  <si>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</si>
  <si>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</si>
  <si>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</si>
  <si>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</si>
  <si>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</si>
  <si>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</si>
  <si>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</si>
  <si>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</si>
  <si>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</si>
  <si>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</si>
  <si>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</si>
  <si>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</si>
  <si>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</si>
  <si>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</si>
  <si>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</si>
  <si>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</si>
  <si>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</si>
  <si>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</si>
  <si>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</si>
  <si>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</si>
  <si>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</si>
  <si>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</si>
  <si>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</si>
  <si>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</si>
  <si>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</si>
  <si>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</si>
  <si>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</si>
  <si>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</si>
  <si>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</si>
  <si>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</si>
  <si>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</si>
  <si>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</si>
  <si>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</si>
  <si>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</si>
  <si>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</si>
  <si>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</si>
  <si>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</si>
  <si>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</si>
  <si>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</si>
  <si>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</si>
  <si>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</si>
  <si>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</si>
  <si>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</si>
  <si>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</si>
  <si>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</si>
  <si>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</si>
  <si>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</si>
  <si>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</si>
  <si>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</si>
  <si>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</si>
  <si>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</si>
  <si>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</si>
  <si>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</si>
  <si>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</si>
  <si>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</si>
  <si>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</si>
  <si>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</si>
  <si>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</si>
  <si>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</si>
  <si>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</si>
  <si>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</si>
  <si>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</si>
  <si>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</si>
  <si>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</si>
  <si>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</si>
  <si>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</si>
  <si>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</si>
  <si>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</si>
  <si>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</si>
  <si>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</si>
  <si>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</si>
  <si>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</si>
  <si>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</si>
  <si>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</si>
  <si>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</si>
  <si>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</si>
  <si>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</si>
  <si>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</si>
  <si>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</si>
  <si>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</si>
  <si>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</si>
  <si>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</si>
  <si>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</si>
  <si>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</si>
  <si>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</si>
  <si>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</si>
  <si>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</si>
  <si>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</si>
  <si>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</si>
  <si>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</si>
  <si>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</si>
  <si>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</si>
  <si>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</si>
  <si>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</si>
  <si>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</si>
  <si>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</si>
  <si>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</si>
  <si>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</si>
  <si>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</si>
  <si>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</si>
  <si>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</si>
  <si>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</si>
  <si>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</si>
  <si>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</si>
  <si>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</si>
  <si>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</si>
  <si>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</si>
  <si>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</si>
  <si>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</si>
  <si>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</si>
  <si>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</si>
  <si>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</si>
  <si>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</si>
  <si>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</si>
  <si>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</si>
  <si>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</si>
  <si>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</si>
  <si>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</si>
  <si>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</si>
  <si>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</si>
  <si>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</si>
  <si>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</si>
  <si>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</si>
  <si>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</si>
  <si>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</si>
  <si>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</si>
  <si>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</si>
  <si>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</si>
  <si>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</si>
  <si>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</si>
  <si>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</si>
  <si>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</si>
  <si>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</si>
  <si>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</si>
  <si>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</si>
  <si>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</si>
  <si>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</si>
  <si>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</si>
  <si>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Welding.Andon</t>
  </si>
  <si>
    <t>PROD_LINE</t>
  </si>
  <si>
    <t>nvarchar(10)</t>
  </si>
  <si>
    <t>PROCESS</t>
  </si>
  <si>
    <t>nvarchar(20)</t>
  </si>
  <si>
    <t>SIGNAL_TYPE</t>
  </si>
  <si>
    <t>IS_ACTIVE</t>
  </si>
  <si>
    <t>nvarchar(1)</t>
  </si>
  <si>
    <t>WldAdoWeldingSignal</t>
  </si>
  <si>
    <t>WeldingSignal</t>
  </si>
  <si>
    <t>Welding Andon Welding Signal</t>
  </si>
  <si>
    <t>SIGNAL_BY</t>
  </si>
  <si>
    <t>SIGNAL_DATE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</si>
</sst>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5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opLeftCell="A21" workbookViewId="0">
      <selection activeCell="F38" sqref="F3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vovina.Welding.Andon
{
	[Table("WldAdoWeldingSignal")]
	[Index(nameof(ProdLine), Name="IX_WldAdoWeldingSignal_ProdLine")]
	[Index(nameof(Process), Name="IX_WldAdoWeldingSignal_Process")]
	[Index(nameof(SignalDate), Name="IX_WldAdoWeldingSignal_SignalDate")]
	public class WldAdoWeldingSignal: FullAuditedEntity&lt;long&gt;, IEntity&lt;long&gt;	
	{
		public const int MaxProdLineLength = 10;
		public const int MaxProcessLength = 20;
		public const int MaxSignalTypeLength = 20;
		public const int MaxSignalByLength = 20;
		public const int MaxIsActiveLength = 1;
		[StringLength(MaxProdLineLength)]
		public virtual string ProdLine { get; set; }
		[StringLength(MaxProcessLength)]
		public virtual string Process { get; set; }
		[StringLength(MaxSignalTypeLength)]
		public virtual string SignalType { get; set; }
		[StringLength(MaxSignalByLength)]
		public virtual string SignalBy { get; set; }
		[Column(TypeName="datetime2(7)")]
		public virtual DateTime SignalDate { get; set; }
		[StringLength(MaxIsActiveLength)]
		public virtual string IsActive { get; set; }
	}
}
</v>
      </c>
      <c r="D38" s="51" t="str">
        <f>A.Backend!O7</f>
        <v xml:space="preserve">		public const string Pages_Welding_Andon_WeldingSignal = "Pages.Welding.Andon.WeldingSignal";
		public const string Pages_Welding_Andon_WeldingSignal_CreateEdit = "Pages.Welding.Andon.WeldingSignal.CreateEdit";
		public const string Pages_Welding_Andon_WeldingSignal_Delete = "Pages.Welding.Andon.WeldingSignal.Delete";
</v>
      </c>
      <c r="E38" s="51" t="str">
        <f>A.Backend!N7</f>
        <v xml:space="preserve">		var perWldAdoWeldingSignal = PARENTS.CreateChildPermission(AppPermissions.Pages_Welding_Andon_WeldingSignal, L( "WeldingAndonWeldingSignal"));
		perWldAdoWeldingSignal.CreateChildPermission(AppPermissions.Pages_Welding_Andon_WeldingSignal_CreateEdit, L( "WeldingAndonWeldingSignalCreateEdit"));
		perWldAdoWeldingSignal.CreateChildPermission(AppPermissions.Pages_Welding_Andon_WeldingSignal_Delete, L( "WeldingAndonWeldingSignalDelete"));</v>
      </c>
      <c r="F38" s="51" t="str">
        <f>A.Backend!K7</f>
        <v>public virtual DbSet&lt;WldAdoWeldingSignal&gt; WldAdoWeldingSignals { get; set; }</v>
      </c>
      <c r="G38" s="51" t="str">
        <f ca="1">A.Backend!L7</f>
        <v xml:space="preserve">namespace vovina.Welding.Andon
{
	public class WldAdoWeldingSignalConsts	
	{
		public const int MaxProdLineLength = 10;
		public const int MaxProcessLength = 20;
		public const int MaxSignalTypeLength = 20;
		public const int MaxSignalByLength = 20;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vovina.Welding.Andon.Dto
{
	public class WldAdoWeldingSignalDto : EntityDto&lt;long?&gt;	
	{
		public virtual string ProdLine { get; set; }
		public virtual string Process { get; set; }
		public virtual string SignalType { get; set; }
		public virtual string SignalBy { get; set; }
		public virtual DateTime? SignalDate { get; set; }
		public virtual string IsActive { get; set; }
	}
	public class CreateOrEditWldAdoWeldingSignalDto : EntityDto&lt;long?&gt;	
	{
		[StringLength(WldAdoWeldingSignalConsts.MaxProdLineLength)]
		public virtual string ProdLine { get; set; }
		[StringLength(WldAdoWeldingSignalConsts.MaxProcessLength)]
		public virtual string Process { get; set; }
		[StringLength(WldAdoWeldingSignalConsts.MaxSignalTypeLength)]
		public virtual string SignalType { get; set; }
		[StringLength(WldAdoWeldingSignalConsts.MaxSignalByLength)]
		public virtual string SignalBy { get; set; }
		public virtual DateTime? SignalDate { get; set; }
		[StringLength(WldAdoWeldingSignalConsts.MaxIsActiveLength)]
		public virtual string IsActive { get; set; }
	}
	public class GetWldAdoWeldingSignalInput : PagedAndSortedResultRequestDto	
	{
		public virtual string ProdLine { get; set; }
		public virtual string Process { get; set; }
		public virtual string SignalType { get; set; }
		public virtual string SignalBy { get; set; }
		public virtual DateTime? SignalDate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vovina.Welding.Andon.Dto
{
	public class WldAdoWeldingSignalExportInput{
		public virtual string ProdLine { get; set; }
		public virtual string Process { get; set; }
		public virtual string SignalType { get; set; }
		public virtual string SignalBy { get; set; }
		public virtual DateTime? SignalDate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vovina.Welding.Andon.Dto;
namespace vovina.Welding.Andon
{
	public interface IWldAdoWeldingSignalAppService : IApplicationService
	{
		Task&lt;PagedResultDto&lt;WldAdoWeldingSignalDto&gt;&gt; GetAll(GetWldAdoWeldingSignalInput input);
		Task CreateOrEdit(CreateOrEditWldAdoWeldingSignalDto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vovina.Welding.Andon.Dto;
namespace vovina.Welding.Andon.Exporting
{
	public interface IWldAdoWeldingSignalExcelExporter : IApplicationService
	{
		FileDto ExportToFile(List&lt;WldAdoWeldingSignalDto&gt; wldadoweldingsignal);
	}
}
</v>
      </c>
      <c r="L38" s="51" t="str">
        <f ca="1">A.Backend!T7</f>
        <v>using System.Collections.Generic;
using vovina.DataExporting.Excel.NPOI;
using vovina.Dto;
using vovina.Welding.Andon.Exporting;
using vovina.Welding.Andon.Dto;
using vovina.Storage;
using vovina.Welding.Andon.Dto;
namespace vovina.Welding.Andon.Exporting
{
    public class WldAdoWeldingSignalExcelExporter : NpoiExcelExporterBase, IWldAdoWeldingSignalExcelExporter
    {
        public WldAdoWeldingSignalExcelExporter(ITempFileCacheManager tempFileCacheManager) : base(tempFileCacheManager) { }
        public FileDto ExportToFile(List&lt;WldAdoWeldingSignalDto&gt; weldingsignal)
        {
            return CreateExcelPackage(
				"WeldingAndonWeldingSignal.xlsx",
				excelPackage =&gt;
				 {
					var sheet = excelPackage.CreateSheet("WeldingSignal");
					AddHeader(
								sheet,
								("ProdLine"),
								("Process"),
								("SignalType"),
								("SignalBy"),
								("SignalDate"),
								("IsActive"),
							   );
					AddObjects(
						 sheet, 1, weldingsignal,                                       
								_ =&gt; _.ProdLine,
								_ =&gt; _.Process,
								_ =&gt; _.SignalType,
								_ =&gt; _.SignalBy,
								_ =&gt; _.SignalDate,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vovina.Welding.Andon.Dto;
using vovina.Welding.Andon.Exporting;
namespace vovina.Welding.Andon
{
    [AbpAuthorize(AppPermissions.Pages_Welding_Andon_WeldingSignal)]
    public class WldAdoWeldingSignalAppService : vovinaAppServiceBase, IWldAdoWeldingSignalAppService
    {
        private readonly IDapperRepository&lt;WldAdoWeldingSignal, long&gt; _dapperRepo;
        private readonly IRepository&lt;WldAdoWeldingSignal, long&gt; _repo;
        private readonly IWldAdoWeldingSignalExcelExporter _calendarListExcelExporter;
        public WldAdoWeldingSignalAppService(IRepository&lt;WldAdoWeldingSignal,long&gt; repo, 
                                         IDapperRepository&lt;WldAdoWeldingSignal,long&gt; dapperRepo,
                                        IWldAdoWeldingSignalExcelExporter calendarListExcelExporter
            )
        {
            _repo = repo;
            _dapperRepo = dapperRepo;
            _calendarListExcelExporter = calendarListExcelExporter;
        }
        [AbpAuthorize(AppPermissions.Pages_Welding_Andon_WeldingSignal_CreateEdit)]
        public async Task CreateOrEdit(CreateOrEditWldAdoWeldingSignalDto input)
        {
            if (input.Id == null) await Create(input);
            else await Update(input);
        }
        //CREATE
        private async Task Create(CreateOrEditWldAdoWeldingSignalDto input)
        {          
            var mainObj = ObjectMapper.Map&lt;WldAdoWeldingSignal&gt;(input);
            await CurrentUnitOfWork.GetDbContext&lt;vovinaDbContext&gt;().AddAsync(mainObj);
        }
        // EDIT
        private async Task Update(CreateOrEditWldAdoWeldingSignalDto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[AbpAuthorize(AppPermissions.Pages_Welding_Andon_WeldingSignal_Delete)]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Task&lt;PagedResultDto&lt;WldAdoWeldingSignalDto&gt;&gt; GetAll(GetWldAdoWeldingSignalInput input)
        {
            var filtered = _repo.GetAll()
				.WhereIf(!string.IsNullOrWhiteSpace(input.ProdLine), e =&gt; e.ProdLine.Contains(input.ProdLine))
				.WhereIf(!string.IsNullOrWhiteSpace(input.Process), e =&gt; e.Process.Contains(input.Process))
				.WhereIf(!string.IsNullOrWhiteSpace(input.SignalType), e =&gt; e.SignalType.Contains(input.SignalType))
				.WhereIf(!string.IsNullOrWhiteSpace(input.SignalBy), e =&gt; e.SignalBy.Contains(input.SignalBy))
				.WhereIf(input.SignalDate.HasValue, t =&gt; t.SignalDate == input.SignalDate.Value)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WldAdoWeldingSignalDto
                        {
							Id = o.Id,
							ProdLine = o.ProdLine,
							Process = o.Process,
							SignalType = o.SignalType,
							SignalBy = o.SignalBy,
							SignalDate = o.SignalDate,
							IsActive = o.IsActive,
                        };
            var totalCount = await filtered.CountAsync();
			var paged = system.PageBy(input);
            return new PagedResultDto&lt;WldAdoWeldingSignalDto&gt;(
                totalCount,
                 await paged.ToListAsync()
            );
        }
        public async Task&lt;FileDto&gt; GetWeldingSignalToExcel(WldAdoWeldingSignalExportInput input)
        {
            var query = from o in _repo.GetAll()
                        select new WldAdoWeldingSignalDto
                        {
							Id = o.Id,
							ProdLine = o.ProdLine,
							Process = o.Process,
							SignalType = o.SignalType,
							SignalBy = o.SignalBy,
							SignalDate = o.SignalDate,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_dapperRepo.ExecuteAsync(WldAdoWeldingSignalConsts.SP_MST_WPT_CALENDAR_GENERATE);
       // }
    }
}</v>
      </c>
      <c r="N38" s="62" t="str">
        <f>A.Backend!U7</f>
        <v xml:space="preserve">  configuration.CreateMap&lt;WldAdoWeldingSignalDto, WldAdoWeldingSignal&gt;();
  configuration.CreateMap&lt;WldAdoWeldingSignal, WldAdoWeldingSignalDto&gt;();
  configuration.CreateMap&lt;CreateOrEditWldAdoWeldingSignalDto, WldAdoWeldingSignal&gt;();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weldingsignal</v>
      </c>
      <c r="C43" s="73" t="str">
        <f>"create folder " &amp;B43</f>
        <v>create folder weldingsignal</v>
      </c>
      <c r="D43" s="73"/>
      <c r="E43" s="73"/>
      <c r="F43" s="73"/>
      <c r="G43" s="73"/>
      <c r="H43" s="73"/>
      <c r="I43" s="73"/>
      <c r="J43" s="73"/>
      <c r="K43" s="74" t="s">
        <v>228</v>
      </c>
      <c r="L43" s="74"/>
      <c r="M43" s="31"/>
    </row>
    <row r="44" spans="1:14" s="28" customFormat="1" ht="18" customHeight="1" x14ac:dyDescent="0.25">
      <c r="B44" s="60" t="s">
        <v>229</v>
      </c>
      <c r="C44" s="31" t="str">
        <f>B.Frontend!H14</f>
        <v>weldingsignal.component.ts</v>
      </c>
      <c r="D44" s="31" t="str">
        <f>B.Frontend!I14</f>
        <v>weldingsignal.component.html</v>
      </c>
      <c r="E44" s="31" t="str">
        <f>B.Frontend!J14</f>
        <v>weldingsignal.component.less</v>
      </c>
      <c r="F44" s="31" t="str">
        <f>B.Frontend!K14</f>
        <v>create-or-edit-weldingsignal-modal.component.html</v>
      </c>
      <c r="G44" s="31" t="str">
        <f>B.Frontend!L14</f>
        <v>create-or-edit-weldingsignal-modal.component.ts</v>
      </c>
      <c r="H44" s="31" t="str">
        <f>B.Frontend!M14</f>
        <v>create-or-edit-weldingsignal-modal.component.less</v>
      </c>
      <c r="I44" s="31" t="str">
        <f>B.Frontend!N14</f>
        <v>weldingsignal.module.ts</v>
      </c>
      <c r="J44" s="31" t="str">
        <f>B.Frontend!O14</f>
        <v>weldingsignal-routing.module.ts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WldAdoWeldingSignalDto, WldAdoWeldingSignalServiceProxy } from '@shared/service-proxies/service-proxies';
import { finalize } from 'rxjs/internal/operators/finalize';
import { CreateOrEditWeldingSignalModalComponent } from './create-or-edit-weldingsignal-modal.component';
import { DatePipe } from '@angular/common';
import { FileDownloadService } from '@shared/utils/file-download.service';
import ceil from 'lodash-es/ceil';
import { Paginator } from 'primeng/paginator';
@Component({
    templateUrl: './weldingsignal.component.html',
    styleUrls: ['./weldingsignal.component.less'],
})
export class WeldingSignalComponent extends AppComponentBase implements OnInit {
    @ViewChild('createOrEditModalWeldingSignal', { static: true }) createOrEditModalWeldingSignal:| CreateOrEditWeldingSignalModalComponent|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WldAdoWeldingSignalDto = new WldAdoWeldingSignalDto();
    saveSelectedRow: WldAdoWeldingSignalDto = new WldAdoWeldingSignalDto();
    datas: WldAdoWeldingSignalDto = new WldAdoWeldingSignalDto();
    isLoading: boolean = false;
    dataParams: GridParams | undefined;
    rowData: any[] = [];
    gridApi!: GridApi;
    rowSelection = 'multiple';
    filter: string = '';
	pipe = new DatePipe('en-US');
    prodLine : string = '' ; 
	process : string = '' ; 
	signalType : string = '' ; 
	process : string = '' ; 
	signalType : any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WldAdoWeldingSignalServiceProxy,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this.l('Process'),headerTooltip: this.l('Process'),field: 'process',flex: 1},
			{headerName: this.l('Signal Type'),headerTooltip: this.l('Signal Type'),field: 'signalType',flex: 1},
			{headerName: this.l('Process'),headerTooltip: this.l('Process'),field: 'process',flex: 1},
			{headerName: this.l('Signal Type'),headerTooltip: this.l('Signal Type'),field: 'signalType',valueGetter: (params) =&gt; this.pipe.transform(params.data?.signalType, 'dd/MM/yyyy'),flex: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this.prodLine,
			this.process,
			this.signalType,
			this.process,
			this.signalType,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this.process = '',
		this.signalType = '',
		this.process = '',
		this.signalType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this.process,
			this.signalType,
			this.process,
			this.signalType,
			this.isActive,
			'',
            this.paginationParams.skipCount,
            this.paginationParams.pageSize
        );
    }
    onChangeRowSelection(params: { api: { getSelectedRows: () =&gt; WldAdoWeldingSignalDto[] } }) {
        this.saveSelectedRow = params.api.getSelectedRows()[0] ?? new WldAdoWeldingSignalDto();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WldAdoWeldingSignalDto):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this._service.getWeldingSignalToExcel(
			this.prodLine,
			this.process,
			this.signalType,
			this.process,
			this.signalType,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Welding Andon Welding Signal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[(ngModel)]='signalType' name='signalType'
									class='form-control' [placeholder]="l('Signal Type')"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type='text' [placeholder]="l('Signal Type')" [(ngModel)]='signalType' 
									name='signalType'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(click)="createOrEditModalWeldingSignal.show()"&gt;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(click)="createOrEditModalWeldingSignal.show(selectedRow)"&gt;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&lt;create-or-edit-weldingsignal-modal
    #createOrEditModalWeldingSignal
    (modalSave)="callBackDataGrid(dataParams)"
    (modalClose)="onChangeRowSelection(dataParams)"
&gt;
&lt;/create-or-edit-weldingsignal-modal&gt;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#createOrEditModalWeldingSignal="bs-modal"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WeldingSignal')}}&lt;/h3&gt;
                    &lt;h3 *ngIf="!rowdata.id"&gt;{{('Create New WeldingSignal')}}&lt;/h3&gt;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title'&gt;Signal Type&lt;/label&gt;
						&lt;input type='text' class='col-md-10 form-control input-text' name='SignalType' [(ngModel)]='rowdata.signalType'&gt;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title'&gt;Signal Type&lt;/label&gt;
						&lt;input type='text' class='col-md-10 form-control input-text' name='signalType' 
						#datepicker='bsDatepicker' [(ngModel)]='rowdata.signalType'  bsDatepicker 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CreateOrEditWldAdoWeldingSignalDto, WldAdoWeldingSignalServiceProxy } from '@shared/service-proxies/service-proxies';
import { BsDatepickerDirective } from 'ngx-bootstrap/datepicker';
@Component({
    selector: 'create-or-edit-weldingsignal-modal',
    templateUrl: './create-or-edit-weldingsignal-modal.component.html',
    styleUrls: ['./create-or-edit-weldingsignal-modal.component.less']
    })
export class CreateOrEditWeldingSignalModalComponent extends AppComponentBase {
    @ViewChild('createOrEditModalWeldingSignal',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CreateOrEditWldAdoWeldingSignalDto = new CreateOrEditWldAdoWeldingSignalDto();
    active: boolean = false;
    saving: boolean = false;
    _isActive: boolean;
    constructor(
        injector: Injector,
        private _mstwptWeldingSignalService: WldAdoWeldingSignalServiceProxy,
    ) 
    {
        super(injector);
    }
    show(rowdata?: CreateOrEditWldAdoWeldingSignalDto): void {
        if (!rowdata) this.rowdata = new CreateOrEditWldAdoWeldingSignalDto();
        else this.rowdata = rowdata;
		const dateValue =  this.rowdata.signalType ? new Date(this.rowdata.signalType?.toString())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this._mstwptWeldingSignalService.createOrEdit(this.rowdata)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WeldingSignalRoutingModule } from './weldingsignal-routing.module';
import { WeldingSignalComponent } from './weldingsignal.component';
import { CreateOrEditWeldingSignalModalComponent } from './create-or-edit-weldingsignal-modal.component';
@NgModule({
    declarations: [
       WeldingSignalComponent, 
        CreateOrEditWeldingSignalModalComponent
    ],
    imports: [
        AppSharedModule, WeldingSignalRoutingModule]
})
export class WeldingSignalModule {}</v>
      </c>
      <c r="J45" s="49" t="str">
        <f>B.Frontend!O10</f>
        <v>import {NgModule} from '@angular/core';
import {RouterModule, Routes} from '@angular/router';
import { WeldingSignalComponent } from './weldingsignal.component';
const routes: Routes = [{
    path: '',
    component: WeldingSignalComponent,
    pathMatch: 'full'
}];
@NgModule({
    imports: [RouterModule.forChild(routes)],
    exports: [RouterModule],
})
export class WeldingSignalRoutingModule {}</v>
      </c>
      <c r="K45" s="49" t="str">
        <f>B.Frontend!P10</f>
        <v xml:space="preserve"> new AppMenuItem("WeldingSignal", "Pages.Welding.Andon.WeldingSignal", "flaticon-book",   "/app/main/welding/andon/weldingsignal"),</v>
      </c>
      <c r="L45" s="50" t="str">
        <f>B.Frontend!Q10</f>
        <v>{
    path: 'welding/andon/weldingsignal',
    loadChildren: () =&gt; import('./welding/andon/weldingsignal/weldingsignal.module').then(m =&gt; m.WeldingSignalModule),
    data: { permission: 'Pages.Welding.Andon.WeldingSignal' }
},</v>
      </c>
      <c r="M45" s="48" t="str">
        <f>B.Frontend!R10</f>
        <v>ApiServiceProxies.WldAdoWeldingSignalServiceProxy,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workbookViewId="0">
      <pane xSplit="1" topLeftCell="B1" activePane="topRight" state="frozen"/>
      <selection pane="topRight" activeCell="A9" sqref="A9:A1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vovina.Welding.Andon.Dto;</v>
      </c>
      <c r="E1" s="10" t="s">
        <v>269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260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272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259</v>
      </c>
    </row>
    <row r="3" spans="1:23" s="11" customFormat="1" ht="33" customHeight="1" x14ac:dyDescent="0.25">
      <c r="A3" s="1" t="s">
        <v>5</v>
      </c>
      <c r="B3" s="30" t="s">
        <v>280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WldAdoWeldingSignalExportInput{
</v>
      </c>
      <c r="S3" s="11" t="str">
        <f>"namespace "&amp;$B$6&amp;".Exporting
"&amp;$C$3</f>
        <v xml:space="preserve">namespace vovina.Welding.Andon.Exporting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25">
      <c r="A4" s="1" t="s">
        <v>237</v>
      </c>
      <c r="B4" s="64" t="s">
        <v>92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281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vovina.Welding.Andon</v>
      </c>
      <c r="C6" s="11" t="str">
        <f>"namespace "&amp;$B$6&amp;"
"&amp;$C$3</f>
        <v xml:space="preserve">namespace vovina.Welding.Andon
{
</v>
      </c>
      <c r="D6" s="11" t="str">
        <f>REPT(CHAR(9),1)&amp;"public class "&amp;B3&amp;G3&amp;REPT(CHAR(9),1)&amp;"
"&amp;REPT(CHAR(9),1)&amp;C3</f>
        <v xml:space="preserve">	public class WldAdoWeldingSignal: FullAuditedEntity&lt;long&gt;, IEntity&lt;long&gt;	
	{
</v>
      </c>
      <c r="E6" s="11" t="str">
        <f>REPT(CHAR(9),1)&amp;"public class "&amp;B3&amp;"Consts"&amp;REPT(CHAR(9),1)&amp;"
"&amp;REPT(CHAR(9),1)&amp;C3</f>
        <v xml:space="preserve">	public class WldAdoWeldingSignalConsts	
	{
</v>
      </c>
      <c r="F6" s="11" t="str">
        <f>REPT(CHAR(9),1)&amp;"public class "&amp;B3&amp;"Dto"&amp;K3&amp;REPT(CHAR(9),1)&amp;"
"&amp;REPT(CHAR(9),1)&amp;C3</f>
        <v xml:space="preserve">	public class WldAdoWeldingSignalDto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CreateOrEditWldAdoWeldingSignalDto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GetWldAdoWeldingSignalInput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WldAdoWeldingSignal</v>
      </c>
      <c r="C7" s="11" t="str">
        <f>REPT(CHAR(9),1)&amp;"[Table("""&amp;B7&amp;""")]"&amp;"
"</f>
        <v xml:space="preserve">	[Table("WldAdoWeldingSignal")]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vovina.Welding.Andon
{
	[Table("WldAdoWeldingSignal")]
	[Index(nameof(ProdLine), Name="IX_WldAdoWeldingSignal_ProdLine")]
	[Index(nameof(Process), Name="IX_WldAdoWeldingSignal_Process")]
	[Index(nameof(SignalDate), Name="IX_WldAdoWeldingSignal_SignalDate")]
	public class WldAdoWeldingSignal: FullAuditedEntity&lt;long&gt;, IEntity&lt;long&gt;	
	{
		public const int MaxProdLineLength = 10;
		public const int MaxProcessLength = 20;
		public const int MaxSignalTypeLength = 20;
		public const int MaxSignalByLength = 20;
		public const int MaxIsActiveLength = 1;
		[StringLength(MaxProdLineLength)]
		public virtual string ProdLine { get; set; }
		[StringLength(MaxProcessLength)]
		public virtual string Process { get; set; }
		[StringLength(MaxSignalTypeLength)]
		public virtual string SignalType { get; set; }
		[StringLength(MaxSignalByLength)]
		public virtual string SignalBy { get; set; }
		[Column(TypeName="datetime2(7)")]
		public virtual DateTime SignalDate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DbSet&lt;WldAdoWeldingSignal&gt; WldAdoWeldingSignals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vovina.Welding.Andon
{
	public class WldAdoWeldingSignalConsts	
	{
		public const int MaxProdLineLength = 10;
		public const int MaxProcessLength = 20;
		public const int MaxSignalTypeLength = 20;
		public const int MaxSignalByLength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vovina.Welding.Andon.Dto
{
	public class WldAdoWeldingSignalDto : EntityDto&lt;long?&gt;	
	{
		public virtual string ProdLine { get; set; }
		public virtual string Process { get; set; }
		public virtual string SignalType { get; set; }
		public virtual string SignalBy { get; set; }
		public virtual DateTime? SignalDate { get; set; }
		public virtual string IsActive { get; set; }
	}
	public class CreateOrEditWldAdoWeldingSignalDto : EntityDto&lt;long?&gt;	
	{
		[StringLength(WldAdoWeldingSignalConsts.MaxProdLineLength)]
		public virtual string ProdLine { get; set; }
		[StringLength(WldAdoWeldingSignalConsts.MaxProcessLength)]
		public virtual string Process { get; set; }
		[StringLength(WldAdoWeldingSignalConsts.MaxSignalTypeLength)]
		public virtual string SignalType { get; set; }
		[StringLength(WldAdoWeldingSignalConsts.MaxSignalByLength)]
		public virtual string SignalBy { get; set; }
		public virtual DateTime? SignalDate { get; set; }
		[StringLength(WldAdoWeldingSignalConsts.MaxIsActiveLength)]
		public virtual string IsActive { get; set; }
	}
	public class GetWldAdoWeldingSignalInput : PagedAndSortedResultRequestDto	
	{
		public virtual string ProdLine { get; set; }
		public virtual string Process { get; set; }
		public virtual string SignalType { get; set; }
		public virtual string SignalBy { get; set; }
		public virtual DateTime? SignalDate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perWldAdoWeldingSignal = PARENTS.CreateChildPermission(AppPermissions.Pages_Welding_Andon_WeldingSignal, L( "WeldingAndonWeldingSignal"));
		perWldAdoWeldingSignal.CreateChildPermission(AppPermissions.Pages_Welding_Andon_WeldingSignal_CreateEdit, L( "WeldingAndonWeldingSignalCreateEdit"));
		perWldAdoWeldingSignal.CreateChildPermission(AppPermissions.Pages_Welding_Andon_WeldingSignal_Delete, L( "WeldingAndonWeldingSignalDelete"));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Pages_Welding_Andon_WeldingSignal = "Pages.Welding.Andon.WeldingSignal";
		public const string Pages_Welding_Andon_WeldingSignal_CreateEdit = "Pages.Welding.Andon.WeldingSignal.CreateEdit";
		public const string Pages_Welding_Andon_WeldingSignal_Delete = "Pages.Welding.Andon.WeldingSignal.Delete";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vovina.Welding.Andon.Dto;
namespace vovina.Welding.Andon
{
	public interface IWldAdoWeldingSignalAppService : IApplicationService
	{
		Task&lt;PagedResultDto&lt;WldAdoWeldingSignalDto&gt;&gt; GetAll(GetWldAdoWeldingSignalInput input);
		Task CreateOrEdit(CreateOrEditWldAdoWeldingSignalDto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vovina.Welding.Andon.Dto;
using vovina.Welding.Andon.Exporting;
namespace vovina.Welding.Andon
{
    [AbpAuthorize(AppPermissions.Pages_Welding_Andon_WeldingSignal)]
    public class WldAdoWeldingSignalAppService : vovinaAppServiceBase, IWldAdoWeldingSignalAppService
    {
        private readonly IDapperRepository&lt;WldAdoWeldingSignal, long&gt; _dapperRepo;
        private readonly IRepository&lt;WldAdoWeldingSignal, long&gt; _repo;
        private readonly IWldAdoWeldingSignalExcelExporter _calendarListExcelExporter;
        public WldAdoWeldingSignalAppService(IRepository&lt;WldAdoWeldingSignal,long&gt; repo, 
                                         IDapperRepository&lt;WldAdoWeldingSignal,long&gt; dapperRepo,
                                        IWldAdoWeldingSignalExcelExporter calendarListExcelExporter
            )
        {
            _repo = repo;
            _dapperRepo = dapperRepo;
            _calendarListExcelExporter = calendarListExcelExporter;
        }
        [AbpAuthorize(AppPermissions.Pages_Welding_Andon_WeldingSignal_CreateEdit)]
        public async Task CreateOrEdit(CreateOrEditWldAdoWeldingSignalDto input)
        {
            if (input.Id == null) await Create(input);
            else await Update(input);
        }
        //CREATE
        private async Task Create(CreateOrEditWldAdoWeldingSignalDto input)
        {          
            var mainObj = ObjectMapper.Map&lt;WldAdoWeldingSignal&gt;(input);
            await CurrentUnitOfWork.GetDbContext&lt;vovinaDbContext&gt;().AddAsync(mainObj);
        }
        // EDIT
        private async Task Update(CreateOrEditWldAdoWeldingSignalDto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[AbpAuthorize(AppPermissions.Pages_Welding_Andon_WeldingSignal_Delete)]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Task&lt;PagedResultDto&lt;WldAdoWeldingSignalDto&gt;&gt; GetAll(GetWldAdoWeldingSignalInput input)
        {
            var filtered = _repo.GetAll()
				.WhereIf(!string.IsNullOrWhiteSpace(input.ProdLine), e =&gt; e.ProdLine.Contains(input.ProdLine))
				.WhereIf(!string.IsNullOrWhiteSpace(input.Process), e =&gt; e.Process.Contains(input.Process))
				.WhereIf(!string.IsNullOrWhiteSpace(input.SignalType), e =&gt; e.SignalType.Contains(input.SignalType))
				.WhereIf(!string.IsNullOrWhiteSpace(input.SignalBy), e =&gt; e.SignalBy.Contains(input.SignalBy))
				.WhereIf(input.SignalDate.HasValue, t =&gt; t.SignalDate == input.SignalDate.Value)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WldAdoWeldingSignalDto
                        {
							Id = o.Id,
							ProdLine = o.ProdLine,
							Process = o.Process,
							SignalType = o.SignalType,
							SignalBy = o.SignalBy,
							SignalDate = o.SignalDate,
							IsActive = o.IsActive,
                        };
            var totalCount = await filtered.CountAsync();
			var paged = system.PageBy(input);
            return new PagedResultDto&lt;WldAdoWeldingSignalDto&gt;(
                totalCount,
                 await paged.ToListAsync()
            );
        }
        public async Task&lt;FileDto&gt; GetWeldingSignalToExcel(WldAdoWeldingSignalExportInput input)
        {
            var query = from o in _repo.GetAll()
                        select new WldAdoWeldingSignalDto
                        {
							Id = o.Id,
							ProdLine = o.ProdLine,
							Process = o.Process,
							SignalType = o.SignalType,
							SignalBy = o.SignalBy,
							SignalDate = o.SignalDate,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_dapperRepo.ExecuteAsync(WldAdoWeldingSignalConsts.SP_MST_WPT_CALENDAR_GENERATE);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vovina.Welding.Andon.Dto
{
	public class WldAdoWeldingSignalExportInput{
		public virtual string ProdLine { get; set; }
		public virtual string Process { get; set; }
		public virtual string SignalType { get; set; }
		public virtual string SignalBy { get; set; }
		public virtual DateTime? SignalDate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vovina.Welding.Andon.Dto;
namespace vovina.Welding.Andon.Exporting
{
	public interface IWldAdoWeldingSignalExcelExporter : IApplicationService
	{
		FileDto ExportToFile(List&lt;WldAdoWeldingSignalDto&gt; wldadoweldingsignal);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vovina.Welding.Andon.Exporting;
using vovina.Welding.Andon.Dto;
using vovina.Storage;
using vovina.Welding.Andon.Dto;
namespace vovina.Welding.Andon.Exporting
{
    public class WldAdoWeldingSignalExcelExporter : NpoiExcelExporterBase, IWldAdoWeldingSignalExcelExporter
    {
        public WldAdoWeldingSignalExcelExporter(ITempFileCacheManager tempFileCacheManager) : base(tempFileCacheManager) { }
        public FileDto ExportToFile(List&lt;WldAdoWeldingSignalDto&gt; weldingsignal)
        {
            return CreateExcelPackage(
				"WeldingAndonWeldingSignal.xlsx",
				excelPackage =&gt;
				 {
					var sheet = excelPackage.CreateSheet("WeldingSignal");
					AddHeader(
								sheet,
								("ProdLine"),
								("Process"),
								("SignalType"),
								("SignalBy"),
								("SignalDate"),
								("IsActive"),
							   );
					AddObjects(
						 sheet, 1, weldingsignal,                                       
								_ =&gt; _.ProdLine,
								_ =&gt; _.Process,
								_ =&gt; _.SignalType,
								_ =&gt; _.SignalBy,
								_ =&gt; _.SignalDate,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configuration.CreateMap&lt;WldAdoWeldingSignalDto, WldAdoWeldingSignal&gt;();
  configuration.CreateMap&lt;WldAdoWeldingSignal, WldAdoWeldingSignalDto&gt;();
  configuration.CreateMap&lt;CreateOrEditWldAdoWeldingSignalDto, WldAdoWeldingSignal&gt;();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273</v>
      </c>
      <c r="B9" t="s">
        <v>274</v>
      </c>
      <c r="C9" t="s">
        <v>1</v>
      </c>
      <c r="D9" t="str">
        <f>SUBSTITUTE(PROPER(A9),"_","")</f>
        <v>ProdLine</v>
      </c>
      <c r="E9" t="str">
        <f t="shared" ref="E9:E11" si="0">IFERROR(LEFT(B9, FIND("(",B9)-1),B9)</f>
        <v>nvarchar</v>
      </c>
      <c r="F9" s="7"/>
      <c r="G9" t="str">
        <f t="shared" ref="G9:G11" si="1">IFERROR(MID(B9,FIND("(",B9) +1, FIND(")",B9) - FIND("(",B9) - 1),"")</f>
        <v>10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MaxProdLineLength = 10;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[StringLength(MaxProdLineLength)]
		public virtual string ProdLine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[Index(nameof(ProdLine), Name="IX_WldAdoWeldingSignal_ProdLine")]</v>
      </c>
      <c r="M9" t="str">
        <f>REPT(CHAR(9),2)&amp;"public virtual "&amp;IF(OR(H9="DateTime",H9="TimeSpan"),H9&amp;"?",H9)&amp;IF(C9="?","? "," ")&amp;D9&amp;" { get; set; }" &amp; "
"</f>
        <v xml:space="preserve">		public virtual string ProdLine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[StringLength(WldAdoWeldingSignalConsts.MaxProdLineLength)]
		public virtual string ProdLine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ProdLine { get; set; }
</v>
      </c>
      <c r="P9" t="str">
        <f t="shared" ref="P9:P11" si="4">REPT(CHAR(9),7)&amp;D9&amp;" = o." &amp;D9 &amp;","</f>
        <v xml:space="preserve">							ProdLine = o.ProdLine,</v>
      </c>
      <c r="T9" s="69" t="str">
        <f>REPT(CHAR(9),8)&amp;"("""&amp;D9&amp;"""),"</f>
        <v xml:space="preserve">								("ProdLine"),</v>
      </c>
      <c r="V9" s="70" t="str">
        <f>REPT(CHAR(9),8)&amp;"_ =&gt; _."&amp;D9&amp;","</f>
        <v xml:space="preserve">								_ =&gt; _.ProdLine,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.WhereIf(!string.IsNullOrWhiteSpace(input.ProdLine), e =&gt; e.ProdLine.Contains(input.ProdLine))</v>
      </c>
    </row>
    <row r="10" spans="1:23" customFormat="1" ht="21" customHeight="1" x14ac:dyDescent="0.25">
      <c r="A10" t="s">
        <v>275</v>
      </c>
      <c r="B10" t="s">
        <v>276</v>
      </c>
      <c r="C10" t="s">
        <v>1</v>
      </c>
      <c r="D10" t="str">
        <f t="shared" ref="D10:D11" si="5">SUBSTITUTE(PROPER(A10),"_","")</f>
        <v>Process</v>
      </c>
      <c r="E10" t="str">
        <f t="shared" si="0"/>
        <v>nvarchar</v>
      </c>
      <c r="F10" s="7"/>
      <c r="G10" t="str">
        <f t="shared" si="1"/>
        <v>20</v>
      </c>
      <c r="H10" t="str">
        <f>+VLOOKUP(E10,'Data Type Mapping'!A:B,2,)</f>
        <v>string</v>
      </c>
      <c r="I10" t="str">
        <f t="shared" si="2"/>
        <v xml:space="preserve">		public const int MaxProcessLength = 20;
</v>
      </c>
      <c r="J10" t="str">
        <f t="shared" si="3"/>
        <v xml:space="preserve">		[StringLength(MaxProcessLength)]
		public virtual string Process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[Index(nameof(Process), Name="IX_WldAdoWeldingSignal_Process")]</v>
      </c>
      <c r="M10" t="str">
        <f t="shared" ref="M10:M11" si="7">REPT(CHAR(9),2)&amp;"public virtual "&amp;IF(OR(H10="DateTime",H10="TimeSpan"),H10&amp;"?",H10)&amp;IF(C10="?","? "," ")&amp;D10&amp;" { get; set; }" &amp; "
"</f>
        <v xml:space="preserve">		public virtual string Process { get; set; }
</v>
      </c>
      <c r="N10" t="str">
        <f t="shared" ref="N10:N11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[StringLength(WldAdoWeldingSignalConsts.MaxProcessLength)]
		public virtual string Process { get; set; }
</v>
      </c>
      <c r="O10" t="str">
        <f t="shared" ref="O10:O11" si="9">IF(OR(H10="string",H10="DateTime",H10="int"),REPT(CHAR(9),2)&amp;"public virtual "&amp;IF(OR(H10="DateTime",H10="TimeSpan"),H10&amp;"?",H10)&amp;IF(C10="?","? "," ")&amp;D10&amp;" { get; set; }"&amp;$E$3,"")</f>
        <v xml:space="preserve">		public virtual string Process { get; set; }
</v>
      </c>
      <c r="P10" t="str">
        <f t="shared" si="4"/>
        <v xml:space="preserve">							Process = o.Process,</v>
      </c>
      <c r="T10" s="69" t="str">
        <f t="shared" ref="T10:T11" si="10">REPT(CHAR(9),8)&amp;"("""&amp;D10&amp;"""),"</f>
        <v xml:space="preserve">								("Process"),</v>
      </c>
      <c r="V10" s="70" t="str">
        <f t="shared" ref="V10:V11" si="11">REPT(CHAR(9),8)&amp;"_ =&gt; _."&amp;D10&amp;","</f>
        <v xml:space="preserve">								_ =&gt; _.Process,</v>
      </c>
      <c r="W10" s="69" t="str">
        <f t="shared" ref="W10:W11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.WhereIf(!string.IsNullOrWhiteSpace(input.Process), e =&gt; e.Process.Contains(input.Process))</v>
      </c>
    </row>
    <row r="11" spans="1:23" customFormat="1" ht="18.75" customHeight="1" x14ac:dyDescent="0.25">
      <c r="A11" t="s">
        <v>277</v>
      </c>
      <c r="B11" t="s">
        <v>276</v>
      </c>
      <c r="C11" t="s">
        <v>1</v>
      </c>
      <c r="D11" t="str">
        <f t="shared" si="5"/>
        <v>SignalType</v>
      </c>
      <c r="E11" t="str">
        <f t="shared" si="0"/>
        <v>nvarchar</v>
      </c>
      <c r="F11" s="7"/>
      <c r="G11" t="str">
        <f t="shared" si="1"/>
        <v>20</v>
      </c>
      <c r="H11" t="str">
        <f>+VLOOKUP(E11,'Data Type Mapping'!A:B,2,)</f>
        <v>string</v>
      </c>
      <c r="I11" t="str">
        <f t="shared" si="2"/>
        <v xml:space="preserve">		public const int MaxSignalTypeLength = 20;
</v>
      </c>
      <c r="J11" t="str">
        <f t="shared" si="3"/>
        <v xml:space="preserve">		[StringLength(MaxSignalTypeLength)]
		public virtual string SignalType { get; set; }
</v>
      </c>
      <c r="K11" s="7"/>
      <c r="L11" t="str">
        <f t="shared" si="6"/>
        <v/>
      </c>
      <c r="M11" t="str">
        <f t="shared" si="7"/>
        <v xml:space="preserve">		public virtual string SignalType { get; set; }
</v>
      </c>
      <c r="N11" t="str">
        <f t="shared" si="8"/>
        <v xml:space="preserve">		[StringLength(WldAdoWeldingSignalConsts.MaxSignalTypeLength)]
		public virtual string SignalType { get; set; }
</v>
      </c>
      <c r="O11" t="str">
        <f t="shared" si="9"/>
        <v xml:space="preserve">		public virtual string SignalType { get; set; }
</v>
      </c>
      <c r="P11" t="str">
        <f t="shared" si="4"/>
        <v xml:space="preserve">							SignalType = o.SignalType,</v>
      </c>
      <c r="T11" s="69" t="str">
        <f t="shared" si="10"/>
        <v xml:space="preserve">								("SignalType"),</v>
      </c>
      <c r="V11" s="70" t="str">
        <f t="shared" si="11"/>
        <v xml:space="preserve">								_ =&gt; _.SignalType,</v>
      </c>
      <c r="W11" s="69" t="str">
        <f t="shared" si="12"/>
        <v xml:space="preserve">				.WhereIf(!string.IsNullOrWhiteSpace(input.SignalType), e =&gt; e.SignalType.Contains(input.SignalType))</v>
      </c>
    </row>
    <row r="12" spans="1:23" customFormat="1" ht="21" customHeight="1" x14ac:dyDescent="0.25">
      <c r="A12" t="s">
        <v>283</v>
      </c>
      <c r="B12" t="s">
        <v>276</v>
      </c>
      <c r="C12" t="s">
        <v>1</v>
      </c>
      <c r="D12" t="str">
        <f t="shared" ref="D12:D13" si="13">SUBSTITUTE(PROPER(A12),"_","")</f>
        <v>SignalBy</v>
      </c>
      <c r="E12" t="str">
        <f t="shared" ref="E12:E13" si="14">IFERROR(LEFT(B12, FIND("(",B12)-1),B12)</f>
        <v>nvarchar</v>
      </c>
      <c r="F12" s="7"/>
      <c r="G12" t="str">
        <f t="shared" ref="G12:G13" si="15">IFERROR(MID(B12,FIND("(",B12) +1, FIND(")",B12) - FIND("(",B12) - 1),"")</f>
        <v>20</v>
      </c>
      <c r="H12" t="str">
        <f>+VLOOKUP(E12,'Data Type Mapping'!A:B,2,)</f>
        <v>string</v>
      </c>
      <c r="I12" t="str">
        <f t="shared" ref="I12:I13" si="16">IF(H12="string",REPT(CHAR(9),2)&amp;"public const int Max"&amp;D12&amp;"Length = "&amp;G12&amp;";"&amp;$E$3,"" )</f>
        <v xml:space="preserve">		public const int MaxSignalByLength = 20;
</v>
      </c>
      <c r="J12" t="str">
        <f t="shared" ref="J12:J13" si="1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[StringLength(MaxSignalByLength)]
		public virtual string SignalBy { get; set; }
</v>
      </c>
      <c r="K12" s="7"/>
      <c r="L12" t="str">
        <f t="shared" ref="L12:L13" si="18">IF(K12="","",REPT(CHAR(9),1)&amp;"[Index(nameof("&amp;IF(D12="","",""&amp;D12)&amp;")"&amp;", Name="&amp;"""IX_"&amp;$B$7&amp;"_"&amp;D12&amp;""")]")</f>
        <v/>
      </c>
      <c r="M12" t="str">
        <f t="shared" ref="M12:M13" si="19">REPT(CHAR(9),2)&amp;"public virtual "&amp;IF(OR(H12="DateTime",H12="TimeSpan"),H12&amp;"?",H12)&amp;IF(C12="?","? "," ")&amp;D12&amp;" { get; set; }" &amp; "
"</f>
        <v xml:space="preserve">		public virtual string SignalBy { get; set; }
</v>
      </c>
      <c r="N12" t="str">
        <f t="shared" ref="N12:N13" si="20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[StringLength(WldAdoWeldingSignalConsts.MaxSignalByLength)]
		public virtual string SignalBy { get; set; }
</v>
      </c>
      <c r="O12" t="str">
        <f t="shared" ref="O12:O13" si="21">IF(OR(H12="string",H12="DateTime",H12="int"),REPT(CHAR(9),2)&amp;"public virtual "&amp;IF(OR(H12="DateTime",H12="TimeSpan"),H12&amp;"?",H12)&amp;IF(C12="?","? "," ")&amp;D12&amp;" { get; set; }"&amp;$E$3,"")</f>
        <v xml:space="preserve">		public virtual string SignalBy { get; set; }
</v>
      </c>
      <c r="P12" t="str">
        <f t="shared" ref="P12:P13" si="22">REPT(CHAR(9),7)&amp;D12&amp;" = o." &amp;D12 &amp;","</f>
        <v xml:space="preserve">							SignalBy = o.SignalBy,</v>
      </c>
      <c r="T12" s="69" t="str">
        <f t="shared" ref="T12:T13" si="23">REPT(CHAR(9),8)&amp;"("""&amp;D12&amp;"""),"</f>
        <v xml:space="preserve">								("SignalBy"),</v>
      </c>
      <c r="V12" s="70" t="str">
        <f t="shared" ref="V12:V13" si="24">REPT(CHAR(9),8)&amp;"_ =&gt; _."&amp;D12&amp;","</f>
        <v xml:space="preserve">								_ =&gt; _.SignalBy,</v>
      </c>
      <c r="W12" s="69" t="str">
        <f t="shared" ref="W12:W13" si="25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.WhereIf(!string.IsNullOrWhiteSpace(input.SignalBy), e =&gt; e.SignalBy.Contains(input.SignalBy))</v>
      </c>
    </row>
    <row r="13" spans="1:23" customFormat="1" ht="18.75" customHeight="1" x14ac:dyDescent="0.25">
      <c r="A13" t="s">
        <v>284</v>
      </c>
      <c r="B13" t="s">
        <v>248</v>
      </c>
      <c r="C13" t="s">
        <v>1</v>
      </c>
      <c r="D13" t="str">
        <f t="shared" si="13"/>
        <v>SignalDate</v>
      </c>
      <c r="E13" t="str">
        <f t="shared" si="14"/>
        <v>datetime2</v>
      </c>
      <c r="F13" s="7" t="s">
        <v>248</v>
      </c>
      <c r="G13" t="str">
        <f t="shared" si="15"/>
        <v>7</v>
      </c>
      <c r="H13" t="str">
        <f>+VLOOKUP(E13,'Data Type Mapping'!A:B,2,)</f>
        <v>DateTime</v>
      </c>
      <c r="I13" t="str">
        <f t="shared" si="16"/>
        <v/>
      </c>
      <c r="J13" t="str">
        <f t="shared" si="17"/>
        <v xml:space="preserve">		[Column(TypeName="datetime2(7)")]
		public virtual DateTime SignalDate { get; set; }
</v>
      </c>
      <c r="K13" s="7" t="s">
        <v>206</v>
      </c>
      <c r="L13" t="str">
        <f t="shared" si="18"/>
        <v xml:space="preserve">	[Index(nameof(SignalDate), Name="IX_WldAdoWeldingSignal_SignalDate")]</v>
      </c>
      <c r="M13" t="str">
        <f t="shared" si="19"/>
        <v xml:space="preserve">		public virtual DateTime? SignalDate { get; set; }
</v>
      </c>
      <c r="N13" t="str">
        <f t="shared" si="20"/>
        <v xml:space="preserve">		public virtual DateTime? SignalDate { get; set; }
</v>
      </c>
      <c r="O13" t="str">
        <f t="shared" si="21"/>
        <v xml:space="preserve">		public virtual DateTime? SignalDate { get; set; }
</v>
      </c>
      <c r="P13" t="str">
        <f t="shared" si="22"/>
        <v xml:space="preserve">							SignalDate = o.SignalDate,</v>
      </c>
      <c r="T13" s="69" t="str">
        <f t="shared" si="23"/>
        <v xml:space="preserve">								("SignalDate"),</v>
      </c>
      <c r="V13" s="70" t="str">
        <f t="shared" si="24"/>
        <v xml:space="preserve">								_ =&gt; _.SignalDate,</v>
      </c>
      <c r="W13" s="69" t="str">
        <f t="shared" si="25"/>
        <v xml:space="preserve">				.WhereIf(input.SignalDate.HasValue, t =&gt; t.SignalDate == input.SignalDate.Value)</v>
      </c>
    </row>
    <row r="14" spans="1:23" customFormat="1" ht="21" customHeight="1" x14ac:dyDescent="0.25">
      <c r="A14" t="s">
        <v>278</v>
      </c>
      <c r="B14" t="s">
        <v>279</v>
      </c>
      <c r="C14" t="s">
        <v>1</v>
      </c>
      <c r="D14" t="str">
        <f t="shared" ref="D14" si="26">SUBSTITUTE(PROPER(A14),"_","")</f>
        <v>IsActive</v>
      </c>
      <c r="E14" t="str">
        <f t="shared" ref="E14" si="27">IFERROR(LEFT(B14, FIND("(",B14)-1),B14)</f>
        <v>nvarchar</v>
      </c>
      <c r="F14" s="7"/>
      <c r="G14" t="str">
        <f t="shared" ref="G14" si="28">IFERROR(MID(B14,FIND("(",B14) +1, FIND(")",B14) - FIND("(",B14) - 1),"")</f>
        <v>1</v>
      </c>
      <c r="H14" t="str">
        <f>+VLOOKUP(E14,'Data Type Mapping'!A:B,2,)</f>
        <v>string</v>
      </c>
      <c r="I14" t="str">
        <f t="shared" ref="I14" si="29">IF(H14="string",REPT(CHAR(9),2)&amp;"public const int Max"&amp;D14&amp;"Length = "&amp;G14&amp;";"&amp;$E$3,"" )</f>
        <v xml:space="preserve">		public const int MaxIsActiveLength = 1;
</v>
      </c>
      <c r="J14" t="str">
        <f t="shared" ref="J14" si="30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[StringLength(MaxIsActiveLength)]
		public virtual string IsActive { get; set; }
</v>
      </c>
      <c r="K14" s="7"/>
      <c r="L14" t="str">
        <f t="shared" ref="L14" si="31">IF(K14="","",REPT(CHAR(9),1)&amp;"[Index(nameof("&amp;IF(D14="","",""&amp;D14)&amp;")"&amp;", Name="&amp;"""IX_"&amp;$B$7&amp;"_"&amp;D14&amp;""")]")</f>
        <v/>
      </c>
      <c r="M14" t="str">
        <f t="shared" ref="M14" si="32">REPT(CHAR(9),2)&amp;"public virtual "&amp;IF(OR(H14="DateTime",H14="TimeSpan"),H14&amp;"?",H14)&amp;IF(C14="?","? "," ")&amp;D14&amp;" { get; set; }" &amp; "
"</f>
        <v xml:space="preserve">		public virtual string IsActive { get; set; }
</v>
      </c>
      <c r="N14" t="str">
        <f t="shared" ref="N14" si="33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[StringLength(WldAdoWeldingSignalConsts.MaxIsActiveLength)]
		public virtual string IsActive { get; set; }
</v>
      </c>
      <c r="O14" t="str">
        <f t="shared" ref="O14" si="34">IF(OR(H14="string",H14="DateTime",H14="int"),REPT(CHAR(9),2)&amp;"public virtual "&amp;IF(OR(H14="DateTime",H14="TimeSpan"),H14&amp;"?",H14)&amp;IF(C14="?","? "," ")&amp;D14&amp;" { get; set; }"&amp;$E$3,"")</f>
        <v xml:space="preserve">		public virtual string IsActive { get; set; }
</v>
      </c>
      <c r="P14" t="str">
        <f t="shared" ref="P14" si="35">REPT(CHAR(9),7)&amp;D14&amp;" = o." &amp;D14 &amp;","</f>
        <v xml:space="preserve">							IsActive = o.IsActive,</v>
      </c>
      <c r="T14" s="69" t="str">
        <f t="shared" ref="T14" si="36">REPT(CHAR(9),8)&amp;"("""&amp;D14&amp;"""),"</f>
        <v xml:space="preserve">								("IsActive"),</v>
      </c>
      <c r="V14" s="70" t="str">
        <f t="shared" ref="V14" si="37">REPT(CHAR(9),8)&amp;"_ =&gt; _."&amp;D14&amp;","</f>
        <v xml:space="preserve">								_ =&gt; _.IsActive,</v>
      </c>
      <c r="W14" s="69" t="str">
        <f t="shared" ref="W14" si="38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.WhereIf(!string.IsNullOrWhiteSpace(input.IsActive), e =&gt; e.IsActive.Contains(input.IsActive))</v>
      </c>
    </row>
    <row r="16" spans="1:23" ht="45.75" customHeight="1" x14ac:dyDescent="0.25">
      <c r="H16" s="12"/>
      <c r="I16" s="34" t="str">
        <f ca="1">TEXTJOIN2("
", TRUE,INDIRECT( $H$1):INDIRECT( $H$3))</f>
        <v xml:space="preserve">		public const int MaxProdLineLength = 10;
		public const int MaxProcessLength = 20;
		public const int MaxSignalTypeLength = 20;
		public const int MaxSignalByLength = 20;
		public const int MaxIsActiveLength = 1;
</v>
      </c>
      <c r="J16" s="33" t="str">
        <f ca="1">TEXTJOIN2("
", TRUE,INDIRECT( $F$1):INDIRECT( $F$3))</f>
        <v xml:space="preserve">		[StringLength(MaxProdLineLength)]
		public virtual string ProdLine { get; set; }
		[StringLength(MaxProcessLength)]
		public virtual string Process { get; set; }
		[StringLength(MaxSignalTypeLength)]
		public virtual string SignalType { get; set; }
		[StringLength(MaxSignalByLength)]
		public virtual string SignalBy { get; set; }
		[Column(TypeName="datetime2(7)")]
		public virtual DateTime SignalDate { get; set; }
		[StringLength(MaxIsActiveLength)]
		public virtual string IsActive { get; set; }
</v>
      </c>
      <c r="K16" s="35" t="str">
        <f ca="1">TEXTJOIN2("
", TRUE,INDIRECT( $J$1):INDIRECT( $J$3))</f>
        <v xml:space="preserve">	[Index(nameof(ProdLine), Name="IX_WldAdoWeldingSignal_ProdLine")]
	[Index(nameof(Process), Name="IX_WldAdoWeldingSignal_Process")]
	[Index(nameof(SignalDate), Name="IX_WldAdoWeldingSignal_SignalDate")]
</v>
      </c>
      <c r="L16" s="13" t="s">
        <v>60</v>
      </c>
      <c r="M16" s="36" t="str">
        <f ca="1">TEXTJOIN2("
",TRUE,INDIRECT( $L$1):INDIRECT($L$3))</f>
        <v xml:space="preserve">		public virtual string ProdLine { get; set; }
		public virtual string Process { get; set; }
		public virtual string SignalType { get; set; }
		public virtual string SignalBy { get; set; }
		public virtual DateTime? SignalDate { get; set; }
		public virtual string IsActive { get; set; }
</v>
      </c>
      <c r="N16" s="33" t="str">
        <f ca="1">TEXTJOIN2("
",TRUE,INDIRECT( $M$1):INDIRECT($M$3))</f>
        <v xml:space="preserve">		[StringLength(WldAdoWeldingSignalConsts.MaxProdLineLength)]
		public virtual string ProdLine { get; set; }
		[StringLength(WldAdoWeldingSignalConsts.MaxProcessLength)]
		public virtual string Process { get; set; }
		[StringLength(WldAdoWeldingSignalConsts.MaxSignalTypeLength)]
		public virtual string SignalType { get; set; }
		[StringLength(WldAdoWeldingSignalConsts.MaxSignalByLength)]
		public virtual string SignalBy { get; set; }
		public virtual DateTime? SignalDate { get; set; }
		[StringLength(WldAdoWeldingSignalConsts.MaxIsActiveLength)]
		public virtual string IsActive { get; set; }
</v>
      </c>
      <c r="O16" s="33" t="str">
        <f ca="1">TEXTJOIN2("
",TRUE,INDIRECT( $N$1):INDIRECT($N$3))</f>
        <v xml:space="preserve">		public virtual string ProdLine { get; set; }
		public virtual string Process { get; set; }
		public virtual string SignalType { get; set; }
		public virtual string SignalBy { get; set; }
		public virtual DateTime? SignalDate { get; set; }
		public virtual string IsActive { get; set; }
</v>
      </c>
      <c r="P16" s="9" t="str">
        <f ca="1">TEXTJOIN2("
",TRUE,INDIRECT( $O$1):INDIRECT($O$3))</f>
        <v xml:space="preserve">							ProdLine = o.ProdLine,
							Process = o.Process,
							SignalType = o.SignalType,
							SignalBy = o.SignalBy,
							SignalDate = o.SignalDate,
							IsActive = o.IsActive,</v>
      </c>
      <c r="T16" s="9" t="str">
        <f ca="1">TEXTJOIN2("
",TRUE,INDIRECT( $T$2):INDIRECT($T$3))</f>
        <v xml:space="preserve">								("ProdLine"),
								("Process"),
								("SignalType"),
								("SignalBy"),
								("SignalDate"),
								("IsActive"),</v>
      </c>
      <c r="V16" s="9" t="str">
        <f ca="1">TEXTJOIN2("
",TRUE,INDIRECT( $V$2):INDIRECT($V$3))</f>
        <v xml:space="preserve">								_ =&gt; _.ProdLine,
								_ =&gt; _.Process,
								_ =&gt; _.SignalType,
								_ =&gt; _.SignalBy,
								_ =&gt; _.SignalDate,
								_ =&gt; _.IsActive,</v>
      </c>
      <c r="W16" s="9" t="str">
        <f ca="1">TEXTJOIN2("
",TRUE,INDIRECT( $W$2):INDIRECT($W$3))</f>
        <v xml:space="preserve">				.WhereIf(!string.IsNullOrWhiteSpace(input.ProdLine), e =&gt; e.ProdLine.Contains(input.ProdLine))
				.WhereIf(!string.IsNullOrWhiteSpace(input.Process), e =&gt; e.Process.Contains(input.Process))
				.WhereIf(!string.IsNullOrWhiteSpace(input.SignalType), e =&gt; e.SignalType.Contains(input.SignalType))
				.WhereIf(!string.IsNullOrWhiteSpace(input.SignalBy), e =&gt; e.SignalBy.Contains(input.SignalBy))
				.WhereIf(input.SignalDate.HasValue, t =&gt; t.SignalDate == input.SignalDate.Value)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tabSelected="1" workbookViewId="0">
      <selection activeCell="A20" sqref="A20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282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Welding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welding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WldAdoWeldingSignal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WeldingSignal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weldingsignal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263</v>
      </c>
      <c r="I9" s="46" t="s">
        <v>257</v>
      </c>
      <c r="J9" s="45" t="s">
        <v>219</v>
      </c>
      <c r="K9" s="47" t="s">
        <v>258</v>
      </c>
      <c r="L9" s="46" t="s">
        <v>262</v>
      </c>
      <c r="M9" s="45" t="s">
        <v>250</v>
      </c>
      <c r="N9" s="45" t="s">
        <v>220</v>
      </c>
      <c r="O9" s="45" t="s">
        <v>221</v>
      </c>
      <c r="P9" s="46" t="s">
        <v>223</v>
      </c>
      <c r="Q9" s="45" t="s">
        <v>251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WldAdoWeldingSignalDto, WldAdoWeldingSignalServiceProxy } from '@shared/service-proxies/service-proxies';
import { finalize } from 'rxjs/internal/operators/finalize';
import { CreateOrEditWeldingSignalModalComponent } from './create-or-edit-weldingsignal-modal.component';
import { DatePipe } from '@angular/common';
import { FileDownloadService } from '@shared/utils/file-download.service';
import ceil from 'lodash-es/ceil';
import { Paginator } from 'primeng/paginator';
@Component({
    templateUrl: './weldingsignal.component.html',
    styleUrls: ['./weldingsignal.component.less'],
})
export class WeldingSignalComponent extends AppComponentBase implements OnInit {
    @ViewChild('createOrEditModalWeldingSignal', { static: true }) createOrEditModalWeldingSignal:| CreateOrEditWeldingSignalModalComponent|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WldAdoWeldingSignalDto = new WldAdoWeldingSignalDto();
    saveSelectedRow: WldAdoWeldingSignalDto = new WldAdoWeldingSignalDto();
    datas: WldAdoWeldingSignalDto = new WldAdoWeldingSignalDto();
    isLoading: boolean = false;
    dataParams: GridParams | undefined;
    rowData: any[] = [];
    gridApi!: GridApi;
    rowSelection = 'multiple';
    filter: string = '';
	pipe = new DatePipe('en-US');
    prodLine : string = '' ; 
	process : string = '' ; 
	signalType : string = '' ; 
	process : string = '' ; 
	signalType : any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WldAdoWeldingSignalServiceProxy,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 Line'),headerTooltip: this.l('Prod Line'),field: 'prodLine',flex: 1},
			{headerName: this.l('Process'),headerTooltip: this.l('Process'),field: 'process',flex: 1},
			{headerName: this.l('Signal Type'),headerTooltip: this.l('Signal Type'),field: 'signalType',flex: 1},
			{headerName: this.l('Process'),headerTooltip: this.l('Process'),field: 'process',flex: 1},
			{headerName: this.l('Signal Type'),headerTooltip: this.l('Signal Type'),field: 'signalType',valueGetter: (params) =&gt; this.pipe.transform(params.data?.signalType, 'dd/MM/yyyy'),flex: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this.prodLine,
			this.process,
			this.signalType,
			this.process,
			this.signalType,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this.prodLine = '',
		this.process = '',
		this.signalType = '',
		this.process = '',
		this.signalType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this.prodLine,
			this.process,
			this.signalType,
			this.process,
			this.signalType,
			this.isActive,
			'',
            this.paginationParams.skipCount,
            this.paginationParams.pageSize
        );
    }
    onChangeRowSelection(params: { api: { getSelectedRows: () =&gt; WldAdoWeldingSignalDto[] } }) {
        this.saveSelectedRow = params.api.getSelectedRows()[0] ?? new WldAdoWeldingSignalDto();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WldAdoWeldingSignalDto):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this._service.getWeldingSignalToExcel(
			this.prodLine,
			this.process,
			this.signalType,
			this.process,
			this.signalType,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Welding Andon Welding Signal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[(ngModel)]='signalType' name='signalType'
									class='form-control' [placeholder]="l('Signal Type')"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type='text' [placeholder]="l('Signal Type')" [(ngModel)]='signalType' 
									name='signalType'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(click)="createOrEditModalWeldingSignal.show()"&gt;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(click)="createOrEditModalWeldingSignal.show(selectedRow)"&gt;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&lt;create-or-edit-weldingsignal-modal
    #createOrEditModalWeldingSignal
    (modalSave)="callBackDataGrid(dataParams)"
    (modalClose)="onChangeRowSelection(dataParams)"
&gt;
&lt;/create-or-edit-weldingsignal-modal&gt;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#createOrEditModalWeldingSignal="bs-modal"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WeldingSignal')}}&lt;/h3&gt;
                    &lt;h3 *ngIf="!rowdata.id"&gt;{{('Create New WeldingSignal')}}&lt;/h3&gt;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title'&gt;Signal Type&lt;/label&gt;
						&lt;input type='text' class='col-md-10 form-control input-text' name='SignalType' [(ngModel)]='rowdata.signalType'&gt;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title'&gt;Signal Type&lt;/label&gt;
						&lt;input type='text' class='col-md-10 form-control input-text' name='signalType' 
						#datepicker='bsDatepicker' [(ngModel)]='rowdata.signalType'  bsDatepicker 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CreateOrEditWldAdoWeldingSignalDto, WldAdoWeldingSignalServiceProxy } from '@shared/service-proxies/service-proxies';
import { BsDatepickerDirective } from 'ngx-bootstrap/datepicker';
@Component({
    selector: 'create-or-edit-weldingsignal-modal',
    templateUrl: './create-or-edit-weldingsignal-modal.component.html',
    styleUrls: ['./create-or-edit-weldingsignal-modal.component.less']
    })
export class CreateOrEditWeldingSignalModalComponent extends AppComponentBase {
    @ViewChild('createOrEditModalWeldingSignal',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CreateOrEditWldAdoWeldingSignalDto = new CreateOrEditWldAdoWeldingSignalDto();
    active: boolean = false;
    saving: boolean = false;
    _isActive: boolean;
    constructor(
        injector: Injector,
        private _mstwptWeldingSignalService: WldAdoWeldingSignalServiceProxy,
    ) 
    {
        super(injector);
    }
    show(rowdata?: CreateOrEditWldAdoWeldingSignalDto): void {
        if (!rowdata) this.rowdata = new CreateOrEditWldAdoWeldingSignalDto();
        else this.rowdata = rowdata;
		const dateValue =  this.rowdata.signalType ? new Date(this.rowdata.signalType?.toString())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this._mstwptWeldingSignalService.createOrEdit(this.rowdata)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WeldingSignalRoutingModule } from './weldingsignal-routing.module';
import { WeldingSignalComponent } from './weldingsignal.component';
import { CreateOrEditWeldingSignalModalComponent } from './create-or-edit-weldingsignal-modal.component';
@NgModule({
    declarations: [
       WeldingSignalComponent, 
        CreateOrEditWeldingSignalModalComponent
    ],
    imports: [
        AppSharedModule, WeldingSignalRoutingModule]
})
export class WeldingSignalModule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WeldingSignalComponent } from './weldingsignal.component';
const routes: Routes = [{
    path: '',
    component: WeldingSignalComponent,
    pathMatch: 'full'
}];
@NgModule({
    imports: [RouterModule.forChild(routes)],
    exports: [RouterModule],
})
export class WeldingSignalRoutingModule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AppMenuItem("WeldingSignal", "Pages.Welding.Andon.WeldingSignal", "flaticon-book",   "/app/main/welding/andon/weldingsignal"),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'welding/andon/weldingsignal',
    loadChildren: () =&gt; import('./welding/andon/weldingsignal/weldingsignal.module').then(m =&gt; m.WeldingSignalModule),
    data: { permission: 'Pages.Welding.Andon.WeldingSignal' }
},</v>
      </c>
      <c r="R10" s="50" t="str">
        <f>SUBSTITUTE(R9,"MstWptCalendar",$B$6)</f>
        <v>ApiServiceProxies.WldAdoWeldingSignalServiceProxy,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264</v>
      </c>
      <c r="J11" s="31"/>
      <c r="K11" s="31" t="s">
        <v>261</v>
      </c>
      <c r="L11" s="31" t="s">
        <v>265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266</v>
      </c>
      <c r="V11" s="71" t="s">
        <v>268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this.l('Prod Line'),headerTooltip: this.l('Prod Line'),field: 'prodLine',flex: 1},
			{headerName: this.l('Process'),headerTooltip: this.l('Process'),field: 'process',flex: 1},
			{headerName: this.l('Signal Type'),headerTooltip: this.l('Signal Type'),field: 'signalType',flex: 1},
			{headerName: this.l('Process'),headerTooltip: this.l('Process'),field: 'process',flex: 1},
			{headerName: this.l('Signal Type'),headerTooltip: this.l('Signal Type'),field: 'signalType',valueGetter: (params) =&gt; this.pipe.transform(params.data?.signalType, 'dd/MM/yyyy'),flex: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[(ngModel)]='signalType' name='signalType'
									class='form-control' [placeholder]="l('Signal Type')"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type='text' [placeholder]="l('Signal Type')" [(ngModel)]='signalType' 
									name='signalType'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title'&gt;Signal Type&lt;/label&gt;
						&lt;input type='text' class='col-md-10 form-control input-text' name='SignalType' [(ngModel)]='rowdata.signalType'&gt;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title'&gt;Signal Type&lt;/label&gt;
						&lt;input type='text' class='col-md-10 form-control input-text' name='signalType' 
						#datepicker='bsDatepicker' [(ngModel)]='rowdata.signalType'  bsDatepicker 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60" t="str">
        <f ca="1">TEXTJOIN2("
",TRUE,INDIRECT(L11):INDIRECT(L12))</f>
        <v xml:space="preserve">		const dateValue =  this.rowdata.signalType ? new Date(this.rowdata.signalType?.toString())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prodLine : string = '' ; 
	process : string = '' ; 
	signalType : string = '' ; 
	process : string = '' ; 
	signalType : any ;
	isActive : string = '' ; </v>
      </c>
      <c r="T13" s="68" t="str">
        <f ca="1">TEXTJOIN2("
",TRUE,INDIRECT(T11):INDIRECT(T12))</f>
        <v xml:space="preserve">			this.prodLine,
			this.process,
			this.signalType,
			this.process,
			this.signalType,
			this.isActive,</v>
      </c>
      <c r="U13" s="68" t="str">
        <f ca="1">TEXTJOIN2("
",TRUE,INDIRECT(U11):INDIRECT(U12))</f>
        <v>this.prodLine = '',
		this.process = '',
		this.signalType = '',
		this.process = '',
		this.signalType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weldingsignal.component.ts</v>
      </c>
      <c r="I14" s="40" t="str">
        <f>B8&amp;".component.html"</f>
        <v>weldingsignal.component.html</v>
      </c>
      <c r="J14" s="39" t="str">
        <f>B8&amp;".component.less"</f>
        <v>weldingsignal.component.less</v>
      </c>
      <c r="K14" s="40" t="str">
        <f>"create-or-edit-"&amp;B8&amp;"-modal.component.html"</f>
        <v>create-or-edit-weldingsignal-modal.component.html</v>
      </c>
      <c r="L14" s="40" t="str">
        <f>"create-or-edit-"&amp;B8&amp;"-modal.component.ts"</f>
        <v>create-or-edit-weldingsignal-modal.component.ts</v>
      </c>
      <c r="M14" s="40" t="str">
        <f>"create-or-edit-"&amp;B8&amp;"-modal.component.less"</f>
        <v>create-or-edit-weldingsignal-modal.component.less</v>
      </c>
      <c r="N14" s="40" t="str">
        <f>B8&amp;".module.ts"</f>
        <v>weldingsignal.module.ts</v>
      </c>
      <c r="O14" s="40" t="str">
        <f>B8&amp;"-routing.module.ts"</f>
        <v>weldingsignal-routing.module.ts</v>
      </c>
      <c r="P14" s="40" t="s">
        <v>222</v>
      </c>
      <c r="Q14" s="40" t="s">
        <v>225</v>
      </c>
      <c r="R14" s="41" t="s">
        <v>232</v>
      </c>
      <c r="S14" s="40" t="s">
        <v>252</v>
      </c>
      <c r="T14" s="40" t="s">
        <v>253</v>
      </c>
      <c r="U14" s="40" t="s">
        <v>256</v>
      </c>
      <c r="V14" s="40" t="s">
        <v>267</v>
      </c>
    </row>
    <row r="15" spans="1:22" ht="18" customHeight="1" x14ac:dyDescent="0.25">
      <c r="A15" s="44" t="s">
        <v>273</v>
      </c>
      <c r="B15" s="31" t="str">
        <f>SUBSTITUTE(PROPER(A15),"_","")</f>
        <v>ProdLine</v>
      </c>
      <c r="C15" s="31" t="str">
        <f>SUBSTITUTE(PROPER(A15),"_"," ")</f>
        <v>Prod Line</v>
      </c>
      <c r="D15" s="31" t="str">
        <f>LOWER(LEFT(B15,1))&amp;RIGHT(B15,LEN(B15) - 1)</f>
        <v>prodLine</v>
      </c>
      <c r="E15" s="72" t="str">
        <f>A.Backend!H9</f>
        <v>string</v>
      </c>
      <c r="F15" s="72" t="str">
        <f>A.Backend!G9</f>
        <v>10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this.l('Prod Line'),headerTooltip: this.l('Prod Line'),field: 'prodLine',flex: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prodLine : string = '' ; </v>
      </c>
      <c r="T15" s="31" t="str">
        <f>REPT(CHAR(9),3)&amp;"this."&amp;D15&amp;","</f>
        <v xml:space="preserve">			this.prodLine,</v>
      </c>
      <c r="U15" s="31" t="str">
        <f>IF(E15="int","this."&amp;D15&amp;" = 0,","this."&amp;D15&amp;" = '',")</f>
        <v>this.prodLine = '',</v>
      </c>
      <c r="V15" s="31" t="str">
        <f>IF(AND(E15="string",F15="1"),D15,"")</f>
        <v/>
      </c>
    </row>
    <row r="16" spans="1:22" ht="18" customHeight="1" x14ac:dyDescent="0.25">
      <c r="A16" s="44" t="s">
        <v>275</v>
      </c>
      <c r="B16" s="31" t="str">
        <f t="shared" ref="B16" si="0">SUBSTITUTE(PROPER(A16),"_","")</f>
        <v>Process</v>
      </c>
      <c r="C16" s="31" t="str">
        <f t="shared" ref="C16" si="1">SUBSTITUTE(PROPER(A16),"_"," ")</f>
        <v>Process</v>
      </c>
      <c r="D16" s="31" t="str">
        <f t="shared" ref="D16" si="2">LOWER(LEFT(B16,1))&amp;RIGHT(B16,LEN(B16) - 1)</f>
        <v>process</v>
      </c>
      <c r="E16" s="72" t="str">
        <f>A.Backend!H10</f>
        <v>string</v>
      </c>
      <c r="F16" s="72" t="str">
        <f>A.Backend!G10</f>
        <v>20</v>
      </c>
      <c r="G16" s="31" t="str">
        <f t="shared" ref="G16:G17" si="3">IF(E16="string"," : string = '' ; ",IF(OR(E16="DateTime",E16="TimeSpan")," : any ;",IF(E16="int"," : number = 0 ;","")))</f>
        <v xml:space="preserve"> : string = '' ; </v>
      </c>
      <c r="H16" s="38" t="str">
        <f t="shared" ref="H16:H17" si="4"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this.l('Process'),headerTooltip: this.l('Process'),field: 'process',flex: 1},</v>
      </c>
      <c r="I16" s="38" t="str">
        <f t="shared" ref="I16:I17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[(ngModel)]='process' name='process'
									class='form-control' [placeholder]="l('Process')"
									type='text' (keyup.enter)='searchDatas()'&gt;
								&lt;/div&gt;</v>
      </c>
      <c r="J16" s="31"/>
      <c r="K16" s="38" t="str">
        <f t="shared" ref="K16:K17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title'&gt;Process&lt;/label&gt;
						&lt;input type='text' class='col-md-10 form-control input-text' name='Process' [(ngModel)]='rowdata.process'&gt;
					&lt;/div&gt;</v>
      </c>
      <c r="L16" s="60" t="str">
        <f t="shared" ref="L16:L17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:S17" si="8">REPT(CHAR(9),1)&amp;D16&amp;G16</f>
        <v xml:space="preserve">	process : string = '' ; </v>
      </c>
      <c r="T16" s="31" t="str">
        <f t="shared" ref="T16:T17" si="9">REPT(CHAR(9),3)&amp;"this."&amp;D16&amp;","</f>
        <v xml:space="preserve">			this.process,</v>
      </c>
      <c r="U16" s="31" t="str">
        <f t="shared" ref="U16:U17" si="10">IF(E16="int",REPT(CHAR(9),2)&amp;"this."&amp;D16&amp;" = 0,",REPT(CHAR(9),2)&amp;"this."&amp;D16&amp;" = '',")</f>
        <v xml:space="preserve">		this.process = '',</v>
      </c>
      <c r="V16" s="31" t="str">
        <f t="shared" ref="V16:V17" si="11">IF(AND(E16="string",F16="1"),D16,"")</f>
        <v/>
      </c>
    </row>
    <row r="17" spans="1:22" ht="18" customHeight="1" x14ac:dyDescent="0.25">
      <c r="A17" s="44" t="s">
        <v>277</v>
      </c>
      <c r="B17" s="31" t="str">
        <f>SUBSTITUTE(PROPER(A17),"_","")</f>
        <v>SignalType</v>
      </c>
      <c r="C17" s="31" t="str">
        <f>SUBSTITUTE(PROPER(A17),"_"," ")</f>
        <v>Signal Type</v>
      </c>
      <c r="D17" s="31" t="str">
        <f>LOWER(LEFT(B17,1))&amp;RIGHT(B17,LEN(B17) - 1)</f>
        <v>signalType</v>
      </c>
      <c r="E17" s="72" t="str">
        <f>A.Backend!H11</f>
        <v>string</v>
      </c>
      <c r="F17" s="72" t="str">
        <f>A.Backend!G11</f>
        <v>20</v>
      </c>
      <c r="G17" s="31" t="str">
        <f t="shared" si="3"/>
        <v xml:space="preserve"> : string = '' ; </v>
      </c>
      <c r="H17" s="38" t="str">
        <f t="shared" si="4"/>
        <v xml:space="preserve">			{headerName: this.l('Signal Type'),headerTooltip: this.l('Signal Type'),field: 'signalType',flex: 1},</v>
      </c>
      <c r="I17" s="38" t="str">
        <f t="shared" si="5"/>
        <v xml:space="preserve">								&lt;div class='input-search'&gt;
									&lt;input [(ngModel)]='signalType' name='signalType'
									class='form-control' [placeholder]="l('Signal Type')"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title'&gt;Signal Type&lt;/label&gt;
						&lt;input type='text' class='col-md-10 form-control input-text' name='SignalType' [(ngModel)]='rowdata.signalType'&gt;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si="8"/>
        <v xml:space="preserve">	signalType : string = '' ; </v>
      </c>
      <c r="T17" s="31" t="str">
        <f t="shared" si="9"/>
        <v xml:space="preserve">			this.signalType,</v>
      </c>
      <c r="U17" s="31" t="str">
        <f t="shared" si="10"/>
        <v xml:space="preserve">		this.signalType = '',</v>
      </c>
      <c r="V17" s="31" t="str">
        <f t="shared" si="11"/>
        <v/>
      </c>
    </row>
    <row r="18" spans="1:22" ht="18" customHeight="1" x14ac:dyDescent="0.25">
      <c r="A18" s="44" t="s">
        <v>275</v>
      </c>
      <c r="B18" s="31" t="str">
        <f t="shared" ref="B18" si="12">SUBSTITUTE(PROPER(A18),"_","")</f>
        <v>Process</v>
      </c>
      <c r="C18" s="31" t="str">
        <f t="shared" ref="C18" si="13">SUBSTITUTE(PROPER(A18),"_"," ")</f>
        <v>Process</v>
      </c>
      <c r="D18" s="31" t="str">
        <f t="shared" ref="D18" si="14">LOWER(LEFT(B18,1))&amp;RIGHT(B18,LEN(B18) - 1)</f>
        <v>process</v>
      </c>
      <c r="E18" s="72" t="str">
        <f>A.Backend!H12</f>
        <v>string</v>
      </c>
      <c r="F18" s="72" t="str">
        <f>A.Backend!G12</f>
        <v>20</v>
      </c>
      <c r="G18" s="31" t="str">
        <f t="shared" ref="G18:G20" si="15">IF(E18="string"," : string = '' ; ",IF(OR(E18="DateTime",E18="TimeSpan")," : any ;",IF(E18="int"," : number = 0 ;","")))</f>
        <v xml:space="preserve"> : string = '' ; </v>
      </c>
      <c r="H18" s="38" t="str">
        <f t="shared" ref="H18:H20" si="16">IF(E18="DateTime",
REPT(CHAR(9),3)&amp;"{headerName: this.l('"&amp;C18&amp;"'),headerTooltip: this.l('"&amp;C18&amp;"'),field: '"&amp;D18&amp;"',valueGetter: (params) =&gt; this.pipe.transform(params.data?."&amp;D18&amp;", 'dd/MM/yyyy'),flex: 1},",
REPT(CHAR(9),3)&amp;"{headerName: this.l('"&amp;C18&amp;"'),headerTooltip: this.l('"&amp;C18&amp;"'),field: '"&amp;D18&amp;"',flex: 1},")</f>
        <v xml:space="preserve">			{headerName: this.l('Process'),headerTooltip: this.l('Process'),field: 'process',flex: 1},</v>
      </c>
      <c r="I18" s="38" t="str">
        <f t="shared" ref="I18:I20" si="17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[(ngModel)]='process' name='process'
									class='form-control' [placeholder]="l('Process')"
									type='text' (keyup.enter)='searchDatas()'&gt;
								&lt;/div&gt;</v>
      </c>
      <c r="J18" s="31"/>
      <c r="K18" s="38" t="str">
        <f t="shared" ref="K18:K20" si="18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"&amp;REPT(CHAR(9),6)&amp;"&lt;input class='col-md-10 form-control checkboxActive' type='checkbox' name='"&amp;D18&amp;"'
"&amp;REPT(CHAR(9),6)&amp;"[checked]='_"&amp;D18&amp;"' (change)='changeActive($event)'&gt;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title'&gt;Process&lt;/label&gt;
						&lt;input type='text' class='col-md-10 form-control input-text' name='Process' [(ngModel)]='rowdata.process'&gt;
					&lt;/div&gt;</v>
      </c>
      <c r="L18" s="60" t="str">
        <f t="shared" ref="L18:L20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ref="S18:S20" si="20">REPT(CHAR(9),1)&amp;D18&amp;G18</f>
        <v xml:space="preserve">	process : string = '' ; </v>
      </c>
      <c r="T18" s="31" t="str">
        <f t="shared" ref="T18:T20" si="21">REPT(CHAR(9),3)&amp;"this."&amp;D18&amp;","</f>
        <v xml:space="preserve">			this.process,</v>
      </c>
      <c r="U18" s="31" t="str">
        <f t="shared" ref="U18:U20" si="22">IF(E18="int",REPT(CHAR(9),2)&amp;"this."&amp;D18&amp;" = 0,",REPT(CHAR(9),2)&amp;"this."&amp;D18&amp;" = '',")</f>
        <v xml:space="preserve">		this.process = '',</v>
      </c>
      <c r="V18" s="31" t="str">
        <f t="shared" ref="V18:V20" si="23">IF(AND(E18="string",F18="1"),D18,"")</f>
        <v/>
      </c>
    </row>
    <row r="19" spans="1:22" ht="18" customHeight="1" x14ac:dyDescent="0.25">
      <c r="A19" s="44" t="s">
        <v>277</v>
      </c>
      <c r="B19" s="31" t="str">
        <f>SUBSTITUTE(PROPER(A19),"_","")</f>
        <v>SignalType</v>
      </c>
      <c r="C19" s="31" t="str">
        <f>SUBSTITUTE(PROPER(A19),"_"," ")</f>
        <v>Signal Type</v>
      </c>
      <c r="D19" s="31" t="str">
        <f>LOWER(LEFT(B19,1))&amp;RIGHT(B19,LEN(B19) - 1)</f>
        <v>signalType</v>
      </c>
      <c r="E19" s="72" t="str">
        <f>A.Backend!H13</f>
        <v>DateTime</v>
      </c>
      <c r="F19" s="72" t="str">
        <f>A.Backend!G13</f>
        <v>7</v>
      </c>
      <c r="G19" s="31" t="str">
        <f t="shared" si="15"/>
        <v xml:space="preserve"> : any ;</v>
      </c>
      <c r="H19" s="38" t="str">
        <f t="shared" si="16"/>
        <v xml:space="preserve">			{headerName: this.l('Signal Type'),headerTooltip: this.l('Signal Type'),field: 'signalType',valueGetter: (params) =&gt; this.pipe.transform(params.data?.signalType, 'dd/MM/yyyy'),flex: 1},</v>
      </c>
      <c r="I19" s="38" t="str">
        <f t="shared" si="17"/>
        <v xml:space="preserve">								&lt;div class='input-search'&gt;
									&lt;input type='text' [placeholder]="l('Signal Type')" [(ngModel)]='signalType' 
									name='signalType' (keydown)='searchDatas()' class='form-control' 
									bsDatepicker #d='bsDatepicker' placement='bottom left'&gt;
									&lt;i class='fa fa-calendar-alt' (click)='d.toggle()'&gt;&lt;/i&gt;
								&lt;/div&gt;</v>
      </c>
      <c r="J19" s="31"/>
      <c r="K19" s="38" t="str">
        <f t="shared" si="18"/>
        <v xml:space="preserve">					&lt;div class='col-md-12 form-group row'&gt;
						&lt;label class='col-md-2 form-control title'&gt;Signal Type&lt;/label&gt;
						&lt;input type='text' class='col-md-10 form-control input-text' name='signalType' 
						#datepicker='bsDatepicker' [(ngModel)]='rowdata.signalType'  bsDatepicker &gt;
					&lt;/div&gt;</v>
      </c>
      <c r="L19" s="60" t="str">
        <f t="shared" si="19"/>
        <v xml:space="preserve">		const dateValue =  this.rowdata.signalType ? new Date(this.rowdata.signalType?.toString()) : new Date();
		this.datepicker?.bsValueChange.emit(dateValue);</v>
      </c>
      <c r="M19" s="31"/>
      <c r="N19" s="31"/>
      <c r="O19" s="31"/>
      <c r="P19" s="31"/>
      <c r="Q19" s="31"/>
      <c r="R19" s="31"/>
      <c r="S19" s="31" t="str">
        <f t="shared" si="20"/>
        <v xml:space="preserve">	signalType : any ;</v>
      </c>
      <c r="T19" s="31" t="str">
        <f t="shared" si="21"/>
        <v xml:space="preserve">			this.signalType,</v>
      </c>
      <c r="U19" s="31" t="str">
        <f t="shared" si="22"/>
        <v xml:space="preserve">		this.signalType = '',</v>
      </c>
      <c r="V19" s="31" t="str">
        <f t="shared" si="23"/>
        <v/>
      </c>
    </row>
    <row r="20" spans="1:22" ht="15" customHeight="1" x14ac:dyDescent="0.25">
      <c r="A20" s="44" t="s">
        <v>278</v>
      </c>
      <c r="B20" s="31" t="str">
        <f t="shared" ref="B20" si="24">SUBSTITUTE(PROPER(A20),"_","")</f>
        <v>IsActive</v>
      </c>
      <c r="C20" s="31" t="str">
        <f t="shared" ref="C20" si="25">SUBSTITUTE(PROPER(A20),"_"," ")</f>
        <v>Is Active</v>
      </c>
      <c r="D20" s="31" t="str">
        <f t="shared" ref="D20" si="26">LOWER(LEFT(B20,1))&amp;RIGHT(B20,LEN(B20) - 1)</f>
        <v>isActive</v>
      </c>
      <c r="E20" s="72" t="str">
        <f>A.Backend!H14</f>
        <v>string</v>
      </c>
      <c r="F20" s="72" t="str">
        <f>A.Backend!G14</f>
        <v>1</v>
      </c>
      <c r="G20" s="31" t="str">
        <f t="shared" si="15"/>
        <v xml:space="preserve"> : string = '' ; </v>
      </c>
      <c r="H20" s="38" t="str">
        <f t="shared" si="16"/>
        <v xml:space="preserve">			{headerName: this.l('Is Active'),headerTooltip: this.l('Is Active'),field: 'isActive',flex: 1},</v>
      </c>
      <c r="I20" s="38" t="str">
        <f t="shared" si="17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0" s="31"/>
      <c r="K20" s="38" t="str">
        <f t="shared" si="18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20" s="60" t="str">
        <f t="shared" si="19"/>
        <v/>
      </c>
      <c r="M20" s="31"/>
      <c r="N20" s="31"/>
      <c r="O20" s="31"/>
      <c r="P20" s="31"/>
      <c r="Q20" s="31"/>
      <c r="R20" s="31"/>
      <c r="S20" s="31" t="str">
        <f t="shared" si="20"/>
        <v xml:space="preserve">	isActive : string = '' ; </v>
      </c>
      <c r="T20" s="31" t="str">
        <f t="shared" si="21"/>
        <v xml:space="preserve">			this.isActive,</v>
      </c>
      <c r="U20" s="31" t="str">
        <f t="shared" si="22"/>
        <v xml:space="preserve">		this.isActive = '',</v>
      </c>
      <c r="V20" s="31" t="str">
        <f t="shared" si="23"/>
        <v>isActive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270</v>
      </c>
      <c r="B20" t="s">
        <v>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2022-06-11T08:46:21Z</dcterms:modified>
</cp:coreProperties>
</file>
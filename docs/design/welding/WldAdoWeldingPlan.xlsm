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welding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V25" i="5" s="1"/>
  <c r="E26" i="5"/>
  <c r="F26" i="5"/>
  <c r="E27" i="5"/>
  <c r="F27" i="5"/>
  <c r="V27" i="5" s="1"/>
  <c r="E28" i="5"/>
  <c r="F28" i="5"/>
  <c r="E29" i="5"/>
  <c r="F29" i="5"/>
  <c r="V29" i="5" s="1"/>
  <c r="E30" i="5"/>
  <c r="F30" i="5"/>
  <c r="G25" i="5"/>
  <c r="C25" i="5"/>
  <c r="B25" i="5"/>
  <c r="D25" i="5" s="1"/>
  <c r="L25" i="5" s="1"/>
  <c r="C29" i="5"/>
  <c r="B29" i="5"/>
  <c r="D29" i="5" s="1"/>
  <c r="K28" i="5"/>
  <c r="I28" i="5"/>
  <c r="C28" i="5"/>
  <c r="B28" i="5"/>
  <c r="D28" i="5" s="1"/>
  <c r="G27" i="5"/>
  <c r="C27" i="5"/>
  <c r="B27" i="5"/>
  <c r="D27" i="5" s="1"/>
  <c r="L27" i="5" s="1"/>
  <c r="C26" i="5"/>
  <c r="B26" i="5"/>
  <c r="D26" i="5" s="1"/>
  <c r="L23" i="1"/>
  <c r="G23" i="1"/>
  <c r="E23" i="1"/>
  <c r="H23" i="1" s="1"/>
  <c r="D23" i="1"/>
  <c r="V23" i="1" s="1"/>
  <c r="U25" i="5" l="1"/>
  <c r="H25" i="5"/>
  <c r="U27" i="5"/>
  <c r="I26" i="5"/>
  <c r="S25" i="5"/>
  <c r="H29" i="5"/>
  <c r="I25" i="5"/>
  <c r="T25" i="5"/>
  <c r="K25" i="5"/>
  <c r="T28" i="5"/>
  <c r="U28" i="5"/>
  <c r="T26" i="5"/>
  <c r="K26" i="5"/>
  <c r="U26" i="5"/>
  <c r="H27" i="5"/>
  <c r="S27" i="5"/>
  <c r="G26" i="5"/>
  <c r="S26" i="5" s="1"/>
  <c r="L26" i="5"/>
  <c r="V26" i="5"/>
  <c r="I27" i="5"/>
  <c r="T27" i="5"/>
  <c r="G28" i="5"/>
  <c r="S28" i="5" s="1"/>
  <c r="L28" i="5"/>
  <c r="V28" i="5"/>
  <c r="I29" i="5"/>
  <c r="T29" i="5"/>
  <c r="H26" i="5"/>
  <c r="K27" i="5"/>
  <c r="H28" i="5"/>
  <c r="K29" i="5"/>
  <c r="U29" i="5"/>
  <c r="G29" i="5"/>
  <c r="S29" i="5" s="1"/>
  <c r="L29" i="5"/>
  <c r="W23" i="1"/>
  <c r="O23" i="1"/>
  <c r="J23" i="1"/>
  <c r="N23" i="1"/>
  <c r="M23" i="1"/>
  <c r="I23" i="1"/>
  <c r="P23" i="1"/>
  <c r="T23" i="1"/>
  <c r="L24" i="1" l="1"/>
  <c r="G24" i="1"/>
  <c r="E24" i="1"/>
  <c r="H24" i="1" s="1"/>
  <c r="W24" i="1" s="1"/>
  <c r="D24" i="1"/>
  <c r="V24" i="1" s="1"/>
  <c r="L22" i="1"/>
  <c r="G22" i="1"/>
  <c r="E22" i="1"/>
  <c r="H22" i="1" s="1"/>
  <c r="D22" i="1"/>
  <c r="V22" i="1" s="1"/>
  <c r="L21" i="1"/>
  <c r="G21" i="1"/>
  <c r="E21" i="1"/>
  <c r="H21" i="1" s="1"/>
  <c r="M21" i="1" s="1"/>
  <c r="D21" i="1"/>
  <c r="V21" i="1" s="1"/>
  <c r="G20" i="1"/>
  <c r="E20" i="1"/>
  <c r="H20" i="1" s="1"/>
  <c r="D20" i="1"/>
  <c r="V20" i="1" s="1"/>
  <c r="L19" i="1"/>
  <c r="G19" i="1"/>
  <c r="E19" i="1"/>
  <c r="H19" i="1" s="1"/>
  <c r="D19" i="1"/>
  <c r="T19" i="1" s="1"/>
  <c r="T21" i="1" l="1"/>
  <c r="P24" i="1"/>
  <c r="T24" i="1"/>
  <c r="P21" i="1"/>
  <c r="W22" i="1"/>
  <c r="O22" i="1"/>
  <c r="J22" i="1"/>
  <c r="N22" i="1"/>
  <c r="I22" i="1"/>
  <c r="M22" i="1"/>
  <c r="N20" i="1"/>
  <c r="I20" i="1"/>
  <c r="M20" i="1"/>
  <c r="W20" i="1"/>
  <c r="O20" i="1"/>
  <c r="J20" i="1"/>
  <c r="M24" i="1"/>
  <c r="L20" i="1"/>
  <c r="P20" i="1"/>
  <c r="I21" i="1"/>
  <c r="N21" i="1"/>
  <c r="P22" i="1"/>
  <c r="I24" i="1"/>
  <c r="N24" i="1"/>
  <c r="T20" i="1"/>
  <c r="J21" i="1"/>
  <c r="O21" i="1"/>
  <c r="W21" i="1"/>
  <c r="T22" i="1"/>
  <c r="J24" i="1"/>
  <c r="O24" i="1"/>
  <c r="W19" i="1"/>
  <c r="O19" i="1"/>
  <c r="J19" i="1"/>
  <c r="N19" i="1"/>
  <c r="M19" i="1"/>
  <c r="I19" i="1"/>
  <c r="V19" i="1"/>
  <c r="P19" i="1"/>
  <c r="C21" i="5" l="1"/>
  <c r="L18" i="1"/>
  <c r="G18" i="1"/>
  <c r="E18" i="1"/>
  <c r="H18" i="1" s="1"/>
  <c r="D18" i="1"/>
  <c r="V18" i="1" s="1"/>
  <c r="L17" i="1"/>
  <c r="G17" i="1"/>
  <c r="E17" i="1"/>
  <c r="H17" i="1" s="1"/>
  <c r="D17" i="1"/>
  <c r="T17" i="1" s="1"/>
  <c r="G16" i="1"/>
  <c r="E16" i="1"/>
  <c r="H16" i="1" s="1"/>
  <c r="D16" i="1"/>
  <c r="V16" i="1" s="1"/>
  <c r="G15" i="1"/>
  <c r="E15" i="1"/>
  <c r="H15" i="1" s="1"/>
  <c r="V21" i="5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G12" i="1"/>
  <c r="E12" i="1"/>
  <c r="H12" i="1" s="1"/>
  <c r="D12" i="1"/>
  <c r="V12" i="1" s="1"/>
  <c r="L11" i="1"/>
  <c r="G11" i="1"/>
  <c r="E11" i="1"/>
  <c r="H11" i="1" s="1"/>
  <c r="D11" i="1"/>
  <c r="T11" i="1" s="1"/>
  <c r="L10" i="1"/>
  <c r="G10" i="1"/>
  <c r="E10" i="1"/>
  <c r="H10" i="1" s="1"/>
  <c r="D10" i="1"/>
  <c r="V10" i="1" s="1"/>
  <c r="B18" i="5"/>
  <c r="D18" i="5" s="1"/>
  <c r="B17" i="5"/>
  <c r="D17" i="5" s="1"/>
  <c r="I16" i="5"/>
  <c r="C16" i="5"/>
  <c r="B24" i="5"/>
  <c r="D24" i="5" s="1"/>
  <c r="C23" i="5"/>
  <c r="B22" i="5"/>
  <c r="D22" i="5" s="1"/>
  <c r="C20" i="5"/>
  <c r="B19" i="5"/>
  <c r="D19" i="5" s="1"/>
  <c r="C15" i="5"/>
  <c r="M13" i="1" l="1"/>
  <c r="M17" i="1"/>
  <c r="I23" i="5"/>
  <c r="I21" i="5"/>
  <c r="B21" i="5"/>
  <c r="D21" i="5" s="1"/>
  <c r="K21" i="5"/>
  <c r="G21" i="5"/>
  <c r="L21" i="5"/>
  <c r="M11" i="1"/>
  <c r="M15" i="1"/>
  <c r="P12" i="1"/>
  <c r="P16" i="1"/>
  <c r="P14" i="1"/>
  <c r="P18" i="1"/>
  <c r="P10" i="1"/>
  <c r="W16" i="1"/>
  <c r="O16" i="1"/>
  <c r="J16" i="1"/>
  <c r="N16" i="1"/>
  <c r="I16" i="1"/>
  <c r="M16" i="1"/>
  <c r="W14" i="1"/>
  <c r="O14" i="1"/>
  <c r="J14" i="1"/>
  <c r="N14" i="1"/>
  <c r="I14" i="1"/>
  <c r="M14" i="1"/>
  <c r="W18" i="1"/>
  <c r="O18" i="1"/>
  <c r="J18" i="1"/>
  <c r="N18" i="1"/>
  <c r="I18" i="1"/>
  <c r="M18" i="1"/>
  <c r="W12" i="1"/>
  <c r="O12" i="1"/>
  <c r="I12" i="1"/>
  <c r="M12" i="1"/>
  <c r="N13" i="1"/>
  <c r="V13" i="1"/>
  <c r="B23" i="5"/>
  <c r="D23" i="5" s="1"/>
  <c r="T12" i="1"/>
  <c r="J13" i="1"/>
  <c r="O13" i="1"/>
  <c r="W13" i="1"/>
  <c r="T14" i="1"/>
  <c r="J15" i="1"/>
  <c r="O15" i="1"/>
  <c r="W15" i="1"/>
  <c r="T16" i="1"/>
  <c r="J17" i="1"/>
  <c r="O17" i="1"/>
  <c r="W17" i="1"/>
  <c r="T18" i="1"/>
  <c r="I17" i="1"/>
  <c r="P13" i="1"/>
  <c r="P15" i="1"/>
  <c r="P17" i="1"/>
  <c r="I13" i="1"/>
  <c r="I15" i="1"/>
  <c r="N15" i="1"/>
  <c r="V15" i="1"/>
  <c r="N17" i="1"/>
  <c r="V17" i="1"/>
  <c r="V20" i="5"/>
  <c r="C18" i="5"/>
  <c r="W10" i="1"/>
  <c r="O10" i="1"/>
  <c r="I10" i="1"/>
  <c r="M10" i="1"/>
  <c r="I11" i="1"/>
  <c r="V11" i="1"/>
  <c r="T10" i="1"/>
  <c r="O11" i="1"/>
  <c r="W11" i="1"/>
  <c r="P11" i="1"/>
  <c r="V24" i="5"/>
  <c r="U17" i="5"/>
  <c r="T17" i="5"/>
  <c r="T18" i="5"/>
  <c r="B15" i="5"/>
  <c r="D15" i="5" s="1"/>
  <c r="T15" i="5" s="1"/>
  <c r="B16" i="5"/>
  <c r="D16" i="5" s="1"/>
  <c r="H16" i="5" s="1"/>
  <c r="K16" i="5"/>
  <c r="C17" i="5"/>
  <c r="H17" i="5" s="1"/>
  <c r="G17" i="5"/>
  <c r="S17" i="5" s="1"/>
  <c r="L17" i="5"/>
  <c r="V17" i="5"/>
  <c r="V19" i="5"/>
  <c r="G16" i="5"/>
  <c r="L16" i="5"/>
  <c r="V16" i="5"/>
  <c r="I17" i="5"/>
  <c r="C24" i="5"/>
  <c r="H24" i="5" s="1"/>
  <c r="K17" i="5"/>
  <c r="G19" i="5"/>
  <c r="S19" i="5" s="1"/>
  <c r="L24" i="5"/>
  <c r="C19" i="5"/>
  <c r="H19" i="5" s="1"/>
  <c r="L19" i="5"/>
  <c r="G24" i="5"/>
  <c r="S24" i="5" s="1"/>
  <c r="T19" i="5"/>
  <c r="U19" i="5"/>
  <c r="T22" i="5"/>
  <c r="T24" i="5"/>
  <c r="U24" i="5"/>
  <c r="I19" i="5"/>
  <c r="B20" i="5"/>
  <c r="D20" i="5" s="1"/>
  <c r="H20" i="5" s="1"/>
  <c r="K20" i="5"/>
  <c r="C22" i="5"/>
  <c r="I24" i="5"/>
  <c r="I20" i="5"/>
  <c r="K19" i="5"/>
  <c r="G20" i="5"/>
  <c r="L20" i="5"/>
  <c r="K24" i="5"/>
  <c r="U23" i="5" l="1"/>
  <c r="V23" i="5"/>
  <c r="K23" i="5"/>
  <c r="G23" i="5"/>
  <c r="L23" i="5"/>
  <c r="T23" i="5"/>
  <c r="T21" i="5"/>
  <c r="S21" i="5"/>
  <c r="U21" i="5"/>
  <c r="H21" i="5"/>
  <c r="H23" i="5"/>
  <c r="S23" i="5"/>
  <c r="U16" i="5"/>
  <c r="T16" i="5"/>
  <c r="S16" i="5"/>
  <c r="T20" i="5"/>
  <c r="S20" i="5"/>
  <c r="U20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22" i="5" l="1"/>
  <c r="L22" i="5"/>
  <c r="G22" i="5"/>
  <c r="S22" i="5" s="1"/>
  <c r="U22" i="5"/>
  <c r="H22" i="5"/>
  <c r="R10" i="5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6" i="1"/>
  <c r="N3" i="1" l="1"/>
  <c r="M3" i="1"/>
  <c r="O3" i="1"/>
  <c r="C30" i="5" l="1"/>
  <c r="B30" i="5"/>
  <c r="D30" i="5" s="1"/>
  <c r="T12" i="5" l="1"/>
  <c r="H12" i="5"/>
  <c r="I12" i="5"/>
  <c r="K12" i="5"/>
  <c r="U12" i="5"/>
  <c r="L12" i="5"/>
  <c r="V12" i="5"/>
  <c r="S12" i="5"/>
  <c r="T30" i="5"/>
  <c r="R3" i="1" l="1"/>
  <c r="D1" i="1"/>
  <c r="F6" i="1"/>
  <c r="T13" i="5"/>
  <c r="G9" i="1" l="1"/>
  <c r="F15" i="5" s="1"/>
  <c r="E9" i="1"/>
  <c r="H9" i="1" s="1"/>
  <c r="E15" i="5" s="1"/>
  <c r="P9" i="1"/>
  <c r="T26" i="1"/>
  <c r="O9" i="1" l="1"/>
  <c r="M9" i="1"/>
  <c r="K30" i="5"/>
  <c r="W9" i="1"/>
  <c r="T7" i="1"/>
  <c r="I9" i="1"/>
  <c r="W26" i="1"/>
  <c r="G30" i="5" l="1"/>
  <c r="S30" i="5" s="1"/>
  <c r="I30" i="5"/>
  <c r="L30" i="5"/>
  <c r="V30" i="5"/>
  <c r="H30" i="5"/>
  <c r="U30" i="5"/>
  <c r="G6" i="1"/>
  <c r="K22" i="5" l="1"/>
  <c r="V22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8" i="5" l="1"/>
  <c r="L18" i="5"/>
  <c r="G18" i="5"/>
  <c r="S18" i="5" s="1"/>
  <c r="U18" i="5"/>
  <c r="K18" i="5"/>
  <c r="V18" i="5"/>
  <c r="H18" i="5"/>
  <c r="I15" i="5"/>
  <c r="U15" i="5"/>
  <c r="H15" i="5"/>
  <c r="V15" i="5"/>
  <c r="G15" i="5"/>
  <c r="S15" i="5" s="1"/>
  <c r="L15" i="5"/>
  <c r="K15" i="5"/>
  <c r="I3" i="1"/>
  <c r="B7" i="1"/>
  <c r="L15" i="1" s="1"/>
  <c r="U13" i="5"/>
  <c r="V13" i="5"/>
  <c r="K13" i="5"/>
  <c r="L13" i="5"/>
  <c r="S13" i="5"/>
  <c r="I13" i="5"/>
  <c r="H13" i="5"/>
  <c r="L12" i="1" l="1"/>
  <c r="L16" i="1"/>
  <c r="N10" i="1"/>
  <c r="N11" i="1"/>
  <c r="N12" i="1"/>
  <c r="J11" i="1"/>
  <c r="J12" i="1"/>
  <c r="J10" i="1"/>
  <c r="N9" i="1"/>
  <c r="I10" i="5"/>
  <c r="D45" i="3" s="1"/>
  <c r="K10" i="5"/>
  <c r="F45" i="3" s="1"/>
  <c r="H10" i="5"/>
  <c r="C45" i="3" s="1"/>
  <c r="L10" i="5"/>
  <c r="G45" i="3" s="1"/>
  <c r="L9" i="1"/>
  <c r="J9" i="1"/>
  <c r="C7" i="1"/>
  <c r="O26" i="1"/>
  <c r="J26" i="1"/>
  <c r="N26" i="1"/>
  <c r="I26" i="1"/>
  <c r="P26" i="1"/>
  <c r="Q7" i="1" l="1"/>
  <c r="M38" i="3" s="1"/>
  <c r="L7" i="1"/>
  <c r="G38" i="3" s="1"/>
  <c r="K38" i="3"/>
  <c r="J38" i="3"/>
  <c r="M26" i="1"/>
  <c r="K2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<sst xmlns="http://schemas.openxmlformats.org/spreadsheetml/2006/main" count="400" uniqueCount="296">
  <si>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</si>
  <si>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</si>
  <si>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</si>
  <si>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</si>
  <si>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</si>
  <si>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</si>
  <si>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</si>
  <si>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</si>
  <si>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</si>
  <si>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</si>
  <si>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</si>
  <si>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</si>
  <si>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</si>
  <si>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</si>
  <si>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</si>
  <si>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</si>
  <si>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</si>
  <si>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</si>
  <si>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</si>
  <si>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</si>
  <si>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</si>
  <si>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</si>
  <si>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</si>
  <si>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</si>
  <si>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</si>
  <si>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</si>
  <si>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</si>
  <si>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</si>
  <si>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</si>
  <si>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</si>
  <si>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</si>
  <si>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</si>
  <si>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</si>
  <si>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</si>
  <si>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</si>
  <si>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</si>
  <si>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</si>
  <si>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</si>
  <si>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</si>
  <si>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</si>
  <si>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</si>
  <si>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</si>
  <si>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</si>
  <si>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</si>
  <si>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</si>
  <si>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</si>
  <si>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</si>
  <si>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</si>
  <si>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</si>
  <si>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</si>
  <si>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</si>
  <si>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</si>
  <si>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</si>
  <si>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</si>
  <si>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</si>
  <si>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</si>
  <si>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</si>
  <si>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</si>
  <si>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</si>
  <si>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</si>
  <si>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</si>
  <si>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</si>
  <si>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</si>
  <si>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</si>
  <si>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</si>
  <si>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</si>
  <si>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</si>
  <si>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</si>
  <si>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</si>
  <si>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</si>
  <si>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</si>
  <si>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</si>
  <si>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</si>
  <si>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</si>
  <si>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</si>
  <si>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</si>
  <si>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</si>
  <si>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</si>
  <si>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</si>
  <si>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</si>
  <si>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</si>
  <si>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</si>
  <si>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</si>
  <si>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</si>
  <si>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</si>
  <si>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</si>
  <si>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</si>
  <si>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</si>
  <si>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</si>
  <si>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</si>
  <si>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</si>
  <si>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</si>
  <si>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</si>
  <si>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</si>
  <si>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</si>
  <si>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</si>
  <si>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</si>
  <si>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</si>
  <si>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</si>
  <si>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</si>
  <si>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</si>
  <si>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</si>
  <si>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</si>
  <si>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</si>
  <si>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</si>
  <si>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</si>
  <si>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</si>
  <si>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</si>
  <si>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</si>
  <si>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</si>
  <si>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</si>
  <si>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</si>
  <si>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</si>
  <si>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</si>
  <si>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</si>
  <si>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</si>
  <si>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</si>
  <si>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</si>
  <si>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</si>
  <si>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</si>
  <si>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</si>
  <si>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</si>
  <si>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</si>
  <si>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</si>
  <si>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</si>
  <si>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</si>
  <si>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</si>
  <si>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</si>
  <si>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</si>
  <si>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</si>
  <si>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</si>
  <si>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</si>
  <si>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</si>
  <si>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</si>
  <si>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</si>
  <si>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</si>
  <si>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</si>
  <si>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</si>
  <si>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</si>
  <si>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</si>
  <si>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</si>
  <si>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</si>
  <si>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</si>
  <si>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</si>
  <si>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</si>
  <si>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</si>
  <si>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</si>
  <si>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</si>
  <si>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</si>
  <si>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</si>
  <si>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</si>
  <si>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</si>
  <si>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</si>
  <si>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</si>
  <si>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</si>
  <si>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</si>
  <si>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</si>
  <si>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</si>
  <si>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</si>
  <si>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</si>
  <si>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</si>
  <si>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</si>
  <si>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</si>
  <si>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</si>
  <si>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</si>
  <si>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</si>
  <si>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</si>
  <si>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</si>
  <si>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</si>
  <si>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</si>
  <si>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</si>
  <si>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</si>
  <si>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</si>
  <si>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</si>
  <si>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</si>
  <si>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</si>
  <si>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</si>
  <si>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</si>
  <si>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</si>
  <si>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</si>
  <si>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</si>
  <si>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</si>
  <si>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</si>
  <si>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</si>
  <si>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</si>
  <si>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</si>
  <si>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</si>
  <si>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</si>
  <si>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</si>
  <si>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</si>
  <si>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</si>
  <si>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</si>
  <si>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</si>
  <si>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</si>
  <si>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</si>
  <si>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</si>
  <si>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</si>
  <si>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</si>
  <si>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</si>
  <si>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</si>
  <si>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</si>
  <si>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</si>
  <si>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</si>
  <si>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</si>
  <si>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</si>
  <si>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</si>
  <si>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</si>
  <si>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</si>
  <si>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</si>
  <si>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</si>
  <si>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</si>
  <si>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</si>
  <si>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</si>
  <si>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</si>
  <si>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</si>
  <si>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</si>
  <si>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</si>
  <si>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</si>
  <si>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</si>
  <si>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</si>
  <si>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</si>
  <si>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</si>
  <si>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</si>
  <si>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</si>
  <si>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</si>
  <si>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</si>
  <si>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</si>
  <si>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</si>
  <si>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</si>
  <si>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</si>
  <si>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</si>
  <si>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</si>
  <si>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</si>
  <si>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</si>
  <si>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</si>
  <si>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</si>
  <si>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</si>
  <si>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</si>
  <si>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</si>
  <si>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</si>
  <si>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</si>
  <si>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</si>
  <si>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</si>
  <si>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</si>
  <si>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</si>
  <si>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</si>
  <si>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</si>
  <si>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</si>
  <si>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</si>
  <si>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</si>
  <si>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</si>
  <si>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</si>
  <si>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</si>
  <si>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</si>
  <si>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</si>
  <si>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</si>
  <si>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</si>
  <si>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</si>
  <si>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</si>
  <si>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</si>
  <si>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</si>
  <si>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</si>
  <si>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</si>
  <si>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</si>
  <si>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</si>
  <si>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</si>
  <si>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</si>
  <si>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</si>
  <si>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</si>
  <si>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</si>
  <si>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</si>
  <si>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</si>
  <si>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</si>
  <si>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</si>
  <si>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nvarchar(20)</t>
  </si>
  <si>
    <t>LOT_NO</t>
  </si>
  <si>
    <t>nvarchar(10)</t>
  </si>
  <si>
    <t>NO_IN_LOT</t>
  </si>
  <si>
    <t>BODY_NO</t>
  </si>
  <si>
    <t>COLOR</t>
  </si>
  <si>
    <t>PLAN_TIME</t>
  </si>
  <si>
    <t>REQUEST_DATE</t>
  </si>
  <si>
    <t>SHIFT</t>
  </si>
  <si>
    <t>W_IN_DATE</t>
  </si>
  <si>
    <t>W_OUT_DATE</t>
  </si>
  <si>
    <t>ED_IN</t>
  </si>
  <si>
    <t>Welding.Andon</t>
  </si>
  <si>
    <t>WldAdoWeldingPlan</t>
  </si>
  <si>
    <t>WeldingPlan</t>
  </si>
  <si>
    <t>Welding Andon Welding Plan</t>
  </si>
  <si>
    <t>VEHICLE_ID</t>
  </si>
  <si>
    <t>CFC</t>
  </si>
  <si>
    <t>varchar(4)</t>
  </si>
  <si>
    <t>ASSEMBLY_ID</t>
  </si>
  <si>
    <t>T_IN_PLAN_DATETIME</t>
  </si>
  <si>
    <t>WELDING_ID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</si>
</sst>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5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36" workbookViewId="0">
      <selection activeCell="F18" sqref="F1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235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235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232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228</v>
      </c>
    </row>
    <row r="38" spans="1:14" s="16" customFormat="1" ht="21.75" customHeight="1" thickBot="1" x14ac:dyDescent="0.3">
      <c r="B38" s="52" t="s">
        <v>227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[Table("WldAdoWeldingPlan")]
	[Index(nameof(Model), Name="IX_WldAdoWeldingPlan_Model")]
	[Index(nameof(RequestDate), Name="IX_WldAdoWeldingPlan_RequestDate")]
	[Index(nameof(VehicleId), Name="IX_WldAdoWeldingPlan_VehicleId")]
	[Index(nameof(WeldingId), Name="IX_WldAdoWeldingPlan_WeldingId")]
	[Index(nameof(AssemblyId), Name="IX_WldAdoWeldingPlan_AssemblyId")]	public class WldAdoWeldingPlan: FullAuditedEntity&lt;long&gt;, IEntity&lt;long&gt;	
	{
		public const int MaxModelLength = 20;
		public const int MaxLotNoLength = 10;
		public const int MaxBodyNoLength = 10;
		public const int MaxColorLength = 20;
		public const int MaxPlanTimeLength = 10;
		public const int MaxShiftLength = 20;
		public const int MaxCfcLength = 4;
		[Required]
		[StringLength(MaxModelLength)]
		public virtual string Model { get; set; }
		[Required]
		[StringLength(MaxLotNoLength)]
		public virtual string LotNo { get; set; }
		[Required]
		public virtual int NoInLot { get; set; }
		[Required]
		[StringLength(MaxBodyNoLength)]
		public virtual string BodyNo { get; set; }
		[StringLength(MaxColorLength)]
		public virtual string Color { get; set; }
		[StringLength(MaxPlanTimeLength)]
		public virtual string PlanTime { get; set; }
		[Column(TypeName="date")]
		public virtual DateTime RequestDate { get; set; }
		[StringLength(MaxShiftLength)]
		public virtual string Shift { get; set; }
		[Column(TypeName="datetime2(7)")]
		public virtual DateTime WInDate { get; set; }
		[Column(TypeName="datetime2(7)")]
		public virtual DateTime WOutDate { get; set; }
		[Column(TypeName="datetime2(7)")]
		public virtual DateTime EdIn { get; set; }
		[Column(TypeName="datetime2(7)")]
		public virtual DateTime TInPlanDatetime { get; set; }
		public virtual long VehicleId { get; set; }
		[StringLength(MaxCfcLength)]
		public virtual string Cfc { get; set; }
		public virtual long WeldingId { get; set; }
		public virtual long AssemblyId { get; set; }
	}
}
</v>
      </c>
      <c r="D38" s="51" t="str">
        <f>A.Backend!O7</f>
        <v xml:space="preserve">		public const string Pages_Welding_Andon_WeldingPlan = "Pages.Welding.Andon.WeldingPlan";
		public const string Pages_Welding_Andon_WeldingPlan_CreateEdit = "Pages.Welding.Andon.WeldingPlan.CreateEdit";
		public const string Pages_Welding_Andon_WeldingPlan_Delete = "Pages.Welding.Andon.WeldingPlan.Delete";
</v>
      </c>
      <c r="E38" s="51" t="str">
        <f>A.Backend!N7</f>
        <v xml:space="preserve">		var perWldAdoWeldingPlan = PARENTS.CreateChildPermission(AppPermissions.Pages_Welding_Andon_WeldingPlan, L( "WeldingAndonWeldingPlan"));
		perWldAdoWeldingPlan.CreateChildPermission(AppPermissions.Pages_Welding_Andon_WeldingPlan_CreateEdit, L( "WeldingAndonWeldingPlanCreateEdit"));
		perWldAdoWeldingPlan.CreateChildPermission(AppPermissions.Pages_Welding_Andon_WeldingPlan_Delete, L( "WeldingAndonWeldingPlanDelete"));</v>
      </c>
      <c r="F38" s="51" t="str">
        <f>A.Backend!K7</f>
        <v>public virtual DbSet&lt;WldAdoWeldingPlan&gt; WldAdoWeldingPlans { get; set; }</v>
      </c>
      <c r="G38" s="51" t="str">
        <f ca="1">A.Backend!L7</f>
        <v xml:space="preserve">namespace vovina.Welding.Andon
{
	public class WldAdoWeldingPlanConsts	
	{
		public const int MaxModelLength = 20;
		public const int MaxLotNoLength = 10;
		public const int MaxBodyNoLength = 10;
		public const int MaxColorLength = 20;
		public const int MaxPlanTimeLength = 10;
		public const int MaxShiftLength = 20;
		public const int MaxCfcLength = 4;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vovina.Welding.Andon.Dto
{
	public class WldAdoWeldingPlanDto : EntityDto&lt;long?&gt;	
	{
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public virtual string Cfc { get; set; }
		public virtual long WeldingId { get; set; }
		public virtual long AssemblyId { get; set; }
	}
	public class CreateOrEditWldAdoWeldingPlanDto : EntityDto&lt;long?&gt;	
	{
		[Required]
		[StringLength(WldAdoWeldingPlanConsts.MaxModelLength)]
		public virtual string Model { get; set; }
		[Required]
		[StringLength(WldAdoWeldingPlanConsts.MaxLotNoLength)]
		public virtual string LotNo { get; set; }
		[Required]
		public virtual int NoInLot { get; set; }
		[Required]
		[StringLength(WldAdoWeldingPlanConsts.MaxBodyNoLength)]
		public virtual string BodyNo { get; set; }
		[StringLength(WldAdoWeldingPlanConsts.MaxColorLength)]
		public virtual string Color { get; set; }
		[StringLength(WldAdoWeldingPlanConsts.MaxPlanTimeLength)]
		public virtual string PlanTime { get; set; }
		public virtual DateTime? RequestDate { get; set; }
		[StringLength(WldAdoWeldingPlanConsts.MaxShiftLength)]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[StringLength(WldAdoWeldingPlanConsts.MaxCfcLength)]
		public virtual string Cfc { get; set; }
		public virtual long WeldingId { get; set; }
		public virtual long AssemblyId { get; set; }
	}
	public class GetWldAdoWeldingPlanInput : PagedAndSortedResultRequestDto	
	{
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string Cfc { get; set; }
	}
}
</v>
      </c>
      <c r="I38" s="51" t="str">
        <f ca="1">A.Backend!R7</f>
        <v xml:space="preserve">using Abp.Application.Services.Dto;
using System;
using System.ComponentModel.DataAnnotations;
namespace vovina.Welding.Andon.Dto
{
	public class WldAdoWeldingPlanExportInput{
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public virtual string Cfc { get; set; }
		public virtual long WeldingId { get; set; }
		public virtual long AssemblyId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vovina.Welding.Andon.Dto;
namespace vovina.Welding.Andon
{
	public interface IWldAdoWeldingPlanAppService : IApplicationService
	{
		Task&lt;PagedResultDto&lt;WldAdoWeldingPlanDto&gt;&gt; GetAll(GetWldAdoWeldingPlanInput input);
		Task CreateOrEdit(CreateOrEditWldAdoWeldingPlanDto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IWldAdoWeldingPlanExcelExporter : IApplicationService
	{
		FileDto ExportToFile(List&lt;WldAdoWeldingPlanDto&gt; wldadoweldingplan);
	}
}
</v>
      </c>
      <c r="L38" s="51" t="str">
        <f ca="1">A.Backend!T7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WldAdoWeldingPlanExcelExporter : NpoiExcelExporterBase, IWldAdoWeldingPlanExcelExporter
    {
        public WldAdoWeldingPlanExcelExporter(ITempFileCacheManager tempFileCacheManager) : base(tempFileCacheManager) { }
        public FileDto ExportToFile(List&lt;WldAdoWeldingPlanDto&gt; weldingplan)
        {
            return CreateExcelPackage(
				"WeldingAndonWeldingPlan.xlsx",
				excelPackage =&gt;
				 {
					var sheet = excelPackage.CreateSheet("WeldingPlan");
					AddHeader(
								sheet,
								("Model"),
								("LotNo"),
								("NoInLot"),
								("BodyNo"),
								("Color"),
								("PlanTime"),
								("RequestDate"),
								("Shift"),
								("WInDate"),
								("WOutDate"),
								("EdIn"),
								("TInPlanDatetime"),
								("VehicleId"),
								("Cfc"),
								("WeldingId"),
								("AssemblyId"),
							   );
					AddObjects(
						 sheet, 1, weldingplan,                                       
								_ =&gt; _.Model,
								_ =&gt; _.LotNo,
								_ =&gt; _.NoInLot,
								_ =&gt; _.BodyNo,
								_ =&gt; _.Color,
								_ =&gt; _.PlanTime,
								_ =&gt; _.RequestDate,
								_ =&gt; _.Shift,
								_ =&gt; _.WInDate,
								_ =&gt; _.WOutDate,
								_ =&gt; _.EdIn,
								_ =&gt; _.TInPlanDatetime,
								_ =&gt; _.VehicleId,
								_ =&gt; _.Cfc,
								_ =&gt; _.WeldingId,
								_ =&gt; _.AssemblyId,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[AbpAuthorize(AppPermissions.Pages_Welding_Andon_WeldingPlan)]
    public class WldAdoWeldingPlanAppService : vovinaAppServiceBase, IWldAdoWeldingPlanAppService
    {
        private readonly IDapperRepository&lt;WldAdoWeldingPlan, long&gt; _dapperRepo;
        private readonly IRepository&lt;WldAdoWeldingPlan, long&gt; _repo;
        private readonly IWldAdoWeldingPlanExcelExporter _calendarListExcelExporter;
        public WldAdoWeldingPlanAppService(IRepository&lt;WldAdoWeldingPlan,long&gt; repo, 
                                         IDapperRepository&lt;WldAdoWeldingPlan,long&gt; dapperRepo,
                                        IWldAdoWeldingPlanExcelExporter calendarListExcelExporter
            )
        {
            _repo = repo;
            _dapperRepo = dapperRepo;
            _calendarListExcelExporter = calendarListExcelExporter;
        }
        [AbpAuthorize(AppPermissions.Pages_Welding_Andon_WeldingPlan_CreateEdit)]
        public async Task CreateOrEdit(CreateOrEditWldAdoWeldingPlanDto input)
        {
            if (input.Id == null) await Create(input);
            else await Update(input);
        }
        //CREATE
        private async Task Create(CreateOrEditWldAdoWeldingPlanDto input)
        {          
            var mainObj = ObjectMapper.Map&lt;WldAdoWeldingPlan&gt;(input);
            await CurrentUnitOfWork.GetDbContext&lt;vovinaDbContext&gt;().AddAsync(mainObj);
        }
        // EDIT
        private async Task Update(CreateOrEditWldAdoWeldingPlanDto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[AbpAuthorize(AppPermissions.Pages_Welding_Andon_WeldingPlan_Delete)]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Task&lt;PagedResultDto&lt;WldAdoWeldingPlanDto&gt;&gt; GetAll(GetWldAdoWeldingPlanInput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.WhereIf(!string.IsNullOrWhiteSpace(input.PlanTime), e =&gt; e.PlanTime.Contains(input.PlanTime))
				.WhereIf(input.RequestDate.HasValue, t =&gt; t.RequestDate == input.RequestDate.Value)
				.WhereIf(!string.IsNullOrWhiteSpace(input.Shift), e =&gt; e.Shift.Contains(input.Shift))
				.WhereIf(input.WInDate.HasValue, t =&gt; t.WInDate == input.WInDate.Value)
				.WhereIf(input.WOutDate.HasValue, t =&gt; t.WOutDate == input.WOutDate.Value)
				.WhereIf(input.EdIn.HasValue, t =&gt; t.EdIn == input.EdIn.Value)
				.WhereIf(input.TInPlanDatetime.HasValue, t =&gt; t.TInPlanDatetime == input.TInPlanDatetime.Value)
				.WhereIf(!string.IsNullOrWhiteSpace(input.Cfc), e =&gt; e.Cfc.Contains(input.Cfc))
				;
            var pageAndFiltered = filtered.OrderBy(s =&gt; s.Id);
            var system = from o in pageAndFiltered
                         select new WldAdoWeldingPlanDto
                        {
							Id = o.Id,
							Model = o.Model,
							LotNo = o.LotNo,
							NoInLot = o.NoInLot,
							BodyNo = o.BodyNo,
							Color = o.Color,
							PlanTime = o.PlanTime,
							RequestDate = o.RequestDate,
							Shift = o.Shift,
							WInDate = o.WInDate,
							WOutDate = o.WOutDate,
							EdIn = o.EdIn,
							TInPlanDatetime = o.TInPlanDatetime,
							VehicleId = o.VehicleId,
							Cfc = o.Cfc,
							WeldingId = o.WeldingId,
							AssemblyId = o.AssemblyId,
                        };
            var totalCount = await filtered.CountAsync();
			var paged = system.PageBy(input);
            return new PagedResultDto&lt;WldAdoWeldingPlanDto&gt;(
                totalCount,
                 await paged.ToListAsync()
            );
        }
        public async Task&lt;FileDto&gt; GetWeldingPlanToExcel(WldAdoWeldingPlanExportInput input)
        {
            var query = from o in _repo.GetAll()
                        select new WldAdoWeldingPlanDto
                        {
							Id = o.Id,
							Model = o.Model,
							LotNo = o.LotNo,
							NoInLot = o.NoInLot,
							BodyNo = o.BodyNo,
							Color = o.Color,
							PlanTime = o.PlanTime,
							RequestDate = o.RequestDate,
							Shift = o.Shift,
							WInDate = o.WInDate,
							WOutDate = o.WOutDate,
							EdIn = o.EdIn,
							TInPlanDatetime = o.TInPlanDatetime,
							VehicleId = o.VehicleId,
							Cfc = o.Cfc,
							WeldingId = o.WeldingId,
							AssemblyId = o.AssemblyId,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_dapperRepo.ExecuteAsync(WldAdoWeldingPlanConsts.SP_MST_WPT_CALENDAR_GENERATE);
       // }
    }
}</v>
      </c>
      <c r="N38" s="62" t="str">
        <f>A.Backend!U7</f>
        <v xml:space="preserve">  configuration.CreateMap&lt;WldAdoWeldingPlanDto, WldAdoWeldingPlan&gt;();
  configuration.CreateMap&lt;WldAdoWeldingPlan, WldAdoWeldingPlanDto&gt;();
  configuration.CreateMap&lt;CreateOrEditWldAdoWeldingPlanDto, WldAdoWeldingPlan&gt;();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weldingplan</v>
      </c>
      <c r="C43" s="73" t="str">
        <f>"create folder " &amp;B43</f>
        <v>create folder weldingplan</v>
      </c>
      <c r="D43" s="73"/>
      <c r="E43" s="73"/>
      <c r="F43" s="73"/>
      <c r="G43" s="73"/>
      <c r="H43" s="73"/>
      <c r="I43" s="73"/>
      <c r="J43" s="73"/>
      <c r="K43" s="74" t="s">
        <v>229</v>
      </c>
      <c r="L43" s="74"/>
      <c r="M43" s="31"/>
    </row>
    <row r="44" spans="1:14" s="28" customFormat="1" ht="18" customHeight="1" x14ac:dyDescent="0.25">
      <c r="B44" s="60" t="s">
        <v>230</v>
      </c>
      <c r="C44" s="31" t="str">
        <f>B.Frontend!H14</f>
        <v>weldingplan.component.ts</v>
      </c>
      <c r="D44" s="31" t="str">
        <f>B.Frontend!I14</f>
        <v>weldingplan.component.html</v>
      </c>
      <c r="E44" s="31" t="str">
        <f>B.Frontend!J14</f>
        <v>weldingplan.component.less</v>
      </c>
      <c r="F44" s="31" t="str">
        <f>B.Frontend!K14</f>
        <v>create-or-edit-weldingplan-modal.component.html</v>
      </c>
      <c r="G44" s="31" t="str">
        <f>B.Frontend!L14</f>
        <v>create-or-edit-weldingplan-modal.component.ts</v>
      </c>
      <c r="H44" s="31" t="str">
        <f>B.Frontend!M14</f>
        <v>create-or-edit-weldingplan-modal.component.less</v>
      </c>
      <c r="I44" s="31" t="str">
        <f>B.Frontend!N14</f>
        <v>weldingplan.module.ts</v>
      </c>
      <c r="J44" s="31" t="str">
        <f>B.Frontend!O14</f>
        <v>weldingplan-routing.module.ts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233</v>
      </c>
    </row>
    <row r="45" spans="1:14" ht="21.75" customHeight="1" x14ac:dyDescent="0.25">
      <c r="B45" s="61" t="s">
        <v>227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WldAdoWeldingPlanDto, WldAdoWeldingPlanServiceProxy } from '@shared/service-proxies/service-proxies';
import { finalize } from 'rxjs/internal/operators/finalize';
import { CreateOrEditWeldingPlanModalComponent } from './create-or-edit-weldingplan-modal.component';
import { DatePipe } from '@angular/common';
import { FileDownloadService } from '@shared/utils/file-download.service';
import ceil from 'lodash-es/ceil';
import { Paginator } from 'primeng/paginator';
@Component({
    templateUrl: './weldingplan.component.html',
    styleUrls: ['./weldingplan.component.less'],
})
export class WeldingPlanComponent extends AppComponentBase implements OnInit {
    @ViewChild('createOrEditModalWeldingPlan', { static: true }) createOrEditModalWeldingPlan:| CreateOrEditWeldingPlanModalComponent|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WldAdoWeldingPlanDto = new WldAdoWeldingPlanDto();
    saveSelectedRow: WldAdoWeldingPlanDto = new WldAdoWeldingPlanDto();
    datas: WldAdoWeldingPlanDto = new WldAdoWeldingPlanDto();
    isLoading: boolean = false;
    dataParams: GridParams | undefined;
    rowData: any[] = [];
    gridApi!: GridApi;
    rowSelection = 'multiple';
    filter: string = '';
	pipe = new DatePipe('en-US');
    model : string = '' ; 
	lotNo : string = '' ; 
	noInLot : number = 0 ;
	bodyNo : string = '' ; 
	color : string = '' ; 
	planTime : string = '' ; 
	requestDate : any ;
	shift : string = '' ; 
	wInDate : any ;
	wOutDate : any ;
	edIn : any ;
	tInPlanDatetime : any ;
	vehicleId
	cfc : string = '' ; 
	weldingId
assemblyId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WldAdoWeldingPlanServiceProxy,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this.l('Plan Time'),headerTooltip: this.l('Plan Time'),field: 'planTime',flex: 1},
			{headerName: this.l('Request Date'),headerTooltip: this.l('Request Date'),field: 'requestDate',valueGetter: (params) =&gt; this.pipe.transform(params.data?.requestDate, 'dd/MM/yyyy'),flex: 1},
			{headerName: this.l('Shift'),headerTooltip: this.l('Shift'),field: 'shift',flex: 1},
			{headerName: this.l('W In Date'),headerTooltip: this.l('W In Date'),field: 'wInDate',valueGetter: (params) =&gt; this.pipe.transform(params.data?.wInDate, 'dd/MM/yyyy'),flex: 1},
			{headerName: this.l('W Out Date'),headerTooltip: this.l('W Out Date'),field: 'wOutDate',valueGetter: (params) =&gt; this.pipe.transform(params.data?.wOutDate, 'dd/MM/yyyy'),flex: 1},
			{headerName: this.l('Ed In'),headerTooltip: this.l('Ed In'),field: 'edIn',valueGetter: (params) =&gt; this.pipe.transform(params.data?.edIn, 'dd/MM/yyyy'),flex: 1},
			{headerName: this.l('T In Plan Datetime'),headerTooltip: this.l('T In Plan Datetime'),field: 'tInPlanDatetime',valueGetter: (params) =&gt; this.pipe.transform(params.data?.tInPlanDatetime, 'dd/MM/yyyy'),flex: 1},
			{headerName: this.l('Vehicle Id'),headerTooltip: this.l('Vehicle Id'),field: 'vehicleId',flex: 1},
			{headerName: this.l('Cfc'),headerTooltip: this.l('Cfc'),field: 'cfc',flex: 1},
			{headerName: this.l('Welding Id'),headerTooltip: this.l('Welding Id'),field: 'weldingId',flex: 1},
			{headerName: this.l('Assembly Id'),headerTooltip: this.l('Assembly Id'),field: 'assemblyId',flex: 1},      	  
        ];
    }
    ngOnInit(): void {
        this.paginationParams = { pageNum: 1, pageSize: 20, totalCount: 0 };
    }
    searchDatas(): void {
        // this.paginator.changePage(this.paginator.getPage());
        this._service.getAll(
			this.model,
			this.lotNo,
			this.noInLot,
			this.bodyNo,
			this.color,
			this.planTime,
			this.requestDate,
			this.shift,
			this.wInDate,
			this.wOutDate,
			this.edIn,
			this.tInPlanDatetime,
			this.vehicleId,
			this.cfc,
			this.weldingId,
			this.assemblyId,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this.lotNo = '',
		this.noInLot = 0,
		this.bodyNo = '',
		this.color = '',
		this.planTime = '',
		this.requestDate = '',
		this.shift = '',
		this.wInDate = '',
		this.wOutDate = '',
		this.edIn = '',
		this.tInPlanDatetime = '',
		this.vehicleId = '',
		this.cfc = '',
		this.weldingId = '',
this.assemblyId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this.lotNo,
			this.noInLot,
			this.bodyNo,
			this.color,
			this.planTime,
			this.requestDate,
			this.shift,
			this.wInDate,
			this.wOutDate,
			this.edIn,
			this.tInPlanDatetime,
			this.vehicleId,
			this.cfc,
			this.weldingId,
			this.assemblyId,
			'',
            this.paginationParams.skipCount,
            this.paginationParams.pageSize
        );
    }
    onChangeRowSelection(params: { api: { getSelectedRows: () =&gt; WldAdoWeldingPlanDto[] } }) {
        this.saveSelectedRow = params.api.getSelectedRows()[0] ?? new WldAdoWeldingPlanDto();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WldAdoWeldingPlanDto):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this._service.getWeldingPlanToExcel(
			this.model,
			this.lotNo,
			this.noInLot,
			this.bodyNo,
			this.color,
			this.planTime,
			this.requestDate,
			this.shift,
			this.wInDate,
			this.wOutDate,
			this.edIn,
			this.tInPlanDatetime,
			this.vehicleId,
			this.cfc,
			this.weldingId,
			this.assemblyId,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Welding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[(ngModel)]='planTime' name='planTime'
									class='form-control' [placeholder]="l('Plan Time')"
									type='text' (keyup.enter)='searchDatas()'&gt;
								&lt;/div&gt;
								&lt;div class='input-search'&gt;
									&lt;input type='text' [placeholder]="l('Request Date')" [(ngModel)]='requestDate' 
									name='requestDate'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[placeholder]="l('W In Date')" [(ngModel)]='wInDate' 
									name='wInDate'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[placeholder]="l('W Out Date')" [(ngModel)]='wOutDate' 
									name='wOutDate'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[placeholder]="l('Ed In')" [(ngModel)]='edIn' 
									name='edIn'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 In Plan Datetime')" [(ngModel)]='tInPlanDatetime' 
									name='tInPlanDatetime'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[(ngModel)]='cfc' name='cfc'
									class='form-control' [placeholder]="l('Cfc')"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(click)="createOrEditModalWeldingPlan.show()"&gt;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(click)="createOrEditModalWeldingPlan.show(selectedRow)"&gt;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&lt;create-or-edit-weldingplan-modal
    #createOrEditModalWeldingPlan
    (modalSave)="callBackDataGrid(dataParams)"
    (modalClose)="onChangeRowSelection(dataParams)"
&gt;
&lt;/create-or-edit-weldingplan-modal&gt;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#createOrEditModalWeldingPlan="bs-modal"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WeldingPlan')}}&lt;/h3&gt;
                    &lt;h3 *ngIf="!rowdata.id"&gt;{{('Create New WeldingPlan')}}&lt;/h3&gt;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title'&gt;Plan Time&lt;/label&gt;
						&lt;input type='text' class='col-md-10 form-control input-text' name='PlanTime' [(ngModel)]='rowdata.planTime'&gt;
					&lt;/div&gt;
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title'&gt;W In Date&lt;/label&gt;
						&lt;input type='text' class='col-md-10 form-control input-text' name='wInDate' 
						#datepicker='bsDatepicker' [(ngModel)]='rowdata.wInDate'  bsDatepicker &gt;
					&lt;/div&gt;
					&lt;div class='col-md-12 form-group row'&gt;
						&lt;label class='col-md-2 form-control title'&gt;W Out Date&lt;/label&gt;
						&lt;input type='text' class='col-md-10 form-control input-text' name='wOutDate' 
						#datepicker='bsDatepicker' [(ngModel)]='rowdata.wOutDate'  bsDatepicker &gt;
					&lt;/div&gt;
					&lt;div class='col-md-12 form-group row'&gt;
						&lt;label class='col-md-2 form-control title'&gt;Ed In&lt;/label&gt;
						&lt;input type='text' class='col-md-10 form-control input-text' name='edIn' 
						#datepicker='bsDatepicker' [(ngModel)]='rowdata.edIn'  bsDatepicker &gt;
					&lt;/div&gt;
					&lt;div class='col-md-12 form-group row'&gt;
						&lt;label class='col-md-2 form-control title'&gt;T In Plan Datetime&lt;/label&gt;
						&lt;input type='text' class='col-md-10 form-control input-text' name='tInPlanDatetime' 
						#datepicker='bsDatepicker' [(ngModel)]='rowdata.tInPlanDatetime'  bsDatepicker &gt;
					&lt;/div&gt;
					&lt;div class='col-md-12 form-group row'&gt;
						&lt;label class='col-md-2 form-control title'&gt;Cfc&lt;/label&gt;
						&lt;input type='text' class='col-md-10 form-control input-text' name='Cfc' [(ngModel)]='rowdata.cfc'&gt;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CreateOrEditWldAdoWeldingPlanDto, WldAdoWeldingPlanServiceProxy } from '@shared/service-proxies/service-proxies';
import { BsDatepickerDirective } from 'ngx-bootstrap/datepicker';
@Component({
    selector: 'create-or-edit-weldingplan-modal',
    templateUrl: './create-or-edit-weldingplan-modal.component.html',
    styleUrls: ['./create-or-edit-weldingplan-modal.component.less']
    })
export class CreateOrEditWeldingPlanModalComponent extends AppComponentBase {
    @ViewChild('createOrEditModalWeldingPlan',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CreateOrEditWldAdoWeldingPlanDto = new CreateOrEditWldAdoWeldingPlanDto();
    active: boolean = false;
    saving: boolean = false;
    _: boolean;
    constructor(
        injector: Injector,
        private _mstwptWeldingPlanService: WldAdoWeldingPlanServiceProxy,
    ) 
    {
        super(injector);
    }
    show(rowdata?: CreateOrEditWldAdoWeldingPlanDto): void {
        if (!rowdata) this.rowdata = new CreateOrEditWldAdoWeldingPlanDto();
        else this.rowdata = rowdata;
		const dateValue =  this.rowdata.requestDate ? new Date(this.rowdata.requestDate?.toString()) : new Date();
		this.datepicker?.bsValueChange.emit(dateValue);
		const dateValue =  this.rowdata.wInDate ? new Date(this.rowdata.wInDate?.toString()) : new Date();
		this.datepicker?.bsValueChange.emit(dateValue);
		const dateValue =  this.rowdata.wOutDate ? new Date(this.rowdata.wOutDate?.toString()) : new Date();
		this.datepicker?.bsValueChange.emit(dateValue);
		const dateValue =  this.rowdata.edIn ? new Date(this.rowdata.edIn?.toString()) : new Date();
		this.datepicker?.bsValueChange.emit(dateValue);
		const dateValue =  this.rowdata.tInPlanDatetime ? new Date(this.rowdata.tInPlanDatetime?.toString())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this._mstwptWeldingPlanService.createOrEdit(this.rowdata)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WeldingPlanRoutingModule } from './weldingplan-routing.module';
import { WeldingPlanComponent } from './weldingplan.component';
import { CreateOrEditWeldingPlanModalComponent } from './create-or-edit-weldingplan-modal.component';
@NgModule({
    declarations: [
       WeldingPlanComponent, 
        CreateOrEditWeldingPlanModalComponent
    ],
    imports: [
        AppSharedModule, WeldingPlanRoutingModule]
})
export class WeldingPlanModule {}</v>
      </c>
      <c r="J45" s="49" t="str">
        <f>B.Frontend!O10</f>
        <v>import {NgModule} from '@angular/core';
import {RouterModule, Routes} from '@angular/router';
import { WeldingPlanComponent } from './weldingplan.component';
const routes: Routes = [{
    path: '',
    component: WeldingPlanComponent,
    pathMatch: 'full'
}];
@NgModule({
    imports: [RouterModule.forChild(routes)],
    exports: [RouterModule],
})
export class WeldingPlanRoutingModule {}</v>
      </c>
      <c r="K45" s="49" t="str">
        <f>B.Frontend!P10</f>
        <v xml:space="preserve"> new AppMenuItem("WeldingPlan", "Pages.Welding.Andon.WeldingPlan", "flaticon-book",   "/app/main/welding/andon/weldingplan"),</v>
      </c>
      <c r="L45" s="50" t="str">
        <f>B.Frontend!Q10</f>
        <v>{
    path: 'welding/andon/weldingplan',
    loadChildren: () =&gt; import('./welding/andon/weldingplan/weldingplan.module').then(m =&gt; m.WeldingPlanModule),
    data: { permission: 'Pages.Welding.Andon.WeldingPlan' }
},</v>
      </c>
      <c r="M45" s="48" t="str">
        <f>B.Frontend!R10</f>
        <v>ApiServiceProxies.WldAdoWeldingPlanServiceProxy,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6"/>
  <sheetViews>
    <sheetView tabSelected="1" workbookViewId="0">
      <pane xSplit="1" topLeftCell="B1" activePane="topRight" state="frozen"/>
      <selection pane="topRight" activeCell="B15" sqref="B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vovina.Welding.Andon.Dto;</v>
      </c>
      <c r="E1" s="10" t="s">
        <v>270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261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286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260</v>
      </c>
    </row>
    <row r="3" spans="1:23" s="11" customFormat="1" ht="33" customHeight="1" x14ac:dyDescent="0.25">
      <c r="A3" s="1" t="s">
        <v>5</v>
      </c>
      <c r="B3" s="30" t="s">
        <v>287</v>
      </c>
      <c r="C3" s="10" t="s">
        <v>43</v>
      </c>
      <c r="D3" s="10" t="s">
        <v>44</v>
      </c>
      <c r="E3" s="10" t="s">
        <v>39</v>
      </c>
      <c r="F3" s="11" t="str">
        <f>"J"&amp;COUNTA($A:$A)</f>
        <v>J24</v>
      </c>
      <c r="G3" s="4" t="s">
        <v>57</v>
      </c>
      <c r="H3" s="10" t="str">
        <f>"I"&amp;COUNTA($A:$A)</f>
        <v>I24</v>
      </c>
      <c r="I3" s="10" t="str">
        <f>REPT(CHAR(9),2)&amp;"[Required]"&amp;"
"</f>
        <v xml:space="preserve">		[Required]
</v>
      </c>
      <c r="J3" s="11" t="str">
        <f>"L"&amp;COUNTA($A:$A)</f>
        <v>L24</v>
      </c>
      <c r="K3" s="5" t="s">
        <v>56</v>
      </c>
      <c r="L3" s="11" t="str">
        <f>"M"&amp;COUNTA($A:$A)</f>
        <v>M24</v>
      </c>
      <c r="M3" s="11" t="str">
        <f>"N"&amp;COUNTA($A:$A)</f>
        <v>N24</v>
      </c>
      <c r="N3" s="11" t="str">
        <f>"O"&amp;COUNTA($A:$A)</f>
        <v>O24</v>
      </c>
      <c r="O3" s="11" t="str">
        <f>"P"&amp;COUNTA($A:$A)</f>
        <v>P24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WldAdoWeldingPlanExportInput{
</v>
      </c>
      <c r="S3" s="11" t="str">
        <f>"namespace "&amp;$B$6&amp;".Exporting
"&amp;$C$3</f>
        <v xml:space="preserve">namespace vovina.Welding.Andon.Exporting
{
</v>
      </c>
      <c r="T3" s="11" t="str">
        <f>"T"&amp;COUNTA($A:$A)</f>
        <v>T24</v>
      </c>
      <c r="V3" s="11" t="str">
        <f>"V"&amp;COUNTA($A:$A)</f>
        <v>V24</v>
      </c>
      <c r="W3" s="10" t="str">
        <f>"W"&amp;COUNTA($A:$A)</f>
        <v>W24</v>
      </c>
    </row>
    <row r="4" spans="1:23" s="11" customFormat="1" ht="33" customHeight="1" x14ac:dyDescent="0.25">
      <c r="A4" s="1" t="s">
        <v>238</v>
      </c>
      <c r="B4" s="64" t="s">
        <v>93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288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vovina.Welding.Andon</v>
      </c>
      <c r="C6" s="11" t="str">
        <f>"namespace "&amp;$B$6&amp;"
"&amp;$C$3</f>
        <v xml:space="preserve">namespace vovina.Welding.Andon
{
</v>
      </c>
      <c r="D6" s="11" t="str">
        <f>REPT(CHAR(9),1)&amp;"public class "&amp;B3&amp;G3&amp;REPT(CHAR(9),1)&amp;"
"&amp;REPT(CHAR(9),1)&amp;C3</f>
        <v xml:space="preserve">	public class WldAdoWeldingPlan: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WldAdoWeldingPlanConsts	
	{
</v>
      </c>
      <c r="F6" s="11" t="str">
        <f>REPT(CHAR(9),1)&amp;"public class "&amp;B3&amp;"Dto"&amp;K3&amp;REPT(CHAR(9),1)&amp;"
"&amp;REPT(CHAR(9),1)&amp;C3</f>
        <v xml:space="preserve">	public class WldAdoWeldingPlanDto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CreateOrEditWldAdoWeldingPlanDto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GetWldAdoWeldingPlanInput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WldAdoWeldingPlan</v>
      </c>
      <c r="C7" s="11" t="str">
        <f>REPT(CHAR(9),1)&amp;"[Table("""&amp;B7&amp;""")]"&amp;"
"</f>
        <v xml:space="preserve">	[Table("WldAdoWeldingPlan")]
</v>
      </c>
      <c r="D7" s="11"/>
      <c r="E7" s="11"/>
      <c r="F7" s="11"/>
      <c r="G7" s="11"/>
      <c r="H7" s="11"/>
      <c r="I7" s="11"/>
      <c r="J7" s="6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[Table("WldAdoWeldingPlan")]
	[Index(nameof(Model), Name="IX_WldAdoWeldingPlan_Model")]
	[Index(nameof(RequestDate), Name="IX_WldAdoWeldingPlan_RequestDate")]
	[Index(nameof(VehicleId), Name="IX_WldAdoWeldingPlan_VehicleId")]
	[Index(nameof(WeldingId), Name="IX_WldAdoWeldingPlan_WeldingId")]
	[Index(nameof(AssemblyId), Name="IX_WldAdoWeldingPlan_AssemblyId")]	public class WldAdoWeldingPlan: FullAuditedEntity&lt;long&gt;, IEntity&lt;long&gt;	
	{
		public const int MaxModelLength = 20;
		public const int MaxLotNoLength = 10;
		public const int MaxBodyNoLength = 10;
		public const int MaxColorLength = 20;
		public const int MaxPlanTimeLength = 10;
		public const int MaxShiftLength = 20;
		public const int MaxCfcLength = 4;
		[Required]
		[StringLength(MaxModelLength)]
		public virtual string Model { get; set; }
		[Required]
		[StringLength(MaxLotNoLength)]
		public virtual string LotNo { get; set; }
		[Required]
		public virtual int NoInLot { get; set; }
		[Required]
		[StringLength(MaxBodyNoLength)]
		public virtual string BodyNo { get; set; }
		[StringLength(MaxColorLength)]
		public virtual string Color { get; set; }
		[StringLength(MaxPlanTimeLength)]
		public virtual string PlanTime { get; set; }
		[Column(TypeName="date")]
		public virtual DateTime RequestDate { get; set; }
		[StringLength(MaxShiftLength)]
		public virtual string Shift { get; set; }
		[Column(TypeName="datetime2(7)")]
		public virtual DateTime WInDate { get; set; }
		[Column(TypeName="datetime2(7)")]
		public virtual DateTime WOutDate { get; set; }
		[Column(TypeName="datetime2(7)")]
		public virtual DateTime EdIn { get; set; }
		[Column(TypeName="datetime2(7)")]
		public virtual DateTime TInPlanDatetime { get; set; }
		public virtual long VehicleId { get; set; }
		[StringLength(MaxCfcLength)]
		public virtual string Cfc { get; set; }
		public virtual long WeldingId { get; set; }
		public virtual long AssemblyId { get; set; }
	}
}
</v>
      </c>
      <c r="K7" t="str">
        <f>SUBSTITUTE(SUBSTITUTE(("public virtual DbSet&lt;"&amp;B3&amp;"&gt; "&amp;B3&amp;"s { get; set; }"),"WorkingPattern",$Q$3),"Master",$B$4)</f>
        <v>public virtual DbSet&lt;WldAdoWeldingPlan&gt; WldAdoWeldingPlans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vovina.Welding.Andon
{
	public class WldAdoWeldingPlanConsts	
	{
		public const int MaxModelLength = 20;
		public const int MaxLotNoLength = 10;
		public const int MaxBodyNoLength = 10;
		public const int MaxColorLength = 20;
		public const int MaxPlanTimeLength = 10;
		public const int MaxShiftLength = 20;
		public const int MaxCfcLength = 4;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vovina.Welding.Andon.Dto
{
	public class WldAdoWeldingPlanDto : EntityDto&lt;long?&gt;	
	{
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public virtual string Cfc { get; set; }
		public virtual long WeldingId { get; set; }
		public virtual long AssemblyId { get; set; }
	}
	public class CreateOrEditWldAdoWeldingPlanDto : EntityDto&lt;long?&gt;	
	{
		[Required]
		[StringLength(WldAdoWeldingPlanConsts.MaxModelLength)]
		public virtual string Model { get; set; }
		[Required]
		[StringLength(WldAdoWeldingPlanConsts.MaxLotNoLength)]
		public virtual string LotNo { get; set; }
		[Required]
		public virtual int NoInLot { get; set; }
		[Required]
		[StringLength(WldAdoWeldingPlanConsts.MaxBodyNoLength)]
		public virtual string BodyNo { get; set; }
		[StringLength(WldAdoWeldingPlanConsts.MaxColorLength)]
		public virtual string Color { get; set; }
		[StringLength(WldAdoWeldingPlanConsts.MaxPlanTimeLength)]
		public virtual string PlanTime { get; set; }
		public virtual DateTime? RequestDate { get; set; }
		[StringLength(WldAdoWeldingPlanConsts.MaxShiftLength)]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[StringLength(WldAdoWeldingPlanConsts.MaxCfcLength)]
		public virtual string Cfc { get; set; }
		public virtual long WeldingId { get; set; }
		public virtual long AssemblyId { get; set; }
	}
	public class GetWldAdoWeldingPlanInput : PagedAndSortedResultRequestDto	
	{
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string Cfc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perWldAdoWeldingPlan = PARENTS.CreateChildPermission(AppPermissions.Pages_Welding_Andon_WeldingPlan, L( "WeldingAndonWeldingPlan"));
		perWldAdoWeldingPlan.CreateChildPermission(AppPermissions.Pages_Welding_Andon_WeldingPlan_CreateEdit, L( "WeldingAndonWeldingPlanCreateEdit"));
		perWldAdoWeldingPlan.CreateChildPermission(AppPermissions.Pages_Welding_Andon_WeldingPlan_Delete, L( "WeldingAndonWeldingPlanDelete"));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Pages_Welding_Andon_WeldingPlan = "Pages.Welding.Andon.WeldingPlan";
		public const string Pages_Welding_Andon_WeldingPlan_CreateEdit = "Pages.Welding.Andon.WeldingPlan.CreateEdit";
		public const string Pages_Welding_Andon_WeldingPlan_Delete = "Pages.Welding.Andon.WeldingPlan.Delete";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
{
	public interface IWldAdoWeldingPlanAppService : IApplicationService
	{
		Task&lt;PagedResultDto&lt;WldAdoWeldingPlanDto&gt;&gt; GetAll(GetWldAdoWeldingPlanInput input);
		Task CreateOrEdit(CreateOrEditWldAdoWeldingPlanDto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[AbpAuthorize(AppPermissions.Pages_Welding_Andon_WeldingPlan)]
    public class WldAdoWeldingPlanAppService : vovinaAppServiceBase, IWldAdoWeldingPlanAppService
    {
        private readonly IDapperRepository&lt;WldAdoWeldingPlan, long&gt; _dapperRepo;
        private readonly IRepository&lt;WldAdoWeldingPlan, long&gt; _repo;
        private readonly IWldAdoWeldingPlanExcelExporter _calendarListExcelExporter;
        public WldAdoWeldingPlanAppService(IRepository&lt;WldAdoWeldingPlan,long&gt; repo, 
                                         IDapperRepository&lt;WldAdoWeldingPlan,long&gt; dapperRepo,
                                        IWldAdoWeldingPlanExcelExporter calendarListExcelExporter
            )
        {
            _repo = repo;
            _dapperRepo = dapperRepo;
            _calendarListExcelExporter = calendarListExcelExporter;
        }
        [AbpAuthorize(AppPermissions.Pages_Welding_Andon_WeldingPlan_CreateEdit)]
        public async Task CreateOrEdit(CreateOrEditWldAdoWeldingPlanDto input)
        {
            if (input.Id == null) await Create(input);
            else await Update(input);
        }
        //CREATE
        private async Task Create(CreateOrEditWldAdoWeldingPlanDto input)
        {          
            var mainObj = ObjectMapper.Map&lt;WldAdoWeldingPlan&gt;(input);
            await CurrentUnitOfWork.GetDbContext&lt;vovinaDbContext&gt;().AddAsync(mainObj);
        }
        // EDIT
        private async Task Update(CreateOrEditWldAdoWeldingPlanDto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[AbpAuthorize(AppPermissions.Pages_Welding_Andon_WeldingPlan_Delete)]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Task&lt;PagedResultDto&lt;WldAdoWeldingPlanDto&gt;&gt; GetAll(GetWldAdoWeldingPlanInput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.WhereIf(!string.IsNullOrWhiteSpace(input.PlanTime), e =&gt; e.PlanTime.Contains(input.PlanTime))
				.WhereIf(input.RequestDate.HasValue, t =&gt; t.RequestDate == input.RequestDate.Value)
				.WhereIf(!string.IsNullOrWhiteSpace(input.Shift), e =&gt; e.Shift.Contains(input.Shift))
				.WhereIf(input.WInDate.HasValue, t =&gt; t.WInDate == input.WInDate.Value)
				.WhereIf(input.WOutDate.HasValue, t =&gt; t.WOutDate == input.WOutDate.Value)
				.WhereIf(input.EdIn.HasValue, t =&gt; t.EdIn == input.EdIn.Value)
				.WhereIf(input.TInPlanDatetime.HasValue, t =&gt; t.TInPlanDatetime == input.TInPlanDatetime.Value)
				.WhereIf(!string.IsNullOrWhiteSpace(input.Cfc), e =&gt; e.Cfc.Contains(input.Cfc))
				;
            var pageAndFiltered = filtered.OrderBy(s =&gt; s.Id);
            var system = from o in pageAndFiltered
                         select new WldAdoWeldingPlanDto
                        {
							Id = o.Id,
							Model = o.Model,
							LotNo = o.LotNo,
							NoInLot = o.NoInLot,
							BodyNo = o.BodyNo,
							Color = o.Color,
							PlanTime = o.PlanTime,
							RequestDate = o.RequestDate,
							Shift = o.Shift,
							WInDate = o.WInDate,
							WOutDate = o.WOutDate,
							EdIn = o.EdIn,
							TInPlanDatetime = o.TInPlanDatetime,
							VehicleId = o.VehicleId,
							Cfc = o.Cfc,
							WeldingId = o.WeldingId,
							AssemblyId = o.AssemblyId,
                        };
            var totalCount = await filtered.CountAsync();
			var paged = system.PageBy(input);
            return new PagedResultDto&lt;WldAdoWeldingPlanDto&gt;(
                totalCount,
                 await paged.ToListAsync()
            );
        }
        public async Task&lt;FileDto&gt; GetWeldingPlanToExcel(WldAdoWeldingPlanExportInput input)
        {
            var query = from o in _repo.GetAll()
                        select new WldAdoWeldingPlanDto
                        {
							Id = o.Id,
							Model = o.Model,
							LotNo = o.LotNo,
							NoInLot = o.NoInLot,
							BodyNo = o.BodyNo,
							Color = o.Color,
							PlanTime = o.PlanTime,
							RequestDate = o.RequestDate,
							Shift = o.Shift,
							WInDate = o.WInDate,
							WOutDate = o.WOutDate,
							EdIn = o.EdIn,
							TInPlanDatetime = o.TInPlanDatetime,
							VehicleId = o.VehicleId,
							Cfc = o.Cfc,
							WeldingId = o.WeldingId,
							AssemblyId = o.AssemblyId,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_dapperRepo.ExecuteAsync(WldAdoWeldingPlanConsts.SP_MST_WPT_CALENDAR_GENERATE);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vovina.Welding.Andon.Dto
{
	public class WldAdoWeldingPlanExportInput{
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public virtual string Cfc { get; set; }
		public virtual long WeldingId { get; set; }
		public virtual long AssemblyId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IWldAdoWeldingPlanExcelExporter : IApplicationService
	{
		FileDto ExportToFile(List&lt;WldAdoWeldingPlanDto&gt; wldadoweldingplan);
	}
}
</v>
      </c>
      <c r="T7" s="28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WldAdoWeldingPlanExcelExporter : NpoiExcelExporterBase, IWldAdoWeldingPlanExcelExporter
    {
        public WldAdoWeldingPlanExcelExporter(ITempFileCacheManager tempFileCacheManager) : base(tempFileCacheManager) { }
        public FileDto ExportToFile(List&lt;WldAdoWeldingPlanDto&gt; weldingplan)
        {
            return CreateExcelPackage(
				"WeldingAndonWeldingPlan.xlsx",
				excelPackage =&gt;
				 {
					var sheet = excelPackage.CreateSheet("WeldingPlan");
					AddHeader(
								sheet,
								("Model"),
								("LotNo"),
								("NoInLot"),
								("BodyNo"),
								("Color"),
								("PlanTime"),
								("RequestDate"),
								("Shift"),
								("WInDate"),
								("WOutDate"),
								("EdIn"),
								("TInPlanDatetime"),
								("VehicleId"),
								("Cfc"),
								("WeldingId"),
								("AssemblyId"),
							   );
					AddObjects(
						 sheet, 1, weldingplan,                                       
								_ =&gt; _.Model,
								_ =&gt; _.LotNo,
								_ =&gt; _.NoInLot,
								_ =&gt; _.BodyNo,
								_ =&gt; _.Color,
								_ =&gt; _.PlanTime,
								_ =&gt; _.RequestDate,
								_ =&gt; _.Shift,
								_ =&gt; _.WInDate,
								_ =&gt; _.WOutDate,
								_ =&gt; _.EdIn,
								_ =&gt; _.TInPlanDatetime,
								_ =&gt; _.VehicleId,
								_ =&gt; _.Cfc,
								_ =&gt; _.WeldingId,
								_ =&gt; _.AssemblyId,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configuration.CreateMap&lt;WldAdoWeldingPlanDto, WldAdoWeldingPlan&gt;();
  configuration.CreateMap&lt;WldAdoWeldingPlan, WldAdoWeldingPlanDto&gt;();
  configuration.CreateMap&lt;CreateOrEditWldAdoWeldingPlanDto, WldAdoWeldingPlan&gt;();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273</v>
      </c>
      <c r="B9" t="s">
        <v>274</v>
      </c>
      <c r="C9" t="s">
        <v>80</v>
      </c>
      <c r="D9" t="str">
        <f>SUBSTITUTE(PROPER(A9),"_","")</f>
        <v>Model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20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MaxModelLength = 20;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[StringLength(MaxModelLength)]
		public virtual string Model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[Index(nameof(Model), Name="IX_WldAdoWeldingPlan_Model")]</v>
      </c>
      <c r="M9" t="str">
        <f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[StringLength(WldAdoWeldingPlanConsts.MaxModelLength)]
		public virtual string Model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:P11" si="4">REPT(CHAR(9),7)&amp;D9&amp;" = o." &amp;D9 &amp;","</f>
        <v xml:space="preserve">							Model = o.Model,</v>
      </c>
      <c r="T9" s="69" t="str">
        <f>REPT(CHAR(9),8)&amp;"("""&amp;D9&amp;"""),"</f>
        <v xml:space="preserve">								("Model"),</v>
      </c>
      <c r="V9" s="70" t="str">
        <f>REPT(CHAR(9),8)&amp;"_ =&gt; _."&amp;D9&amp;","</f>
        <v xml:space="preserve">								_ =&gt; _.Model,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21" customHeight="1" x14ac:dyDescent="0.25">
      <c r="A10" t="s">
        <v>275</v>
      </c>
      <c r="B10" t="s">
        <v>276</v>
      </c>
      <c r="C10" t="s">
        <v>80</v>
      </c>
      <c r="D10" t="str">
        <f t="shared" ref="D10:D11" si="5">SUBSTITUTE(PROPER(A10),"_","")</f>
        <v>LotNo</v>
      </c>
      <c r="E10" t="str">
        <f t="shared" si="0"/>
        <v>nvarchar</v>
      </c>
      <c r="F10" s="7"/>
      <c r="G10" t="str">
        <f t="shared" si="1"/>
        <v>10</v>
      </c>
      <c r="H10" t="str">
        <f>+VLOOKUP(E10,'Data Type Mapping'!A:B,2,)</f>
        <v>string</v>
      </c>
      <c r="I10" t="str">
        <f t="shared" si="2"/>
        <v xml:space="preserve">		public const int MaxLotNoLength = 10;
</v>
      </c>
      <c r="J10" t="str">
        <f t="shared" si="3"/>
        <v xml:space="preserve">		[Required]
		[StringLength(MaxLotNoLength)]
		public virtual string LotNo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1" si="7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[StringLength(WldAdoWeldingPlanConsts.MaxLotNoLength)]
		public virtual string LotNo { get; set; }
</v>
      </c>
      <c r="O10" t="str">
        <f t="shared" ref="O10:O11" si="9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si="4"/>
        <v xml:space="preserve">							LotNo = o.LotNo,</v>
      </c>
      <c r="T10" s="69" t="str">
        <f t="shared" ref="T10:T11" si="10">REPT(CHAR(9),8)&amp;"("""&amp;D10&amp;"""),"</f>
        <v xml:space="preserve">								("LotNo"),</v>
      </c>
      <c r="V10" s="70" t="str">
        <f t="shared" ref="V10:V11" si="11">REPT(CHAR(9),8)&amp;"_ =&gt; _."&amp;D10&amp;","</f>
        <v xml:space="preserve">								_ =&gt; _.LotNo,</v>
      </c>
      <c r="W10" s="69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18.75" customHeight="1" x14ac:dyDescent="0.25">
      <c r="A11" t="s">
        <v>277</v>
      </c>
      <c r="B11" t="s">
        <v>4</v>
      </c>
      <c r="C11" t="s">
        <v>80</v>
      </c>
      <c r="D11" t="str">
        <f t="shared" si="5"/>
        <v>NoInLot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[Required]
		public virtual int NoInLot { get; set; }
</v>
      </c>
      <c r="K11" s="7"/>
      <c r="L11" t="str">
        <f t="shared" si="6"/>
        <v/>
      </c>
      <c r="M11" t="str">
        <f t="shared" si="7"/>
        <v xml:space="preserve">		public virtual int NoInLot { get; set; }
</v>
      </c>
      <c r="N11" t="str">
        <f t="shared" si="8"/>
        <v xml:space="preserve">		[Required]
		public virtual int NoInLot { get; set; }
</v>
      </c>
      <c r="O11" t="str">
        <f t="shared" si="9"/>
        <v xml:space="preserve">		public virtual int NoInLot { get; set; }
</v>
      </c>
      <c r="P11" t="str">
        <f t="shared" si="4"/>
        <v xml:space="preserve">							NoInLot = o.NoInLot,</v>
      </c>
      <c r="T11" s="69" t="str">
        <f t="shared" si="10"/>
        <v xml:space="preserve">								("NoInLot"),</v>
      </c>
      <c r="V11" s="70" t="str">
        <f t="shared" si="11"/>
        <v xml:space="preserve">								_ =&gt; _.NoInLot,</v>
      </c>
      <c r="W11" s="69" t="str">
        <f t="shared" si="12"/>
        <v/>
      </c>
    </row>
    <row r="12" spans="1:23" customFormat="1" ht="22.5" customHeight="1" x14ac:dyDescent="0.25">
      <c r="A12" t="s">
        <v>278</v>
      </c>
      <c r="B12" t="s">
        <v>276</v>
      </c>
      <c r="C12" t="s">
        <v>80</v>
      </c>
      <c r="D12" t="str">
        <f>SUBSTITUTE(PROPER(A12),"_","")</f>
        <v>BodyNo</v>
      </c>
      <c r="E12" t="str">
        <f t="shared" ref="E12:E18" si="13">IFERROR(LEFT(B12, FIND("(",B12)-1),B12)</f>
        <v>nvarchar</v>
      </c>
      <c r="F12" s="7"/>
      <c r="G12" t="str">
        <f t="shared" ref="G12:G18" si="14">IFERROR(MID(B12,FIND("(",B12) +1, FIND(")",B12) - FIND("(",B12) - 1),"")</f>
        <v>10</v>
      </c>
      <c r="H12" t="str">
        <f>+VLOOKUP(E12,'Data Type Mapping'!A:B,2,)</f>
        <v>string</v>
      </c>
      <c r="I12" t="str">
        <f t="shared" ref="I12:I18" si="15">IF(H12="string",REPT(CHAR(9),2)&amp;"public const int Max"&amp;D12&amp;"Length = "&amp;G12&amp;";"&amp;$E$3,"" )</f>
        <v xml:space="preserve">		public const int MaxBodyNoLength = 10;
</v>
      </c>
      <c r="J12" t="str">
        <f t="shared" ref="J12:J18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[Required]
		[StringLength(MaxBodyNoLength)]
		public virtual string BodyNo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ref="M12:M18" si="17">REPT(CHAR(9),2)&amp;"public virtual "&amp;IF(OR(H12="DateTime",H12="TimeSpan"),H12&amp;"?",H12)&amp;IF(C12="?","? "," ")&amp;D12&amp;" { get; set; }" &amp; "
"</f>
        <v xml:space="preserve">		public virtual string BodyNo { get; set; }
</v>
      </c>
      <c r="N12" t="str">
        <f t="shared" ref="N12:N18" si="18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[Required]
		[StringLength(WldAdoWeldingPlanConsts.MaxBodyNoLength)]
		public virtual string BodyNo { get; set; }
</v>
      </c>
      <c r="O12" t="str">
        <f t="shared" ref="O12:O18" si="19">IF(OR(H12="string",H12="DateTime",H12="int"),REPT(CHAR(9),2)&amp;"public virtual "&amp;IF(OR(H12="DateTime",H12="TimeSpan"),H12&amp;"?",H12)&amp;IF(C12="?","? "," ")&amp;D12&amp;" { get; set; }"&amp;$E$3,"")</f>
        <v xml:space="preserve">		public virtual string BodyNo { get; set; }
</v>
      </c>
      <c r="P12" t="str">
        <f t="shared" ref="P12:P18" si="20">REPT(CHAR(9),7)&amp;D12&amp;" = o." &amp;D12 &amp;","</f>
        <v xml:space="preserve">							BodyNo = o.BodyNo,</v>
      </c>
      <c r="T12" s="69" t="str">
        <f t="shared" ref="T12:T18" si="21">REPT(CHAR(9),8)&amp;"("""&amp;D12&amp;"""),"</f>
        <v xml:space="preserve">								("BodyNo"),</v>
      </c>
      <c r="V12" s="70" t="str">
        <f t="shared" ref="V12:V18" si="22">REPT(CHAR(9),8)&amp;"_ =&gt; _."&amp;D12&amp;","</f>
        <v xml:space="preserve">								_ =&gt; _.BodyNo,</v>
      </c>
      <c r="W12" s="69" t="str">
        <f t="shared" ref="W12:W18" si="23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.WhereIf(!string.IsNullOrWhiteSpace(input.BodyNo), e =&gt; e.BodyNo.Contains(input.BodyNo))</v>
      </c>
    </row>
    <row r="13" spans="1:23" customFormat="1" ht="21" customHeight="1" x14ac:dyDescent="0.25">
      <c r="A13" t="s">
        <v>279</v>
      </c>
      <c r="B13" t="s">
        <v>274</v>
      </c>
      <c r="C13" t="s">
        <v>1</v>
      </c>
      <c r="D13" t="str">
        <f t="shared" ref="D13:D15" si="24">SUBSTITUTE(PROPER(A13),"_","")</f>
        <v>Color</v>
      </c>
      <c r="E13" t="str">
        <f t="shared" si="13"/>
        <v>nvarchar</v>
      </c>
      <c r="F13" s="7"/>
      <c r="G13" t="str">
        <f t="shared" si="14"/>
        <v>20</v>
      </c>
      <c r="H13" t="str">
        <f>+VLOOKUP(E13,'Data Type Mapping'!A:B,2,)</f>
        <v>string</v>
      </c>
      <c r="I13" t="str">
        <f t="shared" si="15"/>
        <v xml:space="preserve">		public const int MaxColorLength = 20;
</v>
      </c>
      <c r="J13" t="str">
        <f t="shared" si="16"/>
        <v xml:space="preserve">		[StringLength(MaxColorLength)]
		public virtual string Color { get; set; }
</v>
      </c>
      <c r="K13" s="7"/>
      <c r="L13" t="str">
        <f t="shared" ref="L13:L15" si="25">IF(K13="","",REPT(CHAR(9),1)&amp;"[Index(nameof("&amp;IF(D13="","",""&amp;D13)&amp;")"&amp;", Name="&amp;"""IX_"&amp;$B$7&amp;"_"&amp;D13&amp;""")]")</f>
        <v/>
      </c>
      <c r="M13" t="str">
        <f t="shared" si="17"/>
        <v xml:space="preserve">		public virtual string Color { get; set; }
</v>
      </c>
      <c r="N13" t="str">
        <f t="shared" si="18"/>
        <v xml:space="preserve">		[StringLength(WldAdoWeldingPlanConsts.MaxColorLength)]
		public virtual string Color { get; set; }
</v>
      </c>
      <c r="O13" t="str">
        <f t="shared" si="19"/>
        <v xml:space="preserve">		public virtual string Color { get; set; }
</v>
      </c>
      <c r="P13" t="str">
        <f t="shared" si="20"/>
        <v xml:space="preserve">							Color = o.Color,</v>
      </c>
      <c r="T13" s="69" t="str">
        <f t="shared" si="21"/>
        <v xml:space="preserve">								("Color"),</v>
      </c>
      <c r="V13" s="70" t="str">
        <f t="shared" si="22"/>
        <v xml:space="preserve">								_ =&gt; _.Color,</v>
      </c>
      <c r="W13" s="69" t="str">
        <f t="shared" si="23"/>
        <v xml:space="preserve">				.WhereIf(!string.IsNullOrWhiteSpace(input.Color), e =&gt; e.Color.Contains(input.Color))</v>
      </c>
    </row>
    <row r="14" spans="1:23" customFormat="1" ht="21" customHeight="1" x14ac:dyDescent="0.25">
      <c r="A14" t="s">
        <v>280</v>
      </c>
      <c r="B14" t="s">
        <v>276</v>
      </c>
      <c r="C14" t="s">
        <v>1</v>
      </c>
      <c r="D14" t="str">
        <f t="shared" si="24"/>
        <v>PlanTime</v>
      </c>
      <c r="E14" t="str">
        <f t="shared" si="13"/>
        <v>nvarchar</v>
      </c>
      <c r="F14" s="7"/>
      <c r="G14" t="str">
        <f t="shared" si="14"/>
        <v>10</v>
      </c>
      <c r="H14" t="str">
        <f>+VLOOKUP(E14,'Data Type Mapping'!A:B,2,)</f>
        <v>string</v>
      </c>
      <c r="I14" t="str">
        <f t="shared" si="15"/>
        <v xml:space="preserve">		public const int MaxPlanTimeLength = 10;
</v>
      </c>
      <c r="J14" t="str">
        <f t="shared" si="16"/>
        <v xml:space="preserve">		[StringLength(MaxPlanTimeLength)]
		public virtual string PlanTime { get; set; }
</v>
      </c>
      <c r="K14" s="7"/>
      <c r="L14" t="str">
        <f t="shared" si="25"/>
        <v/>
      </c>
      <c r="M14" t="str">
        <f t="shared" si="17"/>
        <v xml:space="preserve">		public virtual string PlanTime { get; set; }
</v>
      </c>
      <c r="N14" t="str">
        <f t="shared" si="18"/>
        <v xml:space="preserve">		[StringLength(WldAdoWeldingPlanConsts.MaxPlanTimeLength)]
		public virtual string PlanTime { get; set; }
</v>
      </c>
      <c r="O14" t="str">
        <f t="shared" si="19"/>
        <v xml:space="preserve">		public virtual string PlanTime { get; set; }
</v>
      </c>
      <c r="P14" t="str">
        <f t="shared" si="20"/>
        <v xml:space="preserve">							PlanTime = o.PlanTime,</v>
      </c>
      <c r="T14" s="69" t="str">
        <f t="shared" si="21"/>
        <v xml:space="preserve">								("PlanTime"),</v>
      </c>
      <c r="V14" s="70" t="str">
        <f t="shared" si="22"/>
        <v xml:space="preserve">								_ =&gt; _.PlanTime,</v>
      </c>
      <c r="W14" s="69" t="str">
        <f t="shared" si="23"/>
        <v xml:space="preserve">				.WhereIf(!string.IsNullOrWhiteSpace(input.PlanTime), e =&gt; e.PlanTime.Contains(input.PlanTime))</v>
      </c>
    </row>
    <row r="15" spans="1:23" customFormat="1" ht="18.75" customHeight="1" x14ac:dyDescent="0.25">
      <c r="A15" t="s">
        <v>281</v>
      </c>
      <c r="B15" t="s">
        <v>249</v>
      </c>
      <c r="C15" t="s">
        <v>1</v>
      </c>
      <c r="D15" t="str">
        <f t="shared" si="24"/>
        <v>RequestDate</v>
      </c>
      <c r="E15" t="str">
        <f t="shared" si="13"/>
        <v>datetime2</v>
      </c>
      <c r="F15" s="7" t="s">
        <v>2</v>
      </c>
      <c r="G15" t="str">
        <f t="shared" si="14"/>
        <v>7</v>
      </c>
      <c r="H15" t="str">
        <f>+VLOOKUP(E15,'Data Type Mapping'!A:B,2,)</f>
        <v>DateTime</v>
      </c>
      <c r="I15" t="str">
        <f t="shared" si="15"/>
        <v/>
      </c>
      <c r="J15" t="str">
        <f t="shared" si="16"/>
        <v xml:space="preserve">		[Column(TypeName="date")]
		public virtual DateTime RequestDate { get; set; }
</v>
      </c>
      <c r="K15" s="7" t="s">
        <v>207</v>
      </c>
      <c r="L15" t="str">
        <f t="shared" si="25"/>
        <v xml:space="preserve">	[Index(nameof(RequestDate), Name="IX_WldAdoWeldingPlan_RequestDate")]</v>
      </c>
      <c r="M15" t="str">
        <f t="shared" si="17"/>
        <v xml:space="preserve">		public virtual DateTime? RequestDate { get; set; }
</v>
      </c>
      <c r="N15" t="str">
        <f t="shared" si="18"/>
        <v xml:space="preserve">		public virtual DateTime? RequestDate { get; set; }
</v>
      </c>
      <c r="O15" t="str">
        <f t="shared" si="19"/>
        <v xml:space="preserve">		public virtual DateTime? RequestDate { get; set; }
</v>
      </c>
      <c r="P15" t="str">
        <f t="shared" si="20"/>
        <v xml:space="preserve">							RequestDate = o.RequestDate,</v>
      </c>
      <c r="T15" s="69" t="str">
        <f t="shared" si="21"/>
        <v xml:space="preserve">								("RequestDate"),</v>
      </c>
      <c r="V15" s="70" t="str">
        <f t="shared" si="22"/>
        <v xml:space="preserve">								_ =&gt; _.RequestDate,</v>
      </c>
      <c r="W15" s="69" t="str">
        <f t="shared" si="23"/>
        <v xml:space="preserve">				.WhereIf(input.RequestDate.HasValue, t =&gt; t.RequestDate == input.RequestDate.Value)</v>
      </c>
    </row>
    <row r="16" spans="1:23" customFormat="1" ht="22.5" customHeight="1" x14ac:dyDescent="0.25">
      <c r="A16" t="s">
        <v>282</v>
      </c>
      <c r="B16" t="s">
        <v>274</v>
      </c>
      <c r="C16" t="s">
        <v>1</v>
      </c>
      <c r="D16" t="str">
        <f>SUBSTITUTE(PROPER(A16),"_","")</f>
        <v>Shift</v>
      </c>
      <c r="E16" t="str">
        <f t="shared" si="13"/>
        <v>nvarchar</v>
      </c>
      <c r="F16" s="7"/>
      <c r="G16" t="str">
        <f t="shared" si="14"/>
        <v>20</v>
      </c>
      <c r="H16" t="str">
        <f>+VLOOKUP(E16,'Data Type Mapping'!A:B,2,)</f>
        <v>string</v>
      </c>
      <c r="I16" t="str">
        <f t="shared" si="15"/>
        <v xml:space="preserve">		public const int MaxShiftLength = 20;
</v>
      </c>
      <c r="J16" t="str">
        <f t="shared" si="16"/>
        <v xml:space="preserve">		[StringLength(MaxShiftLength)]
		public virtual string Shift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17"/>
        <v xml:space="preserve">		public virtual string Shift { get; set; }
</v>
      </c>
      <c r="N16" t="str">
        <f t="shared" si="18"/>
        <v xml:space="preserve">		[StringLength(WldAdoWeldingPlanConsts.MaxShiftLength)]
		public virtual string Shift { get; set; }
</v>
      </c>
      <c r="O16" t="str">
        <f t="shared" si="19"/>
        <v xml:space="preserve">		public virtual string Shift { get; set; }
</v>
      </c>
      <c r="P16" t="str">
        <f t="shared" si="20"/>
        <v xml:space="preserve">							Shift = o.Shift,</v>
      </c>
      <c r="T16" s="69" t="str">
        <f t="shared" si="21"/>
        <v xml:space="preserve">								("Shift"),</v>
      </c>
      <c r="V16" s="70" t="str">
        <f t="shared" si="22"/>
        <v xml:space="preserve">								_ =&gt; _.Shift,</v>
      </c>
      <c r="W16" s="69" t="str">
        <f t="shared" si="23"/>
        <v xml:space="preserve">				.WhereIf(!string.IsNullOrWhiteSpace(input.Shift), e =&gt; e.Shift.Contains(input.Shift))</v>
      </c>
    </row>
    <row r="17" spans="1:23" customFormat="1" ht="21" customHeight="1" x14ac:dyDescent="0.25">
      <c r="A17" t="s">
        <v>283</v>
      </c>
      <c r="B17" t="s">
        <v>249</v>
      </c>
      <c r="C17" t="s">
        <v>1</v>
      </c>
      <c r="D17" t="str">
        <f t="shared" ref="D17:D18" si="26">SUBSTITUTE(PROPER(A17),"_","")</f>
        <v>WInDate</v>
      </c>
      <c r="E17" t="str">
        <f t="shared" si="13"/>
        <v>datetime2</v>
      </c>
      <c r="F17" s="7" t="s">
        <v>249</v>
      </c>
      <c r="G17" t="str">
        <f t="shared" si="14"/>
        <v>7</v>
      </c>
      <c r="H17" t="str">
        <f>+VLOOKUP(E17,'Data Type Mapping'!A:B,2,)</f>
        <v>DateTime</v>
      </c>
      <c r="I17" t="str">
        <f t="shared" si="15"/>
        <v/>
      </c>
      <c r="J17" t="str">
        <f t="shared" si="16"/>
        <v xml:space="preserve">		[Column(TypeName="datetime2(7)")]
		public virtual DateTime WInDate { get; set; }
</v>
      </c>
      <c r="K17" s="7"/>
      <c r="L17" t="str">
        <f t="shared" ref="L17:L18" si="27">IF(K17="","",REPT(CHAR(9),1)&amp;"[Index(nameof("&amp;IF(D17="","",""&amp;D17)&amp;")"&amp;", Name="&amp;"""IX_"&amp;$B$7&amp;"_"&amp;D17&amp;""")]")</f>
        <v/>
      </c>
      <c r="M17" t="str">
        <f t="shared" si="17"/>
        <v xml:space="preserve">		public virtual DateTime? WInDate { get; set; }
</v>
      </c>
      <c r="N17" t="str">
        <f t="shared" si="18"/>
        <v xml:space="preserve">		public virtual DateTime? WInDate { get; set; }
</v>
      </c>
      <c r="O17" t="str">
        <f t="shared" si="19"/>
        <v xml:space="preserve">		public virtual DateTime? WInDate { get; set; }
</v>
      </c>
      <c r="P17" t="str">
        <f t="shared" si="20"/>
        <v xml:space="preserve">							WInDate = o.WInDate,</v>
      </c>
      <c r="T17" s="69" t="str">
        <f t="shared" si="21"/>
        <v xml:space="preserve">								("WInDate"),</v>
      </c>
      <c r="V17" s="70" t="str">
        <f t="shared" si="22"/>
        <v xml:space="preserve">								_ =&gt; _.WInDate,</v>
      </c>
      <c r="W17" s="69" t="str">
        <f t="shared" si="23"/>
        <v xml:space="preserve">				.WhereIf(input.WInDate.HasValue, t =&gt; t.WInDate == input.WInDate.Value)</v>
      </c>
    </row>
    <row r="18" spans="1:23" customFormat="1" ht="18.75" customHeight="1" x14ac:dyDescent="0.25">
      <c r="A18" t="s">
        <v>284</v>
      </c>
      <c r="B18" t="s">
        <v>249</v>
      </c>
      <c r="C18" t="s">
        <v>1</v>
      </c>
      <c r="D18" t="str">
        <f t="shared" si="26"/>
        <v>WOutDate</v>
      </c>
      <c r="E18" t="str">
        <f t="shared" si="13"/>
        <v>datetime2</v>
      </c>
      <c r="F18" s="7" t="s">
        <v>249</v>
      </c>
      <c r="G18" t="str">
        <f t="shared" si="14"/>
        <v>7</v>
      </c>
      <c r="H18" t="str">
        <f>+VLOOKUP(E18,'Data Type Mapping'!A:B,2,)</f>
        <v>DateTime</v>
      </c>
      <c r="I18" t="str">
        <f t="shared" si="15"/>
        <v/>
      </c>
      <c r="J18" t="str">
        <f t="shared" si="16"/>
        <v xml:space="preserve">		[Column(TypeName="datetime2(7)")]
		public virtual DateTime WOutDate { get; set; }
</v>
      </c>
      <c r="K18" s="7"/>
      <c r="L18" t="str">
        <f t="shared" si="27"/>
        <v/>
      </c>
      <c r="M18" t="str">
        <f t="shared" si="17"/>
        <v xml:space="preserve">		public virtual DateTime? WOutDate { get; set; }
</v>
      </c>
      <c r="N18" t="str">
        <f t="shared" si="18"/>
        <v xml:space="preserve">		public virtual DateTime? WOutDate { get; set; }
</v>
      </c>
      <c r="O18" t="str">
        <f t="shared" si="19"/>
        <v xml:space="preserve">		public virtual DateTime? WOutDate { get; set; }
</v>
      </c>
      <c r="P18" t="str">
        <f t="shared" si="20"/>
        <v xml:space="preserve">							WOutDate = o.WOutDate,</v>
      </c>
      <c r="T18" s="69" t="str">
        <f t="shared" si="21"/>
        <v xml:space="preserve">								("WOutDate"),</v>
      </c>
      <c r="V18" s="70" t="str">
        <f t="shared" si="22"/>
        <v xml:space="preserve">								_ =&gt; _.WOutDate,</v>
      </c>
      <c r="W18" s="69" t="str">
        <f t="shared" si="23"/>
        <v xml:space="preserve">				.WhereIf(input.WOutDate.HasValue, t =&gt; t.WOutDate == input.WOutDate.Value)</v>
      </c>
    </row>
    <row r="19" spans="1:23" customFormat="1" ht="21" customHeight="1" x14ac:dyDescent="0.25">
      <c r="A19" t="s">
        <v>285</v>
      </c>
      <c r="B19" t="s">
        <v>249</v>
      </c>
      <c r="C19" t="s">
        <v>1</v>
      </c>
      <c r="D19" t="str">
        <f t="shared" ref="D19:D20" si="28">SUBSTITUTE(PROPER(A19),"_","")</f>
        <v>EdIn</v>
      </c>
      <c r="E19" t="str">
        <f t="shared" ref="E19:E24" si="29">IFERROR(LEFT(B19, FIND("(",B19)-1),B19)</f>
        <v>datetime2</v>
      </c>
      <c r="F19" s="7" t="s">
        <v>249</v>
      </c>
      <c r="G19" t="str">
        <f t="shared" ref="G19:G24" si="30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:I24" si="31">IF(H19="string",REPT(CHAR(9),2)&amp;"public const int Max"&amp;D19&amp;"Length = "&amp;G19&amp;";"&amp;$E$3,"" )</f>
        <v/>
      </c>
      <c r="J19" t="str">
        <f t="shared" ref="J19:J24" si="32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[Column(TypeName="datetime2(7)")]
		public virtual DateTime EdIn { get; set; }
</v>
      </c>
      <c r="K19" s="7"/>
      <c r="L19" t="str">
        <f t="shared" ref="L19:L20" si="33">IF(K19="","",REPT(CHAR(9),1)&amp;"[Index(nameof("&amp;IF(D19="","",""&amp;D19)&amp;")"&amp;", Name="&amp;"""IX_"&amp;$B$7&amp;"_"&amp;D19&amp;""")]")</f>
        <v/>
      </c>
      <c r="M19" t="str">
        <f t="shared" ref="M19:M24" si="34">REPT(CHAR(9),2)&amp;"public virtual "&amp;IF(OR(H19="DateTime",H19="TimeSpan"),H19&amp;"?",H19)&amp;IF(C19="?","? "," ")&amp;D19&amp;" { get; set; }" &amp; "
"</f>
        <v xml:space="preserve">		public virtual DateTime? EdIn { get; set; }
</v>
      </c>
      <c r="N19" t="str">
        <f t="shared" ref="N19:N24" si="35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EdIn { get; set; }
</v>
      </c>
      <c r="O19" t="str">
        <f t="shared" ref="O19:O24" si="36">IF(OR(H19="string",H19="DateTime",H19="int"),REPT(CHAR(9),2)&amp;"public virtual "&amp;IF(OR(H19="DateTime",H19="TimeSpan"),H19&amp;"?",H19)&amp;IF(C19="?","? "," ")&amp;D19&amp;" { get; set; }"&amp;$E$3,"")</f>
        <v xml:space="preserve">		public virtual DateTime? EdIn { get; set; }
</v>
      </c>
      <c r="P19" t="str">
        <f t="shared" ref="P19:P24" si="37">REPT(CHAR(9),7)&amp;D19&amp;" = o." &amp;D19 &amp;","</f>
        <v xml:space="preserve">							EdIn = o.EdIn,</v>
      </c>
      <c r="T19" s="69" t="str">
        <f t="shared" ref="T19:T24" si="38">REPT(CHAR(9),8)&amp;"("""&amp;D19&amp;"""),"</f>
        <v xml:space="preserve">								("EdIn"),</v>
      </c>
      <c r="V19" s="70" t="str">
        <f t="shared" ref="V19:V24" si="39">REPT(CHAR(9),8)&amp;"_ =&gt; _."&amp;D19&amp;","</f>
        <v xml:space="preserve">								_ =&gt; _.EdIn,</v>
      </c>
      <c r="W19" s="69" t="str">
        <f t="shared" ref="W19:W24" si="40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.WhereIf(input.EdIn.HasValue, t =&gt; t.EdIn == input.EdIn.Value)</v>
      </c>
    </row>
    <row r="20" spans="1:23" customFormat="1" ht="18.75" customHeight="1" x14ac:dyDescent="0.25">
      <c r="A20" t="s">
        <v>294</v>
      </c>
      <c r="B20" t="s">
        <v>249</v>
      </c>
      <c r="C20" t="s">
        <v>1</v>
      </c>
      <c r="D20" t="str">
        <f t="shared" si="28"/>
        <v>TInPlanDatetime</v>
      </c>
      <c r="E20" t="str">
        <f t="shared" si="29"/>
        <v>datetime2</v>
      </c>
      <c r="F20" s="7" t="s">
        <v>249</v>
      </c>
      <c r="G20" t="str">
        <f t="shared" si="30"/>
        <v>7</v>
      </c>
      <c r="H20" t="str">
        <f>+VLOOKUP(E20,'Data Type Mapping'!A:B,2,)</f>
        <v>DateTime</v>
      </c>
      <c r="I20" t="str">
        <f t="shared" si="31"/>
        <v/>
      </c>
      <c r="J20" t="str">
        <f t="shared" si="32"/>
        <v xml:space="preserve">		[Column(TypeName="datetime2(7)")]
		public virtual DateTime TInPlanDatetime { get; set; }
</v>
      </c>
      <c r="K20" s="7"/>
      <c r="L20" t="str">
        <f t="shared" si="33"/>
        <v/>
      </c>
      <c r="M20" t="str">
        <f t="shared" si="34"/>
        <v xml:space="preserve">		public virtual DateTime? TInPlanDatetime { get; set; }
</v>
      </c>
      <c r="N20" t="str">
        <f t="shared" si="35"/>
        <v xml:space="preserve">		public virtual DateTime? TInPlanDatetime { get; set; }
</v>
      </c>
      <c r="O20" t="str">
        <f t="shared" si="36"/>
        <v xml:space="preserve">		public virtual DateTime? TInPlanDatetime { get; set; }
</v>
      </c>
      <c r="P20" t="str">
        <f t="shared" si="37"/>
        <v xml:space="preserve">							TInPlanDatetime = o.TInPlanDatetime,</v>
      </c>
      <c r="T20" s="69" t="str">
        <f t="shared" si="38"/>
        <v xml:space="preserve">								("TInPlanDatetime"),</v>
      </c>
      <c r="V20" s="70" t="str">
        <f t="shared" si="39"/>
        <v xml:space="preserve">								_ =&gt; _.TInPlanDatetime,</v>
      </c>
      <c r="W20" s="69" t="str">
        <f t="shared" si="40"/>
        <v xml:space="preserve">				.WhereIf(input.TInPlanDatetime.HasValue, t =&gt; t.TInPlanDatetime == input.TInPlanDatetime.Value)</v>
      </c>
    </row>
    <row r="21" spans="1:23" customFormat="1" ht="22.5" customHeight="1" x14ac:dyDescent="0.25">
      <c r="A21" t="s">
        <v>290</v>
      </c>
      <c r="B21" t="s">
        <v>0</v>
      </c>
      <c r="C21" t="s">
        <v>1</v>
      </c>
      <c r="D21" t="str">
        <f>SUBSTITUTE(PROPER(A21),"_","")</f>
        <v>VehicleId</v>
      </c>
      <c r="E21" t="str">
        <f t="shared" si="29"/>
        <v>bigint</v>
      </c>
      <c r="F21" s="7"/>
      <c r="G21" t="str">
        <f t="shared" si="30"/>
        <v/>
      </c>
      <c r="H21" t="str">
        <f>+VLOOKUP(E21,'Data Type Mapping'!A:B,2,)</f>
        <v>long</v>
      </c>
      <c r="I21" t="str">
        <f t="shared" si="31"/>
        <v/>
      </c>
      <c r="J21" t="str">
        <f t="shared" si="32"/>
        <v xml:space="preserve">		public virtual long VehicleId { get; set; }
</v>
      </c>
      <c r="K21" s="7" t="s">
        <v>207</v>
      </c>
      <c r="L21" t="str">
        <f>IF(K21="","",REPT(CHAR(9),1)&amp;"[Index(nameof("&amp;IF(D21="","",""&amp;D21)&amp;")"&amp;", Name="&amp;"""IX_"&amp;$B$7&amp;"_"&amp;D21&amp;""")]")</f>
        <v xml:space="preserve">	[Index(nameof(VehicleId), Name="IX_WldAdoWeldingPlan_VehicleId")]</v>
      </c>
      <c r="M21" t="str">
        <f t="shared" si="34"/>
        <v xml:space="preserve">		public virtual long VehicleId { get; set; }
</v>
      </c>
      <c r="N21" t="str">
        <f t="shared" si="35"/>
        <v xml:space="preserve">		public virtual long VehicleId { get; set; }
</v>
      </c>
      <c r="O21" t="str">
        <f t="shared" si="36"/>
        <v/>
      </c>
      <c r="P21" t="str">
        <f t="shared" si="37"/>
        <v xml:space="preserve">							VehicleId = o.VehicleId,</v>
      </c>
      <c r="T21" s="69" t="str">
        <f t="shared" si="38"/>
        <v xml:space="preserve">								("VehicleId"),</v>
      </c>
      <c r="V21" s="70" t="str">
        <f t="shared" si="39"/>
        <v xml:space="preserve">								_ =&gt; _.VehicleId,</v>
      </c>
      <c r="W21" s="69" t="str">
        <f t="shared" si="40"/>
        <v/>
      </c>
    </row>
    <row r="22" spans="1:23" customFormat="1" ht="21" customHeight="1" x14ac:dyDescent="0.25">
      <c r="A22" t="s">
        <v>291</v>
      </c>
      <c r="B22" t="s">
        <v>292</v>
      </c>
      <c r="C22" t="s">
        <v>1</v>
      </c>
      <c r="D22" t="str">
        <f t="shared" ref="D22:D24" si="41">SUBSTITUTE(PROPER(A22),"_","")</f>
        <v>Cfc</v>
      </c>
      <c r="E22" t="str">
        <f t="shared" si="29"/>
        <v>varchar</v>
      </c>
      <c r="F22" s="7"/>
      <c r="G22" t="str">
        <f t="shared" si="30"/>
        <v>4</v>
      </c>
      <c r="H22" t="str">
        <f>+VLOOKUP(E22,'Data Type Mapping'!A:B,2,)</f>
        <v>string</v>
      </c>
      <c r="I22" t="str">
        <f t="shared" si="31"/>
        <v xml:space="preserve">		public const int MaxCfcLength = 4;
</v>
      </c>
      <c r="J22" t="str">
        <f t="shared" si="32"/>
        <v xml:space="preserve">		[StringLength(MaxCfcLength)]
		public virtual string Cfc { get; set; }
</v>
      </c>
      <c r="K22" s="7"/>
      <c r="L22" t="str">
        <f t="shared" ref="L22:L24" si="42">IF(K22="","",REPT(CHAR(9),1)&amp;"[Index(nameof("&amp;IF(D22="","",""&amp;D22)&amp;")"&amp;", Name="&amp;"""IX_"&amp;$B$7&amp;"_"&amp;D22&amp;""")]")</f>
        <v/>
      </c>
      <c r="M22" t="str">
        <f t="shared" si="34"/>
        <v xml:space="preserve">		public virtual string Cfc { get; set; }
</v>
      </c>
      <c r="N22" t="str">
        <f t="shared" si="35"/>
        <v xml:space="preserve">		[StringLength(WldAdoWeldingPlanConsts.MaxCfcLength)]
		public virtual string Cfc { get; set; }
</v>
      </c>
      <c r="O22" t="str">
        <f t="shared" si="36"/>
        <v xml:space="preserve">		public virtual string Cfc { get; set; }
</v>
      </c>
      <c r="P22" t="str">
        <f t="shared" si="37"/>
        <v xml:space="preserve">							Cfc = o.Cfc,</v>
      </c>
      <c r="T22" s="69" t="str">
        <f t="shared" si="38"/>
        <v xml:space="preserve">								("Cfc"),</v>
      </c>
      <c r="V22" s="70" t="str">
        <f t="shared" si="39"/>
        <v xml:space="preserve">								_ =&gt; _.Cfc,</v>
      </c>
      <c r="W22" s="69" t="str">
        <f t="shared" si="40"/>
        <v xml:space="preserve">				.WhereIf(!string.IsNullOrWhiteSpace(input.Cfc), e =&gt; e.Cfc.Contains(input.Cfc))</v>
      </c>
    </row>
    <row r="23" spans="1:23" customFormat="1" ht="18.75" customHeight="1" x14ac:dyDescent="0.25">
      <c r="A23" t="s">
        <v>295</v>
      </c>
      <c r="B23" t="s">
        <v>0</v>
      </c>
      <c r="C23" t="s">
        <v>1</v>
      </c>
      <c r="D23" t="str">
        <f t="shared" ref="D23" si="43">SUBSTITUTE(PROPER(A23),"_","")</f>
        <v>WeldingId</v>
      </c>
      <c r="E23" t="str">
        <f t="shared" ref="E23" si="44">IFERROR(LEFT(B23, FIND("(",B23)-1),B23)</f>
        <v>bigint</v>
      </c>
      <c r="F23" s="7"/>
      <c r="G23" t="str">
        <f t="shared" ref="G23" si="45">IFERROR(MID(B23,FIND("(",B23) +1, FIND(")",B23) - FIND("(",B23) - 1),"")</f>
        <v/>
      </c>
      <c r="H23" t="str">
        <f>+VLOOKUP(E23,'Data Type Mapping'!A:B,2,)</f>
        <v>long</v>
      </c>
      <c r="I23" t="str">
        <f t="shared" ref="I23" si="46">IF(H23="string",REPT(CHAR(9),2)&amp;"public const int Max"&amp;D23&amp;"Length = "&amp;G23&amp;";"&amp;$E$3,"" )</f>
        <v/>
      </c>
      <c r="J23" t="str">
        <f t="shared" ref="J23" si="47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long WeldingId { get; set; }
</v>
      </c>
      <c r="K23" s="7" t="s">
        <v>207</v>
      </c>
      <c r="L23" t="str">
        <f t="shared" ref="L23" si="48">IF(K23="","",REPT(CHAR(9),1)&amp;"[Index(nameof("&amp;IF(D23="","",""&amp;D23)&amp;")"&amp;", Name="&amp;"""IX_"&amp;$B$7&amp;"_"&amp;D23&amp;""")]")</f>
        <v xml:space="preserve">	[Index(nameof(WeldingId), Name="IX_WldAdoWeldingPlan_WeldingId")]</v>
      </c>
      <c r="M23" t="str">
        <f t="shared" ref="M23" si="49">REPT(CHAR(9),2)&amp;"public virtual "&amp;IF(OR(H23="DateTime",H23="TimeSpan"),H23&amp;"?",H23)&amp;IF(C23="?","? "," ")&amp;D23&amp;" { get; set; }" &amp; "
"</f>
        <v xml:space="preserve">		public virtual long WeldingId { get; set; }
</v>
      </c>
      <c r="N23" t="str">
        <f t="shared" ref="N23" si="50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long WeldingId { get; set; }
</v>
      </c>
      <c r="O23" t="str">
        <f t="shared" ref="O23" si="51">IF(OR(H23="string",H23="DateTime",H23="int"),REPT(CHAR(9),2)&amp;"public virtual "&amp;IF(OR(H23="DateTime",H23="TimeSpan"),H23&amp;"?",H23)&amp;IF(C23="?","? "," ")&amp;D23&amp;" { get; set; }"&amp;$E$3,"")</f>
        <v/>
      </c>
      <c r="P23" t="str">
        <f t="shared" ref="P23" si="52">REPT(CHAR(9),7)&amp;D23&amp;" = o." &amp;D23 &amp;","</f>
        <v xml:space="preserve">							WeldingId = o.WeldingId,</v>
      </c>
      <c r="T23" s="69" t="str">
        <f t="shared" ref="T23" si="53">REPT(CHAR(9),8)&amp;"("""&amp;D23&amp;"""),"</f>
        <v xml:space="preserve">								("WeldingId"),</v>
      </c>
      <c r="V23" s="70" t="str">
        <f t="shared" ref="V23" si="54">REPT(CHAR(9),8)&amp;"_ =&gt; _."&amp;D23&amp;","</f>
        <v xml:space="preserve">								_ =&gt; _.WeldingId,</v>
      </c>
      <c r="W23" s="69" t="str">
        <f t="shared" ref="W23" si="55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</row>
    <row r="24" spans="1:23" customFormat="1" ht="18.75" customHeight="1" x14ac:dyDescent="0.25">
      <c r="A24" t="s">
        <v>293</v>
      </c>
      <c r="B24" t="s">
        <v>0</v>
      </c>
      <c r="C24" t="s">
        <v>1</v>
      </c>
      <c r="D24" t="str">
        <f t="shared" si="41"/>
        <v>AssemblyId</v>
      </c>
      <c r="E24" t="str">
        <f t="shared" si="29"/>
        <v>bigint</v>
      </c>
      <c r="F24" s="7"/>
      <c r="G24" t="str">
        <f t="shared" si="30"/>
        <v/>
      </c>
      <c r="H24" t="str">
        <f>+VLOOKUP(E24,'Data Type Mapping'!A:B,2,)</f>
        <v>long</v>
      </c>
      <c r="I24" t="str">
        <f t="shared" si="31"/>
        <v/>
      </c>
      <c r="J24" t="str">
        <f t="shared" si="32"/>
        <v xml:space="preserve">		public virtual long AssemblyId { get; set; }
</v>
      </c>
      <c r="K24" s="7" t="s">
        <v>207</v>
      </c>
      <c r="L24" t="str">
        <f t="shared" si="42"/>
        <v xml:space="preserve">	[Index(nameof(AssemblyId), Name="IX_WldAdoWeldingPlan_AssemblyId")]</v>
      </c>
      <c r="M24" t="str">
        <f t="shared" si="34"/>
        <v xml:space="preserve">		public virtual long AssemblyId { get; set; }
</v>
      </c>
      <c r="N24" t="str">
        <f t="shared" si="35"/>
        <v xml:space="preserve">		public virtual long AssemblyId { get; set; }
</v>
      </c>
      <c r="O24" t="str">
        <f t="shared" si="36"/>
        <v/>
      </c>
      <c r="P24" t="str">
        <f t="shared" si="37"/>
        <v xml:space="preserve">							AssemblyId = o.AssemblyId,</v>
      </c>
      <c r="T24" s="69" t="str">
        <f t="shared" si="38"/>
        <v xml:space="preserve">								("AssemblyId"),</v>
      </c>
      <c r="V24" s="70" t="str">
        <f t="shared" si="39"/>
        <v xml:space="preserve">								_ =&gt; _.AssemblyId,</v>
      </c>
      <c r="W24" s="69" t="str">
        <f t="shared" si="40"/>
        <v/>
      </c>
    </row>
    <row r="26" spans="1:23" ht="45.75" customHeight="1" x14ac:dyDescent="0.25">
      <c r="H26" s="12"/>
      <c r="I26" s="34" t="str">
        <f ca="1">TEXTJOIN2("
", TRUE,INDIRECT( $H$1):INDIRECT( $H$3))</f>
        <v xml:space="preserve">		public const int MaxModelLength = 20;
		public const int MaxLotNoLength = 10;
		public const int MaxBodyNoLength = 10;
		public const int MaxColorLength = 20;
		public const int MaxPlanTimeLength = 10;
		public const int MaxShiftLength = 20;
		public const int MaxCfcLength = 4;
</v>
      </c>
      <c r="J26" s="33" t="str">
        <f ca="1">TEXTJOIN2("
", TRUE,INDIRECT( $F$1):INDIRECT( $F$3))</f>
        <v xml:space="preserve">		[Required]
		[StringLength(MaxModelLength)]
		public virtual string Model { get; set; }
		[Required]
		[StringLength(MaxLotNoLength)]
		public virtual string LotNo { get; set; }
		[Required]
		public virtual int NoInLot { get; set; }
		[Required]
		[StringLength(MaxBodyNoLength)]
		public virtual string BodyNo { get; set; }
		[StringLength(MaxColorLength)]
		public virtual string Color { get; set; }
		[StringLength(MaxPlanTimeLength)]
		public virtual string PlanTime { get; set; }
		[Column(TypeName="date")]
		public virtual DateTime RequestDate { get; set; }
		[StringLength(MaxShiftLength)]
		public virtual string Shift { get; set; }
		[Column(TypeName="datetime2(7)")]
		public virtual DateTime WInDate { get; set; }
		[Column(TypeName="datetime2(7)")]
		public virtual DateTime WOutDate { get; set; }
		[Column(TypeName="datetime2(7)")]
		public virtual DateTime EdIn { get; set; }
		[Column(TypeName="datetime2(7)")]
		public virtual DateTime TInPlanDatetime { get; set; }
		public virtual long VehicleId { get; set; }
		[StringLength(MaxCfcLength)]
		public virtual string Cfc { get; set; }
		public virtual long WeldingId { get; set; }
		public virtual long AssemblyId { get; set; }
</v>
      </c>
      <c r="K26" s="35" t="str">
        <f ca="1">TEXTJOIN2("
", TRUE,INDIRECT( $J$1):INDIRECT( $J$3))</f>
        <v xml:space="preserve">	[Index(nameof(Model), Name="IX_WldAdoWeldingPlan_Model")]
	[Index(nameof(RequestDate), Name="IX_WldAdoWeldingPlan_RequestDate")]
	[Index(nameof(VehicleId), Name="IX_WldAdoWeldingPlan_VehicleId")]
	[Index(nameof(WeldingId), Name="IX_WldAdoWeldingPlan_WeldingId")]
	[Index(nameof(AssemblyId), Name="IX_WldAdoWeldingPlan_AssemblyId")]</v>
      </c>
      <c r="L26" s="13" t="s">
        <v>60</v>
      </c>
      <c r="M26" s="36" t="str">
        <f ca="1">TEXTJOIN2("
",TRUE,INDIRECT( $L$1):INDIRECT($L$3))</f>
        <v xml:space="preserve">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public virtual string Cfc { get; set; }
		public virtual long WeldingId { get; set; }
		public virtual long AssemblyId { get; set; }
</v>
      </c>
      <c r="N26" s="33" t="str">
        <f ca="1">TEXTJOIN2("
",TRUE,INDIRECT( $M$1):INDIRECT($M$3))</f>
        <v xml:space="preserve">		[Required]
		[StringLength(WldAdoWeldingPlanConsts.MaxModelLength)]
		public virtual string Model { get; set; }
		[Required]
		[StringLength(WldAdoWeldingPlanConsts.MaxLotNoLength)]
		public virtual string LotNo { get; set; }
		[Required]
		public virtual int NoInLot { get; set; }
		[Required]
		[StringLength(WldAdoWeldingPlanConsts.MaxBodyNoLength)]
		public virtual string BodyNo { get; set; }
		[StringLength(WldAdoWeldingPlanConsts.MaxColorLength)]
		public virtual string Color { get; set; }
		[StringLength(WldAdoWeldingPlanConsts.MaxPlanTimeLength)]
		public virtual string PlanTime { get; set; }
		public virtual DateTime? RequestDate { get; set; }
		[StringLength(WldAdoWeldingPlanConsts.MaxShiftLength)]
		public virtual string Shift { get; set; }
		public virtual DateTime? WInDate { get; set; }
		public virtual DateTime? WOutDate { get; set; }
		public virtual DateTime? EdIn { get; set; }
		public virtual DateTime? TInPlanDatetime { get; set; }
		public virtual long VehicleId { get; set; }
		[StringLength(WldAdoWeldingPlanConsts.MaxCfcLength)]
		public virtual string Cfc { get; set; }
		public virtual long WeldingId { get; set; }
		public virtual long AssemblyId { get; set; }
</v>
      </c>
      <c r="O26" s="33" t="str">
        <f ca="1">TEXTJOIN2("
",TRUE,INDIRECT( $N$1):INDIRECT($N$3))</f>
        <v xml:space="preserve">		public virtual string Model { get; set; }
		public virtual string LotNo { get; set; }
		public virtual int NoInLot { get; set; }
		public virtual string BodyNo { get; set; }
		public virtual string Color { get; set; }
		public virtual string PlanTime { get; set; }
		public virtual DateTime? RequestDate { get; set; }
		public virtual string Shift { get; set; }
		public virtual DateTime? WInDate { get; set; }
		public virtual DateTime? WOutDate { get; set; }
		public virtual DateTime? EdIn { get; set; }
		public virtual DateTime? TInPlanDatetime { get; set; }
		public virtual string Cfc { get; set; }
</v>
      </c>
      <c r="P26" s="9" t="str">
        <f ca="1">TEXTJOIN2("
",TRUE,INDIRECT( $O$1):INDIRECT($O$3))</f>
        <v xml:space="preserve">							Model = o.Model,
							LotNo = o.LotNo,
							NoInLot = o.NoInLot,
							BodyNo = o.BodyNo,
							Color = o.Color,
							PlanTime = o.PlanTime,
							RequestDate = o.RequestDate,
							Shift = o.Shift,
							WInDate = o.WInDate,
							WOutDate = o.WOutDate,
							EdIn = o.EdIn,
							TInPlanDatetime = o.TInPlanDatetime,
							VehicleId = o.VehicleId,
							Cfc = o.Cfc,
							WeldingId = o.WeldingId,
							AssemblyId = o.AssemblyId,</v>
      </c>
      <c r="T26" s="9" t="str">
        <f ca="1">TEXTJOIN2("
",TRUE,INDIRECT( $T$2):INDIRECT($T$3))</f>
        <v xml:space="preserve">								("Model"),
								("LotNo"),
								("NoInLot"),
								("BodyNo"),
								("Color"),
								("PlanTime"),
								("RequestDate"),
								("Shift"),
								("WInDate"),
								("WOutDate"),
								("EdIn"),
								("TInPlanDatetime"),
								("VehicleId"),
								("Cfc"),
								("WeldingId"),
								("AssemblyId"),</v>
      </c>
      <c r="V26" s="9" t="str">
        <f ca="1">TEXTJOIN2("
",TRUE,INDIRECT( $V$2):INDIRECT($V$3))</f>
        <v xml:space="preserve">								_ =&gt; _.Model,
								_ =&gt; _.LotNo,
								_ =&gt; _.NoInLot,
								_ =&gt; _.BodyNo,
								_ =&gt; _.Color,
								_ =&gt; _.PlanTime,
								_ =&gt; _.RequestDate,
								_ =&gt; _.Shift,
								_ =&gt; _.WInDate,
								_ =&gt; _.WOutDate,
								_ =&gt; _.EdIn,
								_ =&gt; _.TInPlanDatetime,
								_ =&gt; _.VehicleId,
								_ =&gt; _.Cfc,
								_ =&gt; _.WeldingId,
								_ =&gt; _.AssemblyId,</v>
      </c>
      <c r="W26" s="9" t="str">
        <f ca="1">TEXTJOIN2("
",TRUE,INDIRECT( $W$2):INDIRECT($W$3))</f>
        <v xml:space="preserve">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.WhereIf(!string.IsNullOrWhiteSpace(input.PlanTime), e =&gt; e.PlanTime.Contains(input.PlanTime))
				.WhereIf(input.RequestDate.HasValue, t =&gt; t.RequestDate == input.RequestDate.Value)
				.WhereIf(!string.IsNullOrWhiteSpace(input.Shift), e =&gt; e.Shift.Contains(input.Shift))
				.WhereIf(input.WInDate.HasValue, t =&gt; t.WInDate == input.WInDate.Value)
				.WhereIf(input.WOutDate.HasValue, t =&gt; t.WOutDate == input.WOutDate.Value)
				.WhereIf(input.EdIn.HasValue, t =&gt; t.EdIn == input.EdIn.Value)
				.WhereIf(input.TInPlanDatetime.HasValue, t =&gt; t.TInPlanDatetime == input.TInPlanDatetime.Value)
				.WhereIf(!string.IsNullOrWhiteSpace(input.Cfc), e =&gt; e.Cfc.Contains(input.Cfc))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3"/>
  <sheetViews>
    <sheetView workbookViewId="0">
      <selection activeCell="C24" sqref="C24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289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Welding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welding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WldAdoWeldingPlan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WeldingPlan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weldingplan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264</v>
      </c>
      <c r="I9" s="46" t="s">
        <v>258</v>
      </c>
      <c r="J9" s="45" t="s">
        <v>220</v>
      </c>
      <c r="K9" s="47" t="s">
        <v>259</v>
      </c>
      <c r="L9" s="46" t="s">
        <v>263</v>
      </c>
      <c r="M9" s="45" t="s">
        <v>251</v>
      </c>
      <c r="N9" s="45" t="s">
        <v>221</v>
      </c>
      <c r="O9" s="45" t="s">
        <v>222</v>
      </c>
      <c r="P9" s="46" t="s">
        <v>224</v>
      </c>
      <c r="Q9" s="45" t="s">
        <v>252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WldAdoWeldingPlanDto, WldAdoWeldingPlanServiceProxy } from '@shared/service-proxies/service-proxies';
import { finalize } from 'rxjs/internal/operators/finalize';
import { CreateOrEditWeldingPlanModalComponent } from './create-or-edit-weldingplan-modal.component';
import { DatePipe } from '@angular/common';
import { FileDownloadService } from '@shared/utils/file-download.service';
import ceil from 'lodash-es/ceil';
import { Paginator } from 'primeng/paginator';
@Component({
    templateUrl: './weldingplan.component.html',
    styleUrls: ['./weldingplan.component.less'],
})
export class WeldingPlanComponent extends AppComponentBase implements OnInit {
    @ViewChild('createOrEditModalWeldingPlan', { static: true }) createOrEditModalWeldingPlan:| CreateOrEditWeldingPlanModalComponent|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WldAdoWeldingPlanDto = new WldAdoWeldingPlanDto();
    saveSelectedRow: WldAdoWeldingPlanDto = new WldAdoWeldingPlanDto();
    datas: WldAdoWeldingPlanDto = new WldAdoWeldingPlanDto();
    isLoading: boolean = false;
    dataParams: GridParams | undefined;
    rowData: any[] = [];
    gridApi!: GridApi;
    rowSelection = 'multiple';
    filter: string = '';
	pipe = new DatePipe('en-US');
    model : string = '' ; 
	lotNo : string = '' ; 
	noInLot : number = 0 ;
	bodyNo : string = '' ; 
	color : string = '' ; 
	planTime : string = '' ; 
	requestDate : any ;
	shift : string = '' ; 
	wInDate : any ;
	wOutDate : any ;
	edIn : any ;
	tInPlanDatetime : any ;
	vehicleId
	cfc : string = '' ; 
	weldingId
assemblyId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WldAdoWeldingPlanServiceProxy,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this.l('Plan Time'),headerTooltip: this.l('Plan Time'),field: 'planTime',flex: 1},
			{headerName: this.l('Request Date'),headerTooltip: this.l('Request Date'),field: 'requestDate',valueGetter: (params) =&gt; this.pipe.transform(params.data?.requestDate, 'dd/MM/yyyy'),flex: 1},
			{headerName: this.l('Shift'),headerTooltip: this.l('Shift'),field: 'shift',flex: 1},
			{headerName: this.l('W In Date'),headerTooltip: this.l('W In Date'),field: 'wInDate',valueGetter: (params) =&gt; this.pipe.transform(params.data?.wInDate, 'dd/MM/yyyy'),flex: 1},
			{headerName: this.l('W Out Date'),headerTooltip: this.l('W Out Date'),field: 'wOutDate',valueGetter: (params) =&gt; this.pipe.transform(params.data?.wOutDate, 'dd/MM/yyyy'),flex: 1},
			{headerName: this.l('Ed In'),headerTooltip: this.l('Ed In'),field: 'edIn',valueGetter: (params) =&gt; this.pipe.transform(params.data?.edIn, 'dd/MM/yyyy'),flex: 1},
			{headerName: this.l('T In Plan Datetime'),headerTooltip: this.l('T In Plan Datetime'),field: 'tInPlanDatetime',valueGetter: (params) =&gt; this.pipe.transform(params.data?.tInPlanDatetime, 'dd/MM/yyyy'),flex: 1},
			{headerName: this.l('Vehicle Id'),headerTooltip: this.l('Vehicle Id'),field: 'vehicleId',flex: 1},
			{headerName: this.l('Cfc'),headerTooltip: this.l('Cfc'),field: 'cfc',flex: 1},
			{headerName: this.l('Welding Id'),headerTooltip: this.l('Welding Id'),field: 'weldingId',flex: 1},
			{headerName: this.l('Assembly Id'),headerTooltip: this.l('Assembly Id'),field: 'assemblyId',flex: 1},      	  
        ];
    }
    ngOnInit(): void {
        this.paginationParams = { pageNum: 1, pageSize: 20, totalCount: 0 };
    }
    searchDatas(): void {
        // this.paginator.changePage(this.paginator.getPage());
        this._service.getAll(
			this.model,
			this.lotNo,
			this.noInLot,
			this.bodyNo,
			this.color,
			this.planTime,
			this.requestDate,
			this.shift,
			this.wInDate,
			this.wOutDate,
			this.edIn,
			this.tInPlanDatetime,
			this.vehicleId,
			this.cfc,
			this.weldingId,
			this.assemblyId,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this.lotNo = '',
		this.noInLot = 0,
		this.bodyNo = '',
		this.color = '',
		this.planTime = '',
		this.requestDate = '',
		this.shift = '',
		this.wInDate = '',
		this.wOutDate = '',
		this.edIn = '',
		this.tInPlanDatetime = '',
		this.vehicleId = '',
		this.cfc = '',
		this.weldingId = '',
this.assemblyId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this.lotNo,
			this.noInLot,
			this.bodyNo,
			this.color,
			this.planTime,
			this.requestDate,
			this.shift,
			this.wInDate,
			this.wOutDate,
			this.edIn,
			this.tInPlanDatetime,
			this.vehicleId,
			this.cfc,
			this.weldingId,
			this.assemblyId,
			'',
            this.paginationParams.skipCount,
            this.paginationParams.pageSize
        );
    }
    onChangeRowSelection(params: { api: { getSelectedRows: () =&gt; WldAdoWeldingPlanDto[] } }) {
        this.saveSelectedRow = params.api.getSelectedRows()[0] ?? new WldAdoWeldingPlanDto();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WldAdoWeldingPlanDto):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this._service.getWeldingPlanToExcel(
			this.model,
			this.lotNo,
			this.noInLot,
			this.bodyNo,
			this.color,
			this.planTime,
			this.requestDate,
			this.shift,
			this.wInDate,
			this.wOutDate,
			this.edIn,
			this.tInPlanDatetime,
			this.vehicleId,
			this.cfc,
			this.weldingId,
			this.assemblyId,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Welding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[(ngModel)]='planTime' name='planTime'
									class='form-control' [placeholder]="l('Plan Time')"
									type='text' (keyup.enter)='searchDatas()'&gt;
								&lt;/div&gt;
								&lt;div class='input-search'&gt;
									&lt;input type='text' [placeholder]="l('Request Date')" [(ngModel)]='requestDate' 
									name='requestDate'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[placeholder]="l('W In Date')" [(ngModel)]='wInDate' 
									name='wInDate'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[placeholder]="l('W Out Date')" [(ngModel)]='wOutDate' 
									name='wOutDate'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[placeholder]="l('Ed In')" [(ngModel)]='edIn' 
									name='edIn'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 In Plan Datetime')" [(ngModel)]='tInPlanDatetime' 
									name='tInPlanDatetime'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[(ngModel)]='cfc' name='cfc'
									class='form-control' [placeholder]="l('Cfc')"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(click)="createOrEditModalWeldingPlan.show()"&gt;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(click)="createOrEditModalWeldingPlan.show(selectedRow)"&gt;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&lt;create-or-edit-weldingplan-modal
    #createOrEditModalWeldingPlan
    (modalSave)="callBackDataGrid(dataParams)"
    (modalClose)="onChangeRowSelection(dataParams)"
&gt;
&lt;/create-or-edit-weldingplan-modal&gt;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#createOrEditModalWeldingPlan="bs-modal"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WeldingPlan')}}&lt;/h3&gt;
                    &lt;h3 *ngIf="!rowdata.id"&gt;{{('Create New WeldingPlan')}}&lt;/h3&gt;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title'&gt;Plan Time&lt;/label&gt;
						&lt;input type='text' class='col-md-10 form-control input-text' name='PlanTime' [(ngModel)]='rowdata.planTime'&gt;
					&lt;/div&gt;
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title'&gt;W In Date&lt;/label&gt;
						&lt;input type='text' class='col-md-10 form-control input-text' name='wInDate' 
						#datepicker='bsDatepicker' [(ngModel)]='rowdata.wInDate'  bsDatepicker &gt;
					&lt;/div&gt;
					&lt;div class='col-md-12 form-group row'&gt;
						&lt;label class='col-md-2 form-control title'&gt;W Out Date&lt;/label&gt;
						&lt;input type='text' class='col-md-10 form-control input-text' name='wOutDate' 
						#datepicker='bsDatepicker' [(ngModel)]='rowdata.wOutDate'  bsDatepicker &gt;
					&lt;/div&gt;
					&lt;div class='col-md-12 form-group row'&gt;
						&lt;label class='col-md-2 form-control title'&gt;Ed In&lt;/label&gt;
						&lt;input type='text' class='col-md-10 form-control input-text' name='edIn' 
						#datepicker='bsDatepicker' [(ngModel)]='rowdata.edIn'  bsDatepicker &gt;
					&lt;/div&gt;
					&lt;div class='col-md-12 form-group row'&gt;
						&lt;label class='col-md-2 form-control title'&gt;T In Plan Datetime&lt;/label&gt;
						&lt;input type='text' class='col-md-10 form-control input-text' name='tInPlanDatetime' 
						#datepicker='bsDatepicker' [(ngModel)]='rowdata.tInPlanDatetime'  bsDatepicker &gt;
					&lt;/div&gt;
					&lt;div class='col-md-12 form-group row'&gt;
						&lt;label class='col-md-2 form-control title'&gt;Cfc&lt;/label&gt;
						&lt;input type='text' class='col-md-10 form-control input-text' name='Cfc' [(ngModel)]='rowdata.cfc'&gt;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CreateOrEditWldAdoWeldingPlanDto, WldAdoWeldingPlanServiceProxy } from '@shared/service-proxies/service-proxies';
import { BsDatepickerDirective } from 'ngx-bootstrap/datepicker';
@Component({
    selector: 'create-or-edit-weldingplan-modal',
    templateUrl: './create-or-edit-weldingplan-modal.component.html',
    styleUrls: ['./create-or-edit-weldingplan-modal.component.less']
    })
export class CreateOrEditWeldingPlanModalComponent extends AppComponentBase {
    @ViewChild('createOrEditModalWeldingPlan',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CreateOrEditWldAdoWeldingPlanDto = new CreateOrEditWldAdoWeldingPlanDto();
    active: boolean = false;
    saving: boolean = false;
    _: boolean;
    constructor(
        injector: Injector,
        private _mstwptWeldingPlanService: WldAdoWeldingPlanServiceProxy,
    ) 
    {
        super(injector);
    }
    show(rowdata?: CreateOrEditWldAdoWeldingPlanDto): void {
        if (!rowdata) this.rowdata = new CreateOrEditWldAdoWeldingPlanDto();
        else this.rowdata = rowdata;
		const dateValue =  this.rowdata.requestDate ? new Date(this.rowdata.requestDate?.toString()) : new Date();
		this.datepicker?.bsValueChange.emit(dateValue);
		const dateValue =  this.rowdata.wInDate ? new Date(this.rowdata.wInDate?.toString()) : new Date();
		this.datepicker?.bsValueChange.emit(dateValue);
		const dateValue =  this.rowdata.wOutDate ? new Date(this.rowdata.wOutDate?.toString()) : new Date();
		this.datepicker?.bsValueChange.emit(dateValue);
		const dateValue =  this.rowdata.edIn ? new Date(this.rowdata.edIn?.toString()) : new Date();
		this.datepicker?.bsValueChange.emit(dateValue);
		const dateValue =  this.rowdata.tInPlanDatetime ? new Date(this.rowdata.tInPlanDatetime?.toString())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this._mstwptWeldingPlanService.createOrEdit(this.rowdata)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WeldingPlanRoutingModule } from './weldingplan-routing.module';
import { WeldingPlanComponent } from './weldingplan.component';
import { CreateOrEditWeldingPlanModalComponent } from './create-or-edit-weldingplan-modal.component';
@NgModule({
    declarations: [
       WeldingPlanComponent, 
        CreateOrEditWeldingPlanModalComponent
    ],
    imports: [
        AppSharedModule, WeldingPlanRoutingModule]
})
export class WeldingPlanModule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WeldingPlanComponent } from './weldingplan.component';
const routes: Routes = [{
    path: '',
    component: WeldingPlanComponent,
    pathMatch: 'full'
}];
@NgModule({
    imports: [RouterModule.forChild(routes)],
    exports: [RouterModule],
})
export class WeldingPlanRoutingModule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AppMenuItem("WeldingPlan", "Pages.Welding.Andon.WeldingPlan", "flaticon-book",   "/app/main/welding/andon/weldingplan"),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'welding/andon/weldingplan',
    loadChildren: () =&gt; import('./welding/andon/weldingplan/weldingplan.module').then(m =&gt; m.WeldingPlanModule),
    data: { permission: 'Pages.Welding.Andon.WeldingPlan' }
},</v>
      </c>
      <c r="R10" s="50" t="str">
        <f>SUBSTITUTE(R9,"MstWptCalendar",$B$6)</f>
        <v>ApiServiceProxies.WldAdoWeldingPlanServiceProxy,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250</v>
      </c>
      <c r="I11" s="31" t="s">
        <v>265</v>
      </c>
      <c r="J11" s="31"/>
      <c r="K11" s="31" t="s">
        <v>262</v>
      </c>
      <c r="L11" s="31" t="s">
        <v>266</v>
      </c>
      <c r="M11" s="38"/>
      <c r="N11" s="31"/>
      <c r="O11" s="31"/>
      <c r="P11" s="31"/>
      <c r="Q11" s="31"/>
      <c r="R11" s="31"/>
      <c r="S11" s="31" t="s">
        <v>255</v>
      </c>
      <c r="T11" s="31" t="s">
        <v>256</v>
      </c>
      <c r="U11" s="31" t="s">
        <v>267</v>
      </c>
      <c r="V11" s="71" t="s">
        <v>269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H30</v>
      </c>
      <c r="I12" s="31" t="str">
        <f>"I"&amp;COUNTA($A:$A)</f>
        <v>I30</v>
      </c>
      <c r="J12" s="31"/>
      <c r="K12" s="31" t="str">
        <f>"K"&amp;COUNTA($A:$A)</f>
        <v>K30</v>
      </c>
      <c r="L12" s="31" t="str">
        <f>"L"&amp;COUNTA($A:$A)</f>
        <v>L30</v>
      </c>
      <c r="M12" s="31"/>
      <c r="N12" s="31"/>
      <c r="O12" s="31"/>
      <c r="P12" s="31"/>
      <c r="Q12" s="31"/>
      <c r="R12" s="31"/>
      <c r="S12" s="31" t="str">
        <f>"S"&amp;COUNTA($A:$A)</f>
        <v>S30</v>
      </c>
      <c r="T12" s="31" t="str">
        <f>"T"&amp;COUNTA($A:$A)</f>
        <v>T30</v>
      </c>
      <c r="U12" s="31" t="str">
        <f>"U"&amp;COUNTA($A:$A)</f>
        <v>U30</v>
      </c>
      <c r="V12" s="31" t="str">
        <f>"V"&amp;COUNTA($A:$A)</f>
        <v>V30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this.l('Plan Time'),headerTooltip: this.l('Plan Time'),field: 'planTime',flex: 1},
			{headerName: this.l('Request Date'),headerTooltip: this.l('Request Date'),field: 'requestDate',valueGetter: (params) =&gt; this.pipe.transform(params.data?.requestDate, 'dd/MM/yyyy'),flex: 1},
			{headerName: this.l('Shift'),headerTooltip: this.l('Shift'),field: 'shift',flex: 1},
			{headerName: this.l('W In Date'),headerTooltip: this.l('W In Date'),field: 'wInDate',valueGetter: (params) =&gt; this.pipe.transform(params.data?.wInDate, 'dd/MM/yyyy'),flex: 1},
			{headerName: this.l('W Out Date'),headerTooltip: this.l('W Out Date'),field: 'wOutDate',valueGetter: (params) =&gt; this.pipe.transform(params.data?.wOutDate, 'dd/MM/yyyy'),flex: 1},
			{headerName: this.l('Ed In'),headerTooltip: this.l('Ed In'),field: 'edIn',valueGetter: (params) =&gt; this.pipe.transform(params.data?.edIn, 'dd/MM/yyyy'),flex: 1},
			{headerName: this.l('T In Plan Datetime'),headerTooltip: this.l('T In Plan Datetime'),field: 'tInPlanDatetime',valueGetter: (params) =&gt; this.pipe.transform(params.data?.tInPlanDatetime, 'dd/MM/yyyy'),flex: 1},
			{headerName: this.l('Vehicle Id'),headerTooltip: this.l('Vehicle Id'),field: 'vehicleId',flex: 1},
			{headerName: this.l('Cfc'),headerTooltip: this.l('Cfc'),field: 'cfc',flex: 1},
			{headerName: this.l('Welding Id'),headerTooltip: this.l('Welding Id'),field: 'weldingId',flex: 1},
			{headerName: this.l('Assembly Id'),headerTooltip: this.l('Assembly Id'),field: 'assemblyId',flex: 1},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[(ngModel)]='planTime' name='planTime'
									class='form-control' [placeholder]="l('Plan Time')"
									type='text' (keyup.enter)='searchDatas()'&gt;
								&lt;/div&gt;
								&lt;div class='input-search'&gt;
									&lt;input type='text' [placeholder]="l('Request Date')" [(ngModel)]='requestDate' 
									name='requestDate'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[placeholder]="l('W In Date')" [(ngModel)]='wInDate' 
									name='wInDate'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[placeholder]="l('W Out Date')" [(ngModel)]='wOutDate' 
									name='wOutDate'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[placeholder]="l('Ed In')" [(ngModel)]='edIn' 
									name='edIn'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 In Plan Datetime')" [(ngModel)]='tInPlanDatetime' 
									name='tInPlanDatetime'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[(ngModel)]='cfc' name='cfc'
									class='form-control' [placeholder]="l('Cfc')"
									type='text' (keyup.enter)='searchDatas()'&gt;
								&lt;/div&gt;
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title'&gt;Plan Time&lt;/label&gt;
						&lt;input type='text' class='col-md-10 form-control input-text' name='PlanTime' [(ngModel)]='rowdata.planTime'&gt;
					&lt;/div&gt;
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title'&gt;W In Date&lt;/label&gt;
						&lt;input type='text' class='col-md-10 form-control input-text' name='wInDate' 
						#datepicker='bsDatepicker' [(ngModel)]='rowdata.wInDate'  bsDatepicker &gt;
					&lt;/div&gt;
					&lt;div class='col-md-12 form-group row'&gt;
						&lt;label class='col-md-2 form-control title'&gt;W Out Date&lt;/label&gt;
						&lt;input type='text' class='col-md-10 form-control input-text' name='wOutDate' 
						#datepicker='bsDatepicker' [(ngModel)]='rowdata.wOutDate'  bsDatepicker &gt;
					&lt;/div&gt;
					&lt;div class='col-md-12 form-group row'&gt;
						&lt;label class='col-md-2 form-control title'&gt;Ed In&lt;/label&gt;
						&lt;input type='text' class='col-md-10 form-control input-text' name='edIn' 
						#datepicker='bsDatepicker' [(ngModel)]='rowdata.edIn'  bsDatepicker &gt;
					&lt;/div&gt;
					&lt;div class='col-md-12 form-group row'&gt;
						&lt;label class='col-md-2 form-control title'&gt;T In Plan Datetime&lt;/label&gt;
						&lt;input type='text' class='col-md-10 form-control input-text' name='tInPlanDatetime' 
						#datepicker='bsDatepicker' [(ngModel)]='rowdata.tInPlanDatetime'  bsDatepicker &gt;
					&lt;/div&gt;
					&lt;div class='col-md-12 form-group row'&gt;
						&lt;label class='col-md-2 form-control title'&gt;Cfc&lt;/label&gt;
						&lt;input type='text' class='col-md-10 form-control input-text' name='Cfc' [(ngModel)]='rowdata.cfc'&gt;
					&lt;/div&gt;
</v>
      </c>
      <c r="L13" s="60" t="str">
        <f ca="1">TEXTJOIN2("
",TRUE,INDIRECT(L11):INDIRECT(L12))</f>
        <v xml:space="preserve">		const dateValue =  this.rowdata.requestDate ? new Date(this.rowdata.requestDate?.toString()) : new Date();
		this.datepicker?.bsValueChange.emit(dateValue);
		const dateValue =  this.rowdata.wInDate ? new Date(this.rowdata.wInDate?.toString()) : new Date();
		this.datepicker?.bsValueChange.emit(dateValue);
		const dateValue =  this.rowdata.wOutDate ? new Date(this.rowdata.wOutDate?.toString()) : new Date();
		this.datepicker?.bsValueChange.emit(dateValue);
		const dateValue =  this.rowdata.edIn ? new Date(this.rowdata.edIn?.toString()) : new Date();
		this.datepicker?.bsValueChange.emit(dateValue);
		const dateValue =  this.rowdata.tInPlanDatetime ? new Date(this.rowdata.tInPlanDatetime?.toString())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>model : string = '' ; 
	lotNo : string = '' ; 
	noInLot : number = 0 ;
	bodyNo : string = '' ; 
	color : string = '' ; 
	planTime : string = '' ; 
	requestDate : any ;
	shift : string = '' ; 
	wInDate : any ;
	wOutDate : any ;
	edIn : any ;
	tInPlanDatetime : any ;
	vehicleId
	cfc : string = '' ; 
	weldingId
assemblyId</v>
      </c>
      <c r="T13" s="68" t="str">
        <f ca="1">TEXTJOIN2("
",TRUE,INDIRECT(T11):INDIRECT(T12))</f>
        <v xml:space="preserve">			this.model,
			this.lotNo,
			this.noInLot,
			this.bodyNo,
			this.color,
			this.planTime,
			this.requestDate,
			this.shift,
			this.wInDate,
			this.wOutDate,
			this.edIn,
			this.tInPlanDatetime,
			this.vehicleId,
			this.cfc,
			this.weldingId,
			this.assemblyId,</v>
      </c>
      <c r="U13" s="68" t="str">
        <f ca="1">TEXTJOIN2("
",TRUE,INDIRECT(U11):INDIRECT(U12))</f>
        <v>this.model = '',
		this.lotNo = '',
		this.noInLot = 0,
		this.bodyNo = '',
		this.color = '',
		this.planTime = '',
		this.requestDate = '',
		this.shift = '',
		this.wInDate = '',
		this.wOutDate = '',
		this.edIn = '',
		this.tInPlanDatetime = '',
		this.vehicleId = '',
		this.cfc = '',
		this.weldingId = '',
this.assemblyId = '',</v>
      </c>
      <c r="V13" s="31" t="str">
        <f ca="1">TEXTJOIN2("
",TRUE,INDIRECT(V11):INDIRECT(V12))</f>
        <v/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weldingplan.component.ts</v>
      </c>
      <c r="I14" s="40" t="str">
        <f>B8&amp;".component.html"</f>
        <v>weldingplan.component.html</v>
      </c>
      <c r="J14" s="39" t="str">
        <f>B8&amp;".component.less"</f>
        <v>weldingplan.component.less</v>
      </c>
      <c r="K14" s="40" t="str">
        <f>"create-or-edit-"&amp;B8&amp;"-modal.component.html"</f>
        <v>create-or-edit-weldingplan-modal.component.html</v>
      </c>
      <c r="L14" s="40" t="str">
        <f>"create-or-edit-"&amp;B8&amp;"-modal.component.ts"</f>
        <v>create-or-edit-weldingplan-modal.component.ts</v>
      </c>
      <c r="M14" s="40" t="str">
        <f>"create-or-edit-"&amp;B8&amp;"-modal.component.less"</f>
        <v>create-or-edit-weldingplan-modal.component.less</v>
      </c>
      <c r="N14" s="40" t="str">
        <f>B8&amp;".module.ts"</f>
        <v>weldingplan.module.ts</v>
      </c>
      <c r="O14" s="40" t="str">
        <f>B8&amp;"-routing.module.ts"</f>
        <v>weldingplan-routing.module.ts</v>
      </c>
      <c r="P14" s="40" t="s">
        <v>223</v>
      </c>
      <c r="Q14" s="40" t="s">
        <v>226</v>
      </c>
      <c r="R14" s="41" t="s">
        <v>233</v>
      </c>
      <c r="S14" s="40" t="s">
        <v>253</v>
      </c>
      <c r="T14" s="40" t="s">
        <v>254</v>
      </c>
      <c r="U14" s="40" t="s">
        <v>257</v>
      </c>
      <c r="V14" s="40" t="s">
        <v>268</v>
      </c>
    </row>
    <row r="15" spans="1:22" ht="18" customHeight="1" x14ac:dyDescent="0.25">
      <c r="A15" s="44" t="s">
        <v>273</v>
      </c>
      <c r="B15" s="31" t="str">
        <f>SUBSTITUTE(PROPER(A15),"_","")</f>
        <v>Model</v>
      </c>
      <c r="C15" s="31" t="str">
        <f>SUBSTITUTE(PROPER(A15),"_"," ")</f>
        <v>Model</v>
      </c>
      <c r="D15" s="31" t="str">
        <f>LOWER(LEFT(B15,1))&amp;RIGHT(B15,LEN(B15) - 1)</f>
        <v>model</v>
      </c>
      <c r="E15" s="72" t="str">
        <f>A.Backend!H9</f>
        <v>string</v>
      </c>
      <c r="F15" s="72" t="str">
        <f>A.Backend!G9</f>
        <v>20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this.l('Model'),headerTooltip: this.l('Model'),field: 'model',flex: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model : string = '' ; </v>
      </c>
      <c r="T15" s="31" t="str">
        <f>REPT(CHAR(9),3)&amp;"this."&amp;D15&amp;","</f>
        <v xml:space="preserve">			this.model,</v>
      </c>
      <c r="U15" s="31" t="str">
        <f>IF(E15="int","this."&amp;D15&amp;" = 0,","this."&amp;D15&amp;" = '',")</f>
        <v>this.model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 t="shared" ref="B16" si="0">SUBSTITUTE(PROPER(A16),"_","")</f>
        <v>LotNo</v>
      </c>
      <c r="C16" s="31" t="str">
        <f t="shared" ref="C16" si="1">SUBSTITUTE(PROPER(A16),"_"," ")</f>
        <v>Lot No</v>
      </c>
      <c r="D16" s="31" t="str">
        <f t="shared" ref="D16" si="2">LOWER(LEFT(B16,1))&amp;RIGHT(B16,LEN(B16) - 1)</f>
        <v>lotNo</v>
      </c>
      <c r="E16" s="72" t="str">
        <f>A.Backend!H10</f>
        <v>string</v>
      </c>
      <c r="F16" s="72" t="str">
        <f>A.Backend!G10</f>
        <v>10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this.l('Lot No'),headerTooltip: this.l('Lot No'),field: 'lotNo',flex: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18" si="8">REPT(CHAR(9),1)&amp;D16&amp;G16</f>
        <v xml:space="preserve">	lotNo : string = '' ; </v>
      </c>
      <c r="T16" s="31" t="str">
        <f t="shared" ref="T16:T18" si="9">REPT(CHAR(9),3)&amp;"this."&amp;D16&amp;","</f>
        <v xml:space="preserve">			this.lotNo,</v>
      </c>
      <c r="U16" s="31" t="str">
        <f t="shared" ref="U16:U18" si="10">IF(E16="int",REPT(CHAR(9),2)&amp;"this."&amp;D16&amp;" = 0,",REPT(CHAR(9),2)&amp;"this."&amp;D16&amp;" = '',")</f>
        <v xml:space="preserve">		this.lotNo = '',</v>
      </c>
      <c r="V16" s="31" t="str">
        <f t="shared" ref="V16:V18" si="11">IF(AND(E16="string",F16="1"),D16,"")</f>
        <v/>
      </c>
    </row>
    <row r="17" spans="1:22" ht="18" customHeight="1" x14ac:dyDescent="0.25">
      <c r="A17" s="44" t="s">
        <v>277</v>
      </c>
      <c r="B17" s="31" t="str">
        <f>SUBSTITUTE(PROPER(A17),"_","")</f>
        <v>NoInLot</v>
      </c>
      <c r="C17" s="31" t="str">
        <f>SUBSTITUTE(PROPER(A17),"_"," ")</f>
        <v>No In Lot</v>
      </c>
      <c r="D17" s="31" t="str">
        <f>LOWER(LEFT(B17,1))&amp;RIGHT(B17,LEN(B17) - 1)</f>
        <v>noInLot</v>
      </c>
      <c r="E17" s="72" t="str">
        <f>A.Backend!H11</f>
        <v>int</v>
      </c>
      <c r="F17" s="72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this.l('No In Lot'),headerTooltip: this.l('No In Lot'),field: 'noInLot',flex: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 xml:space="preserve">	noInLot : number = 0 ;</v>
      </c>
      <c r="T17" s="31" t="str">
        <f t="shared" si="9"/>
        <v xml:space="preserve">			this.noInLot,</v>
      </c>
      <c r="U17" s="31" t="str">
        <f t="shared" si="10"/>
        <v xml:space="preserve">		this.noInLot = 0,</v>
      </c>
      <c r="V17" s="31" t="str">
        <f t="shared" si="11"/>
        <v/>
      </c>
    </row>
    <row r="18" spans="1:22" ht="15" customHeight="1" x14ac:dyDescent="0.25">
      <c r="A18" s="44" t="s">
        <v>278</v>
      </c>
      <c r="B18" s="31" t="str">
        <f t="shared" ref="B18" si="12">SUBSTITUTE(PROPER(A18),"_","")</f>
        <v>BodyNo</v>
      </c>
      <c r="C18" s="31" t="str">
        <f t="shared" ref="C18" si="13">SUBSTITUTE(PROPER(A18),"_"," ")</f>
        <v>Body No</v>
      </c>
      <c r="D18" s="31" t="str">
        <f t="shared" ref="D18" si="14">LOWER(LEFT(B18,1))&amp;RIGHT(B18,LEN(B18) - 1)</f>
        <v>bodyNo</v>
      </c>
      <c r="E18" s="72" t="str">
        <f>A.Backend!H12</f>
        <v>string</v>
      </c>
      <c r="F18" s="72" t="str">
        <f>A.Backend!G12</f>
        <v>10</v>
      </c>
      <c r="G18" s="31" t="str">
        <f t="shared" si="3"/>
        <v xml:space="preserve"> : string = '' ; </v>
      </c>
      <c r="H18" s="38" t="str">
        <f t="shared" si="4"/>
        <v xml:space="preserve">			{headerName: this.l('Body No'),headerTooltip: this.l('Body No'),field: 'bodyNo',flex: 1},</v>
      </c>
      <c r="I18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bodyNo : string = '' ; </v>
      </c>
      <c r="T18" s="31" t="str">
        <f t="shared" si="9"/>
        <v xml:space="preserve">			this.bodyNo,</v>
      </c>
      <c r="U18" s="31" t="str">
        <f t="shared" si="10"/>
        <v xml:space="preserve">		this.bodyNo = '',</v>
      </c>
      <c r="V18" s="31" t="str">
        <f t="shared" si="11"/>
        <v/>
      </c>
    </row>
    <row r="19" spans="1:22" ht="15" customHeight="1" x14ac:dyDescent="0.25">
      <c r="A19" s="44" t="s">
        <v>279</v>
      </c>
      <c r="B19" s="31" t="str">
        <f t="shared" ref="B19:B20" si="15">SUBSTITUTE(PROPER(A19),"_","")</f>
        <v>Color</v>
      </c>
      <c r="C19" s="31" t="str">
        <f t="shared" ref="C19:C20" si="16">SUBSTITUTE(PROPER(A19),"_"," ")</f>
        <v>Color</v>
      </c>
      <c r="D19" s="31" t="str">
        <f t="shared" ref="D19:D20" si="17">LOWER(LEFT(B19,1))&amp;RIGHT(B19,LEN(B19) - 1)</f>
        <v>color</v>
      </c>
      <c r="E19" s="72" t="str">
        <f>A.Backend!H13</f>
        <v>string</v>
      </c>
      <c r="F19" s="72" t="str">
        <f>A.Backend!G13</f>
        <v>20</v>
      </c>
      <c r="G19" s="31" t="str">
        <f t="shared" ref="G19:G26" si="18">IF(E19="string"," : string = '' ; ",IF(OR(E19="DateTime",E19="TimeSpan")," : any ;",IF(E19="int"," : number = 0 ;","")))</f>
        <v xml:space="preserve"> : string = '' ; 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REPT(CHAR(9),3)&amp;"{headerName: this.l('"&amp;C19&amp;"'),headerTooltip: this.l('"&amp;C19&amp;"'),field: '"&amp;D19&amp;"',flex: 1},")</f>
        <v xml:space="preserve">			{headerName: this.l('Color'),headerTooltip: this.l('Color'),field: 'color',flex: 1},</v>
      </c>
      <c r="I19" s="38" t="str">
        <f t="shared" ref="I19:I26" si="19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9" s="31"/>
      <c r="K19" s="38" t="str">
        <f t="shared" ref="K19:K26" si="20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"&amp;REPT(CHAR(9),6)&amp;"&lt;input class='col-md-10 form-control checkboxActive' type='checkbox' name='"&amp;D19&amp;"'
"&amp;REPT(CHAR(9),6)&amp;"[checked]='_"&amp;D19&amp;"' (change)='changeActive($event)'&gt;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9" s="60" t="str">
        <f t="shared" ref="L19:L26" si="21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color : string = '' ; </v>
      </c>
      <c r="T19" s="31" t="str">
        <f>REPT(CHAR(9),3)&amp;"this."&amp;D19&amp;","</f>
        <v xml:space="preserve">			this.color,</v>
      </c>
      <c r="U19" s="31" t="str">
        <f>IF(E19="int",REPT(CHAR(9),2)&amp;"this."&amp;D19&amp;" = 0,",REPT(CHAR(9),2)&amp;"this."&amp;D19&amp;" = '',")</f>
        <v xml:space="preserve">		this.color = '',</v>
      </c>
      <c r="V19" s="31" t="str">
        <f t="shared" ref="V19:V26" si="22">IF(AND(E19="string",F19="1"),D19,"")</f>
        <v/>
      </c>
    </row>
    <row r="20" spans="1:22" ht="18" customHeight="1" x14ac:dyDescent="0.25">
      <c r="A20" s="44" t="s">
        <v>280</v>
      </c>
      <c r="B20" s="31" t="str">
        <f t="shared" si="15"/>
        <v>PlanTime</v>
      </c>
      <c r="C20" s="31" t="str">
        <f t="shared" si="16"/>
        <v>Plan Time</v>
      </c>
      <c r="D20" s="31" t="str">
        <f t="shared" si="17"/>
        <v>planTime</v>
      </c>
      <c r="E20" s="72" t="str">
        <f>A.Backend!H14</f>
        <v>string</v>
      </c>
      <c r="F20" s="72" t="str">
        <f>A.Backend!G14</f>
        <v>10</v>
      </c>
      <c r="G20" s="31" t="str">
        <f t="shared" si="18"/>
        <v xml:space="preserve"> : string = '' ; </v>
      </c>
      <c r="H20" s="38" t="str">
        <f t="shared" ref="H20:H23" si="23"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this.l('Plan Time'),headerTooltip: this.l('Plan Time'),field: 'planTime',flex: 1},</v>
      </c>
      <c r="I20" s="38" t="str">
        <f t="shared" si="19"/>
        <v xml:space="preserve">								&lt;div class='input-search'&gt;
									&lt;input [(ngModel)]='planTime' name='planTime'
									class='form-control' [placeholder]="l('Plan Time')"
									type='text' (keyup.enter)='searchDatas()'&gt;
								&lt;/div&gt;</v>
      </c>
      <c r="J20" s="31"/>
      <c r="K20" s="38" t="str">
        <f t="shared" si="20"/>
        <v xml:space="preserve">					&lt;div class='col-md-12 form-group row'&gt;
						&lt;label class='col-md-2 form-control title'&gt;Plan Time&lt;/label&gt;
						&lt;input type='text' class='col-md-10 form-control input-text' name='PlanTime' [(ngModel)]='rowdata.planTime'&gt;
					&lt;/div&gt;</v>
      </c>
      <c r="L20" s="60" t="str">
        <f t="shared" si="21"/>
        <v/>
      </c>
      <c r="M20" s="31"/>
      <c r="N20" s="31"/>
      <c r="O20" s="31"/>
      <c r="P20" s="31"/>
      <c r="Q20" s="31"/>
      <c r="R20" s="31"/>
      <c r="S20" s="31" t="str">
        <f t="shared" ref="S20:S26" si="24">REPT(CHAR(9),1)&amp;D20&amp;G20</f>
        <v xml:space="preserve">	planTime : string = '' ; </v>
      </c>
      <c r="T20" s="31" t="str">
        <f t="shared" ref="T20:T26" si="25">REPT(CHAR(9),3)&amp;"this."&amp;D20&amp;","</f>
        <v xml:space="preserve">			this.planTime,</v>
      </c>
      <c r="U20" s="31" t="str">
        <f t="shared" ref="U20:U26" si="26">IF(E20="int",REPT(CHAR(9),2)&amp;"this."&amp;D20&amp;" = 0,",REPT(CHAR(9),2)&amp;"this."&amp;D20&amp;" = '',")</f>
        <v xml:space="preserve">		this.planTime = '',</v>
      </c>
      <c r="V20" s="31" t="str">
        <f t="shared" si="22"/>
        <v/>
      </c>
    </row>
    <row r="21" spans="1:22" ht="18" customHeight="1" x14ac:dyDescent="0.25">
      <c r="A21" s="44" t="s">
        <v>281</v>
      </c>
      <c r="B21" s="31" t="str">
        <f>SUBSTITUTE(PROPER(A21),"_","")</f>
        <v>RequestDate</v>
      </c>
      <c r="C21" s="31" t="str">
        <f>SUBSTITUTE(PROPER(A21),"_"," ")</f>
        <v>Request Date</v>
      </c>
      <c r="D21" s="31" t="str">
        <f>LOWER(LEFT(B21,1))&amp;RIGHT(B21,LEN(B21) - 1)</f>
        <v>requestDate</v>
      </c>
      <c r="E21" s="72" t="str">
        <f>A.Backend!H15</f>
        <v>DateTime</v>
      </c>
      <c r="F21" s="72" t="str">
        <f>A.Backend!G15</f>
        <v>7</v>
      </c>
      <c r="G21" s="31" t="str">
        <f t="shared" ref="G21" si="27">IF(E21="string"," : string = '' ; ",IF(OR(E21="DateTime",E21="TimeSpan")," : any ;",IF(E21="int"," : number = 0 ;","")))</f>
        <v xml:space="preserve"> : any ;</v>
      </c>
      <c r="H21" s="38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this.l('Request Date'),headerTooltip: this.l('Request Date'),field: 'requestDate',valueGetter: (params) =&gt; this.pipe.transform(params.data?.requestDate, 'dd/MM/yyyy'),flex: 1},</v>
      </c>
      <c r="I21" s="38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type='text' [placeholder]="l('Request Date')" [(ngModel)]='requestDate' 
									name='requestDate'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</v>
      </c>
      <c r="L21" s="60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 xml:space="preserve">		const dateValue =  this.rowdata.requestDate ? new Date(this.rowdata.requestDate?.toString())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 t="shared" ref="S21" si="32">REPT(CHAR(9),1)&amp;D21&amp;G21</f>
        <v xml:space="preserve">	requestDate : any ;</v>
      </c>
      <c r="T21" s="31" t="str">
        <f t="shared" ref="T21" si="33">REPT(CHAR(9),3)&amp;"this."&amp;D21&amp;","</f>
        <v xml:space="preserve">			this.requestDate,</v>
      </c>
      <c r="U21" s="31" t="str">
        <f t="shared" ref="U21" si="34">IF(E21="int",REPT(CHAR(9),2)&amp;"this."&amp;D21&amp;" = 0,",REPT(CHAR(9),2)&amp;"this."&amp;D21&amp;" = '',")</f>
        <v xml:space="preserve">		this.requestDate = '',</v>
      </c>
      <c r="V21" s="31" t="str">
        <f t="shared" ref="V21" si="35">IF(AND(E21="string",F21="1"),D21,"")</f>
        <v/>
      </c>
    </row>
    <row r="22" spans="1:22" ht="18" customHeight="1" x14ac:dyDescent="0.25">
      <c r="A22" s="44" t="s">
        <v>282</v>
      </c>
      <c r="B22" s="31" t="str">
        <f>SUBSTITUTE(PROPER(A22),"_","")</f>
        <v>Shift</v>
      </c>
      <c r="C22" s="31" t="str">
        <f>SUBSTITUTE(PROPER(A22),"_"," ")</f>
        <v>Shift</v>
      </c>
      <c r="D22" s="31" t="str">
        <f>LOWER(LEFT(B22,1))&amp;RIGHT(B22,LEN(B22) - 1)</f>
        <v>shift</v>
      </c>
      <c r="E22" s="72" t="str">
        <f>A.Backend!H16</f>
        <v>string</v>
      </c>
      <c r="F22" s="72" t="str">
        <f>A.Backend!G16</f>
        <v>20</v>
      </c>
      <c r="G22" s="31" t="str">
        <f t="shared" si="18"/>
        <v xml:space="preserve"> : string = '' ; </v>
      </c>
      <c r="H22" s="38" t="str">
        <f t="shared" si="23"/>
        <v xml:space="preserve">			{headerName: this.l('Shift'),headerTooltip: this.l('Shift'),field: 'shift',flex: 1},</v>
      </c>
      <c r="I22" s="38" t="str">
        <f t="shared" si="19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22" s="31"/>
      <c r="K22" s="38" t="str">
        <f t="shared" si="20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22" s="60" t="str">
        <f t="shared" si="21"/>
        <v/>
      </c>
      <c r="M22" s="31"/>
      <c r="N22" s="31"/>
      <c r="O22" s="31"/>
      <c r="P22" s="31"/>
      <c r="Q22" s="31"/>
      <c r="R22" s="31"/>
      <c r="S22" s="31" t="str">
        <f t="shared" si="24"/>
        <v xml:space="preserve">	shift : string = '' ; </v>
      </c>
      <c r="T22" s="31" t="str">
        <f t="shared" si="25"/>
        <v xml:space="preserve">			this.shift,</v>
      </c>
      <c r="U22" s="31" t="str">
        <f t="shared" si="26"/>
        <v xml:space="preserve">		this.shift = '',</v>
      </c>
      <c r="V22" s="31" t="str">
        <f t="shared" si="22"/>
        <v/>
      </c>
    </row>
    <row r="23" spans="1:22" ht="15" customHeight="1" x14ac:dyDescent="0.25">
      <c r="A23" s="44" t="s">
        <v>283</v>
      </c>
      <c r="B23" s="31" t="str">
        <f t="shared" ref="B23:B24" si="36">SUBSTITUTE(PROPER(A23),"_","")</f>
        <v>WInDate</v>
      </c>
      <c r="C23" s="31" t="str">
        <f t="shared" ref="C23:C24" si="37">SUBSTITUTE(PROPER(A23),"_"," ")</f>
        <v>W In Date</v>
      </c>
      <c r="D23" s="31" t="str">
        <f t="shared" ref="D23:D24" si="38">LOWER(LEFT(B23,1))&amp;RIGHT(B23,LEN(B23) - 1)</f>
        <v>wInDate</v>
      </c>
      <c r="E23" s="72" t="str">
        <f>A.Backend!H17</f>
        <v>DateTime</v>
      </c>
      <c r="F23" s="72" t="str">
        <f>A.Backend!G17</f>
        <v>7</v>
      </c>
      <c r="G23" s="31" t="str">
        <f t="shared" si="18"/>
        <v xml:space="preserve"> : any ;</v>
      </c>
      <c r="H23" s="38" t="str">
        <f t="shared" si="23"/>
        <v xml:space="preserve">			{headerName: this.l('W In Date'),headerTooltip: this.l('W In Date'),field: 'wInDate',valueGetter: (params) =&gt; this.pipe.transform(params.data?.wInDate, 'dd/MM/yyyy'),flex: 1},</v>
      </c>
      <c r="I23" s="38" t="str">
        <f t="shared" si="19"/>
        <v xml:space="preserve">								&lt;div class='input-search'&gt;
									&lt;input type='text' [placeholder]="l('W In Date')" [(ngModel)]='wInDate' 
									name='wInDate'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20"/>
        <v xml:space="preserve">					&lt;div class='col-md-12 form-group row'&gt;
						&lt;label class='col-md-2 form-control title'&gt;W In Date&lt;/label&gt;
						&lt;input type='text' class='col-md-10 form-control input-text' name='wInDate' 
						#datepicker='bsDatepicker' [(ngModel)]='rowdata.wInDate'  bsDatepicker &gt;
					&lt;/div&gt;</v>
      </c>
      <c r="L23" s="60" t="str">
        <f t="shared" si="21"/>
        <v xml:space="preserve">		const dateValue =  this.rowdata.wInDate ? new Date(this.rowdata.wInDate?.toString())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si="24"/>
        <v xml:space="preserve">	wInDate : any ;</v>
      </c>
      <c r="T23" s="31" t="str">
        <f t="shared" si="25"/>
        <v xml:space="preserve">			this.wInDate,</v>
      </c>
      <c r="U23" s="31" t="str">
        <f t="shared" si="26"/>
        <v xml:space="preserve">		this.wInDate = '',</v>
      </c>
      <c r="V23" s="31" t="str">
        <f t="shared" si="22"/>
        <v/>
      </c>
    </row>
    <row r="24" spans="1:22" ht="18" customHeight="1" x14ac:dyDescent="0.25">
      <c r="A24" s="44" t="s">
        <v>284</v>
      </c>
      <c r="B24" s="31" t="str">
        <f t="shared" si="36"/>
        <v>WOutDate</v>
      </c>
      <c r="C24" s="31" t="str">
        <f t="shared" si="37"/>
        <v>W Out Date</v>
      </c>
      <c r="D24" s="31" t="str">
        <f t="shared" si="38"/>
        <v>wOutDate</v>
      </c>
      <c r="E24" s="72" t="str">
        <f>A.Backend!H18</f>
        <v>DateTime</v>
      </c>
      <c r="F24" s="72" t="str">
        <f>A.Backend!G18</f>
        <v>7</v>
      </c>
      <c r="G24" s="31" t="str">
        <f t="shared" si="18"/>
        <v xml:space="preserve"> : any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REPT(CHAR(9),3)&amp;"{headerName: this.l('"&amp;C24&amp;"'),headerTooltip: this.l('"&amp;C24&amp;"'),field: '"&amp;D24&amp;"',flex: 1},")</f>
        <v xml:space="preserve">			{headerName: this.l('W Out Date'),headerTooltip: this.l('W Out Date'),field: 'wOutDate',valueGetter: (params) =&gt; this.pipe.transform(params.data?.wOutDate, 'dd/MM/yyyy'),flex: 1},</v>
      </c>
      <c r="I24" s="38" t="str">
        <f t="shared" si="19"/>
        <v xml:space="preserve">								&lt;div class='input-search'&gt;
									&lt;input type='text' [placeholder]="l('W Out Date')" [(ngModel)]='wOutDate' 
									name='wOutDate'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20"/>
        <v xml:space="preserve">					&lt;div class='col-md-12 form-group row'&gt;
						&lt;label class='col-md-2 form-control title'&gt;W Out Date&lt;/label&gt;
						&lt;input type='text' class='col-md-10 form-control input-text' name='wOutDate' 
						#datepicker='bsDatepicker' [(ngModel)]='rowdata.wOutDate'  bsDatepicker &gt;
					&lt;/div&gt;</v>
      </c>
      <c r="L24" s="60" t="str">
        <f t="shared" si="21"/>
        <v xml:space="preserve">		const dateValue =  this.rowdata.wOutDate ? new Date(this.rowdata.wOutDate?.toString())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24"/>
        <v xml:space="preserve">	wOutDate : any ;</v>
      </c>
      <c r="T24" s="31" t="str">
        <f t="shared" si="25"/>
        <v xml:space="preserve">			this.wOutDate,</v>
      </c>
      <c r="U24" s="31" t="str">
        <f t="shared" si="26"/>
        <v xml:space="preserve">		this.wOutDate = '',</v>
      </c>
      <c r="V24" s="31" t="str">
        <f t="shared" si="22"/>
        <v/>
      </c>
    </row>
    <row r="25" spans="1:22" ht="18" customHeight="1" x14ac:dyDescent="0.25">
      <c r="A25" s="44" t="s">
        <v>285</v>
      </c>
      <c r="B25" s="31" t="str">
        <f>SUBSTITUTE(PROPER(A25),"_","")</f>
        <v>EdIn</v>
      </c>
      <c r="C25" s="31" t="str">
        <f>SUBSTITUTE(PROPER(A25),"_"," ")</f>
        <v>Ed In</v>
      </c>
      <c r="D25" s="31" t="str">
        <f>LOWER(LEFT(B25,1))&amp;RIGHT(B25,LEN(B25) - 1)</f>
        <v>edIn</v>
      </c>
      <c r="E25" s="72" t="str">
        <f>A.Backend!H19</f>
        <v>DateTime</v>
      </c>
      <c r="F25" s="72" t="str">
        <f>A.Backend!G19</f>
        <v>7</v>
      </c>
      <c r="G25" s="31" t="str">
        <f t="shared" ref="G25" si="39">IF(E25="string"," : string = '' ; ",IF(OR(E25="DateTime",E25="TimeSpan")," : any ;",IF(E25="int"," : number = 0 ;","")))</f>
        <v xml:space="preserve"> : any ;</v>
      </c>
      <c r="H25" s="38" t="str">
        <f t="shared" ref="H25" si="40"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this.l('Ed In'),headerTooltip: this.l('Ed In'),field: 'edIn',valueGetter: (params) =&gt; this.pipe.transform(params.data?.edIn, 'dd/MM/yyyy'),flex: 1},</v>
      </c>
      <c r="I25" s="38" t="str">
        <f t="shared" ref="I25" si="41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type='text' [placeholder]="l('Ed In')" [(ngModel)]='edIn' 
									name='edIn'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ref="K25" si="42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"&amp;REPT(CHAR(9),6)&amp;"&lt;input class='col-md-10 form-control checkboxActive' type='checkbox' name='"&amp;D25&amp;"'
"&amp;REPT(CHAR(9),6)&amp;"[checked]='_"&amp;D25&amp;"' (change)='changeActive($event)'&gt;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title'&gt;Ed In&lt;/label&gt;
						&lt;input type='text' class='col-md-10 form-control input-text' name='edIn' 
						#datepicker='bsDatepicker' [(ngModel)]='rowdata.edIn'  bsDatepicker &gt;
					&lt;/div&gt;</v>
      </c>
      <c r="L25" s="60" t="str">
        <f t="shared" ref="L25" si="43">IF(E25="DateTime",
REPT(CHAR(9),2)&amp;"const dateValue =  this.rowdata."&amp;D25&amp;" ? new Date(this.rowdata."&amp;D25&amp;"?.toString()) : new Date();
"&amp;REPT(CHAR(9),2)&amp;"this.datepicker?.bsValueChange.emit(dateValue);","")</f>
        <v xml:space="preserve">		const dateValue =  this.rowdata.edIn ? new Date(this.rowdata.edIn?.toString())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 t="shared" ref="S25" si="44">REPT(CHAR(9),1)&amp;D25&amp;G25</f>
        <v xml:space="preserve">	edIn : any ;</v>
      </c>
      <c r="T25" s="31" t="str">
        <f t="shared" ref="T25" si="45">REPT(CHAR(9),3)&amp;"this."&amp;D25&amp;","</f>
        <v xml:space="preserve">			this.edIn,</v>
      </c>
      <c r="U25" s="31" t="str">
        <f t="shared" ref="U25" si="46">IF(E25="int",REPT(CHAR(9),2)&amp;"this."&amp;D25&amp;" = 0,",REPT(CHAR(9),2)&amp;"this."&amp;D25&amp;" = '',")</f>
        <v xml:space="preserve">		this.edIn = '',</v>
      </c>
      <c r="V25" s="31" t="str">
        <f t="shared" ref="V25" si="47">IF(AND(E25="string",F25="1"),D25,"")</f>
        <v/>
      </c>
    </row>
    <row r="26" spans="1:22" ht="18" customHeight="1" x14ac:dyDescent="0.25">
      <c r="A26" s="44" t="s">
        <v>294</v>
      </c>
      <c r="B26" s="31" t="str">
        <f>SUBSTITUTE(PROPER(A26),"_","")</f>
        <v>TInPlanDatetime</v>
      </c>
      <c r="C26" s="31" t="str">
        <f>SUBSTITUTE(PROPER(A26),"_"," ")</f>
        <v>T In Plan Datetime</v>
      </c>
      <c r="D26" s="31" t="str">
        <f>LOWER(LEFT(B26,1))&amp;RIGHT(B26,LEN(B26) - 1)</f>
        <v>tInPlanDatetime</v>
      </c>
      <c r="E26" s="72" t="str">
        <f>A.Backend!H20</f>
        <v>DateTime</v>
      </c>
      <c r="F26" s="72" t="str">
        <f>A.Backend!G20</f>
        <v>7</v>
      </c>
      <c r="G26" s="31" t="str">
        <f t="shared" si="18"/>
        <v xml:space="preserve"> : any ;</v>
      </c>
      <c r="H26" s="38" t="str">
        <f t="shared" ref="H26:H28" si="48"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this.l('T In Plan Datetime'),headerTooltip: this.l('T In Plan Datetime'),field: 'tInPlanDatetime',valueGetter: (params) =&gt; this.pipe.transform(params.data?.tInPlanDatetime, 'dd/MM/yyyy'),flex: 1},</v>
      </c>
      <c r="I26" s="38" t="str">
        <f t="shared" si="19"/>
        <v xml:space="preserve">								&lt;div class='input-search'&gt;
									&lt;input type='text' [placeholder]="l('T In Plan Datetime')" [(ngModel)]='tInPlanDatetime' 
									name='tInPlanDatetime' (keydown)='searchDatas()' class='form-control' 
									bsDatepicker #d='bsDatepicker' placement='bottom left'&gt;
									&lt;i class='fa fa-calendar-alt' (click)='d.toggle()'&gt;&lt;/i&gt;
								&lt;/div&gt;</v>
      </c>
      <c r="J26" s="31"/>
      <c r="K26" s="38" t="str">
        <f t="shared" si="20"/>
        <v xml:space="preserve">					&lt;div class='col-md-12 form-group row'&gt;
						&lt;label class='col-md-2 form-control title'&gt;T In Plan Datetime&lt;/label&gt;
						&lt;input type='text' class='col-md-10 form-control input-text' name='tInPlanDatetime' 
						#datepicker='bsDatepicker' [(ngModel)]='rowdata.tInPlanDatetime'  bsDatepicker &gt;
					&lt;/div&gt;</v>
      </c>
      <c r="L26" s="60" t="str">
        <f t="shared" si="21"/>
        <v xml:space="preserve">		const dateValue =  this.rowdata.tInPlanDatetime ? new Date(this.rowdata.tInPlanDatetime?.toString()) : new Date();
		this.datepicker?.bsValueChange.emit(dateValue);</v>
      </c>
      <c r="M26" s="31"/>
      <c r="N26" s="31"/>
      <c r="O26" s="31"/>
      <c r="P26" s="31"/>
      <c r="Q26" s="31"/>
      <c r="R26" s="31"/>
      <c r="S26" s="31" t="str">
        <f t="shared" si="24"/>
        <v xml:space="preserve">	tInPlanDatetime : any ;</v>
      </c>
      <c r="T26" s="31" t="str">
        <f t="shared" si="25"/>
        <v xml:space="preserve">			this.tInPlanDatetime,</v>
      </c>
      <c r="U26" s="31" t="str">
        <f t="shared" si="26"/>
        <v xml:space="preserve">		this.tInPlanDatetime = '',</v>
      </c>
      <c r="V26" s="31" t="str">
        <f t="shared" si="22"/>
        <v/>
      </c>
    </row>
    <row r="27" spans="1:22" ht="18" customHeight="1" x14ac:dyDescent="0.25">
      <c r="A27" s="44" t="s">
        <v>290</v>
      </c>
      <c r="B27" s="31" t="str">
        <f>SUBSTITUTE(PROPER(A27),"_","")</f>
        <v>VehicleId</v>
      </c>
      <c r="C27" s="31" t="str">
        <f>SUBSTITUTE(PROPER(A27),"_"," ")</f>
        <v>Vehicle Id</v>
      </c>
      <c r="D27" s="31" t="str">
        <f>LOWER(LEFT(B27,1))&amp;RIGHT(B27,LEN(B27) - 1)</f>
        <v>vehicleId</v>
      </c>
      <c r="E27" s="72" t="str">
        <f>A.Backend!H21</f>
        <v>long</v>
      </c>
      <c r="F27" s="72" t="str">
        <f>A.Backend!G21</f>
        <v/>
      </c>
      <c r="G27" s="31" t="str">
        <f t="shared" ref="G27:G29" si="49">IF(E27="string"," : string = '' ; ",IF(OR(E27="DateTime",E27="TimeSpan")," : any ;",IF(E27="int"," : number = 0 ;","")))</f>
        <v/>
      </c>
      <c r="H27" s="38" t="str">
        <f t="shared" si="48"/>
        <v xml:space="preserve">			{headerName: this.l('Vehicle Id'),headerTooltip: this.l('Vehicle Id'),field: 'vehicleId',flex: 1},</v>
      </c>
      <c r="I27" s="38" t="str">
        <f t="shared" ref="I27:I29" si="50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31"/>
      <c r="K27" s="38" t="str">
        <f t="shared" ref="K27:K29" si="51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"&amp;REPT(CHAR(9),6)&amp;"&lt;input class='col-md-10 form-control checkboxActive' type='checkbox' name='"&amp;D27&amp;"'
"&amp;REPT(CHAR(9),6)&amp;"[checked]='_"&amp;D27&amp;"' (change)='changeActive($event)'&gt;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/>
      </c>
      <c r="L27" s="60" t="str">
        <f t="shared" ref="L27:L29" si="52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 t="shared" ref="S27:S29" si="53">REPT(CHAR(9),1)&amp;D27&amp;G27</f>
        <v xml:space="preserve">	vehicleId</v>
      </c>
      <c r="T27" s="31" t="str">
        <f t="shared" ref="T27:T29" si="54">REPT(CHAR(9),3)&amp;"this."&amp;D27&amp;","</f>
        <v xml:space="preserve">			this.vehicleId,</v>
      </c>
      <c r="U27" s="31" t="str">
        <f t="shared" ref="U27:U29" si="55">IF(E27="int",REPT(CHAR(9),2)&amp;"this."&amp;D27&amp;" = 0,",REPT(CHAR(9),2)&amp;"this."&amp;D27&amp;" = '',")</f>
        <v xml:space="preserve">		this.vehicleId = '',</v>
      </c>
      <c r="V27" s="31" t="str">
        <f t="shared" ref="V27:V29" si="56">IF(AND(E27="string",F27="1"),D27,"")</f>
        <v/>
      </c>
    </row>
    <row r="28" spans="1:22" ht="15" customHeight="1" x14ac:dyDescent="0.25">
      <c r="A28" s="44" t="s">
        <v>291</v>
      </c>
      <c r="B28" s="31" t="str">
        <f t="shared" ref="B28:B29" si="57">SUBSTITUTE(PROPER(A28),"_","")</f>
        <v>Cfc</v>
      </c>
      <c r="C28" s="31" t="str">
        <f t="shared" ref="C28:C29" si="58">SUBSTITUTE(PROPER(A28),"_"," ")</f>
        <v>Cfc</v>
      </c>
      <c r="D28" s="31" t="str">
        <f t="shared" ref="D28:D29" si="59">LOWER(LEFT(B28,1))&amp;RIGHT(B28,LEN(B28) - 1)</f>
        <v>cfc</v>
      </c>
      <c r="E28" s="72" t="str">
        <f>A.Backend!H22</f>
        <v>string</v>
      </c>
      <c r="F28" s="72" t="str">
        <f>A.Backend!G22</f>
        <v>4</v>
      </c>
      <c r="G28" s="31" t="str">
        <f t="shared" si="49"/>
        <v xml:space="preserve"> : string = '' ; </v>
      </c>
      <c r="H28" s="38" t="str">
        <f t="shared" si="48"/>
        <v xml:space="preserve">			{headerName: this.l('Cfc'),headerTooltip: this.l('Cfc'),field: 'cfc',flex: 1},</v>
      </c>
      <c r="I28" s="38" t="str">
        <f t="shared" si="50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28" s="31"/>
      <c r="K28" s="38" t="str">
        <f t="shared" si="51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28" s="60" t="str">
        <f t="shared" si="52"/>
        <v/>
      </c>
      <c r="M28" s="31"/>
      <c r="N28" s="31"/>
      <c r="O28" s="31"/>
      <c r="P28" s="31"/>
      <c r="Q28" s="31"/>
      <c r="R28" s="31"/>
      <c r="S28" s="31" t="str">
        <f t="shared" si="53"/>
        <v xml:space="preserve">	cfc : string = '' ; </v>
      </c>
      <c r="T28" s="31" t="str">
        <f t="shared" si="54"/>
        <v xml:space="preserve">			this.cfc,</v>
      </c>
      <c r="U28" s="31" t="str">
        <f t="shared" si="55"/>
        <v xml:space="preserve">		this.cfc = '',</v>
      </c>
      <c r="V28" s="31" t="str">
        <f t="shared" si="56"/>
        <v/>
      </c>
    </row>
    <row r="29" spans="1:22" ht="18" customHeight="1" x14ac:dyDescent="0.25">
      <c r="A29" s="44" t="s">
        <v>295</v>
      </c>
      <c r="B29" s="31" t="str">
        <f t="shared" si="57"/>
        <v>WeldingId</v>
      </c>
      <c r="C29" s="31" t="str">
        <f t="shared" si="58"/>
        <v>Welding Id</v>
      </c>
      <c r="D29" s="31" t="str">
        <f t="shared" si="59"/>
        <v>weldingId</v>
      </c>
      <c r="E29" s="72" t="str">
        <f>A.Backend!H23</f>
        <v>long</v>
      </c>
      <c r="F29" s="72" t="str">
        <f>A.Backend!G23</f>
        <v/>
      </c>
      <c r="G29" s="31" t="str">
        <f t="shared" si="49"/>
        <v/>
      </c>
      <c r="H29" s="38" t="str">
        <f>IF(E29="DateTime",
REPT(CHAR(9),3)&amp;"{headerName: this.l('"&amp;C29&amp;"'),headerTooltip: this.l('"&amp;C29&amp;"'),field: '"&amp;D29&amp;"',valueGetter: (params) =&gt; this.pipe.transform(params.data?."&amp;D29&amp;", 'dd/MM/yyyy'),flex: 1},",
REPT(CHAR(9),3)&amp;"{headerName: this.l('"&amp;C29&amp;"'),headerTooltip: this.l('"&amp;C29&amp;"'),field: '"&amp;D29&amp;"',flex: 1},")</f>
        <v xml:space="preserve">			{headerName: this.l('Welding Id'),headerTooltip: this.l('Welding Id'),field: 'weldingId',flex: 1},</v>
      </c>
      <c r="I29" s="38" t="str">
        <f t="shared" si="50"/>
        <v/>
      </c>
      <c r="J29" s="31"/>
      <c r="K29" s="38" t="str">
        <f t="shared" si="51"/>
        <v/>
      </c>
      <c r="L29" s="60" t="str">
        <f t="shared" si="52"/>
        <v/>
      </c>
      <c r="M29" s="31"/>
      <c r="N29" s="31"/>
      <c r="O29" s="31"/>
      <c r="P29" s="31"/>
      <c r="Q29" s="31"/>
      <c r="R29" s="31"/>
      <c r="S29" s="31" t="str">
        <f t="shared" si="53"/>
        <v xml:space="preserve">	weldingId</v>
      </c>
      <c r="T29" s="31" t="str">
        <f t="shared" si="54"/>
        <v xml:space="preserve">			this.weldingId,</v>
      </c>
      <c r="U29" s="31" t="str">
        <f t="shared" si="55"/>
        <v xml:space="preserve">		this.weldingId = '',</v>
      </c>
      <c r="V29" s="31" t="str">
        <f t="shared" si="56"/>
        <v/>
      </c>
    </row>
    <row r="30" spans="1:22" ht="18" customHeight="1" x14ac:dyDescent="0.25">
      <c r="A30" s="44" t="s">
        <v>293</v>
      </c>
      <c r="B30" s="31" t="str">
        <f>SUBSTITUTE(PROPER(A30),"_","")</f>
        <v>AssemblyId</v>
      </c>
      <c r="C30" s="31" t="str">
        <f>SUBSTITUTE(PROPER(A30),"_"," ")</f>
        <v>Assembly Id</v>
      </c>
      <c r="D30" s="31" t="str">
        <f>LOWER(LEFT(B30,1))&amp;RIGHT(B30,LEN(B30) - 1)</f>
        <v>assemblyId</v>
      </c>
      <c r="E30" s="72" t="str">
        <f>A.Backend!H24</f>
        <v>long</v>
      </c>
      <c r="F30" s="72" t="str">
        <f>A.Backend!G24</f>
        <v/>
      </c>
      <c r="G30" s="31" t="str">
        <f>IF(E30="string"," : string = '' ; ",IF(OR(E30="DateTime",E30="TimeSpan")," : any ;",IF(E30="int"," : number = 0 ;","")))</f>
        <v/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REPT(CHAR(9),3)&amp;"{headerName: this.l('"&amp;C30&amp;"'),headerTooltip: this.l('"&amp;C30&amp;"'),field: '"&amp;D30&amp;"',flex: 1},")</f>
        <v xml:space="preserve">			{headerName: this.l('Assembly Id'),headerTooltip: this.l('Assembly Id'),field: 'assemblyId',flex: 1},</v>
      </c>
      <c r="I30" s="38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31"/>
      <c r="K30" s="38" t="str">
        <f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"&amp;REPT(CHAR(9),6)&amp;"&lt;input class='col-md-10 form-control checkboxActive' type='checkbox' name='"&amp;D30&amp;"'
"&amp;REPT(CHAR(9),6)&amp;"[checked]='_"&amp;D30&amp;"' (change)='changeActive($event)'&gt;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/>
      </c>
      <c r="L30" s="60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D30&amp;G30</f>
        <v>assemblyId</v>
      </c>
      <c r="T30" s="31" t="str">
        <f>REPT(CHAR(9),3)&amp;"this."&amp;D30&amp;","</f>
        <v xml:space="preserve">			this.assemblyId,</v>
      </c>
      <c r="U30" s="31" t="str">
        <f>IF(E30="int","this."&amp;D30&amp;" = 0,","this."&amp;D30&amp;" = '',")</f>
        <v>this.assemblyId = '',</v>
      </c>
      <c r="V30" s="31" t="str">
        <f>IF(AND(E30="string",F30="1"),D30,"")</f>
        <v/>
      </c>
    </row>
    <row r="33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271</v>
      </c>
      <c r="B20" t="s">
        <v>272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2023-05-27T09:20:10Z</dcterms:modified>
</cp:coreProperties>
</file>
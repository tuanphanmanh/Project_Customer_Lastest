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welding\"/>
    </mc:Choice>
  </mc:AlternateContent>
  <bookViews>
    <workbookView xWindow="0" yWindow="0" windowWidth="28800" windowHeight="11805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C21" i="5" l="1"/>
  <c r="L19" i="1"/>
  <c r="G19" i="1"/>
  <c r="E19" i="1"/>
  <c r="H19" i="1" s="1"/>
  <c r="D19" i="1"/>
  <c r="T19" i="1" s="1"/>
  <c r="L18" i="1"/>
  <c r="G18" i="1"/>
  <c r="E18" i="1"/>
  <c r="H18" i="1" s="1"/>
  <c r="D18" i="1"/>
  <c r="V18" i="1" s="1"/>
  <c r="L17" i="1"/>
  <c r="G17" i="1"/>
  <c r="E17" i="1"/>
  <c r="H17" i="1" s="1"/>
  <c r="D17" i="1"/>
  <c r="T17" i="1" s="1"/>
  <c r="G16" i="1"/>
  <c r="E16" i="1"/>
  <c r="H16" i="1" s="1"/>
  <c r="D16" i="1"/>
  <c r="V16" i="1" s="1"/>
  <c r="G15" i="1"/>
  <c r="E15" i="1"/>
  <c r="H15" i="1" s="1"/>
  <c r="V21" i="5" s="1"/>
  <c r="D15" i="1"/>
  <c r="T15" i="1" s="1"/>
  <c r="L14" i="1"/>
  <c r="G14" i="1"/>
  <c r="E14" i="1"/>
  <c r="H14" i="1" s="1"/>
  <c r="D14" i="1"/>
  <c r="V14" i="1" s="1"/>
  <c r="L13" i="1"/>
  <c r="G13" i="1"/>
  <c r="E13" i="1"/>
  <c r="H13" i="1" s="1"/>
  <c r="D13" i="1"/>
  <c r="T13" i="1" s="1"/>
  <c r="G12" i="1"/>
  <c r="E12" i="1"/>
  <c r="H12" i="1" s="1"/>
  <c r="D12" i="1"/>
  <c r="V12" i="1" s="1"/>
  <c r="L11" i="1"/>
  <c r="G11" i="1"/>
  <c r="E11" i="1"/>
  <c r="H11" i="1" s="1"/>
  <c r="D11" i="1"/>
  <c r="T11" i="1" s="1"/>
  <c r="L10" i="1"/>
  <c r="G10" i="1"/>
  <c r="E10" i="1"/>
  <c r="H10" i="1" s="1"/>
  <c r="D10" i="1"/>
  <c r="V10" i="1" s="1"/>
  <c r="B18" i="5"/>
  <c r="D18" i="5" s="1"/>
  <c r="B17" i="5"/>
  <c r="D17" i="5" s="1"/>
  <c r="C16" i="5"/>
  <c r="B24" i="5"/>
  <c r="D24" i="5" s="1"/>
  <c r="C23" i="5"/>
  <c r="B22" i="5"/>
  <c r="D22" i="5" s="1"/>
  <c r="C20" i="5"/>
  <c r="B19" i="5"/>
  <c r="D19" i="5" s="1"/>
  <c r="C15" i="5"/>
  <c r="M13" i="1" l="1"/>
  <c r="M17" i="1"/>
  <c r="B21" i="5"/>
  <c r="D21" i="5" s="1"/>
  <c r="I21" i="5" s="1"/>
  <c r="K21" i="5"/>
  <c r="G21" i="5"/>
  <c r="M11" i="1"/>
  <c r="M15" i="1"/>
  <c r="M19" i="1"/>
  <c r="P12" i="1"/>
  <c r="P16" i="1"/>
  <c r="P14" i="1"/>
  <c r="P18" i="1"/>
  <c r="P10" i="1"/>
  <c r="W16" i="1"/>
  <c r="O16" i="1"/>
  <c r="J16" i="1"/>
  <c r="N16" i="1"/>
  <c r="I16" i="1"/>
  <c r="M16" i="1"/>
  <c r="W14" i="1"/>
  <c r="O14" i="1"/>
  <c r="J14" i="1"/>
  <c r="N14" i="1"/>
  <c r="I14" i="1"/>
  <c r="M14" i="1"/>
  <c r="W18" i="1"/>
  <c r="O18" i="1"/>
  <c r="J18" i="1"/>
  <c r="N18" i="1"/>
  <c r="I18" i="1"/>
  <c r="M18" i="1"/>
  <c r="W12" i="1"/>
  <c r="O12" i="1"/>
  <c r="I12" i="1"/>
  <c r="M12" i="1"/>
  <c r="N13" i="1"/>
  <c r="V13" i="1"/>
  <c r="I19" i="1"/>
  <c r="N19" i="1"/>
  <c r="B23" i="5"/>
  <c r="D23" i="5" s="1"/>
  <c r="U23" i="5" s="1"/>
  <c r="T12" i="1"/>
  <c r="J13" i="1"/>
  <c r="O13" i="1"/>
  <c r="W13" i="1"/>
  <c r="T14" i="1"/>
  <c r="J15" i="1"/>
  <c r="O15" i="1"/>
  <c r="W15" i="1"/>
  <c r="T16" i="1"/>
  <c r="J17" i="1"/>
  <c r="O17" i="1"/>
  <c r="W17" i="1"/>
  <c r="T18" i="1"/>
  <c r="J19" i="1"/>
  <c r="O19" i="1"/>
  <c r="W19" i="1"/>
  <c r="I17" i="1"/>
  <c r="P13" i="1"/>
  <c r="P15" i="1"/>
  <c r="P17" i="1"/>
  <c r="P19" i="1"/>
  <c r="I13" i="1"/>
  <c r="I15" i="1"/>
  <c r="N15" i="1"/>
  <c r="V15" i="1"/>
  <c r="N17" i="1"/>
  <c r="V17" i="1"/>
  <c r="V19" i="1"/>
  <c r="V20" i="5"/>
  <c r="C18" i="5"/>
  <c r="W10" i="1"/>
  <c r="O10" i="1"/>
  <c r="I10" i="1"/>
  <c r="M10" i="1"/>
  <c r="I11" i="1"/>
  <c r="V11" i="1"/>
  <c r="T10" i="1"/>
  <c r="O11" i="1"/>
  <c r="W11" i="1"/>
  <c r="P11" i="1"/>
  <c r="V24" i="5"/>
  <c r="U17" i="5"/>
  <c r="T17" i="5"/>
  <c r="T18" i="5"/>
  <c r="B15" i="5"/>
  <c r="D15" i="5" s="1"/>
  <c r="T15" i="5" s="1"/>
  <c r="B16" i="5"/>
  <c r="D16" i="5" s="1"/>
  <c r="K16" i="5"/>
  <c r="C17" i="5"/>
  <c r="H17" i="5" s="1"/>
  <c r="G17" i="5"/>
  <c r="S17" i="5" s="1"/>
  <c r="L17" i="5"/>
  <c r="V17" i="5"/>
  <c r="V19" i="5"/>
  <c r="G16" i="5"/>
  <c r="L16" i="5"/>
  <c r="V16" i="5"/>
  <c r="I17" i="5"/>
  <c r="C24" i="5"/>
  <c r="H24" i="5" s="1"/>
  <c r="G19" i="5"/>
  <c r="S19" i="5" s="1"/>
  <c r="L24" i="5"/>
  <c r="C19" i="5"/>
  <c r="H19" i="5" s="1"/>
  <c r="L19" i="5"/>
  <c r="V23" i="5"/>
  <c r="G24" i="5"/>
  <c r="S24" i="5" s="1"/>
  <c r="T19" i="5"/>
  <c r="U19" i="5"/>
  <c r="T22" i="5"/>
  <c r="T24" i="5"/>
  <c r="U24" i="5"/>
  <c r="B20" i="5"/>
  <c r="D20" i="5" s="1"/>
  <c r="H20" i="5" s="1"/>
  <c r="K20" i="5"/>
  <c r="C22" i="5"/>
  <c r="I24" i="5"/>
  <c r="I20" i="5"/>
  <c r="K19" i="5"/>
  <c r="G20" i="5"/>
  <c r="L20" i="5"/>
  <c r="K24" i="5"/>
  <c r="I23" i="5" l="1"/>
  <c r="I19" i="5"/>
  <c r="K17" i="5"/>
  <c r="H16" i="5"/>
  <c r="I16" i="5"/>
  <c r="L21" i="5"/>
  <c r="K23" i="5"/>
  <c r="G23" i="5"/>
  <c r="L23" i="5"/>
  <c r="T23" i="5"/>
  <c r="T21" i="5"/>
  <c r="S21" i="5"/>
  <c r="U21" i="5"/>
  <c r="H21" i="5"/>
  <c r="H23" i="5"/>
  <c r="S23" i="5"/>
  <c r="U16" i="5"/>
  <c r="T16" i="5"/>
  <c r="S16" i="5"/>
  <c r="T20" i="5"/>
  <c r="S20" i="5"/>
  <c r="U20" i="5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I22" i="5" l="1"/>
  <c r="L22" i="5"/>
  <c r="G22" i="5"/>
  <c r="S22" i="5" s="1"/>
  <c r="U22" i="5"/>
  <c r="H22" i="5"/>
  <c r="R10" i="5"/>
  <c r="M45" i="3" s="1"/>
  <c r="N38" i="3" l="1"/>
  <c r="B8" i="5"/>
  <c r="B5" i="5"/>
  <c r="D9" i="1"/>
  <c r="T9" i="1" l="1"/>
  <c r="V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V21" i="1"/>
  <c r="N3" i="1" l="1"/>
  <c r="M3" i="1"/>
  <c r="O3" i="1"/>
  <c r="C25" i="5" l="1"/>
  <c r="B25" i="5"/>
  <c r="D25" i="5" s="1"/>
  <c r="T12" i="5" l="1"/>
  <c r="H12" i="5"/>
  <c r="I12" i="5"/>
  <c r="K12" i="5"/>
  <c r="U12" i="5"/>
  <c r="L12" i="5"/>
  <c r="V12" i="5"/>
  <c r="S12" i="5"/>
  <c r="T25" i="5"/>
  <c r="R3" i="1" l="1"/>
  <c r="D1" i="1"/>
  <c r="F6" i="1"/>
  <c r="T13" i="5"/>
  <c r="G9" i="1" l="1"/>
  <c r="F15" i="5" s="1"/>
  <c r="E9" i="1"/>
  <c r="H9" i="1" s="1"/>
  <c r="E15" i="5" s="1"/>
  <c r="P9" i="1"/>
  <c r="T21" i="1"/>
  <c r="O9" i="1" l="1"/>
  <c r="M9" i="1"/>
  <c r="K25" i="5"/>
  <c r="W9" i="1"/>
  <c r="T7" i="1"/>
  <c r="I9" i="1"/>
  <c r="W21" i="1"/>
  <c r="G25" i="5" l="1"/>
  <c r="S25" i="5" s="1"/>
  <c r="I25" i="5"/>
  <c r="L25" i="5"/>
  <c r="V25" i="5"/>
  <c r="H25" i="5"/>
  <c r="U25" i="5"/>
  <c r="G6" i="1"/>
  <c r="K22" i="5" l="1"/>
  <c r="V22" i="5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18" i="5" l="1"/>
  <c r="L18" i="5"/>
  <c r="G18" i="5"/>
  <c r="S18" i="5" s="1"/>
  <c r="U18" i="5"/>
  <c r="K18" i="5"/>
  <c r="V18" i="5"/>
  <c r="H18" i="5"/>
  <c r="I15" i="5"/>
  <c r="U15" i="5"/>
  <c r="H15" i="5"/>
  <c r="V15" i="5"/>
  <c r="G15" i="5"/>
  <c r="S15" i="5" s="1"/>
  <c r="L15" i="5"/>
  <c r="K15" i="5"/>
  <c r="I3" i="1"/>
  <c r="B7" i="1"/>
  <c r="L15" i="1" s="1"/>
  <c r="I13" i="5"/>
  <c r="K13" i="5"/>
  <c r="L13" i="5"/>
  <c r="U13" i="5"/>
  <c r="V13" i="5"/>
  <c r="H13" i="5"/>
  <c r="S13" i="5"/>
  <c r="L12" i="1" l="1"/>
  <c r="L16" i="1"/>
  <c r="N10" i="1"/>
  <c r="N11" i="1"/>
  <c r="N12" i="1"/>
  <c r="J11" i="1"/>
  <c r="J12" i="1"/>
  <c r="J10" i="1"/>
  <c r="N9" i="1"/>
  <c r="I10" i="5"/>
  <c r="D45" i="3" s="1"/>
  <c r="K10" i="5"/>
  <c r="F45" i="3" s="1"/>
  <c r="H10" i="5"/>
  <c r="C45" i="3" s="1"/>
  <c r="L10" i="5"/>
  <c r="G45" i="3" s="1"/>
  <c r="L9" i="1"/>
  <c r="J9" i="1"/>
  <c r="C7" i="1"/>
  <c r="P21" i="1"/>
  <c r="I21" i="1"/>
  <c r="O21" i="1"/>
  <c r="J21" i="1"/>
  <c r="N21" i="1"/>
  <c r="Q7" i="1" l="1"/>
  <c r="M38" i="3" s="1"/>
  <c r="L7" i="1"/>
  <c r="G38" i="3" s="1"/>
  <c r="K38" i="3"/>
  <c r="J38" i="3"/>
  <c r="K21" i="1"/>
  <c r="M21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<sst xmlns="http://schemas.openxmlformats.org/spreadsheetml/2006/main" count="373" uniqueCount="291">
  <si>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</si>
  <si>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</si>
  <si>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</si>
  <si>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</si>
  <si>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</si>
  <si>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</si>
  <si>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</si>
  <si>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</si>
  <si>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</si>
  <si>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</si>
  <si>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</si>
  <si>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</si>
  <si>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</si>
  <si>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</si>
  <si>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</si>
  <si>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</si>
  <si>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</si>
  <si>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</si>
  <si>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</si>
  <si>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</si>
  <si>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</si>
  <si>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</si>
  <si>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</si>
  <si>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</si>
  <si>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</si>
  <si>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</si>
  <si>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</si>
  <si>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</si>
  <si>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</si>
  <si>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</si>
  <si>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</si>
  <si>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</si>
  <si>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</si>
  <si>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</si>
  <si>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</si>
  <si>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</si>
  <si>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</si>
  <si>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</si>
  <si>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</si>
  <si>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</si>
  <si>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</si>
  <si>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</si>
  <si>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</si>
  <si>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</si>
  <si>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</si>
  <si>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</si>
  <si>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</si>
  <si>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</si>
  <si>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</si>
  <si>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</si>
  <si>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</si>
  <si>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</si>
  <si>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</si>
  <si>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</si>
  <si>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</si>
  <si>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</si>
  <si>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</si>
  <si>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</si>
  <si>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</si>
  <si>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</si>
  <si>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</si>
  <si>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</si>
  <si>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</si>
  <si>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</si>
  <si>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</si>
  <si>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</si>
  <si>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</si>
  <si>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</si>
  <si>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</si>
  <si>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</si>
  <si>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</si>
  <si>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</si>
  <si>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</si>
  <si>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</si>
  <si>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</si>
  <si>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</si>
  <si>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</si>
  <si>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</si>
  <si>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</si>
  <si>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</si>
  <si>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</si>
  <si>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</si>
  <si>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</si>
  <si>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</si>
  <si>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</si>
  <si>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</si>
  <si>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</si>
  <si>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</si>
  <si>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</si>
  <si>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</si>
  <si>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</si>
  <si>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</si>
  <si>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</si>
  <si>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</si>
  <si>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</si>
  <si>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</si>
  <si>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</si>
  <si>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</si>
  <si>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</si>
  <si>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</si>
  <si>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</si>
  <si>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</si>
  <si>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</si>
  <si>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</si>
  <si>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</si>
  <si>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</si>
  <si>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</si>
  <si>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</si>
  <si>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</si>
  <si>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</si>
  <si>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</si>
  <si>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</si>
  <si>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</si>
  <si>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</si>
  <si>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</si>
  <si>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</si>
  <si>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</si>
  <si>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</si>
  <si>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</si>
  <si>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</si>
  <si>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</si>
  <si>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</si>
  <si>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</si>
  <si>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</si>
  <si>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</si>
  <si>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</si>
  <si>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</si>
  <si>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</si>
  <si>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</si>
  <si>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</si>
  <si>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</si>
  <si>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</si>
  <si>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</si>
  <si>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</si>
  <si>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</si>
  <si>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</si>
  <si>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</si>
  <si>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</si>
  <si>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</si>
  <si>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</si>
  <si>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</si>
  <si>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</si>
  <si>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</si>
  <si>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</si>
  <si>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</si>
  <si>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</si>
  <si>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</si>
  <si>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</si>
  <si>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</si>
  <si>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</si>
  <si>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</si>
  <si>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</si>
  <si>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</si>
  <si>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</si>
  <si>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</si>
  <si>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</si>
  <si>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</si>
  <si>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</si>
  <si>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</si>
  <si>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</si>
  <si>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</si>
  <si>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</si>
  <si>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</si>
  <si>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</si>
  <si>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</si>
  <si>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</si>
  <si>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</si>
  <si>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</si>
  <si>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</si>
  <si>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</si>
  <si>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</si>
  <si>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</si>
  <si>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</si>
  <si>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</si>
  <si>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</si>
  <si>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</si>
  <si>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</si>
  <si>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</si>
  <si>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</si>
  <si>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</si>
  <si>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</si>
  <si>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</si>
  <si>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</si>
  <si>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</si>
  <si>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</si>
  <si>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</si>
  <si>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</si>
  <si>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</si>
  <si>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</si>
  <si>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</si>
  <si>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</si>
  <si>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</si>
  <si>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</si>
  <si>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</si>
  <si>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</si>
  <si>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</si>
  <si>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</si>
  <si>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</si>
  <si>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</si>
  <si>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</si>
  <si>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</si>
  <si>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</si>
  <si>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</si>
  <si>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</si>
  <si>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</si>
  <si>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</si>
  <si>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</si>
  <si>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</si>
  <si>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</si>
  <si>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</si>
  <si>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</si>
  <si>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</si>
  <si>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</si>
  <si>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</si>
  <si>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</si>
  <si>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</si>
  <si>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</si>
  <si>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</si>
  <si>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</si>
  <si>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</si>
  <si>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</si>
  <si>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</si>
  <si>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</si>
  <si>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</si>
  <si>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</si>
  <si>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</si>
  <si>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</si>
  <si>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</si>
  <si>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</si>
  <si>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</si>
  <si>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</si>
  <si>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</si>
  <si>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</si>
  <si>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</si>
  <si>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</si>
  <si>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</si>
  <si>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</si>
  <si>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</si>
  <si>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</si>
  <si>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</si>
  <si>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</si>
  <si>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</si>
  <si>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</si>
  <si>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</si>
  <si>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</si>
  <si>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</si>
  <si>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</si>
  <si>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</si>
  <si>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datetime2(7)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</si>
  <si>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</si>
  <si>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</si>
  <si>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</si>
  <si>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</si>
  <si>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</si>
  <si>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</si>
  <si>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</si>
  <si>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</si>
  <si>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</si>
  <si>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</si>
  <si>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</si>
  <si>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</si>
  <si>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</si>
  <si>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</si>
  <si>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</si>
  <si>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</si>
  <si>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</si>
  <si>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</si>
  <si>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</si>
  <si>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</si>
  <si>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</si>
  <si>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</si>
  <si>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</si>
  <si>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MODEL</t>
  </si>
  <si>
    <t>LOT_NO</t>
  </si>
  <si>
    <t>BODY_NO</t>
  </si>
  <si>
    <t>COLOR</t>
  </si>
  <si>
    <t>Welding.Andon</t>
  </si>
  <si>
    <t>WldAdoPunchQueue</t>
  </si>
  <si>
    <t>PunchQueue</t>
  </si>
  <si>
    <t>Welding Andon Punch Queue</t>
  </si>
  <si>
    <t>varchar(50)</t>
  </si>
  <si>
    <t>LINE</t>
  </si>
  <si>
    <t>varchar(100)</t>
  </si>
  <si>
    <t>PROCESS_GROUP</t>
  </si>
  <si>
    <t>SCAN_TIME</t>
  </si>
  <si>
    <t>PUNCH_FLAG</t>
  </si>
  <si>
    <t>varchar(1)</t>
  </si>
  <si>
    <t>PUNCH_INDICATOR</t>
  </si>
  <si>
    <t>nvarchar(500)</t>
  </si>
  <si>
    <t>IS_CALL</t>
  </si>
  <si>
    <t>IS_CF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</si>
</sst>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0" fillId="8" borderId="0" xfId="0" applyFill="1" applyBorder="1" applyAlignment="1">
      <alignment wrapText="1"/>
    </xf>
    <xf numFmtId="0" fontId="18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5" borderId="3" xfId="0" applyFill="1" applyBorder="1"/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tabSelected="1" topLeftCell="A21" workbookViewId="0">
      <selection activeCell="F38" sqref="F38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2" t="s">
        <v>226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vovina.Welding.Andon
{
	[Table("WldAdoPunchQueue")]
	[Index(nameof(BodyNo), Name="IX_WldAdoPunchQueue_BodyNo")]
	[Index(nameof(LotNo), Name="IX_WldAdoPunchQueue_LotNo")]
	public class WldAdoPunchQueue: FullAuditedEntity&lt;long&gt;, IEntity&lt;long&gt;	
	{
		public const int MaxBodyNoLength = 50;
		public const int MaxModelLength = 50;
		public const int MaxLineLength = 100;
		public const int MaxLotNoLength = 50;
		public const int MaxColorLength = 50;
		public const int MaxPunchFlagLength = 1;
		public const int MaxPunchIndicatorLength = 500;
		public const int MaxIsCallLength = 1;
		public const int MaxIsCfLength = 1;
		[StringLength(MaxBodyNoLength)]
		public virtual string BodyNo { get; set; }
		[StringLength(MaxModelLength)]
		public virtual string Model { get; set; }
		[StringLength(MaxLineLength)]
		public virtual string Line { get; set; }
		[StringLength(MaxLotNoLength)]
		public virtual string LotNo { get; set; }
		[StringLength(MaxColorLength)]
		public virtual string Color { get; set; }
		public virtual int ProcessGroup { get; set; }
		[Column(TypeName="datetime2(7)")]
		public virtual DateTime ScanTime { get; set; }
		[StringLength(MaxPunchFlagLength)]
		public virtual string PunchFlag { get; set; }
		[StringLength(MaxPunchIndicatorLength)]
		public virtual string PunchIndicator { get; set; }
		[StringLength(MaxIsCallLength)]
		public virtual string IsCall { get; set; }
		[StringLength(MaxIsCfLength)]
		public virtual string IsCf { get; set; }
	}
}
</v>
      </c>
      <c r="D38" s="51" t="str">
        <f>A.Backend!O7</f>
        <v xml:space="preserve">		public const string Pages_Welding_Andon_PunchQueue = "Pages.Welding.Andon.PunchQueue";
		public const string Pages_Welding_Andon_PunchQueue_CreateEdit = "Pages.Welding.Andon.PunchQueue.CreateEdit";
		public const string Pages_Welding_Andon_PunchQueue_Delete = "Pages.Welding.Andon.PunchQueue.Delete";
</v>
      </c>
      <c r="E38" s="51" t="str">
        <f>A.Backend!N7</f>
        <v xml:space="preserve">		var perWldAdoPunchQueue = PARENTS.CreateChildPermission(AppPermissions.Pages_Welding_Andon_PunchQueue, L( "WeldingAndonPunchQueue"));
		perWldAdoPunchQueue.CreateChildPermission(AppPermissions.Pages_Welding_Andon_PunchQueue_CreateEdit, L( "WeldingAndonPunchQueueCreateEdit"));
		perWldAdoPunchQueue.CreateChildPermission(AppPermissions.Pages_Welding_Andon_PunchQueue_Delete, L( "WeldingAndonPunchQueueDelete"));</v>
      </c>
      <c r="F38" s="51" t="str">
        <f>A.Backend!K7</f>
        <v>public virtual DbSet&lt;WldAdoPunchQueue&gt; WldAdoPunchQueues { get; set; }</v>
      </c>
      <c r="G38" s="51" t="str">
        <f ca="1">A.Backend!L7</f>
        <v xml:space="preserve">namespace vovina.Welding.Andon
{
	public class WldAdoPunchQueueConsts	
	{
		public const int MaxBodyNoLength = 50;
		public const int MaxModelLength = 50;
		public const int MaxLineLength = 100;
		public const int MaxLotNoLength = 50;
		public const int MaxColorLength = 50;
		public const int MaxPunchFlagLength = 1;
		public const int MaxPunchIndicatorLength = 500;
		public const int MaxIsCallLength = 1;
		public const int MaxIsCfLength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vovina.Welding.Andon.Dto
{
	public class WldAdoPunchQueueDto : EntityDto&lt;long?&gt;	
	{
		public virtual string BodyNo { get; set; }
		public virtual string Model { get; set; }
		public virtual string Line { get; set; }
		public virtual string LotNo { get; set; }
		public virtual string Color { get; set; }
		public virtual int ProcessGroup { get; set; }
		public virtual DateTime? ScanTime { get; set; }
		public virtual string PunchFlag { get; set; }
		public virtual string PunchIndicator { get; set; }
		public virtual string IsCall { get; set; }
		public virtual string IsCf { get; set; }
	}
	public class CreateOrEditWldAdoPunchQueueDto : EntityDto&lt;long?&gt;	
	{
		[StringLength(WldAdoPunchQueueConsts.MaxBodyNoLength)]
		public virtual string BodyNo { get; set; }
		[StringLength(WldAdoPunchQueueConsts.MaxModelLength)]
		public virtual string Model { get; set; }
		[StringLength(WldAdoPunchQueueConsts.MaxLineLength)]
		public virtual string Line { get; set; }
		[StringLength(WldAdoPunchQueueConsts.MaxLotNoLength)]
		public virtual string LotNo { get; set; }
		[StringLength(WldAdoPunchQueueConsts.MaxColorLength)]
		public virtual string Color { get; set; }
		public virtual int ProcessGroup { get; set; }
		public virtual DateTime? ScanTime { get; set; }
		[StringLength(WldAdoPunchQueueConsts.MaxPunchFlagLength)]
		public virtual string PunchFlag { get; set; }
		[StringLength(WldAdoPunchQueueConsts.MaxPunchIndicatorLength)]
		public virtual string PunchIndicator { get; set; }
		[StringLength(WldAdoPunchQueueConsts.MaxIsCallLength)]
		public virtual string IsCall { get; set; }
		[StringLength(WldAdoPunchQueueConsts.MaxIsCfLength)]
		public virtual string IsCf { get; set; }
	}
	public class GetWldAdoPunchQueueInput : PagedAndSortedResultRequestDto	
	{
		public virtual string BodyNo { get; set; }
		public virtual string Model { get; set; }
		public virtual string Line { get; set; }
		public virtual string LotNo { get; set; }
		public virtual string Color { get; set; }
		public virtual int ProcessGroup { get; set; }
		public virtual DateTime? ScanTime { get; set; }
		public virtual string PunchFlag { get; set; }
		public virtual string PunchIndicator { get; set; }
		public virtual string IsCall { get; set; }
		public virtual string IsCf { get; set; }
	}
}
</v>
      </c>
      <c r="I38" s="51" t="str">
        <f ca="1">A.Backend!R7</f>
        <v xml:space="preserve">using Abp.Application.Services.Dto;
using System;
using System.ComponentModel.DataAnnotations;
namespace vovina.Welding.Andon.Dto
{
	public class WldAdoPunchQueueExportInput{
		public virtual string BodyNo { get; set; }
		public virtual string Model { get; set; }
		public virtual string Line { get; set; }
		public virtual string LotNo { get; set; }
		public virtual string Color { get; set; }
		public virtual int ProcessGroup { get; set; }
		public virtual DateTime? ScanTime { get; set; }
		public virtual string PunchFlag { get; set; }
		public virtual string PunchIndicator { get; set; }
		public virtual string IsCall { get; set; }
		public virtual string IsCf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vovina.Welding.Andon.Dto;
namespace vovina.Welding.Andon
{
	public interface IWldAdoPunchQueueAppService : IApplicationService
	{
		Task&lt;PagedResultDto&lt;WldAdoPunchQueueDto&gt;&gt; GetAll(GetWldAdoPunchQueueInput input);
		Task CreateOrEdit(CreateOrEditWldAdoPunchQueueDto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vovina.Welding.Andon.Dto;
namespace vovina.Welding.Andon.Exporting
{
	public interface IWldAdoPunchQueueExcelExporter : IApplicationService
	{
		FileDto ExportToFile(List&lt;WldAdoPunchQueueDto&gt; wldadopunchqueue);
	}
}
</v>
      </c>
      <c r="L38" s="51" t="str">
        <f ca="1">A.Backend!T7</f>
        <v>using System.Collections.Generic;
using vovina.DataExporting.Excel.NPOI;
using vovina.Dto;
using vovina.Welding.Andon.Exporting;
using vovina.Welding.Andon.Dto;
using vovina.Storage;
using vovina.Welding.Andon.Dto;
namespace vovina.Welding.Andon.Exporting
{
    public class WldAdoPunchQueueExcelExporter : NpoiExcelExporterBase, IWldAdoPunchQueueExcelExporter
    {
        public WldAdoPunchQueueExcelExporter(ITempFileCacheManager tempFileCacheManager) : base(tempFileCacheManager) { }
        public FileDto ExportToFile(List&lt;WldAdoPunchQueueDto&gt; punchqueue)
        {
            return CreateExcelPackage(
				"WeldingAndonPunchQueue.xlsx",
				excelPackage =&gt;
				 {
					var sheet = excelPackage.CreateSheet("PunchQueue");
					AddHeader(
								sheet,
								("BodyNo"),
								("Model"),
								("Line"),
								("LotNo"),
								("Color"),
								("ProcessGroup"),
								("ScanTime"),
								("PunchFlag"),
								("PunchIndicator"),
								("IsCall"),
								("IsCf"),
							   );
					AddObjects(
						 sheet, 1, punchqueue,                                       
								_ =&gt; _.BodyNo,
								_ =&gt; _.Model,
								_ =&gt; _.Line,
								_ =&gt; _.LotNo,
								_ =&gt; _.Color,
								_ =&gt; _.ProcessGroup,
								_ =&gt; _.ScanTime,
								_ =&gt; _.PunchFlag,
								_ =&gt; _.PunchIndicator,
								_ =&gt; _.IsCall,
								_ =&gt; _.IsCf,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vovina.Welding.Andon.Dto;
using vovina.Welding.Andon.Exporting;
namespace vovina.Welding.Andon
{
    [AbpAuthorize(AppPermissions.Pages_Welding_Andon_PunchQueue)]
    public class WldAdoPunchQueueAppService : vovinaAppServiceBase, IWldAdoPunchQueueAppService
    {
        private readonly IDapperRepository&lt;WldAdoPunchQueue, long&gt; _dapperRepo;
        private readonly IRepository&lt;WldAdoPunchQueue, long&gt; _repo;
        private readonly IWldAdoPunchQueueExcelExporter _calendarListExcelExporter;
        public WldAdoPunchQueueAppService(IRepository&lt;WldAdoPunchQueue,long&gt; repo, 
                                         IDapperRepository&lt;WldAdoPunchQueue,long&gt; dapperRepo,
                                        IWldAdoPunchQueueExcelExporter calendarListExcelExporter
            )
        {
            _repo = repo;
            _dapperRepo = dapperRepo;
            _calendarListExcelExporter = calendarListExcelExporter;
        }
        [AbpAuthorize(AppPermissions.Pages_Welding_Andon_PunchQueue_CreateEdit)]
        public async Task CreateOrEdit(CreateOrEditWldAdoPunchQueueDto input)
        {
            if (input.Id == null) await Create(input);
            else await Update(input);
        }
        //CREATE
        private async Task Create(CreateOrEditWldAdoPunchQueueDto input)
        {          
            var mainObj = ObjectMapper.Map&lt;WldAdoPunchQueue&gt;(input);
            await CurrentUnitOfWork.GetDbContext&lt;vovinaDbContext&gt;().AddAsync(mainObj);
        }
        // EDIT
        private async Task Update(CreateOrEditWldAdoPunchQueueDto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[AbpAuthorize(AppPermissions.Pages_Welding_Andon_PunchQueue_Delete)]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Task&lt;PagedResultDto&lt;WldAdoPunchQueueDto&gt;&gt; GetAll(GetWldAdoPunchQueueInput input)
        {
            var filtered = _repo.GetAll()
				.WhereIf(!string.IsNullOrWhiteSpace(input.BodyNo), e =&gt; e.BodyNo.Contains(input.BodyNo))
				.WhereIf(!string.IsNullOrWhiteSpace(input.Model), e =&gt; e.Model.Contains(input.Model))
				.WhereIf(!string.IsNullOrWhiteSpace(input.Line), e =&gt; e.Line.Contains(input.Line))
				.WhereIf(!string.IsNullOrWhiteSpace(input.LotNo), e =&gt; e.LotNo.Contains(input.LotNo))
				.WhereIf(!string.IsNullOrWhiteSpace(input.Color), e =&gt; e.Color.Contains(input.Color))
				.WhereIf(input.ScanTime.HasValue, t =&gt; t.ScanTime == input.ScanTime.Value)
				.WhereIf(!string.IsNullOrWhiteSpace(input.PunchFlag), e =&gt; e.PunchFlag.Contains(input.PunchFlag))
				.WhereIf(!string.IsNullOrWhiteSpace(input.PunchIndicator), e =&gt; e.PunchIndicator.Contains(input.PunchIndicator))
				.WhereIf(!string.IsNullOrWhiteSpace(input.IsCall), e =&gt; e.IsCall.Contains(input.IsCall))
				.WhereIf(!string.IsNullOrWhiteSpace(input.IsCf), e =&gt; e.IsCf.Contains(input.IsCf))                   
				;
            var pageAndFiltered = filtered.OrderBy(s =&gt; s.Id);
            var system = from o in pageAndFiltered
                         select new WldAdoPunchQueueDto
                        {
							Id = o.Id,
							BodyNo = o.BodyNo,
							Model = o.Model,
							Line = o.Line,
							LotNo = o.LotNo,
							Color = o.Color,
							ProcessGroup = o.ProcessGroup,
							ScanTime = o.ScanTime,
							PunchFlag = o.PunchFlag,
							PunchIndicator = o.PunchIndicator,
							IsCall = o.IsCall,
							IsCf = o.IsCf,
                        };
            var totalCount = await filtered.CountAsync();
			var paged = system.PageBy(input);
            return new PagedResultDto&lt;WldAdoPunchQueueDto&gt;(
                totalCount,
                 await paged.ToListAsync()
            );
        }
        public async Task&lt;FileDto&gt; GetPunchQueueToExcel(WldAdoPunchQueueExportInput input)
        {
            var query = from o in _repo.GetAll()
                        select new WldAdoPunchQueueDto
                        {
							Id = o.Id,
							BodyNo = o.BodyNo,
							Model = o.Model,
							Line = o.Line,
							LotNo = o.LotNo,
							Color = o.Color,
							ProcessGroup = o.ProcessGroup,
							ScanTime = o.ScanTime,
							PunchFlag = o.PunchFlag,
							PunchIndicator = o.PunchIndicator,
							IsCall = o.IsCall,
							IsCf = o.IsCf,
                        };
            var exportToExcel = await query.ToListAsync();
            return _calendarListExcelExporter.ExportToFile(exportToExcel);
        }
       // public async Task GenerateAsync()
      //  {
        //    await _dapperRepo.ExecuteAsync(WldAdoPunchQueueConsts.SP_MST_WPT_CALENDAR_GENERATE);
       // }
    }
}</v>
      </c>
      <c r="N38" s="62" t="str">
        <f>A.Backend!U7</f>
        <v xml:space="preserve">  configuration.CreateMap&lt;WldAdoPunchQueueDto, WldAdoPunchQueue&gt;();
  configuration.CreateMap&lt;WldAdoPunchQueue, WldAdoPunchQueueDto&gt;();
  configuration.CreateMap&lt;CreateOrEditWldAdoPunchQueueDto, WldAdoPunchQueue&gt;();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punchqueue</v>
      </c>
      <c r="C43" s="73" t="str">
        <f>"create folder " &amp;B43</f>
        <v>create folder punchqueue</v>
      </c>
      <c r="D43" s="73"/>
      <c r="E43" s="73"/>
      <c r="F43" s="73"/>
      <c r="G43" s="73"/>
      <c r="H43" s="73"/>
      <c r="I43" s="73"/>
      <c r="J43" s="73"/>
      <c r="K43" s="74" t="s">
        <v>228</v>
      </c>
      <c r="L43" s="74"/>
      <c r="M43" s="31"/>
    </row>
    <row r="44" spans="1:14" s="28" customFormat="1" ht="18" customHeight="1" x14ac:dyDescent="0.25">
      <c r="B44" s="60" t="s">
        <v>229</v>
      </c>
      <c r="C44" s="31" t="str">
        <f>B.Frontend!H14</f>
        <v>punchqueue.component.ts</v>
      </c>
      <c r="D44" s="31" t="str">
        <f>B.Frontend!I14</f>
        <v>punchqueue.component.html</v>
      </c>
      <c r="E44" s="31" t="str">
        <f>B.Frontend!J14</f>
        <v>punchqueue.component.less</v>
      </c>
      <c r="F44" s="31" t="str">
        <f>B.Frontend!K14</f>
        <v>create-or-edit-punchqueue-modal.component.html</v>
      </c>
      <c r="G44" s="31" t="str">
        <f>B.Frontend!L14</f>
        <v>create-or-edit-punchqueue-modal.component.ts</v>
      </c>
      <c r="H44" s="31" t="str">
        <f>B.Frontend!M14</f>
        <v>create-or-edit-punchqueue-modal.component.less</v>
      </c>
      <c r="I44" s="31" t="str">
        <f>B.Frontend!N14</f>
        <v>punchqueue.module.ts</v>
      </c>
      <c r="J44" s="31" t="str">
        <f>B.Frontend!O14</f>
        <v>punchqueue-routing.module.ts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232</v>
      </c>
    </row>
    <row r="45" spans="1:14" ht="21.75" customHeight="1" x14ac:dyDescent="0.25">
      <c r="B45" s="61" t="s">
        <v>226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WldAdoPunchQueueDto, WldAdoPunchQueueServiceProxy } from '@shared/service-proxies/service-proxies';
import { finalize } from 'rxjs/internal/operators/finalize';
import { CreateOrEditPunchQueueModalComponent } from './create-or-edit-punchqueue-modal.component';
import { DatePipe } from '@angular/common';
import { FileDownloadService } from '@shared/utils/file-download.service';
import ceil from 'lodash-es/ceil';
import { Paginator } from 'primeng/paginator';
@Component({
    templateUrl: './punchqueue.component.html',
    styleUrls: ['./punchqueue.component.less'],
})
export class PunchQueueComponent extends AppComponentBase implements OnInit {
    @ViewChild('createOrEditModalPunchQueue', { static: true }) createOrEditModalPunchQueue:| CreateOrEditPunchQueueModalComponent|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WldAdoPunchQueueDto = new WldAdoPunchQueueDto();
    saveSelectedRow: WldAdoPunchQueueDto = new WldAdoPunchQueueDto();
    datas: WldAdoPunchQueueDto = new WldAdoPunchQueueDto();
    isLoading: boolean = false;
    dataParams: GridParams | undefined;
    rowData: any[] = [];
    gridApi!: GridApi;
    rowSelection = 'multiple';
    filter: string = '';
	pipe = new DatePipe('en-US');
    bodyNo : string = '' ; 
	model : string = '' ; 
	line : string = '' ; 
	lotNo : string = '' ; 
	color : string = '' ; 
	processGroup : number = 0 ;
	scanTime : any ;
	punchFlag : string = '' ; 
	punchIndicator : string = '' ; 
	isCall : string = '' ; 
isCf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WldAdoPunchQueueServiceProxy,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this.l('Body No'),headerTooltip: this.l('Body No'),field: 'bodyNo',flex: 1},
			{headerName: this.l('Model'),headerTooltip: this.l('Model'),field: 'model',flex: 1},
			{headerName: this.l('Line'),headerTooltip: this.l('Line'),field: 'line',flex: 1},
			{headerName: this.l('Lot No'),headerTooltip: this.l('Lot No'),field: 'lotNo',flex: 1},
			{headerName: this.l('Color'),headerTooltip: this.l('Color'),field: 'color',flex: 1},
			{headerName: this.l('Process Group'),headerTooltip: this.l('Process Group'),field: 'processGroup',flex: 1},
			{headerName: this.l('Scan Time'),headerTooltip: this.l('Scan Time'),field: 'scanTime',valueGetter: (params) =&gt; this.pipe.transform(params.data?.scanTime, 'dd/MM/yyyy'),flex: 1},
			{headerName: this.l('Punch Flag'),headerTooltip: this.l('Punch Flag'),field: 'punchFlag',flex: 1},
			{headerName: this.l('Punch Indicator'),headerTooltip: this.l('Punch Indicator'),field: 'punchIndicator',flex: 1},
			{headerName: this.l('Is Call'),headerTooltip: this.l('Is Call'),field: 'isCall',flex: 1},
			{headerName: this.l('Is Cf'),headerTooltip: this.l('Is Cf'),field: 'isCf',flex: 1},      	  
        ];
    }
    ngOnInit(): void {
        this.paginationParams = { pageNum: 1, pageSize: 20, totalCount: 0 };
    }
    searchDatas(): void {
        // this.paginator.changePage(this.paginator.getPage());
        this._service.getAll(
			this.bodyNo,
			this.model,
			this.line,
			this.lotNo,
			this.color,
			this.processGroup,
			this.scanTime,
			this.punchFlag,
			this.punchIndicator,
			this.isCall,
			this.isCf,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this.bodyNo = '',
		this.model = '',
		this.line = '',
		this.lotNo = '',
		this.color = '',
		this.processGroup = 0,
		this.scanTime = '',
		this.punchFlag = '',
		this.punchIndicator = '',
		this.isCall = '',
this.isCf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this.bodyNo,
			this.model,
			this.line,
			this.lotNo,
			this.color,
			this.processGroup,
			this.scanTime,
			this.punchFlag,
			this.punchIndicator,
			this.isCall,
			this.isCf,
			'',
            this.paginationParams.skipCount,
            this.paginationParams.pageSize
        );
    }
    onChangeRowSelection(params: { api: { getSelectedRows: () =&gt; WldAdoPunchQueueDto[] } }) {
        this.saveSelectedRow = params.api.getSelectedRows()[0] ?? new WldAdoPunchQueueDto();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WldAdoPunchQueueDto):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this._service.getPunchQueueToExcel(
			this.bodyNo,
			this.model,
			this.line,
			this.lotNo,
			this.color,
			this.processGroup,
			this.scanTime,
			this.punchFlag,
			this.punchIndicator,
			this.isCall,
			this.isCf,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Welding Andon Punch Queue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[(ngModel)]='punchFlag' name='punchFlag'
									class='form-control' [placeholder]="l('Punch Flag')"
									type='text' (keyup.enter)='searchDatas()'&gt;
								&lt;/div&gt;
								&lt;div class='input-search'&gt;
									&lt;input [(ngModel)]='punchIndicator' name='punchIndicator'
									class='form-control' [placeholder]="l('Punch Indicator')"
									type='text' (keyup.enter)='searchDatas()'&gt;
								&lt;/div&gt;
								&lt;div class='input-search'&gt;
									&lt;input [(ngModel)]='isCall' name='isCall'
									class='form-control' [placeholder]="l('Is Call')"
									type='text' (keyup.enter)='searchDatas()'&gt;
								&lt;/div&gt;
								&lt;div class='input-search'&gt;
									&lt;input [(ngModel)]='isCf' name='isCf'
									class='form-control' [placeholder]="l('Is Cf')"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(click)="createOrEditModalPunchQueue.show()"&gt;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(click)="createOrEditModalPunchQueue.show(selectedRow)"&gt;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&lt;create-or-edit-punchqueue-modal
    #createOrEditModalPunchQueue
    (modalSave)="callBackDataGrid(dataParams)"
    (modalClose)="onChangeRowSelection(dataParams)"
&gt;
&lt;/create-or-edit-punchqueue-modal&gt;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#createOrEditModalPunchQueue="bs-modal"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PunchQueue')}}&lt;/h3&gt;
                    &lt;h3 *ngIf="!rowdata.id"&gt;{{('Create New PunchQueue')}}&lt;/h3&gt;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title'&gt;Punch Flag&lt;/label&gt;
						&lt;input class='col-md-10 form-control checkboxActive' type='checkbox' name='punchFlag'
						[checked]='_punchFlag' (change)='changeActive($event)'&gt;
					&lt;/div&gt;
					&lt;div class='col-md-12 form-group row'&gt;
						&lt;label class='col-md-2 form-control title'&gt;Punch Indicator&lt;/label&gt;
						&lt;input type='text' class='col-md-10 form-control input-text' name='PunchIndicator' [(ngModel)]='rowdata.punchIndicator'&gt;
					&lt;/div&gt;
					&lt;div class='col-md-12 form-group row'&gt;
						&lt;label class='col-md-2 form-control title'&gt;Is Call&lt;/label&gt;
						&lt;input class='col-md-10 form-control checkboxActive' type='checkbox' name='isCall'
						[checked]='_isCall' (change)='changeActive($event)'&gt;
					&lt;/div&gt;
					&lt;div class='col-md-12 form-group row'&gt;
						&lt;label class='col-md-2 form-control title'&gt;Is Cf&lt;/label&gt;
						&lt;input class='col-md-10 form-control checkboxActive' type='checkbox' name='isCf'
						[checked]='_isCf'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CreateOrEditWldAdoPunchQueueDto, WldAdoPunchQueueServiceProxy } from '@shared/service-proxies/service-proxies';
import { BsDatepickerDirective } from 'ngx-bootstrap/datepicker';
@Component({
    selector: 'create-or-edit-punchqueue-modal',
    templateUrl: './create-or-edit-punchqueue-modal.component.html',
    styleUrls: ['./create-or-edit-punchqueue-modal.component.less']
    })
export class CreateOrEditPunchQueueModalComponent extends AppComponentBase {
    @ViewChild('createOrEditModalPunchQueue',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CreateOrEditWldAdoPunchQueueDto = new CreateOrEditWldAdoPunchQueueDto();
    active: boolean = false;
    saving: boolean = false;
    _punchFlag
isCall
isCf: boolean;
    constructor(
        injector: Injector,
        private _mstwptPunchQueueService: WldAdoPunchQueueServiceProxy,
    ) 
    {
        super(injector);
    }
    show(rowdata?: CreateOrEditWldAdoPunchQueueDto): void {
        if (!rowdata) this.rowdata = new CreateOrEditWldAdoPunchQueueDto();
        else this.rowdata = rowdata;
		const dateValue =  this.rowdata.scanTime ? new Date(this.rowdata.scanTime?.toString()) : new Date();
		this.datepicker?.bsValueChange.emit(dateValue);
        this._punchFlag
isCall
isCf = (this.rowdata.punchFlag
isCall
isCf == "N")? false: true;
        this.active = true;
        this.modal.show();
    } 
    changeActive(event){
        this._punchFlag
isCall
isCf = event.target.checked;
    }
    save(): void {
    this.saving = true; 
    this.rowdata.punchFlag
isCall
isCf = (this._punchFlag
isCall
isCf == true) ? 'Y' : 'N'
    this._mstwptPunchQueueService.createOrEdit(this.rowdata)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PunchQueueRoutingModule } from './punchqueue-routing.module';
import { PunchQueueComponent } from './punchqueue.component';
import { CreateOrEditPunchQueueModalComponent } from './create-or-edit-punchqueue-modal.component';
@NgModule({
    declarations: [
       PunchQueueComponent, 
        CreateOrEditPunchQueueModalComponent
    ],
    imports: [
        AppSharedModule, PunchQueueRoutingModule]
})
export class PunchQueueModule {}</v>
      </c>
      <c r="J45" s="49" t="str">
        <f>B.Frontend!O10</f>
        <v>import {NgModule} from '@angular/core';
import {RouterModule, Routes} from '@angular/router';
import { PunchQueueComponent } from './punchqueue.component';
const routes: Routes = [{
    path: '',
    component: PunchQueueComponent,
    pathMatch: 'full'
}];
@NgModule({
    imports: [RouterModule.forChild(routes)],
    exports: [RouterModule],
})
export class PunchQueueRoutingModule {}</v>
      </c>
      <c r="K45" s="49" t="str">
        <f>B.Frontend!P10</f>
        <v xml:space="preserve"> new AppMenuItem("PunchQueue", "Pages.Welding.Andon.PunchQueue", "flaticon-book",   "/app/main/welding/andon/punchqueue"),</v>
      </c>
      <c r="L45" s="50" t="str">
        <f>B.Frontend!Q10</f>
        <v>{
    path: 'welding/andon/punchqueue',
    loadChildren: () =&gt; import('./welding/andon/punchqueue/punchqueue.module').then(m =&gt; m.PunchQueueModule),
    data: { permission: 'Pages.Welding.Andon.PunchQueue' }
},</v>
      </c>
      <c r="M45" s="48" t="str">
        <f>B.Frontend!R10</f>
        <v>ApiServiceProxies.WldAdoPunchQueueServiceProxy,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1"/>
  <sheetViews>
    <sheetView workbookViewId="0">
      <pane xSplit="1" topLeftCell="B1" activePane="topRight" state="frozen"/>
      <selection pane="topRight" activeCell="D12" sqref="D12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vovina.Welding.Andon.Dto;</v>
      </c>
      <c r="E1" s="10" t="s">
        <v>269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260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276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259</v>
      </c>
    </row>
    <row r="3" spans="1:23" s="11" customFormat="1" ht="33" customHeight="1" x14ac:dyDescent="0.25">
      <c r="A3" s="1" t="s">
        <v>5</v>
      </c>
      <c r="B3" s="30" t="s">
        <v>277</v>
      </c>
      <c r="C3" s="10" t="s">
        <v>43</v>
      </c>
      <c r="D3" s="10" t="s">
        <v>44</v>
      </c>
      <c r="E3" s="10" t="s">
        <v>39</v>
      </c>
      <c r="F3" s="11" t="str">
        <f>"J"&amp;COUNTA($A:$A)</f>
        <v>J19</v>
      </c>
      <c r="G3" s="4" t="s">
        <v>57</v>
      </c>
      <c r="H3" s="10" t="str">
        <f>"I"&amp;COUNTA($A:$A)</f>
        <v>I19</v>
      </c>
      <c r="I3" s="10" t="str">
        <f>REPT(CHAR(9),2)&amp;"[Required]"&amp;"
"</f>
        <v xml:space="preserve">		[Required]
</v>
      </c>
      <c r="J3" s="11" t="str">
        <f>"L"&amp;COUNTA($A:$A)</f>
        <v>L19</v>
      </c>
      <c r="K3" s="5" t="s">
        <v>56</v>
      </c>
      <c r="L3" s="11" t="str">
        <f>"M"&amp;COUNTA($A:$A)</f>
        <v>M19</v>
      </c>
      <c r="M3" s="11" t="str">
        <f>"N"&amp;COUNTA($A:$A)</f>
        <v>N19</v>
      </c>
      <c r="N3" s="11" t="str">
        <f>"O"&amp;COUNTA($A:$A)</f>
        <v>O19</v>
      </c>
      <c r="O3" s="11" t="str">
        <f>"P"&amp;COUNTA($A:$A)</f>
        <v>P19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WldAdoPunchQueueExportInput{
</v>
      </c>
      <c r="S3" s="11" t="str">
        <f>"namespace "&amp;$B$6&amp;".Exporting
"&amp;$C$3</f>
        <v xml:space="preserve">namespace vovina.Welding.Andon.Exporting
{
</v>
      </c>
      <c r="T3" s="11" t="str">
        <f>"T"&amp;COUNTA($A:$A)</f>
        <v>T19</v>
      </c>
      <c r="V3" s="11" t="str">
        <f>"V"&amp;COUNTA($A:$A)</f>
        <v>V19</v>
      </c>
      <c r="W3" s="10" t="str">
        <f>"W"&amp;COUNTA($A:$A)</f>
        <v>W19</v>
      </c>
    </row>
    <row r="4" spans="1:23" s="11" customFormat="1" ht="33" customHeight="1" x14ac:dyDescent="0.25">
      <c r="A4" s="1" t="s">
        <v>237</v>
      </c>
      <c r="B4" s="64" t="s">
        <v>92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278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vovina.Welding.Andon</v>
      </c>
      <c r="C6" s="11" t="str">
        <f>"namespace "&amp;$B$6&amp;"
"&amp;$C$3</f>
        <v xml:space="preserve">namespace vovina.Welding.Andon
{
</v>
      </c>
      <c r="D6" s="11" t="str">
        <f>REPT(CHAR(9),1)&amp;"public class "&amp;B3&amp;G3&amp;REPT(CHAR(9),1)&amp;"
"&amp;REPT(CHAR(9),1)&amp;C3</f>
        <v xml:space="preserve">	public class WldAdoPunchQueue: FullAuditedEntity&lt;long&gt;, IEntity&lt;long&gt;	
	{
</v>
      </c>
      <c r="E6" s="11" t="str">
        <f>REPT(CHAR(9),1)&amp;"public class "&amp;B3&amp;"Consts"&amp;REPT(CHAR(9),1)&amp;"
"&amp;REPT(CHAR(9),1)&amp;C3</f>
        <v xml:space="preserve">	public class WldAdoPunchQueueConsts	
	{
</v>
      </c>
      <c r="F6" s="11" t="str">
        <f>REPT(CHAR(9),1)&amp;"public class "&amp;B3&amp;"Dto"&amp;K3&amp;REPT(CHAR(9),1)&amp;"
"&amp;REPT(CHAR(9),1)&amp;C3</f>
        <v xml:space="preserve">	public class WldAdoPunchQueueDto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CreateOrEditWldAdoPunchQueueDto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GetWldAdoPunchQueueInput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WldAdoPunchQueue</v>
      </c>
      <c r="C7" s="11" t="str">
        <f>REPT(CHAR(9),1)&amp;"[Table("""&amp;B7&amp;""")]"&amp;"
"</f>
        <v xml:space="preserve">	[Table("WldAdoPunchQueue")]
</v>
      </c>
      <c r="D7" s="11"/>
      <c r="E7" s="11"/>
      <c r="F7" s="11"/>
      <c r="G7" s="11"/>
      <c r="H7" s="11"/>
      <c r="I7" s="11"/>
      <c r="J7" s="6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vovina.Welding.Andon
{
	[Table("WldAdoPunchQueue")]
	[Index(nameof(BodyNo), Name="IX_WldAdoPunchQueue_BodyNo")]
	[Index(nameof(LotNo), Name="IX_WldAdoPunchQueue_LotNo")]
	public class WldAdoPunchQueue: FullAuditedEntity&lt;long&gt;, IEntity&lt;long&gt;	
	{
		public const int MaxBodyNoLength = 50;
		public const int MaxModelLength = 50;
		public const int MaxLineLength = 100;
		public const int MaxLotNoLength = 50;
		public const int MaxColorLength = 50;
		public const int MaxPunchFlagLength = 1;
		public const int MaxPunchIndicatorLength = 500;
		public const int MaxIsCallLength = 1;
		public const int MaxIsCfLength = 1;
		[StringLength(MaxBodyNoLength)]
		public virtual string BodyNo { get; set; }
		[StringLength(MaxModelLength)]
		public virtual string Model { get; set; }
		[StringLength(MaxLineLength)]
		public virtual string Line { get; set; }
		[StringLength(MaxLotNoLength)]
		public virtual string LotNo { get; set; }
		[StringLength(MaxColorLength)]
		public virtual string Color { get; set; }
		public virtual int ProcessGroup { get; set; }
		[Column(TypeName="datetime2(7)")]
		public virtual DateTime ScanTime { get; set; }
		[StringLength(MaxPunchFlagLength)]
		public virtual string PunchFlag { get; set; }
		[StringLength(MaxPunchIndicatorLength)]
		public virtual string PunchIndicator { get; set; }
		[StringLength(MaxIsCallLength)]
		public virtual string IsCall { get; set; }
		[StringLength(MaxIsCfLength)]
		public virtual string IsCf { get; set; }
	}
}
</v>
      </c>
      <c r="K7" t="str">
        <f>SUBSTITUTE(SUBSTITUTE(("public virtual DbSet&lt;"&amp;B3&amp;"&gt; "&amp;B3&amp;"s { get; set; }"),"WorkingPattern",$Q$3),"Master",$B$4)</f>
        <v>public virtual DbSet&lt;WldAdoPunchQueue&gt; WldAdoPunchQueues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vovina.Welding.Andon
{
	public class WldAdoPunchQueueConsts	
	{
		public const int MaxBodyNoLength = 50;
		public const int MaxModelLength = 50;
		public const int MaxLineLength = 100;
		public const int MaxLotNoLength = 50;
		public const int MaxColorLength = 50;
		public const int MaxPunchFlagLength = 1;
		public const int MaxPunchIndicatorLength = 500;
		public const int MaxIsCallLength = 1;
		public const int MaxIsCfLength = 1;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vovina.Welding.Andon.Dto
{
	public class WldAdoPunchQueueDto : EntityDto&lt;long?&gt;	
	{
		public virtual string BodyNo { get; set; }
		public virtual string Model { get; set; }
		public virtual string Line { get; set; }
		public virtual string LotNo { get; set; }
		public virtual string Color { get; set; }
		public virtual int ProcessGroup { get; set; }
		public virtual DateTime? ScanTime { get; set; }
		public virtual string PunchFlag { get; set; }
		public virtual string PunchIndicator { get; set; }
		public virtual string IsCall { get; set; }
		public virtual string IsCf { get; set; }
	}
	public class CreateOrEditWldAdoPunchQueueDto : EntityDto&lt;long?&gt;	
	{
		[StringLength(WldAdoPunchQueueConsts.MaxBodyNoLength)]
		public virtual string BodyNo { get; set; }
		[StringLength(WldAdoPunchQueueConsts.MaxModelLength)]
		public virtual string Model { get; set; }
		[StringLength(WldAdoPunchQueueConsts.MaxLineLength)]
		public virtual string Line { get; set; }
		[StringLength(WldAdoPunchQueueConsts.MaxLotNoLength)]
		public virtual string LotNo { get; set; }
		[StringLength(WldAdoPunchQueueConsts.MaxColorLength)]
		public virtual string Color { get; set; }
		public virtual int ProcessGroup { get; set; }
		public virtual DateTime? ScanTime { get; set; }
		[StringLength(WldAdoPunchQueueConsts.MaxPunchFlagLength)]
		public virtual string PunchFlag { get; set; }
		[StringLength(WldAdoPunchQueueConsts.MaxPunchIndicatorLength)]
		public virtual string PunchIndicator { get; set; }
		[StringLength(WldAdoPunchQueueConsts.MaxIsCallLength)]
		public virtual string IsCall { get; set; }
		[StringLength(WldAdoPunchQueueConsts.MaxIsCfLength)]
		public virtual string IsCf { get; set; }
	}
	public class GetWldAdoPunchQueueInput : PagedAndSortedResultRequestDto	
	{
		public virtual string BodyNo { get; set; }
		public virtual string Model { get; set; }
		public virtual string Line { get; set; }
		public virtual string LotNo { get; set; }
		public virtual string Color { get; set; }
		public virtual int ProcessGroup { get; set; }
		public virtual DateTime? ScanTime { get; set; }
		public virtual string PunchFlag { get; set; }
		public virtual string PunchIndicator { get; set; }
		public virtual string IsCall { get; set; }
		public virtual string IsCf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perWldAdoPunchQueue = PARENTS.CreateChildPermission(AppPermissions.Pages_Welding_Andon_PunchQueue, L( "WeldingAndonPunchQueue"));
		perWldAdoPunchQueue.CreateChildPermission(AppPermissions.Pages_Welding_Andon_PunchQueue_CreateEdit, L( "WeldingAndonPunchQueueCreateEdit"));
		perWldAdoPunchQueue.CreateChildPermission(AppPermissions.Pages_Welding_Andon_PunchQueue_Delete, L( "WeldingAndonPunchQueueDelete"));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Pages_Welding_Andon_PunchQueue = "Pages.Welding.Andon.PunchQueue";
		public const string Pages_Welding_Andon_PunchQueue_CreateEdit = "Pages.Welding.Andon.PunchQueue.CreateEdit";
		public const string Pages_Welding_Andon_PunchQueue_Delete = "Pages.Welding.Andon.PunchQueue.Delete";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vovina.Welding.Andon.Dto;
namespace vovina.Welding.Andon
{
	public interface IWldAdoPunchQueueAppService : IApplicationService
	{
		Task&lt;PagedResultDto&lt;WldAdoPunchQueueDto&gt;&gt; GetAll(GetWldAdoPunchQueueInput input);
		Task CreateOrEdit(CreateOrEditWldAdoPunchQueueDto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vovina.Welding.Andon.Dto;
using vovina.Welding.Andon.Exporting;
namespace vovina.Welding.Andon
{
    [AbpAuthorize(AppPermissions.Pages_Welding_Andon_PunchQueue)]
    public class WldAdoPunchQueueAppService : vovinaAppServiceBase, IWldAdoPunchQueueAppService
    {
        private readonly IDapperRepository&lt;WldAdoPunchQueue, long&gt; _dapperRepo;
        private readonly IRepository&lt;WldAdoPunchQueue, long&gt; _repo;
        private readonly IWldAdoPunchQueueExcelExporter _calendarListExcelExporter;
        public WldAdoPunchQueueAppService(IRepository&lt;WldAdoPunchQueue,long&gt; repo, 
                                         IDapperRepository&lt;WldAdoPunchQueue,long&gt; dapperRepo,
                                        IWldAdoPunchQueueExcelExporter calendarListExcelExporter
            )
        {
            _repo = repo;
            _dapperRepo = dapperRepo;
            _calendarListExcelExporter = calendarListExcelExporter;
        }
        [AbpAuthorize(AppPermissions.Pages_Welding_Andon_PunchQueue_CreateEdit)]
        public async Task CreateOrEdit(CreateOrEditWldAdoPunchQueueDto input)
        {
            if (input.Id == null) await Create(input);
            else await Update(input);
        }
        //CREATE
        private async Task Create(CreateOrEditWldAdoPunchQueueDto input)
        {          
            var mainObj = ObjectMapper.Map&lt;WldAdoPunchQueue&gt;(input);
            await CurrentUnitOfWork.GetDbContext&lt;vovinaDbContext&gt;().AddAsync(mainObj);
        }
        // EDIT
        private async Task Update(CreateOrEditWldAdoPunchQueueDto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[AbpAuthorize(AppPermissions.Pages_Welding_Andon_PunchQueue_Delete)]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Task&lt;PagedResultDto&lt;WldAdoPunchQueueDto&gt;&gt; GetAll(GetWldAdoPunchQueueInput input)
        {
            var filtered = _repo.GetAll()
				.WhereIf(!string.IsNullOrWhiteSpace(input.BodyNo), e =&gt; e.BodyNo.Contains(input.BodyNo))
				.WhereIf(!string.IsNullOrWhiteSpace(input.Model), e =&gt; e.Model.Contains(input.Model))
				.WhereIf(!string.IsNullOrWhiteSpace(input.Line), e =&gt; e.Line.Contains(input.Line))
				.WhereIf(!string.IsNullOrWhiteSpace(input.LotNo), e =&gt; e.LotNo.Contains(input.LotNo))
				.WhereIf(!string.IsNullOrWhiteSpace(input.Color), e =&gt; e.Color.Contains(input.Color))
				.WhereIf(input.ScanTime.HasValue, t =&gt; t.ScanTime == input.ScanTime.Value)
				.WhereIf(!string.IsNullOrWhiteSpace(input.PunchFlag), e =&gt; e.PunchFlag.Contains(input.PunchFlag))
				.WhereIf(!string.IsNullOrWhiteSpace(input.PunchIndicator), e =&gt; e.PunchIndicator.Contains(input.PunchIndicator))
				.WhereIf(!string.IsNullOrWhiteSpace(input.IsCall), e =&gt; e.IsCall.Contains(input.IsCall))
				.WhereIf(!string.IsNullOrWhiteSpace(input.IsCf), e =&gt; e.IsCf.Contains(input.IsCf))                   
				;
            var pageAndFiltered = filtered.OrderBy(s =&gt; s.Id);
            var system = from o in pageAndFiltered
                         select new WldAdoPunchQueueDto
                        {
							Id = o.Id,
							BodyNo = o.BodyNo,
							Model = o.Model,
							Line = o.Line,
							LotNo = o.LotNo,
							Color = o.Color,
							ProcessGroup = o.ProcessGroup,
							ScanTime = o.ScanTime,
							PunchFlag = o.PunchFlag,
							PunchIndicator = o.PunchIndicator,
							IsCall = o.IsCall,
							IsCf = o.IsCf,
                        };
            var totalCount = await filtered.CountAsync();
			var paged = system.PageBy(input);
            return new PagedResultDto&lt;WldAdoPunchQueueDto&gt;(
                totalCount,
                 await paged.ToListAsync()
            );
        }
        public async Task&lt;FileDto&gt; GetPunchQueueToExcel(WldAdoPunchQueueExportInput input)
        {
            var query = from o in _repo.GetAll()
                        select new WldAdoPunchQueueDto
                        {
							Id = o.Id,
							BodyNo = o.BodyNo,
							Model = o.Model,
							Line = o.Line,
							LotNo = o.LotNo,
							Color = o.Color,
							ProcessGroup = o.ProcessGroup,
							ScanTime = o.ScanTime,
							PunchFlag = o.PunchFlag,
							PunchIndicator = o.PunchIndicator,
							IsCall = o.IsCall,
							IsCf = o.IsCf,
                        };
            var exportToExcel = await query.ToListAsync();
            return _calendarListExcelExporter.ExportToFile(exportToExcel);
        }
       // public async Task GenerateAsync()
      //  {
        //    await _dapperRepo.ExecuteAsync(WldAdoPunchQueueConsts.SP_MST_WPT_CALENDAR_GENERATE);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vovina.Welding.Andon.Dto
{
	public class WldAdoPunchQueueExportInput{
		public virtual string BodyNo { get; set; }
		public virtual string Model { get; set; }
		public virtual string Line { get; set; }
		public virtual string LotNo { get; set; }
		public virtual string Color { get; set; }
		public virtual int ProcessGroup { get; set; }
		public virtual DateTime? ScanTime { get; set; }
		public virtual string PunchFlag { get; set; }
		public virtual string PunchIndicator { get; set; }
		public virtual string IsCall { get; set; }
		public virtual string IsCf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vovina.Welding.Andon.Dto;
namespace vovina.Welding.Andon.Exporting
{
	public interface IWldAdoPunchQueueExcelExporter : IApplicationService
	{
		FileDto ExportToFile(List&lt;WldAdoPunchQueueDto&gt; wldadopunchqueue);
	}
}
</v>
      </c>
      <c r="T7" s="28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vovina.Welding.Andon.Exporting;
using vovina.Welding.Andon.Dto;
using vovina.Storage;
using vovina.Welding.Andon.Dto;
namespace vovina.Welding.Andon.Exporting
{
    public class WldAdoPunchQueueExcelExporter : NpoiExcelExporterBase, IWldAdoPunchQueueExcelExporter
    {
        public WldAdoPunchQueueExcelExporter(ITempFileCacheManager tempFileCacheManager) : base(tempFileCacheManager) { }
        public FileDto ExportToFile(List&lt;WldAdoPunchQueueDto&gt; punchqueue)
        {
            return CreateExcelPackage(
				"WeldingAndonPunchQueue.xlsx",
				excelPackage =&gt;
				 {
					var sheet = excelPackage.CreateSheet("PunchQueue");
					AddHeader(
								sheet,
								("BodyNo"),
								("Model"),
								("Line"),
								("LotNo"),
								("Color"),
								("ProcessGroup"),
								("ScanTime"),
								("PunchFlag"),
								("PunchIndicator"),
								("IsCall"),
								("IsCf"),
							   );
					AddObjects(
						 sheet, 1, punchqueue,                                       
								_ =&gt; _.BodyNo,
								_ =&gt; _.Model,
								_ =&gt; _.Line,
								_ =&gt; _.LotNo,
								_ =&gt; _.Color,
								_ =&gt; _.ProcessGroup,
								_ =&gt; _.ScanTime,
								_ =&gt; _.PunchFlag,
								_ =&gt; _.PunchIndicator,
								_ =&gt; _.IsCall,
								_ =&gt; _.IsCf,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configuration.CreateMap&lt;WldAdoPunchQueueDto, WldAdoPunchQueue&gt;();
  configuration.CreateMap&lt;WldAdoPunchQueue, WldAdoPunchQueueDto&gt;();
  configuration.CreateMap&lt;CreateOrEditWldAdoPunchQueueDto, WldAdoPunchQueue&gt;();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274</v>
      </c>
      <c r="B9" t="s">
        <v>280</v>
      </c>
      <c r="C9" t="s">
        <v>1</v>
      </c>
      <c r="D9" t="str">
        <f>SUBSTITUTE(PROPER(A9),"_","")</f>
        <v>BodyNo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MaxBodyNoLength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[StringLength(MaxBodyNoLength)]
		public virtual string BodyNo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[Index(nameof(BodyNo), Name="IX_WldAdoPunchQueue_BodyNo")]</v>
      </c>
      <c r="M9" t="str">
        <f>REPT(CHAR(9),2)&amp;"public virtual "&amp;IF(OR(H9="DateTime",H9="TimeSpan"),H9&amp;"?",H9)&amp;IF(C9="?","? "," ")&amp;D9&amp;" { get; set; }" &amp; "
"</f>
        <v xml:space="preserve">		public virtual string BodyNo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[StringLength(WldAdoPunchQueueConsts.MaxBodyNoLength)]
		public virtual string BodyNo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BodyNo { get; set; }
</v>
      </c>
      <c r="P9" t="str">
        <f t="shared" ref="P9:P11" si="4">REPT(CHAR(9),7)&amp;D9&amp;" = o." &amp;D9 &amp;","</f>
        <v xml:space="preserve">							BodyNo = o.BodyNo,</v>
      </c>
      <c r="T9" s="69" t="str">
        <f>REPT(CHAR(9),8)&amp;"("""&amp;D9&amp;"""),"</f>
        <v xml:space="preserve">								("BodyNo"),</v>
      </c>
      <c r="V9" s="70" t="str">
        <f>REPT(CHAR(9),8)&amp;"_ =&gt; _."&amp;D9&amp;","</f>
        <v xml:space="preserve">								_ =&gt; _.BodyNo,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.WhereIf(!string.IsNullOrWhiteSpace(input.BodyNo), e =&gt; e.BodyNo.Contains(input.BodyNo))</v>
      </c>
    </row>
    <row r="10" spans="1:23" customFormat="1" ht="21" customHeight="1" x14ac:dyDescent="0.25">
      <c r="A10" t="s">
        <v>272</v>
      </c>
      <c r="B10" t="s">
        <v>280</v>
      </c>
      <c r="C10" t="s">
        <v>1</v>
      </c>
      <c r="D10" t="str">
        <f t="shared" ref="D10:D11" si="5">SUBSTITUTE(PROPER(A10),"_","")</f>
        <v>Model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MaxModelLength = 50;
</v>
      </c>
      <c r="J10" t="str">
        <f t="shared" si="3"/>
        <v xml:space="preserve">		[StringLength(MaxModelLength)]
		public virtual string Model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1" si="7">REPT(CHAR(9),2)&amp;"public virtual "&amp;IF(OR(H10="DateTime",H10="TimeSpan"),H10&amp;"?",H10)&amp;IF(C10="?","? "," ")&amp;D10&amp;" { get; set; }" &amp; "
"</f>
        <v xml:space="preserve">		public virtual string Model { get; set; }
</v>
      </c>
      <c r="N10" t="str">
        <f t="shared" ref="N10:N11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[StringLength(WldAdoPunchQueueConsts.MaxModelLength)]
		public virtual string Model { get; set; }
</v>
      </c>
      <c r="O10" t="str">
        <f t="shared" ref="O10:O11" si="9">IF(OR(H10="string",H10="DateTime",H10="int"),REPT(CHAR(9),2)&amp;"public virtual "&amp;IF(OR(H10="DateTime",H10="TimeSpan"),H10&amp;"?",H10)&amp;IF(C10="?","? "," ")&amp;D10&amp;" { get; set; }"&amp;$E$3,"")</f>
        <v xml:space="preserve">		public virtual string Model { get; set; }
</v>
      </c>
      <c r="P10" t="str">
        <f t="shared" si="4"/>
        <v xml:space="preserve">							Model = o.Model,</v>
      </c>
      <c r="T10" s="69" t="str">
        <f t="shared" ref="T10:T11" si="10">REPT(CHAR(9),8)&amp;"("""&amp;D10&amp;"""),"</f>
        <v xml:space="preserve">								("Model"),</v>
      </c>
      <c r="V10" s="70" t="str">
        <f t="shared" ref="V10:V11" si="11">REPT(CHAR(9),8)&amp;"_ =&gt; _."&amp;D10&amp;","</f>
        <v xml:space="preserve">								_ =&gt; _.Model,</v>
      </c>
      <c r="W10" s="69" t="str">
        <f t="shared" ref="W10:W11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.WhereIf(!string.IsNullOrWhiteSpace(input.Model), e =&gt; e.Model.Contains(input.Model))</v>
      </c>
    </row>
    <row r="11" spans="1:23" customFormat="1" ht="18.75" customHeight="1" x14ac:dyDescent="0.25">
      <c r="A11" t="s">
        <v>281</v>
      </c>
      <c r="B11" t="s">
        <v>282</v>
      </c>
      <c r="C11" t="s">
        <v>1</v>
      </c>
      <c r="D11" t="str">
        <f t="shared" si="5"/>
        <v>Line</v>
      </c>
      <c r="E11" t="str">
        <f t="shared" si="0"/>
        <v>varchar</v>
      </c>
      <c r="F11" s="7"/>
      <c r="G11" t="str">
        <f t="shared" si="1"/>
        <v>100</v>
      </c>
      <c r="H11" t="str">
        <f>+VLOOKUP(E11,'Data Type Mapping'!A:B,2,)</f>
        <v>string</v>
      </c>
      <c r="I11" t="str">
        <f t="shared" si="2"/>
        <v xml:space="preserve">		public const int MaxLineLength = 100;
</v>
      </c>
      <c r="J11" t="str">
        <f t="shared" si="3"/>
        <v xml:space="preserve">		[StringLength(MaxLineLength)]
		public virtual string Line { get; set; }
</v>
      </c>
      <c r="K11" s="7"/>
      <c r="L11" t="str">
        <f t="shared" si="6"/>
        <v/>
      </c>
      <c r="M11" t="str">
        <f t="shared" si="7"/>
        <v xml:space="preserve">		public virtual string Line { get; set; }
</v>
      </c>
      <c r="N11" t="str">
        <f t="shared" si="8"/>
        <v xml:space="preserve">		[StringLength(WldAdoPunchQueueConsts.MaxLineLength)]
		public virtual string Line { get; set; }
</v>
      </c>
      <c r="O11" t="str">
        <f t="shared" si="9"/>
        <v xml:space="preserve">		public virtual string Line { get; set; }
</v>
      </c>
      <c r="P11" t="str">
        <f t="shared" si="4"/>
        <v xml:space="preserve">							Line = o.Line,</v>
      </c>
      <c r="T11" s="69" t="str">
        <f t="shared" si="10"/>
        <v xml:space="preserve">								("Line"),</v>
      </c>
      <c r="V11" s="70" t="str">
        <f t="shared" si="11"/>
        <v xml:space="preserve">								_ =&gt; _.Line,</v>
      </c>
      <c r="W11" s="69" t="str">
        <f t="shared" si="12"/>
        <v xml:space="preserve">				.WhereIf(!string.IsNullOrWhiteSpace(input.Line), e =&gt; e.Line.Contains(input.Line))</v>
      </c>
    </row>
    <row r="12" spans="1:23" customFormat="1" ht="22.5" customHeight="1" x14ac:dyDescent="0.25">
      <c r="A12" t="s">
        <v>273</v>
      </c>
      <c r="B12" t="s">
        <v>280</v>
      </c>
      <c r="C12" t="s">
        <v>1</v>
      </c>
      <c r="D12" t="str">
        <f>SUBSTITUTE(PROPER(A12),"_","")</f>
        <v>LotNo</v>
      </c>
      <c r="E12" t="str">
        <f t="shared" ref="E12:E19" si="13">IFERROR(LEFT(B12, FIND("(",B12)-1),B12)</f>
        <v>varchar</v>
      </c>
      <c r="F12" s="7"/>
      <c r="G12" t="str">
        <f t="shared" ref="G12:G19" si="14">IFERROR(MID(B12,FIND("(",B12) +1, FIND(")",B12) - FIND("(",B12) - 1),"")</f>
        <v>50</v>
      </c>
      <c r="H12" t="str">
        <f>+VLOOKUP(E12,'Data Type Mapping'!A:B,2,)</f>
        <v>string</v>
      </c>
      <c r="I12" t="str">
        <f t="shared" ref="I12:I19" si="15">IF(H12="string",REPT(CHAR(9),2)&amp;"public const int Max"&amp;D12&amp;"Length = "&amp;G12&amp;";"&amp;$E$3,"" )</f>
        <v xml:space="preserve">		public const int MaxLotNoLength = 50;
</v>
      </c>
      <c r="J12" t="str">
        <f t="shared" ref="J12:J19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[StringLength(MaxLotNoLength)]
		public virtual string LotNo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[Index(nameof(LotNo), Name="IX_WldAdoPunchQueue_LotNo")]</v>
      </c>
      <c r="M12" t="str">
        <f t="shared" ref="M12:M19" si="17">REPT(CHAR(9),2)&amp;"public virtual "&amp;IF(OR(H12="DateTime",H12="TimeSpan"),H12&amp;"?",H12)&amp;IF(C12="?","? "," ")&amp;D12&amp;" { get; set; }" &amp; "
"</f>
        <v xml:space="preserve">		public virtual string LotNo { get; set; }
</v>
      </c>
      <c r="N12" t="str">
        <f t="shared" ref="N12:N19" si="18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[StringLength(WldAdoPunchQueueConsts.MaxLotNoLength)]
		public virtual string LotNo { get; set; }
</v>
      </c>
      <c r="O12" t="str">
        <f t="shared" ref="O12:O19" si="19">IF(OR(H12="string",H12="DateTime",H12="int"),REPT(CHAR(9),2)&amp;"public virtual "&amp;IF(OR(H12="DateTime",H12="TimeSpan"),H12&amp;"?",H12)&amp;IF(C12="?","? "," ")&amp;D12&amp;" { get; set; }"&amp;$E$3,"")</f>
        <v xml:space="preserve">		public virtual string LotNo { get; set; }
</v>
      </c>
      <c r="P12" t="str">
        <f t="shared" ref="P12:P19" si="20">REPT(CHAR(9),7)&amp;D12&amp;" = o." &amp;D12 &amp;","</f>
        <v xml:space="preserve">							LotNo = o.LotNo,</v>
      </c>
      <c r="T12" s="69" t="str">
        <f t="shared" ref="T12:T19" si="21">REPT(CHAR(9),8)&amp;"("""&amp;D12&amp;"""),"</f>
        <v xml:space="preserve">								("LotNo"),</v>
      </c>
      <c r="V12" s="70" t="str">
        <f t="shared" ref="V12:V19" si="22">REPT(CHAR(9),8)&amp;"_ =&gt; _."&amp;D12&amp;","</f>
        <v xml:space="preserve">								_ =&gt; _.LotNo,</v>
      </c>
      <c r="W12" s="69" t="str">
        <f t="shared" ref="W12:W19" si="23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.WhereIf(!string.IsNullOrWhiteSpace(input.LotNo), e =&gt; e.LotNo.Contains(input.LotNo))</v>
      </c>
    </row>
    <row r="13" spans="1:23" customFormat="1" ht="21" customHeight="1" x14ac:dyDescent="0.25">
      <c r="A13" t="s">
        <v>275</v>
      </c>
      <c r="B13" t="s">
        <v>280</v>
      </c>
      <c r="C13" t="s">
        <v>1</v>
      </c>
      <c r="D13" t="str">
        <f t="shared" ref="D13:D15" si="24">SUBSTITUTE(PROPER(A13),"_","")</f>
        <v>Color</v>
      </c>
      <c r="E13" t="str">
        <f t="shared" si="13"/>
        <v>varchar</v>
      </c>
      <c r="F13" s="7"/>
      <c r="G13" t="str">
        <f t="shared" si="14"/>
        <v>50</v>
      </c>
      <c r="H13" t="str">
        <f>+VLOOKUP(E13,'Data Type Mapping'!A:B,2,)</f>
        <v>string</v>
      </c>
      <c r="I13" t="str">
        <f t="shared" si="15"/>
        <v xml:space="preserve">		public const int MaxColorLength = 50;
</v>
      </c>
      <c r="J13" t="str">
        <f t="shared" si="16"/>
        <v xml:space="preserve">		[StringLength(MaxColorLength)]
		public virtual string Color { get; set; }
</v>
      </c>
      <c r="K13" s="7"/>
      <c r="L13" t="str">
        <f t="shared" ref="L13:L15" si="25">IF(K13="","",REPT(CHAR(9),1)&amp;"[Index(nameof("&amp;IF(D13="","",""&amp;D13)&amp;")"&amp;", Name="&amp;"""IX_"&amp;$B$7&amp;"_"&amp;D13&amp;""")]")</f>
        <v/>
      </c>
      <c r="M13" t="str">
        <f t="shared" si="17"/>
        <v xml:space="preserve">		public virtual string Color { get; set; }
</v>
      </c>
      <c r="N13" t="str">
        <f t="shared" si="18"/>
        <v xml:space="preserve">		[StringLength(WldAdoPunchQueueConsts.MaxColorLength)]
		public virtual string Color { get; set; }
</v>
      </c>
      <c r="O13" t="str">
        <f t="shared" si="19"/>
        <v xml:space="preserve">		public virtual string Color { get; set; }
</v>
      </c>
      <c r="P13" t="str">
        <f t="shared" si="20"/>
        <v xml:space="preserve">							Color = o.Color,</v>
      </c>
      <c r="T13" s="69" t="str">
        <f t="shared" si="21"/>
        <v xml:space="preserve">								("Color"),</v>
      </c>
      <c r="V13" s="70" t="str">
        <f t="shared" si="22"/>
        <v xml:space="preserve">								_ =&gt; _.Color,</v>
      </c>
      <c r="W13" s="69" t="str">
        <f t="shared" si="23"/>
        <v xml:space="preserve">				.WhereIf(!string.IsNullOrWhiteSpace(input.Color), e =&gt; e.Color.Contains(input.Color))</v>
      </c>
    </row>
    <row r="14" spans="1:23" customFormat="1" ht="21" customHeight="1" x14ac:dyDescent="0.25">
      <c r="A14" t="s">
        <v>283</v>
      </c>
      <c r="B14" t="s">
        <v>4</v>
      </c>
      <c r="C14" t="s">
        <v>1</v>
      </c>
      <c r="D14" t="str">
        <f t="shared" si="24"/>
        <v>ProcessGroup</v>
      </c>
      <c r="E14" t="str">
        <f t="shared" si="13"/>
        <v>int</v>
      </c>
      <c r="F14" s="7"/>
      <c r="G14" t="str">
        <f t="shared" si="14"/>
        <v/>
      </c>
      <c r="H14" t="str">
        <f>+VLOOKUP(E14,'Data Type Mapping'!A:B,2,)</f>
        <v>int</v>
      </c>
      <c r="I14" t="str">
        <f t="shared" si="15"/>
        <v/>
      </c>
      <c r="J14" t="str">
        <f t="shared" si="16"/>
        <v xml:space="preserve">		public virtual int ProcessGroup { get; set; }
</v>
      </c>
      <c r="K14" s="7"/>
      <c r="L14" t="str">
        <f t="shared" si="25"/>
        <v/>
      </c>
      <c r="M14" t="str">
        <f t="shared" si="17"/>
        <v xml:space="preserve">		public virtual int ProcessGroup { get; set; }
</v>
      </c>
      <c r="N14" t="str">
        <f t="shared" si="18"/>
        <v xml:space="preserve">		public virtual int ProcessGroup { get; set; }
</v>
      </c>
      <c r="O14" t="str">
        <f t="shared" si="19"/>
        <v xml:space="preserve">		public virtual int ProcessGroup { get; set; }
</v>
      </c>
      <c r="P14" t="str">
        <f t="shared" si="20"/>
        <v xml:space="preserve">							ProcessGroup = o.ProcessGroup,</v>
      </c>
      <c r="T14" s="69" t="str">
        <f t="shared" si="21"/>
        <v xml:space="preserve">								("ProcessGroup"),</v>
      </c>
      <c r="V14" s="70" t="str">
        <f t="shared" si="22"/>
        <v xml:space="preserve">								_ =&gt; _.ProcessGroup,</v>
      </c>
      <c r="W14" s="69" t="str">
        <f t="shared" si="23"/>
        <v/>
      </c>
    </row>
    <row r="15" spans="1:23" customFormat="1" ht="18.75" customHeight="1" x14ac:dyDescent="0.25">
      <c r="A15" t="s">
        <v>284</v>
      </c>
      <c r="B15" t="s">
        <v>248</v>
      </c>
      <c r="C15" t="s">
        <v>1</v>
      </c>
      <c r="D15" t="str">
        <f t="shared" si="24"/>
        <v>ScanTime</v>
      </c>
      <c r="E15" t="str">
        <f t="shared" si="13"/>
        <v>datetime2</v>
      </c>
      <c r="F15" s="7" t="s">
        <v>248</v>
      </c>
      <c r="G15" t="str">
        <f t="shared" si="14"/>
        <v>7</v>
      </c>
      <c r="H15" t="str">
        <f>+VLOOKUP(E15,'Data Type Mapping'!A:B,2,)</f>
        <v>DateTime</v>
      </c>
      <c r="I15" t="str">
        <f t="shared" si="15"/>
        <v/>
      </c>
      <c r="J15" t="str">
        <f t="shared" si="16"/>
        <v xml:space="preserve">		[Column(TypeName="datetime2(7)")]
		public virtual DateTime ScanTime { get; set; }
</v>
      </c>
      <c r="K15" s="7"/>
      <c r="L15" t="str">
        <f t="shared" si="25"/>
        <v/>
      </c>
      <c r="M15" t="str">
        <f t="shared" si="17"/>
        <v xml:space="preserve">		public virtual DateTime? ScanTime { get; set; }
</v>
      </c>
      <c r="N15" t="str">
        <f t="shared" si="18"/>
        <v xml:space="preserve">		public virtual DateTime? ScanTime { get; set; }
</v>
      </c>
      <c r="O15" t="str">
        <f t="shared" si="19"/>
        <v xml:space="preserve">		public virtual DateTime? ScanTime { get; set; }
</v>
      </c>
      <c r="P15" t="str">
        <f t="shared" si="20"/>
        <v xml:space="preserve">							ScanTime = o.ScanTime,</v>
      </c>
      <c r="T15" s="69" t="str">
        <f t="shared" si="21"/>
        <v xml:space="preserve">								("ScanTime"),</v>
      </c>
      <c r="V15" s="70" t="str">
        <f t="shared" si="22"/>
        <v xml:space="preserve">								_ =&gt; _.ScanTime,</v>
      </c>
      <c r="W15" s="69" t="str">
        <f t="shared" si="23"/>
        <v xml:space="preserve">				.WhereIf(input.ScanTime.HasValue, t =&gt; t.ScanTime == input.ScanTime.Value)</v>
      </c>
    </row>
    <row r="16" spans="1:23" customFormat="1" ht="22.5" customHeight="1" x14ac:dyDescent="0.25">
      <c r="A16" t="s">
        <v>285</v>
      </c>
      <c r="B16" t="s">
        <v>286</v>
      </c>
      <c r="C16" t="s">
        <v>1</v>
      </c>
      <c r="D16" t="str">
        <f>SUBSTITUTE(PROPER(A16),"_","")</f>
        <v>PunchFlag</v>
      </c>
      <c r="E16" t="str">
        <f t="shared" si="13"/>
        <v>varchar</v>
      </c>
      <c r="F16" s="7"/>
      <c r="G16" t="str">
        <f t="shared" si="14"/>
        <v>1</v>
      </c>
      <c r="H16" t="str">
        <f>+VLOOKUP(E16,'Data Type Mapping'!A:B,2,)</f>
        <v>string</v>
      </c>
      <c r="I16" t="str">
        <f t="shared" si="15"/>
        <v xml:space="preserve">		public const int MaxPunchFlagLength = 1;
</v>
      </c>
      <c r="J16" t="str">
        <f t="shared" si="16"/>
        <v xml:space="preserve">		[StringLength(MaxPunchFlagLength)]
		public virtual string PunchFlag { get; set; }
</v>
      </c>
      <c r="K16" s="7"/>
      <c r="L16" t="str">
        <f>IF(K16="","",REPT(CHAR(9),1)&amp;"[Index(nameof("&amp;IF(D16="","",""&amp;D16)&amp;")"&amp;", Name="&amp;"""IX_"&amp;$B$7&amp;"_"&amp;D16&amp;""")]")</f>
        <v/>
      </c>
      <c r="M16" t="str">
        <f t="shared" si="17"/>
        <v xml:space="preserve">		public virtual string PunchFlag { get; set; }
</v>
      </c>
      <c r="N16" t="str">
        <f t="shared" si="18"/>
        <v xml:space="preserve">		[StringLength(WldAdoPunchQueueConsts.MaxPunchFlagLength)]
		public virtual string PunchFlag { get; set; }
</v>
      </c>
      <c r="O16" t="str">
        <f t="shared" si="19"/>
        <v xml:space="preserve">		public virtual string PunchFlag { get; set; }
</v>
      </c>
      <c r="P16" t="str">
        <f t="shared" si="20"/>
        <v xml:space="preserve">							PunchFlag = o.PunchFlag,</v>
      </c>
      <c r="T16" s="69" t="str">
        <f t="shared" si="21"/>
        <v xml:space="preserve">								("PunchFlag"),</v>
      </c>
      <c r="V16" s="70" t="str">
        <f t="shared" si="22"/>
        <v xml:space="preserve">								_ =&gt; _.PunchFlag,</v>
      </c>
      <c r="W16" s="69" t="str">
        <f t="shared" si="23"/>
        <v xml:space="preserve">				.WhereIf(!string.IsNullOrWhiteSpace(input.PunchFlag), e =&gt; e.PunchFlag.Contains(input.PunchFlag))</v>
      </c>
    </row>
    <row r="17" spans="1:23" customFormat="1" ht="21" customHeight="1" x14ac:dyDescent="0.25">
      <c r="A17" t="s">
        <v>287</v>
      </c>
      <c r="B17" t="s">
        <v>288</v>
      </c>
      <c r="C17" t="s">
        <v>1</v>
      </c>
      <c r="D17" t="str">
        <f t="shared" ref="D17:D19" si="26">SUBSTITUTE(PROPER(A17),"_","")</f>
        <v>PunchIndicator</v>
      </c>
      <c r="E17" t="str">
        <f t="shared" si="13"/>
        <v>nvarchar</v>
      </c>
      <c r="F17" s="7"/>
      <c r="G17" t="str">
        <f t="shared" si="14"/>
        <v>500</v>
      </c>
      <c r="H17" t="str">
        <f>+VLOOKUP(E17,'Data Type Mapping'!A:B,2,)</f>
        <v>string</v>
      </c>
      <c r="I17" t="str">
        <f t="shared" si="15"/>
        <v xml:space="preserve">		public const int MaxPunchIndicatorLength = 500;
</v>
      </c>
      <c r="J17" t="str">
        <f t="shared" si="16"/>
        <v xml:space="preserve">		[StringLength(MaxPunchIndicatorLength)]
		public virtual string PunchIndicator { get; set; }
</v>
      </c>
      <c r="K17" s="7"/>
      <c r="L17" t="str">
        <f t="shared" ref="L17:L19" si="27">IF(K17="","",REPT(CHAR(9),1)&amp;"[Index(nameof("&amp;IF(D17="","",""&amp;D17)&amp;")"&amp;", Name="&amp;"""IX_"&amp;$B$7&amp;"_"&amp;D17&amp;""")]")</f>
        <v/>
      </c>
      <c r="M17" t="str">
        <f t="shared" si="17"/>
        <v xml:space="preserve">		public virtual string PunchIndicator { get; set; }
</v>
      </c>
      <c r="N17" t="str">
        <f t="shared" si="18"/>
        <v xml:space="preserve">		[StringLength(WldAdoPunchQueueConsts.MaxPunchIndicatorLength)]
		public virtual string PunchIndicator { get; set; }
</v>
      </c>
      <c r="O17" t="str">
        <f t="shared" si="19"/>
        <v xml:space="preserve">		public virtual string PunchIndicator { get; set; }
</v>
      </c>
      <c r="P17" t="str">
        <f t="shared" si="20"/>
        <v xml:space="preserve">							PunchIndicator = o.PunchIndicator,</v>
      </c>
      <c r="T17" s="69" t="str">
        <f t="shared" si="21"/>
        <v xml:space="preserve">								("PunchIndicator"),</v>
      </c>
      <c r="V17" s="70" t="str">
        <f t="shared" si="22"/>
        <v xml:space="preserve">								_ =&gt; _.PunchIndicator,</v>
      </c>
      <c r="W17" s="69" t="str">
        <f t="shared" si="23"/>
        <v xml:space="preserve">				.WhereIf(!string.IsNullOrWhiteSpace(input.PunchIndicator), e =&gt; e.PunchIndicator.Contains(input.PunchIndicator))</v>
      </c>
    </row>
    <row r="18" spans="1:23" customFormat="1" ht="18.75" customHeight="1" x14ac:dyDescent="0.25">
      <c r="A18" t="s">
        <v>289</v>
      </c>
      <c r="B18" t="s">
        <v>286</v>
      </c>
      <c r="C18" t="s">
        <v>1</v>
      </c>
      <c r="D18" t="str">
        <f t="shared" si="26"/>
        <v>IsCall</v>
      </c>
      <c r="E18" t="str">
        <f t="shared" si="13"/>
        <v>varchar</v>
      </c>
      <c r="F18" s="7"/>
      <c r="G18" t="str">
        <f t="shared" si="14"/>
        <v>1</v>
      </c>
      <c r="H18" t="str">
        <f>+VLOOKUP(E18,'Data Type Mapping'!A:B,2,)</f>
        <v>string</v>
      </c>
      <c r="I18" t="str">
        <f t="shared" si="15"/>
        <v xml:space="preserve">		public const int MaxIsCallLength = 1;
</v>
      </c>
      <c r="J18" t="str">
        <f t="shared" si="16"/>
        <v xml:space="preserve">		[StringLength(MaxIsCallLength)]
		public virtual string IsCall { get; set; }
</v>
      </c>
      <c r="K18" s="7"/>
      <c r="L18" t="str">
        <f t="shared" si="27"/>
        <v/>
      </c>
      <c r="M18" t="str">
        <f t="shared" si="17"/>
        <v xml:space="preserve">		public virtual string IsCall { get; set; }
</v>
      </c>
      <c r="N18" t="str">
        <f t="shared" si="18"/>
        <v xml:space="preserve">		[StringLength(WldAdoPunchQueueConsts.MaxIsCallLength)]
		public virtual string IsCall { get; set; }
</v>
      </c>
      <c r="O18" t="str">
        <f t="shared" si="19"/>
        <v xml:space="preserve">		public virtual string IsCall { get; set; }
</v>
      </c>
      <c r="P18" t="str">
        <f t="shared" si="20"/>
        <v xml:space="preserve">							IsCall = o.IsCall,</v>
      </c>
      <c r="T18" s="69" t="str">
        <f t="shared" si="21"/>
        <v xml:space="preserve">								("IsCall"),</v>
      </c>
      <c r="V18" s="70" t="str">
        <f t="shared" si="22"/>
        <v xml:space="preserve">								_ =&gt; _.IsCall,</v>
      </c>
      <c r="W18" s="69" t="str">
        <f t="shared" si="23"/>
        <v xml:space="preserve">				.WhereIf(!string.IsNullOrWhiteSpace(input.IsCall), e =&gt; e.IsCall.Contains(input.IsCall))</v>
      </c>
    </row>
    <row r="19" spans="1:23" customFormat="1" ht="21" customHeight="1" x14ac:dyDescent="0.25">
      <c r="A19" t="s">
        <v>290</v>
      </c>
      <c r="B19" t="s">
        <v>286</v>
      </c>
      <c r="C19" t="s">
        <v>1</v>
      </c>
      <c r="D19" t="str">
        <f t="shared" si="26"/>
        <v>IsCf</v>
      </c>
      <c r="E19" t="str">
        <f t="shared" si="13"/>
        <v>varchar</v>
      </c>
      <c r="F19" s="7"/>
      <c r="G19" t="str">
        <f t="shared" si="14"/>
        <v>1</v>
      </c>
      <c r="H19" t="str">
        <f>+VLOOKUP(E19,'Data Type Mapping'!A:B,2,)</f>
        <v>string</v>
      </c>
      <c r="I19" t="str">
        <f t="shared" si="15"/>
        <v xml:space="preserve">		public const int MaxIsCfLength = 1;
</v>
      </c>
      <c r="J19" t="str">
        <f t="shared" si="16"/>
        <v xml:space="preserve">		[StringLength(MaxIsCfLength)]
		public virtual string IsCf { get; set; }
</v>
      </c>
      <c r="K19" s="7"/>
      <c r="L19" t="str">
        <f t="shared" si="27"/>
        <v/>
      </c>
      <c r="M19" t="str">
        <f t="shared" si="17"/>
        <v xml:space="preserve">		public virtual string IsCf { get; set; }
</v>
      </c>
      <c r="N19" t="str">
        <f t="shared" si="18"/>
        <v xml:space="preserve">		[StringLength(WldAdoPunchQueueConsts.MaxIsCfLength)]
		public virtual string IsCf { get; set; }
</v>
      </c>
      <c r="O19" t="str">
        <f t="shared" si="19"/>
        <v xml:space="preserve">		public virtual string IsCf { get; set; }
</v>
      </c>
      <c r="P19" t="str">
        <f t="shared" si="20"/>
        <v xml:space="preserve">							IsCf = o.IsCf,</v>
      </c>
      <c r="T19" s="69" t="str">
        <f t="shared" si="21"/>
        <v xml:space="preserve">								("IsCf"),</v>
      </c>
      <c r="V19" s="70" t="str">
        <f t="shared" si="22"/>
        <v xml:space="preserve">								_ =&gt; _.IsCf,</v>
      </c>
      <c r="W19" s="69" t="str">
        <f t="shared" si="23"/>
        <v xml:space="preserve">				.WhereIf(!string.IsNullOrWhiteSpace(input.IsCf), e =&gt; e.IsCf.Contains(input.IsCf))</v>
      </c>
    </row>
    <row r="21" spans="1:23" ht="45.75" customHeight="1" x14ac:dyDescent="0.25">
      <c r="H21" s="12"/>
      <c r="I21" s="34" t="str">
        <f ca="1">TEXTJOIN2("
", TRUE,INDIRECT( $H$1):INDIRECT( $H$3))</f>
        <v xml:space="preserve">		public const int MaxBodyNoLength = 50;
		public const int MaxModelLength = 50;
		public const int MaxLineLength = 100;
		public const int MaxLotNoLength = 50;
		public const int MaxColorLength = 50;
		public const int MaxPunchFlagLength = 1;
		public const int MaxPunchIndicatorLength = 500;
		public const int MaxIsCallLength = 1;
		public const int MaxIsCfLength = 1;
</v>
      </c>
      <c r="J21" s="33" t="str">
        <f ca="1">TEXTJOIN2("
", TRUE,INDIRECT( $F$1):INDIRECT( $F$3))</f>
        <v xml:space="preserve">		[StringLength(MaxBodyNoLength)]
		public virtual string BodyNo { get; set; }
		[StringLength(MaxModelLength)]
		public virtual string Model { get; set; }
		[StringLength(MaxLineLength)]
		public virtual string Line { get; set; }
		[StringLength(MaxLotNoLength)]
		public virtual string LotNo { get; set; }
		[StringLength(MaxColorLength)]
		public virtual string Color { get; set; }
		public virtual int ProcessGroup { get; set; }
		[Column(TypeName="datetime2(7)")]
		public virtual DateTime ScanTime { get; set; }
		[StringLength(MaxPunchFlagLength)]
		public virtual string PunchFlag { get; set; }
		[StringLength(MaxPunchIndicatorLength)]
		public virtual string PunchIndicator { get; set; }
		[StringLength(MaxIsCallLength)]
		public virtual string IsCall { get; set; }
		[StringLength(MaxIsCfLength)]
		public virtual string IsCf { get; set; }
</v>
      </c>
      <c r="K21" s="35" t="str">
        <f ca="1">TEXTJOIN2("
", TRUE,INDIRECT( $J$1):INDIRECT( $J$3))</f>
        <v xml:space="preserve">	[Index(nameof(BodyNo), Name="IX_WldAdoPunchQueue_BodyNo")]
	[Index(nameof(LotNo), Name="IX_WldAdoPunchQueue_LotNo")]
</v>
      </c>
      <c r="L21" s="13" t="s">
        <v>60</v>
      </c>
      <c r="M21" s="36" t="str">
        <f ca="1">TEXTJOIN2("
",TRUE,INDIRECT( $L$1):INDIRECT($L$3))</f>
        <v xml:space="preserve">		public virtual string BodyNo { get; set; }
		public virtual string Model { get; set; }
		public virtual string Line { get; set; }
		public virtual string LotNo { get; set; }
		public virtual string Color { get; set; }
		public virtual int ProcessGroup { get; set; }
		public virtual DateTime? ScanTime { get; set; }
		public virtual string PunchFlag { get; set; }
		public virtual string PunchIndicator { get; set; }
		public virtual string IsCall { get; set; }
		public virtual string IsCf { get; set; }
</v>
      </c>
      <c r="N21" s="33" t="str">
        <f ca="1">TEXTJOIN2("
",TRUE,INDIRECT( $M$1):INDIRECT($M$3))</f>
        <v xml:space="preserve">		[StringLength(WldAdoPunchQueueConsts.MaxBodyNoLength)]
		public virtual string BodyNo { get; set; }
		[StringLength(WldAdoPunchQueueConsts.MaxModelLength)]
		public virtual string Model { get; set; }
		[StringLength(WldAdoPunchQueueConsts.MaxLineLength)]
		public virtual string Line { get; set; }
		[StringLength(WldAdoPunchQueueConsts.MaxLotNoLength)]
		public virtual string LotNo { get; set; }
		[StringLength(WldAdoPunchQueueConsts.MaxColorLength)]
		public virtual string Color { get; set; }
		public virtual int ProcessGroup { get; set; }
		public virtual DateTime? ScanTime { get; set; }
		[StringLength(WldAdoPunchQueueConsts.MaxPunchFlagLength)]
		public virtual string PunchFlag { get; set; }
		[StringLength(WldAdoPunchQueueConsts.MaxPunchIndicatorLength)]
		public virtual string PunchIndicator { get; set; }
		[StringLength(WldAdoPunchQueueConsts.MaxIsCallLength)]
		public virtual string IsCall { get; set; }
		[StringLength(WldAdoPunchQueueConsts.MaxIsCfLength)]
		public virtual string IsCf { get; set; }
</v>
      </c>
      <c r="O21" s="33" t="str">
        <f ca="1">TEXTJOIN2("
",TRUE,INDIRECT( $N$1):INDIRECT($N$3))</f>
        <v xml:space="preserve">		public virtual string BodyNo { get; set; }
		public virtual string Model { get; set; }
		public virtual string Line { get; set; }
		public virtual string LotNo { get; set; }
		public virtual string Color { get; set; }
		public virtual int ProcessGroup { get; set; }
		public virtual DateTime? ScanTime { get; set; }
		public virtual string PunchFlag { get; set; }
		public virtual string PunchIndicator { get; set; }
		public virtual string IsCall { get; set; }
		public virtual string IsCf { get; set; }
</v>
      </c>
      <c r="P21" s="9" t="str">
        <f ca="1">TEXTJOIN2("
",TRUE,INDIRECT( $O$1):INDIRECT($O$3))</f>
        <v xml:space="preserve">							BodyNo = o.BodyNo,
							Model = o.Model,
							Line = o.Line,
							LotNo = o.LotNo,
							Color = o.Color,
							ProcessGroup = o.ProcessGroup,
							ScanTime = o.ScanTime,
							PunchFlag = o.PunchFlag,
							PunchIndicator = o.PunchIndicator,
							IsCall = o.IsCall,
							IsCf = o.IsCf,</v>
      </c>
      <c r="T21" s="9" t="str">
        <f ca="1">TEXTJOIN2("
",TRUE,INDIRECT( $T$2):INDIRECT($T$3))</f>
        <v xml:space="preserve">								("BodyNo"),
								("Model"),
								("Line"),
								("LotNo"),
								("Color"),
								("ProcessGroup"),
								("ScanTime"),
								("PunchFlag"),
								("PunchIndicator"),
								("IsCall"),
								("IsCf"),</v>
      </c>
      <c r="V21" s="9" t="str">
        <f ca="1">TEXTJOIN2("
",TRUE,INDIRECT( $V$2):INDIRECT($V$3))</f>
        <v xml:space="preserve">								_ =&gt; _.BodyNo,
								_ =&gt; _.Model,
								_ =&gt; _.Line,
								_ =&gt; _.LotNo,
								_ =&gt; _.Color,
								_ =&gt; _.ProcessGroup,
								_ =&gt; _.ScanTime,
								_ =&gt; _.PunchFlag,
								_ =&gt; _.PunchIndicator,
								_ =&gt; _.IsCall,
								_ =&gt; _.IsCf,</v>
      </c>
      <c r="W21" s="9" t="str">
        <f ca="1">TEXTJOIN2("
",TRUE,INDIRECT( $W$2):INDIRECT($W$3))</f>
        <v xml:space="preserve">				.WhereIf(!string.IsNullOrWhiteSpace(input.BodyNo), e =&gt; e.BodyNo.Contains(input.BodyNo))
				.WhereIf(!string.IsNullOrWhiteSpace(input.Model), e =&gt; e.Model.Contains(input.Model))
				.WhereIf(!string.IsNullOrWhiteSpace(input.Line), e =&gt; e.Line.Contains(input.Line))
				.WhereIf(!string.IsNullOrWhiteSpace(input.LotNo), e =&gt; e.LotNo.Contains(input.LotNo))
				.WhereIf(!string.IsNullOrWhiteSpace(input.Color), e =&gt; e.Color.Contains(input.Color))
				.WhereIf(input.ScanTime.HasValue, t =&gt; t.ScanTime == input.ScanTime.Value)
				.WhereIf(!string.IsNullOrWhiteSpace(input.PunchFlag), e =&gt; e.PunchFlag.Contains(input.PunchFlag))
				.WhereIf(!string.IsNullOrWhiteSpace(input.PunchIndicator), e =&gt; e.PunchIndicator.Contains(input.PunchIndicator))
				.WhereIf(!string.IsNullOrWhiteSpace(input.IsCall), e =&gt; e.IsCall.Contains(input.IsCall))
				.WhereIf(!string.IsNullOrWhiteSpace(input.IsCf), e =&gt; e.IsCf.Contains(input.IsCf))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8"/>
  <sheetViews>
    <sheetView workbookViewId="0">
      <selection activeCell="C20" sqref="C20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279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Welding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welding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WldAdoPunchQueue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PunchQueue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punchqueue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263</v>
      </c>
      <c r="I9" s="46" t="s">
        <v>257</v>
      </c>
      <c r="J9" s="45" t="s">
        <v>219</v>
      </c>
      <c r="K9" s="47" t="s">
        <v>258</v>
      </c>
      <c r="L9" s="46" t="s">
        <v>262</v>
      </c>
      <c r="M9" s="45" t="s">
        <v>250</v>
      </c>
      <c r="N9" s="45" t="s">
        <v>220</v>
      </c>
      <c r="O9" s="45" t="s">
        <v>221</v>
      </c>
      <c r="P9" s="46" t="s">
        <v>223</v>
      </c>
      <c r="Q9" s="45" t="s">
        <v>251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WldAdoPunchQueueDto, WldAdoPunchQueueServiceProxy } from '@shared/service-proxies/service-proxies';
import { finalize } from 'rxjs/internal/operators/finalize';
import { CreateOrEditPunchQueueModalComponent } from './create-or-edit-punchqueue-modal.component';
import { DatePipe } from '@angular/common';
import { FileDownloadService } from '@shared/utils/file-download.service';
import ceil from 'lodash-es/ceil';
import { Paginator } from 'primeng/paginator';
@Component({
    templateUrl: './punchqueue.component.html',
    styleUrls: ['./punchqueue.component.less'],
})
export class PunchQueueComponent extends AppComponentBase implements OnInit {
    @ViewChild('createOrEditModalPunchQueue', { static: true }) createOrEditModalPunchQueue:| CreateOrEditPunchQueueModalComponent|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WldAdoPunchQueueDto = new WldAdoPunchQueueDto();
    saveSelectedRow: WldAdoPunchQueueDto = new WldAdoPunchQueueDto();
    datas: WldAdoPunchQueueDto = new WldAdoPunchQueueDto();
    isLoading: boolean = false;
    dataParams: GridParams | undefined;
    rowData: any[] = [];
    gridApi!: GridApi;
    rowSelection = 'multiple';
    filter: string = '';
	pipe = new DatePipe('en-US');
    bodyNo : string = '' ; 
	model : string = '' ; 
	line : string = '' ; 
	lotNo : string = '' ; 
	color : string = '' ; 
	processGroup : number = 0 ;
	scanTime : any ;
	punchFlag : string = '' ; 
	punchIndicator : string = '' ; 
	isCall : string = '' ; 
isCf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WldAdoPunchQueueServiceProxy,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this.l('Body No'),headerTooltip: this.l('Body No'),field: 'bodyNo',flex: 1},
			{headerName: this.l('Model'),headerTooltip: this.l('Model'),field: 'model',flex: 1},
			{headerName: this.l('Line'),headerTooltip: this.l('Line'),field: 'line',flex: 1},
			{headerName: this.l('Lot No'),headerTooltip: this.l('Lot No'),field: 'lotNo',flex: 1},
			{headerName: this.l('Color'),headerTooltip: this.l('Color'),field: 'color',flex: 1},
			{headerName: this.l('Process Group'),headerTooltip: this.l('Process Group'),field: 'processGroup',flex: 1},
			{headerName: this.l('Scan Time'),headerTooltip: this.l('Scan Time'),field: 'scanTime',valueGetter: (params) =&gt; this.pipe.transform(params.data?.scanTime, 'dd/MM/yyyy'),flex: 1},
			{headerName: this.l('Punch Flag'),headerTooltip: this.l('Punch Flag'),field: 'punchFlag',flex: 1},
			{headerName: this.l('Punch Indicator'),headerTooltip: this.l('Punch Indicator'),field: 'punchIndicator',flex: 1},
			{headerName: this.l('Is Call'),headerTooltip: this.l('Is Call'),field: 'isCall',flex: 1},
			{headerName: this.l('Is Cf'),headerTooltip: this.l('Is Cf'),field: 'isCf',flex: 1},      	  
        ];
    }
    ngOnInit(): void {
        this.paginationParams = { pageNum: 1, pageSize: 20, totalCount: 0 };
    }
    searchDatas(): void {
        // this.paginator.changePage(this.paginator.getPage());
        this._service.getAll(
			this.bodyNo,
			this.model,
			this.line,
			this.lotNo,
			this.color,
			this.processGroup,
			this.scanTime,
			this.punchFlag,
			this.punchIndicator,
			this.isCall,
			this.isCf,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this.bodyNo = '',
		this.model = '',
		this.line = '',
		this.lotNo = '',
		this.color = '',
		this.processGroup = 0,
		this.scanTime = '',
		this.punchFlag = '',
		this.punchIndicator = '',
		this.isCall = '',
this.isCf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this.bodyNo,
			this.model,
			this.line,
			this.lotNo,
			this.color,
			this.processGroup,
			this.scanTime,
			this.punchFlag,
			this.punchIndicator,
			this.isCall,
			this.isCf,
			'',
            this.paginationParams.skipCount,
            this.paginationParams.pageSize
        );
    }
    onChangeRowSelection(params: { api: { getSelectedRows: () =&gt; WldAdoPunchQueueDto[] } }) {
        this.saveSelectedRow = params.api.getSelectedRows()[0] ?? new WldAdoPunchQueueDto();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WldAdoPunchQueueDto):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this._service.getPunchQueueToExcel(
			this.bodyNo,
			this.model,
			this.line,
			this.lotNo,
			this.color,
			this.processGroup,
			this.scanTime,
			this.punchFlag,
			this.punchIndicator,
			this.isCall,
			this.isCf,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Welding Andon Punch Queue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[(ngModel)]='punchFlag' name='punchFlag'
									class='form-control' [placeholder]="l('Punch Flag')"
									type='text' (keyup.enter)='searchDatas()'&gt;
								&lt;/div&gt;
								&lt;div class='input-search'&gt;
									&lt;input [(ngModel)]='punchIndicator' name='punchIndicator'
									class='form-control' [placeholder]="l('Punch Indicator')"
									type='text' (keyup.enter)='searchDatas()'&gt;
								&lt;/div&gt;
								&lt;div class='input-search'&gt;
									&lt;input [(ngModel)]='isCall' name='isCall'
									class='form-control' [placeholder]="l('Is Call')"
									type='text' (keyup.enter)='searchDatas()'&gt;
								&lt;/div&gt;
								&lt;div class='input-search'&gt;
									&lt;input [(ngModel)]='isCf' name='isCf'
									class='form-control' [placeholder]="l('Is Cf')"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(click)="createOrEditModalPunchQueue.show()"&gt;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(click)="createOrEditModalPunchQueue.show(selectedRow)"&gt;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&lt;create-or-edit-punchqueue-modal
    #createOrEditModalPunchQueue
    (modalSave)="callBackDataGrid(dataParams)"
    (modalClose)="onChangeRowSelection(dataParams)"
&gt;
&lt;/create-or-edit-punchqueue-modal&gt;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#createOrEditModalPunchQueue="bs-modal"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PunchQueue')}}&lt;/h3&gt;
                    &lt;h3 *ngIf="!rowdata.id"&gt;{{('Create New PunchQueue')}}&lt;/h3&gt;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title'&gt;Punch Flag&lt;/label&gt;
						&lt;input class='col-md-10 form-control checkboxActive' type='checkbox' name='punchFlag'
						[checked]='_punchFlag' (change)='changeActive($event)'&gt;
					&lt;/div&gt;
					&lt;div class='col-md-12 form-group row'&gt;
						&lt;label class='col-md-2 form-control title'&gt;Punch Indicator&lt;/label&gt;
						&lt;input type='text' class='col-md-10 form-control input-text' name='PunchIndicator' [(ngModel)]='rowdata.punchIndicator'&gt;
					&lt;/div&gt;
					&lt;div class='col-md-12 form-group row'&gt;
						&lt;label class='col-md-2 form-control title'&gt;Is Call&lt;/label&gt;
						&lt;input class='col-md-10 form-control checkboxActive' type='checkbox' name='isCall'
						[checked]='_isCall' (change)='changeActive($event)'&gt;
					&lt;/div&gt;
					&lt;div class='col-md-12 form-group row'&gt;
						&lt;label class='col-md-2 form-control title'&gt;Is Cf&lt;/label&gt;
						&lt;input class='col-md-10 form-control checkboxActive' type='checkbox' name='isCf'
						[checked]='_isCf'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CreateOrEditWldAdoPunchQueueDto, WldAdoPunchQueueServiceProxy } from '@shared/service-proxies/service-proxies';
import { BsDatepickerDirective } from 'ngx-bootstrap/datepicker';
@Component({
    selector: 'create-or-edit-punchqueue-modal',
    templateUrl: './create-or-edit-punchqueue-modal.component.html',
    styleUrls: ['./create-or-edit-punchqueue-modal.component.less']
    })
export class CreateOrEditPunchQueueModalComponent extends AppComponentBase {
    @ViewChild('createOrEditModalPunchQueue',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CreateOrEditWldAdoPunchQueueDto = new CreateOrEditWldAdoPunchQueueDto();
    active: boolean = false;
    saving: boolean = false;
    _punchFlag
isCall
isCf: boolean;
    constructor(
        injector: Injector,
        private _mstwptPunchQueueService: WldAdoPunchQueueServiceProxy,
    ) 
    {
        super(injector);
    }
    show(rowdata?: CreateOrEditWldAdoPunchQueueDto): void {
        if (!rowdata) this.rowdata = new CreateOrEditWldAdoPunchQueueDto();
        else this.rowdata = rowdata;
		const dateValue =  this.rowdata.scanTime ? new Date(this.rowdata.scanTime?.toString()) : new Date();
		this.datepicker?.bsValueChange.emit(dateValue);
        this._punchFlag
isCall
isCf = (this.rowdata.punchFlag
isCall
isCf == "N")? false: true;
        this.active = true;
        this.modal.show();
    } 
    changeActive(event){
        this._punchFlag
isCall
isCf = event.target.checked;
    }
    save(): void {
    this.saving = true; 
    this.rowdata.punchFlag
isCall
isCf = (this._punchFlag
isCall
isCf == true) ? 'Y' : 'N'
    this._mstwptPunchQueueService.createOrEdit(this.rowdata)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PunchQueueRoutingModule } from './punchqueue-routing.module';
import { PunchQueueComponent } from './punchqueue.component';
import { CreateOrEditPunchQueueModalComponent } from './create-or-edit-punchqueue-modal.component';
@NgModule({
    declarations: [
       PunchQueueComponent, 
        CreateOrEditPunchQueueModalComponent
    ],
    imports: [
        AppSharedModule, PunchQueueRoutingModule]
})
export class PunchQueueModule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PunchQueueComponent } from './punchqueue.component';
const routes: Routes = [{
    path: '',
    component: PunchQueueComponent,
    pathMatch: 'full'
}];
@NgModule({
    imports: [RouterModule.forChild(routes)],
    exports: [RouterModule],
})
export class PunchQueueRoutingModule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AppMenuItem("PunchQueue", "Pages.Welding.Andon.PunchQueue", "flaticon-book",   "/app/main/welding/andon/punchqueue"),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'welding/andon/punchqueue',
    loadChildren: () =&gt; import('./welding/andon/punchqueue/punchqueue.module').then(m =&gt; m.PunchQueueModule),
    data: { permission: 'Pages.Welding.Andon.PunchQueue' }
},</v>
      </c>
      <c r="R10" s="50" t="str">
        <f>SUBSTITUTE(R9,"MstWptCalendar",$B$6)</f>
        <v>ApiServiceProxies.WldAdoPunchQueueServiceProxy,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249</v>
      </c>
      <c r="I11" s="31" t="s">
        <v>264</v>
      </c>
      <c r="J11" s="31"/>
      <c r="K11" s="31" t="s">
        <v>261</v>
      </c>
      <c r="L11" s="31" t="s">
        <v>265</v>
      </c>
      <c r="M11" s="38"/>
      <c r="N11" s="31"/>
      <c r="O11" s="31"/>
      <c r="P11" s="31"/>
      <c r="Q11" s="31"/>
      <c r="R11" s="31"/>
      <c r="S11" s="31" t="s">
        <v>254</v>
      </c>
      <c r="T11" s="31" t="s">
        <v>255</v>
      </c>
      <c r="U11" s="31" t="s">
        <v>266</v>
      </c>
      <c r="V11" s="71" t="s">
        <v>268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H25</v>
      </c>
      <c r="I12" s="31" t="str">
        <f>"I"&amp;COUNTA($A:$A)</f>
        <v>I25</v>
      </c>
      <c r="J12" s="31"/>
      <c r="K12" s="31" t="str">
        <f>"K"&amp;COUNTA($A:$A)</f>
        <v>K25</v>
      </c>
      <c r="L12" s="31" t="str">
        <f>"L"&amp;COUNTA($A:$A)</f>
        <v>L25</v>
      </c>
      <c r="M12" s="31"/>
      <c r="N12" s="31"/>
      <c r="O12" s="31"/>
      <c r="P12" s="31"/>
      <c r="Q12" s="31"/>
      <c r="R12" s="31"/>
      <c r="S12" s="31" t="str">
        <f>"S"&amp;COUNTA($A:$A)</f>
        <v>S25</v>
      </c>
      <c r="T12" s="31" t="str">
        <f>"T"&amp;COUNTA($A:$A)</f>
        <v>T25</v>
      </c>
      <c r="U12" s="31" t="str">
        <f>"U"&amp;COUNTA($A:$A)</f>
        <v>U25</v>
      </c>
      <c r="V12" s="31" t="str">
        <f>"V"&amp;COUNTA($A:$A)</f>
        <v>V25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this.l('Body No'),headerTooltip: this.l('Body No'),field: 'bodyNo',flex: 1},
			{headerName: this.l('Model'),headerTooltip: this.l('Model'),field: 'model',flex: 1},
			{headerName: this.l('Line'),headerTooltip: this.l('Line'),field: 'line',flex: 1},
			{headerName: this.l('Lot No'),headerTooltip: this.l('Lot No'),field: 'lotNo',flex: 1},
			{headerName: this.l('Color'),headerTooltip: this.l('Color'),field: 'color',flex: 1},
			{headerName: this.l('Process Group'),headerTooltip: this.l('Process Group'),field: 'processGroup',flex: 1},
			{headerName: this.l('Scan Time'),headerTooltip: this.l('Scan Time'),field: 'scanTime',valueGetter: (params) =&gt; this.pipe.transform(params.data?.scanTime, 'dd/MM/yyyy'),flex: 1},
			{headerName: this.l('Punch Flag'),headerTooltip: this.l('Punch Flag'),field: 'punchFlag',flex: 1},
			{headerName: this.l('Punch Indicator'),headerTooltip: this.l('Punch Indicator'),field: 'punchIndicator',flex: 1},
			{headerName: this.l('Is Call'),headerTooltip: this.l('Is Call'),field: 'isCall',flex: 1},
			{headerName: this.l('Is Cf'),headerTooltip: this.l('Is Cf'),field: 'isCf',flex: 1},</v>
      </c>
      <c r="I13" s="38" t="str">
        <f ca="1">TEXTJOIN2("
",TRUE,INDIRECT(I11):INDIRECT(I12))</f>
        <v xml:space="preserve">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[(ngModel)]='punchFlag' name='punchFlag'
									class='form-control' [placeholder]="l('Punch Flag')"
									type='text' (keyup.enter)='searchDatas()'&gt;
								&lt;/div&gt;
								&lt;div class='input-search'&gt;
									&lt;input [(ngModel)]='punchIndicator' name='punchIndicator'
									class='form-control' [placeholder]="l('Punch Indicator')"
									type='text' (keyup.enter)='searchDatas()'&gt;
								&lt;/div&gt;
								&lt;div class='input-search'&gt;
									&lt;input [(ngModel)]='isCall' name='isCall'
									class='form-control' [placeholder]="l('Is Call')"
									type='text' (keyup.enter)='searchDatas()'&gt;
								&lt;/div&gt;
								&lt;div class='input-search'&gt;
									&lt;input [(ngModel)]='isCf' name='isCf'
									class='form-control' [placeholder]="l('Is Cf')"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title'&gt;Punch Flag&lt;/label&gt;
						&lt;input class='col-md-10 form-control checkboxActive' type='checkbox' name='punchFlag'
						[checked]='_punchFlag' (change)='changeActive($event)'&gt;
					&lt;/div&gt;
					&lt;div class='col-md-12 form-group row'&gt;
						&lt;label class='col-md-2 form-control title'&gt;Punch Indicator&lt;/label&gt;
						&lt;input type='text' class='col-md-10 form-control input-text' name='PunchIndicator' [(ngModel)]='rowdata.punchIndicator'&gt;
					&lt;/div&gt;
					&lt;div class='col-md-12 form-group row'&gt;
						&lt;label class='col-md-2 form-control title'&gt;Is Call&lt;/label&gt;
						&lt;input class='col-md-10 form-control checkboxActive' type='checkbox' name='isCall'
						[checked]='_isCall' (change)='changeActive($event)'&gt;
					&lt;/div&gt;
					&lt;div class='col-md-12 form-group row'&gt;
						&lt;label class='col-md-2 form-control title'&gt;Is Cf&lt;/label&gt;
						&lt;input class='col-md-10 form-control checkboxActive' type='checkbox' name='isCf'
						[checked]='_isCf' (change)='changeActive($event)'&gt;
					&lt;/div&gt;</v>
      </c>
      <c r="L13" s="60" t="str">
        <f ca="1">TEXTJOIN2("
",TRUE,INDIRECT(L11):INDIRECT(L12))</f>
        <v xml:space="preserve">		const dateValue =  this.rowdata.scanTime ? new Date(this.rowdata.scanTime?.toString())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bodyNo : string = '' ; 
	model : string = '' ; 
	line : string = '' ; 
	lotNo : string = '' ; 
	color : string = '' ; 
	processGroup : number = 0 ;
	scanTime : any ;
	punchFlag : string = '' ; 
	punchIndicator : string = '' ; 
	isCall : string = '' ; 
isCf : string = '' ; </v>
      </c>
      <c r="T13" s="68" t="str">
        <f ca="1">TEXTJOIN2("
",TRUE,INDIRECT(T11):INDIRECT(T12))</f>
        <v xml:space="preserve">			this.bodyNo,
			this.model,
			this.line,
			this.lotNo,
			this.color,
			this.processGroup,
			this.scanTime,
			this.punchFlag,
			this.punchIndicator,
			this.isCall,
			this.isCf,</v>
      </c>
      <c r="U13" s="68" t="str">
        <f ca="1">TEXTJOIN2("
",TRUE,INDIRECT(U11):INDIRECT(U12))</f>
        <v>this.bodyNo = '',
		this.model = '',
		this.line = '',
		this.lotNo = '',
		this.color = '',
		this.processGroup = 0,
		this.scanTime = '',
		this.punchFlag = '',
		this.punchIndicator = '',
		this.isCall = '',
this.isCf = '',</v>
      </c>
      <c r="V13" s="31" t="str">
        <f ca="1">TEXTJOIN2("
",TRUE,INDIRECT(V11):INDIRECT(V12))</f>
        <v>punchFlag
isCall
isCf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punchqueue.component.ts</v>
      </c>
      <c r="I14" s="40" t="str">
        <f>B8&amp;".component.html"</f>
        <v>punchqueue.component.html</v>
      </c>
      <c r="J14" s="39" t="str">
        <f>B8&amp;".component.less"</f>
        <v>punchqueue.component.less</v>
      </c>
      <c r="K14" s="40" t="str">
        <f>"create-or-edit-"&amp;B8&amp;"-modal.component.html"</f>
        <v>create-or-edit-punchqueue-modal.component.html</v>
      </c>
      <c r="L14" s="40" t="str">
        <f>"create-or-edit-"&amp;B8&amp;"-modal.component.ts"</f>
        <v>create-or-edit-punchqueue-modal.component.ts</v>
      </c>
      <c r="M14" s="40" t="str">
        <f>"create-or-edit-"&amp;B8&amp;"-modal.component.less"</f>
        <v>create-or-edit-punchqueue-modal.component.less</v>
      </c>
      <c r="N14" s="40" t="str">
        <f>B8&amp;".module.ts"</f>
        <v>punchqueue.module.ts</v>
      </c>
      <c r="O14" s="40" t="str">
        <f>B8&amp;"-routing.module.ts"</f>
        <v>punchqueue-routing.module.ts</v>
      </c>
      <c r="P14" s="40" t="s">
        <v>222</v>
      </c>
      <c r="Q14" s="40" t="s">
        <v>225</v>
      </c>
      <c r="R14" s="41" t="s">
        <v>232</v>
      </c>
      <c r="S14" s="40" t="s">
        <v>252</v>
      </c>
      <c r="T14" s="40" t="s">
        <v>253</v>
      </c>
      <c r="U14" s="40" t="s">
        <v>256</v>
      </c>
      <c r="V14" s="40" t="s">
        <v>267</v>
      </c>
    </row>
    <row r="15" spans="1:22" ht="18" customHeight="1" x14ac:dyDescent="0.25">
      <c r="A15" s="44" t="s">
        <v>274</v>
      </c>
      <c r="B15" s="31" t="str">
        <f>SUBSTITUTE(PROPER(A15),"_","")</f>
        <v>BodyNo</v>
      </c>
      <c r="C15" s="31" t="str">
        <f>SUBSTITUTE(PROPER(A15),"_"," ")</f>
        <v>Body No</v>
      </c>
      <c r="D15" s="31" t="str">
        <f>LOWER(LEFT(B15,1))&amp;RIGHT(B15,LEN(B15) - 1)</f>
        <v>bodyNo</v>
      </c>
      <c r="E15" s="72" t="str">
        <f>A.Backend!H9</f>
        <v>string</v>
      </c>
      <c r="F15" s="72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this.l('Body No'),headerTooltip: this.l('Body No'),field: 'bodyNo',flex: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bodyNo : string = '' ; </v>
      </c>
      <c r="T15" s="31" t="str">
        <f>REPT(CHAR(9),3)&amp;"this."&amp;D15&amp;","</f>
        <v xml:space="preserve">			this.bodyNo,</v>
      </c>
      <c r="U15" s="31" t="str">
        <f>IF(E15="int","this."&amp;D15&amp;" = 0,","this."&amp;D15&amp;" = '',")</f>
        <v>this.bodyNo = '',</v>
      </c>
      <c r="V15" s="31" t="str">
        <f>IF(AND(E15="string",F15="1"),D15,"")</f>
        <v/>
      </c>
    </row>
    <row r="16" spans="1:22" ht="18" customHeight="1" x14ac:dyDescent="0.25">
      <c r="A16" s="44" t="s">
        <v>272</v>
      </c>
      <c r="B16" s="31" t="str">
        <f t="shared" ref="B16" si="0">SUBSTITUTE(PROPER(A16),"_","")</f>
        <v>Model</v>
      </c>
      <c r="C16" s="31" t="str">
        <f t="shared" ref="C16" si="1">SUBSTITUTE(PROPER(A16),"_"," ")</f>
        <v>Model</v>
      </c>
      <c r="D16" s="31" t="str">
        <f t="shared" ref="D16" si="2">LOWER(LEFT(B16,1))&amp;RIGHT(B16,LEN(B16) - 1)</f>
        <v>model</v>
      </c>
      <c r="E16" s="72" t="str">
        <f>A.Backend!H10</f>
        <v>string</v>
      </c>
      <c r="F16" s="72" t="str">
        <f>A.Backend!G10</f>
        <v>50</v>
      </c>
      <c r="G16" s="31" t="str">
        <f t="shared" ref="G16:G18" si="3">IF(E16="string"," : string = '' ; ",IF(OR(E16="DateTime",E16="TimeSpan")," : any ;",IF(E16="int"," : number = 0 ;","")))</f>
        <v xml:space="preserve"> : string = '' ; </v>
      </c>
      <c r="H16" s="38" t="str">
        <f t="shared" ref="H16:H18" si="4"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this.l('Model'),headerTooltip: this.l('Model'),field: 'model',flex: 1},</v>
      </c>
      <c r="I16" s="38" t="str">
        <f t="shared" ref="I16:I18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6" s="31"/>
      <c r="K16" s="38" t="str">
        <f t="shared" ref="K16:K18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6" s="60" t="str">
        <f t="shared" ref="L16:L18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:S18" si="8">REPT(CHAR(9),1)&amp;D16&amp;G16</f>
        <v xml:space="preserve">	model : string = '' ; </v>
      </c>
      <c r="T16" s="31" t="str">
        <f t="shared" ref="T16:T18" si="9">REPT(CHAR(9),3)&amp;"this."&amp;D16&amp;","</f>
        <v xml:space="preserve">			this.model,</v>
      </c>
      <c r="U16" s="31" t="str">
        <f t="shared" ref="U16:U18" si="10">IF(E16="int",REPT(CHAR(9),2)&amp;"this."&amp;D16&amp;" = 0,",REPT(CHAR(9),2)&amp;"this."&amp;D16&amp;" = '',")</f>
        <v xml:space="preserve">		this.model = '',</v>
      </c>
      <c r="V16" s="31" t="str">
        <f t="shared" ref="V16:V18" si="11">IF(AND(E16="string",F16="1"),D16,"")</f>
        <v/>
      </c>
    </row>
    <row r="17" spans="1:22" ht="18" customHeight="1" x14ac:dyDescent="0.25">
      <c r="A17" s="44" t="s">
        <v>281</v>
      </c>
      <c r="B17" s="31" t="str">
        <f>SUBSTITUTE(PROPER(A17),"_","")</f>
        <v>Line</v>
      </c>
      <c r="C17" s="31" t="str">
        <f>SUBSTITUTE(PROPER(A17),"_"," ")</f>
        <v>Line</v>
      </c>
      <c r="D17" s="31" t="str">
        <f>LOWER(LEFT(B17,1))&amp;RIGHT(B17,LEN(B17) - 1)</f>
        <v>line</v>
      </c>
      <c r="E17" s="72" t="str">
        <f>A.Backend!H11</f>
        <v>string</v>
      </c>
      <c r="F17" s="72" t="str">
        <f>A.Backend!G11</f>
        <v>100</v>
      </c>
      <c r="G17" s="31" t="str">
        <f t="shared" si="3"/>
        <v xml:space="preserve"> : string = '' ; </v>
      </c>
      <c r="H17" s="38" t="str">
        <f t="shared" si="4"/>
        <v xml:space="preserve">			{headerName: this.l('Line'),headerTooltip: this.l('Line'),field: 'line',flex: 1},</v>
      </c>
      <c r="I17" s="38" t="str">
        <f t="shared" si="5"/>
        <v xml:space="preserve">								&lt;div class='input-search'&gt;
									&lt;input [(ngModel)]='line' name='line'
									class='form-control' [placeholder]="l('Line')"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title'&gt;Line&lt;/label&gt;
						&lt;input type='text' class='col-md-10 form-control input-text' name='Line' [(ngModel)]='rowdata.line'&gt;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si="8"/>
        <v xml:space="preserve">	line : string = '' ; </v>
      </c>
      <c r="T17" s="31" t="str">
        <f t="shared" si="9"/>
        <v xml:space="preserve">			this.line,</v>
      </c>
      <c r="U17" s="31" t="str">
        <f t="shared" si="10"/>
        <v xml:space="preserve">		this.line = '',</v>
      </c>
      <c r="V17" s="31" t="str">
        <f t="shared" si="11"/>
        <v/>
      </c>
    </row>
    <row r="18" spans="1:22" ht="15" customHeight="1" x14ac:dyDescent="0.25">
      <c r="A18" s="44" t="s">
        <v>273</v>
      </c>
      <c r="B18" s="31" t="str">
        <f t="shared" ref="B18" si="12">SUBSTITUTE(PROPER(A18),"_","")</f>
        <v>LotNo</v>
      </c>
      <c r="C18" s="31" t="str">
        <f t="shared" ref="C18" si="13">SUBSTITUTE(PROPER(A18),"_"," ")</f>
        <v>Lot No</v>
      </c>
      <c r="D18" s="31" t="str">
        <f t="shared" ref="D18" si="14">LOWER(LEFT(B18,1))&amp;RIGHT(B18,LEN(B18) - 1)</f>
        <v>lotNo</v>
      </c>
      <c r="E18" s="72" t="str">
        <f>A.Backend!H12</f>
        <v>string</v>
      </c>
      <c r="F18" s="72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this.l('Lot No'),headerTooltip: this.l('Lot No'),field: 'lotNo',flex: 1},</v>
      </c>
      <c r="I18" s="38" t="str">
        <f t="shared" si="5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8"/>
        <v xml:space="preserve">	lotNo : string = '' ; </v>
      </c>
      <c r="T18" s="31" t="str">
        <f t="shared" si="9"/>
        <v xml:space="preserve">			this.lotNo,</v>
      </c>
      <c r="U18" s="31" t="str">
        <f t="shared" si="10"/>
        <v xml:space="preserve">		this.lotNo = '',</v>
      </c>
      <c r="V18" s="31" t="str">
        <f t="shared" si="11"/>
        <v/>
      </c>
    </row>
    <row r="19" spans="1:22" ht="15" customHeight="1" x14ac:dyDescent="0.25">
      <c r="A19" s="44" t="s">
        <v>275</v>
      </c>
      <c r="B19" s="31" t="str">
        <f t="shared" ref="B19:B20" si="15">SUBSTITUTE(PROPER(A19),"_","")</f>
        <v>Color</v>
      </c>
      <c r="C19" s="31" t="str">
        <f t="shared" ref="C19:C20" si="16">SUBSTITUTE(PROPER(A19),"_"," ")</f>
        <v>Color</v>
      </c>
      <c r="D19" s="31" t="str">
        <f t="shared" ref="D19:D20" si="17">LOWER(LEFT(B19,1))&amp;RIGHT(B19,LEN(B19) - 1)</f>
        <v>color</v>
      </c>
      <c r="E19" s="72" t="str">
        <f>A.Backend!H13</f>
        <v>string</v>
      </c>
      <c r="F19" s="72" t="str">
        <f>A.Backend!G13</f>
        <v>50</v>
      </c>
      <c r="G19" s="31" t="str">
        <f t="shared" ref="G19:G24" si="18">IF(E19="string"," : string = '' ; ",IF(OR(E19="DateTime",E19="TimeSpan")," : any ;",IF(E19="int"," : number = 0 ;","")))</f>
        <v xml:space="preserve"> : string = '' ; </v>
      </c>
      <c r="H19" s="38" t="str">
        <f>IF(E19="DateTime",
REPT(CHAR(9),3)&amp;"{headerName: this.l('"&amp;C19&amp;"'),headerTooltip: this.l('"&amp;C19&amp;"'),field: '"&amp;D19&amp;"',valueGetter: (params) =&gt; this.pipe.transform(params.data?."&amp;D19&amp;", 'dd/MM/yyyy'),flex: 1},",
REPT(CHAR(9),3)&amp;"{headerName: this.l('"&amp;C19&amp;"'),headerTooltip: this.l('"&amp;C19&amp;"'),field: '"&amp;D19&amp;"',flex: 1},")</f>
        <v xml:space="preserve">			{headerName: this.l('Color'),headerTooltip: this.l('Color'),field: 'color',flex: 1},</v>
      </c>
      <c r="I19" s="38" t="str">
        <f t="shared" ref="I19:I24" si="19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19" s="31"/>
      <c r="K19" s="38" t="str">
        <f t="shared" ref="K19:K24" si="20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"&amp;REPT(CHAR(9),6)&amp;"&lt;input class='col-md-10 form-control checkboxActive' type='checkbox' name='"&amp;D19&amp;"'
"&amp;REPT(CHAR(9),6)&amp;"[checked]='_"&amp;D19&amp;"' (change)='changeActive($event)'&gt;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19" s="60" t="str">
        <f t="shared" ref="L19:L24" si="21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>REPT(CHAR(9),1)&amp;D19&amp;G19</f>
        <v xml:space="preserve">	color : string = '' ; </v>
      </c>
      <c r="T19" s="31" t="str">
        <f>REPT(CHAR(9),3)&amp;"this."&amp;D19&amp;","</f>
        <v xml:space="preserve">			this.color,</v>
      </c>
      <c r="U19" s="31" t="str">
        <f>IF(E19="int",REPT(CHAR(9),2)&amp;"this."&amp;D19&amp;" = 0,",REPT(CHAR(9),2)&amp;"this."&amp;D19&amp;" = '',")</f>
        <v xml:space="preserve">		this.color = '',</v>
      </c>
      <c r="V19" s="31" t="str">
        <f t="shared" ref="V19:V24" si="22">IF(AND(E19="string",F19="1"),D19,"")</f>
        <v/>
      </c>
    </row>
    <row r="20" spans="1:22" ht="18" customHeight="1" x14ac:dyDescent="0.25">
      <c r="A20" s="44" t="s">
        <v>283</v>
      </c>
      <c r="B20" s="31" t="str">
        <f t="shared" si="15"/>
        <v>ProcessGroup</v>
      </c>
      <c r="C20" s="31" t="str">
        <f t="shared" si="16"/>
        <v>Process Group</v>
      </c>
      <c r="D20" s="31" t="str">
        <f t="shared" si="17"/>
        <v>processGroup</v>
      </c>
      <c r="E20" s="72" t="str">
        <f>A.Backend!H14</f>
        <v>int</v>
      </c>
      <c r="F20" s="72" t="str">
        <f>A.Backend!G14</f>
        <v/>
      </c>
      <c r="G20" s="31" t="str">
        <f t="shared" si="18"/>
        <v xml:space="preserve"> : number = 0 ;</v>
      </c>
      <c r="H20" s="38" t="str">
        <f t="shared" ref="H20:H23" si="23">IF(E20="DateTime",
REPT(CHAR(9),3)&amp;"{headerName: this.l('"&amp;C20&amp;"'),headerTooltip: this.l('"&amp;C20&amp;"'),field: '"&amp;D20&amp;"',valueGetter: (params) =&gt; this.pipe.transform(params.data?."&amp;D20&amp;", 'dd/MM/yyyy'),flex: 1},",
REPT(CHAR(9),3)&amp;"{headerName: this.l('"&amp;C20&amp;"'),headerTooltip: this.l('"&amp;C20&amp;"'),field: '"&amp;D20&amp;"',flex: 1},")</f>
        <v xml:space="preserve">			{headerName: this.l('Process Group'),headerTooltip: this.l('Process Group'),field: 'processGroup',flex: 1},</v>
      </c>
      <c r="I20" s="38" t="str">
        <f t="shared" si="19"/>
        <v/>
      </c>
      <c r="J20" s="31"/>
      <c r="K20" s="38" t="str">
        <f t="shared" si="20"/>
        <v xml:space="preserve">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</v>
      </c>
      <c r="L20" s="60" t="str">
        <f t="shared" si="21"/>
        <v/>
      </c>
      <c r="M20" s="31"/>
      <c r="N20" s="31"/>
      <c r="O20" s="31"/>
      <c r="P20" s="31"/>
      <c r="Q20" s="31"/>
      <c r="R20" s="31"/>
      <c r="S20" s="31" t="str">
        <f t="shared" ref="S20:S24" si="24">REPT(CHAR(9),1)&amp;D20&amp;G20</f>
        <v xml:space="preserve">	processGroup : number = 0 ;</v>
      </c>
      <c r="T20" s="31" t="str">
        <f t="shared" ref="T20:T24" si="25">REPT(CHAR(9),3)&amp;"this."&amp;D20&amp;","</f>
        <v xml:space="preserve">			this.processGroup,</v>
      </c>
      <c r="U20" s="31" t="str">
        <f t="shared" ref="U20:U24" si="26">IF(E20="int",REPT(CHAR(9),2)&amp;"this."&amp;D20&amp;" = 0,",REPT(CHAR(9),2)&amp;"this."&amp;D20&amp;" = '',")</f>
        <v xml:space="preserve">		this.processGroup = 0,</v>
      </c>
      <c r="V20" s="31" t="str">
        <f t="shared" si="22"/>
        <v/>
      </c>
    </row>
    <row r="21" spans="1:22" ht="18" customHeight="1" x14ac:dyDescent="0.25">
      <c r="A21" s="44" t="s">
        <v>284</v>
      </c>
      <c r="B21" s="31" t="str">
        <f>SUBSTITUTE(PROPER(A21),"_","")</f>
        <v>ScanTime</v>
      </c>
      <c r="C21" s="31" t="str">
        <f>SUBSTITUTE(PROPER(A21),"_"," ")</f>
        <v>Scan Time</v>
      </c>
      <c r="D21" s="31" t="str">
        <f>LOWER(LEFT(B21,1))&amp;RIGHT(B21,LEN(B21) - 1)</f>
        <v>scanTime</v>
      </c>
      <c r="E21" s="72" t="str">
        <f>A.Backend!H15</f>
        <v>DateTime</v>
      </c>
      <c r="F21" s="72" t="str">
        <f>A.Backend!G15</f>
        <v>7</v>
      </c>
      <c r="G21" s="31" t="str">
        <f t="shared" ref="G21" si="27">IF(E21="string"," : string = '' ; ",IF(OR(E21="DateTime",E21="TimeSpan")," : any ;",IF(E21="int"," : number = 0 ;","")))</f>
        <v xml:space="preserve"> : any ;</v>
      </c>
      <c r="H21" s="38" t="str">
        <f t="shared" ref="H21" si="28">IF(E21="DateTime",
REPT(CHAR(9),3)&amp;"{headerName: this.l('"&amp;C21&amp;"'),headerTooltip: this.l('"&amp;C21&amp;"'),field: '"&amp;D21&amp;"',valueGetter: (params) =&gt; this.pipe.transform(params.data?."&amp;D21&amp;", 'dd/MM/yyyy'),flex: 1},",
REPT(CHAR(9),3)&amp;"{headerName: this.l('"&amp;C21&amp;"'),headerTooltip: this.l('"&amp;C21&amp;"'),field: '"&amp;D21&amp;"',flex: 1},")</f>
        <v xml:space="preserve">			{headerName: this.l('Scan Time'),headerTooltip: this.l('Scan Time'),field: 'scanTime',valueGetter: (params) =&gt; this.pipe.transform(params.data?.scanTime, 'dd/MM/yyyy'),flex: 1},</v>
      </c>
      <c r="I21" s="38" t="str">
        <f t="shared" ref="I21" si="29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</v>
      </c>
      <c r="J21" s="31"/>
      <c r="K21" s="38" t="str">
        <f t="shared" ref="K21" si="30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"&amp;REPT(CHAR(9),6)&amp;"&lt;input class='col-md-10 form-control checkboxActive' type='checkbox' name='"&amp;D21&amp;"'
"&amp;REPT(CHAR(9),6)&amp;"[checked]='_"&amp;D21&amp;"' (change)='changeActive($event)'&gt;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</v>
      </c>
      <c r="L21" s="60" t="str">
        <f t="shared" ref="L21" si="31">IF(E21="DateTime",
REPT(CHAR(9),2)&amp;"const dateValue =  this.rowdata."&amp;D21&amp;" ? new Date(this.rowdata."&amp;D21&amp;"?.toString()) : new Date();
"&amp;REPT(CHAR(9),2)&amp;"this.datepicker?.bsValueChange.emit(dateValue);","")</f>
        <v xml:space="preserve">		const dateValue =  this.rowdata.scanTime ? new Date(this.rowdata.scanTime?.toString()) : new Date();
		this.datepicker?.bsValueChange.emit(dateValue);</v>
      </c>
      <c r="M21" s="31"/>
      <c r="N21" s="31"/>
      <c r="O21" s="31"/>
      <c r="P21" s="31"/>
      <c r="Q21" s="31"/>
      <c r="R21" s="31"/>
      <c r="S21" s="31" t="str">
        <f t="shared" ref="S21" si="32">REPT(CHAR(9),1)&amp;D21&amp;G21</f>
        <v xml:space="preserve">	scanTime : any ;</v>
      </c>
      <c r="T21" s="31" t="str">
        <f t="shared" ref="T21" si="33">REPT(CHAR(9),3)&amp;"this."&amp;D21&amp;","</f>
        <v xml:space="preserve">			this.scanTime,</v>
      </c>
      <c r="U21" s="31" t="str">
        <f t="shared" ref="U21" si="34">IF(E21="int",REPT(CHAR(9),2)&amp;"this."&amp;D21&amp;" = 0,",REPT(CHAR(9),2)&amp;"this."&amp;D21&amp;" = '',")</f>
        <v xml:space="preserve">		this.scanTime = '',</v>
      </c>
      <c r="V21" s="31" t="str">
        <f t="shared" ref="V21" si="35">IF(AND(E21="string",F21="1"),D21,"")</f>
        <v/>
      </c>
    </row>
    <row r="22" spans="1:22" ht="18" customHeight="1" x14ac:dyDescent="0.25">
      <c r="A22" s="44" t="s">
        <v>285</v>
      </c>
      <c r="B22" s="31" t="str">
        <f>SUBSTITUTE(PROPER(A22),"_","")</f>
        <v>PunchFlag</v>
      </c>
      <c r="C22" s="31" t="str">
        <f>SUBSTITUTE(PROPER(A22),"_"," ")</f>
        <v>Punch Flag</v>
      </c>
      <c r="D22" s="31" t="str">
        <f>LOWER(LEFT(B22,1))&amp;RIGHT(B22,LEN(B22) - 1)</f>
        <v>punchFlag</v>
      </c>
      <c r="E22" s="72" t="str">
        <f>A.Backend!H16</f>
        <v>string</v>
      </c>
      <c r="F22" s="72" t="str">
        <f>A.Backend!G16</f>
        <v>1</v>
      </c>
      <c r="G22" s="31" t="str">
        <f t="shared" si="18"/>
        <v xml:space="preserve"> : string = '' ; </v>
      </c>
      <c r="H22" s="38" t="str">
        <f t="shared" si="23"/>
        <v xml:space="preserve">			{headerName: this.l('Punch Flag'),headerTooltip: this.l('Punch Flag'),field: 'punchFlag',flex: 1},</v>
      </c>
      <c r="I22" s="38" t="str">
        <f t="shared" si="19"/>
        <v xml:space="preserve">								&lt;div class='input-search'&gt;
									&lt;input [(ngModel)]='punchFlag' name='punchFlag'
									class='form-control' [placeholder]="l('Punch Flag')"
									type='text' (keyup.enter)='searchDatas()'&gt;
								&lt;/div&gt;</v>
      </c>
      <c r="J22" s="31"/>
      <c r="K22" s="38" t="str">
        <f t="shared" si="20"/>
        <v xml:space="preserve">					&lt;div class='col-md-12 form-group row'&gt;
						&lt;label class='col-md-2 form-control title'&gt;Punch Flag&lt;/label&gt;
						&lt;input class='col-md-10 form-control checkboxActive' type='checkbox' name='punchFlag'
						[checked]='_punchFlag' (change)='changeActive($event)'&gt;
					&lt;/div&gt;</v>
      </c>
      <c r="L22" s="60" t="str">
        <f t="shared" si="21"/>
        <v/>
      </c>
      <c r="M22" s="31"/>
      <c r="N22" s="31"/>
      <c r="O22" s="31"/>
      <c r="P22" s="31"/>
      <c r="Q22" s="31"/>
      <c r="R22" s="31"/>
      <c r="S22" s="31" t="str">
        <f t="shared" si="24"/>
        <v xml:space="preserve">	punchFlag : string = '' ; </v>
      </c>
      <c r="T22" s="31" t="str">
        <f t="shared" si="25"/>
        <v xml:space="preserve">			this.punchFlag,</v>
      </c>
      <c r="U22" s="31" t="str">
        <f t="shared" si="26"/>
        <v xml:space="preserve">		this.punchFlag = '',</v>
      </c>
      <c r="V22" s="31" t="str">
        <f t="shared" si="22"/>
        <v>punchFlag</v>
      </c>
    </row>
    <row r="23" spans="1:22" ht="15" customHeight="1" x14ac:dyDescent="0.25">
      <c r="A23" s="44" t="s">
        <v>287</v>
      </c>
      <c r="B23" s="31" t="str">
        <f t="shared" ref="B23:B24" si="36">SUBSTITUTE(PROPER(A23),"_","")</f>
        <v>PunchIndicator</v>
      </c>
      <c r="C23" s="31" t="str">
        <f t="shared" ref="C23:C24" si="37">SUBSTITUTE(PROPER(A23),"_"," ")</f>
        <v>Punch Indicator</v>
      </c>
      <c r="D23" s="31" t="str">
        <f t="shared" ref="D23:D24" si="38">LOWER(LEFT(B23,1))&amp;RIGHT(B23,LEN(B23) - 1)</f>
        <v>punchIndicator</v>
      </c>
      <c r="E23" s="72" t="str">
        <f>A.Backend!H17</f>
        <v>string</v>
      </c>
      <c r="F23" s="72" t="str">
        <f>A.Backend!G17</f>
        <v>500</v>
      </c>
      <c r="G23" s="31" t="str">
        <f t="shared" si="18"/>
        <v xml:space="preserve"> : string = '' ; </v>
      </c>
      <c r="H23" s="38" t="str">
        <f t="shared" si="23"/>
        <v xml:space="preserve">			{headerName: this.l('Punch Indicator'),headerTooltip: this.l('Punch Indicator'),field: 'punchIndicator',flex: 1},</v>
      </c>
      <c r="I23" s="38" t="str">
        <f t="shared" si="19"/>
        <v xml:space="preserve">								&lt;div class='input-search'&gt;
									&lt;input [(ngModel)]='punchIndicator' name='punchIndicator'
									class='form-control' [placeholder]="l('Punch Indicator')"
									type='text' (keyup.enter)='searchDatas()'&gt;
								&lt;/div&gt;</v>
      </c>
      <c r="J23" s="31"/>
      <c r="K23" s="38" t="str">
        <f t="shared" si="20"/>
        <v xml:space="preserve">					&lt;div class='col-md-12 form-group row'&gt;
						&lt;label class='col-md-2 form-control title'&gt;Punch Indicator&lt;/label&gt;
						&lt;input type='text' class='col-md-10 form-control input-text' name='PunchIndicator' [(ngModel)]='rowdata.punchIndicator'&gt;
					&lt;/div&gt;</v>
      </c>
      <c r="L23" s="60" t="str">
        <f t="shared" si="21"/>
        <v/>
      </c>
      <c r="M23" s="31"/>
      <c r="N23" s="31"/>
      <c r="O23" s="31"/>
      <c r="P23" s="31"/>
      <c r="Q23" s="31"/>
      <c r="R23" s="31"/>
      <c r="S23" s="31" t="str">
        <f t="shared" si="24"/>
        <v xml:space="preserve">	punchIndicator : string = '' ; </v>
      </c>
      <c r="T23" s="31" t="str">
        <f t="shared" si="25"/>
        <v xml:space="preserve">			this.punchIndicator,</v>
      </c>
      <c r="U23" s="31" t="str">
        <f t="shared" si="26"/>
        <v xml:space="preserve">		this.punchIndicator = '',</v>
      </c>
      <c r="V23" s="31" t="str">
        <f t="shared" si="22"/>
        <v/>
      </c>
    </row>
    <row r="24" spans="1:22" ht="18" customHeight="1" x14ac:dyDescent="0.25">
      <c r="A24" s="44" t="s">
        <v>289</v>
      </c>
      <c r="B24" s="31" t="str">
        <f t="shared" si="36"/>
        <v>IsCall</v>
      </c>
      <c r="C24" s="31" t="str">
        <f t="shared" si="37"/>
        <v>Is Call</v>
      </c>
      <c r="D24" s="31" t="str">
        <f t="shared" si="38"/>
        <v>isCall</v>
      </c>
      <c r="E24" s="72" t="str">
        <f>A.Backend!H18</f>
        <v>string</v>
      </c>
      <c r="F24" s="72" t="str">
        <f>A.Backend!G18</f>
        <v>1</v>
      </c>
      <c r="G24" s="31" t="str">
        <f t="shared" si="18"/>
        <v xml:space="preserve"> : string = '' ; </v>
      </c>
      <c r="H24" s="38" t="str">
        <f>IF(E24="DateTime",
REPT(CHAR(9),3)&amp;"{headerName: this.l('"&amp;C24&amp;"'),headerTooltip: this.l('"&amp;C24&amp;"'),field: '"&amp;D24&amp;"',valueGetter: (params) =&gt; this.pipe.transform(params.data?."&amp;D24&amp;", 'dd/MM/yyyy'),flex: 1},",
REPT(CHAR(9),3)&amp;"{headerName: this.l('"&amp;C24&amp;"'),headerTooltip: this.l('"&amp;C24&amp;"'),field: '"&amp;D24&amp;"',flex: 1},")</f>
        <v xml:space="preserve">			{headerName: this.l('Is Call'),headerTooltip: this.l('Is Call'),field: 'isCall',flex: 1},</v>
      </c>
      <c r="I24" s="38" t="str">
        <f t="shared" si="19"/>
        <v xml:space="preserve">								&lt;div class='input-search'&gt;
									&lt;input [(ngModel)]='isCall' name='isCall'
									class='form-control' [placeholder]="l('Is Call')"
									type='text' (keyup.enter)='searchDatas()'&gt;
								&lt;/div&gt;</v>
      </c>
      <c r="J24" s="31"/>
      <c r="K24" s="38" t="str">
        <f t="shared" si="20"/>
        <v xml:space="preserve">					&lt;div class='col-md-12 form-group row'&gt;
						&lt;label class='col-md-2 form-control title'&gt;Is Call&lt;/label&gt;
						&lt;input class='col-md-10 form-control checkboxActive' type='checkbox' name='isCall'
						[checked]='_isCall' (change)='changeActive($event)'&gt;
					&lt;/div&gt;</v>
      </c>
      <c r="L24" s="60" t="str">
        <f t="shared" si="21"/>
        <v/>
      </c>
      <c r="M24" s="31"/>
      <c r="N24" s="31"/>
      <c r="O24" s="31"/>
      <c r="P24" s="31"/>
      <c r="Q24" s="31"/>
      <c r="R24" s="31"/>
      <c r="S24" s="31" t="str">
        <f t="shared" si="24"/>
        <v xml:space="preserve">	isCall : string = '' ; </v>
      </c>
      <c r="T24" s="31" t="str">
        <f t="shared" si="25"/>
        <v xml:space="preserve">			this.isCall,</v>
      </c>
      <c r="U24" s="31" t="str">
        <f t="shared" si="26"/>
        <v xml:space="preserve">		this.isCall = '',</v>
      </c>
      <c r="V24" s="31" t="str">
        <f t="shared" si="22"/>
        <v>isCall</v>
      </c>
    </row>
    <row r="25" spans="1:22" ht="18" customHeight="1" x14ac:dyDescent="0.25">
      <c r="A25" s="44" t="s">
        <v>290</v>
      </c>
      <c r="B25" s="31" t="str">
        <f>SUBSTITUTE(PROPER(A25),"_","")</f>
        <v>IsCf</v>
      </c>
      <c r="C25" s="31" t="str">
        <f>SUBSTITUTE(PROPER(A25),"_"," ")</f>
        <v>Is Cf</v>
      </c>
      <c r="D25" s="31" t="str">
        <f>LOWER(LEFT(B25,1))&amp;RIGHT(B25,LEN(B25) - 1)</f>
        <v>isCf</v>
      </c>
      <c r="E25" s="72" t="str">
        <f>A.Backend!H19</f>
        <v>string</v>
      </c>
      <c r="F25" s="72" t="str">
        <f>A.Backend!G19</f>
        <v>1</v>
      </c>
      <c r="G25" s="31" t="str">
        <f>IF(E25="string"," : string = '' ; ",IF(OR(E25="DateTime",E25="TimeSpan")," : any ;",IF(E25="int"," : number = 0 ;","")))</f>
        <v xml:space="preserve"> : string = '' ; </v>
      </c>
      <c r="H25" s="38" t="str">
        <f>IF(E25="DateTime",
REPT(CHAR(9),3)&amp;"{headerName: this.l('"&amp;C25&amp;"'),headerTooltip: this.l('"&amp;C25&amp;"'),field: '"&amp;D25&amp;"',valueGetter: (params) =&gt; this.pipe.transform(params.data?."&amp;D25&amp;", 'dd/MM/yyyy'),flex: 1},",
REPT(CHAR(9),3)&amp;"{headerName: this.l('"&amp;C25&amp;"'),headerTooltip: this.l('"&amp;C25&amp;"'),field: '"&amp;D25&amp;"',flex: 1},")</f>
        <v xml:space="preserve">			{headerName: this.l('Is Cf'),headerTooltip: this.l('Is Cf'),field: 'isCf',flex: 1},</v>
      </c>
      <c r="I25" s="38" t="str">
        <f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[(ngModel)]='isCf' name='isCf'
									class='form-control' [placeholder]="l('Is Cf')"
									type='text' (keyup.enter)='searchDatas()'&gt;
								&lt;/div&gt;</v>
      </c>
      <c r="J25" s="31"/>
      <c r="K25" s="38" t="str">
        <f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"&amp;REPT(CHAR(9),6)&amp;"&lt;input class='col-md-10 form-control checkboxActive' type='checkbox' name='"&amp;D25&amp;"'
"&amp;REPT(CHAR(9),6)&amp;"[checked]='_"&amp;D25&amp;"' (change)='changeActive($event)'&gt;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title'&gt;Is Cf&lt;/label&gt;
						&lt;input class='col-md-10 form-control checkboxActive' type='checkbox' name='isCf'
						[checked]='_isCf' (change)='changeActive($event)'&gt;
					&lt;/div&gt;</v>
      </c>
      <c r="L25" s="60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>D25&amp;G25</f>
        <v xml:space="preserve">isCf : string = '' ; </v>
      </c>
      <c r="T25" s="31" t="str">
        <f>REPT(CHAR(9),3)&amp;"this."&amp;D25&amp;","</f>
        <v xml:space="preserve">			this.isCf,</v>
      </c>
      <c r="U25" s="31" t="str">
        <f>IF(E25="int","this."&amp;D25&amp;" = 0,","this."&amp;D25&amp;" = '',")</f>
        <v>this.isCf = '',</v>
      </c>
      <c r="V25" s="31" t="str">
        <f>IF(AND(E25="string",F25="1"),D25,"")</f>
        <v>isCf</v>
      </c>
    </row>
    <row r="28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270</v>
      </c>
      <c r="B20" t="s">
        <v>271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2022-06-11T08:47:23Z</dcterms:modified>
</cp:coreProperties>
</file>
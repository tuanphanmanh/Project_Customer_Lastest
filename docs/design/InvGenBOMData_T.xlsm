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pro+\main-12-20230330\docs\desig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8" i="1" l="1"/>
  <c r="G68" i="1"/>
  <c r="E68" i="1"/>
  <c r="H68" i="1" s="1"/>
  <c r="D68" i="1"/>
  <c r="V68" i="1" s="1"/>
  <c r="D69" i="1"/>
  <c r="V69" i="1" s="1"/>
  <c r="E69" i="1"/>
  <c r="H69" i="1" s="1"/>
  <c r="I69" i="1" s="1"/>
  <c r="G69" i="1"/>
  <c r="L69" i="1"/>
  <c r="P69" i="1"/>
  <c r="T69" i="1"/>
  <c r="L67" i="1"/>
  <c r="G67" i="1"/>
  <c r="E67" i="1"/>
  <c r="H67" i="1" s="1"/>
  <c r="D67" i="1"/>
  <c r="V67" i="1" s="1"/>
  <c r="L66" i="1"/>
  <c r="H66" i="1"/>
  <c r="G66" i="1"/>
  <c r="E66" i="1"/>
  <c r="D66" i="1"/>
  <c r="T66" i="1" s="1"/>
  <c r="L65" i="1"/>
  <c r="G65" i="1"/>
  <c r="E65" i="1"/>
  <c r="H65" i="1" s="1"/>
  <c r="D65" i="1"/>
  <c r="V65" i="1" s="1"/>
  <c r="L64" i="1"/>
  <c r="G64" i="1"/>
  <c r="E64" i="1"/>
  <c r="H64" i="1" s="1"/>
  <c r="M64" i="1" s="1"/>
  <c r="D64" i="1"/>
  <c r="T64" i="1" s="1"/>
  <c r="L63" i="1"/>
  <c r="G63" i="1"/>
  <c r="E63" i="1"/>
  <c r="H63" i="1" s="1"/>
  <c r="D63" i="1"/>
  <c r="V63" i="1" s="1"/>
  <c r="L62" i="1"/>
  <c r="G62" i="1"/>
  <c r="E62" i="1"/>
  <c r="H62" i="1" s="1"/>
  <c r="M62" i="1" s="1"/>
  <c r="D62" i="1"/>
  <c r="T62" i="1" s="1"/>
  <c r="L61" i="1"/>
  <c r="G61" i="1"/>
  <c r="E61" i="1"/>
  <c r="H61" i="1" s="1"/>
  <c r="D61" i="1"/>
  <c r="V61" i="1" s="1"/>
  <c r="L60" i="1"/>
  <c r="H60" i="1"/>
  <c r="G60" i="1"/>
  <c r="E60" i="1"/>
  <c r="D60" i="1"/>
  <c r="T60" i="1" s="1"/>
  <c r="L59" i="1"/>
  <c r="G59" i="1"/>
  <c r="E59" i="1"/>
  <c r="H59" i="1" s="1"/>
  <c r="D59" i="1"/>
  <c r="V59" i="1" s="1"/>
  <c r="L58" i="1"/>
  <c r="H58" i="1"/>
  <c r="M58" i="1" s="1"/>
  <c r="G58" i="1"/>
  <c r="E58" i="1"/>
  <c r="D58" i="1"/>
  <c r="T58" i="1" s="1"/>
  <c r="L57" i="1"/>
  <c r="G57" i="1"/>
  <c r="E57" i="1"/>
  <c r="H57" i="1" s="1"/>
  <c r="D57" i="1"/>
  <c r="V57" i="1" s="1"/>
  <c r="L56" i="1"/>
  <c r="G56" i="1"/>
  <c r="E56" i="1"/>
  <c r="H56" i="1" s="1"/>
  <c r="D56" i="1"/>
  <c r="T56" i="1" s="1"/>
  <c r="L55" i="1"/>
  <c r="G55" i="1"/>
  <c r="E55" i="1"/>
  <c r="H55" i="1" s="1"/>
  <c r="D55" i="1"/>
  <c r="V55" i="1" s="1"/>
  <c r="L54" i="1"/>
  <c r="G54" i="1"/>
  <c r="E54" i="1"/>
  <c r="H54" i="1" s="1"/>
  <c r="M54" i="1" s="1"/>
  <c r="D54" i="1"/>
  <c r="T54" i="1" s="1"/>
  <c r="L53" i="1"/>
  <c r="G53" i="1"/>
  <c r="E53" i="1"/>
  <c r="H53" i="1" s="1"/>
  <c r="D53" i="1"/>
  <c r="V53" i="1" s="1"/>
  <c r="L52" i="1"/>
  <c r="G52" i="1"/>
  <c r="E52" i="1"/>
  <c r="H52" i="1" s="1"/>
  <c r="D52" i="1"/>
  <c r="T52" i="1" s="1"/>
  <c r="L51" i="1"/>
  <c r="G51" i="1"/>
  <c r="E51" i="1"/>
  <c r="H51" i="1" s="1"/>
  <c r="D51" i="1"/>
  <c r="V51" i="1" s="1"/>
  <c r="L50" i="1"/>
  <c r="G50" i="1"/>
  <c r="E50" i="1"/>
  <c r="H50" i="1" s="1"/>
  <c r="M50" i="1" s="1"/>
  <c r="D50" i="1"/>
  <c r="T50" i="1" s="1"/>
  <c r="L49" i="1"/>
  <c r="G49" i="1"/>
  <c r="E49" i="1"/>
  <c r="H49" i="1" s="1"/>
  <c r="D49" i="1"/>
  <c r="V49" i="1" s="1"/>
  <c r="L48" i="1"/>
  <c r="G48" i="1"/>
  <c r="E48" i="1"/>
  <c r="H48" i="1" s="1"/>
  <c r="D48" i="1"/>
  <c r="V48" i="1" s="1"/>
  <c r="L47" i="1"/>
  <c r="G47" i="1"/>
  <c r="E47" i="1"/>
  <c r="H47" i="1" s="1"/>
  <c r="D47" i="1"/>
  <c r="T47" i="1" s="1"/>
  <c r="P46" i="1"/>
  <c r="L46" i="1"/>
  <c r="G46" i="1"/>
  <c r="E46" i="1"/>
  <c r="H46" i="1" s="1"/>
  <c r="D46" i="1"/>
  <c r="V46" i="1" s="1"/>
  <c r="L45" i="1"/>
  <c r="G45" i="1"/>
  <c r="E45" i="1"/>
  <c r="H45" i="1" s="1"/>
  <c r="D45" i="1"/>
  <c r="T45" i="1" s="1"/>
  <c r="T44" i="1"/>
  <c r="L44" i="1"/>
  <c r="G44" i="1"/>
  <c r="E44" i="1"/>
  <c r="H44" i="1" s="1"/>
  <c r="W44" i="1" s="1"/>
  <c r="D44" i="1"/>
  <c r="V44" i="1" s="1"/>
  <c r="L43" i="1"/>
  <c r="G43" i="1"/>
  <c r="E43" i="1"/>
  <c r="H43" i="1" s="1"/>
  <c r="D43" i="1"/>
  <c r="T43" i="1" s="1"/>
  <c r="T42" i="1"/>
  <c r="L42" i="1"/>
  <c r="G42" i="1"/>
  <c r="E42" i="1"/>
  <c r="H42" i="1" s="1"/>
  <c r="W42" i="1" s="1"/>
  <c r="D42" i="1"/>
  <c r="V42" i="1" s="1"/>
  <c r="L41" i="1"/>
  <c r="G41" i="1"/>
  <c r="E41" i="1"/>
  <c r="H41" i="1" s="1"/>
  <c r="D41" i="1"/>
  <c r="T41" i="1" s="1"/>
  <c r="L40" i="1"/>
  <c r="G40" i="1"/>
  <c r="E40" i="1"/>
  <c r="H40" i="1" s="1"/>
  <c r="D40" i="1"/>
  <c r="V40" i="1" s="1"/>
  <c r="L39" i="1"/>
  <c r="G39" i="1"/>
  <c r="E39" i="1"/>
  <c r="H39" i="1" s="1"/>
  <c r="D39" i="1"/>
  <c r="T39" i="1" s="1"/>
  <c r="L38" i="1"/>
  <c r="H38" i="1"/>
  <c r="G38" i="1"/>
  <c r="E38" i="1"/>
  <c r="D38" i="1"/>
  <c r="V38" i="1" s="1"/>
  <c r="L37" i="1"/>
  <c r="G37" i="1"/>
  <c r="E37" i="1"/>
  <c r="H37" i="1" s="1"/>
  <c r="D37" i="1"/>
  <c r="T37" i="1" s="1"/>
  <c r="T36" i="1"/>
  <c r="L36" i="1"/>
  <c r="G36" i="1"/>
  <c r="E36" i="1"/>
  <c r="H36" i="1" s="1"/>
  <c r="W36" i="1" s="1"/>
  <c r="D36" i="1"/>
  <c r="V36" i="1" s="1"/>
  <c r="L35" i="1"/>
  <c r="G35" i="1"/>
  <c r="E35" i="1"/>
  <c r="H35" i="1" s="1"/>
  <c r="D35" i="1"/>
  <c r="T35" i="1" s="1"/>
  <c r="L34" i="1"/>
  <c r="H34" i="1"/>
  <c r="G34" i="1"/>
  <c r="E34" i="1"/>
  <c r="D34" i="1"/>
  <c r="V34" i="1" s="1"/>
  <c r="L33" i="1"/>
  <c r="G33" i="1"/>
  <c r="E33" i="1"/>
  <c r="H33" i="1" s="1"/>
  <c r="D33" i="1"/>
  <c r="T33" i="1" s="1"/>
  <c r="T32" i="1"/>
  <c r="P32" i="1"/>
  <c r="L32" i="1"/>
  <c r="G32" i="1"/>
  <c r="E32" i="1"/>
  <c r="H32" i="1" s="1"/>
  <c r="D32" i="1"/>
  <c r="V32" i="1" s="1"/>
  <c r="L31" i="1"/>
  <c r="G31" i="1"/>
  <c r="E31" i="1"/>
  <c r="H31" i="1" s="1"/>
  <c r="D31" i="1"/>
  <c r="T31" i="1" s="1"/>
  <c r="L30" i="1"/>
  <c r="G30" i="1"/>
  <c r="E30" i="1"/>
  <c r="H30" i="1" s="1"/>
  <c r="D30" i="1"/>
  <c r="V30" i="1" s="1"/>
  <c r="L29" i="1"/>
  <c r="G29" i="1"/>
  <c r="E29" i="1"/>
  <c r="H29" i="1" s="1"/>
  <c r="D29" i="1"/>
  <c r="T29" i="1" s="1"/>
  <c r="L28" i="1"/>
  <c r="G28" i="1"/>
  <c r="E28" i="1"/>
  <c r="H28" i="1" s="1"/>
  <c r="D28" i="1"/>
  <c r="V28" i="1" s="1"/>
  <c r="L27" i="1"/>
  <c r="H27" i="1"/>
  <c r="M27" i="1" s="1"/>
  <c r="G27" i="1"/>
  <c r="E27" i="1"/>
  <c r="D27" i="1"/>
  <c r="T27" i="1" s="1"/>
  <c r="L26" i="1"/>
  <c r="G26" i="1"/>
  <c r="E26" i="1"/>
  <c r="H26" i="1" s="1"/>
  <c r="D26" i="1"/>
  <c r="V26" i="1" s="1"/>
  <c r="L25" i="1"/>
  <c r="G25" i="1"/>
  <c r="E25" i="1"/>
  <c r="H25" i="1" s="1"/>
  <c r="M25" i="1" s="1"/>
  <c r="D25" i="1"/>
  <c r="T25" i="1" s="1"/>
  <c r="L24" i="1"/>
  <c r="G24" i="1"/>
  <c r="E24" i="1"/>
  <c r="H24" i="1" s="1"/>
  <c r="D24" i="1"/>
  <c r="V24" i="1" s="1"/>
  <c r="L23" i="1"/>
  <c r="G23" i="1"/>
  <c r="E23" i="1"/>
  <c r="H23" i="1" s="1"/>
  <c r="M23" i="1" s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M21" i="1" s="1"/>
  <c r="D21" i="1"/>
  <c r="T21" i="1" s="1"/>
  <c r="L20" i="1"/>
  <c r="G20" i="1"/>
  <c r="E20" i="1"/>
  <c r="H20" i="1" s="1"/>
  <c r="D20" i="1"/>
  <c r="V20" i="1" s="1"/>
  <c r="L19" i="1"/>
  <c r="G19" i="1"/>
  <c r="E19" i="1"/>
  <c r="H19" i="1" s="1"/>
  <c r="M19" i="1" s="1"/>
  <c r="D19" i="1"/>
  <c r="T19" i="1" s="1"/>
  <c r="L18" i="1"/>
  <c r="G18" i="1"/>
  <c r="E18" i="1"/>
  <c r="H18" i="1" s="1"/>
  <c r="D18" i="1"/>
  <c r="V18" i="1" s="1"/>
  <c r="L17" i="1"/>
  <c r="G17" i="1"/>
  <c r="E17" i="1"/>
  <c r="H17" i="1" s="1"/>
  <c r="D17" i="1"/>
  <c r="T17" i="1" s="1"/>
  <c r="L16" i="1"/>
  <c r="G16" i="1"/>
  <c r="E16" i="1"/>
  <c r="H16" i="1" s="1"/>
  <c r="W16" i="1" s="1"/>
  <c r="D16" i="1"/>
  <c r="V16" i="1" s="1"/>
  <c r="L15" i="1"/>
  <c r="G15" i="1"/>
  <c r="E15" i="1"/>
  <c r="H15" i="1" s="1"/>
  <c r="D15" i="1"/>
  <c r="T15" i="1" s="1"/>
  <c r="P68" i="1" l="1"/>
  <c r="W68" i="1"/>
  <c r="O68" i="1"/>
  <c r="J68" i="1"/>
  <c r="N68" i="1"/>
  <c r="I68" i="1"/>
  <c r="M68" i="1"/>
  <c r="T68" i="1"/>
  <c r="M69" i="1"/>
  <c r="W69" i="1"/>
  <c r="O69" i="1"/>
  <c r="J69" i="1"/>
  <c r="N69" i="1"/>
  <c r="P67" i="1"/>
  <c r="M66" i="1"/>
  <c r="P65" i="1"/>
  <c r="P63" i="1"/>
  <c r="T63" i="1"/>
  <c r="T61" i="1"/>
  <c r="P61" i="1"/>
  <c r="M60" i="1"/>
  <c r="P59" i="1"/>
  <c r="P57" i="1"/>
  <c r="M56" i="1"/>
  <c r="P55" i="1"/>
  <c r="P53" i="1"/>
  <c r="P51" i="1"/>
  <c r="P49" i="1"/>
  <c r="M52" i="1"/>
  <c r="N52" i="1"/>
  <c r="I52" i="1"/>
  <c r="W52" i="1"/>
  <c r="O52" i="1"/>
  <c r="J52" i="1"/>
  <c r="W53" i="1"/>
  <c r="O53" i="1"/>
  <c r="J53" i="1"/>
  <c r="N53" i="1"/>
  <c r="I53" i="1"/>
  <c r="M53" i="1"/>
  <c r="W57" i="1"/>
  <c r="O57" i="1"/>
  <c r="J57" i="1"/>
  <c r="N57" i="1"/>
  <c r="I57" i="1"/>
  <c r="M57" i="1"/>
  <c r="W61" i="1"/>
  <c r="O61" i="1"/>
  <c r="J61" i="1"/>
  <c r="N61" i="1"/>
  <c r="I61" i="1"/>
  <c r="M61" i="1"/>
  <c r="W67" i="1"/>
  <c r="O67" i="1"/>
  <c r="J67" i="1"/>
  <c r="N67" i="1"/>
  <c r="I67" i="1"/>
  <c r="M67" i="1"/>
  <c r="W49" i="1"/>
  <c r="O49" i="1"/>
  <c r="J49" i="1"/>
  <c r="N49" i="1"/>
  <c r="I49" i="1"/>
  <c r="M49" i="1"/>
  <c r="W55" i="1"/>
  <c r="O55" i="1"/>
  <c r="J55" i="1"/>
  <c r="N55" i="1"/>
  <c r="I55" i="1"/>
  <c r="M55" i="1"/>
  <c r="W59" i="1"/>
  <c r="O59" i="1"/>
  <c r="J59" i="1"/>
  <c r="N59" i="1"/>
  <c r="I59" i="1"/>
  <c r="M59" i="1"/>
  <c r="W65" i="1"/>
  <c r="O65" i="1"/>
  <c r="J65" i="1"/>
  <c r="N65" i="1"/>
  <c r="I65" i="1"/>
  <c r="M65" i="1"/>
  <c r="W51" i="1"/>
  <c r="O51" i="1"/>
  <c r="J51" i="1"/>
  <c r="N51" i="1"/>
  <c r="I51" i="1"/>
  <c r="M51" i="1"/>
  <c r="W63" i="1"/>
  <c r="O63" i="1"/>
  <c r="J63" i="1"/>
  <c r="N63" i="1"/>
  <c r="I63" i="1"/>
  <c r="M63" i="1"/>
  <c r="I50" i="1"/>
  <c r="V50" i="1"/>
  <c r="V60" i="1"/>
  <c r="T49" i="1"/>
  <c r="J50" i="1"/>
  <c r="O50" i="1"/>
  <c r="W50" i="1"/>
  <c r="T51" i="1"/>
  <c r="T53" i="1"/>
  <c r="J54" i="1"/>
  <c r="O54" i="1"/>
  <c r="W54" i="1"/>
  <c r="T55" i="1"/>
  <c r="J56" i="1"/>
  <c r="O56" i="1"/>
  <c r="W56" i="1"/>
  <c r="T57" i="1"/>
  <c r="J58" i="1"/>
  <c r="O58" i="1"/>
  <c r="W58" i="1"/>
  <c r="T59" i="1"/>
  <c r="J60" i="1"/>
  <c r="O60" i="1"/>
  <c r="W60" i="1"/>
  <c r="J62" i="1"/>
  <c r="O62" i="1"/>
  <c r="W62" i="1"/>
  <c r="J64" i="1"/>
  <c r="O64" i="1"/>
  <c r="W64" i="1"/>
  <c r="T65" i="1"/>
  <c r="J66" i="1"/>
  <c r="O66" i="1"/>
  <c r="W66" i="1"/>
  <c r="T67" i="1"/>
  <c r="N50" i="1"/>
  <c r="V52" i="1"/>
  <c r="I56" i="1"/>
  <c r="V56" i="1"/>
  <c r="I58" i="1"/>
  <c r="I60" i="1"/>
  <c r="N62" i="1"/>
  <c r="N64" i="1"/>
  <c r="I66" i="1"/>
  <c r="P50" i="1"/>
  <c r="P52" i="1"/>
  <c r="P54" i="1"/>
  <c r="P56" i="1"/>
  <c r="P58" i="1"/>
  <c r="P60" i="1"/>
  <c r="P62" i="1"/>
  <c r="P64" i="1"/>
  <c r="P66" i="1"/>
  <c r="I54" i="1"/>
  <c r="N54" i="1"/>
  <c r="V54" i="1"/>
  <c r="N56" i="1"/>
  <c r="N58" i="1"/>
  <c r="V58" i="1"/>
  <c r="N60" i="1"/>
  <c r="I62" i="1"/>
  <c r="V62" i="1"/>
  <c r="I64" i="1"/>
  <c r="V64" i="1"/>
  <c r="N66" i="1"/>
  <c r="V66" i="1"/>
  <c r="P48" i="1"/>
  <c r="W48" i="1"/>
  <c r="T46" i="1"/>
  <c r="W46" i="1"/>
  <c r="P44" i="1"/>
  <c r="P42" i="1"/>
  <c r="P40" i="1"/>
  <c r="T40" i="1"/>
  <c r="W40" i="1"/>
  <c r="P38" i="1"/>
  <c r="T38" i="1"/>
  <c r="W38" i="1"/>
  <c r="P36" i="1"/>
  <c r="W34" i="1"/>
  <c r="P34" i="1"/>
  <c r="T34" i="1"/>
  <c r="W32" i="1"/>
  <c r="P30" i="1"/>
  <c r="T30" i="1"/>
  <c r="W30" i="1"/>
  <c r="P28" i="1"/>
  <c r="P26" i="1"/>
  <c r="P24" i="1"/>
  <c r="P22" i="1"/>
  <c r="P20" i="1"/>
  <c r="P18" i="1"/>
  <c r="T18" i="1"/>
  <c r="W18" i="1"/>
  <c r="P16" i="1"/>
  <c r="T16" i="1"/>
  <c r="M29" i="1"/>
  <c r="W29" i="1"/>
  <c r="O29" i="1"/>
  <c r="J29" i="1"/>
  <c r="N29" i="1"/>
  <c r="I29" i="1"/>
  <c r="M37" i="1"/>
  <c r="W37" i="1"/>
  <c r="O37" i="1"/>
  <c r="J37" i="1"/>
  <c r="N37" i="1"/>
  <c r="I37" i="1"/>
  <c r="M45" i="1"/>
  <c r="W45" i="1"/>
  <c r="O45" i="1"/>
  <c r="J45" i="1"/>
  <c r="N45" i="1"/>
  <c r="I45" i="1"/>
  <c r="M35" i="1"/>
  <c r="N35" i="1"/>
  <c r="I35" i="1"/>
  <c r="W35" i="1"/>
  <c r="O35" i="1"/>
  <c r="J35" i="1"/>
  <c r="M43" i="1"/>
  <c r="W43" i="1"/>
  <c r="O43" i="1"/>
  <c r="J43" i="1"/>
  <c r="N43" i="1"/>
  <c r="I43" i="1"/>
  <c r="M33" i="1"/>
  <c r="N33" i="1"/>
  <c r="W33" i="1"/>
  <c r="O33" i="1"/>
  <c r="J33" i="1"/>
  <c r="I33" i="1"/>
  <c r="M41" i="1"/>
  <c r="W41" i="1"/>
  <c r="O41" i="1"/>
  <c r="J41" i="1"/>
  <c r="N41" i="1"/>
  <c r="I41" i="1"/>
  <c r="M31" i="1"/>
  <c r="N31" i="1"/>
  <c r="I31" i="1"/>
  <c r="W31" i="1"/>
  <c r="O31" i="1"/>
  <c r="J31" i="1"/>
  <c r="M39" i="1"/>
  <c r="N39" i="1"/>
  <c r="W39" i="1"/>
  <c r="O39" i="1"/>
  <c r="J39" i="1"/>
  <c r="I39" i="1"/>
  <c r="M47" i="1"/>
  <c r="W47" i="1"/>
  <c r="O47" i="1"/>
  <c r="J47" i="1"/>
  <c r="N47" i="1"/>
  <c r="I47" i="1"/>
  <c r="V29" i="1"/>
  <c r="V33" i="1"/>
  <c r="V43" i="1"/>
  <c r="V45" i="1"/>
  <c r="V47" i="1"/>
  <c r="M30" i="1"/>
  <c r="M32" i="1"/>
  <c r="M34" i="1"/>
  <c r="M36" i="1"/>
  <c r="M38" i="1"/>
  <c r="M40" i="1"/>
  <c r="M42" i="1"/>
  <c r="M44" i="1"/>
  <c r="M46" i="1"/>
  <c r="M48" i="1"/>
  <c r="T48" i="1"/>
  <c r="V31" i="1"/>
  <c r="V35" i="1"/>
  <c r="V37" i="1"/>
  <c r="V39" i="1"/>
  <c r="N30" i="1"/>
  <c r="P31" i="1"/>
  <c r="I32" i="1"/>
  <c r="N32" i="1"/>
  <c r="P33" i="1"/>
  <c r="I34" i="1"/>
  <c r="N34" i="1"/>
  <c r="P35" i="1"/>
  <c r="I36" i="1"/>
  <c r="N36" i="1"/>
  <c r="P37" i="1"/>
  <c r="I38" i="1"/>
  <c r="N38" i="1"/>
  <c r="P39" i="1"/>
  <c r="I40" i="1"/>
  <c r="N40" i="1"/>
  <c r="P41" i="1"/>
  <c r="I42" i="1"/>
  <c r="N42" i="1"/>
  <c r="P43" i="1"/>
  <c r="I44" i="1"/>
  <c r="N44" i="1"/>
  <c r="P45" i="1"/>
  <c r="I46" i="1"/>
  <c r="N46" i="1"/>
  <c r="P47" i="1"/>
  <c r="I48" i="1"/>
  <c r="N48" i="1"/>
  <c r="V41" i="1"/>
  <c r="I23" i="1"/>
  <c r="P29" i="1"/>
  <c r="I30" i="1"/>
  <c r="J30" i="1"/>
  <c r="O30" i="1"/>
  <c r="J32" i="1"/>
  <c r="O32" i="1"/>
  <c r="J34" i="1"/>
  <c r="O34" i="1"/>
  <c r="J36" i="1"/>
  <c r="O36" i="1"/>
  <c r="J38" i="1"/>
  <c r="O38" i="1"/>
  <c r="J40" i="1"/>
  <c r="O40" i="1"/>
  <c r="J42" i="1"/>
  <c r="O42" i="1"/>
  <c r="J44" i="1"/>
  <c r="O44" i="1"/>
  <c r="J46" i="1"/>
  <c r="O46" i="1"/>
  <c r="J48" i="1"/>
  <c r="O48" i="1"/>
  <c r="W26" i="1"/>
  <c r="O26" i="1"/>
  <c r="J26" i="1"/>
  <c r="N26" i="1"/>
  <c r="I26" i="1"/>
  <c r="M26" i="1"/>
  <c r="W24" i="1"/>
  <c r="O24" i="1"/>
  <c r="J24" i="1"/>
  <c r="N24" i="1"/>
  <c r="I24" i="1"/>
  <c r="M24" i="1"/>
  <c r="W28" i="1"/>
  <c r="O28" i="1"/>
  <c r="J28" i="1"/>
  <c r="N28" i="1"/>
  <c r="I28" i="1"/>
  <c r="M28" i="1"/>
  <c r="W22" i="1"/>
  <c r="O22" i="1"/>
  <c r="J22" i="1"/>
  <c r="N22" i="1"/>
  <c r="I22" i="1"/>
  <c r="M22" i="1"/>
  <c r="W20" i="1"/>
  <c r="O20" i="1"/>
  <c r="J20" i="1"/>
  <c r="N20" i="1"/>
  <c r="I20" i="1"/>
  <c r="M20" i="1"/>
  <c r="I27" i="1"/>
  <c r="V27" i="1"/>
  <c r="J19" i="1"/>
  <c r="O19" i="1"/>
  <c r="W19" i="1"/>
  <c r="T20" i="1"/>
  <c r="J21" i="1"/>
  <c r="O21" i="1"/>
  <c r="W21" i="1"/>
  <c r="T22" i="1"/>
  <c r="J23" i="1"/>
  <c r="O23" i="1"/>
  <c r="W23" i="1"/>
  <c r="T24" i="1"/>
  <c r="J25" i="1"/>
  <c r="O25" i="1"/>
  <c r="W25" i="1"/>
  <c r="T26" i="1"/>
  <c r="J27" i="1"/>
  <c r="O27" i="1"/>
  <c r="W27" i="1"/>
  <c r="T28" i="1"/>
  <c r="I19" i="1"/>
  <c r="N19" i="1"/>
  <c r="V19" i="1"/>
  <c r="I21" i="1"/>
  <c r="N21" i="1"/>
  <c r="V21" i="1"/>
  <c r="N23" i="1"/>
  <c r="V23" i="1"/>
  <c r="I25" i="1"/>
  <c r="N25" i="1"/>
  <c r="V25" i="1"/>
  <c r="N27" i="1"/>
  <c r="P19" i="1"/>
  <c r="P21" i="1"/>
  <c r="P23" i="1"/>
  <c r="P25" i="1"/>
  <c r="P27" i="1"/>
  <c r="M17" i="1"/>
  <c r="W17" i="1"/>
  <c r="O17" i="1"/>
  <c r="J17" i="1"/>
  <c r="N17" i="1"/>
  <c r="I17" i="1"/>
  <c r="M15" i="1"/>
  <c r="W15" i="1"/>
  <c r="O15" i="1"/>
  <c r="J15" i="1"/>
  <c r="N15" i="1"/>
  <c r="I15" i="1"/>
  <c r="V15" i="1"/>
  <c r="V17" i="1"/>
  <c r="M16" i="1"/>
  <c r="M18" i="1"/>
  <c r="P15" i="1"/>
  <c r="I16" i="1"/>
  <c r="N16" i="1"/>
  <c r="P17" i="1"/>
  <c r="I18" i="1"/>
  <c r="N18" i="1"/>
  <c r="J16" i="1"/>
  <c r="O16" i="1"/>
  <c r="J18" i="1"/>
  <c r="O18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1" i="5"/>
  <c r="D21" i="5" s="1"/>
  <c r="C21" i="5"/>
  <c r="F21" i="5"/>
  <c r="E21" i="5" l="1"/>
  <c r="B7" i="5"/>
  <c r="B6" i="5"/>
  <c r="B2" i="5"/>
  <c r="G21" i="5" l="1"/>
  <c r="S21" i="5"/>
  <c r="U21" i="5"/>
  <c r="V21" i="5"/>
  <c r="I21" i="5"/>
  <c r="K21" i="5"/>
  <c r="T21" i="5"/>
  <c r="H21" i="5"/>
  <c r="B8" i="5"/>
  <c r="B3" i="5"/>
  <c r="L14" i="1"/>
  <c r="G14" i="1"/>
  <c r="F20" i="5" s="1"/>
  <c r="E14" i="1"/>
  <c r="H14" i="1" s="1"/>
  <c r="E20" i="5" s="1"/>
  <c r="D14" i="1"/>
  <c r="T14" i="1" s="1"/>
  <c r="G20" i="5" l="1"/>
  <c r="U20" i="5"/>
  <c r="V20" i="5"/>
  <c r="K20" i="5"/>
  <c r="I20" i="5"/>
  <c r="S20" i="5"/>
  <c r="T20" i="5"/>
  <c r="H20" i="5"/>
  <c r="L21" i="5"/>
  <c r="L20" i="5"/>
  <c r="M14" i="1"/>
  <c r="I14" i="1"/>
  <c r="N14" i="1"/>
  <c r="V14" i="1"/>
  <c r="J14" i="1"/>
  <c r="O14" i="1"/>
  <c r="W14" i="1"/>
  <c r="P14" i="1"/>
  <c r="B6" i="1" l="1"/>
  <c r="G13" i="1"/>
  <c r="F19" i="5" s="1"/>
  <c r="E13" i="1"/>
  <c r="H13" i="1" s="1"/>
  <c r="E19" i="5" s="1"/>
  <c r="D13" i="1"/>
  <c r="V13" i="1" s="1"/>
  <c r="G19" i="5" l="1"/>
  <c r="K19" i="5"/>
  <c r="T19" i="5"/>
  <c r="U19" i="5"/>
  <c r="V19" i="5"/>
  <c r="S19" i="5"/>
  <c r="I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7" i="5" l="1"/>
  <c r="S17" i="5"/>
  <c r="U17" i="5"/>
  <c r="V17" i="5"/>
  <c r="T17" i="5"/>
  <c r="I17" i="5"/>
  <c r="K17" i="5"/>
  <c r="H17" i="5"/>
  <c r="G18" i="5"/>
  <c r="T18" i="5"/>
  <c r="S18" i="5"/>
  <c r="K18" i="5"/>
  <c r="U18" i="5"/>
  <c r="I18" i="5"/>
  <c r="V18" i="5"/>
  <c r="H18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I15" i="5" l="1"/>
  <c r="S15" i="5"/>
  <c r="K15" i="5"/>
  <c r="U15" i="5"/>
  <c r="T15" i="5"/>
  <c r="H15" i="5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V16" i="5"/>
  <c r="K16" i="5"/>
  <c r="I16" i="5"/>
  <c r="G16" i="5"/>
  <c r="U16" i="5" s="1"/>
  <c r="S16" i="5"/>
  <c r="L16" i="5"/>
  <c r="P10" i="1"/>
  <c r="V10" i="1"/>
  <c r="W10" i="1"/>
  <c r="J10" i="1"/>
  <c r="I10" i="1"/>
  <c r="O10" i="1"/>
  <c r="N10" i="1"/>
  <c r="M10" i="1"/>
  <c r="V13" i="5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7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71" i="1"/>
  <c r="T7" i="1" l="1"/>
  <c r="W71" i="1"/>
  <c r="G6" i="1" l="1"/>
  <c r="L13" i="5"/>
  <c r="I13" i="5"/>
  <c r="K13" i="5"/>
  <c r="H13" i="5"/>
  <c r="S13" i="5"/>
  <c r="U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J71" i="1"/>
  <c r="I71" i="1"/>
  <c r="P71" i="1"/>
  <c r="O71" i="1"/>
  <c r="N71" i="1"/>
  <c r="Q7" i="1" l="1"/>
  <c r="M69" i="3" s="1"/>
  <c r="L7" i="1"/>
  <c r="G69" i="3" s="1"/>
  <c r="K69" i="3"/>
  <c r="J69" i="3"/>
  <c r="K71" i="1"/>
  <c r="M71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<sst xmlns="http://schemas.openxmlformats.org/spreadsheetml/2006/main" count="624" uniqueCount="442">
  <si>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</si>
  <si>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</si>
  <si>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</si>
  <si>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</si>
  <si>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</si>
  <si>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</si>
  <si>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</si>
  <si>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</si>
  <si>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</si>
  <si>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</si>
  <si>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</si>
  <si>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</si>
  <si>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</si>
  <si>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</si>
  <si>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</si>
  <si>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</si>
  <si>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</si>
  <si>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</si>
  <si>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</si>
  <si>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</si>
  <si>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</si>
  <si>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</si>
  <si>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</si>
  <si>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</si>
  <si>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</si>
  <si>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</si>
  <si>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</si>
  <si>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</si>
  <si>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</si>
  <si>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</si>
  <si>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</si>
  <si>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</si>
  <si>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</si>
  <si>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</si>
  <si>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</si>
  <si>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</si>
  <si>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</si>
  <si>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</si>
  <si>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</si>
  <si>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</si>
  <si>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</si>
  <si>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</si>
  <si>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</si>
  <si>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</si>
  <si>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</si>
  <si>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</si>
  <si>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</si>
  <si>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</si>
  <si>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</si>
  <si>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</si>
  <si>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</si>
  <si>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</si>
  <si>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</si>
  <si>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</si>
  <si>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</si>
  <si>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</si>
  <si>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</si>
  <si>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</si>
  <si>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</si>
  <si>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</si>
  <si>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</si>
  <si>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</si>
  <si>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</si>
  <si>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</si>
  <si>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</si>
  <si>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</si>
  <si>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</si>
  <si>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</si>
  <si>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</si>
  <si>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</si>
  <si>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</si>
  <si>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</si>
  <si>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</si>
  <si>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</si>
  <si>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</si>
  <si>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</si>
  <si>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</si>
  <si>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</si>
  <si>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</si>
  <si>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</si>
  <si>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</si>
  <si>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</si>
  <si>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</si>
  <si>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</si>
  <si>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</si>
  <si>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</si>
  <si>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</si>
  <si>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</si>
  <si>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</si>
  <si>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</si>
  <si>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</si>
  <si>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</si>
  <si>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</si>
  <si>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</si>
  <si>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</si>
  <si>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</si>
  <si>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</si>
  <si>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</si>
  <si>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</si>
  <si>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</si>
  <si>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</si>
  <si>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</si>
  <si>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</si>
  <si>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</si>
  <si>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</si>
  <si>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</si>
  <si>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</si>
  <si>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</si>
  <si>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</si>
  <si>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</si>
  <si>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</si>
  <si>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</si>
  <si>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</si>
  <si>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</si>
  <si>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</si>
  <si>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</si>
  <si>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</si>
  <si>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</si>
  <si>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</si>
  <si>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</si>
  <si>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</si>
  <si>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</si>
  <si>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</si>
  <si>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</si>
  <si>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</si>
  <si>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</si>
  <si>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</si>
  <si>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</si>
  <si>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</si>
  <si>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</si>
  <si>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</si>
  <si>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</si>
  <si>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</si>
  <si>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</si>
  <si>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</si>
  <si>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</si>
  <si>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</si>
  <si>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</si>
  <si>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</si>
  <si>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</si>
  <si>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</si>
  <si>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</si>
  <si>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</si>
  <si>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</si>
  <si>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</si>
  <si>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</si>
  <si>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</si>
  <si>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</si>
  <si>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</si>
  <si>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</si>
  <si>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</si>
  <si>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</si>
  <si>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</si>
  <si>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</si>
  <si>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</si>
  <si>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</si>
  <si>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</si>
  <si>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</si>
  <si>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</si>
  <si>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</si>
  <si>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</si>
  <si>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</si>
  <si>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</si>
  <si>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</si>
  <si>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</si>
  <si>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</si>
  <si>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</si>
  <si>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</si>
  <si>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</si>
  <si>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</si>
  <si>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</si>
  <si>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</si>
  <si>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</si>
  <si>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</si>
  <si>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</si>
  <si>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</si>
  <si>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</si>
  <si>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</si>
  <si>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</si>
  <si>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</si>
  <si>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</si>
  <si>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</si>
  <si>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</si>
  <si>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</si>
  <si>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</si>
  <si>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</si>
  <si>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</si>
  <si>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</si>
  <si>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</si>
  <si>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</si>
  <si>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</si>
  <si>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</si>
  <si>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</si>
  <si>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</si>
  <si>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</si>
  <si>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</si>
  <si>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</si>
  <si>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</si>
  <si>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</si>
  <si>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</si>
  <si>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</si>
  <si>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</si>
  <si>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</si>
  <si>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</si>
  <si>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</si>
  <si>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</si>
  <si>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</si>
  <si>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</si>
  <si>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</si>
  <si>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</si>
  <si>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</si>
  <si>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</si>
  <si>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</si>
  <si>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</si>
  <si>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</si>
  <si>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</si>
  <si>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</si>
  <si>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</si>
  <si>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</si>
  <si>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</si>
  <si>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</si>
  <si>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</si>
  <si>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</si>
  <si>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</si>
  <si>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</si>
  <si>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</si>
  <si>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</si>
  <si>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</si>
  <si>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</si>
  <si>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</si>
  <si>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</si>
  <si>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</si>
  <si>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</si>
  <si>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</si>
  <si>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</si>
  <si>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</si>
  <si>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</si>
  <si>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</si>
  <si>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</si>
  <si>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</si>
  <si>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</si>
  <si>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</si>
  <si>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</si>
  <si>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</si>
  <si>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</si>
  <si>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</si>
  <si>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</si>
  <si>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</si>
  <si>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</si>
  <si>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</si>
  <si>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</si>
  <si>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</si>
  <si>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</si>
  <si>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</si>
  <si>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</si>
  <si>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</si>
  <si>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</si>
  <si>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</si>
  <si>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</si>
  <si>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</si>
  <si>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</si>
  <si>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</si>
  <si>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</si>
  <si>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</si>
  <si>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</si>
  <si>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</si>
  <si>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</si>
  <si>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</si>
  <si>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</si>
  <si>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</si>
  <si>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</si>
  <si>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</si>
  <si>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</si>
  <si>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</si>
  <si>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</si>
  <si>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</si>
  <si>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</si>
  <si>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</si>
  <si>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</si>
  <si>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</si>
  <si>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</si>
  <si>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</si>
  <si>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</si>
  <si>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</si>
  <si>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</si>
  <si>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</si>
  <si>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</si>
  <si>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</si>
  <si>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</si>
  <si>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</si>
  <si>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</si>
  <si>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</si>
  <si>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</si>
  <si>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</si>
  <si>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</si>
  <si>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</si>
  <si>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</si>
  <si>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</si>
  <si>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</si>
  <si>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</si>
  <si>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</si>
  <si>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</si>
  <si>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</si>
  <si>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</si>
  <si>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</si>
  <si>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</si>
  <si>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</si>
  <si>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</si>
  <si>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</si>
  <si>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</si>
  <si>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</si>
  <si>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</si>
  <si>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</si>
  <si>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</si>
  <si>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</si>
  <si>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</si>
  <si>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</si>
  <si>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</si>
  <si>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</si>
  <si>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</si>
  <si>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</si>
  <si>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</si>
  <si>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</si>
  <si>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</si>
  <si>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</si>
  <si>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</si>
  <si>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</si>
  <si>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</si>
  <si>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</si>
  <si>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</si>
  <si>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</si>
  <si>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</si>
  <si>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</si>
  <si>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</si>
  <si>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</si>
  <si>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</si>
  <si>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</si>
  <si>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</si>
  <si>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</si>
  <si>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</si>
  <si>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</si>
  <si>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</si>
  <si>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</si>
  <si>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</si>
  <si>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</si>
  <si>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</si>
  <si>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</si>
  <si>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</si>
  <si>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</si>
  <si>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</si>
  <si>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</si>
  <si>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</si>
  <si>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</si>
  <si>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</si>
  <si>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</si>
  <si>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</si>
  <si>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SUPPLIER_ID</t>
  </si>
  <si>
    <t>PIC_NAME</t>
  </si>
  <si>
    <t>PIC_TELEPHONE</t>
  </si>
  <si>
    <t>PIC_EMAIL</t>
  </si>
  <si>
    <t>IS_MAIN_PIC</t>
  </si>
  <si>
    <t>varchar(1)</t>
  </si>
  <si>
    <t>IS_SEND_EMAIL</t>
  </si>
  <si>
    <t>Master.Inv</t>
  </si>
  <si>
    <t>MstInvGpsSupplierPic</t>
  </si>
  <si>
    <t>GpsSupplierPic</t>
  </si>
  <si>
    <t>CPS</t>
  </si>
  <si>
    <t>Cps</t>
  </si>
  <si>
    <t>InvCps</t>
  </si>
  <si>
    <t>DISCRIMINATION_SIGN</t>
  </si>
  <si>
    <t>ORDER_CYCLE</t>
  </si>
  <si>
    <t>varchar(5)</t>
  </si>
  <si>
    <t>varchar(10)</t>
  </si>
  <si>
    <t>varchar(2)</t>
  </si>
  <si>
    <t>PSC</t>
  </si>
  <si>
    <t>EDNO</t>
  </si>
  <si>
    <t>URN</t>
  </si>
  <si>
    <t>PRODUCTION_SFX</t>
  </si>
  <si>
    <t>EXPORT_TYPE</t>
  </si>
  <si>
    <t>ID_LINE_CODE</t>
  </si>
  <si>
    <t>PRODUCTION_YEAR</t>
  </si>
  <si>
    <t>PRODUCTION_MONTH</t>
  </si>
  <si>
    <t>PRODUCTION_WEEK</t>
  </si>
  <si>
    <t>PRODUCTION_DAY</t>
  </si>
  <si>
    <t>FRAME_TYPE_CODE</t>
  </si>
  <si>
    <t>VIN</t>
  </si>
  <si>
    <t>WMI</t>
  </si>
  <si>
    <t>VDS</t>
  </si>
  <si>
    <t>MODEL_YEAR_CODE</t>
  </si>
  <si>
    <t>VIN_TYPE</t>
  </si>
  <si>
    <t>STAMP_MODEL_CODE</t>
  </si>
  <si>
    <t>FRAME_SEQUENCE_NUMBER_DIGITS</t>
  </si>
  <si>
    <t>SPEC_SHEET_NUMBER</t>
  </si>
  <si>
    <t>KATASHIKI_CODE</t>
  </si>
  <si>
    <t>DISPLAY_KATASHIKI</t>
  </si>
  <si>
    <t>CTL_KATASHIKI</t>
  </si>
  <si>
    <t>LINE_OFF_KATASHIKI_CODE</t>
  </si>
  <si>
    <t>LINE_OFF_KATASHIKI</t>
  </si>
  <si>
    <t>EXTERIOR_CODE</t>
  </si>
  <si>
    <t>INTERIOR_CODE</t>
  </si>
  <si>
    <t>PRODUCTION_SPEC</t>
  </si>
  <si>
    <t>CAR_FAMILY_CODE</t>
  </si>
  <si>
    <t>DESTINATION_COUNTRY_CODE</t>
  </si>
  <si>
    <t>DESTINATION_COUNTRY_NAME</t>
  </si>
  <si>
    <t>KD_LOT_CODE</t>
  </si>
  <si>
    <t>KD_LOT_NO</t>
  </si>
  <si>
    <t>KD_SUB_TYPE</t>
  </si>
  <si>
    <t>PAMS_LOT_SFX</t>
  </si>
  <si>
    <t>ENGINE_BASIC_KATASHIKI</t>
  </si>
  <si>
    <t>MOTOR_BASIC_KATASHIKI</t>
  </si>
  <si>
    <t>PRODUCTION_LOT_SIZE</t>
  </si>
  <si>
    <t>MAKER_CODE</t>
  </si>
  <si>
    <t>PACKING_YEAR_MONTH</t>
  </si>
  <si>
    <t>VEHICLE_NAME_CODE</t>
  </si>
  <si>
    <t>PACKING_STYLE</t>
  </si>
  <si>
    <t>DESTINATION_DESTINCTION</t>
  </si>
  <si>
    <t>DESTINATION_DETAILS</t>
  </si>
  <si>
    <t>GOVERNMENT_APPROVAL</t>
  </si>
  <si>
    <t>VAR1</t>
  </si>
  <si>
    <t>SPEC_TYPE</t>
  </si>
  <si>
    <t>PLANT_CODE</t>
  </si>
  <si>
    <t>SPECIAL_SIGN</t>
  </si>
  <si>
    <t>UNIT_TYPE</t>
  </si>
  <si>
    <t>SECOND_ASSEMBLY_LINE</t>
  </si>
  <si>
    <t>SECOND_ASSEMBLY_VEHICLE_TYPE</t>
  </si>
  <si>
    <t>OFF_OPTION_TYPE</t>
  </si>
  <si>
    <t>PRODUCTION_REQUEST_YEAR_MONTH</t>
  </si>
  <si>
    <t>DISTRIBUTER_CODE</t>
  </si>
  <si>
    <t>SALES_SFX</t>
  </si>
  <si>
    <t>IMPORT_DUTY_EXEMPTION</t>
  </si>
  <si>
    <t>ORDER_NO</t>
  </si>
  <si>
    <t>TYPE_APPROVAL_NUMBER</t>
  </si>
  <si>
    <t>varchar(41)</t>
  </si>
  <si>
    <t>varchar(21)</t>
  </si>
  <si>
    <t>varchar(12)</t>
  </si>
  <si>
    <t>varchar(4)</t>
  </si>
  <si>
    <t>varchar(3)</t>
  </si>
  <si>
    <t>varchar(6)</t>
  </si>
  <si>
    <t>varchar(9)</t>
  </si>
  <si>
    <t>varchar(20)</t>
  </si>
  <si>
    <t>varchar(200)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</si>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</sst>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26" zoomScaleNormal="100" workbookViewId="0">
      <selection activeCell="E51" sqref="E5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  <c r="D51" t="s">
        <v>366</v>
      </c>
      <c r="F51" s="1" t="s">
        <v>367</v>
      </c>
      <c r="G51" t="s">
        <v>368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e">
        <f ca="1">A.Backend!J7</f>
        <v>#NAME?</v>
      </c>
      <c r="D69" s="48" t="str">
        <f>A.Backend!O7</f>
        <v xml:space="preserve">		public const string Pages_Master_Inv_GpsSupplierPic = "Pages.Master.Inv.GpsSupplierPic";
		public const string Pages_Master_Inv_GpsSupplierPic_CreateEdit = "Pages.Master.Inv.GpsSupplierPic.CreateEdit";
		public const string Pages_Master_Inv_GpsSupplierPic_Delete = "Pages.Master.Inv.GpsSupplierPic.Delete";
</v>
      </c>
      <c r="E69" s="48" t="str">
        <f>A.Backend!N7</f>
        <v xml:space="preserve">		var perMstInvGpsSupplierPic = PARENTS.CreateChildPermission(AppPermissions.Pages_Master_Inv_GpsSupplierPic, L( "MasterInvGpsSupplierPic"), multiTenancySides: MultiTenancySides.Tenant);
		perMstInvGpsSupplierPic.CreateChildPermission(AppPermissions.Pages_Master_Inv_GpsSupplierPic_CreateEdit, L( "MasterInvGpsSupplierPicCreateEdit"), multiTenancySides: MultiTenancySides.Tenant);
		perMstInvGpsSupplierPic.CreateChildPermission(AppPermissions.Pages_Master_Inv_GpsSupplierPic_Delete, L( "MasterInvGpsSupplierPicDelete"), multiTenancySides: MultiTenancySides.Tenant);</v>
      </c>
      <c r="F69" s="48" t="str">
        <f>A.Backend!K7</f>
        <v>public virtual DbSet&lt;MstInvGpsSupplierPic&gt; MstInvGpsSupplierPics { get; set; }</v>
      </c>
      <c r="G69" s="48" t="e">
        <f ca="1">A.Backend!L7</f>
        <v>#NAME?</v>
      </c>
      <c r="H69" s="48" t="e">
        <f ca="1">A.Backend!M7</f>
        <v>#NAME?</v>
      </c>
      <c r="I69" s="48" t="e">
        <f ca="1">A.Backend!R7</f>
        <v>#NAME?</v>
      </c>
      <c r="J69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IMstInvGpsSupplierPicAppService : IApplicationService
	{
		Task&lt;PagedResultDto&lt;MstInvGpsSupplierPicDto&gt;&gt; GetAll(GetMstInvGpsSupplierPicInput input);
		Task CreateOrEdit(CreateOrEditMstInvGpsSupplierPicDto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IMstInvGpsSupplierPicExcelExporter : IApplicationService
	{
		FileDto ExportToFile(List&lt;MstInvGpsSupplierPicDto&gt; mstinvgpssupplierpic);
	}
}
</v>
      </c>
      <c r="L69" s="48" t="e">
        <f ca="1">A.Backend!T7</f>
        <v>#NAME?</v>
      </c>
      <c r="M69" s="55" t="e">
        <f ca="1">A.Backend!Q7</f>
        <v>#NAME?</v>
      </c>
      <c r="N69" s="58" t="str">
        <f>A.Backend!U7</f>
        <v xml:space="preserve">  configuration.CreateMap&lt;MstInvGpsSupplierPicDto, MstInvGpsSupplierPic&gt;();
  configuration.CreateMap&lt;MstInvGpsSupplierPic, MstInvGpsSupplierPicDto&gt;();
  configuration.CreateMap&lt;CreateOrEditMstInvGpsSupplierPicDto, MstInvGpsSupplierPic&gt;();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gpssupplierpic</v>
      </c>
      <c r="C74" s="66" t="str">
        <f>"create folder " &amp;B74</f>
        <v>create folder gpssupplierpic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gpssupplierpic.component.ts</v>
      </c>
      <c r="D75" s="28" t="str">
        <f>B.Frontend!I14</f>
        <v>gpssupplierpic.component.html</v>
      </c>
      <c r="E75" s="28" t="str">
        <f>B.Frontend!J14</f>
        <v>gpssupplierpic.component.less</v>
      </c>
      <c r="F75" s="28" t="str">
        <f>B.Frontend!K14</f>
        <v>create-or-edit-gpssupplierpic-modal.component.html</v>
      </c>
      <c r="G75" s="28" t="str">
        <f>B.Frontend!L14</f>
        <v>create-or-edit-gpssupplierpic-modal.component.ts</v>
      </c>
      <c r="H75" s="28" t="str">
        <f>B.Frontend!M14</f>
        <v>create-or-edit-gpssupplierpic-modal.component.less</v>
      </c>
      <c r="I75" s="28" t="str">
        <f>B.Frontend!N14</f>
        <v>gpssupplierpic.module.ts</v>
      </c>
      <c r="J75" s="28" t="str">
        <f>B.Frontend!O14</f>
        <v>gpssupplierpic-routing.module.ts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e">
        <f ca="1">B.Frontend!H10</f>
        <v>#NAME?</v>
      </c>
      <c r="D76" s="46" t="e">
        <f ca="1">B.Frontend!I10</f>
        <v>#NAME?</v>
      </c>
      <c r="E76" s="46" t="str">
        <f>B.Frontend!J10</f>
        <v>.input-search{
    width: 250px;
    border-radius: 10px;
    margin-left: 10px;
}
.btn-search{
    width: 50px;
    margin-left: 10px;
}</v>
      </c>
      <c r="F76" s="46" t="e">
        <f ca="1">B.Frontend!K10</f>
        <v>#NAME?</v>
      </c>
      <c r="G76" s="46" t="e">
        <f ca="1">B.Frontend!L10</f>
        <v>#NAME?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GpsSupplierPicRoutingModule } from './gpssupplierpic-routing.module';
import { GpsSupplierPicComponent } from './gpssupplierpic.component';
import { CreateOrEditGpsSupplierPicModalComponent } from './create-or-edit-gpssupplierpic-modal.component';
@NgModule({
    declarations: [
       GpsSupplierPicComponent, 
        CreateOrEditGpsSupplierPicModalComponent
    ],
    imports: [
        AppSharedModule, GpsSupplierPicRoutingModule]
})
export class GpsSupplierPicModule {}</v>
      </c>
      <c r="J76" s="46" t="str">
        <f>B.Frontend!O10</f>
        <v>import {NgModule} from '@angular/core';
import {RouterModule, Routes} from '@angular/router';
import { GpsSupplierPicComponent } from './gpssupplierpic.component';
const routes: Routes = [{
    path: '',
    component: GpsSupplierPicComponent,
    pathMatch: 'full'
}];
@NgModule({
    imports: [RouterModule.forChild(routes)],
    exports: [RouterModule],
})
export class GpsSupplierPicRoutingModule {}</v>
      </c>
      <c r="K76" s="46" t="str">
        <f>B.Frontend!P10</f>
        <v xml:space="preserve"> new AppMenuItem("GpsSupplierPic", "Pages.Master.Inv.GpsSupplierPic", "flaticon-book",   "/app/main/master/inv/gpssupplierpic"),</v>
      </c>
      <c r="L76" s="47" t="str">
        <f>B.Frontend!Q10</f>
        <v>{
    path: 'master/inv/gpssupplierpic',
    loadChildren: () =&gt; import('./master/inv/gpssupplierpic/gpssupplierpic.module').then(m =&gt; m.GpsSupplierPicModule),
    data: { permission: 'Pages.Master.Inv.GpsSupplierPic' }
},</v>
      </c>
      <c r="M76" s="45" t="str">
        <f>B.Frontend!R10</f>
        <v>ApiServiceProxies.MstInvGpsSupplierPicServiceProxy,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71"/>
  <sheetViews>
    <sheetView tabSelected="1" topLeftCell="A4" workbookViewId="0">
      <pane xSplit="1" topLeftCell="B1" activePane="topRight" state="frozen"/>
      <selection pane="topRight" activeCell="C66" sqref="C66"/>
    </sheetView>
  </sheetViews>
  <sheetFormatPr defaultColWidth="9.140625" defaultRowHeight="15" x14ac:dyDescent="0.25"/>
  <cols>
    <col min="1" max="1" width="35.85546875" style="7" bestFit="1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50.5703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363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364</v>
      </c>
      <c r="C3" s="9" t="s">
        <v>40</v>
      </c>
      <c r="D3" s="9" t="s">
        <v>41</v>
      </c>
      <c r="E3" s="9" t="s">
        <v>36</v>
      </c>
      <c r="F3" s="10" t="str">
        <f>"J"&amp;COUNTA($A:$A)</f>
        <v>J69</v>
      </c>
      <c r="G3" s="4" t="s">
        <v>53</v>
      </c>
      <c r="H3" s="9" t="str">
        <f>"I"&amp;COUNTA($A:$A)</f>
        <v>I69</v>
      </c>
      <c r="I3" s="9" t="str">
        <f>REPT(CHAR(9),2)&amp;"[Required]"&amp;"
"</f>
        <v xml:space="preserve">		[Required]
</v>
      </c>
      <c r="J3" s="10" t="str">
        <f>"L"&amp;COUNTA($A:$A)</f>
        <v>L69</v>
      </c>
      <c r="K3" s="5" t="s">
        <v>52</v>
      </c>
      <c r="L3" s="10" t="str">
        <f>"M"&amp;COUNTA($A:$A)</f>
        <v>M69</v>
      </c>
      <c r="M3" s="10" t="str">
        <f>"N"&amp;COUNTA($A:$A)</f>
        <v>N69</v>
      </c>
      <c r="N3" s="10" t="str">
        <f>"O"&amp;COUNTA($A:$A)</f>
        <v>O69</v>
      </c>
      <c r="O3" s="10" t="str">
        <f>"P"&amp;COUNTA($A:$A)</f>
        <v>P69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MstInvGpsSupplierPicExportInput{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T69</v>
      </c>
      <c r="V3" s="10" t="str">
        <f>"V"&amp;COUNTA($A:$A)</f>
        <v>V69</v>
      </c>
      <c r="W3" s="9" t="str">
        <f>"W"&amp;COUNTA($A:$A)</f>
        <v>W69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MstInvGpsSupplierPic: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MstInvGpsSupplierPicConsts	
	{
</v>
      </c>
      <c r="F6" s="10" t="str">
        <f>REPT(CHAR(9),1)&amp;"public class "&amp;B3&amp;"Dto"&amp;K3&amp;REPT(CHAR(9),1)&amp;"
"&amp;REPT(CHAR(9),1)&amp;C3</f>
        <v xml:space="preserve">	public class MstInvGpsSupplierPicDto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CreateOrEditMstInvGpsSupplierPicDto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GetMstInvGpsSupplierPicInput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MstInvGpsSupplierPic</v>
      </c>
      <c r="C7" s="10" t="str">
        <f>REPT(CHAR(9),1)&amp;"[Table("""&amp;B7&amp;""")]"&amp;"
"</f>
        <v xml:space="preserve">	[Table("MstInvGpsSupplierPic")]
</v>
      </c>
      <c r="D7" s="10"/>
      <c r="E7" s="10"/>
      <c r="F7" s="10"/>
      <c r="G7" s="10"/>
      <c r="H7" s="10"/>
      <c r="I7" s="10"/>
      <c r="J7" t="e">
        <f ca="1">SUBSTITUTE(SUBSTITUTE((B1&amp;C6&amp;C7&amp;K71&amp;D6&amp;I71&amp;E3&amp;J71&amp;""&amp;REPT(CHAR(9),1)&amp;D3&amp;D3),"WorkingPattern",$Q$3),"Master",$B$4)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DbSet&lt;MstInvGpsSupplierPic&gt; MstInvGpsSupplierPics { get; set; }</v>
      </c>
      <c r="L7" t="e">
        <f ca="1">SUBSTITUTE(SUBSTITUTE((C6&amp;E6&amp;I71&amp;"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"&amp;B6&amp;".Dto"&amp;E3&amp;C3&amp;F6&amp;M71&amp;E3&amp;REPT(CHAR(9),1)&amp;D3&amp;G6&amp;N71&amp;REPT(CHAR(9),1)&amp;D3&amp;H6&amp;O71&amp;"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perMstInvGpsSupplierPic = PARENTS.CreateChildPermission(AppPermissions.Pages_Master_Inv_GpsSupplierPic, L( "MasterInvGpsSupplierPic"), multiTenancySides: MultiTenancySides.Tenant);
		perMstInvGpsSupplierPic.CreateChildPermission(AppPermissions.Pages_Master_Inv_GpsSupplierPic_CreateEdit, L( "MasterInvGpsSupplierPicCreateEdit"), multiTenancySides: MultiTenancySides.Tenant);
		perMstInvGpsSupplierPic.CreateChildPermission(AppPermissions.Pages_Master_Inv_GpsSupplierPic_Delete, L( "MasterInvGpsSupplierPicDelete"),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Pages_Master_Inv_GpsSupplierPic = "Pages.Master.Inv.GpsSupplierPic";
		public const string Pages_Master_Inv_GpsSupplierPic_CreateEdit = "Pages.Master.Inv.GpsSupplierPic.CreateEdit";
		public const string Pages_Master_Inv_GpsSupplierPic_Delete = "Pages.Master.Inv.GpsSupplierPic.Delete";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IMstInvGpsSupplierPicAppService : IApplicationService
	{
		Task&lt;PagedResultDto&lt;MstInvGpsSupplierPicDto&gt;&gt; GetAll(GetMstInvGpsSupplierPicInput input);
		Task CreateOrEdit(CreateOrEditMstInvGpsSupplierPicDto input);
		Task Delete(EntityDto input);
	}
}
</v>
      </c>
      <c r="Q7" t="e">
        <f ca="1">SUBSTITUTE(SUBSTITUTE(SUBSTITUTE(SUBSTITUTE(SUBSTITUTE(SUBSTITUTE(E1,"MstWptCalendar",$B$3),"&lt;PROPERTIES&gt;",P71),"Calendar",$B$5),"WorkingPattern",$Q$3),"Master",$B$4),"&lt;PARAMS_SEARCH&gt;",$W$71)</f>
        <v>#NAME?</v>
      </c>
      <c r="R7" t="e">
        <f ca="1">SUBSTITUTE(SUBSTITUTE((C1&amp;"namespace "&amp;B6&amp;".Dto"&amp;E3&amp;C3&amp;R3&amp;M71&amp;E3&amp;REPT(CHAR(9),1)&amp;D3&amp;D3),"WorkingPattern",$Q$3),"Master",$B$4)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IMstInvGpsSupplierPicExcelExporter : IApplicationService
	{
		FileDto ExportToFile(List&lt;MstInvGpsSupplierPicDto&gt; mstinvgpssupplierpic);
	}
}
</v>
      </c>
      <c r="T7" s="26" t="e">
        <f ca="1">SUBSTITUTE(SUBSTITUTE(SUBSTITUTE(SUBSTITUTE(SUBSTITUTE(SUBSTITUTE(SUBSTITUTE(T1,"MstWptCalendar",$B$3),"&lt;PROPERTIES1&gt;",V71),"&lt;PROPERTIES&gt;",T71),"Calendar",$B$5),"calendar",LOWER(B5)),"WorkingPattern",$Q$3),"Master",$B$4)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configuration.CreateMap&lt;MstInvGpsSupplierPicDto, MstInvGpsSupplierPic&gt;();
  configuration.CreateMap&lt;MstInvGpsSupplierPic, MstInvGpsSupplierPicDto&gt;();
  configuration.CreateMap&lt;CreateOrEditMstInvGpsSupplierPicDto, MstInvGpsSupplierPic&gt;();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369</v>
      </c>
      <c r="B9" s="28" t="s">
        <v>361</v>
      </c>
      <c r="C9" t="s">
        <v>1</v>
      </c>
      <c r="D9" t="str">
        <f t="shared" ref="D9" si="0">SUBSTITUTE(PROPER(A9),"_","")</f>
        <v>DiscriminationSign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MaxDiscriminationSignLength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[StringLength(MaxDiscriminationSignLength)]
		public virtual string DiscriminationSign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DiscriminationSign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[StringLength(MstInvGpsSupplierPicConsts.MaxDiscriminationSignLength)]
		public virtual string DiscriminationSign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DiscriminationSign { get; set; }
</v>
      </c>
      <c r="P9" t="str">
        <f t="shared" ref="P9" si="9">REPT(CHAR(9),7)&amp;D9&amp;" = o." &amp;D9 &amp;","</f>
        <v xml:space="preserve">							DiscriminationSign = o.DiscriminationSign,</v>
      </c>
      <c r="T9" s="63" t="str">
        <f t="shared" ref="T9" si="10">REPT(CHAR(9),8)&amp;"("""&amp;D9&amp;"""),"</f>
        <v xml:space="preserve">								("DiscriminationSign"),</v>
      </c>
      <c r="V9" s="64" t="str">
        <f t="shared" ref="V9" si="11">REPT(CHAR(9),8)&amp;"_ =&gt; _."&amp;D9&amp;","</f>
        <v xml:space="preserve">								_ =&gt; _.DiscriminationSign,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.WhereIf(!string.IsNullOrWhiteSpace(input.DiscriminationSign), e =&gt; e.DiscriminationSign.Contains(input.DiscriminationSign))</v>
      </c>
    </row>
    <row r="10" spans="1:23" customFormat="1" ht="18.75" customHeight="1" x14ac:dyDescent="0.25">
      <c r="A10" s="28" t="s">
        <v>370</v>
      </c>
      <c r="B10" s="28" t="s">
        <v>361</v>
      </c>
      <c r="C10" t="s">
        <v>1</v>
      </c>
      <c r="D10" t="str">
        <f t="shared" ref="D10:D11" si="13">SUBSTITUTE(PROPER(A10),"_","")</f>
        <v>OrderCycle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MaxOrderCycleLength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[StringLength(MaxOrderCycleLength)]
		public virtual string OrderCycle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OrderCycle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[StringLength(MstInvGpsSupplierPicConsts.MaxOrderCycleLength)]
		public virtual string OrderCycle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OrderCycle { get; set; }
</v>
      </c>
      <c r="P10" t="str">
        <f t="shared" ref="P10:P11" si="22">REPT(CHAR(9),7)&amp;D10&amp;" = o." &amp;D10 &amp;","</f>
        <v xml:space="preserve">							OrderCycle = o.OrderCycle,</v>
      </c>
      <c r="T10" s="63" t="str">
        <f t="shared" ref="T10:T11" si="23">REPT(CHAR(9),8)&amp;"("""&amp;D10&amp;"""),"</f>
        <v xml:space="preserve">								("OrderCycle"),</v>
      </c>
      <c r="V10" s="64" t="str">
        <f t="shared" ref="V10:V11" si="24">REPT(CHAR(9),8)&amp;"_ =&gt; _."&amp;D10&amp;","</f>
        <v xml:space="preserve">								_ =&gt; _.OrderCycle,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.WhereIf(!string.IsNullOrWhiteSpace(input.OrderCycle), e =&gt; e.OrderCycle.Contains(input.OrderCycle))</v>
      </c>
    </row>
    <row r="11" spans="1:23" customFormat="1" ht="18.75" customHeight="1" x14ac:dyDescent="0.25">
      <c r="A11" s="28" t="s">
        <v>374</v>
      </c>
      <c r="B11" s="28" t="s">
        <v>361</v>
      </c>
      <c r="C11" t="s">
        <v>1</v>
      </c>
      <c r="D11" t="str">
        <f t="shared" si="13"/>
        <v>Psc</v>
      </c>
      <c r="E11" t="str">
        <f t="shared" si="14"/>
        <v>varchar</v>
      </c>
      <c r="F11" s="6"/>
      <c r="G11" t="str">
        <f t="shared" si="15"/>
        <v>1</v>
      </c>
      <c r="H11" t="str">
        <f>+VLOOKUP(E11,'Data Type Mapping'!A:B,2,)</f>
        <v>string</v>
      </c>
      <c r="I11" t="str">
        <f t="shared" si="16"/>
        <v xml:space="preserve">		public const int MaxPscLength = 1;
</v>
      </c>
      <c r="J11" t="str">
        <f t="shared" si="17"/>
        <v xml:space="preserve">		[StringLength(MaxPscLength)]
		public virtual string Psc { get; set; }
</v>
      </c>
      <c r="K11" s="6"/>
      <c r="L11" t="str">
        <f t="shared" si="18"/>
        <v/>
      </c>
      <c r="M11" t="str">
        <f t="shared" si="19"/>
        <v xml:space="preserve">		public virtual string Psc { get; set; }
</v>
      </c>
      <c r="N11" t="str">
        <f t="shared" si="20"/>
        <v xml:space="preserve">		[StringLength(MstInvGpsSupplierPicConsts.MaxPscLength)]
		public virtual string Psc { get; set; }
</v>
      </c>
      <c r="O11" t="str">
        <f t="shared" si="21"/>
        <v xml:space="preserve">		public virtual string Psc { get; set; }
</v>
      </c>
      <c r="P11" t="str">
        <f t="shared" si="22"/>
        <v xml:space="preserve">							Psc = o.Psc,</v>
      </c>
      <c r="T11" s="63" t="str">
        <f t="shared" si="23"/>
        <v xml:space="preserve">								("Psc"),</v>
      </c>
      <c r="V11" s="64" t="str">
        <f t="shared" si="24"/>
        <v xml:space="preserve">								_ =&gt; _.Psc,</v>
      </c>
      <c r="W11" s="63" t="str">
        <f t="shared" si="25"/>
        <v xml:space="preserve">				.WhereIf(!string.IsNullOrWhiteSpace(input.Psc), e =&gt; e.Psc.Contains(input.Psc))</v>
      </c>
    </row>
    <row r="12" spans="1:23" customFormat="1" ht="18.75" customHeight="1" x14ac:dyDescent="0.25">
      <c r="A12" s="28" t="s">
        <v>375</v>
      </c>
      <c r="B12" s="28" t="s">
        <v>371</v>
      </c>
      <c r="C12" t="s">
        <v>1</v>
      </c>
      <c r="D12" t="str">
        <f t="shared" ref="D12:D13" si="26">SUBSTITUTE(PROPER(A12),"_","")</f>
        <v>Edno</v>
      </c>
      <c r="E12" t="str">
        <f t="shared" ref="E12:E13" si="27">IFERROR(LEFT(B12, FIND("(",B12)-1),B12)</f>
        <v>varchar</v>
      </c>
      <c r="F12" s="6"/>
      <c r="G12" t="str">
        <f t="shared" ref="G12:G13" si="28">IFERROR(MID(B12,FIND("(",B12) +1, FIND(")",B12) - FIND("(",B12) - 1),"")</f>
        <v>5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MaxEdnoLength = 5;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[StringLength(MaxEdnoLength)]
		public virtual string Edno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Edno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[StringLength(MstInvGpsSupplierPicConsts.MaxEdnoLength)]
		public virtual string Edno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Edno { get; set; }
</v>
      </c>
      <c r="P12" t="str">
        <f t="shared" ref="P12:P13" si="35">REPT(CHAR(9),7)&amp;D12&amp;" = o." &amp;D12 &amp;","</f>
        <v xml:space="preserve">							Edno = o.Edno,</v>
      </c>
      <c r="T12" s="63" t="str">
        <f t="shared" ref="T12:T13" si="36">REPT(CHAR(9),8)&amp;"("""&amp;D12&amp;"""),"</f>
        <v xml:space="preserve">								("Edno"),</v>
      </c>
      <c r="V12" s="64" t="str">
        <f t="shared" ref="V12:V13" si="37">REPT(CHAR(9),8)&amp;"_ =&gt; _."&amp;D12&amp;","</f>
        <v xml:space="preserve">								_ =&gt; _.Edno,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.WhereIf(!string.IsNullOrWhiteSpace(input.Edno), e =&gt; e.Edno.Contains(input.Edno))</v>
      </c>
    </row>
    <row r="13" spans="1:23" customFormat="1" ht="18.75" customHeight="1" x14ac:dyDescent="0.25">
      <c r="A13" s="28" t="s">
        <v>376</v>
      </c>
      <c r="B13" s="28" t="s">
        <v>372</v>
      </c>
      <c r="C13" t="s">
        <v>1</v>
      </c>
      <c r="D13" t="str">
        <f t="shared" si="26"/>
        <v>Urn</v>
      </c>
      <c r="E13" t="str">
        <f t="shared" si="27"/>
        <v>varchar</v>
      </c>
      <c r="F13" s="6"/>
      <c r="G13" t="str">
        <f t="shared" si="28"/>
        <v>10</v>
      </c>
      <c r="H13" t="str">
        <f>+VLOOKUP(E13,'Data Type Mapping'!A:B,2,)</f>
        <v>string</v>
      </c>
      <c r="I13" t="str">
        <f t="shared" si="29"/>
        <v xml:space="preserve">		public const int MaxUrnLength = 10;
</v>
      </c>
      <c r="J13" t="str">
        <f t="shared" si="30"/>
        <v xml:space="preserve">		[StringLength(MaxUrnLength)]
		public virtual string Urn { get; set; }
</v>
      </c>
      <c r="K13" s="6"/>
      <c r="L13" t="str">
        <f t="shared" si="31"/>
        <v/>
      </c>
      <c r="M13" t="str">
        <f t="shared" si="32"/>
        <v xml:space="preserve">		public virtual string Urn { get; set; }
</v>
      </c>
      <c r="N13" t="str">
        <f t="shared" si="33"/>
        <v xml:space="preserve">		[StringLength(MstInvGpsSupplierPicConsts.MaxUrnLength)]
		public virtual string Urn { get; set; }
</v>
      </c>
      <c r="O13" t="str">
        <f t="shared" si="34"/>
        <v xml:space="preserve">		public virtual string Urn { get; set; }
</v>
      </c>
      <c r="P13" t="str">
        <f t="shared" si="35"/>
        <v xml:space="preserve">							Urn = o.Urn,</v>
      </c>
      <c r="T13" s="63" t="str">
        <f t="shared" si="36"/>
        <v xml:space="preserve">								("Urn"),</v>
      </c>
      <c r="V13" s="64" t="str">
        <f t="shared" si="37"/>
        <v xml:space="preserve">								_ =&gt; _.Urn,</v>
      </c>
      <c r="W13" s="63" t="str">
        <f t="shared" si="38"/>
        <v xml:space="preserve">				.WhereIf(!string.IsNullOrWhiteSpace(input.Urn), e =&gt; e.Urn.Contains(input.Urn))</v>
      </c>
    </row>
    <row r="14" spans="1:23" customFormat="1" ht="18.75" customHeight="1" x14ac:dyDescent="0.25">
      <c r="A14" s="28" t="s">
        <v>377</v>
      </c>
      <c r="B14" s="28" t="s">
        <v>373</v>
      </c>
      <c r="C14" t="s">
        <v>1</v>
      </c>
      <c r="D14" t="str">
        <f t="shared" ref="D14:D17" si="39">SUBSTITUTE(PROPER(A14),"_","")</f>
        <v>ProductionSfx</v>
      </c>
      <c r="E14" t="str">
        <f t="shared" ref="E14:E17" si="40">IFERROR(LEFT(B14, FIND("(",B14)-1),B14)</f>
        <v>varchar</v>
      </c>
      <c r="F14" s="6"/>
      <c r="G14" t="str">
        <f t="shared" ref="G14:G17" si="41">IFERROR(MID(B14,FIND("(",B14) +1, FIND(")",B14) - FIND("(",B14) - 1),"")</f>
        <v>2</v>
      </c>
      <c r="H14" t="str">
        <f>+VLOOKUP(E14,'Data Type Mapping'!A:B,2,)</f>
        <v>string</v>
      </c>
      <c r="I14" t="str">
        <f t="shared" ref="I14:I17" si="42">IF(H14="string",REPT(CHAR(9),2)&amp;"public const int Max"&amp;D14&amp;"Length = "&amp;G14&amp;";"&amp;$E$3,"" )</f>
        <v xml:space="preserve">		public const int MaxProductionSfxLength = 2;
</v>
      </c>
      <c r="J14" t="str">
        <f t="shared" ref="J14:J17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[StringLength(MaxProductionSfxLength)]
		public virtual string ProductionSfx { get; set; }
</v>
      </c>
      <c r="K14" s="6"/>
      <c r="L14" t="str">
        <f t="shared" ref="L14:L17" si="44">IF(K14="","",REPT(CHAR(9),1)&amp;"[Index(nameof("&amp;IF(D14="","",""&amp;D14)&amp;")"&amp;", Name="&amp;"""IX_"&amp;$B$7&amp;"_"&amp;D14&amp;""")]")</f>
        <v/>
      </c>
      <c r="M14" t="str">
        <f t="shared" ref="M14:M17" si="45">REPT(CHAR(9),2)&amp;"public virtual "&amp;IF(OR(H14="DateTime",H14="TimeSpan"),H14&amp;"?",H14)&amp;IF(C14="?","? "," ")&amp;D14&amp;" { get; set; }" &amp; "
"</f>
        <v xml:space="preserve">		public virtual string ProductionSfx { get; set; }
</v>
      </c>
      <c r="N14" t="str">
        <f t="shared" ref="N14:N17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[StringLength(MstInvGpsSupplierPicConsts.MaxProductionSfxLength)]
		public virtual string ProductionSfx { get; set; }
</v>
      </c>
      <c r="O14" t="str">
        <f t="shared" ref="O14:O17" si="47">IF(OR(H14="string",H14="DateTime",H14="int"),REPT(CHAR(9),2)&amp;"public virtual "&amp;IF(OR(H14="DateTime",H14="TimeSpan"),H14&amp;"?",H14)&amp;IF(C14="?","? "," ")&amp;D14&amp;" { get; set; }"&amp;$E$3,"")</f>
        <v xml:space="preserve">		public virtual string ProductionSfx { get; set; }
</v>
      </c>
      <c r="P14" t="str">
        <f t="shared" ref="P14:P17" si="48">REPT(CHAR(9),7)&amp;D14&amp;" = o." &amp;D14 &amp;","</f>
        <v xml:space="preserve">							ProductionSfx = o.ProductionSfx,</v>
      </c>
      <c r="T14" s="63" t="str">
        <f t="shared" ref="T14:T17" si="49">REPT(CHAR(9),8)&amp;"("""&amp;D14&amp;"""),"</f>
        <v xml:space="preserve">								("ProductionSfx"),</v>
      </c>
      <c r="V14" s="64" t="str">
        <f t="shared" ref="V14:V17" si="50">REPT(CHAR(9),8)&amp;"_ =&gt; _."&amp;D14&amp;","</f>
        <v xml:space="preserve">								_ =&gt; _.ProductionSfx,</v>
      </c>
      <c r="W14" s="63" t="str">
        <f t="shared" ref="W14:W17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.WhereIf(!string.IsNullOrWhiteSpace(input.ProductionSfx), e =&gt; e.ProductionSfx.Contains(input.ProductionSfx))</v>
      </c>
    </row>
    <row r="15" spans="1:23" customFormat="1" ht="18.75" customHeight="1" x14ac:dyDescent="0.25">
      <c r="A15" s="28" t="s">
        <v>378</v>
      </c>
      <c r="B15" s="28" t="s">
        <v>361</v>
      </c>
      <c r="C15" t="s">
        <v>1</v>
      </c>
      <c r="D15" t="str">
        <f t="shared" si="39"/>
        <v>ExportType</v>
      </c>
      <c r="E15" t="str">
        <f t="shared" si="40"/>
        <v>varchar</v>
      </c>
      <c r="F15" s="6"/>
      <c r="G15" t="str">
        <f t="shared" si="41"/>
        <v>1</v>
      </c>
      <c r="H15" t="str">
        <f>+VLOOKUP(E15,'Data Type Mapping'!A:B,2,)</f>
        <v>string</v>
      </c>
      <c r="I15" t="str">
        <f t="shared" si="42"/>
        <v xml:space="preserve">		public const int MaxExportTypeLength = 1;
</v>
      </c>
      <c r="J15" t="str">
        <f t="shared" si="43"/>
        <v xml:space="preserve">		[StringLength(MaxExportTypeLength)]
		public virtual string ExportType { get; set; }
</v>
      </c>
      <c r="K15" s="6"/>
      <c r="L15" t="str">
        <f t="shared" si="44"/>
        <v/>
      </c>
      <c r="M15" t="str">
        <f t="shared" si="45"/>
        <v xml:space="preserve">		public virtual string ExportType { get; set; }
</v>
      </c>
      <c r="N15" t="str">
        <f t="shared" si="46"/>
        <v xml:space="preserve">		[StringLength(MstInvGpsSupplierPicConsts.MaxExportTypeLength)]
		public virtual string ExportType { get; set; }
</v>
      </c>
      <c r="O15" t="str">
        <f t="shared" si="47"/>
        <v xml:space="preserve">		public virtual string ExportType { get; set; }
</v>
      </c>
      <c r="P15" t="str">
        <f t="shared" si="48"/>
        <v xml:space="preserve">							ExportType = o.ExportType,</v>
      </c>
      <c r="T15" s="63" t="str">
        <f t="shared" si="49"/>
        <v xml:space="preserve">								("ExportType"),</v>
      </c>
      <c r="V15" s="64" t="str">
        <f t="shared" si="50"/>
        <v xml:space="preserve">								_ =&gt; _.ExportType,</v>
      </c>
      <c r="W15" s="63" t="str">
        <f t="shared" si="51"/>
        <v xml:space="preserve">				.WhereIf(!string.IsNullOrWhiteSpace(input.ExportType), e =&gt; e.ExportType.Contains(input.ExportType))</v>
      </c>
    </row>
    <row r="16" spans="1:23" customFormat="1" ht="18.75" customHeight="1" x14ac:dyDescent="0.25">
      <c r="A16" s="28" t="s">
        <v>379</v>
      </c>
      <c r="B16" s="28" t="s">
        <v>373</v>
      </c>
      <c r="C16" t="s">
        <v>1</v>
      </c>
      <c r="D16" t="str">
        <f t="shared" si="39"/>
        <v>IdLineCode</v>
      </c>
      <c r="E16" t="str">
        <f t="shared" si="40"/>
        <v>varchar</v>
      </c>
      <c r="F16" s="6"/>
      <c r="G16" t="str">
        <f t="shared" si="41"/>
        <v>2</v>
      </c>
      <c r="H16" t="str">
        <f>+VLOOKUP(E16,'Data Type Mapping'!A:B,2,)</f>
        <v>string</v>
      </c>
      <c r="I16" t="str">
        <f t="shared" si="42"/>
        <v xml:space="preserve">		public const int MaxIdLineCodeLength = 2;
</v>
      </c>
      <c r="J16" t="str">
        <f t="shared" si="43"/>
        <v xml:space="preserve">		[StringLength(MaxIdLineCodeLength)]
		public virtual string IdLineCode { get; set; }
</v>
      </c>
      <c r="K16" s="6"/>
      <c r="L16" t="str">
        <f t="shared" si="44"/>
        <v/>
      </c>
      <c r="M16" t="str">
        <f t="shared" si="45"/>
        <v xml:space="preserve">		public virtual string IdLineCode { get; set; }
</v>
      </c>
      <c r="N16" t="str">
        <f t="shared" si="46"/>
        <v xml:space="preserve">		[StringLength(MstInvGpsSupplierPicConsts.MaxIdLineCodeLength)]
		public virtual string IdLineCode { get; set; }
</v>
      </c>
      <c r="O16" t="str">
        <f t="shared" si="47"/>
        <v xml:space="preserve">		public virtual string IdLineCode { get; set; }
</v>
      </c>
      <c r="P16" t="str">
        <f t="shared" si="48"/>
        <v xml:space="preserve">							IdLineCode = o.IdLineCode,</v>
      </c>
      <c r="T16" s="63" t="str">
        <f t="shared" si="49"/>
        <v xml:space="preserve">								("IdLineCode"),</v>
      </c>
      <c r="V16" s="64" t="str">
        <f t="shared" si="50"/>
        <v xml:space="preserve">								_ =&gt; _.IdLineCode,</v>
      </c>
      <c r="W16" s="63" t="str">
        <f t="shared" si="51"/>
        <v xml:space="preserve">				.WhereIf(!string.IsNullOrWhiteSpace(input.IdLineCode), e =&gt; e.IdLineCode.Contains(input.IdLineCode))</v>
      </c>
    </row>
    <row r="17" spans="1:23" customFormat="1" ht="18.75" customHeight="1" x14ac:dyDescent="0.25">
      <c r="A17" s="28" t="s">
        <v>380</v>
      </c>
      <c r="B17" s="28" t="s">
        <v>435</v>
      </c>
      <c r="C17" t="s">
        <v>1</v>
      </c>
      <c r="D17" t="str">
        <f t="shared" si="39"/>
        <v>ProductionYear</v>
      </c>
      <c r="E17" t="str">
        <f t="shared" si="40"/>
        <v>varchar</v>
      </c>
      <c r="F17" s="6"/>
      <c r="G17" t="str">
        <f t="shared" si="41"/>
        <v>4</v>
      </c>
      <c r="H17" t="str">
        <f>+VLOOKUP(E17,'Data Type Mapping'!A:B,2,)</f>
        <v>string</v>
      </c>
      <c r="I17" t="str">
        <f t="shared" si="42"/>
        <v xml:space="preserve">		public const int MaxProductionYearLength = 4;
</v>
      </c>
      <c r="J17" t="str">
        <f t="shared" si="43"/>
        <v xml:space="preserve">		[StringLength(MaxProductionYearLength)]
		public virtual string ProductionYear { get; set; }
</v>
      </c>
      <c r="K17" s="6"/>
      <c r="L17" t="str">
        <f t="shared" si="44"/>
        <v/>
      </c>
      <c r="M17" t="str">
        <f t="shared" si="45"/>
        <v xml:space="preserve">		public virtual string ProductionYear { get; set; }
</v>
      </c>
      <c r="N17" t="str">
        <f t="shared" si="46"/>
        <v xml:space="preserve">		[StringLength(MstInvGpsSupplierPicConsts.MaxProductionYearLength)]
		public virtual string ProductionYear { get; set; }
</v>
      </c>
      <c r="O17" t="str">
        <f t="shared" si="47"/>
        <v xml:space="preserve">		public virtual string ProductionYear { get; set; }
</v>
      </c>
      <c r="P17" t="str">
        <f t="shared" si="48"/>
        <v xml:space="preserve">							ProductionYear = o.ProductionYear,</v>
      </c>
      <c r="T17" s="63" t="str">
        <f t="shared" si="49"/>
        <v xml:space="preserve">								("ProductionYear"),</v>
      </c>
      <c r="V17" s="64" t="str">
        <f t="shared" si="50"/>
        <v xml:space="preserve">								_ =&gt; _.ProductionYear,</v>
      </c>
      <c r="W17" s="63" t="str">
        <f t="shared" si="51"/>
        <v xml:space="preserve">				.WhereIf(!string.IsNullOrWhiteSpace(input.ProductionYear), e =&gt; e.ProductionYear.Contains(input.ProductionYear))</v>
      </c>
    </row>
    <row r="18" spans="1:23" customFormat="1" ht="18.75" customHeight="1" x14ac:dyDescent="0.25">
      <c r="A18" s="28" t="s">
        <v>381</v>
      </c>
      <c r="B18" s="28" t="s">
        <v>373</v>
      </c>
      <c r="C18" t="s">
        <v>1</v>
      </c>
      <c r="D18" t="str">
        <f t="shared" ref="D18:D27" si="52">SUBSTITUTE(PROPER(A18),"_","")</f>
        <v>ProductionMonth</v>
      </c>
      <c r="E18" t="str">
        <f t="shared" ref="E18:E27" si="53">IFERROR(LEFT(B18, FIND("(",B18)-1),B18)</f>
        <v>varchar</v>
      </c>
      <c r="F18" s="6"/>
      <c r="G18" t="str">
        <f t="shared" ref="G18:G27" si="54">IFERROR(MID(B18,FIND("(",B18) +1, FIND(")",B18) - FIND("(",B18) - 1),"")</f>
        <v>2</v>
      </c>
      <c r="H18" t="str">
        <f>+VLOOKUP(E18,'Data Type Mapping'!A:B,2,)</f>
        <v>string</v>
      </c>
      <c r="I18" t="str">
        <f t="shared" ref="I18:I27" si="55">IF(H18="string",REPT(CHAR(9),2)&amp;"public const int Max"&amp;D18&amp;"Length = "&amp;G18&amp;";"&amp;$E$3,"" )</f>
        <v xml:space="preserve">		public const int MaxProductionMonthLength = 2;
</v>
      </c>
      <c r="J18" t="str">
        <f t="shared" ref="J18:J27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[StringLength(MaxProductionMonthLength)]
		public virtual string ProductionMonth { get; set; }
</v>
      </c>
      <c r="K18" s="6"/>
      <c r="L18" t="str">
        <f t="shared" ref="L18:L27" si="57">IF(K18="","",REPT(CHAR(9),1)&amp;"[Index(nameof("&amp;IF(D18="","",""&amp;D18)&amp;")"&amp;", Name="&amp;"""IX_"&amp;$B$7&amp;"_"&amp;D18&amp;""")]")</f>
        <v/>
      </c>
      <c r="M18" t="str">
        <f t="shared" ref="M18:M27" si="58">REPT(CHAR(9),2)&amp;"public virtual "&amp;IF(OR(H18="DateTime",H18="TimeSpan"),H18&amp;"?",H18)&amp;IF(C18="?","? "," ")&amp;D18&amp;" { get; set; }" &amp; "
"</f>
        <v xml:space="preserve">		public virtual string ProductionMonth { get; set; }
</v>
      </c>
      <c r="N18" t="str">
        <f t="shared" ref="N18:N27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[StringLength(MstInvGpsSupplierPicConsts.MaxProductionMonthLength)]
		public virtual string ProductionMonth { get; set; }
</v>
      </c>
      <c r="O18" t="str">
        <f t="shared" ref="O18:O27" si="60">IF(OR(H18="string",H18="DateTime",H18="int"),REPT(CHAR(9),2)&amp;"public virtual "&amp;IF(OR(H18="DateTime",H18="TimeSpan"),H18&amp;"?",H18)&amp;IF(C18="?","? "," ")&amp;D18&amp;" { get; set; }"&amp;$E$3,"")</f>
        <v xml:space="preserve">		public virtual string ProductionMonth { get; set; }
</v>
      </c>
      <c r="P18" t="str">
        <f t="shared" ref="P18:P27" si="61">REPT(CHAR(9),7)&amp;D18&amp;" = o." &amp;D18 &amp;","</f>
        <v xml:space="preserve">							ProductionMonth = o.ProductionMonth,</v>
      </c>
      <c r="T18" s="63" t="str">
        <f t="shared" ref="T18:T27" si="62">REPT(CHAR(9),8)&amp;"("""&amp;D18&amp;"""),"</f>
        <v xml:space="preserve">								("ProductionMonth"),</v>
      </c>
      <c r="V18" s="64" t="str">
        <f t="shared" ref="V18:V27" si="63">REPT(CHAR(9),8)&amp;"_ =&gt; _."&amp;D18&amp;","</f>
        <v xml:space="preserve">								_ =&gt; _.ProductionMonth,</v>
      </c>
      <c r="W18" s="63" t="str">
        <f t="shared" ref="W18:W27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.WhereIf(!string.IsNullOrWhiteSpace(input.ProductionMonth), e =&gt; e.ProductionMonth.Contains(input.ProductionMonth))</v>
      </c>
    </row>
    <row r="19" spans="1:23" customFormat="1" ht="18.75" customHeight="1" x14ac:dyDescent="0.25">
      <c r="A19" s="28" t="s">
        <v>382</v>
      </c>
      <c r="B19" s="28" t="s">
        <v>373</v>
      </c>
      <c r="C19" t="s">
        <v>1</v>
      </c>
      <c r="D19" t="str">
        <f t="shared" si="52"/>
        <v>ProductionWeek</v>
      </c>
      <c r="E19" t="str">
        <f t="shared" si="53"/>
        <v>varchar</v>
      </c>
      <c r="F19" s="6"/>
      <c r="G19" t="str">
        <f t="shared" si="54"/>
        <v>2</v>
      </c>
      <c r="H19" t="str">
        <f>+VLOOKUP(E19,'Data Type Mapping'!A:B,2,)</f>
        <v>string</v>
      </c>
      <c r="I19" t="str">
        <f t="shared" si="55"/>
        <v xml:space="preserve">		public const int MaxProductionWeekLength = 2;
</v>
      </c>
      <c r="J19" t="str">
        <f t="shared" si="56"/>
        <v xml:space="preserve">		[StringLength(MaxProductionWeekLength)]
		public virtual string ProductionWeek { get; set; }
</v>
      </c>
      <c r="K19" s="6"/>
      <c r="L19" t="str">
        <f t="shared" si="57"/>
        <v/>
      </c>
      <c r="M19" t="str">
        <f t="shared" si="58"/>
        <v xml:space="preserve">		public virtual string ProductionWeek { get; set; }
</v>
      </c>
      <c r="N19" t="str">
        <f t="shared" si="59"/>
        <v xml:space="preserve">		[StringLength(MstInvGpsSupplierPicConsts.MaxProductionWeekLength)]
		public virtual string ProductionWeek { get; set; }
</v>
      </c>
      <c r="O19" t="str">
        <f t="shared" si="60"/>
        <v xml:space="preserve">		public virtual string ProductionWeek { get; set; }
</v>
      </c>
      <c r="P19" t="str">
        <f t="shared" si="61"/>
        <v xml:space="preserve">							ProductionWeek = o.ProductionWeek,</v>
      </c>
      <c r="T19" s="63" t="str">
        <f t="shared" si="62"/>
        <v xml:space="preserve">								("ProductionWeek"),</v>
      </c>
      <c r="V19" s="64" t="str">
        <f t="shared" si="63"/>
        <v xml:space="preserve">								_ =&gt; _.ProductionWeek,</v>
      </c>
      <c r="W19" s="63" t="str">
        <f t="shared" si="64"/>
        <v xml:space="preserve">				.WhereIf(!string.IsNullOrWhiteSpace(input.ProductionWeek), e =&gt; e.ProductionWeek.Contains(input.ProductionWeek))</v>
      </c>
    </row>
    <row r="20" spans="1:23" customFormat="1" ht="18.75" customHeight="1" x14ac:dyDescent="0.25">
      <c r="A20" s="28" t="s">
        <v>383</v>
      </c>
      <c r="B20" s="28" t="s">
        <v>373</v>
      </c>
      <c r="C20" t="s">
        <v>1</v>
      </c>
      <c r="D20" t="str">
        <f t="shared" si="52"/>
        <v>ProductionDay</v>
      </c>
      <c r="E20" t="str">
        <f t="shared" si="53"/>
        <v>varchar</v>
      </c>
      <c r="F20" s="6"/>
      <c r="G20" t="str">
        <f t="shared" si="54"/>
        <v>2</v>
      </c>
      <c r="H20" t="str">
        <f>+VLOOKUP(E20,'Data Type Mapping'!A:B,2,)</f>
        <v>string</v>
      </c>
      <c r="I20" t="str">
        <f t="shared" si="55"/>
        <v xml:space="preserve">		public const int MaxProductionDayLength = 2;
</v>
      </c>
      <c r="J20" t="str">
        <f t="shared" si="56"/>
        <v xml:space="preserve">		[StringLength(MaxProductionDayLength)]
		public virtual string ProductionDay { get; set; }
</v>
      </c>
      <c r="K20" s="6"/>
      <c r="L20" t="str">
        <f t="shared" si="57"/>
        <v/>
      </c>
      <c r="M20" t="str">
        <f t="shared" si="58"/>
        <v xml:space="preserve">		public virtual string ProductionDay { get; set; }
</v>
      </c>
      <c r="N20" t="str">
        <f t="shared" si="59"/>
        <v xml:space="preserve">		[StringLength(MstInvGpsSupplierPicConsts.MaxProductionDayLength)]
		public virtual string ProductionDay { get; set; }
</v>
      </c>
      <c r="O20" t="str">
        <f t="shared" si="60"/>
        <v xml:space="preserve">		public virtual string ProductionDay { get; set; }
</v>
      </c>
      <c r="P20" t="str">
        <f t="shared" si="61"/>
        <v xml:space="preserve">							ProductionDay = o.ProductionDay,</v>
      </c>
      <c r="T20" s="63" t="str">
        <f t="shared" si="62"/>
        <v xml:space="preserve">								("ProductionDay"),</v>
      </c>
      <c r="V20" s="64" t="str">
        <f t="shared" si="63"/>
        <v xml:space="preserve">								_ =&gt; _.ProductionDay,</v>
      </c>
      <c r="W20" s="63" t="str">
        <f t="shared" si="64"/>
        <v xml:space="preserve">				.WhereIf(!string.IsNullOrWhiteSpace(input.ProductionDay), e =&gt; e.ProductionDay.Contains(input.ProductionDay))</v>
      </c>
    </row>
    <row r="21" spans="1:23" customFormat="1" ht="18.75" customHeight="1" x14ac:dyDescent="0.25">
      <c r="A21" s="28" t="s">
        <v>384</v>
      </c>
      <c r="B21" s="28" t="s">
        <v>436</v>
      </c>
      <c r="C21" t="s">
        <v>1</v>
      </c>
      <c r="D21" t="str">
        <f t="shared" si="52"/>
        <v>FrameTypeCode</v>
      </c>
      <c r="E21" t="str">
        <f t="shared" si="53"/>
        <v>varchar</v>
      </c>
      <c r="F21" s="6"/>
      <c r="G21" t="str">
        <f t="shared" si="54"/>
        <v>3</v>
      </c>
      <c r="H21" t="str">
        <f>+VLOOKUP(E21,'Data Type Mapping'!A:B,2,)</f>
        <v>string</v>
      </c>
      <c r="I21" t="str">
        <f t="shared" si="55"/>
        <v xml:space="preserve">		public const int MaxFrameTypeCodeLength = 3;
</v>
      </c>
      <c r="J21" t="str">
        <f t="shared" si="56"/>
        <v xml:space="preserve">		[StringLength(MaxFrameTypeCodeLength)]
		public virtual string FrameTypeCode { get; set; }
</v>
      </c>
      <c r="K21" s="6"/>
      <c r="L21" t="str">
        <f t="shared" si="57"/>
        <v/>
      </c>
      <c r="M21" t="str">
        <f t="shared" si="58"/>
        <v xml:space="preserve">		public virtual string FrameTypeCode { get; set; }
</v>
      </c>
      <c r="N21" t="str">
        <f t="shared" si="59"/>
        <v xml:space="preserve">		[StringLength(MstInvGpsSupplierPicConsts.MaxFrameTypeCodeLength)]
		public virtual string FrameTypeCode { get; set; }
</v>
      </c>
      <c r="O21" t="str">
        <f t="shared" si="60"/>
        <v xml:space="preserve">		public virtual string FrameTypeCode { get; set; }
</v>
      </c>
      <c r="P21" t="str">
        <f t="shared" si="61"/>
        <v xml:space="preserve">							FrameTypeCode = o.FrameTypeCode,</v>
      </c>
      <c r="T21" s="63" t="str">
        <f t="shared" si="62"/>
        <v xml:space="preserve">								("FrameTypeCode"),</v>
      </c>
      <c r="V21" s="64" t="str">
        <f t="shared" si="63"/>
        <v xml:space="preserve">								_ =&gt; _.FrameTypeCode,</v>
      </c>
      <c r="W21" s="63" t="str">
        <f t="shared" si="64"/>
        <v xml:space="preserve">				.WhereIf(!string.IsNullOrWhiteSpace(input.FrameTypeCode), e =&gt; e.FrameTypeCode.Contains(input.FrameTypeCode))</v>
      </c>
    </row>
    <row r="22" spans="1:23" customFormat="1" ht="18.75" customHeight="1" x14ac:dyDescent="0.25">
      <c r="A22" s="28" t="s">
        <v>385</v>
      </c>
      <c r="B22" s="28" t="s">
        <v>373</v>
      </c>
      <c r="C22" t="s">
        <v>1</v>
      </c>
      <c r="D22" t="str">
        <f t="shared" si="52"/>
        <v>Vin</v>
      </c>
      <c r="E22" t="str">
        <f t="shared" si="53"/>
        <v>varchar</v>
      </c>
      <c r="F22" s="6"/>
      <c r="G22" t="str">
        <f t="shared" si="54"/>
        <v>2</v>
      </c>
      <c r="H22" t="str">
        <f>+VLOOKUP(E22,'Data Type Mapping'!A:B,2,)</f>
        <v>string</v>
      </c>
      <c r="I22" t="str">
        <f t="shared" si="55"/>
        <v xml:space="preserve">		public const int MaxVinLength = 2;
</v>
      </c>
      <c r="J22" t="str">
        <f t="shared" si="56"/>
        <v xml:space="preserve">		[StringLength(MaxVinLength)]
		public virtual string Vin { get; set; }
</v>
      </c>
      <c r="K22" s="6"/>
      <c r="L22" t="str">
        <f t="shared" si="57"/>
        <v/>
      </c>
      <c r="M22" t="str">
        <f t="shared" si="58"/>
        <v xml:space="preserve">		public virtual string Vin { get; set; }
</v>
      </c>
      <c r="N22" t="str">
        <f t="shared" si="59"/>
        <v xml:space="preserve">		[StringLength(MstInvGpsSupplierPicConsts.MaxVinLength)]
		public virtual string Vin { get; set; }
</v>
      </c>
      <c r="O22" t="str">
        <f t="shared" si="60"/>
        <v xml:space="preserve">		public virtual string Vin { get; set; }
</v>
      </c>
      <c r="P22" t="str">
        <f t="shared" si="61"/>
        <v xml:space="preserve">							Vin = o.Vin,</v>
      </c>
      <c r="T22" s="63" t="str">
        <f t="shared" si="62"/>
        <v xml:space="preserve">								("Vin"),</v>
      </c>
      <c r="V22" s="64" t="str">
        <f t="shared" si="63"/>
        <v xml:space="preserve">								_ =&gt; _.Vin,</v>
      </c>
      <c r="W22" s="63" t="str">
        <f t="shared" si="64"/>
        <v xml:space="preserve">				.WhereIf(!string.IsNullOrWhiteSpace(input.Vin), e =&gt; e.Vin.Contains(input.Vin))</v>
      </c>
    </row>
    <row r="23" spans="1:23" customFormat="1" ht="18.75" customHeight="1" x14ac:dyDescent="0.25">
      <c r="A23" s="28" t="s">
        <v>386</v>
      </c>
      <c r="B23" s="28" t="s">
        <v>436</v>
      </c>
      <c r="C23" t="s">
        <v>1</v>
      </c>
      <c r="D23" t="str">
        <f t="shared" si="52"/>
        <v>Wmi</v>
      </c>
      <c r="E23" t="str">
        <f t="shared" si="53"/>
        <v>varchar</v>
      </c>
      <c r="F23" s="6"/>
      <c r="G23" t="str">
        <f t="shared" si="54"/>
        <v>3</v>
      </c>
      <c r="H23" t="str">
        <f>+VLOOKUP(E23,'Data Type Mapping'!A:B,2,)</f>
        <v>string</v>
      </c>
      <c r="I23" t="str">
        <f t="shared" si="55"/>
        <v xml:space="preserve">		public const int MaxWmiLength = 3;
</v>
      </c>
      <c r="J23" t="str">
        <f t="shared" si="56"/>
        <v xml:space="preserve">		[StringLength(MaxWmiLength)]
		public virtual string Wmi { get; set; }
</v>
      </c>
      <c r="K23" s="6"/>
      <c r="L23" t="str">
        <f t="shared" si="57"/>
        <v/>
      </c>
      <c r="M23" t="str">
        <f t="shared" si="58"/>
        <v xml:space="preserve">		public virtual string Wmi { get; set; }
</v>
      </c>
      <c r="N23" t="str">
        <f t="shared" si="59"/>
        <v xml:space="preserve">		[StringLength(MstInvGpsSupplierPicConsts.MaxWmiLength)]
		public virtual string Wmi { get; set; }
</v>
      </c>
      <c r="O23" t="str">
        <f t="shared" si="60"/>
        <v xml:space="preserve">		public virtual string Wmi { get; set; }
</v>
      </c>
      <c r="P23" t="str">
        <f t="shared" si="61"/>
        <v xml:space="preserve">							Wmi = o.Wmi,</v>
      </c>
      <c r="T23" s="63" t="str">
        <f t="shared" si="62"/>
        <v xml:space="preserve">								("Wmi"),</v>
      </c>
      <c r="V23" s="64" t="str">
        <f t="shared" si="63"/>
        <v xml:space="preserve">								_ =&gt; _.Wmi,</v>
      </c>
      <c r="W23" s="63" t="str">
        <f t="shared" si="64"/>
        <v xml:space="preserve">				.WhereIf(!string.IsNullOrWhiteSpace(input.Wmi), e =&gt; e.Wmi.Contains(input.Wmi))</v>
      </c>
    </row>
    <row r="24" spans="1:23" customFormat="1" ht="18.75" customHeight="1" x14ac:dyDescent="0.25">
      <c r="A24" s="28" t="s">
        <v>387</v>
      </c>
      <c r="B24" s="28" t="s">
        <v>437</v>
      </c>
      <c r="C24" t="s">
        <v>1</v>
      </c>
      <c r="D24" t="str">
        <f t="shared" si="52"/>
        <v>Vds</v>
      </c>
      <c r="E24" t="str">
        <f t="shared" si="53"/>
        <v>varchar</v>
      </c>
      <c r="F24" s="6"/>
      <c r="G24" t="str">
        <f t="shared" si="54"/>
        <v>6</v>
      </c>
      <c r="H24" t="str">
        <f>+VLOOKUP(E24,'Data Type Mapping'!A:B,2,)</f>
        <v>string</v>
      </c>
      <c r="I24" t="str">
        <f t="shared" si="55"/>
        <v xml:space="preserve">		public const int MaxVdsLength = 6;
</v>
      </c>
      <c r="J24" t="str">
        <f t="shared" si="56"/>
        <v xml:space="preserve">		[StringLength(MaxVdsLength)]
		public virtual string Vds { get; set; }
</v>
      </c>
      <c r="K24" s="6"/>
      <c r="L24" t="str">
        <f t="shared" si="57"/>
        <v/>
      </c>
      <c r="M24" t="str">
        <f t="shared" si="58"/>
        <v xml:space="preserve">		public virtual string Vds { get; set; }
</v>
      </c>
      <c r="N24" t="str">
        <f t="shared" si="59"/>
        <v xml:space="preserve">		[StringLength(MstInvGpsSupplierPicConsts.MaxVdsLength)]
		public virtual string Vds { get; set; }
</v>
      </c>
      <c r="O24" t="str">
        <f t="shared" si="60"/>
        <v xml:space="preserve">		public virtual string Vds { get; set; }
</v>
      </c>
      <c r="P24" t="str">
        <f t="shared" si="61"/>
        <v xml:space="preserve">							Vds = o.Vds,</v>
      </c>
      <c r="T24" s="63" t="str">
        <f t="shared" si="62"/>
        <v xml:space="preserve">								("Vds"),</v>
      </c>
      <c r="V24" s="64" t="str">
        <f t="shared" si="63"/>
        <v xml:space="preserve">								_ =&gt; _.Vds,</v>
      </c>
      <c r="W24" s="63" t="str">
        <f t="shared" si="64"/>
        <v xml:space="preserve">				.WhereIf(!string.IsNullOrWhiteSpace(input.Vds), e =&gt; e.Vds.Contains(input.Vds))</v>
      </c>
    </row>
    <row r="25" spans="1:23" customFormat="1" ht="18.75" customHeight="1" x14ac:dyDescent="0.25">
      <c r="A25" s="28" t="s">
        <v>388</v>
      </c>
      <c r="B25" s="28" t="s">
        <v>361</v>
      </c>
      <c r="C25" t="s">
        <v>1</v>
      </c>
      <c r="D25" t="str">
        <f t="shared" si="52"/>
        <v>ModelYearCode</v>
      </c>
      <c r="E25" t="str">
        <f t="shared" si="53"/>
        <v>varchar</v>
      </c>
      <c r="F25" s="6"/>
      <c r="G25" t="str">
        <f t="shared" si="54"/>
        <v>1</v>
      </c>
      <c r="H25" t="str">
        <f>+VLOOKUP(E25,'Data Type Mapping'!A:B,2,)</f>
        <v>string</v>
      </c>
      <c r="I25" t="str">
        <f t="shared" si="55"/>
        <v xml:space="preserve">		public const int MaxModelYearCodeLength = 1;
</v>
      </c>
      <c r="J25" t="str">
        <f t="shared" si="56"/>
        <v xml:space="preserve">		[StringLength(MaxModelYearCodeLength)]
		public virtual string ModelYearCode { get; set; }
</v>
      </c>
      <c r="K25" s="6"/>
      <c r="L25" t="str">
        <f t="shared" si="57"/>
        <v/>
      </c>
      <c r="M25" t="str">
        <f t="shared" si="58"/>
        <v xml:space="preserve">		public virtual string ModelYearCode { get; set; }
</v>
      </c>
      <c r="N25" t="str">
        <f t="shared" si="59"/>
        <v xml:space="preserve">		[StringLength(MstInvGpsSupplierPicConsts.MaxModelYearCodeLength)]
		public virtual string ModelYearCode { get; set; }
</v>
      </c>
      <c r="O25" t="str">
        <f t="shared" si="60"/>
        <v xml:space="preserve">		public virtual string ModelYearCode { get; set; }
</v>
      </c>
      <c r="P25" t="str">
        <f t="shared" si="61"/>
        <v xml:space="preserve">							ModelYearCode = o.ModelYearCode,</v>
      </c>
      <c r="T25" s="63" t="str">
        <f t="shared" si="62"/>
        <v xml:space="preserve">								("ModelYearCode"),</v>
      </c>
      <c r="V25" s="64" t="str">
        <f t="shared" si="63"/>
        <v xml:space="preserve">								_ =&gt; _.ModelYearCode,</v>
      </c>
      <c r="W25" s="63" t="str">
        <f t="shared" si="64"/>
        <v xml:space="preserve">				.WhereIf(!string.IsNullOrWhiteSpace(input.ModelYearCode), e =&gt; e.ModelYearCode.Contains(input.ModelYearCode))</v>
      </c>
    </row>
    <row r="26" spans="1:23" customFormat="1" ht="18.75" customHeight="1" x14ac:dyDescent="0.25">
      <c r="A26" s="28" t="s">
        <v>389</v>
      </c>
      <c r="B26" s="28" t="s">
        <v>361</v>
      </c>
      <c r="C26" t="s">
        <v>1</v>
      </c>
      <c r="D26" t="str">
        <f t="shared" si="52"/>
        <v>VinType</v>
      </c>
      <c r="E26" t="str">
        <f t="shared" si="53"/>
        <v>varchar</v>
      </c>
      <c r="F26" s="6"/>
      <c r="G26" t="str">
        <f t="shared" si="54"/>
        <v>1</v>
      </c>
      <c r="H26" t="str">
        <f>+VLOOKUP(E26,'Data Type Mapping'!A:B,2,)</f>
        <v>string</v>
      </c>
      <c r="I26" t="str">
        <f t="shared" si="55"/>
        <v xml:space="preserve">		public const int MaxVinTypeLength = 1;
</v>
      </c>
      <c r="J26" t="str">
        <f t="shared" si="56"/>
        <v xml:space="preserve">		[StringLength(MaxVinTypeLength)]
		public virtual string VinType { get; set; }
</v>
      </c>
      <c r="K26" s="6"/>
      <c r="L26" t="str">
        <f t="shared" si="57"/>
        <v/>
      </c>
      <c r="M26" t="str">
        <f t="shared" si="58"/>
        <v xml:space="preserve">		public virtual string VinType { get; set; }
</v>
      </c>
      <c r="N26" t="str">
        <f t="shared" si="59"/>
        <v xml:space="preserve">		[StringLength(MstInvGpsSupplierPicConsts.MaxVinTypeLength)]
		public virtual string VinType { get; set; }
</v>
      </c>
      <c r="O26" t="str">
        <f t="shared" si="60"/>
        <v xml:space="preserve">		public virtual string VinType { get; set; }
</v>
      </c>
      <c r="P26" t="str">
        <f t="shared" si="61"/>
        <v xml:space="preserve">							VinType = o.VinType,</v>
      </c>
      <c r="T26" s="63" t="str">
        <f t="shared" si="62"/>
        <v xml:space="preserve">								("VinType"),</v>
      </c>
      <c r="V26" s="64" t="str">
        <f t="shared" si="63"/>
        <v xml:space="preserve">								_ =&gt; _.VinType,</v>
      </c>
      <c r="W26" s="63" t="str">
        <f t="shared" si="64"/>
        <v xml:space="preserve">				.WhereIf(!string.IsNullOrWhiteSpace(input.VinType), e =&gt; e.VinType.Contains(input.VinType))</v>
      </c>
    </row>
    <row r="27" spans="1:23" customFormat="1" ht="18.75" customHeight="1" x14ac:dyDescent="0.25">
      <c r="A27" s="28" t="s">
        <v>390</v>
      </c>
      <c r="B27" s="28" t="s">
        <v>438</v>
      </c>
      <c r="C27" t="s">
        <v>1</v>
      </c>
      <c r="D27" t="str">
        <f t="shared" si="52"/>
        <v>StampModelCode</v>
      </c>
      <c r="E27" t="str">
        <f t="shared" si="53"/>
        <v>varchar</v>
      </c>
      <c r="F27" s="6"/>
      <c r="G27" t="str">
        <f t="shared" si="54"/>
        <v>9</v>
      </c>
      <c r="H27" t="str">
        <f>+VLOOKUP(E27,'Data Type Mapping'!A:B,2,)</f>
        <v>string</v>
      </c>
      <c r="I27" t="str">
        <f t="shared" si="55"/>
        <v xml:space="preserve">		public const int MaxStampModelCodeLength = 9;
</v>
      </c>
      <c r="J27" t="str">
        <f t="shared" si="56"/>
        <v xml:space="preserve">		[StringLength(MaxStampModelCodeLength)]
		public virtual string StampModelCode { get; set; }
</v>
      </c>
      <c r="K27" s="6"/>
      <c r="L27" t="str">
        <f t="shared" si="57"/>
        <v/>
      </c>
      <c r="M27" t="str">
        <f t="shared" si="58"/>
        <v xml:space="preserve">		public virtual string StampModelCode { get; set; }
</v>
      </c>
      <c r="N27" t="str">
        <f t="shared" si="59"/>
        <v xml:space="preserve">		[StringLength(MstInvGpsSupplierPicConsts.MaxStampModelCodeLength)]
		public virtual string StampModelCode { get; set; }
</v>
      </c>
      <c r="O27" t="str">
        <f t="shared" si="60"/>
        <v xml:space="preserve">		public virtual string StampModelCode { get; set; }
</v>
      </c>
      <c r="P27" t="str">
        <f t="shared" si="61"/>
        <v xml:space="preserve">							StampModelCode = o.StampModelCode,</v>
      </c>
      <c r="T27" s="63" t="str">
        <f t="shared" si="62"/>
        <v xml:space="preserve">								("StampModelCode"),</v>
      </c>
      <c r="V27" s="64" t="str">
        <f t="shared" si="63"/>
        <v xml:space="preserve">								_ =&gt; _.StampModelCode,</v>
      </c>
      <c r="W27" s="63" t="str">
        <f t="shared" si="64"/>
        <v xml:space="preserve">				.WhereIf(!string.IsNullOrWhiteSpace(input.StampModelCode), e =&gt; e.StampModelCode.Contains(input.StampModelCode))</v>
      </c>
    </row>
    <row r="28" spans="1:23" customFormat="1" ht="18.75" customHeight="1" x14ac:dyDescent="0.25">
      <c r="A28" s="28" t="s">
        <v>391</v>
      </c>
      <c r="B28" s="28" t="s">
        <v>361</v>
      </c>
      <c r="C28" t="s">
        <v>1</v>
      </c>
      <c r="D28" t="str">
        <f t="shared" ref="D28:D47" si="65">SUBSTITUTE(PROPER(A28),"_","")</f>
        <v>FrameSequenceNumberDigits</v>
      </c>
      <c r="E28" t="str">
        <f t="shared" ref="E28:E47" si="66">IFERROR(LEFT(B28, FIND("(",B28)-1),B28)</f>
        <v>varchar</v>
      </c>
      <c r="F28" s="6"/>
      <c r="G28" t="str">
        <f t="shared" ref="G28:G47" si="67">IFERROR(MID(B28,FIND("(",B28) +1, FIND(")",B28) - FIND("(",B28) - 1),"")</f>
        <v>1</v>
      </c>
      <c r="H28" t="str">
        <f>+VLOOKUP(E28,'Data Type Mapping'!A:B,2,)</f>
        <v>string</v>
      </c>
      <c r="I28" t="str">
        <f t="shared" ref="I28:I47" si="68">IF(H28="string",REPT(CHAR(9),2)&amp;"public const int Max"&amp;D28&amp;"Length = "&amp;G28&amp;";"&amp;$E$3,"" )</f>
        <v xml:space="preserve">		public const int MaxFrameSequenceNumberDigitsLength = 1;
</v>
      </c>
      <c r="J28" t="str">
        <f t="shared" ref="J28:J47" si="69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[StringLength(MaxFrameSequenceNumberDigitsLength)]
		public virtual string FrameSequenceNumberDigits { get; set; }
</v>
      </c>
      <c r="K28" s="6"/>
      <c r="L28" t="str">
        <f t="shared" ref="L28:L47" si="70">IF(K28="","",REPT(CHAR(9),1)&amp;"[Index(nameof("&amp;IF(D28="","",""&amp;D28)&amp;")"&amp;", Name="&amp;"""IX_"&amp;$B$7&amp;"_"&amp;D28&amp;""")]")</f>
        <v/>
      </c>
      <c r="M28" t="str">
        <f t="shared" ref="M28:M47" si="71">REPT(CHAR(9),2)&amp;"public virtual "&amp;IF(OR(H28="DateTime",H28="TimeSpan"),H28&amp;"?",H28)&amp;IF(C28="?","? "," ")&amp;D28&amp;" { get; set; }" &amp; "
"</f>
        <v xml:space="preserve">		public virtual string FrameSequenceNumberDigits { get; set; }
</v>
      </c>
      <c r="N28" t="str">
        <f t="shared" ref="N28:N47" si="72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[StringLength(MstInvGpsSupplierPicConsts.MaxFrameSequenceNumberDigitsLength)]
		public virtual string FrameSequenceNumberDigits { get; set; }
</v>
      </c>
      <c r="O28" t="str">
        <f t="shared" ref="O28:O47" si="73">IF(OR(H28="string",H28="DateTime",H28="int"),REPT(CHAR(9),2)&amp;"public virtual "&amp;IF(OR(H28="DateTime",H28="TimeSpan"),H28&amp;"?",H28)&amp;IF(C28="?","? "," ")&amp;D28&amp;" { get; set; }"&amp;$E$3,"")</f>
        <v xml:space="preserve">		public virtual string FrameSequenceNumberDigits { get; set; }
</v>
      </c>
      <c r="P28" t="str">
        <f t="shared" ref="P28:P47" si="74">REPT(CHAR(9),7)&amp;D28&amp;" = o." &amp;D28 &amp;","</f>
        <v xml:space="preserve">							FrameSequenceNumberDigits = o.FrameSequenceNumberDigits,</v>
      </c>
      <c r="T28" s="63" t="str">
        <f t="shared" ref="T28:T47" si="75">REPT(CHAR(9),8)&amp;"("""&amp;D28&amp;"""),"</f>
        <v xml:space="preserve">								("FrameSequenceNumberDigits"),</v>
      </c>
      <c r="V28" s="64" t="str">
        <f t="shared" ref="V28:V47" si="76">REPT(CHAR(9),8)&amp;"_ =&gt; _."&amp;D28&amp;","</f>
        <v xml:space="preserve">								_ =&gt; _.FrameSequenceNumberDigits,</v>
      </c>
      <c r="W28" s="63" t="str">
        <f t="shared" ref="W28:W47" si="77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 xml:space="preserve">				.WhereIf(!string.IsNullOrWhiteSpace(input.FrameSequenceNumberDigits), e =&gt; e.FrameSequenceNumberDigits.Contains(input.FrameSequenceNumberDigits))</v>
      </c>
    </row>
    <row r="29" spans="1:23" customFormat="1" ht="18.75" customHeight="1" x14ac:dyDescent="0.25">
      <c r="A29" s="28" t="s">
        <v>392</v>
      </c>
      <c r="B29" s="28" t="s">
        <v>373</v>
      </c>
      <c r="C29" t="s">
        <v>1</v>
      </c>
      <c r="D29" t="str">
        <f t="shared" si="65"/>
        <v>SpecSheetNumber</v>
      </c>
      <c r="E29" t="str">
        <f t="shared" si="66"/>
        <v>varchar</v>
      </c>
      <c r="F29" s="6"/>
      <c r="G29" t="str">
        <f t="shared" si="67"/>
        <v>2</v>
      </c>
      <c r="H29" t="str">
        <f>+VLOOKUP(E29,'Data Type Mapping'!A:B,2,)</f>
        <v>string</v>
      </c>
      <c r="I29" t="str">
        <f t="shared" si="68"/>
        <v xml:space="preserve">		public const int MaxSpecSheetNumberLength = 2;
</v>
      </c>
      <c r="J29" t="str">
        <f t="shared" si="69"/>
        <v xml:space="preserve">		[StringLength(MaxSpecSheetNumberLength)]
		public virtual string SpecSheetNumber { get; set; }
</v>
      </c>
      <c r="K29" s="6"/>
      <c r="L29" t="str">
        <f t="shared" si="70"/>
        <v/>
      </c>
      <c r="M29" t="str">
        <f t="shared" si="71"/>
        <v xml:space="preserve">		public virtual string SpecSheetNumber { get; set; }
</v>
      </c>
      <c r="N29" t="str">
        <f t="shared" si="72"/>
        <v xml:space="preserve">		[StringLength(MstInvGpsSupplierPicConsts.MaxSpecSheetNumberLength)]
		public virtual string SpecSheetNumber { get; set; }
</v>
      </c>
      <c r="O29" t="str">
        <f t="shared" si="73"/>
        <v xml:space="preserve">		public virtual string SpecSheetNumber { get; set; }
</v>
      </c>
      <c r="P29" t="str">
        <f t="shared" si="74"/>
        <v xml:space="preserve">							SpecSheetNumber = o.SpecSheetNumber,</v>
      </c>
      <c r="T29" s="63" t="str">
        <f t="shared" si="75"/>
        <v xml:space="preserve">								("SpecSheetNumber"),</v>
      </c>
      <c r="V29" s="64" t="str">
        <f t="shared" si="76"/>
        <v xml:space="preserve">								_ =&gt; _.SpecSheetNumber,</v>
      </c>
      <c r="W29" s="63" t="str">
        <f t="shared" si="77"/>
        <v xml:space="preserve">				.WhereIf(!string.IsNullOrWhiteSpace(input.SpecSheetNumber), e =&gt; e.SpecSheetNumber.Contains(input.SpecSheetNumber))</v>
      </c>
    </row>
    <row r="30" spans="1:23" customFormat="1" ht="18.75" customHeight="1" x14ac:dyDescent="0.25">
      <c r="A30" s="28" t="s">
        <v>393</v>
      </c>
      <c r="B30" s="28" t="s">
        <v>371</v>
      </c>
      <c r="C30" t="s">
        <v>1</v>
      </c>
      <c r="D30" t="str">
        <f t="shared" si="65"/>
        <v>KatashikiCode</v>
      </c>
      <c r="E30" t="str">
        <f t="shared" si="66"/>
        <v>varchar</v>
      </c>
      <c r="F30" s="6"/>
      <c r="G30" t="str">
        <f t="shared" si="67"/>
        <v>5</v>
      </c>
      <c r="H30" t="str">
        <f>+VLOOKUP(E30,'Data Type Mapping'!A:B,2,)</f>
        <v>string</v>
      </c>
      <c r="I30" t="str">
        <f t="shared" si="68"/>
        <v xml:space="preserve">		public const int MaxKatashikiCodeLength = 5;
</v>
      </c>
      <c r="J30" t="str">
        <f t="shared" si="69"/>
        <v xml:space="preserve">		[StringLength(MaxKatashikiCodeLength)]
		public virtual string KatashikiCode { get; set; }
</v>
      </c>
      <c r="K30" s="6"/>
      <c r="L30" t="str">
        <f t="shared" si="70"/>
        <v/>
      </c>
      <c r="M30" t="str">
        <f t="shared" si="71"/>
        <v xml:space="preserve">		public virtual string KatashikiCode { get; set; }
</v>
      </c>
      <c r="N30" t="str">
        <f t="shared" si="72"/>
        <v xml:space="preserve">		[StringLength(MstInvGpsSupplierPicConsts.MaxKatashikiCodeLength)]
		public virtual string KatashikiCode { get; set; }
</v>
      </c>
      <c r="O30" t="str">
        <f t="shared" si="73"/>
        <v xml:space="preserve">		public virtual string KatashikiCode { get; set; }
</v>
      </c>
      <c r="P30" t="str">
        <f t="shared" si="74"/>
        <v xml:space="preserve">							KatashikiCode = o.KatashikiCode,</v>
      </c>
      <c r="T30" s="63" t="str">
        <f t="shared" si="75"/>
        <v xml:space="preserve">								("KatashikiCode"),</v>
      </c>
      <c r="V30" s="64" t="str">
        <f t="shared" si="76"/>
        <v xml:space="preserve">								_ =&gt; _.KatashikiCode,</v>
      </c>
      <c r="W30" s="63" t="str">
        <f t="shared" si="77"/>
        <v xml:space="preserve">				.WhereIf(!string.IsNullOrWhiteSpace(input.KatashikiCode), e =&gt; e.KatashikiCode.Contains(input.KatashikiCode))</v>
      </c>
    </row>
    <row r="31" spans="1:23" customFormat="1" ht="18.75" customHeight="1" x14ac:dyDescent="0.25">
      <c r="A31" s="28" t="s">
        <v>394</v>
      </c>
      <c r="B31" s="28" t="s">
        <v>439</v>
      </c>
      <c r="C31" t="s">
        <v>1</v>
      </c>
      <c r="D31" t="str">
        <f t="shared" si="65"/>
        <v>DisplayKatashiki</v>
      </c>
      <c r="E31" t="str">
        <f t="shared" si="66"/>
        <v>varchar</v>
      </c>
      <c r="F31" s="6"/>
      <c r="G31" t="str">
        <f t="shared" si="67"/>
        <v>20</v>
      </c>
      <c r="H31" t="str">
        <f>+VLOOKUP(E31,'Data Type Mapping'!A:B,2,)</f>
        <v>string</v>
      </c>
      <c r="I31" t="str">
        <f t="shared" si="68"/>
        <v xml:space="preserve">		public const int MaxDisplayKatashikiLength = 20;
</v>
      </c>
      <c r="J31" t="str">
        <f t="shared" si="69"/>
        <v xml:space="preserve">		[StringLength(MaxDisplayKatashikiLength)]
		public virtual string DisplayKatashiki { get; set; }
</v>
      </c>
      <c r="K31" s="6"/>
      <c r="L31" t="str">
        <f t="shared" si="70"/>
        <v/>
      </c>
      <c r="M31" t="str">
        <f t="shared" si="71"/>
        <v xml:space="preserve">		public virtual string DisplayKatashiki { get; set; }
</v>
      </c>
      <c r="N31" t="str">
        <f t="shared" si="72"/>
        <v xml:space="preserve">		[StringLength(MstInvGpsSupplierPicConsts.MaxDisplayKatashikiLength)]
		public virtual string DisplayKatashiki { get; set; }
</v>
      </c>
      <c r="O31" t="str">
        <f t="shared" si="73"/>
        <v xml:space="preserve">		public virtual string DisplayKatashiki { get; set; }
</v>
      </c>
      <c r="P31" t="str">
        <f t="shared" si="74"/>
        <v xml:space="preserve">							DisplayKatashiki = o.DisplayKatashiki,</v>
      </c>
      <c r="T31" s="63" t="str">
        <f t="shared" si="75"/>
        <v xml:space="preserve">								("DisplayKatashiki"),</v>
      </c>
      <c r="V31" s="64" t="str">
        <f t="shared" si="76"/>
        <v xml:space="preserve">								_ =&gt; _.DisplayKatashiki,</v>
      </c>
      <c r="W31" s="63" t="str">
        <f t="shared" si="77"/>
        <v xml:space="preserve">				.WhereIf(!string.IsNullOrWhiteSpace(input.DisplayKatashiki), e =&gt; e.DisplayKatashiki.Contains(input.DisplayKatashiki))</v>
      </c>
    </row>
    <row r="32" spans="1:23" customFormat="1" ht="18.75" customHeight="1" x14ac:dyDescent="0.25">
      <c r="A32" s="28" t="s">
        <v>395</v>
      </c>
      <c r="B32" s="28" t="s">
        <v>439</v>
      </c>
      <c r="C32" t="s">
        <v>1</v>
      </c>
      <c r="D32" t="str">
        <f t="shared" si="65"/>
        <v>CtlKatashiki</v>
      </c>
      <c r="E32" t="str">
        <f t="shared" si="66"/>
        <v>varchar</v>
      </c>
      <c r="F32" s="6"/>
      <c r="G32" t="str">
        <f t="shared" si="67"/>
        <v>20</v>
      </c>
      <c r="H32" t="str">
        <f>+VLOOKUP(E32,'Data Type Mapping'!A:B,2,)</f>
        <v>string</v>
      </c>
      <c r="I32" t="str">
        <f t="shared" si="68"/>
        <v xml:space="preserve">		public const int MaxCtlKatashikiLength = 20;
</v>
      </c>
      <c r="J32" t="str">
        <f t="shared" si="69"/>
        <v xml:space="preserve">		[StringLength(MaxCtlKatashikiLength)]
		public virtual string CtlKatashiki { get; set; }
</v>
      </c>
      <c r="K32" s="6"/>
      <c r="L32" t="str">
        <f t="shared" si="70"/>
        <v/>
      </c>
      <c r="M32" t="str">
        <f t="shared" si="71"/>
        <v xml:space="preserve">		public virtual string CtlKatashiki { get; set; }
</v>
      </c>
      <c r="N32" t="str">
        <f t="shared" si="72"/>
        <v xml:space="preserve">		[StringLength(MstInvGpsSupplierPicConsts.MaxCtlKatashikiLength)]
		public virtual string CtlKatashiki { get; set; }
</v>
      </c>
      <c r="O32" t="str">
        <f t="shared" si="73"/>
        <v xml:space="preserve">		public virtual string CtlKatashiki { get; set; }
</v>
      </c>
      <c r="P32" t="str">
        <f t="shared" si="74"/>
        <v xml:space="preserve">							CtlKatashiki = o.CtlKatashiki,</v>
      </c>
      <c r="T32" s="63" t="str">
        <f t="shared" si="75"/>
        <v xml:space="preserve">								("CtlKatashiki"),</v>
      </c>
      <c r="V32" s="64" t="str">
        <f t="shared" si="76"/>
        <v xml:space="preserve">								_ =&gt; _.CtlKatashiki,</v>
      </c>
      <c r="W32" s="63" t="str">
        <f t="shared" si="77"/>
        <v xml:space="preserve">				.WhereIf(!string.IsNullOrWhiteSpace(input.CtlKatashiki), e =&gt; e.CtlKatashiki.Contains(input.CtlKatashiki))</v>
      </c>
    </row>
    <row r="33" spans="1:23" customFormat="1" ht="18.75" customHeight="1" x14ac:dyDescent="0.25">
      <c r="A33" s="28" t="s">
        <v>396</v>
      </c>
      <c r="B33" s="28" t="s">
        <v>371</v>
      </c>
      <c r="C33" t="s">
        <v>1</v>
      </c>
      <c r="D33" t="str">
        <f t="shared" si="65"/>
        <v>LineOffKatashikiCode</v>
      </c>
      <c r="E33" t="str">
        <f t="shared" si="66"/>
        <v>varchar</v>
      </c>
      <c r="F33" s="6"/>
      <c r="G33" t="str">
        <f t="shared" si="67"/>
        <v>5</v>
      </c>
      <c r="H33" t="str">
        <f>+VLOOKUP(E33,'Data Type Mapping'!A:B,2,)</f>
        <v>string</v>
      </c>
      <c r="I33" t="str">
        <f t="shared" si="68"/>
        <v xml:space="preserve">		public const int MaxLineOffKatashikiCodeLength = 5;
</v>
      </c>
      <c r="J33" t="str">
        <f t="shared" si="69"/>
        <v xml:space="preserve">		[StringLength(MaxLineOffKatashikiCodeLength)]
		public virtual string LineOffKatashikiCode { get; set; }
</v>
      </c>
      <c r="K33" s="6"/>
      <c r="L33" t="str">
        <f t="shared" si="70"/>
        <v/>
      </c>
      <c r="M33" t="str">
        <f t="shared" si="71"/>
        <v xml:space="preserve">		public virtual string LineOffKatashikiCode { get; set; }
</v>
      </c>
      <c r="N33" t="str">
        <f t="shared" si="72"/>
        <v xml:space="preserve">		[StringLength(MstInvGpsSupplierPicConsts.MaxLineOffKatashikiCodeLength)]
		public virtual string LineOffKatashikiCode { get; set; }
</v>
      </c>
      <c r="O33" t="str">
        <f t="shared" si="73"/>
        <v xml:space="preserve">		public virtual string LineOffKatashikiCode { get; set; }
</v>
      </c>
      <c r="P33" t="str">
        <f t="shared" si="74"/>
        <v xml:space="preserve">							LineOffKatashikiCode = o.LineOffKatashikiCode,</v>
      </c>
      <c r="T33" s="63" t="str">
        <f t="shared" si="75"/>
        <v xml:space="preserve">								("LineOffKatashikiCode"),</v>
      </c>
      <c r="V33" s="64" t="str">
        <f t="shared" si="76"/>
        <v xml:space="preserve">								_ =&gt; _.LineOffKatashikiCode,</v>
      </c>
      <c r="W33" s="63" t="str">
        <f t="shared" si="77"/>
        <v xml:space="preserve">				.WhereIf(!string.IsNullOrWhiteSpace(input.LineOffKatashikiCode), e =&gt; e.LineOffKatashikiCode.Contains(input.LineOffKatashikiCode))</v>
      </c>
    </row>
    <row r="34" spans="1:23" customFormat="1" ht="18.75" customHeight="1" x14ac:dyDescent="0.25">
      <c r="A34" s="28" t="s">
        <v>397</v>
      </c>
      <c r="B34" s="28" t="s">
        <v>439</v>
      </c>
      <c r="C34" t="s">
        <v>1</v>
      </c>
      <c r="D34" t="str">
        <f t="shared" si="65"/>
        <v>LineOffKatashiki</v>
      </c>
      <c r="E34" t="str">
        <f t="shared" si="66"/>
        <v>varchar</v>
      </c>
      <c r="F34" s="6"/>
      <c r="G34" t="str">
        <f t="shared" si="67"/>
        <v>20</v>
      </c>
      <c r="H34" t="str">
        <f>+VLOOKUP(E34,'Data Type Mapping'!A:B,2,)</f>
        <v>string</v>
      </c>
      <c r="I34" t="str">
        <f t="shared" si="68"/>
        <v xml:space="preserve">		public const int MaxLineOffKatashikiLength = 20;
</v>
      </c>
      <c r="J34" t="str">
        <f t="shared" si="69"/>
        <v xml:space="preserve">		[StringLength(MaxLineOffKatashikiLength)]
		public virtual string LineOffKatashiki { get; set; }
</v>
      </c>
      <c r="K34" s="6"/>
      <c r="L34" t="str">
        <f t="shared" si="70"/>
        <v/>
      </c>
      <c r="M34" t="str">
        <f t="shared" si="71"/>
        <v xml:space="preserve">		public virtual string LineOffKatashiki { get; set; }
</v>
      </c>
      <c r="N34" t="str">
        <f t="shared" si="72"/>
        <v xml:space="preserve">		[StringLength(MstInvGpsSupplierPicConsts.MaxLineOffKatashikiLength)]
		public virtual string LineOffKatashiki { get; set; }
</v>
      </c>
      <c r="O34" t="str">
        <f t="shared" si="73"/>
        <v xml:space="preserve">		public virtual string LineOffKatashiki { get; set; }
</v>
      </c>
      <c r="P34" t="str">
        <f t="shared" si="74"/>
        <v xml:space="preserve">							LineOffKatashiki = o.LineOffKatashiki,</v>
      </c>
      <c r="T34" s="63" t="str">
        <f t="shared" si="75"/>
        <v xml:space="preserve">								("LineOffKatashiki"),</v>
      </c>
      <c r="V34" s="64" t="str">
        <f t="shared" si="76"/>
        <v xml:space="preserve">								_ =&gt; _.LineOffKatashiki,</v>
      </c>
      <c r="W34" s="63" t="str">
        <f t="shared" si="77"/>
        <v xml:space="preserve">				.WhereIf(!string.IsNullOrWhiteSpace(input.LineOffKatashiki), e =&gt; e.LineOffKatashiki.Contains(input.LineOffKatashiki))</v>
      </c>
    </row>
    <row r="35" spans="1:23" customFormat="1" ht="18.75" customHeight="1" x14ac:dyDescent="0.25">
      <c r="A35" s="28" t="s">
        <v>398</v>
      </c>
      <c r="B35" s="28" t="s">
        <v>435</v>
      </c>
      <c r="C35" t="s">
        <v>1</v>
      </c>
      <c r="D35" t="str">
        <f t="shared" si="65"/>
        <v>ExteriorCode</v>
      </c>
      <c r="E35" t="str">
        <f t="shared" si="66"/>
        <v>varchar</v>
      </c>
      <c r="F35" s="6"/>
      <c r="G35" t="str">
        <f t="shared" si="67"/>
        <v>4</v>
      </c>
      <c r="H35" t="str">
        <f>+VLOOKUP(E35,'Data Type Mapping'!A:B,2,)</f>
        <v>string</v>
      </c>
      <c r="I35" t="str">
        <f t="shared" si="68"/>
        <v xml:space="preserve">		public const int MaxExteriorCodeLength = 4;
</v>
      </c>
      <c r="J35" t="str">
        <f t="shared" si="69"/>
        <v xml:space="preserve">		[StringLength(MaxExteriorCodeLength)]
		public virtual string ExteriorCode { get; set; }
</v>
      </c>
      <c r="K35" s="6"/>
      <c r="L35" t="str">
        <f t="shared" si="70"/>
        <v/>
      </c>
      <c r="M35" t="str">
        <f t="shared" si="71"/>
        <v xml:space="preserve">		public virtual string ExteriorCode { get; set; }
</v>
      </c>
      <c r="N35" t="str">
        <f t="shared" si="72"/>
        <v xml:space="preserve">		[StringLength(MstInvGpsSupplierPicConsts.MaxExteriorCodeLength)]
		public virtual string ExteriorCode { get; set; }
</v>
      </c>
      <c r="O35" t="str">
        <f t="shared" si="73"/>
        <v xml:space="preserve">		public virtual string ExteriorCode { get; set; }
</v>
      </c>
      <c r="P35" t="str">
        <f t="shared" si="74"/>
        <v xml:space="preserve">							ExteriorCode = o.ExteriorCode,</v>
      </c>
      <c r="T35" s="63" t="str">
        <f t="shared" si="75"/>
        <v xml:space="preserve">								("ExteriorCode"),</v>
      </c>
      <c r="V35" s="64" t="str">
        <f t="shared" si="76"/>
        <v xml:space="preserve">								_ =&gt; _.ExteriorCode,</v>
      </c>
      <c r="W35" s="63" t="str">
        <f t="shared" si="77"/>
        <v xml:space="preserve">				.WhereIf(!string.IsNullOrWhiteSpace(input.ExteriorCode), e =&gt; e.ExteriorCode.Contains(input.ExteriorCode))</v>
      </c>
    </row>
    <row r="36" spans="1:23" customFormat="1" ht="18.75" customHeight="1" x14ac:dyDescent="0.25">
      <c r="A36" s="28" t="s">
        <v>399</v>
      </c>
      <c r="B36" s="28" t="s">
        <v>435</v>
      </c>
      <c r="C36" t="s">
        <v>1</v>
      </c>
      <c r="D36" t="str">
        <f t="shared" si="65"/>
        <v>InteriorCode</v>
      </c>
      <c r="E36" t="str">
        <f t="shared" si="66"/>
        <v>varchar</v>
      </c>
      <c r="F36" s="6"/>
      <c r="G36" t="str">
        <f t="shared" si="67"/>
        <v>4</v>
      </c>
      <c r="H36" t="str">
        <f>+VLOOKUP(E36,'Data Type Mapping'!A:B,2,)</f>
        <v>string</v>
      </c>
      <c r="I36" t="str">
        <f t="shared" si="68"/>
        <v xml:space="preserve">		public const int MaxInteriorCodeLength = 4;
</v>
      </c>
      <c r="J36" t="str">
        <f t="shared" si="69"/>
        <v xml:space="preserve">		[StringLength(MaxInteriorCodeLength)]
		public virtual string InteriorCode { get; set; }
</v>
      </c>
      <c r="K36" s="6"/>
      <c r="L36" t="str">
        <f t="shared" si="70"/>
        <v/>
      </c>
      <c r="M36" t="str">
        <f t="shared" si="71"/>
        <v xml:space="preserve">		public virtual string InteriorCode { get; set; }
</v>
      </c>
      <c r="N36" t="str">
        <f t="shared" si="72"/>
        <v xml:space="preserve">		[StringLength(MstInvGpsSupplierPicConsts.MaxInteriorCodeLength)]
		public virtual string InteriorCode { get; set; }
</v>
      </c>
      <c r="O36" t="str">
        <f t="shared" si="73"/>
        <v xml:space="preserve">		public virtual string InteriorCode { get; set; }
</v>
      </c>
      <c r="P36" t="str">
        <f t="shared" si="74"/>
        <v xml:space="preserve">							InteriorCode = o.InteriorCode,</v>
      </c>
      <c r="T36" s="63" t="str">
        <f t="shared" si="75"/>
        <v xml:space="preserve">								("InteriorCode"),</v>
      </c>
      <c r="V36" s="64" t="str">
        <f t="shared" si="76"/>
        <v xml:space="preserve">								_ =&gt; _.InteriorCode,</v>
      </c>
      <c r="W36" s="63" t="str">
        <f t="shared" si="77"/>
        <v xml:space="preserve">				.WhereIf(!string.IsNullOrWhiteSpace(input.InteriorCode), e =&gt; e.InteriorCode.Contains(input.InteriorCode))</v>
      </c>
    </row>
    <row r="37" spans="1:23" customFormat="1" ht="18.75" customHeight="1" x14ac:dyDescent="0.25">
      <c r="A37" s="28" t="s">
        <v>400</v>
      </c>
      <c r="B37" s="28" t="s">
        <v>440</v>
      </c>
      <c r="C37" t="s">
        <v>1</v>
      </c>
      <c r="D37" t="str">
        <f t="shared" si="65"/>
        <v>ProductionSpec</v>
      </c>
      <c r="E37" t="str">
        <f t="shared" si="66"/>
        <v>varchar</v>
      </c>
      <c r="F37" s="6"/>
      <c r="G37" t="str">
        <f t="shared" si="67"/>
        <v>200</v>
      </c>
      <c r="H37" t="str">
        <f>+VLOOKUP(E37,'Data Type Mapping'!A:B,2,)</f>
        <v>string</v>
      </c>
      <c r="I37" t="str">
        <f t="shared" si="68"/>
        <v xml:space="preserve">		public const int MaxProductionSpecLength = 200;
</v>
      </c>
      <c r="J37" t="str">
        <f t="shared" si="69"/>
        <v xml:space="preserve">		[StringLength(MaxProductionSpecLength)]
		public virtual string ProductionSpec { get; set; }
</v>
      </c>
      <c r="K37" s="6"/>
      <c r="L37" t="str">
        <f t="shared" si="70"/>
        <v/>
      </c>
      <c r="M37" t="str">
        <f t="shared" si="71"/>
        <v xml:space="preserve">		public virtual string ProductionSpec { get; set; }
</v>
      </c>
      <c r="N37" t="str">
        <f t="shared" si="72"/>
        <v xml:space="preserve">		[StringLength(MstInvGpsSupplierPicConsts.MaxProductionSpecLength)]
		public virtual string ProductionSpec { get; set; }
</v>
      </c>
      <c r="O37" t="str">
        <f t="shared" si="73"/>
        <v xml:space="preserve">		public virtual string ProductionSpec { get; set; }
</v>
      </c>
      <c r="P37" t="str">
        <f t="shared" si="74"/>
        <v xml:space="preserve">							ProductionSpec = o.ProductionSpec,</v>
      </c>
      <c r="T37" s="63" t="str">
        <f t="shared" si="75"/>
        <v xml:space="preserve">								("ProductionSpec"),</v>
      </c>
      <c r="V37" s="64" t="str">
        <f t="shared" si="76"/>
        <v xml:space="preserve">								_ =&gt; _.ProductionSpec,</v>
      </c>
      <c r="W37" s="63" t="str">
        <f t="shared" si="77"/>
        <v xml:space="preserve">				.WhereIf(!string.IsNullOrWhiteSpace(input.ProductionSpec), e =&gt; e.ProductionSpec.Contains(input.ProductionSpec))</v>
      </c>
    </row>
    <row r="38" spans="1:23" customFormat="1" ht="18.75" customHeight="1" x14ac:dyDescent="0.25">
      <c r="A38" s="28" t="s">
        <v>401</v>
      </c>
      <c r="B38" s="28" t="s">
        <v>435</v>
      </c>
      <c r="C38" t="s">
        <v>1</v>
      </c>
      <c r="D38" t="str">
        <f t="shared" si="65"/>
        <v>CarFamilyCode</v>
      </c>
      <c r="E38" t="str">
        <f t="shared" si="66"/>
        <v>varchar</v>
      </c>
      <c r="F38" s="6"/>
      <c r="G38" t="str">
        <f t="shared" si="67"/>
        <v>4</v>
      </c>
      <c r="H38" t="str">
        <f>+VLOOKUP(E38,'Data Type Mapping'!A:B,2,)</f>
        <v>string</v>
      </c>
      <c r="I38" t="str">
        <f t="shared" si="68"/>
        <v xml:space="preserve">		public const int MaxCarFamilyCodeLength = 4;
</v>
      </c>
      <c r="J38" t="str">
        <f t="shared" si="69"/>
        <v xml:space="preserve">		[StringLength(MaxCarFamilyCodeLength)]
		public virtual string CarFamilyCode { get; set; }
</v>
      </c>
      <c r="K38" s="6"/>
      <c r="L38" t="str">
        <f t="shared" si="70"/>
        <v/>
      </c>
      <c r="M38" t="str">
        <f t="shared" si="71"/>
        <v xml:space="preserve">		public virtual string CarFamilyCode { get; set; }
</v>
      </c>
      <c r="N38" t="str">
        <f t="shared" si="72"/>
        <v xml:space="preserve">		[StringLength(MstInvGpsSupplierPicConsts.MaxCarFamilyCodeLength)]
		public virtual string CarFamilyCode { get; set; }
</v>
      </c>
      <c r="O38" t="str">
        <f t="shared" si="73"/>
        <v xml:space="preserve">		public virtual string CarFamilyCode { get; set; }
</v>
      </c>
      <c r="P38" t="str">
        <f t="shared" si="74"/>
        <v xml:space="preserve">							CarFamilyCode = o.CarFamilyCode,</v>
      </c>
      <c r="T38" s="63" t="str">
        <f t="shared" si="75"/>
        <v xml:space="preserve">								("CarFamilyCode"),</v>
      </c>
      <c r="V38" s="64" t="str">
        <f t="shared" si="76"/>
        <v xml:space="preserve">								_ =&gt; _.CarFamilyCode,</v>
      </c>
      <c r="W38" s="63" t="str">
        <f t="shared" si="77"/>
        <v xml:space="preserve">				.WhereIf(!string.IsNullOrWhiteSpace(input.CarFamilyCode), e =&gt; e.CarFamilyCode.Contains(input.CarFamilyCode))</v>
      </c>
    </row>
    <row r="39" spans="1:23" customFormat="1" ht="18.75" customHeight="1" x14ac:dyDescent="0.25">
      <c r="A39" s="28" t="s">
        <v>402</v>
      </c>
      <c r="B39" s="28" t="s">
        <v>436</v>
      </c>
      <c r="C39" t="s">
        <v>1</v>
      </c>
      <c r="D39" t="str">
        <f t="shared" si="65"/>
        <v>DestinationCountryCode</v>
      </c>
      <c r="E39" t="str">
        <f t="shared" si="66"/>
        <v>varchar</v>
      </c>
      <c r="F39" s="6"/>
      <c r="G39" t="str">
        <f t="shared" si="67"/>
        <v>3</v>
      </c>
      <c r="H39" t="str">
        <f>+VLOOKUP(E39,'Data Type Mapping'!A:B,2,)</f>
        <v>string</v>
      </c>
      <c r="I39" t="str">
        <f t="shared" si="68"/>
        <v xml:space="preserve">		public const int MaxDestinationCountryCodeLength = 3;
</v>
      </c>
      <c r="J39" t="str">
        <f t="shared" si="69"/>
        <v xml:space="preserve">		[StringLength(MaxDestinationCountryCodeLength)]
		public virtual string DestinationCountryCode { get; set; }
</v>
      </c>
      <c r="K39" s="6"/>
      <c r="L39" t="str">
        <f t="shared" si="70"/>
        <v/>
      </c>
      <c r="M39" t="str">
        <f t="shared" si="71"/>
        <v xml:space="preserve">		public virtual string DestinationCountryCode { get; set; }
</v>
      </c>
      <c r="N39" t="str">
        <f t="shared" si="72"/>
        <v xml:space="preserve">		[StringLength(MstInvGpsSupplierPicConsts.MaxDestinationCountryCodeLength)]
		public virtual string DestinationCountryCode { get; set; }
</v>
      </c>
      <c r="O39" t="str">
        <f t="shared" si="73"/>
        <v xml:space="preserve">		public virtual string DestinationCountryCode { get; set; }
</v>
      </c>
      <c r="P39" t="str">
        <f t="shared" si="74"/>
        <v xml:space="preserve">							DestinationCountryCode = o.DestinationCountryCode,</v>
      </c>
      <c r="T39" s="63" t="str">
        <f t="shared" si="75"/>
        <v xml:space="preserve">								("DestinationCountryCode"),</v>
      </c>
      <c r="V39" s="64" t="str">
        <f t="shared" si="76"/>
        <v xml:space="preserve">								_ =&gt; _.DestinationCountryCode,</v>
      </c>
      <c r="W39" s="63" t="str">
        <f t="shared" si="77"/>
        <v xml:space="preserve">				.WhereIf(!string.IsNullOrWhiteSpace(input.DestinationCountryCode), e =&gt; e.DestinationCountryCode.Contains(input.DestinationCountryCode))</v>
      </c>
    </row>
    <row r="40" spans="1:23" customFormat="1" ht="18.75" customHeight="1" x14ac:dyDescent="0.25">
      <c r="A40" s="28" t="s">
        <v>403</v>
      </c>
      <c r="B40" s="28" t="s">
        <v>439</v>
      </c>
      <c r="C40" t="s">
        <v>1</v>
      </c>
      <c r="D40" t="str">
        <f t="shared" si="65"/>
        <v>DestinationCountryName</v>
      </c>
      <c r="E40" t="str">
        <f t="shared" si="66"/>
        <v>varchar</v>
      </c>
      <c r="F40" s="6"/>
      <c r="G40" t="str">
        <f t="shared" si="67"/>
        <v>20</v>
      </c>
      <c r="H40" t="str">
        <f>+VLOOKUP(E40,'Data Type Mapping'!A:B,2,)</f>
        <v>string</v>
      </c>
      <c r="I40" t="str">
        <f t="shared" si="68"/>
        <v xml:space="preserve">		public const int MaxDestinationCountryNameLength = 20;
</v>
      </c>
      <c r="J40" t="str">
        <f t="shared" si="69"/>
        <v xml:space="preserve">		[StringLength(MaxDestinationCountryNameLength)]
		public virtual string DestinationCountryName { get; set; }
</v>
      </c>
      <c r="K40" s="6"/>
      <c r="L40" t="str">
        <f t="shared" si="70"/>
        <v/>
      </c>
      <c r="M40" t="str">
        <f t="shared" si="71"/>
        <v xml:space="preserve">		public virtual string DestinationCountryName { get; set; }
</v>
      </c>
      <c r="N40" t="str">
        <f t="shared" si="72"/>
        <v xml:space="preserve">		[StringLength(MstInvGpsSupplierPicConsts.MaxDestinationCountryNameLength)]
		public virtual string DestinationCountryName { get; set; }
</v>
      </c>
      <c r="O40" t="str">
        <f t="shared" si="73"/>
        <v xml:space="preserve">		public virtual string DestinationCountryName { get; set; }
</v>
      </c>
      <c r="P40" t="str">
        <f t="shared" si="74"/>
        <v xml:space="preserve">							DestinationCountryName = o.DestinationCountryName,</v>
      </c>
      <c r="T40" s="63" t="str">
        <f t="shared" si="75"/>
        <v xml:space="preserve">								("DestinationCountryName"),</v>
      </c>
      <c r="V40" s="64" t="str">
        <f t="shared" si="76"/>
        <v xml:space="preserve">								_ =&gt; _.DestinationCountryName,</v>
      </c>
      <c r="W40" s="63" t="str">
        <f t="shared" si="77"/>
        <v xml:space="preserve">				.WhereIf(!string.IsNullOrWhiteSpace(input.DestinationCountryName), e =&gt; e.DestinationCountryName.Contains(input.DestinationCountryName))</v>
      </c>
    </row>
    <row r="41" spans="1:23" customFormat="1" ht="18.75" customHeight="1" x14ac:dyDescent="0.25">
      <c r="A41" s="28" t="s">
        <v>404</v>
      </c>
      <c r="B41" s="28" t="s">
        <v>373</v>
      </c>
      <c r="C41" t="s">
        <v>1</v>
      </c>
      <c r="D41" t="str">
        <f t="shared" si="65"/>
        <v>KdLotCode</v>
      </c>
      <c r="E41" t="str">
        <f t="shared" si="66"/>
        <v>varchar</v>
      </c>
      <c r="F41" s="6"/>
      <c r="G41" t="str">
        <f t="shared" si="67"/>
        <v>2</v>
      </c>
      <c r="H41" t="str">
        <f>+VLOOKUP(E41,'Data Type Mapping'!A:B,2,)</f>
        <v>string</v>
      </c>
      <c r="I41" t="str">
        <f t="shared" si="68"/>
        <v xml:space="preserve">		public const int MaxKdLotCodeLength = 2;
</v>
      </c>
      <c r="J41" t="str">
        <f t="shared" si="69"/>
        <v xml:space="preserve">		[StringLength(MaxKdLotCodeLength)]
		public virtual string KdLotCode { get; set; }
</v>
      </c>
      <c r="K41" s="6"/>
      <c r="L41" t="str">
        <f t="shared" si="70"/>
        <v/>
      </c>
      <c r="M41" t="str">
        <f t="shared" si="71"/>
        <v xml:space="preserve">		public virtual string KdLotCode { get; set; }
</v>
      </c>
      <c r="N41" t="str">
        <f t="shared" si="72"/>
        <v xml:space="preserve">		[StringLength(MstInvGpsSupplierPicConsts.MaxKdLotCodeLength)]
		public virtual string KdLotCode { get; set; }
</v>
      </c>
      <c r="O41" t="str">
        <f t="shared" si="73"/>
        <v xml:space="preserve">		public virtual string KdLotCode { get; set; }
</v>
      </c>
      <c r="P41" t="str">
        <f t="shared" si="74"/>
        <v xml:space="preserve">							KdLotCode = o.KdLotCode,</v>
      </c>
      <c r="T41" s="63" t="str">
        <f t="shared" si="75"/>
        <v xml:space="preserve">								("KdLotCode"),</v>
      </c>
      <c r="V41" s="64" t="str">
        <f t="shared" si="76"/>
        <v xml:space="preserve">								_ =&gt; _.KdLotCode,</v>
      </c>
      <c r="W41" s="63" t="str">
        <f t="shared" si="77"/>
        <v xml:space="preserve">				.WhereIf(!string.IsNullOrWhiteSpace(input.KdLotCode), e =&gt; e.KdLotCode.Contains(input.KdLotCode))</v>
      </c>
    </row>
    <row r="42" spans="1:23" customFormat="1" ht="18.75" customHeight="1" x14ac:dyDescent="0.25">
      <c r="A42" s="28" t="s">
        <v>405</v>
      </c>
      <c r="B42" s="28" t="s">
        <v>435</v>
      </c>
      <c r="C42" t="s">
        <v>1</v>
      </c>
      <c r="D42" t="str">
        <f t="shared" si="65"/>
        <v>KdLotNo</v>
      </c>
      <c r="E42" t="str">
        <f t="shared" si="66"/>
        <v>varchar</v>
      </c>
      <c r="F42" s="6"/>
      <c r="G42" t="str">
        <f t="shared" si="67"/>
        <v>4</v>
      </c>
      <c r="H42" t="str">
        <f>+VLOOKUP(E42,'Data Type Mapping'!A:B,2,)</f>
        <v>string</v>
      </c>
      <c r="I42" t="str">
        <f t="shared" si="68"/>
        <v xml:space="preserve">		public const int MaxKdLotNoLength = 4;
</v>
      </c>
      <c r="J42" t="str">
        <f t="shared" si="69"/>
        <v xml:space="preserve">		[StringLength(MaxKdLotNoLength)]
		public virtual string KdLotNo { get; set; }
</v>
      </c>
      <c r="K42" s="6"/>
      <c r="L42" t="str">
        <f t="shared" si="70"/>
        <v/>
      </c>
      <c r="M42" t="str">
        <f t="shared" si="71"/>
        <v xml:space="preserve">		public virtual string KdLotNo { get; set; }
</v>
      </c>
      <c r="N42" t="str">
        <f t="shared" si="72"/>
        <v xml:space="preserve">		[StringLength(MstInvGpsSupplierPicConsts.MaxKdLotNoLength)]
		public virtual string KdLotNo { get; set; }
</v>
      </c>
      <c r="O42" t="str">
        <f t="shared" si="73"/>
        <v xml:space="preserve">		public virtual string KdLotNo { get; set; }
</v>
      </c>
      <c r="P42" t="str">
        <f t="shared" si="74"/>
        <v xml:space="preserve">							KdLotNo = o.KdLotNo,</v>
      </c>
      <c r="T42" s="63" t="str">
        <f t="shared" si="75"/>
        <v xml:space="preserve">								("KdLotNo"),</v>
      </c>
      <c r="V42" s="64" t="str">
        <f t="shared" si="76"/>
        <v xml:space="preserve">								_ =&gt; _.KdLotNo,</v>
      </c>
      <c r="W42" s="63" t="str">
        <f t="shared" si="77"/>
        <v xml:space="preserve">				.WhereIf(!string.IsNullOrWhiteSpace(input.KdLotNo), e =&gt; e.KdLotNo.Contains(input.KdLotNo))</v>
      </c>
    </row>
    <row r="43" spans="1:23" customFormat="1" ht="18.75" customHeight="1" x14ac:dyDescent="0.25">
      <c r="A43" s="28" t="s">
        <v>406</v>
      </c>
      <c r="B43" s="28" t="s">
        <v>373</v>
      </c>
      <c r="C43" t="s">
        <v>1</v>
      </c>
      <c r="D43" t="str">
        <f t="shared" si="65"/>
        <v>KdSubType</v>
      </c>
      <c r="E43" t="str">
        <f t="shared" si="66"/>
        <v>varchar</v>
      </c>
      <c r="F43" s="6"/>
      <c r="G43" t="str">
        <f t="shared" si="67"/>
        <v>2</v>
      </c>
      <c r="H43" t="str">
        <f>+VLOOKUP(E43,'Data Type Mapping'!A:B,2,)</f>
        <v>string</v>
      </c>
      <c r="I43" t="str">
        <f t="shared" si="68"/>
        <v xml:space="preserve">		public const int MaxKdSubTypeLength = 2;
</v>
      </c>
      <c r="J43" t="str">
        <f t="shared" si="69"/>
        <v xml:space="preserve">		[StringLength(MaxKdSubTypeLength)]
		public virtual string KdSubType { get; set; }
</v>
      </c>
      <c r="K43" s="6"/>
      <c r="L43" t="str">
        <f t="shared" si="70"/>
        <v/>
      </c>
      <c r="M43" t="str">
        <f t="shared" si="71"/>
        <v xml:space="preserve">		public virtual string KdSubType { get; set; }
</v>
      </c>
      <c r="N43" t="str">
        <f t="shared" si="72"/>
        <v xml:space="preserve">		[StringLength(MstInvGpsSupplierPicConsts.MaxKdSubTypeLength)]
		public virtual string KdSubType { get; set; }
</v>
      </c>
      <c r="O43" t="str">
        <f t="shared" si="73"/>
        <v xml:space="preserve">		public virtual string KdSubType { get; set; }
</v>
      </c>
      <c r="P43" t="str">
        <f t="shared" si="74"/>
        <v xml:space="preserve">							KdSubType = o.KdSubType,</v>
      </c>
      <c r="T43" s="63" t="str">
        <f t="shared" si="75"/>
        <v xml:space="preserve">								("KdSubType"),</v>
      </c>
      <c r="V43" s="64" t="str">
        <f t="shared" si="76"/>
        <v xml:space="preserve">								_ =&gt; _.KdSubType,</v>
      </c>
      <c r="W43" s="63" t="str">
        <f t="shared" si="77"/>
        <v xml:space="preserve">				.WhereIf(!string.IsNullOrWhiteSpace(input.KdSubType), e =&gt; e.KdSubType.Contains(input.KdSubType))</v>
      </c>
    </row>
    <row r="44" spans="1:23" customFormat="1" ht="18.75" customHeight="1" x14ac:dyDescent="0.25">
      <c r="A44" s="28" t="s">
        <v>407</v>
      </c>
      <c r="B44" s="28" t="s">
        <v>361</v>
      </c>
      <c r="C44" t="s">
        <v>1</v>
      </c>
      <c r="D44" t="str">
        <f t="shared" si="65"/>
        <v>PamsLotSfx</v>
      </c>
      <c r="E44" t="str">
        <f t="shared" si="66"/>
        <v>varchar</v>
      </c>
      <c r="F44" s="6"/>
      <c r="G44" t="str">
        <f t="shared" si="67"/>
        <v>1</v>
      </c>
      <c r="H44" t="str">
        <f>+VLOOKUP(E44,'Data Type Mapping'!A:B,2,)</f>
        <v>string</v>
      </c>
      <c r="I44" t="str">
        <f t="shared" si="68"/>
        <v xml:space="preserve">		public const int MaxPamsLotSfxLength = 1;
</v>
      </c>
      <c r="J44" t="str">
        <f t="shared" si="69"/>
        <v xml:space="preserve">		[StringLength(MaxPamsLotSfxLength)]
		public virtual string PamsLotSfx { get; set; }
</v>
      </c>
      <c r="K44" s="6"/>
      <c r="L44" t="str">
        <f t="shared" si="70"/>
        <v/>
      </c>
      <c r="M44" t="str">
        <f t="shared" si="71"/>
        <v xml:space="preserve">		public virtual string PamsLotSfx { get; set; }
</v>
      </c>
      <c r="N44" t="str">
        <f t="shared" si="72"/>
        <v xml:space="preserve">		[StringLength(MstInvGpsSupplierPicConsts.MaxPamsLotSfxLength)]
		public virtual string PamsLotSfx { get; set; }
</v>
      </c>
      <c r="O44" t="str">
        <f t="shared" si="73"/>
        <v xml:space="preserve">		public virtual string PamsLotSfx { get; set; }
</v>
      </c>
      <c r="P44" t="str">
        <f t="shared" si="74"/>
        <v xml:space="preserve">							PamsLotSfx = o.PamsLotSfx,</v>
      </c>
      <c r="T44" s="63" t="str">
        <f t="shared" si="75"/>
        <v xml:space="preserve">								("PamsLotSfx"),</v>
      </c>
      <c r="V44" s="64" t="str">
        <f t="shared" si="76"/>
        <v xml:space="preserve">								_ =&gt; _.PamsLotSfx,</v>
      </c>
      <c r="W44" s="63" t="str">
        <f t="shared" si="77"/>
        <v xml:space="preserve">				.WhereIf(!string.IsNullOrWhiteSpace(input.PamsLotSfx), e =&gt; e.PamsLotSfx.Contains(input.PamsLotSfx))</v>
      </c>
    </row>
    <row r="45" spans="1:23" customFormat="1" ht="18.75" customHeight="1" x14ac:dyDescent="0.25">
      <c r="A45" s="28" t="s">
        <v>408</v>
      </c>
      <c r="B45" s="28" t="s">
        <v>371</v>
      </c>
      <c r="C45" t="s">
        <v>1</v>
      </c>
      <c r="D45" t="str">
        <f t="shared" si="65"/>
        <v>EngineBasicKatashiki</v>
      </c>
      <c r="E45" t="str">
        <f t="shared" si="66"/>
        <v>varchar</v>
      </c>
      <c r="F45" s="6"/>
      <c r="G45" t="str">
        <f t="shared" si="67"/>
        <v>5</v>
      </c>
      <c r="H45" t="str">
        <f>+VLOOKUP(E45,'Data Type Mapping'!A:B,2,)</f>
        <v>string</v>
      </c>
      <c r="I45" t="str">
        <f t="shared" si="68"/>
        <v xml:space="preserve">		public const int MaxEngineBasicKatashikiLength = 5;
</v>
      </c>
      <c r="J45" t="str">
        <f t="shared" si="69"/>
        <v xml:space="preserve">		[StringLength(MaxEngineBasicKatashikiLength)]
		public virtual string EngineBasicKatashiki { get; set; }
</v>
      </c>
      <c r="K45" s="6"/>
      <c r="L45" t="str">
        <f t="shared" si="70"/>
        <v/>
      </c>
      <c r="M45" t="str">
        <f t="shared" si="71"/>
        <v xml:space="preserve">		public virtual string EngineBasicKatashiki { get; set; }
</v>
      </c>
      <c r="N45" t="str">
        <f t="shared" si="72"/>
        <v xml:space="preserve">		[StringLength(MstInvGpsSupplierPicConsts.MaxEngineBasicKatashikiLength)]
		public virtual string EngineBasicKatashiki { get; set; }
</v>
      </c>
      <c r="O45" t="str">
        <f t="shared" si="73"/>
        <v xml:space="preserve">		public virtual string EngineBasicKatashiki { get; set; }
</v>
      </c>
      <c r="P45" t="str">
        <f t="shared" si="74"/>
        <v xml:space="preserve">							EngineBasicKatashiki = o.EngineBasicKatashiki,</v>
      </c>
      <c r="T45" s="63" t="str">
        <f t="shared" si="75"/>
        <v xml:space="preserve">								("EngineBasicKatashiki"),</v>
      </c>
      <c r="V45" s="64" t="str">
        <f t="shared" si="76"/>
        <v xml:space="preserve">								_ =&gt; _.EngineBasicKatashiki,</v>
      </c>
      <c r="W45" s="63" t="str">
        <f t="shared" si="77"/>
        <v xml:space="preserve">				.WhereIf(!string.IsNullOrWhiteSpace(input.EngineBasicKatashiki), e =&gt; e.EngineBasicKatashiki.Contains(input.EngineBasicKatashiki))</v>
      </c>
    </row>
    <row r="46" spans="1:23" customFormat="1" ht="18.75" customHeight="1" x14ac:dyDescent="0.25">
      <c r="A46" s="28" t="s">
        <v>409</v>
      </c>
      <c r="B46" s="28" t="s">
        <v>371</v>
      </c>
      <c r="C46" t="s">
        <v>1</v>
      </c>
      <c r="D46" t="str">
        <f t="shared" si="65"/>
        <v>MotorBasicKatashiki</v>
      </c>
      <c r="E46" t="str">
        <f t="shared" si="66"/>
        <v>varchar</v>
      </c>
      <c r="F46" s="6"/>
      <c r="G46" t="str">
        <f t="shared" si="67"/>
        <v>5</v>
      </c>
      <c r="H46" t="str">
        <f>+VLOOKUP(E46,'Data Type Mapping'!A:B,2,)</f>
        <v>string</v>
      </c>
      <c r="I46" t="str">
        <f t="shared" si="68"/>
        <v xml:space="preserve">		public const int MaxMotorBasicKatashikiLength = 5;
</v>
      </c>
      <c r="J46" t="str">
        <f t="shared" si="69"/>
        <v xml:space="preserve">		[StringLength(MaxMotorBasicKatashikiLength)]
		public virtual string MotorBasicKatashiki { get; set; }
</v>
      </c>
      <c r="K46" s="6"/>
      <c r="L46" t="str">
        <f t="shared" si="70"/>
        <v/>
      </c>
      <c r="M46" t="str">
        <f t="shared" si="71"/>
        <v xml:space="preserve">		public virtual string MotorBasicKatashiki { get; set; }
</v>
      </c>
      <c r="N46" t="str">
        <f t="shared" si="72"/>
        <v xml:space="preserve">		[StringLength(MstInvGpsSupplierPicConsts.MaxMotorBasicKatashikiLength)]
		public virtual string MotorBasicKatashiki { get; set; }
</v>
      </c>
      <c r="O46" t="str">
        <f t="shared" si="73"/>
        <v xml:space="preserve">		public virtual string MotorBasicKatashiki { get; set; }
</v>
      </c>
      <c r="P46" t="str">
        <f t="shared" si="74"/>
        <v xml:space="preserve">							MotorBasicKatashiki = o.MotorBasicKatashiki,</v>
      </c>
      <c r="T46" s="63" t="str">
        <f t="shared" si="75"/>
        <v xml:space="preserve">								("MotorBasicKatashiki"),</v>
      </c>
      <c r="V46" s="64" t="str">
        <f t="shared" si="76"/>
        <v xml:space="preserve">								_ =&gt; _.MotorBasicKatashiki,</v>
      </c>
      <c r="W46" s="63" t="str">
        <f t="shared" si="77"/>
        <v xml:space="preserve">				.WhereIf(!string.IsNullOrWhiteSpace(input.MotorBasicKatashiki), e =&gt; e.MotorBasicKatashiki.Contains(input.MotorBasicKatashiki))</v>
      </c>
    </row>
    <row r="47" spans="1:23" customFormat="1" ht="18.75" customHeight="1" x14ac:dyDescent="0.25">
      <c r="A47" s="28" t="s">
        <v>410</v>
      </c>
      <c r="B47" s="28" t="s">
        <v>373</v>
      </c>
      <c r="C47" t="s">
        <v>1</v>
      </c>
      <c r="D47" t="str">
        <f t="shared" si="65"/>
        <v>ProductionLotSize</v>
      </c>
      <c r="E47" t="str">
        <f t="shared" si="66"/>
        <v>varchar</v>
      </c>
      <c r="F47" s="6"/>
      <c r="G47" t="str">
        <f t="shared" si="67"/>
        <v>2</v>
      </c>
      <c r="H47" t="str">
        <f>+VLOOKUP(E47,'Data Type Mapping'!A:B,2,)</f>
        <v>string</v>
      </c>
      <c r="I47" t="str">
        <f t="shared" si="68"/>
        <v xml:space="preserve">		public const int MaxProductionLotSizeLength = 2;
</v>
      </c>
      <c r="J47" t="str">
        <f t="shared" si="69"/>
        <v xml:space="preserve">		[StringLength(MaxProductionLotSizeLength)]
		public virtual string ProductionLotSize { get; set; }
</v>
      </c>
      <c r="K47" s="6"/>
      <c r="L47" t="str">
        <f t="shared" si="70"/>
        <v/>
      </c>
      <c r="M47" t="str">
        <f t="shared" si="71"/>
        <v xml:space="preserve">		public virtual string ProductionLotSize { get; set; }
</v>
      </c>
      <c r="N47" t="str">
        <f t="shared" si="72"/>
        <v xml:space="preserve">		[StringLength(MstInvGpsSupplierPicConsts.MaxProductionLotSizeLength)]
		public virtual string ProductionLotSize { get; set; }
</v>
      </c>
      <c r="O47" t="str">
        <f t="shared" si="73"/>
        <v xml:space="preserve">		public virtual string ProductionLotSize { get; set; }
</v>
      </c>
      <c r="P47" t="str">
        <f t="shared" si="74"/>
        <v xml:space="preserve">							ProductionLotSize = o.ProductionLotSize,</v>
      </c>
      <c r="T47" s="63" t="str">
        <f t="shared" si="75"/>
        <v xml:space="preserve">								("ProductionLotSize"),</v>
      </c>
      <c r="V47" s="64" t="str">
        <f t="shared" si="76"/>
        <v xml:space="preserve">								_ =&gt; _.ProductionLotSize,</v>
      </c>
      <c r="W47" s="63" t="str">
        <f t="shared" si="77"/>
        <v xml:space="preserve">				.WhereIf(!string.IsNullOrWhiteSpace(input.ProductionLotSize), e =&gt; e.ProductionLotSize.Contains(input.ProductionLotSize))</v>
      </c>
    </row>
    <row r="48" spans="1:23" customFormat="1" ht="18.75" customHeight="1" x14ac:dyDescent="0.25">
      <c r="A48" s="28" t="s">
        <v>411</v>
      </c>
      <c r="B48" s="28" t="s">
        <v>435</v>
      </c>
      <c r="C48" t="s">
        <v>1</v>
      </c>
      <c r="D48" t="str">
        <f t="shared" ref="D48:D66" si="78">SUBSTITUTE(PROPER(A48),"_","")</f>
        <v>MakerCode</v>
      </c>
      <c r="E48" t="str">
        <f t="shared" ref="E48:E66" si="79">IFERROR(LEFT(B48, FIND("(",B48)-1),B48)</f>
        <v>varchar</v>
      </c>
      <c r="F48" s="6"/>
      <c r="G48" t="str">
        <f t="shared" ref="G48:G66" si="80">IFERROR(MID(B48,FIND("(",B48) +1, FIND(")",B48) - FIND("(",B48) - 1),"")</f>
        <v>4</v>
      </c>
      <c r="H48" t="str">
        <f>+VLOOKUP(E48,'Data Type Mapping'!A:B,2,)</f>
        <v>string</v>
      </c>
      <c r="I48" t="str">
        <f t="shared" ref="I48:I66" si="81">IF(H48="string",REPT(CHAR(9),2)&amp;"public const int Max"&amp;D48&amp;"Length = "&amp;G48&amp;";"&amp;$E$3,"" )</f>
        <v xml:space="preserve">		public const int MaxMakerCodeLength = 4;
</v>
      </c>
      <c r="J48" t="str">
        <f t="shared" ref="J48:J66" si="82">IF(F48="","",REPT(CHAR(9),2)&amp;"[Column(TypeName="""&amp;F48&amp;""")]"&amp;$E$3)&amp;IF(C48="Checked","",$I$3)&amp;IF(H48="string",REPT(CHAR(9),2)&amp;"[StringLength(Max"&amp;D48&amp;"Length"&amp;")]"&amp;$E$3,"")&amp;REPT(CHAR(9),2)&amp;"public virtual "&amp;H48&amp;IF(C48="?","? "," ")&amp;D48&amp;" { get; set; }" &amp; "
"</f>
        <v xml:space="preserve">		[StringLength(MaxMakerCodeLength)]
		public virtual string MakerCode { get; set; }
</v>
      </c>
      <c r="K48" s="6"/>
      <c r="L48" t="str">
        <f t="shared" ref="L48:L66" si="83">IF(K48="","",REPT(CHAR(9),1)&amp;"[Index(nameof("&amp;IF(D48="","",""&amp;D48)&amp;")"&amp;", Name="&amp;"""IX_"&amp;$B$7&amp;"_"&amp;D48&amp;""")]")</f>
        <v/>
      </c>
      <c r="M48" t="str">
        <f t="shared" ref="M48:M66" si="84">REPT(CHAR(9),2)&amp;"public virtual "&amp;IF(OR(H48="DateTime",H48="TimeSpan"),H48&amp;"?",H48)&amp;IF(C48="?","? "," ")&amp;D48&amp;" { get; set; }" &amp; "
"</f>
        <v xml:space="preserve">		public virtual string MakerCode { get; set; }
</v>
      </c>
      <c r="N48" t="str">
        <f t="shared" ref="N48:N66" si="85">IF(C48="Checked","",$I$3)&amp;IF(H48="string",REPT(CHAR(9),2)&amp;"[StringLength("&amp;$B$3&amp;"Consts.Max"&amp;D48&amp;"Length"&amp;")]"&amp;$E$3,"")&amp;REPT(CHAR(9),2)&amp;"public virtual "&amp;IF(OR(H48="DateTime",H48="TimeSpan"),H48&amp;"?",H48)&amp;IF(C48="?","? "," ")&amp;D48&amp;" { get; set; }" &amp; "
"</f>
        <v xml:space="preserve">		[StringLength(MstInvGpsSupplierPicConsts.MaxMakerCodeLength)]
		public virtual string MakerCode { get; set; }
</v>
      </c>
      <c r="O48" t="str">
        <f t="shared" ref="O48:O66" si="86">IF(OR(H48="string",H48="DateTime",H48="int"),REPT(CHAR(9),2)&amp;"public virtual "&amp;IF(OR(H48="DateTime",H48="TimeSpan"),H48&amp;"?",H48)&amp;IF(C48="?","? "," ")&amp;D48&amp;" { get; set; }"&amp;$E$3,"")</f>
        <v xml:space="preserve">		public virtual string MakerCode { get; set; }
</v>
      </c>
      <c r="P48" t="str">
        <f t="shared" ref="P48:P66" si="87">REPT(CHAR(9),7)&amp;D48&amp;" = o." &amp;D48 &amp;","</f>
        <v xml:space="preserve">							MakerCode = o.MakerCode,</v>
      </c>
      <c r="T48" s="63" t="str">
        <f t="shared" ref="T48:T66" si="88">REPT(CHAR(9),8)&amp;"("""&amp;D48&amp;"""),"</f>
        <v xml:space="preserve">								("MakerCode"),</v>
      </c>
      <c r="V48" s="64" t="str">
        <f t="shared" ref="V48:V66" si="89">REPT(CHAR(9),8)&amp;"_ =&gt; _."&amp;D48&amp;","</f>
        <v xml:space="preserve">								_ =&gt; _.MakerCode,</v>
      </c>
      <c r="W48" s="63" t="str">
        <f t="shared" ref="W48:W66" si="90">IF(H48="string",REPT(CHAR(9),4)&amp;".WhereIf(!string.IsNullOrWhiteSpace(input."&amp;D48&amp;"), e =&gt; e."&amp;D48&amp;".Contains(input."&amp;D48&amp;"))",IF(H48="DateTime",REPT(CHAR(9),4)&amp;".WhereIf(input."&amp;D48&amp;".HasValue, t =&gt; t."&amp;D48&amp;" == input."&amp;D48&amp;".Value)",""))</f>
        <v xml:space="preserve">				.WhereIf(!string.IsNullOrWhiteSpace(input.MakerCode), e =&gt; e.MakerCode.Contains(input.MakerCode))</v>
      </c>
    </row>
    <row r="49" spans="1:23" customFormat="1" ht="18.75" customHeight="1" x14ac:dyDescent="0.25">
      <c r="A49" s="28" t="s">
        <v>412</v>
      </c>
      <c r="B49" s="28" t="s">
        <v>437</v>
      </c>
      <c r="C49" t="s">
        <v>1</v>
      </c>
      <c r="D49" t="str">
        <f t="shared" si="78"/>
        <v>PackingYearMonth</v>
      </c>
      <c r="E49" t="str">
        <f t="shared" si="79"/>
        <v>varchar</v>
      </c>
      <c r="F49" s="6"/>
      <c r="G49" t="str">
        <f t="shared" si="80"/>
        <v>6</v>
      </c>
      <c r="H49" t="str">
        <f>+VLOOKUP(E49,'Data Type Mapping'!A:B,2,)</f>
        <v>string</v>
      </c>
      <c r="I49" t="str">
        <f t="shared" si="81"/>
        <v xml:space="preserve">		public const int MaxPackingYearMonthLength = 6;
</v>
      </c>
      <c r="J49" t="str">
        <f t="shared" si="82"/>
        <v xml:space="preserve">		[StringLength(MaxPackingYearMonthLength)]
		public virtual string PackingYearMonth { get; set; }
</v>
      </c>
      <c r="K49" s="6"/>
      <c r="L49" t="str">
        <f t="shared" si="83"/>
        <v/>
      </c>
      <c r="M49" t="str">
        <f t="shared" si="84"/>
        <v xml:space="preserve">		public virtual string PackingYearMonth { get; set; }
</v>
      </c>
      <c r="N49" t="str">
        <f t="shared" si="85"/>
        <v xml:space="preserve">		[StringLength(MstInvGpsSupplierPicConsts.MaxPackingYearMonthLength)]
		public virtual string PackingYearMonth { get; set; }
</v>
      </c>
      <c r="O49" t="str">
        <f t="shared" si="86"/>
        <v xml:space="preserve">		public virtual string PackingYearMonth { get; set; }
</v>
      </c>
      <c r="P49" t="str">
        <f t="shared" si="87"/>
        <v xml:space="preserve">							PackingYearMonth = o.PackingYearMonth,</v>
      </c>
      <c r="T49" s="63" t="str">
        <f t="shared" si="88"/>
        <v xml:space="preserve">								("PackingYearMonth"),</v>
      </c>
      <c r="V49" s="64" t="str">
        <f t="shared" si="89"/>
        <v xml:space="preserve">								_ =&gt; _.PackingYearMonth,</v>
      </c>
      <c r="W49" s="63" t="str">
        <f t="shared" si="90"/>
        <v xml:space="preserve">				.WhereIf(!string.IsNullOrWhiteSpace(input.PackingYearMonth), e =&gt; e.PackingYearMonth.Contains(input.PackingYearMonth))</v>
      </c>
    </row>
    <row r="50" spans="1:23" customFormat="1" ht="18.75" customHeight="1" x14ac:dyDescent="0.25">
      <c r="A50" s="28" t="s">
        <v>413</v>
      </c>
      <c r="B50" s="28" t="s">
        <v>373</v>
      </c>
      <c r="C50" t="s">
        <v>1</v>
      </c>
      <c r="D50" t="str">
        <f t="shared" si="78"/>
        <v>VehicleNameCode</v>
      </c>
      <c r="E50" t="str">
        <f t="shared" si="79"/>
        <v>varchar</v>
      </c>
      <c r="F50" s="6"/>
      <c r="G50" t="str">
        <f t="shared" si="80"/>
        <v>2</v>
      </c>
      <c r="H50" t="str">
        <f>+VLOOKUP(E50,'Data Type Mapping'!A:B,2,)</f>
        <v>string</v>
      </c>
      <c r="I50" t="str">
        <f t="shared" si="81"/>
        <v xml:space="preserve">		public const int MaxVehicleNameCodeLength = 2;
</v>
      </c>
      <c r="J50" t="str">
        <f t="shared" si="82"/>
        <v xml:space="preserve">		[StringLength(MaxVehicleNameCodeLength)]
		public virtual string VehicleNameCode { get; set; }
</v>
      </c>
      <c r="K50" s="6"/>
      <c r="L50" t="str">
        <f t="shared" si="83"/>
        <v/>
      </c>
      <c r="M50" t="str">
        <f t="shared" si="84"/>
        <v xml:space="preserve">		public virtual string VehicleNameCode { get; set; }
</v>
      </c>
      <c r="N50" t="str">
        <f t="shared" si="85"/>
        <v xml:space="preserve">		[StringLength(MstInvGpsSupplierPicConsts.MaxVehicleNameCodeLength)]
		public virtual string VehicleNameCode { get; set; }
</v>
      </c>
      <c r="O50" t="str">
        <f t="shared" si="86"/>
        <v xml:space="preserve">		public virtual string VehicleNameCode { get; set; }
</v>
      </c>
      <c r="P50" t="str">
        <f t="shared" si="87"/>
        <v xml:space="preserve">							VehicleNameCode = o.VehicleNameCode,</v>
      </c>
      <c r="T50" s="63" t="str">
        <f t="shared" si="88"/>
        <v xml:space="preserve">								("VehicleNameCode"),</v>
      </c>
      <c r="V50" s="64" t="str">
        <f t="shared" si="89"/>
        <v xml:space="preserve">								_ =&gt; _.VehicleNameCode,</v>
      </c>
      <c r="W50" s="63" t="str">
        <f t="shared" si="90"/>
        <v xml:space="preserve">				.WhereIf(!string.IsNullOrWhiteSpace(input.VehicleNameCode), e =&gt; e.VehicleNameCode.Contains(input.VehicleNameCode))</v>
      </c>
    </row>
    <row r="51" spans="1:23" customFormat="1" ht="18.75" customHeight="1" x14ac:dyDescent="0.25">
      <c r="A51" s="28" t="s">
        <v>414</v>
      </c>
      <c r="B51" s="28" t="s">
        <v>361</v>
      </c>
      <c r="C51" t="s">
        <v>1</v>
      </c>
      <c r="D51" t="str">
        <f t="shared" si="78"/>
        <v>PackingStyle</v>
      </c>
      <c r="E51" t="str">
        <f t="shared" si="79"/>
        <v>varchar</v>
      </c>
      <c r="F51" s="6"/>
      <c r="G51" t="str">
        <f t="shared" si="80"/>
        <v>1</v>
      </c>
      <c r="H51" t="str">
        <f>+VLOOKUP(E51,'Data Type Mapping'!A:B,2,)</f>
        <v>string</v>
      </c>
      <c r="I51" t="str">
        <f t="shared" si="81"/>
        <v xml:space="preserve">		public const int MaxPackingStyleLength = 1;
</v>
      </c>
      <c r="J51" t="str">
        <f t="shared" si="82"/>
        <v xml:space="preserve">		[StringLength(MaxPackingStyleLength)]
		public virtual string PackingStyle { get; set; }
</v>
      </c>
      <c r="K51" s="6"/>
      <c r="L51" t="str">
        <f t="shared" si="83"/>
        <v/>
      </c>
      <c r="M51" t="str">
        <f t="shared" si="84"/>
        <v xml:space="preserve">		public virtual string PackingStyle { get; set; }
</v>
      </c>
      <c r="N51" t="str">
        <f t="shared" si="85"/>
        <v xml:space="preserve">		[StringLength(MstInvGpsSupplierPicConsts.MaxPackingStyleLength)]
		public virtual string PackingStyle { get; set; }
</v>
      </c>
      <c r="O51" t="str">
        <f t="shared" si="86"/>
        <v xml:space="preserve">		public virtual string PackingStyle { get; set; }
</v>
      </c>
      <c r="P51" t="str">
        <f t="shared" si="87"/>
        <v xml:space="preserve">							PackingStyle = o.PackingStyle,</v>
      </c>
      <c r="T51" s="63" t="str">
        <f t="shared" si="88"/>
        <v xml:space="preserve">								("PackingStyle"),</v>
      </c>
      <c r="V51" s="64" t="str">
        <f t="shared" si="89"/>
        <v xml:space="preserve">								_ =&gt; _.PackingStyle,</v>
      </c>
      <c r="W51" s="63" t="str">
        <f t="shared" si="90"/>
        <v xml:space="preserve">				.WhereIf(!string.IsNullOrWhiteSpace(input.PackingStyle), e =&gt; e.PackingStyle.Contains(input.PackingStyle))</v>
      </c>
    </row>
    <row r="52" spans="1:23" customFormat="1" ht="18.75" customHeight="1" x14ac:dyDescent="0.25">
      <c r="A52" s="28" t="s">
        <v>415</v>
      </c>
      <c r="B52" s="28" t="s">
        <v>361</v>
      </c>
      <c r="C52" t="s">
        <v>1</v>
      </c>
      <c r="D52" t="str">
        <f t="shared" si="78"/>
        <v>DestinationDestinction</v>
      </c>
      <c r="E52" t="str">
        <f t="shared" si="79"/>
        <v>varchar</v>
      </c>
      <c r="F52" s="6"/>
      <c r="G52" t="str">
        <f t="shared" si="80"/>
        <v>1</v>
      </c>
      <c r="H52" t="str">
        <f>+VLOOKUP(E52,'Data Type Mapping'!A:B,2,)</f>
        <v>string</v>
      </c>
      <c r="I52" t="str">
        <f t="shared" si="81"/>
        <v xml:space="preserve">		public const int MaxDestinationDestinctionLength = 1;
</v>
      </c>
      <c r="J52" t="str">
        <f t="shared" si="82"/>
        <v xml:space="preserve">		[StringLength(MaxDestinationDestinctionLength)]
		public virtual string DestinationDestinction { get; set; }
</v>
      </c>
      <c r="K52" s="6"/>
      <c r="L52" t="str">
        <f t="shared" si="83"/>
        <v/>
      </c>
      <c r="M52" t="str">
        <f t="shared" si="84"/>
        <v xml:space="preserve">		public virtual string DestinationDestinction { get; set; }
</v>
      </c>
      <c r="N52" t="str">
        <f t="shared" si="85"/>
        <v xml:space="preserve">		[StringLength(MstInvGpsSupplierPicConsts.MaxDestinationDestinctionLength)]
		public virtual string DestinationDestinction { get; set; }
</v>
      </c>
      <c r="O52" t="str">
        <f t="shared" si="86"/>
        <v xml:space="preserve">		public virtual string DestinationDestinction { get; set; }
</v>
      </c>
      <c r="P52" t="str">
        <f t="shared" si="87"/>
        <v xml:space="preserve">							DestinationDestinction = o.DestinationDestinction,</v>
      </c>
      <c r="T52" s="63" t="str">
        <f t="shared" si="88"/>
        <v xml:space="preserve">								("DestinationDestinction"),</v>
      </c>
      <c r="V52" s="64" t="str">
        <f t="shared" si="89"/>
        <v xml:space="preserve">								_ =&gt; _.DestinationDestinction,</v>
      </c>
      <c r="W52" s="63" t="str">
        <f t="shared" si="90"/>
        <v xml:space="preserve">				.WhereIf(!string.IsNullOrWhiteSpace(input.DestinationDestinction), e =&gt; e.DestinationDestinction.Contains(input.DestinationDestinction))</v>
      </c>
    </row>
    <row r="53" spans="1:23" customFormat="1" ht="18.75" customHeight="1" x14ac:dyDescent="0.25">
      <c r="A53" s="28" t="s">
        <v>416</v>
      </c>
      <c r="B53" s="28" t="s">
        <v>361</v>
      </c>
      <c r="C53" t="s">
        <v>1</v>
      </c>
      <c r="D53" t="str">
        <f t="shared" si="78"/>
        <v>DestinationDetails</v>
      </c>
      <c r="E53" t="str">
        <f t="shared" si="79"/>
        <v>varchar</v>
      </c>
      <c r="F53" s="6"/>
      <c r="G53" t="str">
        <f t="shared" si="80"/>
        <v>1</v>
      </c>
      <c r="H53" t="str">
        <f>+VLOOKUP(E53,'Data Type Mapping'!A:B,2,)</f>
        <v>string</v>
      </c>
      <c r="I53" t="str">
        <f t="shared" si="81"/>
        <v xml:space="preserve">		public const int MaxDestinationDetailsLength = 1;
</v>
      </c>
      <c r="J53" t="str">
        <f t="shared" si="82"/>
        <v xml:space="preserve">		[StringLength(MaxDestinationDetailsLength)]
		public virtual string DestinationDetails { get; set; }
</v>
      </c>
      <c r="K53" s="6"/>
      <c r="L53" t="str">
        <f t="shared" si="83"/>
        <v/>
      </c>
      <c r="M53" t="str">
        <f t="shared" si="84"/>
        <v xml:space="preserve">		public virtual string DestinationDetails { get; set; }
</v>
      </c>
      <c r="N53" t="str">
        <f t="shared" si="85"/>
        <v xml:space="preserve">		[StringLength(MstInvGpsSupplierPicConsts.MaxDestinationDetailsLength)]
		public virtual string DestinationDetails { get; set; }
</v>
      </c>
      <c r="O53" t="str">
        <f t="shared" si="86"/>
        <v xml:space="preserve">		public virtual string DestinationDetails { get; set; }
</v>
      </c>
      <c r="P53" t="str">
        <f t="shared" si="87"/>
        <v xml:space="preserve">							DestinationDetails = o.DestinationDetails,</v>
      </c>
      <c r="T53" s="63" t="str">
        <f t="shared" si="88"/>
        <v xml:space="preserve">								("DestinationDetails"),</v>
      </c>
      <c r="V53" s="64" t="str">
        <f t="shared" si="89"/>
        <v xml:space="preserve">								_ =&gt; _.DestinationDetails,</v>
      </c>
      <c r="W53" s="63" t="str">
        <f t="shared" si="90"/>
        <v xml:space="preserve">				.WhereIf(!string.IsNullOrWhiteSpace(input.DestinationDetails), e =&gt; e.DestinationDetails.Contains(input.DestinationDetails))</v>
      </c>
    </row>
    <row r="54" spans="1:23" customFormat="1" ht="18.75" customHeight="1" x14ac:dyDescent="0.25">
      <c r="A54" s="28" t="s">
        <v>417</v>
      </c>
      <c r="B54" s="28" t="s">
        <v>361</v>
      </c>
      <c r="C54" t="s">
        <v>1</v>
      </c>
      <c r="D54" t="str">
        <f t="shared" si="78"/>
        <v>GovernmentApproval</v>
      </c>
      <c r="E54" t="str">
        <f t="shared" si="79"/>
        <v>varchar</v>
      </c>
      <c r="F54" s="6"/>
      <c r="G54" t="str">
        <f t="shared" si="80"/>
        <v>1</v>
      </c>
      <c r="H54" t="str">
        <f>+VLOOKUP(E54,'Data Type Mapping'!A:B,2,)</f>
        <v>string</v>
      </c>
      <c r="I54" t="str">
        <f t="shared" si="81"/>
        <v xml:space="preserve">		public const int MaxGovernmentApprovalLength = 1;
</v>
      </c>
      <c r="J54" t="str">
        <f t="shared" si="82"/>
        <v xml:space="preserve">		[StringLength(MaxGovernmentApprovalLength)]
		public virtual string GovernmentApproval { get; set; }
</v>
      </c>
      <c r="K54" s="6"/>
      <c r="L54" t="str">
        <f t="shared" si="83"/>
        <v/>
      </c>
      <c r="M54" t="str">
        <f t="shared" si="84"/>
        <v xml:space="preserve">		public virtual string GovernmentApproval { get; set; }
</v>
      </c>
      <c r="N54" t="str">
        <f t="shared" si="85"/>
        <v xml:space="preserve">		[StringLength(MstInvGpsSupplierPicConsts.MaxGovernmentApprovalLength)]
		public virtual string GovernmentApproval { get; set; }
</v>
      </c>
      <c r="O54" t="str">
        <f t="shared" si="86"/>
        <v xml:space="preserve">		public virtual string GovernmentApproval { get; set; }
</v>
      </c>
      <c r="P54" t="str">
        <f t="shared" si="87"/>
        <v xml:space="preserve">							GovernmentApproval = o.GovernmentApproval,</v>
      </c>
      <c r="T54" s="63" t="str">
        <f t="shared" si="88"/>
        <v xml:space="preserve">								("GovernmentApproval"),</v>
      </c>
      <c r="V54" s="64" t="str">
        <f t="shared" si="89"/>
        <v xml:space="preserve">								_ =&gt; _.GovernmentApproval,</v>
      </c>
      <c r="W54" s="63" t="str">
        <f t="shared" si="90"/>
        <v xml:space="preserve">				.WhereIf(!string.IsNullOrWhiteSpace(input.GovernmentApproval), e =&gt; e.GovernmentApproval.Contains(input.GovernmentApproval))</v>
      </c>
    </row>
    <row r="55" spans="1:23" customFormat="1" ht="18.75" customHeight="1" x14ac:dyDescent="0.25">
      <c r="A55" s="28" t="s">
        <v>418</v>
      </c>
      <c r="B55" s="28" t="s">
        <v>361</v>
      </c>
      <c r="C55" t="s">
        <v>1</v>
      </c>
      <c r="D55" t="str">
        <f t="shared" si="78"/>
        <v>Var1</v>
      </c>
      <c r="E55" t="str">
        <f t="shared" si="79"/>
        <v>varchar</v>
      </c>
      <c r="F55" s="6"/>
      <c r="G55" t="str">
        <f t="shared" si="80"/>
        <v>1</v>
      </c>
      <c r="H55" t="str">
        <f>+VLOOKUP(E55,'Data Type Mapping'!A:B,2,)</f>
        <v>string</v>
      </c>
      <c r="I55" t="str">
        <f t="shared" si="81"/>
        <v xml:space="preserve">		public const int MaxVar1Length = 1;
</v>
      </c>
      <c r="J55" t="str">
        <f t="shared" si="82"/>
        <v xml:space="preserve">		[StringLength(MaxVar1Length)]
		public virtual string Var1 { get; set; }
</v>
      </c>
      <c r="K55" s="6"/>
      <c r="L55" t="str">
        <f t="shared" si="83"/>
        <v/>
      </c>
      <c r="M55" t="str">
        <f t="shared" si="84"/>
        <v xml:space="preserve">		public virtual string Var1 { get; set; }
</v>
      </c>
      <c r="N55" t="str">
        <f t="shared" si="85"/>
        <v xml:space="preserve">		[StringLength(MstInvGpsSupplierPicConsts.MaxVar1Length)]
		public virtual string Var1 { get; set; }
</v>
      </c>
      <c r="O55" t="str">
        <f t="shared" si="86"/>
        <v xml:space="preserve">		public virtual string Var1 { get; set; }
</v>
      </c>
      <c r="P55" t="str">
        <f t="shared" si="87"/>
        <v xml:space="preserve">							Var1 = o.Var1,</v>
      </c>
      <c r="T55" s="63" t="str">
        <f t="shared" si="88"/>
        <v xml:space="preserve">								("Var1"),</v>
      </c>
      <c r="V55" s="64" t="str">
        <f t="shared" si="89"/>
        <v xml:space="preserve">								_ =&gt; _.Var1,</v>
      </c>
      <c r="W55" s="63" t="str">
        <f t="shared" si="90"/>
        <v xml:space="preserve">				.WhereIf(!string.IsNullOrWhiteSpace(input.Var1), e =&gt; e.Var1.Contains(input.Var1))</v>
      </c>
    </row>
    <row r="56" spans="1:23" customFormat="1" ht="18.75" customHeight="1" x14ac:dyDescent="0.25">
      <c r="A56" s="28" t="s">
        <v>419</v>
      </c>
      <c r="B56" s="28" t="s">
        <v>361</v>
      </c>
      <c r="C56" t="s">
        <v>1</v>
      </c>
      <c r="D56" t="str">
        <f t="shared" si="78"/>
        <v>SpecType</v>
      </c>
      <c r="E56" t="str">
        <f t="shared" si="79"/>
        <v>varchar</v>
      </c>
      <c r="F56" s="6"/>
      <c r="G56" t="str">
        <f t="shared" si="80"/>
        <v>1</v>
      </c>
      <c r="H56" t="str">
        <f>+VLOOKUP(E56,'Data Type Mapping'!A:B,2,)</f>
        <v>string</v>
      </c>
      <c r="I56" t="str">
        <f t="shared" si="81"/>
        <v xml:space="preserve">		public const int MaxSpecTypeLength = 1;
</v>
      </c>
      <c r="J56" t="str">
        <f t="shared" si="82"/>
        <v xml:space="preserve">		[StringLength(MaxSpecTypeLength)]
		public virtual string SpecType { get; set; }
</v>
      </c>
      <c r="K56" s="6"/>
      <c r="L56" t="str">
        <f t="shared" si="83"/>
        <v/>
      </c>
      <c r="M56" t="str">
        <f t="shared" si="84"/>
        <v xml:space="preserve">		public virtual string SpecType { get; set; }
</v>
      </c>
      <c r="N56" t="str">
        <f t="shared" si="85"/>
        <v xml:space="preserve">		[StringLength(MstInvGpsSupplierPicConsts.MaxSpecTypeLength)]
		public virtual string SpecType { get; set; }
</v>
      </c>
      <c r="O56" t="str">
        <f t="shared" si="86"/>
        <v xml:space="preserve">		public virtual string SpecType { get; set; }
</v>
      </c>
      <c r="P56" t="str">
        <f t="shared" si="87"/>
        <v xml:space="preserve">							SpecType = o.SpecType,</v>
      </c>
      <c r="T56" s="63" t="str">
        <f t="shared" si="88"/>
        <v xml:space="preserve">								("SpecType"),</v>
      </c>
      <c r="V56" s="64" t="str">
        <f t="shared" si="89"/>
        <v xml:space="preserve">								_ =&gt; _.SpecType,</v>
      </c>
      <c r="W56" s="63" t="str">
        <f t="shared" si="90"/>
        <v xml:space="preserve">				.WhereIf(!string.IsNullOrWhiteSpace(input.SpecType), e =&gt; e.SpecType.Contains(input.SpecType))</v>
      </c>
    </row>
    <row r="57" spans="1:23" customFormat="1" ht="18.75" customHeight="1" x14ac:dyDescent="0.25">
      <c r="A57" s="28" t="s">
        <v>420</v>
      </c>
      <c r="B57" s="28" t="s">
        <v>361</v>
      </c>
      <c r="C57" t="s">
        <v>1</v>
      </c>
      <c r="D57" t="str">
        <f t="shared" si="78"/>
        <v>PlantCode</v>
      </c>
      <c r="E57" t="str">
        <f t="shared" si="79"/>
        <v>varchar</v>
      </c>
      <c r="F57" s="6"/>
      <c r="G57" t="str">
        <f t="shared" si="80"/>
        <v>1</v>
      </c>
      <c r="H57" t="str">
        <f>+VLOOKUP(E57,'Data Type Mapping'!A:B,2,)</f>
        <v>string</v>
      </c>
      <c r="I57" t="str">
        <f t="shared" si="81"/>
        <v xml:space="preserve">		public const int MaxPlantCodeLength = 1;
</v>
      </c>
      <c r="J57" t="str">
        <f t="shared" si="82"/>
        <v xml:space="preserve">		[StringLength(MaxPlantCodeLength)]
		public virtual string PlantCode { get; set; }
</v>
      </c>
      <c r="K57" s="6"/>
      <c r="L57" t="str">
        <f t="shared" si="83"/>
        <v/>
      </c>
      <c r="M57" t="str">
        <f t="shared" si="84"/>
        <v xml:space="preserve">		public virtual string PlantCode { get; set; }
</v>
      </c>
      <c r="N57" t="str">
        <f t="shared" si="85"/>
        <v xml:space="preserve">		[StringLength(MstInvGpsSupplierPicConsts.MaxPlantCodeLength)]
		public virtual string PlantCode { get; set; }
</v>
      </c>
      <c r="O57" t="str">
        <f t="shared" si="86"/>
        <v xml:space="preserve">		public virtual string PlantCode { get; set; }
</v>
      </c>
      <c r="P57" t="str">
        <f t="shared" si="87"/>
        <v xml:space="preserve">							PlantCode = o.PlantCode,</v>
      </c>
      <c r="T57" s="63" t="str">
        <f t="shared" si="88"/>
        <v xml:space="preserve">								("PlantCode"),</v>
      </c>
      <c r="V57" s="64" t="str">
        <f t="shared" si="89"/>
        <v xml:space="preserve">								_ =&gt; _.PlantCode,</v>
      </c>
      <c r="W57" s="63" t="str">
        <f t="shared" si="90"/>
        <v xml:space="preserve">				.WhereIf(!string.IsNullOrWhiteSpace(input.PlantCode), e =&gt; e.PlantCode.Contains(input.PlantCode))</v>
      </c>
    </row>
    <row r="58" spans="1:23" customFormat="1" ht="18.75" customHeight="1" x14ac:dyDescent="0.25">
      <c r="A58" s="28" t="s">
        <v>421</v>
      </c>
      <c r="B58" s="28" t="s">
        <v>361</v>
      </c>
      <c r="C58" t="s">
        <v>1</v>
      </c>
      <c r="D58" t="str">
        <f t="shared" si="78"/>
        <v>SpecialSign</v>
      </c>
      <c r="E58" t="str">
        <f t="shared" si="79"/>
        <v>varchar</v>
      </c>
      <c r="F58" s="6"/>
      <c r="G58" t="str">
        <f t="shared" si="80"/>
        <v>1</v>
      </c>
      <c r="H58" t="str">
        <f>+VLOOKUP(E58,'Data Type Mapping'!A:B,2,)</f>
        <v>string</v>
      </c>
      <c r="I58" t="str">
        <f t="shared" si="81"/>
        <v xml:space="preserve">		public const int MaxSpecialSignLength = 1;
</v>
      </c>
      <c r="J58" t="str">
        <f t="shared" si="82"/>
        <v xml:space="preserve">		[StringLength(MaxSpecialSignLength)]
		public virtual string SpecialSign { get; set; }
</v>
      </c>
      <c r="K58" s="6"/>
      <c r="L58" t="str">
        <f t="shared" si="83"/>
        <v/>
      </c>
      <c r="M58" t="str">
        <f t="shared" si="84"/>
        <v xml:space="preserve">		public virtual string SpecialSign { get; set; }
</v>
      </c>
      <c r="N58" t="str">
        <f t="shared" si="85"/>
        <v xml:space="preserve">		[StringLength(MstInvGpsSupplierPicConsts.MaxSpecialSignLength)]
		public virtual string SpecialSign { get; set; }
</v>
      </c>
      <c r="O58" t="str">
        <f t="shared" si="86"/>
        <v xml:space="preserve">		public virtual string SpecialSign { get; set; }
</v>
      </c>
      <c r="P58" t="str">
        <f t="shared" si="87"/>
        <v xml:space="preserve">							SpecialSign = o.SpecialSign,</v>
      </c>
      <c r="T58" s="63" t="str">
        <f t="shared" si="88"/>
        <v xml:space="preserve">								("SpecialSign"),</v>
      </c>
      <c r="V58" s="64" t="str">
        <f t="shared" si="89"/>
        <v xml:space="preserve">								_ =&gt; _.SpecialSign,</v>
      </c>
      <c r="W58" s="63" t="str">
        <f t="shared" si="90"/>
        <v xml:space="preserve">				.WhereIf(!string.IsNullOrWhiteSpace(input.SpecialSign), e =&gt; e.SpecialSign.Contains(input.SpecialSign))</v>
      </c>
    </row>
    <row r="59" spans="1:23" customFormat="1" ht="18.75" customHeight="1" x14ac:dyDescent="0.25">
      <c r="A59" s="28" t="s">
        <v>422</v>
      </c>
      <c r="B59" s="28" t="s">
        <v>361</v>
      </c>
      <c r="C59" t="s">
        <v>1</v>
      </c>
      <c r="D59" t="str">
        <f t="shared" si="78"/>
        <v>UnitType</v>
      </c>
      <c r="E59" t="str">
        <f t="shared" si="79"/>
        <v>varchar</v>
      </c>
      <c r="F59" s="6"/>
      <c r="G59" t="str">
        <f t="shared" si="80"/>
        <v>1</v>
      </c>
      <c r="H59" t="str">
        <f>+VLOOKUP(E59,'Data Type Mapping'!A:B,2,)</f>
        <v>string</v>
      </c>
      <c r="I59" t="str">
        <f t="shared" si="81"/>
        <v xml:space="preserve">		public const int MaxUnitTypeLength = 1;
</v>
      </c>
      <c r="J59" t="str">
        <f t="shared" si="82"/>
        <v xml:space="preserve">		[StringLength(MaxUnitTypeLength)]
		public virtual string UnitType { get; set; }
</v>
      </c>
      <c r="K59" s="6"/>
      <c r="L59" t="str">
        <f t="shared" si="83"/>
        <v/>
      </c>
      <c r="M59" t="str">
        <f t="shared" si="84"/>
        <v xml:space="preserve">		public virtual string UnitType { get; set; }
</v>
      </c>
      <c r="N59" t="str">
        <f t="shared" si="85"/>
        <v xml:space="preserve">		[StringLength(MstInvGpsSupplierPicConsts.MaxUnitTypeLength)]
		public virtual string UnitType { get; set; }
</v>
      </c>
      <c r="O59" t="str">
        <f t="shared" si="86"/>
        <v xml:space="preserve">		public virtual string UnitType { get; set; }
</v>
      </c>
      <c r="P59" t="str">
        <f t="shared" si="87"/>
        <v xml:space="preserve">							UnitType = o.UnitType,</v>
      </c>
      <c r="T59" s="63" t="str">
        <f t="shared" si="88"/>
        <v xml:space="preserve">								("UnitType"),</v>
      </c>
      <c r="V59" s="64" t="str">
        <f t="shared" si="89"/>
        <v xml:space="preserve">								_ =&gt; _.UnitType,</v>
      </c>
      <c r="W59" s="63" t="str">
        <f t="shared" si="90"/>
        <v xml:space="preserve">				.WhereIf(!string.IsNullOrWhiteSpace(input.UnitType), e =&gt; e.UnitType.Contains(input.UnitType))</v>
      </c>
    </row>
    <row r="60" spans="1:23" customFormat="1" ht="18.75" customHeight="1" x14ac:dyDescent="0.25">
      <c r="A60" s="28" t="s">
        <v>423</v>
      </c>
      <c r="B60" s="28" t="s">
        <v>373</v>
      </c>
      <c r="C60" t="s">
        <v>1</v>
      </c>
      <c r="D60" t="str">
        <f t="shared" si="78"/>
        <v>SecondAssemblyLine</v>
      </c>
      <c r="E60" t="str">
        <f t="shared" si="79"/>
        <v>varchar</v>
      </c>
      <c r="F60" s="6"/>
      <c r="G60" t="str">
        <f t="shared" si="80"/>
        <v>2</v>
      </c>
      <c r="H60" t="str">
        <f>+VLOOKUP(E60,'Data Type Mapping'!A:B,2,)</f>
        <v>string</v>
      </c>
      <c r="I60" t="str">
        <f t="shared" si="81"/>
        <v xml:space="preserve">		public const int MaxSecondAssemblyLineLength = 2;
</v>
      </c>
      <c r="J60" t="str">
        <f t="shared" si="82"/>
        <v xml:space="preserve">		[StringLength(MaxSecondAssemblyLineLength)]
		public virtual string SecondAssemblyLine { get; set; }
</v>
      </c>
      <c r="K60" s="6"/>
      <c r="L60" t="str">
        <f t="shared" si="83"/>
        <v/>
      </c>
      <c r="M60" t="str">
        <f t="shared" si="84"/>
        <v xml:space="preserve">		public virtual string SecondAssemblyLine { get; set; }
</v>
      </c>
      <c r="N60" t="str">
        <f t="shared" si="85"/>
        <v xml:space="preserve">		[StringLength(MstInvGpsSupplierPicConsts.MaxSecondAssemblyLineLength)]
		public virtual string SecondAssemblyLine { get; set; }
</v>
      </c>
      <c r="O60" t="str">
        <f t="shared" si="86"/>
        <v xml:space="preserve">		public virtual string SecondAssemblyLine { get; set; }
</v>
      </c>
      <c r="P60" t="str">
        <f t="shared" si="87"/>
        <v xml:space="preserve">							SecondAssemblyLine = o.SecondAssemblyLine,</v>
      </c>
      <c r="T60" s="63" t="str">
        <f t="shared" si="88"/>
        <v xml:space="preserve">								("SecondAssemblyLine"),</v>
      </c>
      <c r="V60" s="64" t="str">
        <f t="shared" si="89"/>
        <v xml:space="preserve">								_ =&gt; _.SecondAssemblyLine,</v>
      </c>
      <c r="W60" s="63" t="str">
        <f t="shared" si="90"/>
        <v xml:space="preserve">				.WhereIf(!string.IsNullOrWhiteSpace(input.SecondAssemblyLine), e =&gt; e.SecondAssemblyLine.Contains(input.SecondAssemblyLine))</v>
      </c>
    </row>
    <row r="61" spans="1:23" customFormat="1" ht="18.75" customHeight="1" x14ac:dyDescent="0.25">
      <c r="A61" s="28" t="s">
        <v>424</v>
      </c>
      <c r="B61" s="28" t="s">
        <v>361</v>
      </c>
      <c r="C61" t="s">
        <v>1</v>
      </c>
      <c r="D61" t="str">
        <f t="shared" si="78"/>
        <v>SecondAssemblyVehicleType</v>
      </c>
      <c r="E61" t="str">
        <f t="shared" si="79"/>
        <v>varchar</v>
      </c>
      <c r="F61" s="6"/>
      <c r="G61" t="str">
        <f t="shared" si="80"/>
        <v>1</v>
      </c>
      <c r="H61" t="str">
        <f>+VLOOKUP(E61,'Data Type Mapping'!A:B,2,)</f>
        <v>string</v>
      </c>
      <c r="I61" t="str">
        <f t="shared" si="81"/>
        <v xml:space="preserve">		public const int MaxSecondAssemblyVehicleTypeLength = 1;
</v>
      </c>
      <c r="J61" t="str">
        <f t="shared" si="82"/>
        <v xml:space="preserve">		[StringLength(MaxSecondAssemblyVehicleTypeLength)]
		public virtual string SecondAssemblyVehicleType { get; set; }
</v>
      </c>
      <c r="K61" s="6"/>
      <c r="L61" t="str">
        <f t="shared" si="83"/>
        <v/>
      </c>
      <c r="M61" t="str">
        <f t="shared" si="84"/>
        <v xml:space="preserve">		public virtual string SecondAssemblyVehicleType { get; set; }
</v>
      </c>
      <c r="N61" t="str">
        <f t="shared" si="85"/>
        <v xml:space="preserve">		[StringLength(MstInvGpsSupplierPicConsts.MaxSecondAssemblyVehicleTypeLength)]
		public virtual string SecondAssemblyVehicleType { get; set; }
</v>
      </c>
      <c r="O61" t="str">
        <f t="shared" si="86"/>
        <v xml:space="preserve">		public virtual string SecondAssemblyVehicleType { get; set; }
</v>
      </c>
      <c r="P61" t="str">
        <f t="shared" si="87"/>
        <v xml:space="preserve">							SecondAssemblyVehicleType = o.SecondAssemblyVehicleType,</v>
      </c>
      <c r="T61" s="63" t="str">
        <f t="shared" si="88"/>
        <v xml:space="preserve">								("SecondAssemblyVehicleType"),</v>
      </c>
      <c r="V61" s="64" t="str">
        <f t="shared" si="89"/>
        <v xml:space="preserve">								_ =&gt; _.SecondAssemblyVehicleType,</v>
      </c>
      <c r="W61" s="63" t="str">
        <f t="shared" si="90"/>
        <v xml:space="preserve">				.WhereIf(!string.IsNullOrWhiteSpace(input.SecondAssemblyVehicleType), e =&gt; e.SecondAssemblyVehicleType.Contains(input.SecondAssemblyVehicleType))</v>
      </c>
    </row>
    <row r="62" spans="1:23" customFormat="1" ht="18.75" customHeight="1" x14ac:dyDescent="0.25">
      <c r="A62" s="28" t="s">
        <v>425</v>
      </c>
      <c r="B62" s="28" t="s">
        <v>361</v>
      </c>
      <c r="C62" t="s">
        <v>1</v>
      </c>
      <c r="D62" t="str">
        <f t="shared" si="78"/>
        <v>OffOptionType</v>
      </c>
      <c r="E62" t="str">
        <f t="shared" si="79"/>
        <v>varchar</v>
      </c>
      <c r="F62" s="6"/>
      <c r="G62" t="str">
        <f t="shared" si="80"/>
        <v>1</v>
      </c>
      <c r="H62" t="str">
        <f>+VLOOKUP(E62,'Data Type Mapping'!A:B,2,)</f>
        <v>string</v>
      </c>
      <c r="I62" t="str">
        <f t="shared" si="81"/>
        <v xml:space="preserve">		public const int MaxOffOptionTypeLength = 1;
</v>
      </c>
      <c r="J62" t="str">
        <f t="shared" si="82"/>
        <v xml:space="preserve">		[StringLength(MaxOffOptionTypeLength)]
		public virtual string OffOptionType { get; set; }
</v>
      </c>
      <c r="K62" s="6"/>
      <c r="L62" t="str">
        <f t="shared" si="83"/>
        <v/>
      </c>
      <c r="M62" t="str">
        <f t="shared" si="84"/>
        <v xml:space="preserve">		public virtual string OffOptionType { get; set; }
</v>
      </c>
      <c r="N62" t="str">
        <f t="shared" si="85"/>
        <v xml:space="preserve">		[StringLength(MstInvGpsSupplierPicConsts.MaxOffOptionTypeLength)]
		public virtual string OffOptionType { get; set; }
</v>
      </c>
      <c r="O62" t="str">
        <f t="shared" si="86"/>
        <v xml:space="preserve">		public virtual string OffOptionType { get; set; }
</v>
      </c>
      <c r="P62" t="str">
        <f t="shared" si="87"/>
        <v xml:space="preserve">							OffOptionType = o.OffOptionType,</v>
      </c>
      <c r="T62" s="63" t="str">
        <f t="shared" si="88"/>
        <v xml:space="preserve">								("OffOptionType"),</v>
      </c>
      <c r="V62" s="64" t="str">
        <f t="shared" si="89"/>
        <v xml:space="preserve">								_ =&gt; _.OffOptionType,</v>
      </c>
      <c r="W62" s="63" t="str">
        <f t="shared" si="90"/>
        <v xml:space="preserve">				.WhereIf(!string.IsNullOrWhiteSpace(input.OffOptionType), e =&gt; e.OffOptionType.Contains(input.OffOptionType))</v>
      </c>
    </row>
    <row r="63" spans="1:23" customFormat="1" ht="18.75" customHeight="1" x14ac:dyDescent="0.25">
      <c r="A63" s="28" t="s">
        <v>426</v>
      </c>
      <c r="B63" s="28" t="s">
        <v>437</v>
      </c>
      <c r="C63" t="s">
        <v>1</v>
      </c>
      <c r="D63" t="str">
        <f t="shared" si="78"/>
        <v>ProductionRequestYearMonth</v>
      </c>
      <c r="E63" t="str">
        <f t="shared" si="79"/>
        <v>varchar</v>
      </c>
      <c r="F63" s="6"/>
      <c r="G63" t="str">
        <f t="shared" si="80"/>
        <v>6</v>
      </c>
      <c r="H63" t="str">
        <f>+VLOOKUP(E63,'Data Type Mapping'!A:B,2,)</f>
        <v>string</v>
      </c>
      <c r="I63" t="str">
        <f t="shared" si="81"/>
        <v xml:space="preserve">		public const int MaxProductionRequestYearMonthLength = 6;
</v>
      </c>
      <c r="J63" t="str">
        <f t="shared" si="82"/>
        <v xml:space="preserve">		[StringLength(MaxProductionRequestYearMonthLength)]
		public virtual string ProductionRequestYearMonth { get; set; }
</v>
      </c>
      <c r="K63" s="6"/>
      <c r="L63" t="str">
        <f t="shared" si="83"/>
        <v/>
      </c>
      <c r="M63" t="str">
        <f t="shared" si="84"/>
        <v xml:space="preserve">		public virtual string ProductionRequestYearMonth { get; set; }
</v>
      </c>
      <c r="N63" t="str">
        <f t="shared" si="85"/>
        <v xml:space="preserve">		[StringLength(MstInvGpsSupplierPicConsts.MaxProductionRequestYearMonthLength)]
		public virtual string ProductionRequestYearMonth { get; set; }
</v>
      </c>
      <c r="O63" t="str">
        <f t="shared" si="86"/>
        <v xml:space="preserve">		public virtual string ProductionRequestYearMonth { get; set; }
</v>
      </c>
      <c r="P63" t="str">
        <f t="shared" si="87"/>
        <v xml:space="preserve">							ProductionRequestYearMonth = o.ProductionRequestYearMonth,</v>
      </c>
      <c r="T63" s="63" t="str">
        <f t="shared" si="88"/>
        <v xml:space="preserve">								("ProductionRequestYearMonth"),</v>
      </c>
      <c r="V63" s="64" t="str">
        <f t="shared" si="89"/>
        <v xml:space="preserve">								_ =&gt; _.ProductionRequestYearMonth,</v>
      </c>
      <c r="W63" s="63" t="str">
        <f t="shared" si="90"/>
        <v xml:space="preserve">				.WhereIf(!string.IsNullOrWhiteSpace(input.ProductionRequestYearMonth), e =&gt; e.ProductionRequestYearMonth.Contains(input.ProductionRequestYearMonth))</v>
      </c>
    </row>
    <row r="64" spans="1:23" customFormat="1" ht="18.75" customHeight="1" x14ac:dyDescent="0.25">
      <c r="A64" s="28" t="s">
        <v>427</v>
      </c>
      <c r="B64" s="28" t="s">
        <v>371</v>
      </c>
      <c r="C64" t="s">
        <v>1</v>
      </c>
      <c r="D64" t="str">
        <f t="shared" si="78"/>
        <v>DistributerCode</v>
      </c>
      <c r="E64" t="str">
        <f t="shared" si="79"/>
        <v>varchar</v>
      </c>
      <c r="F64" s="6"/>
      <c r="G64" t="str">
        <f t="shared" si="80"/>
        <v>5</v>
      </c>
      <c r="H64" t="str">
        <f>+VLOOKUP(E64,'Data Type Mapping'!A:B,2,)</f>
        <v>string</v>
      </c>
      <c r="I64" t="str">
        <f t="shared" si="81"/>
        <v xml:space="preserve">		public const int MaxDistributerCodeLength = 5;
</v>
      </c>
      <c r="J64" t="str">
        <f t="shared" si="82"/>
        <v xml:space="preserve">		[StringLength(MaxDistributerCodeLength)]
		public virtual string DistributerCode { get; set; }
</v>
      </c>
      <c r="K64" s="6"/>
      <c r="L64" t="str">
        <f t="shared" si="83"/>
        <v/>
      </c>
      <c r="M64" t="str">
        <f t="shared" si="84"/>
        <v xml:space="preserve">		public virtual string DistributerCode { get; set; }
</v>
      </c>
      <c r="N64" t="str">
        <f t="shared" si="85"/>
        <v xml:space="preserve">		[StringLength(MstInvGpsSupplierPicConsts.MaxDistributerCodeLength)]
		public virtual string DistributerCode { get; set; }
</v>
      </c>
      <c r="O64" t="str">
        <f t="shared" si="86"/>
        <v xml:space="preserve">		public virtual string DistributerCode { get; set; }
</v>
      </c>
      <c r="P64" t="str">
        <f t="shared" si="87"/>
        <v xml:space="preserve">							DistributerCode = o.DistributerCode,</v>
      </c>
      <c r="T64" s="63" t="str">
        <f t="shared" si="88"/>
        <v xml:space="preserve">								("DistributerCode"),</v>
      </c>
      <c r="V64" s="64" t="str">
        <f t="shared" si="89"/>
        <v xml:space="preserve">								_ =&gt; _.DistributerCode,</v>
      </c>
      <c r="W64" s="63" t="str">
        <f t="shared" si="90"/>
        <v xml:space="preserve">				.WhereIf(!string.IsNullOrWhiteSpace(input.DistributerCode), e =&gt; e.DistributerCode.Contains(input.DistributerCode))</v>
      </c>
    </row>
    <row r="65" spans="1:23" customFormat="1" ht="18.75" customHeight="1" x14ac:dyDescent="0.25">
      <c r="A65" s="28" t="s">
        <v>428</v>
      </c>
      <c r="B65" s="28" t="s">
        <v>373</v>
      </c>
      <c r="C65" t="s">
        <v>1</v>
      </c>
      <c r="D65" t="str">
        <f t="shared" si="78"/>
        <v>SalesSfx</v>
      </c>
      <c r="E65" t="str">
        <f t="shared" si="79"/>
        <v>varchar</v>
      </c>
      <c r="F65" s="6"/>
      <c r="G65" t="str">
        <f t="shared" si="80"/>
        <v>2</v>
      </c>
      <c r="H65" t="str">
        <f>+VLOOKUP(E65,'Data Type Mapping'!A:B,2,)</f>
        <v>string</v>
      </c>
      <c r="I65" t="str">
        <f t="shared" si="81"/>
        <v xml:space="preserve">		public const int MaxSalesSfxLength = 2;
</v>
      </c>
      <c r="J65" t="str">
        <f t="shared" si="82"/>
        <v xml:space="preserve">		[StringLength(MaxSalesSfxLength)]
		public virtual string SalesSfx { get; set; }
</v>
      </c>
      <c r="K65" s="6"/>
      <c r="L65" t="str">
        <f t="shared" si="83"/>
        <v/>
      </c>
      <c r="M65" t="str">
        <f t="shared" si="84"/>
        <v xml:space="preserve">		public virtual string SalesSfx { get; set; }
</v>
      </c>
      <c r="N65" t="str">
        <f t="shared" si="85"/>
        <v xml:space="preserve">		[StringLength(MstInvGpsSupplierPicConsts.MaxSalesSfxLength)]
		public virtual string SalesSfx { get; set; }
</v>
      </c>
      <c r="O65" t="str">
        <f t="shared" si="86"/>
        <v xml:space="preserve">		public virtual string SalesSfx { get; set; }
</v>
      </c>
      <c r="P65" t="str">
        <f t="shared" si="87"/>
        <v xml:space="preserve">							SalesSfx = o.SalesSfx,</v>
      </c>
      <c r="T65" s="63" t="str">
        <f t="shared" si="88"/>
        <v xml:space="preserve">								("SalesSfx"),</v>
      </c>
      <c r="V65" s="64" t="str">
        <f t="shared" si="89"/>
        <v xml:space="preserve">								_ =&gt; _.SalesSfx,</v>
      </c>
      <c r="W65" s="63" t="str">
        <f t="shared" si="90"/>
        <v xml:space="preserve">				.WhereIf(!string.IsNullOrWhiteSpace(input.SalesSfx), e =&gt; e.SalesSfx.Contains(input.SalesSfx))</v>
      </c>
    </row>
    <row r="66" spans="1:23" customFormat="1" ht="18.75" customHeight="1" x14ac:dyDescent="0.25">
      <c r="A66" s="28" t="s">
        <v>429</v>
      </c>
      <c r="B66" s="28" t="s">
        <v>361</v>
      </c>
      <c r="C66" t="s">
        <v>1</v>
      </c>
      <c r="D66" t="str">
        <f t="shared" si="78"/>
        <v>ImportDutyExemption</v>
      </c>
      <c r="E66" t="str">
        <f t="shared" si="79"/>
        <v>varchar</v>
      </c>
      <c r="F66" s="6"/>
      <c r="G66" t="str">
        <f t="shared" si="80"/>
        <v>1</v>
      </c>
      <c r="H66" t="str">
        <f>+VLOOKUP(E66,'Data Type Mapping'!A:B,2,)</f>
        <v>string</v>
      </c>
      <c r="I66" t="str">
        <f t="shared" si="81"/>
        <v xml:space="preserve">		public const int MaxImportDutyExemptionLength = 1;
</v>
      </c>
      <c r="J66" t="str">
        <f t="shared" si="82"/>
        <v xml:space="preserve">		[StringLength(MaxImportDutyExemptionLength)]
		public virtual string ImportDutyExemption { get; set; }
</v>
      </c>
      <c r="K66" s="6"/>
      <c r="L66" t="str">
        <f t="shared" si="83"/>
        <v/>
      </c>
      <c r="M66" t="str">
        <f t="shared" si="84"/>
        <v xml:space="preserve">		public virtual string ImportDutyExemption { get; set; }
</v>
      </c>
      <c r="N66" t="str">
        <f t="shared" si="85"/>
        <v xml:space="preserve">		[StringLength(MstInvGpsSupplierPicConsts.MaxImportDutyExemptionLength)]
		public virtual string ImportDutyExemption { get; set; }
</v>
      </c>
      <c r="O66" t="str">
        <f t="shared" si="86"/>
        <v xml:space="preserve">		public virtual string ImportDutyExemption { get; set; }
</v>
      </c>
      <c r="P66" t="str">
        <f t="shared" si="87"/>
        <v xml:space="preserve">							ImportDutyExemption = o.ImportDutyExemption,</v>
      </c>
      <c r="T66" s="63" t="str">
        <f t="shared" si="88"/>
        <v xml:space="preserve">								("ImportDutyExemption"),</v>
      </c>
      <c r="V66" s="64" t="str">
        <f t="shared" si="89"/>
        <v xml:space="preserve">								_ =&gt; _.ImportDutyExemption,</v>
      </c>
      <c r="W66" s="63" t="str">
        <f t="shared" si="90"/>
        <v xml:space="preserve">				.WhereIf(!string.IsNullOrWhiteSpace(input.ImportDutyExemption), e =&gt; e.ImportDutyExemption.Contains(input.ImportDutyExemption))</v>
      </c>
    </row>
    <row r="67" spans="1:23" customFormat="1" ht="18.75" customHeight="1" x14ac:dyDescent="0.25">
      <c r="A67" s="28" t="s">
        <v>430</v>
      </c>
      <c r="B67" s="28" t="s">
        <v>434</v>
      </c>
      <c r="C67" t="s">
        <v>1</v>
      </c>
      <c r="D67" t="str">
        <f t="shared" ref="D67" si="91">SUBSTITUTE(PROPER(A67),"_","")</f>
        <v>OrderNo</v>
      </c>
      <c r="E67" t="str">
        <f t="shared" ref="E67" si="92">IFERROR(LEFT(B67, FIND("(",B67)-1),B67)</f>
        <v>varchar</v>
      </c>
      <c r="F67" s="6"/>
      <c r="G67" t="str">
        <f t="shared" ref="G67" si="93">IFERROR(MID(B67,FIND("(",B67) +1, FIND(")",B67) - FIND("(",B67) - 1),"")</f>
        <v>12</v>
      </c>
      <c r="H67" t="str">
        <f>+VLOOKUP(E67,'Data Type Mapping'!A:B,2,)</f>
        <v>string</v>
      </c>
      <c r="I67" t="str">
        <f t="shared" ref="I67" si="94">IF(H67="string",REPT(CHAR(9),2)&amp;"public const int Max"&amp;D67&amp;"Length = "&amp;G67&amp;";"&amp;$E$3,"" )</f>
        <v xml:space="preserve">		public const int MaxOrderNoLength = 12;
</v>
      </c>
      <c r="J67" t="str">
        <f t="shared" ref="J67" si="95">IF(F67="","",REPT(CHAR(9),2)&amp;"[Column(TypeName="""&amp;F67&amp;""")]"&amp;$E$3)&amp;IF(C67="Checked","",$I$3)&amp;IF(H67="string",REPT(CHAR(9),2)&amp;"[StringLength(Max"&amp;D67&amp;"Length"&amp;")]"&amp;$E$3,"")&amp;REPT(CHAR(9),2)&amp;"public virtual "&amp;H67&amp;IF(C67="?","? "," ")&amp;D67&amp;" { get; set; }" &amp; "
"</f>
        <v xml:space="preserve">		[StringLength(MaxOrderNoLength)]
		public virtual string OrderNo { get; set; }
</v>
      </c>
      <c r="K67" s="6"/>
      <c r="L67" t="str">
        <f t="shared" ref="L67" si="96">IF(K67="","",REPT(CHAR(9),1)&amp;"[Index(nameof("&amp;IF(D67="","",""&amp;D67)&amp;")"&amp;", Name="&amp;"""IX_"&amp;$B$7&amp;"_"&amp;D67&amp;""")]")</f>
        <v/>
      </c>
      <c r="M67" t="str">
        <f t="shared" ref="M67" si="97">REPT(CHAR(9),2)&amp;"public virtual "&amp;IF(OR(H67="DateTime",H67="TimeSpan"),H67&amp;"?",H67)&amp;IF(C67="?","? "," ")&amp;D67&amp;" { get; set; }" &amp; "
"</f>
        <v xml:space="preserve">		public virtual string OrderNo { get; set; }
</v>
      </c>
      <c r="N67" t="str">
        <f t="shared" ref="N67" si="98">IF(C67="Checked","",$I$3)&amp;IF(H67="string",REPT(CHAR(9),2)&amp;"[StringLength("&amp;$B$3&amp;"Consts.Max"&amp;D67&amp;"Length"&amp;")]"&amp;$E$3,"")&amp;REPT(CHAR(9),2)&amp;"public virtual "&amp;IF(OR(H67="DateTime",H67="TimeSpan"),H67&amp;"?",H67)&amp;IF(C67="?","? "," ")&amp;D67&amp;" { get; set; }" &amp; "
"</f>
        <v xml:space="preserve">		[StringLength(MstInvGpsSupplierPicConsts.MaxOrderNoLength)]
		public virtual string OrderNo { get; set; }
</v>
      </c>
      <c r="O67" t="str">
        <f t="shared" ref="O67" si="99">IF(OR(H67="string",H67="DateTime",H67="int"),REPT(CHAR(9),2)&amp;"public virtual "&amp;IF(OR(H67="DateTime",H67="TimeSpan"),H67&amp;"?",H67)&amp;IF(C67="?","? "," ")&amp;D67&amp;" { get; set; }"&amp;$E$3,"")</f>
        <v xml:space="preserve">		public virtual string OrderNo { get; set; }
</v>
      </c>
      <c r="P67" t="str">
        <f t="shared" ref="P67" si="100">REPT(CHAR(9),7)&amp;D67&amp;" = o." &amp;D67 &amp;","</f>
        <v xml:space="preserve">							OrderNo = o.OrderNo,</v>
      </c>
      <c r="T67" s="63" t="str">
        <f t="shared" ref="T67" si="101">REPT(CHAR(9),8)&amp;"("""&amp;D67&amp;"""),"</f>
        <v xml:space="preserve">								("OrderNo"),</v>
      </c>
      <c r="V67" s="64" t="str">
        <f t="shared" ref="V67" si="102">REPT(CHAR(9),8)&amp;"_ =&gt; _."&amp;D67&amp;","</f>
        <v xml:space="preserve">								_ =&gt; _.OrderNo,</v>
      </c>
      <c r="W67" s="63" t="str">
        <f t="shared" ref="W67" si="103">IF(H67="string",REPT(CHAR(9),4)&amp;".WhereIf(!string.IsNullOrWhiteSpace(input."&amp;D67&amp;"), e =&gt; e."&amp;D67&amp;".Contains(input."&amp;D67&amp;"))",IF(H67="DateTime",REPT(CHAR(9),4)&amp;".WhereIf(input."&amp;D67&amp;".HasValue, t =&gt; t."&amp;D67&amp;" == input."&amp;D67&amp;".Value)",""))</f>
        <v xml:space="preserve">				.WhereIf(!string.IsNullOrWhiteSpace(input.OrderNo), e =&gt; e.OrderNo.Contains(input.OrderNo))</v>
      </c>
    </row>
    <row r="68" spans="1:23" customFormat="1" ht="18.75" customHeight="1" x14ac:dyDescent="0.25">
      <c r="A68" s="28" t="s">
        <v>431</v>
      </c>
      <c r="B68" s="28" t="s">
        <v>433</v>
      </c>
      <c r="C68" t="s">
        <v>1</v>
      </c>
      <c r="D68" t="str">
        <f t="shared" ref="D68" si="104">SUBSTITUTE(PROPER(A68),"_","")</f>
        <v>TypeApprovalNumber</v>
      </c>
      <c r="E68" t="str">
        <f t="shared" ref="E68" si="105">IFERROR(LEFT(B68, FIND("(",B68)-1),B68)</f>
        <v>varchar</v>
      </c>
      <c r="F68" s="6"/>
      <c r="G68" t="str">
        <f t="shared" ref="G68" si="106">IFERROR(MID(B68,FIND("(",B68) +1, FIND(")",B68) - FIND("(",B68) - 1),"")</f>
        <v>21</v>
      </c>
      <c r="H68" t="str">
        <f>+VLOOKUP(E68,'Data Type Mapping'!A:B,2,)</f>
        <v>string</v>
      </c>
      <c r="I68" t="str">
        <f t="shared" ref="I68" si="107">IF(H68="string",REPT(CHAR(9),2)&amp;"public const int Max"&amp;D68&amp;"Length = "&amp;G68&amp;";"&amp;$E$3,"" )</f>
        <v xml:space="preserve">		public const int MaxTypeApprovalNumberLength = 21;
</v>
      </c>
      <c r="J68" t="str">
        <f t="shared" ref="J68" si="108">IF(F68="","",REPT(CHAR(9),2)&amp;"[Column(TypeName="""&amp;F68&amp;""")]"&amp;$E$3)&amp;IF(C68="Checked","",$I$3)&amp;IF(H68="string",REPT(CHAR(9),2)&amp;"[StringLength(Max"&amp;D68&amp;"Length"&amp;")]"&amp;$E$3,"")&amp;REPT(CHAR(9),2)&amp;"public virtual "&amp;H68&amp;IF(C68="?","? "," ")&amp;D68&amp;" { get; set; }" &amp; "
"</f>
        <v xml:space="preserve">		[StringLength(MaxTypeApprovalNumberLength)]
		public virtual string TypeApprovalNumber { get; set; }
</v>
      </c>
      <c r="K68" s="6"/>
      <c r="L68" t="str">
        <f t="shared" ref="L68" si="109">IF(K68="","",REPT(CHAR(9),1)&amp;"[Index(nameof("&amp;IF(D68="","",""&amp;D68)&amp;")"&amp;", Name="&amp;"""IX_"&amp;$B$7&amp;"_"&amp;D68&amp;""")]")</f>
        <v/>
      </c>
      <c r="M68" t="str">
        <f t="shared" ref="M68" si="110">REPT(CHAR(9),2)&amp;"public virtual "&amp;IF(OR(H68="DateTime",H68="TimeSpan"),H68&amp;"?",H68)&amp;IF(C68="?","? "," ")&amp;D68&amp;" { get; set; }" &amp; "
"</f>
        <v xml:space="preserve">		public virtual string TypeApprovalNumber { get; set; }
</v>
      </c>
      <c r="N68" t="str">
        <f t="shared" ref="N68" si="111">IF(C68="Checked","",$I$3)&amp;IF(H68="string",REPT(CHAR(9),2)&amp;"[StringLength("&amp;$B$3&amp;"Consts.Max"&amp;D68&amp;"Length"&amp;")]"&amp;$E$3,"")&amp;REPT(CHAR(9),2)&amp;"public virtual "&amp;IF(OR(H68="DateTime",H68="TimeSpan"),H68&amp;"?",H68)&amp;IF(C68="?","? "," ")&amp;D68&amp;" { get; set; }" &amp; "
"</f>
        <v xml:space="preserve">		[StringLength(MstInvGpsSupplierPicConsts.MaxTypeApprovalNumberLength)]
		public virtual string TypeApprovalNumber { get; set; }
</v>
      </c>
      <c r="O68" t="str">
        <f t="shared" ref="O68" si="112">IF(OR(H68="string",H68="DateTime",H68="int"),REPT(CHAR(9),2)&amp;"public virtual "&amp;IF(OR(H68="DateTime",H68="TimeSpan"),H68&amp;"?",H68)&amp;IF(C68="?","? "," ")&amp;D68&amp;" { get; set; }"&amp;$E$3,"")</f>
        <v xml:space="preserve">		public virtual string TypeApprovalNumber { get; set; }
</v>
      </c>
      <c r="P68" t="str">
        <f t="shared" ref="P68" si="113">REPT(CHAR(9),7)&amp;D68&amp;" = o." &amp;D68 &amp;","</f>
        <v xml:space="preserve">							TypeApprovalNumber = o.TypeApprovalNumber,</v>
      </c>
      <c r="T68" s="63" t="str">
        <f t="shared" ref="T68" si="114">REPT(CHAR(9),8)&amp;"("""&amp;D68&amp;"""),"</f>
        <v xml:space="preserve">								("TypeApprovalNumber"),</v>
      </c>
      <c r="V68" s="64" t="str">
        <f t="shared" ref="V68" si="115">REPT(CHAR(9),8)&amp;"_ =&gt; _."&amp;D68&amp;","</f>
        <v xml:space="preserve">								_ =&gt; _.TypeApprovalNumber,</v>
      </c>
      <c r="W68" s="63" t="str">
        <f t="shared" ref="W68" si="116">IF(H68="string",REPT(CHAR(9),4)&amp;".WhereIf(!string.IsNullOrWhiteSpace(input."&amp;D68&amp;"), e =&gt; e."&amp;D68&amp;".Contains(input."&amp;D68&amp;"))",IF(H68="DateTime",REPT(CHAR(9),4)&amp;".WhereIf(input."&amp;D68&amp;".HasValue, t =&gt; t."&amp;D68&amp;" == input."&amp;D68&amp;".Value)",""))</f>
        <v xml:space="preserve">				.WhereIf(!string.IsNullOrWhiteSpace(input.TypeApprovalNumber), e =&gt; e.TypeApprovalNumber.Contains(input.TypeApprovalNumber))</v>
      </c>
    </row>
    <row r="69" spans="1:23" customFormat="1" ht="18.75" customHeight="1" x14ac:dyDescent="0.25">
      <c r="A69" s="28" t="s">
        <v>441</v>
      </c>
      <c r="B69" s="28" t="s">
        <v>432</v>
      </c>
      <c r="C69" t="s">
        <v>1</v>
      </c>
      <c r="D69" t="str">
        <f t="shared" ref="D69" si="117">SUBSTITUTE(PROPER(A69),"_","")</f>
        <v>Dummy</v>
      </c>
      <c r="E69" t="str">
        <f t="shared" ref="E69" si="118">IFERROR(LEFT(B69, FIND("(",B69)-1),B69)</f>
        <v>varchar</v>
      </c>
      <c r="F69" s="6"/>
      <c r="G69" t="str">
        <f t="shared" ref="G69" si="119">IFERROR(MID(B69,FIND("(",B69) +1, FIND(")",B69) - FIND("(",B69) - 1),"")</f>
        <v>41</v>
      </c>
      <c r="H69" t="str">
        <f>+VLOOKUP(E69,'Data Type Mapping'!A:B,2,)</f>
        <v>string</v>
      </c>
      <c r="I69" t="str">
        <f t="shared" ref="I69" si="120">IF(H69="string",REPT(CHAR(9),2)&amp;"public const int Max"&amp;D69&amp;"Length = "&amp;G69&amp;";"&amp;$E$3,"" )</f>
        <v xml:space="preserve">		public const int MaxDummyLength = 41;
</v>
      </c>
      <c r="J69" t="str">
        <f t="shared" ref="J69" si="121">IF(F69="","",REPT(CHAR(9),2)&amp;"[Column(TypeName="""&amp;F69&amp;""")]"&amp;$E$3)&amp;IF(C69="Checked","",$I$3)&amp;IF(H69="string",REPT(CHAR(9),2)&amp;"[StringLength(Max"&amp;D69&amp;"Length"&amp;")]"&amp;$E$3,"")&amp;REPT(CHAR(9),2)&amp;"public virtual "&amp;H69&amp;IF(C69="?","? "," ")&amp;D69&amp;" { get; set; }" &amp; "
"</f>
        <v xml:space="preserve">		[StringLength(MaxDummyLength)]
		public virtual string Dummy { get; set; }
</v>
      </c>
      <c r="K69" s="6"/>
      <c r="L69" t="str">
        <f t="shared" ref="L69" si="122">IF(K69="","",REPT(CHAR(9),1)&amp;"[Index(nameof("&amp;IF(D69="","",""&amp;D69)&amp;")"&amp;", Name="&amp;"""IX_"&amp;$B$7&amp;"_"&amp;D69&amp;""")]")</f>
        <v/>
      </c>
      <c r="M69" t="str">
        <f t="shared" ref="M69" si="123">REPT(CHAR(9),2)&amp;"public virtual "&amp;IF(OR(H69="DateTime",H69="TimeSpan"),H69&amp;"?",H69)&amp;IF(C69="?","? "," ")&amp;D69&amp;" { get; set; }" &amp; "
"</f>
        <v xml:space="preserve">		public virtual string Dummy { get; set; }
</v>
      </c>
      <c r="N69" t="str">
        <f t="shared" ref="N69" si="124">IF(C69="Checked","",$I$3)&amp;IF(H69="string",REPT(CHAR(9),2)&amp;"[StringLength("&amp;$B$3&amp;"Consts.Max"&amp;D69&amp;"Length"&amp;")]"&amp;$E$3,"")&amp;REPT(CHAR(9),2)&amp;"public virtual "&amp;IF(OR(H69="DateTime",H69="TimeSpan"),H69&amp;"?",H69)&amp;IF(C69="?","? "," ")&amp;D69&amp;" { get; set; }" &amp; "
"</f>
        <v xml:space="preserve">		[StringLength(MstInvGpsSupplierPicConsts.MaxDummyLength)]
		public virtual string Dummy { get; set; }
</v>
      </c>
      <c r="O69" t="str">
        <f t="shared" ref="O69" si="125">IF(OR(H69="string",H69="DateTime",H69="int"),REPT(CHAR(9),2)&amp;"public virtual "&amp;IF(OR(H69="DateTime",H69="TimeSpan"),H69&amp;"?",H69)&amp;IF(C69="?","? "," ")&amp;D69&amp;" { get; set; }"&amp;$E$3,"")</f>
        <v xml:space="preserve">		public virtual string Dummy { get; set; }
</v>
      </c>
      <c r="P69" t="str">
        <f t="shared" ref="P69" si="126">REPT(CHAR(9),7)&amp;D69&amp;" = o." &amp;D69 &amp;","</f>
        <v xml:space="preserve">							Dummy = o.Dummy,</v>
      </c>
      <c r="T69" s="63" t="str">
        <f t="shared" ref="T69" si="127">REPT(CHAR(9),8)&amp;"("""&amp;D69&amp;"""),"</f>
        <v xml:space="preserve">								("Dummy"),</v>
      </c>
      <c r="V69" s="64" t="str">
        <f t="shared" ref="V69" si="128">REPT(CHAR(9),8)&amp;"_ =&gt; _."&amp;D69&amp;","</f>
        <v xml:space="preserve">								_ =&gt; _.Dummy,</v>
      </c>
      <c r="W69" s="63" t="str">
        <f t="shared" ref="W69" si="129">IF(H69="string",REPT(CHAR(9),4)&amp;".WhereIf(!string.IsNullOrWhiteSpace(input."&amp;D69&amp;"), e =&gt; e."&amp;D69&amp;".Contains(input."&amp;D69&amp;"))",IF(H69="DateTime",REPT(CHAR(9),4)&amp;".WhereIf(input."&amp;D69&amp;".HasValue, t =&gt; t."&amp;D69&amp;" == input."&amp;D69&amp;".Value)",""))</f>
        <v xml:space="preserve">				.WhereIf(!string.IsNullOrWhiteSpace(input.Dummy), e =&gt; e.Dummy.Contains(input.Dummy))</v>
      </c>
    </row>
    <row r="71" spans="1:23" ht="45.75" customHeight="1" x14ac:dyDescent="0.25">
      <c r="H71" s="11"/>
      <c r="I71" s="31" t="e">
        <f ca="1">TEXTJOIN2("
", TRUE,INDIRECT( $H$1):INDIRECT( $H$3))</f>
        <v>#NAME?</v>
      </c>
      <c r="J71" s="30" t="e">
        <f ca="1">TEXTJOIN2("
", TRUE,INDIRECT( $F$1):INDIRECT( $F$3))</f>
        <v>#NAME?</v>
      </c>
      <c r="K71" s="32" t="e">
        <f ca="1">TEXTJOIN2("
", TRUE,INDIRECT( $J$1):INDIRECT( $J$3))</f>
        <v>#NAME?</v>
      </c>
      <c r="L71" s="12" t="s">
        <v>56</v>
      </c>
      <c r="M71" s="33" t="e">
        <f ca="1">TEXTJOIN2("
",TRUE,INDIRECT( $L$1):INDIRECT($L$3))</f>
        <v>#NAME?</v>
      </c>
      <c r="N71" s="30" t="e">
        <f ca="1">TEXTJOIN2("
",TRUE,INDIRECT( $M$1):INDIRECT($M$3))</f>
        <v>#NAME?</v>
      </c>
      <c r="O71" s="30" t="e">
        <f ca="1">TEXTJOIN2("
",TRUE,INDIRECT( $N$1):INDIRECT($N$3))</f>
        <v>#NAME?</v>
      </c>
      <c r="P71" s="8" t="e">
        <f ca="1">TEXTJOIN2("
",TRUE,INDIRECT( $O$1):INDIRECT($O$3))</f>
        <v>#NAME?</v>
      </c>
      <c r="T71" s="8" t="e">
        <f ca="1">TEXTJOIN2("
",TRUE,INDIRECT( $T$2):INDIRECT($T$3))</f>
        <v>#NAME?</v>
      </c>
      <c r="V71" s="8" t="e">
        <f ca="1">TEXTJOIN2("
",TRUE,INDIRECT( $V$2):INDIRECT($V$3))</f>
        <v>#NAME?</v>
      </c>
      <c r="W71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opLeftCell="A7" workbookViewId="0">
      <selection activeCell="V13" sqref="V1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MstInvGpsSupplierPic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GpsSupplierPic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gpssupplierpic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GpsSupplierPicRoutingModule } from './gpssupplierpic-routing.module';
import { GpsSupplierPicComponent } from './gpssupplierpic.component';
import { CreateOrEditGpsSupplierPicModalComponent } from './create-or-edit-gpssupplierpic-modal.component';
@NgModule({
    declarations: [
       GpsSupplierPicComponent, 
        CreateOrEditGpsSupplierPicModalComponent
    ],
    imports: [
        AppSharedModule, GpsSupplierPicRoutingModule]
})
export class GpsSupplierPicModule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GpsSupplierPicComponent } from './gpssupplierpic.component';
const routes: Routes = [{
    path: '',
    component: GpsSupplierPicComponent,
    pathMatch: 'full'
}];
@NgModule({
    imports: [RouterModule.forChild(routes)],
    exports: [RouterModule],
})
export class GpsSupplierPicRoutingModule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AppMenuItem("GpsSupplierPic", "Pages.Master.Inv.GpsSupplierPic", "flaticon-book",   "/app/main/master/inv/gpssupplierpic"),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'master/inv/gpssupplierpic',
    loadChildren: () =&gt; import('./master/inv/gpssupplierpic/gpssupplierpic.module').then(m =&gt; m.GpsSupplierPicModule),
    data: { permission: 'Pages.Master.Inv.GpsSupplierPic' }
},</v>
      </c>
      <c r="R10" s="47" t="str">
        <f>SUBSTITUTE(R9,"MstWptCalendar",$B$6)</f>
        <v>ApiServiceProxies.MstInvGpsSupplierPicServiceProxy,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gpssupplierpic.component.ts</v>
      </c>
      <c r="I14" s="37" t="str">
        <f>B8&amp;".component.html"</f>
        <v>gpssupplierpic.component.html</v>
      </c>
      <c r="J14" s="36" t="str">
        <f>B8&amp;".component.less"</f>
        <v>gpssupplierpic.component.less</v>
      </c>
      <c r="K14" s="37" t="str">
        <f>"create-or-edit-"&amp;B8&amp;"-modal.component.html"</f>
        <v>create-or-edit-gpssupplierpic-modal.component.html</v>
      </c>
      <c r="L14" s="37" t="str">
        <f>"create-or-edit-"&amp;B8&amp;"-modal.component.ts"</f>
        <v>create-or-edit-gpssupplierpic-modal.component.ts</v>
      </c>
      <c r="M14" s="37" t="str">
        <f>"create-or-edit-"&amp;B8&amp;"-modal.component.less"</f>
        <v>create-or-edit-gpssupplierpic-modal.component.less</v>
      </c>
      <c r="N14" s="37" t="str">
        <f>B8&amp;".module.ts"</f>
        <v>gpssupplierpic.module.ts</v>
      </c>
      <c r="O14" s="37" t="str">
        <f>B8&amp;"-routing.module.ts"</f>
        <v>gpssupplierpic-routing.module.ts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356</v>
      </c>
      <c r="B15" s="28" t="str">
        <f t="shared" ref="B15" si="0">SUBSTITUTE(PROPER(A15),"_","")</f>
        <v>SupplierId</v>
      </c>
      <c r="C15" s="28" t="str">
        <f t="shared" ref="C15" si="1">SUBSTITUTE(PROPER(A15),"_"," ")</f>
        <v>Supplier Id</v>
      </c>
      <c r="D15" s="28" t="str">
        <f t="shared" ref="D15" si="2">LOWER(LEFT(B15,1))&amp;RIGHT(B15,LEN(B15) - 1)</f>
        <v>supplierId</v>
      </c>
      <c r="E15" s="28" t="str">
        <f>A.Backend!H9</f>
        <v>string</v>
      </c>
      <c r="F15" s="28" t="str">
        <f>A.Backend!G9</f>
        <v>1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Id'),headerTooltip: this.l('Supplier Id'),field:  'supplierId', cellClass: ['text-center'], width: 120, cellRenderer: 'agCellButtonComponent',
buttonDefTwo: { text: params =&gt; (params.data?.'supplierId' == 'Y') ? 'Active' : 'Inactive',iconName: 'fa fa-circle',className: params =&gt; (params.data?.'supplierId' == 'Y') ? 'btnActive' : 'btnInActive',},}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Id&lt;/label&gt;
						&lt;new-checkbox [(ngModel)]='_supplierId' name='supplierId' className='col-md-10' &gt; &lt;/new-checkbox&gt;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>supplierId</v>
      </c>
    </row>
    <row r="16" spans="1:22" ht="18" customHeight="1" x14ac:dyDescent="0.25">
      <c r="A16" t="s">
        <v>357</v>
      </c>
      <c r="B16" s="28" t="str">
        <f t="shared" ref="B16:B21" si="8">SUBSTITUTE(PROPER(A16),"_","")</f>
        <v>PicName</v>
      </c>
      <c r="C16" s="28" t="str">
        <f t="shared" ref="C16:C21" si="9">SUBSTITUTE(PROPER(A16),"_"," ")</f>
        <v>Pic Name</v>
      </c>
      <c r="D16" s="28" t="str">
        <f t="shared" ref="D16:D21" si="10">LOWER(LEFT(B16,1))&amp;RIGHT(B16,LEN(B16) - 1)</f>
        <v>picName</v>
      </c>
      <c r="E16" s="28" t="str">
        <f>A.Backend!H10</f>
        <v>string</v>
      </c>
      <c r="F16" s="28" t="str">
        <f>A.Backend!G10</f>
        <v>1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this.l('Pic Name'),headerTooltip: this.l('Pic Name'),field:  'picName', cellClass: ['text-center'], width: 120, cellRenderer: 'agCellButtonComponent',
buttonDefTwo: { text: params =&gt; (params.data?.'picName' == 'Y') ? 'Active' : 'Inactive',iconName: 'fa fa-circle',className: params =&gt; (params.data?.'picName' == 'Y') ? 'btnActive' : 'btnInActive',},}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2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title'&gt;Pic Name&lt;/label&gt;
						&lt;new-checkbox [(ngModel)]='_picName' name='picName' className='col-md-10' &gt; &lt;/new-checkbox&gt;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5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:U21" si="16">IF(AND(E16="string",F16 &lt;&gt;"1"),(REPT(CHAR(9),1)&amp;D16&amp;G16),"")</f>
        <v/>
      </c>
      <c r="V16" s="28" t="str">
        <f t="shared" ref="V16:V21" si="17">IF(AND(E16="string",F16="1"),D16,"")</f>
        <v>picName</v>
      </c>
    </row>
    <row r="17" spans="1:22" ht="18" customHeight="1" x14ac:dyDescent="0.25">
      <c r="A17" t="s">
        <v>358</v>
      </c>
      <c r="B17" s="28" t="str">
        <f t="shared" si="8"/>
        <v>PicTelephone</v>
      </c>
      <c r="C17" s="28" t="str">
        <f t="shared" si="9"/>
        <v>Pic Telephone</v>
      </c>
      <c r="D17" s="28" t="str">
        <f t="shared" si="10"/>
        <v>picTelephone</v>
      </c>
      <c r="E17" s="28" t="str">
        <f>A.Backend!H11</f>
        <v>string</v>
      </c>
      <c r="F17" s="28" t="str">
        <f>A.Backend!G11</f>
        <v>1</v>
      </c>
      <c r="G17" s="28" t="str">
        <f t="shared" si="11"/>
        <v xml:space="preserve"> : string = '' ; </v>
      </c>
      <c r="H17" s="35" t="str">
        <f t="shared" si="12"/>
        <v xml:space="preserve">			{headerName: this.l('Pic Telephone'),headerTooltip: this.l('Pic Telephone'),field:  'picTelephone', cellClass: ['text-center'], width: 120, cellRenderer: 'agCellButtonComponent',
buttonDefTwo: { text: params =&gt; (params.data?.'picTelephone' == 'Y') ? 'Active' : 'Inactive',iconName: 'fa fa-circle',className: params =&gt; (params.data?.'picTelephone' == 'Y') ? 'btnActive' : 'btnInActive',},}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title'&gt;Pic Telephone&lt;/label&gt;
						&lt;new-checkbox [(ngModel)]='_picTelephone' name='picTelephone' className='col-md-10' &gt; &lt;/new-checkbox&gt;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1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>picTelephone</v>
      </c>
    </row>
    <row r="18" spans="1:22" ht="15" customHeight="1" x14ac:dyDescent="0.25">
      <c r="A18" t="s">
        <v>359</v>
      </c>
      <c r="B18" s="28" t="str">
        <f t="shared" si="8"/>
        <v>PicEmail</v>
      </c>
      <c r="C18" s="28" t="str">
        <f t="shared" si="9"/>
        <v>Pic Email</v>
      </c>
      <c r="D18" s="28" t="str">
        <f t="shared" si="10"/>
        <v>picEmail</v>
      </c>
      <c r="E18" s="28" t="str">
        <f>A.Backend!H12</f>
        <v>string</v>
      </c>
      <c r="F18" s="28" t="str">
        <f>A.Backend!G12</f>
        <v>5</v>
      </c>
      <c r="G18" s="28" t="str">
        <f t="shared" si="11"/>
        <v xml:space="preserve"> : string = '' ; </v>
      </c>
      <c r="H18" s="35" t="str">
        <f t="shared" si="12"/>
        <v xml:space="preserve">			{headerName: this.l('Pic Email'),headerTooltip: this.l('Pic Email'),field: 'picEmail',flex: 1},</v>
      </c>
      <c r="I18" s="35" t="str">
        <f t="shared" si="5"/>
        <v xml:space="preserve">								&lt;div class='input-search'&gt;
									&lt;input [(ngModel)]='picEmail' name='picEmail'
									class='form-control' [placeholder]="l('Pic Email')"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title'&gt;Pic Email&lt;/label&gt;
						&lt;input type='text' class='col-md-10 form-control input-text' name='PicEmail' [(ngModel)]='rowdata.picEmail'&gt;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picEmail : string = '' ; </v>
      </c>
      <c r="T18" s="28" t="str">
        <f t="shared" si="18"/>
        <v xml:space="preserve">			this.picTelephone,</v>
      </c>
      <c r="U18" s="28" t="str">
        <f t="shared" si="16"/>
        <v xml:space="preserve">	picEmail : string = '' ; </v>
      </c>
      <c r="V18" s="28" t="str">
        <f t="shared" si="17"/>
        <v/>
      </c>
    </row>
    <row r="19" spans="1:22" ht="18" customHeight="1" x14ac:dyDescent="0.25">
      <c r="A19" t="s">
        <v>360</v>
      </c>
      <c r="B19" s="28" t="str">
        <f t="shared" si="8"/>
        <v>IsMainPic</v>
      </c>
      <c r="C19" s="28" t="str">
        <f t="shared" si="9"/>
        <v>Is Main Pic</v>
      </c>
      <c r="D19" s="28" t="str">
        <f t="shared" si="10"/>
        <v>isMainPic</v>
      </c>
      <c r="E19" s="28" t="str">
        <f>A.Backend!H13</f>
        <v>string</v>
      </c>
      <c r="F19" s="28" t="str">
        <f>A.Backend!G13</f>
        <v>10</v>
      </c>
      <c r="G19" s="28" t="str">
        <f t="shared" si="11"/>
        <v xml:space="preserve"> : string = '' ; </v>
      </c>
      <c r="H19" s="35" t="str">
        <f t="shared" si="12"/>
        <v xml:space="preserve">			{headerName: this.l('Is Main Pic'),headerTooltip: this.l('Is Main Pic'),field: 'isMainPic',flex: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[(ngModel)]='isMainPic' name='isMainPic'
									class='form-control' [placeholder]="l('Is Main Pic')"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title'&gt;Is Main Pic&lt;/label&gt;
						&lt;input type='text' class='col-md-10 form-control input-text' name='IsMainPic' [(ngModel)]='rowdata.isMainPic'&gt;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isMainPic : string = '' ; </v>
      </c>
      <c r="T19" s="28" t="str">
        <f t="shared" si="18"/>
        <v xml:space="preserve">			this.picEmail,</v>
      </c>
      <c r="U19" s="28" t="str">
        <f t="shared" si="16"/>
        <v xml:space="preserve">	isMainPic : string = '' ; </v>
      </c>
      <c r="V19" s="28" t="str">
        <f t="shared" si="17"/>
        <v/>
      </c>
    </row>
    <row r="20" spans="1:22" ht="15" customHeight="1" x14ac:dyDescent="0.25">
      <c r="A20" t="s">
        <v>362</v>
      </c>
      <c r="B20" s="28" t="str">
        <f t="shared" si="8"/>
        <v>IsSendEmail</v>
      </c>
      <c r="C20" s="28" t="str">
        <f t="shared" si="9"/>
        <v>Is Send Email</v>
      </c>
      <c r="D20" s="28" t="str">
        <f t="shared" si="10"/>
        <v>isSendEmail</v>
      </c>
      <c r="E20" s="28" t="str">
        <f>A.Backend!H14</f>
        <v>string</v>
      </c>
      <c r="F20" s="28" t="str">
        <f>A.Backend!G14</f>
        <v>2</v>
      </c>
      <c r="G20" s="28" t="str">
        <f t="shared" si="11"/>
        <v xml:space="preserve"> : string = '' ; </v>
      </c>
      <c r="H20" s="35" t="str">
        <f t="shared" si="12"/>
        <v xml:space="preserve">			{headerName: this.l('Is Send Email'),headerTooltip: this.l('Is Send Email'),field: 'isSendEmail',flex: 1},</v>
      </c>
      <c r="I20" s="35" t="str">
        <f t="shared" si="5"/>
        <v xml:space="preserve">								&lt;div class='input-search'&gt;
									&lt;input [(ngModel)]='isSendEmail' name='isSendEmail'
									class='form-control' [placeholder]="l('Is Send Email')"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title'&gt;Is Send Email&lt;/label&gt;
						&lt;input type='text' class='col-md-10 form-control input-text' name='IsSendEmail' [(ngModel)]='rowdata.isSendEmail'&gt;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isSendEmail : string = '' ; </v>
      </c>
      <c r="T20" s="28" t="str">
        <f t="shared" si="18"/>
        <v xml:space="preserve">			this.isMainPic,</v>
      </c>
      <c r="U20" s="28" t="str">
        <f t="shared" si="16"/>
        <v xml:space="preserve">	isSendEmail : string = '' ; </v>
      </c>
      <c r="V20" s="28" t="str">
        <f t="shared" si="17"/>
        <v/>
      </c>
    </row>
    <row r="21" spans="1:22" ht="18" customHeight="1" x14ac:dyDescent="0.25">
      <c r="A21" t="s">
        <v>318</v>
      </c>
      <c r="B21" s="28" t="str">
        <f t="shared" si="8"/>
        <v>IsActive</v>
      </c>
      <c r="C21" s="28" t="str">
        <f t="shared" si="9"/>
        <v>Is Active</v>
      </c>
      <c r="D21" s="28" t="str">
        <f t="shared" si="10"/>
        <v>isActive</v>
      </c>
      <c r="E21" s="28" t="str">
        <f>A.Backend!H69</f>
        <v>string</v>
      </c>
      <c r="F21" s="28" t="str">
        <f>A.Backend!G69</f>
        <v>41</v>
      </c>
      <c r="G21" s="28" t="str">
        <f t="shared" si="11"/>
        <v xml:space="preserve"> : string = '' ; </v>
      </c>
      <c r="H21" s="35" t="str">
        <f t="shared" si="12"/>
        <v xml:space="preserve">			{headerName: this.l('Is Active'),headerTooltip: this.l('Is Active'),field: 'isActive',flex: 1},</v>
      </c>
      <c r="I21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28"/>
      <c r="K21" s="35" t="str">
        <f t="shared" si="13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 xml:space="preserve">	isActive : string = '' ; </v>
      </c>
      <c r="T21" s="28" t="str">
        <f t="shared" si="18"/>
        <v xml:space="preserve">			this.isSendEmail,</v>
      </c>
      <c r="U21" s="28" t="str">
        <f t="shared" si="16"/>
        <v xml:space="preserve">	isActive : string = '' ; </v>
      </c>
      <c r="V21" s="28" t="str">
        <f t="shared" si="17"/>
        <v/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355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Windows User</cp:lastModifiedBy>
  <dcterms:created xsi:type="dcterms:W3CDTF">2022-04-01T07:31:40Z</dcterms:created>
  <dcterms:modified xsi:type="dcterms:W3CDTF">2023-05-20T10:45:16Z</dcterms:modified>
</cp:coreProperties>
</file>
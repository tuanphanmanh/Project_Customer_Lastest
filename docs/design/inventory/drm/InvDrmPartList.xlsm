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MS\docs\design\inventory\drm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5" l="1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22" i="1"/>
  <c r="G22" i="1"/>
  <c r="F30" i="5" s="1"/>
  <c r="E22" i="1"/>
  <c r="H22" i="1" s="1"/>
  <c r="E30" i="5" s="1"/>
  <c r="D22" i="1"/>
  <c r="V22" i="1" s="1"/>
  <c r="K30" i="5" l="1"/>
  <c r="U30" i="5"/>
  <c r="V30" i="5"/>
  <c r="G30" i="5"/>
  <c r="S30" i="5" s="1"/>
  <c r="H30" i="5"/>
  <c r="I30" i="5"/>
  <c r="L30" i="5"/>
  <c r="W22" i="1"/>
  <c r="J22" i="1"/>
  <c r="I22" i="1"/>
  <c r="O22" i="1"/>
  <c r="N22" i="1"/>
  <c r="M22" i="1"/>
  <c r="P22" i="1"/>
  <c r="T22" i="1"/>
  <c r="B7" i="5"/>
  <c r="B6" i="5"/>
  <c r="B2" i="5"/>
  <c r="B8" i="5" l="1"/>
  <c r="B3" i="5"/>
  <c r="L21" i="1"/>
  <c r="G21" i="1"/>
  <c r="F29" i="5" s="1"/>
  <c r="E21" i="1"/>
  <c r="H21" i="1" s="1"/>
  <c r="E29" i="5" s="1"/>
  <c r="D21" i="1"/>
  <c r="V21" i="1" s="1"/>
  <c r="G20" i="1"/>
  <c r="F28" i="5" s="1"/>
  <c r="E20" i="1"/>
  <c r="H20" i="1" s="1"/>
  <c r="E28" i="5" s="1"/>
  <c r="D20" i="1"/>
  <c r="T20" i="1" s="1"/>
  <c r="L19" i="1"/>
  <c r="G19" i="1"/>
  <c r="F27" i="5" s="1"/>
  <c r="E19" i="1"/>
  <c r="H19" i="1" s="1"/>
  <c r="E27" i="5" s="1"/>
  <c r="D19" i="1"/>
  <c r="V19" i="1" s="1"/>
  <c r="L18" i="1"/>
  <c r="G18" i="1"/>
  <c r="F26" i="5" s="1"/>
  <c r="E18" i="1"/>
  <c r="H18" i="1" s="1"/>
  <c r="D18" i="1"/>
  <c r="T18" i="1" s="1"/>
  <c r="L17" i="1"/>
  <c r="G17" i="1"/>
  <c r="F25" i="5" s="1"/>
  <c r="E17" i="1"/>
  <c r="H17" i="1" s="1"/>
  <c r="E25" i="5" s="1"/>
  <c r="D17" i="1"/>
  <c r="V17" i="1" s="1"/>
  <c r="G16" i="1"/>
  <c r="F24" i="5" s="1"/>
  <c r="E16" i="1"/>
  <c r="H16" i="1" s="1"/>
  <c r="E24" i="5" s="1"/>
  <c r="D16" i="1"/>
  <c r="T16" i="1" s="1"/>
  <c r="F23" i="5"/>
  <c r="E23" i="5"/>
  <c r="F22" i="5"/>
  <c r="E22" i="5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K28" i="5" l="1"/>
  <c r="I28" i="5"/>
  <c r="H28" i="5"/>
  <c r="G28" i="5"/>
  <c r="S28" i="5" s="1"/>
  <c r="V28" i="5"/>
  <c r="U28" i="5"/>
  <c r="L28" i="5"/>
  <c r="K29" i="5"/>
  <c r="I29" i="5"/>
  <c r="H29" i="5"/>
  <c r="G29" i="5"/>
  <c r="S29" i="5" s="1"/>
  <c r="V29" i="5"/>
  <c r="L29" i="5"/>
  <c r="U29" i="5"/>
  <c r="K22" i="5"/>
  <c r="I22" i="5"/>
  <c r="H22" i="5"/>
  <c r="G22" i="5"/>
  <c r="S22" i="5" s="1"/>
  <c r="L22" i="5"/>
  <c r="V22" i="5"/>
  <c r="U22" i="5"/>
  <c r="K20" i="5"/>
  <c r="I20" i="5"/>
  <c r="H20" i="5"/>
  <c r="G20" i="5"/>
  <c r="S20" i="5" s="1"/>
  <c r="L20" i="5"/>
  <c r="V20" i="5"/>
  <c r="U20" i="5"/>
  <c r="I27" i="5"/>
  <c r="H27" i="5"/>
  <c r="K27" i="5"/>
  <c r="G27" i="5"/>
  <c r="S27" i="5" s="1"/>
  <c r="V27" i="5"/>
  <c r="U27" i="5"/>
  <c r="L27" i="5"/>
  <c r="U23" i="5"/>
  <c r="K23" i="5"/>
  <c r="I23" i="5"/>
  <c r="H23" i="5"/>
  <c r="G23" i="5"/>
  <c r="S23" i="5" s="1"/>
  <c r="V23" i="5"/>
  <c r="L23" i="5"/>
  <c r="I18" i="1"/>
  <c r="E26" i="5"/>
  <c r="L24" i="5"/>
  <c r="V24" i="5"/>
  <c r="U24" i="5"/>
  <c r="G24" i="5"/>
  <c r="S24" i="5" s="1"/>
  <c r="K24" i="5"/>
  <c r="I24" i="5"/>
  <c r="H24" i="5"/>
  <c r="G25" i="5"/>
  <c r="S25" i="5" s="1"/>
  <c r="V25" i="5"/>
  <c r="U25" i="5"/>
  <c r="K25" i="5"/>
  <c r="H25" i="5"/>
  <c r="I25" i="5"/>
  <c r="L25" i="5"/>
  <c r="L21" i="5"/>
  <c r="K21" i="5"/>
  <c r="I21" i="5"/>
  <c r="H21" i="5"/>
  <c r="G21" i="5"/>
  <c r="S21" i="5" s="1"/>
  <c r="V21" i="5"/>
  <c r="U21" i="5"/>
  <c r="M16" i="1"/>
  <c r="I16" i="1"/>
  <c r="M20" i="1"/>
  <c r="I20" i="1"/>
  <c r="P15" i="1"/>
  <c r="P19" i="1"/>
  <c r="P21" i="1"/>
  <c r="W15" i="1"/>
  <c r="P17" i="1"/>
  <c r="M18" i="1"/>
  <c r="W17" i="1"/>
  <c r="O17" i="1"/>
  <c r="J17" i="1"/>
  <c r="N17" i="1"/>
  <c r="I17" i="1"/>
  <c r="M17" i="1"/>
  <c r="W21" i="1"/>
  <c r="O21" i="1"/>
  <c r="J21" i="1"/>
  <c r="N21" i="1"/>
  <c r="I21" i="1"/>
  <c r="M21" i="1"/>
  <c r="W19" i="1"/>
  <c r="O19" i="1"/>
  <c r="J19" i="1"/>
  <c r="N19" i="1"/>
  <c r="I19" i="1"/>
  <c r="M19" i="1"/>
  <c r="N16" i="1"/>
  <c r="V16" i="1"/>
  <c r="N18" i="1"/>
  <c r="V18" i="1"/>
  <c r="N20" i="1"/>
  <c r="V20" i="1"/>
  <c r="J16" i="1"/>
  <c r="O16" i="1"/>
  <c r="W16" i="1"/>
  <c r="T17" i="1"/>
  <c r="J18" i="1"/>
  <c r="O18" i="1"/>
  <c r="W18" i="1"/>
  <c r="T19" i="1"/>
  <c r="J20" i="1"/>
  <c r="O20" i="1"/>
  <c r="W20" i="1"/>
  <c r="T21" i="1"/>
  <c r="P16" i="1"/>
  <c r="P18" i="1"/>
  <c r="P20" i="1"/>
  <c r="M14" i="1"/>
  <c r="N14" i="1"/>
  <c r="I14" i="1"/>
  <c r="W14" i="1"/>
  <c r="O14" i="1"/>
  <c r="J14" i="1"/>
  <c r="M15" i="1"/>
  <c r="T15" i="1"/>
  <c r="V14" i="1"/>
  <c r="I15" i="1"/>
  <c r="N15" i="1"/>
  <c r="P14" i="1"/>
  <c r="J15" i="1"/>
  <c r="O15" i="1"/>
  <c r="C17" i="5"/>
  <c r="B17" i="5"/>
  <c r="D17" i="5" s="1"/>
  <c r="T17" i="5" s="1"/>
  <c r="C16" i="5"/>
  <c r="B16" i="5"/>
  <c r="D16" i="5" s="1"/>
  <c r="T16" i="5" s="1"/>
  <c r="L26" i="5" l="1"/>
  <c r="H26" i="5"/>
  <c r="G26" i="5"/>
  <c r="S26" i="5" s="1"/>
  <c r="V26" i="5"/>
  <c r="I26" i="5"/>
  <c r="U26" i="5"/>
  <c r="K26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18" i="5" l="1"/>
  <c r="G18" i="5"/>
  <c r="S18" i="5" s="1"/>
  <c r="V18" i="5"/>
  <c r="I18" i="5"/>
  <c r="U18" i="5"/>
  <c r="K18" i="5"/>
  <c r="L18" i="5"/>
  <c r="G17" i="5"/>
  <c r="S17" i="5" s="1"/>
  <c r="V17" i="5"/>
  <c r="U17" i="5"/>
  <c r="H17" i="5"/>
  <c r="K17" i="5"/>
  <c r="I17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G16" i="5"/>
  <c r="S16" i="5" s="1"/>
  <c r="H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4" i="1"/>
  <c r="T7" i="1" l="1"/>
  <c r="W24" i="1"/>
  <c r="G6" i="1" l="1"/>
  <c r="H13" i="5"/>
  <c r="L13" i="5"/>
  <c r="U13" i="5"/>
  <c r="S13" i="5"/>
  <c r="V13" i="5"/>
  <c r="K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6" i="1" l="1"/>
  <c r="L20" i="1"/>
  <c r="L14" i="1"/>
  <c r="L9" i="1"/>
  <c r="L10" i="1"/>
  <c r="C7" i="1"/>
  <c r="J24" i="1"/>
  <c r="O24" i="1"/>
  <c r="N24" i="1"/>
  <c r="P24" i="1"/>
  <c r="I24" i="1"/>
  <c r="Q7" i="1" l="1"/>
  <c r="M68" i="3" s="1"/>
  <c r="L7" i="1"/>
  <c r="G68" i="3" s="1"/>
  <c r="K68" i="3"/>
  <c r="J68" i="3"/>
  <c r="K24" i="1"/>
  <c r="M2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<sst xmlns="http://schemas.openxmlformats.org/spreadsheetml/2006/main" count="491" uniqueCount="383">
  <si>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</si>
  <si>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</si>
  <si>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</si>
  <si>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</si>
  <si>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</si>
  <si>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</si>
  <si>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</si>
  <si>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</si>
  <si>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</si>
  <si>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</si>
  <si>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</si>
  <si>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</si>
  <si>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</si>
  <si>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</si>
  <si>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</si>
  <si>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</si>
  <si>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</si>
  <si>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</si>
  <si>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</si>
  <si>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</si>
  <si>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</si>
  <si>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</si>
  <si>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</si>
  <si>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</si>
  <si>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</si>
  <si>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</si>
  <si>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</si>
  <si>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</si>
  <si>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</si>
  <si>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</si>
  <si>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</si>
  <si>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</si>
  <si>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</si>
  <si>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</si>
  <si>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</si>
  <si>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</si>
  <si>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</si>
  <si>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</si>
  <si>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</si>
  <si>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</si>
  <si>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</si>
  <si>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</si>
  <si>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</si>
  <si>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</si>
  <si>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</si>
  <si>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</si>
  <si>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</si>
  <si>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</si>
  <si>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</si>
  <si>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</si>
  <si>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</si>
  <si>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</si>
  <si>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</si>
  <si>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</si>
  <si>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</si>
  <si>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</si>
  <si>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</si>
  <si>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</si>
  <si>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</si>
  <si>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</si>
  <si>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</si>
  <si>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</si>
  <si>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</si>
  <si>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</si>
  <si>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</si>
  <si>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</si>
  <si>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</si>
  <si>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</si>
  <si>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</si>
  <si>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</si>
  <si>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</si>
  <si>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</si>
  <si>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</si>
  <si>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</si>
  <si>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</si>
  <si>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</si>
  <si>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</si>
  <si>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</si>
  <si>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</si>
  <si>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</si>
  <si>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</si>
  <si>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</si>
  <si>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</si>
  <si>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</si>
  <si>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</si>
  <si>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</si>
  <si>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</si>
  <si>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</si>
  <si>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</si>
  <si>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</si>
  <si>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</si>
  <si>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</si>
  <si>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</si>
  <si>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</si>
  <si>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</si>
  <si>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</si>
  <si>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</si>
  <si>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</si>
  <si>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</si>
  <si>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</si>
  <si>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</si>
  <si>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</si>
  <si>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</si>
  <si>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</si>
  <si>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</si>
  <si>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</si>
  <si>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</si>
  <si>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</si>
  <si>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</si>
  <si>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</si>
  <si>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</si>
  <si>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</si>
  <si>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</si>
  <si>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</si>
  <si>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</si>
  <si>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</si>
  <si>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</si>
  <si>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</si>
  <si>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</si>
  <si>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</si>
  <si>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</si>
  <si>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</si>
  <si>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</si>
  <si>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</si>
  <si>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</si>
  <si>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</si>
  <si>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</si>
  <si>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</si>
  <si>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</si>
  <si>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</si>
  <si>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</si>
  <si>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</si>
  <si>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</si>
  <si>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</si>
  <si>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</si>
  <si>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</si>
  <si>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</si>
  <si>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</si>
  <si>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</si>
  <si>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</si>
  <si>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</si>
  <si>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</si>
  <si>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</si>
  <si>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</si>
  <si>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</si>
  <si>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</si>
  <si>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</si>
  <si>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</si>
  <si>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</si>
  <si>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</si>
  <si>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</si>
  <si>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</si>
  <si>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</si>
  <si>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</si>
  <si>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</si>
  <si>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</si>
  <si>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</si>
  <si>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</si>
  <si>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</si>
  <si>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</si>
  <si>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</si>
  <si>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</si>
  <si>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</si>
  <si>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</si>
  <si>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</si>
  <si>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</si>
  <si>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</si>
  <si>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</si>
  <si>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</si>
  <si>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</si>
  <si>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</si>
  <si>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</si>
  <si>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</si>
  <si>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</si>
  <si>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</si>
  <si>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</si>
  <si>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</si>
  <si>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</si>
  <si>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</si>
  <si>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</si>
  <si>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</si>
  <si>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</si>
  <si>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</si>
  <si>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</si>
  <si>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</si>
  <si>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</si>
  <si>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</si>
  <si>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</si>
  <si>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</si>
  <si>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</si>
  <si>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</si>
  <si>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</si>
  <si>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</si>
  <si>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</si>
  <si>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</si>
  <si>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</si>
  <si>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</si>
  <si>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</si>
  <si>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</si>
  <si>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</si>
  <si>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</si>
  <si>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</si>
  <si>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</si>
  <si>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</si>
  <si>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</si>
  <si>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</si>
  <si>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</si>
  <si>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</si>
  <si>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</si>
  <si>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</si>
  <si>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</si>
  <si>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</si>
  <si>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</si>
  <si>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</si>
  <si>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</si>
  <si>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</si>
  <si>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</si>
  <si>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</si>
  <si>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</si>
  <si>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</si>
  <si>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</si>
  <si>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</si>
  <si>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</si>
  <si>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</si>
  <si>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</si>
  <si>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</si>
  <si>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</si>
  <si>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</si>
  <si>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</si>
  <si>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</si>
  <si>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</si>
  <si>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</si>
  <si>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</si>
  <si>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</si>
  <si>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</si>
  <si>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</si>
  <si>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</si>
  <si>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</si>
  <si>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</si>
  <si>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</si>
  <si>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</si>
  <si>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</si>
  <si>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</si>
  <si>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</si>
  <si>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</si>
  <si>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</si>
  <si>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</si>
  <si>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</si>
  <si>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</si>
  <si>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</si>
  <si>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</si>
  <si>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</si>
  <si>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</si>
  <si>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</si>
  <si>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</si>
  <si>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</si>
  <si>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</si>
  <si>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</si>
  <si>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</si>
  <si>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</si>
  <si>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</si>
  <si>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</si>
  <si>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</si>
  <si>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</si>
  <si>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</si>
  <si>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</si>
  <si>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</si>
  <si>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</si>
  <si>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</si>
  <si>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</si>
  <si>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</si>
  <si>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</si>
  <si>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</si>
  <si>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</si>
  <si>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</si>
  <si>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</si>
  <si>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</si>
  <si>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</si>
  <si>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</si>
  <si>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</si>
  <si>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</si>
  <si>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</si>
  <si>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</si>
  <si>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</si>
  <si>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</si>
  <si>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</si>
  <si>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</si>
  <si>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</si>
  <si>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</si>
  <si>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</si>
  <si>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</si>
  <si>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</si>
  <si>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</si>
  <si>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</si>
  <si>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</si>
  <si>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</si>
  <si>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</si>
  <si>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</si>
  <si>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</si>
  <si>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</si>
  <si>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</si>
  <si>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</si>
  <si>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</si>
  <si>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</si>
  <si>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</si>
  <si>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</si>
  <si>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</si>
  <si>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</si>
  <si>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</si>
  <si>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</si>
  <si>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</si>
  <si>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</si>
  <si>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</si>
  <si>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</si>
  <si>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</si>
  <si>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</si>
  <si>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</si>
  <si>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</si>
  <si>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</si>
  <si>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</si>
  <si>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</si>
  <si>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</si>
  <si>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</si>
  <si>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</si>
  <si>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</si>
  <si>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</si>
  <si>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</si>
  <si>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</si>
  <si>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</si>
  <si>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</si>
  <si>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</si>
  <si>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</si>
  <si>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</si>
  <si>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</si>
  <si>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</si>
  <si>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</si>
  <si>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</si>
  <si>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</si>
  <si>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</si>
  <si>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</si>
  <si>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</si>
  <si>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</si>
  <si>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</si>
  <si>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</si>
  <si>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</si>
  <si>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</si>
  <si>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</si>
  <si>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</si>
  <si>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</si>
  <si>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</si>
  <si>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</si>
  <si>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</si>
  <si>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</si>
  <si>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</si>
  <si>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VARCHAR(4)</t>
  </si>
  <si>
    <t>DATE</t>
  </si>
  <si>
    <t>VARCHAR(20)</t>
  </si>
  <si>
    <t>VARCHAR(200)</t>
  </si>
  <si>
    <t>SUPPLIER_CD</t>
  </si>
  <si>
    <t>SUPPLIER_TYPE</t>
  </si>
  <si>
    <t>MODEL</t>
  </si>
  <si>
    <t>MATERIAL_CODE</t>
  </si>
  <si>
    <t>MATERIAL_SPEC</t>
  </si>
  <si>
    <t>BOX_QTY</t>
  </si>
  <si>
    <t>PART_CODE</t>
  </si>
  <si>
    <t>PART_SPEC</t>
  </si>
  <si>
    <t>PART_SIZE</t>
  </si>
  <si>
    <t>FIRST_DAY_PRODUCT</t>
  </si>
  <si>
    <t>LAST_DAY_PRODUCT</t>
  </si>
  <si>
    <t>SOURCING</t>
  </si>
  <si>
    <t>CUTTING</t>
  </si>
  <si>
    <t>PACKING</t>
  </si>
  <si>
    <t>SHEET_WEIGHT</t>
  </si>
  <si>
    <t>YILED_RATION</t>
  </si>
  <si>
    <t>VARCHAR(40)</t>
  </si>
  <si>
    <t>INT</t>
  </si>
  <si>
    <t>DATETIME</t>
  </si>
  <si>
    <t>DECIMAL(18,2)</t>
  </si>
  <si>
    <t>InvDrmPartList</t>
  </si>
  <si>
    <t>Inventory.DRM</t>
  </si>
  <si>
    <t>DrmPartList</t>
  </si>
  <si>
    <t>Drm Part List</t>
  </si>
  <si>
    <t>VARCHAR(60)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</si>
</sst>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58" zoomScaleNormal="100" workbookViewId="0">
      <selection activeCell="F68" sqref="F68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[Table("InvDrmPartList")]
	public class InvDrmPartList: FullAuditedEntity&lt;long&gt;, IEntity&lt;long&gt;	
	{
		public const int MaxSupplierTypeLength = 20;
		public const int MaxSupplierCdLength = 20;
		public const int MaxModelLength = 4;
		public const int MaxMaterialCodeLength = 40;
		public const int MaxMaterialSpecLength = 200;
		public const int MaxPartCodeLength = 60;
		public const int MaxSourcingLength = 40;
		public const int MaxCuttingLength = 40;
		[StringLength(MaxSupplierTypeLength)]
		public virtual string SupplierType { get; set; }
		[StringLength(MaxSupplierCdLength)]
		public virtual string SupplierCd { get; set; }
		[StringLength(MaxModelLength)]
		public virtual string Model { get; set; }
		[StringLength(MaxMaterialCodeLength)]
		public virtual string MaterialCode { get; set; }
		[StringLength(MaxMaterialSpecLength)]
		public virtual string MaterialSpec { get; set; }
		public virtual int? BoxQty { get; set; }
		[StringLength(MaxPartCodeLength)]
		public virtual string PartCode { get; set; }
		[Column(TypeName="DATE")]
		public virtual DateTime? FirstDayProduct { get; set; }
		[Column(TypeName="DATE")]
		public virtual DateTime? LastDayProduct { get; set; }
		[StringLength(MaxSourcingLength)]
		public virtual string Sourcing { get; set; }
		[StringLength(MaxCuttingLength)]
		public virtual string Cutting { get; set; }
		public virtual int? Packing { get; set; }
		public virtual decimal? SheetWeight { get; set; }
		public virtual decimal? YiledRation { get; set; }
	}
}
</v>
      </c>
      <c r="D68" s="48" t="str">
        <f>A.Backend!O7</f>
        <v xml:space="preserve">		public const string Pages_Inventory_DRM_DrmPartList = "Pages.Inventory.DRM.DrmPartList";
		public const string Pages_Inventory_DRM_DrmPartList_CreateEdit = "Pages.Inventory.DRM.DrmPartList.CreateEdit";
		public const string Pages_Inventory_DRM_DrmPartList_Delete = "Pages.Inventory.DRM.DrmPartList.Delete";
</v>
      </c>
      <c r="E68" s="48" t="str">
        <f>A.Backend!N7</f>
        <v xml:space="preserve">		var perInvDrmPartList = PARENTS.CreateChildPermission(AppPermissions.Pages_Inventory_DRM_DrmPartList, L( "InventoryDRMDrmPartList"), multiTenancySides: MultiTenancySides.Tenant);
		perInvDrmPartList.CreateChildPermission(AppPermissions.Pages_Inventory_DRM_DrmPartList_CreateEdit, L( "InventoryDRMDrmPartListCreateEdit"), multiTenancySides: MultiTenancySides.Tenant);
		perInvDrmPartList.CreateChildPermission(AppPermissions.Pages_Inventory_DRM_DrmPartList_Delete, L( "InventoryDRMDrmPartListDelete"), multiTenancySides: MultiTenancySides.Tenant);</v>
      </c>
      <c r="F68" s="48" t="str">
        <f>A.Backend!K7</f>
        <v>public virtual DbSet&lt;InvDrmPartList&gt; InvDrmPartLists { get; set; }</v>
      </c>
      <c r="G68" s="48" t="str">
        <f ca="1">A.Backend!L7</f>
        <v xml:space="preserve">namespace prod.Inventory.DRM
{
	public class InvDrmPartListConsts	
	{
		public const int MaxSupplierTypeLength = 20;
		public const int MaxSupplierCdLength = 20;
		public const int MaxModelLength = 4;
		public const int MaxMaterialCodeLength = 40;
		public const int MaxMaterialSpecLength = 200;
		public const int MaxPartCodeLength = 60;
		public const int MaxSourcingLength = 40;
		public const int MaxCuttingLength = 40;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InvDrmPartListDto : EntityDto&lt;long?&gt;	
	{
		public virtual string SupplierType { get; set; }
		public virtual string SupplierCd { get; set; }
		public virtual string Model { get; set; }
		public virtual string MaterialCode { get; set; }
		public virtual string MaterialSpec { get; set; }
		public virtual int? BoxQty { get; set; }
		public virtual string PartCode { get; set; }
		public virtual DateTime? FirstDayProduct { get; set; }
		public virtual DateTime? LastDayProduct { get; set; }
		public virtual string Sourcing { get; set; }
		public virtual string Cutting { get; set; }
		public virtual int? Packing { get; set; }
		public virtual decimal? SheetWeight { get; set; }
		public virtual decimal? YiledRation { get; set; }
	}
	public class CreateOrEditInvDrmPartListDto : EntityDto&lt;long?&gt;	
	{
		[StringLength(InvDrmPartListConsts.MaxSupplierTypeLength)]
		public virtual string SupplierType { get; set; }
		[StringLength(InvDrmPartListConsts.MaxSupplierCdLength)]
		public virtual string SupplierCd { get; set; }
		[StringLength(InvDrmPartListConsts.MaxModelLength)]
		public virtual string Model { get; set; }
		[StringLength(InvDrmPartListConsts.MaxMaterialCodeLength)]
		public virtual string MaterialCode { get; set; }
		[StringLength(InvDrmPartListConsts.MaxMaterialSpecLength)]
		public virtual string MaterialSpec { get; set; }
		public virtual int? BoxQty { get; set; }
		[StringLength(InvDrmPartListConsts.MaxPartCodeLength)]
		public virtual string PartCode { get; set; }
		public virtual DateTime? FirstDayProduct { get; set; }
		public virtual DateTime? LastDayProduct { get; set; }
		[StringLength(InvDrmPartListConsts.MaxSourcingLength)]
		public virtual string Sourcing { get; set; }
		[StringLength(InvDrmPartListConsts.MaxCuttingLength)]
		public virtual string Cutting { get; set; }
		public virtual int? Packing { get; set; }
		public virtual decimal? SheetWeight { get; set; }
		public virtual decimal? YiledRation { get; set; }
	}
	public class GetInvDrmPartListInput : PagedAndSortedResultRequestDto	
	{
		public virtual string SupplierType { get; set; }
		public virtual string SupplierCd { get; set; }
		public virtual string Model { get; set; }
		public virtual string MaterialCode { get; set; }
		public virtual string MaterialSpec { get; set; }
		public virtual string PartCode { get; set; }
		public virtual string Sourcing { get; set; }
		public virtual string Cutting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InvDrmPartListExportInput{
		public virtual string SupplierType { get; set; }
		public virtual string SupplierCd { get; set; }
		public virtual string Model { get; set; }
		public virtual string MaterialCode { get; set; }
		public virtual string MaterialSpec { get; set; }
		public virtual int? BoxQty { get; set; }
		public virtual string PartCode { get; set; }
		public virtual DateTime? FirstDayProduct { get; set; }
		public virtual DateTime? LastDayProduct { get; set; }
		public virtual string Sourcing { get; set; }
		public virtual string Cutting { get; set; }
		public virtual int? Packing { get; set; }
		public virtual decimal? SheetWeight { get; set; }
		public virtual decimal? YiledRation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IInvDrmPartListAppService : IApplicationService
	{
		Task&lt;PagedResultDto&lt;InvDrmPartListDto&gt;&gt; GetAll(GetInvDrmPartListInput input);
		Task CreateOrEdit(CreateOrEditInvDrmPartListDto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IInvDrmPartListExcelExporter : IApplicationService
	{
		FileDto ExportToFile(List&lt;InvDrmPartListDto&gt; invdrmpartlist);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InvDrmPartListExcelExporter : NpoiExcelExporterBase, IInvDrmPartListExcelExporter
    {
        public InvDrmPartListExcelExporter(ITempFileCacheManager tempFileCacheManager) : base(tempFileCacheManager) { }
        public FileDto ExportToFile(List&lt;InvDrmPartListDto&gt; drmpartlist)
        {
            return CreateExcelPackage(
				"InventoryDRMDrmPartList.xlsx",
				excelPackage =&gt;
				 {
					var sheet = excelPackage.CreateSheet("DrmPartList");
					AddHeader(
								sheet,
								("SupplierType"),
								("SupplierCd"),
								("Model"),
								("MaterialCode"),
								("MaterialSpec"),
								("BoxQty"),
								("PartCode"),
								("FirstDayProduct"),
								("LastDayProduct"),
								("Sourcing"),
								("Cutting"),
								("Packing"),
								("SheetWeight"),
								("YiledRation"),
							   );
					AddObjects(
						 sheet, 1, drmpartlist,                                       
								_ =&gt; _.SupplierType,
								_ =&gt; _.SupplierCd,
								_ =&gt; _.Model,
								_ =&gt; _.MaterialCode,
								_ =&gt; _.MaterialSpec,
								_ =&gt; _.BoxQty,
								_ =&gt; _.PartCode,
								_ =&gt; _.FirstDayProduct,
								_ =&gt; _.LastDayProduct,
								_ =&gt; _.Sourcing,
								_ =&gt; _.Cutting,
								_ =&gt; _.Packing,
								_ =&gt; _.SheetWeight,
								_ =&gt; _.YiledRation,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[AbpAuthorize(AppPermissions.Pages_Inventory_DRM_DrmPartList)]
    public class InvDrmPartListAppService : vovinaAppServiceBase, IInvDrmPartListAppService
    {
        private readonly IDapperRepository&lt;InvDrmPartList, long&gt; _dapperRepo;
        private readonly IRepository&lt;InvDrmPartList, long&gt; _repo;
        private readonly IInvDrmPartListExcelExporter _calendarListExcelExporter;
        public InvDrmPartListAppService(IRepository&lt;InvDrmPartList,long&gt; repo, 
                                         IDapperRepository&lt;InvDrmPartList,long&gt; dapperRepo,
                                        IInvDrmPartListExcelExporter calendarListExcelExporter
            )
        {
            _repo = repo;
            _dapperRepo = dapperRepo;
            _calendarListExcelExporter = calendarListExcelExporter;
        }
        [AbpAuthorize(AppPermissions.Pages_Inventory_DRM_DrmPartList_CreateEdit)]
        public async Task CreateOrEdit(CreateOrEditInvDrmPartListDto input)
        {
            if (input.Id == null) await Create(input);
            else await Update(input);
        }
        //CREATE
        private async Task Create(CreateOrEditInvDrmPartListDto input)
        {          
            var mainObj = ObjectMapper.Map&lt;InvDrmPartList&gt;(input);
            await CurrentUnitOfWork.GetDbContext&lt;vovinaDbContext&gt;().AddAsync(mainObj);
        }
        // EDIT
        private async Task Update(CreateOrEditInvDrmPartListDto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Task&lt;PagedResultDto&lt;InvDrmPartListDto&gt;&gt; GetAll(GetInvDrmPartListInput input)
        {
            var filtered = _repo.GetAll()
				.WhereIf(!string.IsNullOrWhiteSpace(input.SupplierType), e =&gt; e.SupplierType.Contains(input.SupplierType))
				.WhereIf(!string.IsNullOrWhiteSpace(input.SupplierCd), e =&gt; e.SupplierCd.Contains(input.SupplierCd))
				.WhereIf(!string.IsNullOrWhiteSpace(input.Model), e =&gt; e.Model.Contains(input.Model))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.WhereIf(!string.IsNullOrWhiteSpace(input.PartCode), e =&gt; e.PartCode.Contains(input.PartCode))
				.WhereIf(!string.IsNullOrWhiteSpace(input.Sourcing), e =&gt; e.Sourcing.Contains(input.Sourcing))
				.WhereIf(!string.IsNullOrWhiteSpace(input.Cutting), e =&gt; e.Cutting.Contains(input.Cutting))
				;
            var pageAndFiltered = filtered.OrderBy(s =&gt; s.Id);
            var system = from o in pageAndFiltered
                         select new InvDrmPartListDto
                        {
							Id = o.Id,
							SupplierType = o.SupplierType,
							SupplierCd = o.SupplierCd,
							Model = o.Model,
							MaterialCode = o.MaterialCode,
							MaterialSpec = o.MaterialSpec,
							BoxQty = o.BoxQty,
							PartCode = o.PartCode,
							FirstDayProduct = o.FirstDayProduct,
							LastDayProduct = o.LastDayProduct,
							Sourcing = o.Sourcing,
							Cutting = o.Cutting,
							Packing = o.Packing,
							SheetWeight = o.SheetWeight,
							YiledRation = o.YiledRation,
                        };
            var totalCount = await filtered.CountAsync();
			var paged = system.PageBy(input);
            return new PagedResultDto&lt;InvDrmPartListDto&gt;(
                totalCount,
                 await paged.ToListAsync()
            );
        }
        public async Task&lt;FileDto&gt; GetDrmPartListToExcel(InvDrmPartListExportInput input)
        {
            var query = from o in _repo.GetAll()
                        select new InvDrmPartListDto
                        {
							Id = o.Id,
							SupplierType = o.SupplierType,
							SupplierCd = o.SupplierCd,
							Model = o.Model,
							MaterialCode = o.MaterialCode,
							MaterialSpec = o.MaterialSpec,
							BoxQty = o.BoxQty,
							PartCode = o.PartCode,
							FirstDayProduct = o.FirstDayProduct,
							LastDayProduct = o.LastDayProduct,
							Sourcing = o.Sourcing,
							Cutting = o.Cutting,
							Packing = o.Packing,
							SheetWeight = o.SheetWeight,
							YiledRation = o.YiledRation,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_dapperRepo.ExecuteAsync(InvDrmPartListConsts.SP_MST_WPT_CALENDAR_GENERATE);
       // }
    }
}</v>
      </c>
      <c r="N68" s="58" t="str">
        <f>A.Backend!U7</f>
        <v xml:space="preserve">  configuration.CreateMap&lt;InvDrmPartListDto, InvDrmPartList&gt;();
  configuration.CreateMap&lt;InvDrmPartList, InvDrmPartListDto&gt;();
  configuration.CreateMap&lt;CreateOrEditInvDrmPartListDto, InvDrmPartList&gt;();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drmpartlist</v>
      </c>
      <c r="C73" s="66" t="str">
        <f>"create folder " &amp;B73</f>
        <v>create folder drmpartlist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drmpartlist.component.ts</v>
      </c>
      <c r="D74" s="28" t="str">
        <f>B.Frontend!I14</f>
        <v>drmpartlist.component.html</v>
      </c>
      <c r="E74" s="28" t="str">
        <f>B.Frontend!J14</f>
        <v>drmpartlist.component.less</v>
      </c>
      <c r="F74" s="28" t="str">
        <f>B.Frontend!K14</f>
        <v>create-or-edit-drmpartlist-modal.component.html</v>
      </c>
      <c r="G74" s="28" t="str">
        <f>B.Frontend!L14</f>
        <v>create-or-edit-drmpartlist-modal.component.ts</v>
      </c>
      <c r="H74" s="28" t="str">
        <f>B.Frontend!M14</f>
        <v>create-or-edit-drmpartlist-modal.component.less</v>
      </c>
      <c r="I74" s="28" t="str">
        <f>B.Frontend!N14</f>
        <v>drmpartlist.module.ts</v>
      </c>
      <c r="J74" s="28" t="str">
        <f>B.Frontend!O14</f>
        <v>drmpartlist-routing.module.ts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e">
        <f ca="1">B.Frontend!H10</f>
        <v>#VALUE!</v>
      </c>
      <c r="D75" s="46" t="e">
        <f ca="1">B.Frontend!I10</f>
        <v>#VALUE!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#VALUE!</v>
      </c>
      <c r="G75" s="46" t="e">
        <f ca="1">B.Frontend!L10</f>
        <v>#VALUE!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DrmPartListRoutingModule } from './drmpartlist-routing.module';
import { DrmPartListComponent } from './drmpartlist.component';
import { CreateOrEditDrmPartListModalComponent } from './create-or-edit-drmpartlist-modal.component';
@NgModule({
    declarations: [
       DrmPartListComponent, 
        CreateOrEditDrmPartListModalComponent
    ],
    imports: [
        AppSharedModule, DrmPartListRoutingModule]
})
export class DrmPartListModule {}</v>
      </c>
      <c r="J75" s="46" t="str">
        <f>B.Frontend!O10</f>
        <v>import {NgModule} from '@angular/core';
import {RouterModule, Routes} from '@angular/router';
import { DrmPartListComponent } from './drmpartlist.component';
const routes: Routes = [{
    path: '',
    component: DrmPartListComponent,
    pathMatch: 'full'
}];
@NgModule({
    imports: [RouterModule.forChild(routes)],
    exports: [RouterModule],
})
export class DrmPartListRoutingModule {}</v>
      </c>
      <c r="K75" s="46" t="str">
        <f>B.Frontend!P10</f>
        <v xml:space="preserve"> new AppMenuItem("DrmPartList", "Pages.Inventory.DRM.DrmPartList", "flaticon-book",   "/app/main/inventory/drm/drmpartlist"),</v>
      </c>
      <c r="L75" s="47" t="str">
        <f>B.Frontend!Q10</f>
        <v>{
    path: 'inventory/drm/drmpartlist',
    loadChildren: () =&gt; import('./inventory/drm/drmpartlist/drmpartlist.module').then(m =&gt; m.DrmPartListModule),
    data: { permission: 'Pages.Inventory.DRM.DrmPartList' }
},</v>
      </c>
      <c r="M75" s="45" t="str">
        <f>B.Frontend!R10</f>
        <v>ApiServiceProxies.InvDrmPartListServiceProxy,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topLeftCell="A4" workbookViewId="0">
      <pane xSplit="1" topLeftCell="B1" activePane="topRight" state="frozen"/>
      <selection pane="topRight" activeCell="D13" sqref="D13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379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378</v>
      </c>
      <c r="C3" s="9" t="s">
        <v>41</v>
      </c>
      <c r="D3" s="9" t="s">
        <v>42</v>
      </c>
      <c r="E3" s="9" t="s">
        <v>37</v>
      </c>
      <c r="F3" s="10" t="str">
        <f>"J"&amp;COUNTA($A:$A)</f>
        <v>J22</v>
      </c>
      <c r="G3" s="4" t="s">
        <v>54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53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InvDrmPartListExportInput{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3" s="10" customFormat="1" ht="33" customHeight="1" x14ac:dyDescent="0.3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380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InvDrmPartList: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InvDrmPartListConsts	
	{
</v>
      </c>
      <c r="F6" s="10" t="str">
        <f>REPT(CHAR(9),1)&amp;"public class "&amp;B3&amp;"Dto"&amp;K3&amp;REPT(CHAR(9),1)&amp;"
"&amp;REPT(CHAR(9),1)&amp;C3</f>
        <v xml:space="preserve">	public class InvDrmPartListDto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CreateOrEditInvDrmPartListDto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GetInvDrmPartListInput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InvDrmPartList</v>
      </c>
      <c r="C7" s="10" t="str">
        <f>REPT(CHAR(9),1)&amp;"[Table("""&amp;B7&amp;""")]"&amp;"
"</f>
        <v xml:space="preserve">	[Table("InvDrmPartList")]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[Table("InvDrmPartList")]
	public class InvDrmPartList: FullAuditedEntity&lt;long&gt;, IEntity&lt;long&gt;	
	{
		public const int MaxSupplierTypeLength = 20;
		public const int MaxSupplierCdLength = 20;
		public const int MaxModelLength = 4;
		public const int MaxMaterialCodeLength = 40;
		public const int MaxMaterialSpecLength = 200;
		public const int MaxPartCodeLength = 60;
		public const int MaxSourcingLength = 40;
		public const int MaxCuttingLength = 40;
		[StringLength(MaxSupplierTypeLength)]
		public virtual string SupplierType { get; set; }
		[StringLength(MaxSupplierCdLength)]
		public virtual string SupplierCd { get; set; }
		[StringLength(MaxModelLength)]
		public virtual string Model { get; set; }
		[StringLength(MaxMaterialCodeLength)]
		public virtual string MaterialCode { get; set; }
		[StringLength(MaxMaterialSpecLength)]
		public virtual string MaterialSpec { get; set; }
		public virtual int? BoxQty { get; set; }
		[StringLength(MaxPartCodeLength)]
		public virtual string PartCode { get; set; }
		[Column(TypeName="DATE")]
		public virtual DateTime? FirstDayProduct { get; set; }
		[Column(TypeName="DATE")]
		public virtual DateTime? LastDayProduct { get; set; }
		[StringLength(MaxSourcingLength)]
		public virtual string Sourcing { get; set; }
		[StringLength(MaxCuttingLength)]
		public virtual string Cutting { get; set; }
		public virtual int? Packing { get; set; }
		public virtual decimal? SheetWeight { get; set; }
		public virtual decimal? YiledRation { get; set; }
	}
}
</v>
      </c>
      <c r="K7" t="str">
        <f>SUBSTITUTE(SUBSTITUTE(("public virtual DbSet&lt;"&amp;B3&amp;"&gt; "&amp;B3&amp;"s { get; set; }"),"WorkingPattern",$Q$3),"Master",$B$4)</f>
        <v>public virtual DbSet&lt;InvDrmPartList&gt; InvDrmPartLists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prod.Inventory.DRM
{
	public class InvDrmPartListConsts	
	{
		public const int MaxSupplierTypeLength = 20;
		public const int MaxSupplierCdLength = 20;
		public const int MaxModelLength = 4;
		public const int MaxMaterialCodeLength = 40;
		public const int MaxMaterialSpecLength = 200;
		public const int MaxPartCodeLength = 60;
		public const int MaxSourcingLength = 40;
		public const int MaxCuttingLength = 40;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prod.Inventory.DRM.Dto
{
	public class InvDrmPartListDto : EntityDto&lt;long?&gt;	
	{
		public virtual string SupplierType { get; set; }
		public virtual string SupplierCd { get; set; }
		public virtual string Model { get; set; }
		public virtual string MaterialCode { get; set; }
		public virtual string MaterialSpec { get; set; }
		public virtual int? BoxQty { get; set; }
		public virtual string PartCode { get; set; }
		public virtual DateTime? FirstDayProduct { get; set; }
		public virtual DateTime? LastDayProduct { get; set; }
		public virtual string Sourcing { get; set; }
		public virtual string Cutting { get; set; }
		public virtual int? Packing { get; set; }
		public virtual decimal? SheetWeight { get; set; }
		public virtual decimal? YiledRation { get; set; }
	}
	public class CreateOrEditInvDrmPartListDto : EntityDto&lt;long?&gt;	
	{
		[StringLength(InvDrmPartListConsts.MaxSupplierTypeLength)]
		public virtual string SupplierType { get; set; }
		[StringLength(InvDrmPartListConsts.MaxSupplierCdLength)]
		public virtual string SupplierCd { get; set; }
		[StringLength(InvDrmPartListConsts.MaxModelLength)]
		public virtual string Model { get; set; }
		[StringLength(InvDrmPartListConsts.MaxMaterialCodeLength)]
		public virtual string MaterialCode { get; set; }
		[StringLength(InvDrmPartListConsts.MaxMaterialSpecLength)]
		public virtual string MaterialSpec { get; set; }
		public virtual int? BoxQty { get; set; }
		[StringLength(InvDrmPartListConsts.MaxPartCodeLength)]
		public virtual string PartCode { get; set; }
		public virtual DateTime? FirstDayProduct { get; set; }
		public virtual DateTime? LastDayProduct { get; set; }
		[StringLength(InvDrmPartListConsts.MaxSourcingLength)]
		public virtual string Sourcing { get; set; }
		[StringLength(InvDrmPartListConsts.MaxCuttingLength)]
		public virtual string Cutting { get; set; }
		public virtual int? Packing { get; set; }
		public virtual decimal? SheetWeight { get; set; }
		public virtual decimal? YiledRation { get; set; }
	}
	public class GetInvDrmPartListInput : PagedAndSortedResultRequestDto	
	{
		public virtual string SupplierType { get; set; }
		public virtual string SupplierCd { get; set; }
		public virtual string Model { get; set; }
		public virtual string MaterialCode { get; set; }
		public virtual string MaterialSpec { get; set; }
		public virtual string PartCode { get; set; }
		public virtual string Sourcing { get; set; }
		public virtual string Cutting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perInvDrmPartList = PARENTS.CreateChildPermission(AppPermissions.Pages_Inventory_DRM_DrmPartList, L( "InventoryDRMDrmPartList"), multiTenancySides: MultiTenancySides.Tenant);
		perInvDrmPartList.CreateChildPermission(AppPermissions.Pages_Inventory_DRM_DrmPartList_CreateEdit, L( "InventoryDRMDrmPartListCreateEdit"), multiTenancySides: MultiTenancySides.Tenant);
		perInvDrmPartList.CreateChildPermission(AppPermissions.Pages_Inventory_DRM_DrmPartList_Delete, L( "InventoryDRMDrmPartListDelete"),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Pages_Inventory_DRM_DrmPartList = "Pages.Inventory.DRM.DrmPartList";
		public const string Pages_Inventory_DRM_DrmPartList_CreateEdit = "Pages.Inventory.DRM.DrmPartList.CreateEdit";
		public const string Pages_Inventory_DRM_DrmPartList_Delete = "Pages.Inventory.DRM.DrmPartList.Delete";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IInvDrmPartListAppService : IApplicationService
	{
		Task&lt;PagedResultDto&lt;InvDrmPartListDto&gt;&gt; GetAll(GetInvDrmPartListInput input);
		Task CreateOrEdit(CreateOrEditInvDrmPartListDto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[AbpAuthorize(AppPermissions.Pages_Inventory_DRM_DrmPartList)]
    public class InvDrmPartListAppService : vovinaAppServiceBase, IInvDrmPartListAppService
    {
        private readonly IDapperRepository&lt;InvDrmPartList, long&gt; _dapperRepo;
        private readonly IRepository&lt;InvDrmPartList, long&gt; _repo;
        private readonly IInvDrmPartListExcelExporter _calendarListExcelExporter;
        public InvDrmPartListAppService(IRepository&lt;InvDrmPartList,long&gt; repo, 
                                         IDapperRepository&lt;InvDrmPartList,long&gt; dapperRepo,
                                        IInvDrmPartListExcelExporter calendarListExcelExporter
            )
        {
            _repo = repo;
            _dapperRepo = dapperRepo;
            _calendarListExcelExporter = calendarListExcelExporter;
        }
        [AbpAuthorize(AppPermissions.Pages_Inventory_DRM_DrmPartList_CreateEdit)]
        public async Task CreateOrEdit(CreateOrEditInvDrmPartListDto input)
        {
            if (input.Id == null) await Create(input);
            else await Update(input);
        }
        //CREATE
        private async Task Create(CreateOrEditInvDrmPartListDto input)
        {          
            var mainObj = ObjectMapper.Map&lt;InvDrmPartList&gt;(input);
            await CurrentUnitOfWork.GetDbContext&lt;vovinaDbContext&gt;().AddAsync(mainObj);
        }
        // EDIT
        private async Task Update(CreateOrEditInvDrmPartListDto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Task&lt;PagedResultDto&lt;InvDrmPartListDto&gt;&gt; GetAll(GetInvDrmPartListInput input)
        {
            var filtered = _repo.GetAll()
				.WhereIf(!string.IsNullOrWhiteSpace(input.SupplierType), e =&gt; e.SupplierType.Contains(input.SupplierType))
				.WhereIf(!string.IsNullOrWhiteSpace(input.SupplierCd), e =&gt; e.SupplierCd.Contains(input.SupplierCd))
				.WhereIf(!string.IsNullOrWhiteSpace(input.Model), e =&gt; e.Model.Contains(input.Model))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.WhereIf(!string.IsNullOrWhiteSpace(input.PartCode), e =&gt; e.PartCode.Contains(input.PartCode))
				.WhereIf(!string.IsNullOrWhiteSpace(input.Sourcing), e =&gt; e.Sourcing.Contains(input.Sourcing))
				.WhereIf(!string.IsNullOrWhiteSpace(input.Cutting), e =&gt; e.Cutting.Contains(input.Cutting))
				;
            var pageAndFiltered = filtered.OrderBy(s =&gt; s.Id);
            var system = from o in pageAndFiltered
                         select new InvDrmPartListDto
                        {
							Id = o.Id,
							SupplierType = o.SupplierType,
							SupplierCd = o.SupplierCd,
							Model = o.Model,
							MaterialCode = o.MaterialCode,
							MaterialSpec = o.MaterialSpec,
							BoxQty = o.BoxQty,
							PartCode = o.PartCode,
							FirstDayProduct = o.FirstDayProduct,
							LastDayProduct = o.LastDayProduct,
							Sourcing = o.Sourcing,
							Cutting = o.Cutting,
							Packing = o.Packing,
							SheetWeight = o.SheetWeight,
							YiledRation = o.YiledRation,
                        };
            var totalCount = await filtered.CountAsync();
			var paged = system.PageBy(input);
            return new PagedResultDto&lt;InvDrmPartListDto&gt;(
                totalCount,
                 await paged.ToListAsync()
            );
        }
        public async Task&lt;FileDto&gt; GetDrmPartListToExcel(InvDrmPartListExportInput input)
        {
            var query = from o in _repo.GetAll()
                        select new InvDrmPartListDto
                        {
							Id = o.Id,
							SupplierType = o.SupplierType,
							SupplierCd = o.SupplierCd,
							Model = o.Model,
							MaterialCode = o.MaterialCode,
							MaterialSpec = o.MaterialSpec,
							BoxQty = o.BoxQty,
							PartCode = o.PartCode,
							FirstDayProduct = o.FirstDayProduct,
							LastDayProduct = o.LastDayProduct,
							Sourcing = o.Sourcing,
							Cutting = o.Cutting,
							Packing = o.Packing,
							SheetWeight = o.SheetWeight,
							YiledRation = o.YiledRation,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_dapperRepo.ExecuteAsync(InvDrmPartListConsts.SP_MST_WPT_CALENDAR_GENERATE);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prod.Inventory.DRM.Dto
{
	public class InvDrmPartListExportInput{
		public virtual string SupplierType { get; set; }
		public virtual string SupplierCd { get; set; }
		public virtual string Model { get; set; }
		public virtual string MaterialCode { get; set; }
		public virtual string MaterialSpec { get; set; }
		public virtual int? BoxQty { get; set; }
		public virtual string PartCode { get; set; }
		public virtual DateTime? FirstDayProduct { get; set; }
		public virtual DateTime? LastDayProduct { get; set; }
		public virtual string Sourcing { get; set; }
		public virtual string Cutting { get; set; }
		public virtual int? Packing { get; set; }
		public virtual decimal? SheetWeight { get; set; }
		public virtual decimal? YiledRation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IInvDrmPartListExcelExporter : IApplicationService
	{
		FileDto ExportToFile(List&lt;InvDrmPartListDto&gt; invdrmpartlist);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InvDrmPartListExcelExporter : NpoiExcelExporterBase, IInvDrmPartListExcelExporter
    {
        public InvDrmPartListExcelExporter(ITempFileCacheManager tempFileCacheManager) : base(tempFileCacheManager) { }
        public FileDto ExportToFile(List&lt;InvDrmPartListDto&gt; drmpartlist)
        {
            return CreateExcelPackage(
				"InventoryDRMDrmPartList.xlsx",
				excelPackage =&gt;
				 {
					var sheet = excelPackage.CreateSheet("DrmPartList");
					AddHeader(
								sheet,
								("SupplierType"),
								("SupplierCd"),
								("Model"),
								("MaterialCode"),
								("MaterialSpec"),
								("BoxQty"),
								("PartCode"),
								("FirstDayProduct"),
								("LastDayProduct"),
								("Sourcing"),
								("Cutting"),
								("Packing"),
								("SheetWeight"),
								("YiledRation"),
							   );
					AddObjects(
						 sheet, 1, drmpartlist,                                       
								_ =&gt; _.SupplierType,
								_ =&gt; _.SupplierCd,
								_ =&gt; _.Model,
								_ =&gt; _.MaterialCode,
								_ =&gt; _.MaterialSpec,
								_ =&gt; _.BoxQty,
								_ =&gt; _.PartCode,
								_ =&gt; _.FirstDayProduct,
								_ =&gt; _.LastDayProduct,
								_ =&gt; _.Sourcing,
								_ =&gt; _.Cutting,
								_ =&gt; _.Packing,
								_ =&gt; _.SheetWeight,
								_ =&gt; _.YiledRation,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configuration.CreateMap&lt;InvDrmPartListDto, InvDrmPartList&gt;();
  configuration.CreateMap&lt;InvDrmPartList, InvDrmPartListDto&gt;();
  configuration.CreateMap&lt;CreateOrEditInvDrmPartListDto, InvDrmPartList&gt;();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359</v>
      </c>
      <c r="B9" t="s">
        <v>356</v>
      </c>
      <c r="C9" t="s">
        <v>1</v>
      </c>
      <c r="D9" t="str">
        <f t="shared" ref="D9" si="0">SUBSTITUTE(PROPER(A9),"_","")</f>
        <v>SupplierType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MaxSupplierTypeLength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[StringLength(MaxSupplierTypeLength)]
		public virtual string SupplierType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SupplierType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[StringLength(InvDrmPartListConsts.MaxSupplierTypeLength)]
		public virtual string SupplierType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SupplierType { get; set; }
</v>
      </c>
      <c r="P9" t="str">
        <f t="shared" ref="P9" si="9">REPT(CHAR(9),7)&amp;D9&amp;" = o." &amp;D9 &amp;","</f>
        <v xml:space="preserve">							SupplierType = o.SupplierType,</v>
      </c>
      <c r="T9" s="63" t="str">
        <f t="shared" ref="T9" si="10">REPT(CHAR(9),8)&amp;"("""&amp;D9&amp;"""),"</f>
        <v xml:space="preserve">								("SupplierType"),</v>
      </c>
      <c r="V9" s="64" t="str">
        <f t="shared" ref="V9" si="11">REPT(CHAR(9),8)&amp;"_ =&gt; _."&amp;D9&amp;","</f>
        <v xml:space="preserve">								_ =&gt; _.SupplierType,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.WhereIf(!string.IsNullOrWhiteSpace(input.SupplierType), e =&gt; e.SupplierType.Contains(input.SupplierType))</v>
      </c>
    </row>
    <row r="10" spans="1:23" customFormat="1" ht="18.75" customHeight="1" x14ac:dyDescent="0.3">
      <c r="A10" t="s">
        <v>358</v>
      </c>
      <c r="B10" t="s">
        <v>356</v>
      </c>
      <c r="C10" t="s">
        <v>1</v>
      </c>
      <c r="D10" t="str">
        <f t="shared" ref="D10:D11" si="13">SUBSTITUTE(PROPER(A10),"_","")</f>
        <v>SupplierCd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MaxSupplierCdLength = 20;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[StringLength(MaxSupplierCdLength)]
		public virtual string SupplierCd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SupplierCd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[StringLength(InvDrmPartListConsts.MaxSupplierCdLength)]
		public virtual string SupplierCd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SupplierCd { get; set; }
</v>
      </c>
      <c r="P10" t="str">
        <f t="shared" ref="P10:P11" si="22">REPT(CHAR(9),7)&amp;D10&amp;" = o." &amp;D10 &amp;","</f>
        <v xml:space="preserve">							SupplierCd = o.SupplierCd,</v>
      </c>
      <c r="T10" s="63" t="str">
        <f t="shared" ref="T10:T11" si="23">REPT(CHAR(9),8)&amp;"("""&amp;D10&amp;"""),"</f>
        <v xml:space="preserve">								("SupplierCd"),</v>
      </c>
      <c r="V10" s="64" t="str">
        <f t="shared" ref="V10:V11" si="24">REPT(CHAR(9),8)&amp;"_ =&gt; _."&amp;D10&amp;","</f>
        <v xml:space="preserve">								_ =&gt; _.SupplierCd,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.WhereIf(!string.IsNullOrWhiteSpace(input.SupplierCd), e =&gt; e.SupplierCd.Contains(input.SupplierCd))</v>
      </c>
    </row>
    <row r="11" spans="1:23" customFormat="1" ht="18.75" customHeight="1" x14ac:dyDescent="0.3">
      <c r="A11" t="s">
        <v>360</v>
      </c>
      <c r="B11" t="s">
        <v>354</v>
      </c>
      <c r="C11" t="s">
        <v>1</v>
      </c>
      <c r="D11" t="str">
        <f t="shared" si="13"/>
        <v>Model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MaxModelLength = 4;
</v>
      </c>
      <c r="J11" t="str">
        <f t="shared" si="17"/>
        <v xml:space="preserve">		[StringLength(MaxModelLength)]
		public virtual string Model { get; set; }
</v>
      </c>
      <c r="K11" s="6"/>
      <c r="L11" t="str">
        <f t="shared" si="18"/>
        <v/>
      </c>
      <c r="M11" t="str">
        <f t="shared" si="19"/>
        <v xml:space="preserve">		public virtual string Model { get; set; }
</v>
      </c>
      <c r="N11" t="str">
        <f t="shared" si="20"/>
        <v xml:space="preserve">		[StringLength(InvDrmPartListConsts.MaxModelLength)]
		public virtual string Model { get; set; }
</v>
      </c>
      <c r="O11" t="str">
        <f t="shared" si="21"/>
        <v xml:space="preserve">		public virtual string Model { get; set; }
</v>
      </c>
      <c r="P11" t="str">
        <f t="shared" si="22"/>
        <v xml:space="preserve">							Model = o.Model,</v>
      </c>
      <c r="T11" s="63" t="str">
        <f t="shared" si="23"/>
        <v xml:space="preserve">								("Model"),</v>
      </c>
      <c r="V11" s="64" t="str">
        <f t="shared" si="24"/>
        <v xml:space="preserve">								_ =&gt; _.Model,</v>
      </c>
      <c r="W11" s="63" t="str">
        <f t="shared" si="25"/>
        <v xml:space="preserve">				.WhereIf(!string.IsNullOrWhiteSpace(input.Model), e =&gt; e.Model.Contains(input.Model))</v>
      </c>
    </row>
    <row r="12" spans="1:23" customFormat="1" ht="18.75" customHeight="1" x14ac:dyDescent="0.3">
      <c r="A12" t="s">
        <v>361</v>
      </c>
      <c r="B12" t="s">
        <v>374</v>
      </c>
      <c r="C12" t="s">
        <v>1</v>
      </c>
      <c r="D12" t="str">
        <f t="shared" ref="D12:D15" si="26">SUBSTITUTE(PROPER(A12),"_","")</f>
        <v>MaterialCode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40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MaxMaterialCodeLength = 40;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[StringLength(MaxMaterialCodeLength)]
		public virtual string MaterialCode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MaterialCode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[StringLength(InvDrmPartListConsts.MaxMaterialCodeLength)]
		public virtual string MaterialCode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MaterialCode { get; set; }
</v>
      </c>
      <c r="P12" t="str">
        <f t="shared" ref="P12:P15" si="35">REPT(CHAR(9),7)&amp;D12&amp;" = o." &amp;D12 &amp;","</f>
        <v xml:space="preserve">							MaterialCode = o.MaterialCode,</v>
      </c>
      <c r="T12" s="63" t="str">
        <f t="shared" ref="T12:T15" si="36">REPT(CHAR(9),8)&amp;"("""&amp;D12&amp;"""),"</f>
        <v xml:space="preserve">								("MaterialCode"),</v>
      </c>
      <c r="V12" s="64" t="str">
        <f t="shared" ref="V12:V15" si="37">REPT(CHAR(9),8)&amp;"_ =&gt; _."&amp;D12&amp;","</f>
        <v xml:space="preserve">								_ =&gt; _.MaterialCode,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.WhereIf(!string.IsNullOrWhiteSpace(input.MaterialCode), e =&gt; e.MaterialCode.Contains(input.MaterialCode))</v>
      </c>
    </row>
    <row r="13" spans="1:23" customFormat="1" ht="18.75" customHeight="1" x14ac:dyDescent="0.3">
      <c r="A13" t="s">
        <v>362</v>
      </c>
      <c r="B13" t="s">
        <v>357</v>
      </c>
      <c r="C13" t="s">
        <v>1</v>
      </c>
      <c r="D13" t="str">
        <f t="shared" si="26"/>
        <v>MaterialSpec</v>
      </c>
      <c r="E13" t="str">
        <f t="shared" si="27"/>
        <v>VARCHAR</v>
      </c>
      <c r="F13" s="6"/>
      <c r="G13" t="str">
        <f t="shared" si="28"/>
        <v>200</v>
      </c>
      <c r="H13" t="str">
        <f>+VLOOKUP(E13,'Data Type Mapping'!A:B,2,)</f>
        <v>string</v>
      </c>
      <c r="I13" t="str">
        <f t="shared" si="29"/>
        <v xml:space="preserve">		public const int MaxMaterialSpecLength = 200;
</v>
      </c>
      <c r="J13" t="str">
        <f t="shared" si="30"/>
        <v xml:space="preserve">		[StringLength(MaxMaterialSpecLength)]
		public virtual string MaterialSpec { get; set; }
</v>
      </c>
      <c r="K13" s="6"/>
      <c r="L13" t="str">
        <f t="shared" si="31"/>
        <v/>
      </c>
      <c r="M13" t="str">
        <f t="shared" si="32"/>
        <v xml:space="preserve">		public virtual string MaterialSpec { get; set; }
</v>
      </c>
      <c r="N13" t="str">
        <f t="shared" si="33"/>
        <v xml:space="preserve">		[StringLength(InvDrmPartListConsts.MaxMaterialSpecLength)]
		public virtual string MaterialSpec { get; set; }
</v>
      </c>
      <c r="O13" t="str">
        <f t="shared" si="34"/>
        <v xml:space="preserve">		public virtual string MaterialSpec { get; set; }
</v>
      </c>
      <c r="P13" t="str">
        <f t="shared" si="35"/>
        <v xml:space="preserve">							MaterialSpec = o.MaterialSpec,</v>
      </c>
      <c r="T13" s="63" t="str">
        <f t="shared" si="36"/>
        <v xml:space="preserve">								("MaterialSpec"),</v>
      </c>
      <c r="V13" s="64" t="str">
        <f t="shared" si="37"/>
        <v xml:space="preserve">								_ =&gt; _.MaterialSpec,</v>
      </c>
      <c r="W13" s="63" t="str">
        <f t="shared" si="38"/>
        <v xml:space="preserve">				.WhereIf(!string.IsNullOrWhiteSpace(input.MaterialSpec), e =&gt; e.MaterialSpec.Contains(input.MaterialSpec))</v>
      </c>
    </row>
    <row r="14" spans="1:23" customFormat="1" ht="18.75" customHeight="1" x14ac:dyDescent="0.3">
      <c r="A14" t="s">
        <v>363</v>
      </c>
      <c r="B14" t="s">
        <v>375</v>
      </c>
      <c r="C14" t="s">
        <v>1</v>
      </c>
      <c r="D14" t="str">
        <f t="shared" si="26"/>
        <v>BoxQty</v>
      </c>
      <c r="E14" t="str">
        <f t="shared" si="27"/>
        <v>INT</v>
      </c>
      <c r="F14" s="6"/>
      <c r="G14" t="str">
        <f t="shared" si="28"/>
        <v/>
      </c>
      <c r="H14" t="str">
        <f>+VLOOKUP(E14,'Data Type Mapping'!A:B,2,)</f>
        <v>int?</v>
      </c>
      <c r="I14" t="str">
        <f t="shared" si="29"/>
        <v/>
      </c>
      <c r="J14" t="str">
        <f t="shared" si="30"/>
        <v xml:space="preserve">		public virtual int? BoxQty { get; set; }
</v>
      </c>
      <c r="K14" s="6"/>
      <c r="L14" t="str">
        <f t="shared" si="31"/>
        <v/>
      </c>
      <c r="M14" t="str">
        <f t="shared" si="32"/>
        <v xml:space="preserve">		public virtual int? BoxQty { get; set; }
</v>
      </c>
      <c r="N14" t="str">
        <f t="shared" si="33"/>
        <v xml:space="preserve">		public virtual int? BoxQty { get; set; }
</v>
      </c>
      <c r="O14" t="str">
        <f t="shared" si="34"/>
        <v/>
      </c>
      <c r="P14" t="str">
        <f t="shared" si="35"/>
        <v xml:space="preserve">							BoxQty = o.BoxQty,</v>
      </c>
      <c r="T14" s="63" t="str">
        <f t="shared" si="36"/>
        <v xml:space="preserve">								("BoxQty"),</v>
      </c>
      <c r="V14" s="64" t="str">
        <f t="shared" si="37"/>
        <v xml:space="preserve">								_ =&gt; _.BoxQty,</v>
      </c>
      <c r="W14" s="63" t="str">
        <f t="shared" si="38"/>
        <v/>
      </c>
    </row>
    <row r="15" spans="1:23" customFormat="1" ht="18.75" customHeight="1" x14ac:dyDescent="0.3">
      <c r="A15" t="s">
        <v>364</v>
      </c>
      <c r="B15" t="s">
        <v>382</v>
      </c>
      <c r="C15" t="s">
        <v>1</v>
      </c>
      <c r="D15" t="str">
        <f t="shared" si="26"/>
        <v>PartCode</v>
      </c>
      <c r="E15" t="str">
        <f t="shared" si="27"/>
        <v>VARCHAR</v>
      </c>
      <c r="F15" s="6"/>
      <c r="G15" t="str">
        <f t="shared" si="28"/>
        <v>60</v>
      </c>
      <c r="H15" t="str">
        <f>+VLOOKUP(E15,'Data Type Mapping'!A:B,2,)</f>
        <v>string</v>
      </c>
      <c r="I15" t="str">
        <f t="shared" si="29"/>
        <v xml:space="preserve">		public const int MaxPartCodeLength = 60;
</v>
      </c>
      <c r="J15" t="str">
        <f t="shared" si="30"/>
        <v xml:space="preserve">		[StringLength(MaxPartCodeLength)]
		public virtual string PartCode { get; set; }
</v>
      </c>
      <c r="K15" s="6"/>
      <c r="L15" t="str">
        <f t="shared" si="31"/>
        <v/>
      </c>
      <c r="M15" t="str">
        <f t="shared" si="32"/>
        <v xml:space="preserve">		public virtual string PartCode { get; set; }
</v>
      </c>
      <c r="N15" t="str">
        <f t="shared" si="33"/>
        <v xml:space="preserve">		[StringLength(InvDrmPartListConsts.MaxPartCodeLength)]
		public virtual string PartCode { get; set; }
</v>
      </c>
      <c r="O15" t="str">
        <f t="shared" si="34"/>
        <v xml:space="preserve">		public virtual string PartCode { get; set; }
</v>
      </c>
      <c r="P15" t="str">
        <f t="shared" si="35"/>
        <v xml:space="preserve">							PartCode = o.PartCode,</v>
      </c>
      <c r="T15" s="63" t="str">
        <f t="shared" si="36"/>
        <v xml:space="preserve">								("PartCode"),</v>
      </c>
      <c r="V15" s="64" t="str">
        <f t="shared" si="37"/>
        <v xml:space="preserve">								_ =&gt; _.PartCode,</v>
      </c>
      <c r="W15" s="63" t="str">
        <f t="shared" si="38"/>
        <v xml:space="preserve">				.WhereIf(!string.IsNullOrWhiteSpace(input.PartCode), e =&gt; e.PartCode.Contains(input.PartCode))</v>
      </c>
    </row>
    <row r="16" spans="1:23" customFormat="1" ht="18.75" customHeight="1" x14ac:dyDescent="0.3">
      <c r="A16" t="s">
        <v>367</v>
      </c>
      <c r="B16" t="s">
        <v>376</v>
      </c>
      <c r="C16" t="s">
        <v>1</v>
      </c>
      <c r="D16" t="str">
        <f t="shared" ref="D16:D21" si="39">SUBSTITUTE(PROPER(A16),"_","")</f>
        <v>FirstDayProduct</v>
      </c>
      <c r="E16" t="str">
        <f t="shared" ref="E16:E21" si="40">IFERROR(LEFT(B16, FIND("(",B16)-1),B16)</f>
        <v>DATETIME</v>
      </c>
      <c r="F16" s="6" t="s">
        <v>355</v>
      </c>
      <c r="G16" t="str">
        <f t="shared" ref="G16:G21" si="41">IFERROR(MID(B16,FIND("(",B16) +1, FIND(")",B16) - FIND("(",B16) - 1),"")</f>
        <v/>
      </c>
      <c r="H16" t="str">
        <f>+VLOOKUP(E16,'Data Type Mapping'!A:B,2,)</f>
        <v>DateTime?</v>
      </c>
      <c r="I16" t="str">
        <f t="shared" ref="I16:I21" si="42">IF(H16="string",REPT(CHAR(9),2)&amp;"public const int Max"&amp;D16&amp;"Length = "&amp;G16&amp;";"&amp;$E$3,"" )</f>
        <v/>
      </c>
      <c r="J16" t="str">
        <f t="shared" ref="J16:J21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[Column(TypeName="DATE")]
		public virtual DateTime? FirstDayProduct { get; set; }
</v>
      </c>
      <c r="K16" s="6"/>
      <c r="L16" t="str">
        <f t="shared" ref="L16:L21" si="44">IF(K16="","",REPT(CHAR(9),1)&amp;"[Index(nameof("&amp;IF(D16="","",""&amp;D16)&amp;")"&amp;", Name="&amp;"""IX_"&amp;$B$7&amp;"_"&amp;D16&amp;""")]")</f>
        <v/>
      </c>
      <c r="M16" t="str">
        <f t="shared" ref="M16:M21" si="45">REPT(CHAR(9),2)&amp;"public virtual "&amp;IF(OR(H16="DateTime",H16="TimeSpan"),H16&amp;"?",H16)&amp;IF(C16="?","? "," ")&amp;D16&amp;" { get; set; }" &amp; "
"</f>
        <v xml:space="preserve">		public virtual DateTime? FirstDayProduct { get; set; }
</v>
      </c>
      <c r="N16" t="str">
        <f t="shared" ref="N16:N21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DateTime? FirstDayProduct { get; set; }
</v>
      </c>
      <c r="O16" t="str">
        <f t="shared" ref="O16:O21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1" si="48">REPT(CHAR(9),7)&amp;D16&amp;" = o." &amp;D16 &amp;","</f>
        <v xml:space="preserve">							FirstDayProduct = o.FirstDayProduct,</v>
      </c>
      <c r="T16" s="63" t="str">
        <f t="shared" ref="T16:T21" si="49">REPT(CHAR(9),8)&amp;"("""&amp;D16&amp;"""),"</f>
        <v xml:space="preserve">								("FirstDayProduct"),</v>
      </c>
      <c r="V16" s="64" t="str">
        <f t="shared" ref="V16:V21" si="50">REPT(CHAR(9),8)&amp;"_ =&gt; _."&amp;D16&amp;","</f>
        <v xml:space="preserve">								_ =&gt; _.FirstDayProduct,</v>
      </c>
      <c r="W16" s="63" t="str">
        <f t="shared" ref="W16:W21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3">
      <c r="A17" t="s">
        <v>368</v>
      </c>
      <c r="B17" t="s">
        <v>376</v>
      </c>
      <c r="C17" t="s">
        <v>1</v>
      </c>
      <c r="D17" t="str">
        <f t="shared" si="39"/>
        <v>LastDayProduct</v>
      </c>
      <c r="E17" t="str">
        <f t="shared" si="40"/>
        <v>DATETIME</v>
      </c>
      <c r="F17" s="6" t="s">
        <v>355</v>
      </c>
      <c r="G17" t="str">
        <f t="shared" si="41"/>
        <v/>
      </c>
      <c r="H17" t="str">
        <f>+VLOOKUP(E17,'Data Type Mapping'!A:B,2,)</f>
        <v>DateTime?</v>
      </c>
      <c r="I17" t="str">
        <f t="shared" si="42"/>
        <v/>
      </c>
      <c r="J17" t="str">
        <f t="shared" si="43"/>
        <v xml:space="preserve">		[Column(TypeName="DATE")]
		public virtual DateTime? LastDayProduct { get; set; }
</v>
      </c>
      <c r="K17" s="6"/>
      <c r="L17" t="str">
        <f t="shared" si="44"/>
        <v/>
      </c>
      <c r="M17" t="str">
        <f t="shared" si="45"/>
        <v xml:space="preserve">		public virtual DateTime? LastDayProduct { get; set; }
</v>
      </c>
      <c r="N17" t="str">
        <f t="shared" si="46"/>
        <v xml:space="preserve">		public virtual DateTime? LastDayProduct { get; set; }
</v>
      </c>
      <c r="O17" t="str">
        <f t="shared" si="47"/>
        <v/>
      </c>
      <c r="P17" t="str">
        <f t="shared" si="48"/>
        <v xml:space="preserve">							LastDayProduct = o.LastDayProduct,</v>
      </c>
      <c r="T17" s="63" t="str">
        <f t="shared" si="49"/>
        <v xml:space="preserve">								("LastDayProduct"),</v>
      </c>
      <c r="V17" s="64" t="str">
        <f t="shared" si="50"/>
        <v xml:space="preserve">								_ =&gt; _.LastDayProduct,</v>
      </c>
      <c r="W17" s="63" t="str">
        <f t="shared" si="51"/>
        <v/>
      </c>
    </row>
    <row r="18" spans="1:23" customFormat="1" ht="18.75" customHeight="1" x14ac:dyDescent="0.3">
      <c r="A18" t="s">
        <v>369</v>
      </c>
      <c r="B18" t="s">
        <v>374</v>
      </c>
      <c r="C18" t="s">
        <v>1</v>
      </c>
      <c r="D18" t="str">
        <f t="shared" si="39"/>
        <v>Sourcing</v>
      </c>
      <c r="E18" t="str">
        <f t="shared" si="40"/>
        <v>VARCHAR</v>
      </c>
      <c r="F18" s="6"/>
      <c r="G18" t="str">
        <f t="shared" si="41"/>
        <v>40</v>
      </c>
      <c r="H18" t="str">
        <f>+VLOOKUP(E18,'Data Type Mapping'!A:B,2,)</f>
        <v>string</v>
      </c>
      <c r="I18" t="str">
        <f t="shared" si="42"/>
        <v xml:space="preserve">		public const int MaxSourcingLength = 40;
</v>
      </c>
      <c r="J18" t="str">
        <f t="shared" si="43"/>
        <v xml:space="preserve">		[StringLength(MaxSourcingLength)]
		public virtual string Sourcing { get; set; }
</v>
      </c>
      <c r="K18" s="6"/>
      <c r="L18" t="str">
        <f t="shared" si="44"/>
        <v/>
      </c>
      <c r="M18" t="str">
        <f t="shared" si="45"/>
        <v xml:space="preserve">		public virtual string Sourcing { get; set; }
</v>
      </c>
      <c r="N18" t="str">
        <f t="shared" si="46"/>
        <v xml:space="preserve">		[StringLength(InvDrmPartListConsts.MaxSourcingLength)]
		public virtual string Sourcing { get; set; }
</v>
      </c>
      <c r="O18" t="str">
        <f t="shared" si="47"/>
        <v xml:space="preserve">		public virtual string Sourcing { get; set; }
</v>
      </c>
      <c r="P18" t="str">
        <f t="shared" si="48"/>
        <v xml:space="preserve">							Sourcing = o.Sourcing,</v>
      </c>
      <c r="T18" s="63" t="str">
        <f t="shared" si="49"/>
        <v xml:space="preserve">								("Sourcing"),</v>
      </c>
      <c r="V18" s="64" t="str">
        <f t="shared" si="50"/>
        <v xml:space="preserve">								_ =&gt; _.Sourcing,</v>
      </c>
      <c r="W18" s="63" t="str">
        <f t="shared" si="51"/>
        <v xml:space="preserve">				.WhereIf(!string.IsNullOrWhiteSpace(input.Sourcing), e =&gt; e.Sourcing.Contains(input.Sourcing))</v>
      </c>
    </row>
    <row r="19" spans="1:23" customFormat="1" ht="18.75" customHeight="1" x14ac:dyDescent="0.3">
      <c r="A19" t="s">
        <v>370</v>
      </c>
      <c r="B19" t="s">
        <v>374</v>
      </c>
      <c r="C19" t="s">
        <v>1</v>
      </c>
      <c r="D19" t="str">
        <f t="shared" si="39"/>
        <v>Cutting</v>
      </c>
      <c r="E19" t="str">
        <f t="shared" si="40"/>
        <v>VARCHAR</v>
      </c>
      <c r="F19" s="6"/>
      <c r="G19" t="str">
        <f t="shared" si="41"/>
        <v>40</v>
      </c>
      <c r="H19" t="str">
        <f>+VLOOKUP(E19,'Data Type Mapping'!A:B,2,)</f>
        <v>string</v>
      </c>
      <c r="I19" t="str">
        <f t="shared" si="42"/>
        <v xml:space="preserve">		public const int MaxCuttingLength = 40;
</v>
      </c>
      <c r="J19" t="str">
        <f t="shared" si="43"/>
        <v xml:space="preserve">		[StringLength(MaxCuttingLength)]
		public virtual string Cutting { get; set; }
</v>
      </c>
      <c r="K19" s="6"/>
      <c r="L19" t="str">
        <f t="shared" si="44"/>
        <v/>
      </c>
      <c r="M19" t="str">
        <f t="shared" si="45"/>
        <v xml:space="preserve">		public virtual string Cutting { get; set; }
</v>
      </c>
      <c r="N19" t="str">
        <f t="shared" si="46"/>
        <v xml:space="preserve">		[StringLength(InvDrmPartListConsts.MaxCuttingLength)]
		public virtual string Cutting { get; set; }
</v>
      </c>
      <c r="O19" t="str">
        <f t="shared" si="47"/>
        <v xml:space="preserve">		public virtual string Cutting { get; set; }
</v>
      </c>
      <c r="P19" t="str">
        <f t="shared" si="48"/>
        <v xml:space="preserve">							Cutting = o.Cutting,</v>
      </c>
      <c r="T19" s="63" t="str">
        <f t="shared" si="49"/>
        <v xml:space="preserve">								("Cutting"),</v>
      </c>
      <c r="V19" s="64" t="str">
        <f t="shared" si="50"/>
        <v xml:space="preserve">								_ =&gt; _.Cutting,</v>
      </c>
      <c r="W19" s="63" t="str">
        <f t="shared" si="51"/>
        <v xml:space="preserve">				.WhereIf(!string.IsNullOrWhiteSpace(input.Cutting), e =&gt; e.Cutting.Contains(input.Cutting))</v>
      </c>
    </row>
    <row r="20" spans="1:23" customFormat="1" ht="18.75" customHeight="1" x14ac:dyDescent="0.3">
      <c r="A20" t="s">
        <v>371</v>
      </c>
      <c r="B20" t="s">
        <v>375</v>
      </c>
      <c r="C20" t="s">
        <v>1</v>
      </c>
      <c r="D20" t="str">
        <f t="shared" si="39"/>
        <v>Packing</v>
      </c>
      <c r="E20" t="str">
        <f t="shared" si="40"/>
        <v>INT</v>
      </c>
      <c r="F20" s="6"/>
      <c r="G20" t="str">
        <f t="shared" si="41"/>
        <v/>
      </c>
      <c r="H20" t="str">
        <f>+VLOOKUP(E20,'Data Type Mapping'!A:B,2,)</f>
        <v>int?</v>
      </c>
      <c r="I20" t="str">
        <f t="shared" si="42"/>
        <v/>
      </c>
      <c r="J20" t="str">
        <f t="shared" si="43"/>
        <v xml:space="preserve">		public virtual int? Packing { get; set; }
</v>
      </c>
      <c r="K20" s="6"/>
      <c r="L20" t="str">
        <f t="shared" si="44"/>
        <v/>
      </c>
      <c r="M20" t="str">
        <f t="shared" si="45"/>
        <v xml:space="preserve">		public virtual int? Packing { get; set; }
</v>
      </c>
      <c r="N20" t="str">
        <f t="shared" si="46"/>
        <v xml:space="preserve">		public virtual int? Packing { get; set; }
</v>
      </c>
      <c r="O20" t="str">
        <f t="shared" si="47"/>
        <v/>
      </c>
      <c r="P20" t="str">
        <f t="shared" si="48"/>
        <v xml:space="preserve">							Packing = o.Packing,</v>
      </c>
      <c r="T20" s="63" t="str">
        <f t="shared" si="49"/>
        <v xml:space="preserve">								("Packing"),</v>
      </c>
      <c r="V20" s="64" t="str">
        <f t="shared" si="50"/>
        <v xml:space="preserve">								_ =&gt; _.Packing,</v>
      </c>
      <c r="W20" s="63" t="str">
        <f t="shared" si="51"/>
        <v/>
      </c>
    </row>
    <row r="21" spans="1:23" customFormat="1" ht="18.75" customHeight="1" x14ac:dyDescent="0.3">
      <c r="A21" t="s">
        <v>372</v>
      </c>
      <c r="B21" t="s">
        <v>377</v>
      </c>
      <c r="C21" t="s">
        <v>1</v>
      </c>
      <c r="D21" t="str">
        <f t="shared" si="39"/>
        <v>SheetWeight</v>
      </c>
      <c r="E21" t="str">
        <f t="shared" si="40"/>
        <v>DECIMAL</v>
      </c>
      <c r="F21" s="6"/>
      <c r="G21" t="str">
        <f t="shared" si="41"/>
        <v>18,2</v>
      </c>
      <c r="H21" t="str">
        <f>+VLOOKUP(E21,'Data Type Mapping'!A:B,2,)</f>
        <v>decimal?</v>
      </c>
      <c r="I21" t="str">
        <f t="shared" si="42"/>
        <v/>
      </c>
      <c r="J21" t="str">
        <f t="shared" si="43"/>
        <v xml:space="preserve">		public virtual decimal? SheetWeight { get; set; }
</v>
      </c>
      <c r="K21" s="6"/>
      <c r="L21" t="str">
        <f t="shared" si="44"/>
        <v/>
      </c>
      <c r="M21" t="str">
        <f t="shared" si="45"/>
        <v xml:space="preserve">		public virtual decimal? SheetWeight { get; set; }
</v>
      </c>
      <c r="N21" t="str">
        <f t="shared" si="46"/>
        <v xml:space="preserve">		public virtual decimal? SheetWeight { get; set; }
</v>
      </c>
      <c r="O21" t="str">
        <f t="shared" si="47"/>
        <v/>
      </c>
      <c r="P21" t="str">
        <f t="shared" si="48"/>
        <v xml:space="preserve">							SheetWeight = o.SheetWeight,</v>
      </c>
      <c r="T21" s="63" t="str">
        <f t="shared" si="49"/>
        <v xml:space="preserve">								("SheetWeight"),</v>
      </c>
      <c r="V21" s="64" t="str">
        <f t="shared" si="50"/>
        <v xml:space="preserve">								_ =&gt; _.SheetWeight,</v>
      </c>
      <c r="W21" s="63" t="str">
        <f t="shared" si="51"/>
        <v/>
      </c>
    </row>
    <row r="22" spans="1:23" customFormat="1" ht="18.75" customHeight="1" x14ac:dyDescent="0.3">
      <c r="A22" t="s">
        <v>373</v>
      </c>
      <c r="B22" t="s">
        <v>377</v>
      </c>
      <c r="C22" t="s">
        <v>1</v>
      </c>
      <c r="D22" t="str">
        <f t="shared" ref="D22" si="52">SUBSTITUTE(PROPER(A22),"_","")</f>
        <v>YiledRation</v>
      </c>
      <c r="E22" t="str">
        <f t="shared" ref="E22" si="53">IFERROR(LEFT(B22, FIND("(",B22)-1),B22)</f>
        <v>DECIMAL</v>
      </c>
      <c r="F22" s="6"/>
      <c r="G22" t="str">
        <f t="shared" ref="G22" si="54">IFERROR(MID(B22,FIND("(",B22) +1, FIND(")",B22) - FIND("(",B22) - 1),"")</f>
        <v>18,2</v>
      </c>
      <c r="H22" t="str">
        <f>+VLOOKUP(E22,'Data Type Mapping'!A:B,2,)</f>
        <v>decimal?</v>
      </c>
      <c r="I22" t="str">
        <f t="shared" ref="I22" si="55">IF(H22="string",REPT(CHAR(9),2)&amp;"public const int Max"&amp;D22&amp;"Length = "&amp;G22&amp;";"&amp;$E$3,"" )</f>
        <v/>
      </c>
      <c r="J22" t="str">
        <f t="shared" ref="J22" si="56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decimal? YiledRation { get; set; }
</v>
      </c>
      <c r="K22" s="6"/>
      <c r="L22" t="str">
        <f t="shared" ref="L22" si="57">IF(K22="","",REPT(CHAR(9),1)&amp;"[Index(nameof("&amp;IF(D22="","",""&amp;D22)&amp;")"&amp;", Name="&amp;"""IX_"&amp;$B$7&amp;"_"&amp;D22&amp;""")]")</f>
        <v/>
      </c>
      <c r="M22" t="str">
        <f t="shared" ref="M22" si="58">REPT(CHAR(9),2)&amp;"public virtual "&amp;IF(OR(H22="DateTime",H22="TimeSpan"),H22&amp;"?",H22)&amp;IF(C22="?","? "," ")&amp;D22&amp;" { get; set; }" &amp; "
"</f>
        <v xml:space="preserve">		public virtual decimal? YiledRation { get; set; }
</v>
      </c>
      <c r="N22" t="str">
        <f t="shared" ref="N22" si="59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decimal? YiledRation { get; set; }
</v>
      </c>
      <c r="O22" t="str">
        <f t="shared" ref="O22" si="60">IF(OR(H22="string",H22="DateTime",H22="int"),REPT(CHAR(9),2)&amp;"public virtual "&amp;IF(OR(H22="DateTime",H22="TimeSpan"),H22&amp;"?",H22)&amp;IF(C22="?","? "," ")&amp;D22&amp;" { get; set; }"&amp;$E$3,"")</f>
        <v/>
      </c>
      <c r="P22" t="str">
        <f t="shared" ref="P22" si="61">REPT(CHAR(9),7)&amp;D22&amp;" = o." &amp;D22 &amp;","</f>
        <v xml:space="preserve">							YiledRation = o.YiledRation,</v>
      </c>
      <c r="T22" s="63" t="str">
        <f t="shared" ref="T22" si="62">REPT(CHAR(9),8)&amp;"("""&amp;D22&amp;"""),"</f>
        <v xml:space="preserve">								("YiledRation"),</v>
      </c>
      <c r="V22" s="64" t="str">
        <f t="shared" ref="V22" si="63">REPT(CHAR(9),8)&amp;"_ =&gt; _."&amp;D22&amp;","</f>
        <v xml:space="preserve">								_ =&gt; _.YiledRation,</v>
      </c>
      <c r="W22" s="63" t="str">
        <f t="shared" ref="W22" si="64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4" spans="1:23" ht="45.75" customHeight="1" x14ac:dyDescent="0.3">
      <c r="H24" s="11"/>
      <c r="I24" s="31" t="str">
        <f ca="1">TEXTJOIN2("
", TRUE,INDIRECT( $H$1):INDIRECT( $H$3))</f>
        <v xml:space="preserve">		public const int MaxSupplierTypeLength = 20;
		public const int MaxSupplierCdLength = 20;
		public const int MaxModelLength = 4;
		public const int MaxMaterialCodeLength = 40;
		public const int MaxMaterialSpecLength = 200;
		public const int MaxPartCodeLength = 60;
		public const int MaxSourcingLength = 40;
		public const int MaxCuttingLength = 40;
</v>
      </c>
      <c r="J24" s="30" t="str">
        <f ca="1">TEXTJOIN2("
", TRUE,INDIRECT( $F$1):INDIRECT( $F$3))</f>
        <v xml:space="preserve">		[StringLength(MaxSupplierTypeLength)]
		public virtual string SupplierType { get; set; }
		[StringLength(MaxSupplierCdLength)]
		public virtual string SupplierCd { get; set; }
		[StringLength(MaxModelLength)]
		public virtual string Model { get; set; }
		[StringLength(MaxMaterialCodeLength)]
		public virtual string MaterialCode { get; set; }
		[StringLength(MaxMaterialSpecLength)]
		public virtual string MaterialSpec { get; set; }
		public virtual int? BoxQty { get; set; }
		[StringLength(MaxPartCodeLength)]
		public virtual string PartCode { get; set; }
		[Column(TypeName="DATE")]
		public virtual DateTime? FirstDayProduct { get; set; }
		[Column(TypeName="DATE")]
		public virtual DateTime? LastDayProduct { get; set; }
		[StringLength(MaxSourcingLength)]
		public virtual string Sourcing { get; set; }
		[StringLength(MaxCuttingLength)]
		public virtual string Cutting { get; set; }
		public virtual int? Packing { get; set; }
		public virtual decimal? SheetWeight { get; set; }
		public virtual decimal? YiledRation { get; set; }
</v>
      </c>
      <c r="K24" s="32" t="str">
        <f ca="1">TEXTJOIN2("
", TRUE,INDIRECT( $J$1):INDIRECT( $J$3))</f>
        <v/>
      </c>
      <c r="L24" s="12" t="s">
        <v>57</v>
      </c>
      <c r="M24" s="33" t="str">
        <f ca="1">TEXTJOIN2("
",TRUE,INDIRECT( $L$1):INDIRECT($L$3))</f>
        <v xml:space="preserve">		public virtual string SupplierType { get; set; }
		public virtual string SupplierCd { get; set; }
		public virtual string Model { get; set; }
		public virtual string MaterialCode { get; set; }
		public virtual string MaterialSpec { get; set; }
		public virtual int? BoxQty { get; set; }
		public virtual string PartCode { get; set; }
		public virtual DateTime? FirstDayProduct { get; set; }
		public virtual DateTime? LastDayProduct { get; set; }
		public virtual string Sourcing { get; set; }
		public virtual string Cutting { get; set; }
		public virtual int? Packing { get; set; }
		public virtual decimal? SheetWeight { get; set; }
		public virtual decimal? YiledRation { get; set; }
</v>
      </c>
      <c r="N24" s="30" t="str">
        <f ca="1">TEXTJOIN2("
",TRUE,INDIRECT( $M$1):INDIRECT($M$3))</f>
        <v xml:space="preserve">		[StringLength(InvDrmPartListConsts.MaxSupplierTypeLength)]
		public virtual string SupplierType { get; set; }
		[StringLength(InvDrmPartListConsts.MaxSupplierCdLength)]
		public virtual string SupplierCd { get; set; }
		[StringLength(InvDrmPartListConsts.MaxModelLength)]
		public virtual string Model { get; set; }
		[StringLength(InvDrmPartListConsts.MaxMaterialCodeLength)]
		public virtual string MaterialCode { get; set; }
		[StringLength(InvDrmPartListConsts.MaxMaterialSpecLength)]
		public virtual string MaterialSpec { get; set; }
		public virtual int? BoxQty { get; set; }
		[StringLength(InvDrmPartListConsts.MaxPartCodeLength)]
		public virtual string PartCode { get; set; }
		public virtual DateTime? FirstDayProduct { get; set; }
		public virtual DateTime? LastDayProduct { get; set; }
		[StringLength(InvDrmPartListConsts.MaxSourcingLength)]
		public virtual string Sourcing { get; set; }
		[StringLength(InvDrmPartListConsts.MaxCuttingLength)]
		public virtual string Cutting { get; set; }
		public virtual int? Packing { get; set; }
		public virtual decimal? SheetWeight { get; set; }
		public virtual decimal? YiledRation { get; set; }
</v>
      </c>
      <c r="O24" s="30" t="str">
        <f ca="1">TEXTJOIN2("
",TRUE,INDIRECT( $N$1):INDIRECT($N$3))</f>
        <v xml:space="preserve">		public virtual string SupplierType { get; set; }
		public virtual string SupplierCd { get; set; }
		public virtual string Model { get; set; }
		public virtual string MaterialCode { get; set; }
		public virtual string MaterialSpec { get; set; }
		public virtual string PartCode { get; set; }
		public virtual string Sourcing { get; set; }
		public virtual string Cutting { get; set; }
</v>
      </c>
      <c r="P24" s="8" t="str">
        <f ca="1">TEXTJOIN2("
",TRUE,INDIRECT( $O$1):INDIRECT($O$3))</f>
        <v xml:space="preserve">							SupplierType = o.SupplierType,
							SupplierCd = o.SupplierCd,
							Model = o.Model,
							MaterialCode = o.MaterialCode,
							MaterialSpec = o.MaterialSpec,
							BoxQty = o.BoxQty,
							PartCode = o.PartCode,
							FirstDayProduct = o.FirstDayProduct,
							LastDayProduct = o.LastDayProduct,
							Sourcing = o.Sourcing,
							Cutting = o.Cutting,
							Packing = o.Packing,
							SheetWeight = o.SheetWeight,
							YiledRation = o.YiledRation,</v>
      </c>
      <c r="T24" s="8" t="str">
        <f ca="1">TEXTJOIN2("
",TRUE,INDIRECT( $T$2):INDIRECT($T$3))</f>
        <v xml:space="preserve">								("SupplierType"),
								("SupplierCd"),
								("Model"),
								("MaterialCode"),
								("MaterialSpec"),
								("BoxQty"),
								("PartCode"),
								("FirstDayProduct"),
								("LastDayProduct"),
								("Sourcing"),
								("Cutting"),
								("Packing"),
								("SheetWeight"),
								("YiledRation"),</v>
      </c>
      <c r="V24" s="8" t="str">
        <f ca="1">TEXTJOIN2("
",TRUE,INDIRECT( $V$2):INDIRECT($V$3))</f>
        <v xml:space="preserve">								_ =&gt; _.SupplierType,
								_ =&gt; _.SupplierCd,
								_ =&gt; _.Model,
								_ =&gt; _.MaterialCode,
								_ =&gt; _.MaterialSpec,
								_ =&gt; _.BoxQty,
								_ =&gt; _.PartCode,
								_ =&gt; _.FirstDayProduct,
								_ =&gt; _.LastDayProduct,
								_ =&gt; _.Sourcing,
								_ =&gt; _.Cutting,
								_ =&gt; _.Packing,
								_ =&gt; _.SheetWeight,
								_ =&gt; _.YiledRation,</v>
      </c>
      <c r="W24" s="8" t="str">
        <f ca="1">TEXTJOIN2("
",TRUE,INDIRECT( $W$2):INDIRECT($W$3))</f>
        <v xml:space="preserve">				.WhereIf(!string.IsNullOrWhiteSpace(input.SupplierType), e =&gt; e.SupplierType.Contains(input.SupplierType))
				.WhereIf(!string.IsNullOrWhiteSpace(input.SupplierCd), e =&gt; e.SupplierCd.Contains(input.SupplierCd))
				.WhereIf(!string.IsNullOrWhiteSpace(input.Model), e =&gt; e.Model.Contains(input.Model))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.WhereIf(!string.IsNullOrWhiteSpace(input.PartCode), e =&gt; e.PartCode.Contains(input.PartCode))
				.WhereIf(!string.IsNullOrWhiteSpace(input.Sourcing), e =&gt; e.Sourcing.Contains(input.Sourcing))
				.WhereIf(!string.IsNullOrWhiteSpace(input.Cutting), e =&gt; e.Cutting.Contains(input.Cutting))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topLeftCell="A4" workbookViewId="0">
      <selection activeCell="B31" sqref="A27:B31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381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InvDrmPartList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DrmPartList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drmpartlist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#VALUE!</v>
      </c>
      <c r="I10" s="45" t="e">
        <f ca="1">SUBSTITUTE(SUBSTITUTE(SUBSTITUTE(SUBSTITUTE(SUBSTITUTE(I9,"MstWptCalendar",$B$6),"Calendar",$B$7),"calendar",$B$8),"&lt;PROPERTIES&gt;",I13),"&lt;FULL_TITLE&gt;",B1)</f>
        <v>#VALUE!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#VALUE!</v>
      </c>
      <c r="L10" s="45" t="e">
        <f ca="1">SUBSTITUTE(SUBSTITUTE(SUBSTITUTE(SUBSTITUTE(SUBSTITUTE(L9,"MstWptCalendar",$B$6),"Calendar",$B$7),"calendar",$B$8),"&lt;VIEWDATETIME&gt;",$L$13),"isActive",$V$13)</f>
        <v>#VALUE!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DrmPartListRoutingModule } from './drmpartlist-routing.module';
import { DrmPartListComponent } from './drmpartlist.component';
import { CreateOrEditDrmPartListModalComponent } from './create-or-edit-drmpartlist-modal.component';
@NgModule({
    declarations: [
       DrmPartListComponent, 
        CreateOrEditDrmPartListModalComponent
    ],
    imports: [
        AppSharedModule, DrmPartListRoutingModule]
})
export class DrmPartListModule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DrmPartListComponent } from './drmpartlist.component';
const routes: Routes = [{
    path: '',
    component: DrmPartListComponent,
    pathMatch: 'full'
}];
@NgModule({
    imports: [RouterModule.forChild(routes)],
    exports: [RouterModule],
})
export class DrmPartListRoutingModule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AppMenuItem("DrmPartList", "Pages.Inventory.DRM.DrmPartList", "flaticon-book",   "/app/main/inventory/drm/drmpartlist"),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'inventory/drm/drmpartlist',
    loadChildren: () =&gt; import('./inventory/drm/drmpartlist/drmpartlist.module').then(m =&gt; m.DrmPartListModule),
    data: { permission: 'Pages.Inventory.DRM.DrmPartList' }
},</v>
      </c>
      <c r="R10" s="47" t="str">
        <f>SUBSTITUTE(R9,"MstWptCalendar",$B$6)</f>
        <v>ApiServiceProxies.InvDrmPartListServiceProxy,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H30</v>
      </c>
      <c r="I12" s="28" t="str">
        <f>"I"&amp;COUNTA($A:$A)</f>
        <v>I30</v>
      </c>
      <c r="J12" s="28"/>
      <c r="K12" s="28" t="str">
        <f>"K"&amp;COUNTA($A:$A)</f>
        <v>K30</v>
      </c>
      <c r="L12" s="28" t="str">
        <f>"L"&amp;COUNTA($A:$A)</f>
        <v>L30</v>
      </c>
      <c r="M12" s="28"/>
      <c r="N12" s="28"/>
      <c r="O12" s="28"/>
      <c r="P12" s="28"/>
      <c r="Q12" s="28"/>
      <c r="R12" s="28"/>
      <c r="S12" s="28" t="str">
        <f>"S"&amp;COUNTA($A:$A)</f>
        <v>S30</v>
      </c>
      <c r="T12" s="28" t="str">
        <f>"T"&amp;COUNTA($A:$A)</f>
        <v>T30</v>
      </c>
      <c r="U12" s="28" t="str">
        <f>"U"&amp;COUNTA($A:$A)</f>
        <v>U30</v>
      </c>
      <c r="V12" s="28" t="str">
        <f>"V"&amp;COUNTA($A:$A)</f>
        <v>V30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#VALUE!</v>
      </c>
      <c r="I13" s="35" t="e">
        <f ca="1">TEXTJOIN2("
",TRUE,INDIRECT(I11):INDIRECT(I12))</f>
        <v>#VALUE!</v>
      </c>
      <c r="J13" s="28"/>
      <c r="K13" s="35" t="e">
        <f ca="1">TEXTJOIN2("
",TRUE,INDIRECT(K11):INDIRECT(K12))</f>
        <v>#VALUE!</v>
      </c>
      <c r="L13" s="56" t="e">
        <f ca="1">TEXTJOIN2("
",TRUE,INDIRECT(L11):INDIRECT(L12))</f>
        <v>#VALUE!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#VALUE!</v>
      </c>
      <c r="T13" s="62" t="str">
        <f ca="1">TEXTJOIN2("
",TRUE,INDIRECT(T11):INDIRECT(T12))</f>
        <v xml:space="preserve">			this.supplierType,
			this.supplierCd,
			this.model,
			this.materialCode,
			this.materialSpec,
			this.boxQty,
			this.partCode,
			this.partSpec,
			this.partSize,
			this.firstDayProduct,
			this.lastDayProduct,
			this.sourcing,
			this.cutting,
			this.packing,
			this.sheetWeight,
			this.yiledRation,</v>
      </c>
      <c r="U13" s="62" t="e">
        <f ca="1">TEXTJOIN2("
",TRUE,INDIRECT(U11):INDIRECT(U12))</f>
        <v>#VALUE!</v>
      </c>
      <c r="V13" s="28" t="e">
        <f ca="1">TEXTJOIN2("
",TRUE,INDIRECT(V11):INDIRECT(V12))</f>
        <v>#VALUE!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drmpartlist.component.ts</v>
      </c>
      <c r="I14" s="37" t="str">
        <f>B8&amp;".component.html"</f>
        <v>drmpartlist.component.html</v>
      </c>
      <c r="J14" s="36" t="str">
        <f>B8&amp;".component.less"</f>
        <v>drmpartlist.component.less</v>
      </c>
      <c r="K14" s="37" t="str">
        <f>"create-or-edit-"&amp;B8&amp;"-modal.component.html"</f>
        <v>create-or-edit-drmpartlist-modal.component.html</v>
      </c>
      <c r="L14" s="37" t="str">
        <f>"create-or-edit-"&amp;B8&amp;"-modal.component.ts"</f>
        <v>create-or-edit-drmpartlist-modal.component.ts</v>
      </c>
      <c r="M14" s="37" t="str">
        <f>"create-or-edit-"&amp;B8&amp;"-modal.component.less"</f>
        <v>create-or-edit-drmpartlist-modal.component.less</v>
      </c>
      <c r="N14" s="37" t="str">
        <f>B8&amp;".module.ts"</f>
        <v>drmpartlist.module.ts</v>
      </c>
      <c r="O14" s="37" t="str">
        <f>B8&amp;"-routing.module.ts"</f>
        <v>drmpartlist-routing.module.ts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359</v>
      </c>
      <c r="B15" s="28" t="str">
        <f t="shared" ref="B15" si="0">SUBSTITUTE(PROPER(A15),"_","")</f>
        <v>SupplierType</v>
      </c>
      <c r="C15" s="28" t="str">
        <f t="shared" ref="C15" si="1">SUBSTITUTE(PROPER(A15),"_"," ")</f>
        <v>Supplier Type</v>
      </c>
      <c r="D15" s="28" t="str">
        <f t="shared" ref="D15" si="2">LOWER(LEFT(B15,1))&amp;RIGHT(B15,LEN(B15) - 1)</f>
        <v>supplierType</v>
      </c>
      <c r="E15" s="28" t="str">
        <f>A.Backend!H9</f>
        <v>string</v>
      </c>
      <c r="F15" s="28" t="str">
        <f>A.Backend!G9</f>
        <v>20</v>
      </c>
      <c r="G15" s="28" t="str">
        <f t="shared" ref="G15:G30" si="3">IF(E15="string"," : string = '' ; ",IF(OR(E15="DateTime",E15="TimeSpan")," : any ;",IF(E15="int"," : number = 0 ;","")))</f>
        <v xml:space="preserve"> : string = '' ; </v>
      </c>
      <c r="H15" s="35" t="str">
        <f t="shared" ref="H15:H30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Type'),headerTooltip: this.l('Supplier Type'),field: 'supplierType',flex: 1},</v>
      </c>
      <c r="I15" s="35" t="str">
        <f t="shared" ref="I15:I3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[(ngModel)]='supplierType' name='supplierType'
									class='form-control' [placeholder]="l('Supplier Type')"
									type='text' (keyup.enter)='searchDatas()'&gt;
								&lt;/div&gt;</v>
      </c>
      <c r="J15" s="28"/>
      <c r="K15" s="35" t="str">
        <f t="shared" ref="K15:K30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Type&lt;/label&gt;
						&lt;input type='text' class='col-md-10 form-control input-text' name='SupplierType' [(ngModel)]='rowdata.supplierType'&gt;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supplierType : string = '' ; </v>
      </c>
      <c r="T15" s="28" t="str">
        <f>REPT(CHAR(9),3)&amp;"this."&amp;D15&amp;","</f>
        <v xml:space="preserve">			this.supplierType,</v>
      </c>
      <c r="U15" s="28" t="str">
        <f>IF(E15="int",REPT(CHAR(9),2)&amp;"this."&amp;D15&amp;" = 0,",REPT(CHAR(9),2)&amp;"this."&amp;D15&amp;" = '',")</f>
        <v xml:space="preserve">		this.supplierType = '',</v>
      </c>
      <c r="V15" s="28" t="str">
        <f t="shared" ref="V15:V30" si="8">IF(AND(E15="string",F15="1"),D15,"")</f>
        <v/>
      </c>
    </row>
    <row r="16" spans="1:22" ht="18" customHeight="1" x14ac:dyDescent="0.3">
      <c r="A16" t="s">
        <v>358</v>
      </c>
      <c r="B16" s="28" t="str">
        <f t="shared" ref="B16" si="9">SUBSTITUTE(PROPER(A16),"_","")</f>
        <v>SupplierCd</v>
      </c>
      <c r="C16" s="28" t="str">
        <f t="shared" ref="C16" si="10">SUBSTITUTE(PROPER(A16),"_"," ")</f>
        <v>Supplier Cd</v>
      </c>
      <c r="D16" s="28" t="str">
        <f t="shared" ref="D16" si="11">LOWER(LEFT(B16,1))&amp;RIGHT(B16,LEN(B16) - 1)</f>
        <v>supplierCd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this.l('Supplier Cd'),headerTooltip: this.l('Supplier Cd'),field: 'supplierCd',flex: 1},</v>
      </c>
      <c r="I16" s="35" t="str">
        <f t="shared" si="5"/>
        <v xml:space="preserve">								&lt;div class='input-search'&gt;
									&lt;input [(ngModel)]='supplierCd' name='supplierCd'
									class='form-control' [placeholder]="l('Supplier Cd')"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title'&gt;Supplier Cd&lt;/label&gt;
						&lt;input type='text' class='col-md-10 form-control input-text' name='SupplierCd' [(ngModel)]='rowdata.supplierCd'&gt;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0" si="13">REPT(CHAR(9),1)&amp;D16&amp;G16</f>
        <v xml:space="preserve">	supplierCd : string = '' ; </v>
      </c>
      <c r="T16" s="28" t="str">
        <f t="shared" ref="T16:T30" si="14">REPT(CHAR(9),3)&amp;"this."&amp;D16&amp;","</f>
        <v xml:space="preserve">			this.supplierCd,</v>
      </c>
      <c r="U16" s="28" t="str">
        <f t="shared" ref="U16:U30" si="15">IF(E16="int",REPT(CHAR(9),2)&amp;"this."&amp;D16&amp;" = 0,",REPT(CHAR(9),2)&amp;"this."&amp;D16&amp;" = '',")</f>
        <v xml:space="preserve">		this.supplierCd = '',</v>
      </c>
      <c r="V16" s="28" t="str">
        <f t="shared" si="8"/>
        <v/>
      </c>
    </row>
    <row r="17" spans="1:22" ht="18" customHeight="1" x14ac:dyDescent="0.3">
      <c r="A17" t="s">
        <v>360</v>
      </c>
      <c r="B17" s="28" t="str">
        <f>SUBSTITUTE(PROPER(A17),"_","")</f>
        <v>Model</v>
      </c>
      <c r="C17" s="28" t="str">
        <f>SUBSTITUTE(PROPER(A17),"_"," ")</f>
        <v>Model</v>
      </c>
      <c r="D17" s="28" t="str">
        <f>LOWER(LEFT(B17,1))&amp;RIGHT(B17,LEN(B17) - 1)</f>
        <v>model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this.l('Model'),headerTooltip: this.l('Model'),field: 'model',flex: 1},</v>
      </c>
      <c r="I17" s="35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model : string = '' ; </v>
      </c>
      <c r="T17" s="28" t="str">
        <f t="shared" si="14"/>
        <v xml:space="preserve">			this.model,</v>
      </c>
      <c r="U17" s="28" t="str">
        <f t="shared" si="15"/>
        <v xml:space="preserve">		this.model = '',</v>
      </c>
      <c r="V17" s="28" t="str">
        <f t="shared" si="8"/>
        <v/>
      </c>
    </row>
    <row r="18" spans="1:22" ht="15" customHeight="1" x14ac:dyDescent="0.3">
      <c r="A18" t="s">
        <v>361</v>
      </c>
      <c r="B18" s="28" t="str">
        <f t="shared" ref="B18:B21" si="16">SUBSTITUTE(PROPER(A18),"_","")</f>
        <v>MaterialCode</v>
      </c>
      <c r="C18" s="28" t="str">
        <f t="shared" ref="C18:C21" si="17">SUBSTITUTE(PROPER(A18),"_"," ")</f>
        <v>Material Code</v>
      </c>
      <c r="D18" s="28" t="str">
        <f t="shared" ref="D18:D21" si="18">LOWER(LEFT(B18,1))&amp;RIGHT(B18,LEN(B18) - 1)</f>
        <v>materialCode</v>
      </c>
      <c r="E18" s="28" t="str">
        <f>A.Backend!H12</f>
        <v>string</v>
      </c>
      <c r="F18" s="28" t="str">
        <f>A.Backend!G12</f>
        <v>40</v>
      </c>
      <c r="G18" s="28" t="str">
        <f t="shared" si="3"/>
        <v xml:space="preserve"> : string = '' ; </v>
      </c>
      <c r="H18" s="35" t="str">
        <f t="shared" si="4"/>
        <v xml:space="preserve">			{headerName: this.l('Material Code'),headerTooltip: this.l('Material Code'),field: 'materialCode',flex: 1},</v>
      </c>
      <c r="I18" s="35" t="str">
        <f t="shared" si="5"/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materialCode : string = '' ; </v>
      </c>
      <c r="T18" s="28" t="str">
        <f t="shared" si="14"/>
        <v xml:space="preserve">			this.materialCode,</v>
      </c>
      <c r="U18" s="28" t="str">
        <f t="shared" si="15"/>
        <v xml:space="preserve">		this.materialCode = '',</v>
      </c>
      <c r="V18" s="28" t="str">
        <f t="shared" si="8"/>
        <v/>
      </c>
    </row>
    <row r="19" spans="1:22" ht="18" customHeight="1" x14ac:dyDescent="0.3">
      <c r="A19" t="s">
        <v>362</v>
      </c>
      <c r="B19" s="28" t="str">
        <f t="shared" si="16"/>
        <v>MaterialSpec</v>
      </c>
      <c r="C19" s="28" t="str">
        <f t="shared" si="17"/>
        <v>Material Spec</v>
      </c>
      <c r="D19" s="28" t="str">
        <f t="shared" si="18"/>
        <v>materialSpec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this.l('Material Spec'),headerTooltip: this.l('Material Spec'),field: 'materialSpec',flex: 1},</v>
      </c>
      <c r="I19" s="35" t="str">
        <f t="shared" si="5"/>
        <v xml:space="preserve">								&lt;div class='input-search'&gt;
									&lt;input [(ngModel)]='materialSpec' name='materialSpec'
									class='form-control' [placeholder]="l('Material Spec')"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title'&gt;Material Spec&lt;/label&gt;
						&lt;input type='text' class='col-md-10 form-control input-text' name='MaterialSpec' [(ngModel)]='rowdata.materialSpec'&gt;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materialSpec : string = '' ; </v>
      </c>
      <c r="T19" s="28" t="str">
        <f t="shared" si="14"/>
        <v xml:space="preserve">			this.materialSpec,</v>
      </c>
      <c r="U19" s="28" t="str">
        <f t="shared" si="15"/>
        <v xml:space="preserve">		this.materialSpec = '',</v>
      </c>
      <c r="V19" s="28" t="str">
        <f t="shared" si="8"/>
        <v/>
      </c>
    </row>
    <row r="20" spans="1:22" ht="15" customHeight="1" x14ac:dyDescent="0.3">
      <c r="A20" t="s">
        <v>363</v>
      </c>
      <c r="B20" s="28" t="str">
        <f t="shared" si="16"/>
        <v>BoxQty</v>
      </c>
      <c r="C20" s="28" t="str">
        <f t="shared" si="17"/>
        <v>Box Qty</v>
      </c>
      <c r="D20" s="28" t="str">
        <f t="shared" si="18"/>
        <v>boxQty</v>
      </c>
      <c r="E20" s="28" t="str">
        <f>A.Backend!H14</f>
        <v>int?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this.l('Box Qty'),headerTooltip: this.l('Box Qty'),field: 'boxQty',flex: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boxQty</v>
      </c>
      <c r="T20" s="28" t="str">
        <f t="shared" si="14"/>
        <v xml:space="preserve">			this.boxQty,</v>
      </c>
      <c r="U20" s="28" t="str">
        <f t="shared" si="15"/>
        <v xml:space="preserve">		this.boxQty = '',</v>
      </c>
      <c r="V20" s="28" t="str">
        <f t="shared" si="8"/>
        <v/>
      </c>
    </row>
    <row r="21" spans="1:22" ht="18" customHeight="1" x14ac:dyDescent="0.3">
      <c r="A21" t="s">
        <v>364</v>
      </c>
      <c r="B21" s="28" t="str">
        <f t="shared" si="16"/>
        <v>PartCode</v>
      </c>
      <c r="C21" s="28" t="str">
        <f t="shared" si="17"/>
        <v>Part Code</v>
      </c>
      <c r="D21" s="28" t="str">
        <f t="shared" si="18"/>
        <v>partCode</v>
      </c>
      <c r="E21" s="28" t="str">
        <f>A.Backend!H15</f>
        <v>string</v>
      </c>
      <c r="F21" s="28" t="str">
        <f>A.Backend!G15</f>
        <v>60</v>
      </c>
      <c r="G21" s="28" t="str">
        <f t="shared" si="3"/>
        <v xml:space="preserve"> : string = '' ; </v>
      </c>
      <c r="H21" s="35" t="str">
        <f t="shared" si="4"/>
        <v xml:space="preserve">			{headerName: this.l('Part Code'),headerTooltip: this.l('Part Code'),field: 'partCode',flex: 1},</v>
      </c>
      <c r="I21" s="35" t="str">
        <f t="shared" si="5"/>
        <v xml:space="preserve">								&lt;div class='input-search'&gt;
									&lt;input [(ngModel)]='partCode' name='partCode'
									class='form-control' [placeholder]="l('Part Code')"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title'&gt;Part Code&lt;/label&gt;
						&lt;input type='text' class='col-md-10 form-control input-text' name='PartCode' [(ngModel)]='rowdata.partCode'&gt;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partCode : string = '' ; </v>
      </c>
      <c r="T21" s="28" t="str">
        <f t="shared" si="14"/>
        <v xml:space="preserve">			this.partCode,</v>
      </c>
      <c r="U21" s="28" t="str">
        <f t="shared" si="15"/>
        <v xml:space="preserve">		this.partCode = '',</v>
      </c>
      <c r="V21" s="28" t="str">
        <f t="shared" si="8"/>
        <v/>
      </c>
    </row>
    <row r="22" spans="1:22" ht="18" customHeight="1" x14ac:dyDescent="0.3">
      <c r="A22" t="s">
        <v>365</v>
      </c>
      <c r="B22" s="28" t="str">
        <f>SUBSTITUTE(PROPER(A22),"_","")</f>
        <v>PartSpec</v>
      </c>
      <c r="C22" s="28" t="str">
        <f>SUBSTITUTE(PROPER(A22),"_"," ")</f>
        <v>Part Spec</v>
      </c>
      <c r="D22" s="28" t="str">
        <f>LOWER(LEFT(B22,1))&amp;RIGHT(B22,LEN(B22) - 1)</f>
        <v>partSpec</v>
      </c>
      <c r="E22" s="28" t="e">
        <f>A.Backend!#REF!</f>
        <v>#REF!</v>
      </c>
      <c r="F22" s="28" t="e">
        <f>A.Backend!#REF!</f>
        <v>#REF!</v>
      </c>
      <c r="G22" s="28" t="e">
        <f t="shared" si="3"/>
        <v>#REF!</v>
      </c>
      <c r="H22" s="35" t="e">
        <f t="shared" si="4"/>
        <v>#REF!</v>
      </c>
      <c r="I22" s="35" t="e">
        <f t="shared" si="5"/>
        <v>#REF!</v>
      </c>
      <c r="J22" s="28"/>
      <c r="K22" s="35" t="e">
        <f t="shared" si="6"/>
        <v>#REF!</v>
      </c>
      <c r="L22" s="56" t="e">
        <f>IF(E22="DateTime",
REPT(CHAR(9),2)&amp;"const dateValue =  this.rowdata."&amp;D22&amp;" ? new Date(this.rowdata."&amp;D22&amp;"?.toString()) : new Date();
"&amp;REPT(CHAR(9),2)&amp;"this.datepicker?.bsValueChange.emit(dateValue);","")</f>
        <v>#REF!</v>
      </c>
      <c r="M22" s="28"/>
      <c r="N22" s="28"/>
      <c r="O22" s="28"/>
      <c r="P22" s="28"/>
      <c r="Q22" s="28"/>
      <c r="R22" s="28"/>
      <c r="S22" s="28" t="e">
        <f t="shared" si="13"/>
        <v>#REF!</v>
      </c>
      <c r="T22" s="28" t="str">
        <f t="shared" si="14"/>
        <v xml:space="preserve">			this.partSpec,</v>
      </c>
      <c r="U22" s="28" t="e">
        <f t="shared" si="15"/>
        <v>#REF!</v>
      </c>
      <c r="V22" s="28" t="e">
        <f t="shared" si="8"/>
        <v>#REF!</v>
      </c>
    </row>
    <row r="23" spans="1:22" ht="15" customHeight="1" x14ac:dyDescent="0.3">
      <c r="A23" t="s">
        <v>366</v>
      </c>
      <c r="B23" s="28" t="str">
        <f t="shared" ref="B23:B26" si="20">SUBSTITUTE(PROPER(A23),"_","")</f>
        <v>PartSize</v>
      </c>
      <c r="C23" s="28" t="str">
        <f t="shared" ref="C23:C26" si="21">SUBSTITUTE(PROPER(A23),"_"," ")</f>
        <v>Part Size</v>
      </c>
      <c r="D23" s="28" t="str">
        <f t="shared" ref="D23:D26" si="22">LOWER(LEFT(B23,1))&amp;RIGHT(B23,LEN(B23) - 1)</f>
        <v>partSize</v>
      </c>
      <c r="E23" s="28" t="e">
        <f>A.Backend!#REF!</f>
        <v>#REF!</v>
      </c>
      <c r="F23" s="28" t="e">
        <f>A.Backend!#REF!</f>
        <v>#REF!</v>
      </c>
      <c r="G23" s="28" t="e">
        <f t="shared" si="3"/>
        <v>#REF!</v>
      </c>
      <c r="H23" s="35" t="e">
        <f t="shared" si="4"/>
        <v>#REF!</v>
      </c>
      <c r="I23" s="35" t="e">
        <f t="shared" si="5"/>
        <v>#REF!</v>
      </c>
      <c r="J23" s="28"/>
      <c r="K23" s="35" t="e">
        <f t="shared" si="6"/>
        <v>#REF!</v>
      </c>
      <c r="L23" s="56" t="e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>#REF!</v>
      </c>
      <c r="M23" s="28"/>
      <c r="N23" s="28"/>
      <c r="O23" s="28"/>
      <c r="P23" s="28"/>
      <c r="Q23" s="28"/>
      <c r="R23" s="28"/>
      <c r="S23" s="28" t="e">
        <f t="shared" si="13"/>
        <v>#REF!</v>
      </c>
      <c r="T23" s="28" t="str">
        <f t="shared" si="14"/>
        <v xml:space="preserve">			this.partSize,</v>
      </c>
      <c r="U23" s="28" t="e">
        <f t="shared" si="15"/>
        <v>#REF!</v>
      </c>
      <c r="V23" s="28" t="e">
        <f t="shared" si="8"/>
        <v>#REF!</v>
      </c>
    </row>
    <row r="24" spans="1:22" ht="18" customHeight="1" x14ac:dyDescent="0.3">
      <c r="A24" t="s">
        <v>367</v>
      </c>
      <c r="B24" s="28" t="str">
        <f t="shared" si="20"/>
        <v>FirstDayProduct</v>
      </c>
      <c r="C24" s="28" t="str">
        <f t="shared" si="21"/>
        <v>First Day Product</v>
      </c>
      <c r="D24" s="28" t="str">
        <f t="shared" si="22"/>
        <v>firstDayProduct</v>
      </c>
      <c r="E24" s="28" t="str">
        <f>A.Backend!H16</f>
        <v>DateTime?</v>
      </c>
      <c r="F24" s="28" t="str">
        <f>A.Backend!G16</f>
        <v/>
      </c>
      <c r="G24" s="28" t="str">
        <f t="shared" si="3"/>
        <v/>
      </c>
      <c r="H24" s="35" t="str">
        <f t="shared" si="4"/>
        <v xml:space="preserve">			{headerName: this.l('First Day Product'),headerTooltip: this.l('First Day Product'),field: 'firstDayProduct',flex: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firstDayProduct</v>
      </c>
      <c r="T24" s="28" t="str">
        <f t="shared" si="14"/>
        <v xml:space="preserve">			this.firstDayProduct,</v>
      </c>
      <c r="U24" s="28" t="str">
        <f t="shared" si="15"/>
        <v xml:space="preserve">		this.firstDayProduct = '',</v>
      </c>
      <c r="V24" s="28" t="str">
        <f t="shared" si="8"/>
        <v/>
      </c>
    </row>
    <row r="25" spans="1:22" ht="15" customHeight="1" x14ac:dyDescent="0.3">
      <c r="A25" t="s">
        <v>368</v>
      </c>
      <c r="B25" s="28" t="str">
        <f t="shared" si="20"/>
        <v>LastDayProduct</v>
      </c>
      <c r="C25" s="28" t="str">
        <f t="shared" si="21"/>
        <v>Last Day Product</v>
      </c>
      <c r="D25" s="28" t="str">
        <f t="shared" si="22"/>
        <v>lastDayProduct</v>
      </c>
      <c r="E25" s="28" t="str">
        <f>A.Backend!H17</f>
        <v>DateTime?</v>
      </c>
      <c r="F25" s="28" t="str">
        <f>A.Backend!G17</f>
        <v/>
      </c>
      <c r="G25" s="28" t="str">
        <f t="shared" si="3"/>
        <v/>
      </c>
      <c r="H25" s="35" t="str">
        <f t="shared" si="4"/>
        <v xml:space="preserve">			{headerName: this.l('Last Day Product'),headerTooltip: this.l('Last Day Product'),field: 'lastDayProduct',flex: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lastDayProduct</v>
      </c>
      <c r="T25" s="28" t="str">
        <f t="shared" si="14"/>
        <v xml:space="preserve">			this.lastDayProduct,</v>
      </c>
      <c r="U25" s="28" t="str">
        <f t="shared" si="15"/>
        <v xml:space="preserve">		this.lastDayProduct = '',</v>
      </c>
      <c r="V25" s="28" t="str">
        <f t="shared" si="8"/>
        <v/>
      </c>
    </row>
    <row r="26" spans="1:22" ht="18" customHeight="1" x14ac:dyDescent="0.3">
      <c r="A26" t="s">
        <v>369</v>
      </c>
      <c r="B26" s="28" t="str">
        <f t="shared" si="20"/>
        <v>Sourcing</v>
      </c>
      <c r="C26" s="28" t="str">
        <f t="shared" si="21"/>
        <v>Sourcing</v>
      </c>
      <c r="D26" s="28" t="str">
        <f t="shared" si="22"/>
        <v>sourcing</v>
      </c>
      <c r="E26" s="28" t="str">
        <f>A.Backend!H18</f>
        <v>string</v>
      </c>
      <c r="F26" s="28" t="str">
        <f>A.Backend!G18</f>
        <v>40</v>
      </c>
      <c r="G26" s="28" t="str">
        <f t="shared" si="3"/>
        <v xml:space="preserve"> : string = '' ; </v>
      </c>
      <c r="H26" s="35" t="str">
        <f t="shared" si="4"/>
        <v xml:space="preserve">			{headerName: this.l('Sourcing'),headerTooltip: this.l('Sourcing'),field: 'sourcing',flex: 1},</v>
      </c>
      <c r="I26" s="35" t="str">
        <f t="shared" si="5"/>
        <v xml:space="preserve">								&lt;div class='input-search'&gt;
									&lt;input [(ngModel)]='sourcing' name='sourcing'
									class='form-control' [placeholder]="l('Sourcing')"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title'&gt;Sourcing&lt;/label&gt;
						&lt;input type='text' class='col-md-10 form-control input-text' name='Sourcing' [(ngModel)]='rowdata.sourcing'&gt;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sourcing : string = '' ; </v>
      </c>
      <c r="T26" s="28" t="str">
        <f t="shared" si="14"/>
        <v xml:space="preserve">			this.sourcing,</v>
      </c>
      <c r="U26" s="28" t="str">
        <f t="shared" si="15"/>
        <v xml:space="preserve">		this.sourcing = '',</v>
      </c>
      <c r="V26" s="28" t="str">
        <f t="shared" si="8"/>
        <v/>
      </c>
    </row>
    <row r="27" spans="1:22" ht="18" customHeight="1" x14ac:dyDescent="0.3">
      <c r="A27" t="s">
        <v>370</v>
      </c>
      <c r="B27" s="28" t="str">
        <f>SUBSTITUTE(PROPER(A27),"_","")</f>
        <v>Cutting</v>
      </c>
      <c r="C27" s="28" t="str">
        <f>SUBSTITUTE(PROPER(A27),"_"," ")</f>
        <v>Cutting</v>
      </c>
      <c r="D27" s="28" t="str">
        <f>LOWER(LEFT(B27,1))&amp;RIGHT(B27,LEN(B27) - 1)</f>
        <v>cutting</v>
      </c>
      <c r="E27" s="28" t="str">
        <f>A.Backend!H19</f>
        <v>string</v>
      </c>
      <c r="F27" s="28" t="str">
        <f>A.Backend!G19</f>
        <v>40</v>
      </c>
      <c r="G27" s="28" t="str">
        <f t="shared" si="3"/>
        <v xml:space="preserve"> : string = '' ; </v>
      </c>
      <c r="H27" s="35" t="str">
        <f t="shared" si="4"/>
        <v xml:space="preserve">			{headerName: this.l('Cutting'),headerTooltip: this.l('Cutting'),field: 'cutting',flex: 1},</v>
      </c>
      <c r="I27" s="35" t="str">
        <f t="shared" si="5"/>
        <v xml:space="preserve">								&lt;div class='input-search'&gt;
									&lt;input [(ngModel)]='cutting' name='cutting'
									class='form-control' [placeholder]="l('Cutting')"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title'&gt;Cutting&lt;/label&gt;
						&lt;input type='text' class='col-md-10 form-control input-text' name='Cutting' [(ngModel)]='rowdata.cutting'&gt;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cutting : string = '' ; </v>
      </c>
      <c r="T27" s="28" t="str">
        <f t="shared" si="14"/>
        <v xml:space="preserve">			this.cutting,</v>
      </c>
      <c r="U27" s="28" t="str">
        <f t="shared" si="15"/>
        <v xml:space="preserve">		this.cutting = '',</v>
      </c>
      <c r="V27" s="28" t="str">
        <f t="shared" si="8"/>
        <v/>
      </c>
    </row>
    <row r="28" spans="1:22" ht="15" customHeight="1" x14ac:dyDescent="0.3">
      <c r="A28" t="s">
        <v>371</v>
      </c>
      <c r="B28" s="28" t="str">
        <f t="shared" ref="B28:B30" si="24">SUBSTITUTE(PROPER(A28),"_","")</f>
        <v>Packing</v>
      </c>
      <c r="C28" s="28" t="str">
        <f t="shared" ref="C28:C30" si="25">SUBSTITUTE(PROPER(A28),"_"," ")</f>
        <v>Packing</v>
      </c>
      <c r="D28" s="28" t="str">
        <f t="shared" ref="D28:D30" si="26">LOWER(LEFT(B28,1))&amp;RIGHT(B28,LEN(B28) - 1)</f>
        <v>packing</v>
      </c>
      <c r="E28" s="28" t="str">
        <f>A.Backend!H20</f>
        <v>int?</v>
      </c>
      <c r="F28" s="28" t="str">
        <f>A.Backend!G20</f>
        <v/>
      </c>
      <c r="G28" s="28" t="str">
        <f t="shared" si="3"/>
        <v/>
      </c>
      <c r="H28" s="35" t="str">
        <f t="shared" si="4"/>
        <v xml:space="preserve">			{headerName: this.l('Packing'),headerTooltip: this.l('Packing'),field: 'packing',flex: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packing</v>
      </c>
      <c r="T28" s="28" t="str">
        <f t="shared" si="14"/>
        <v xml:space="preserve">			this.packing,</v>
      </c>
      <c r="U28" s="28" t="str">
        <f t="shared" si="15"/>
        <v xml:space="preserve">		this.packing = '',</v>
      </c>
      <c r="V28" s="28" t="str">
        <f t="shared" si="8"/>
        <v/>
      </c>
    </row>
    <row r="29" spans="1:22" ht="18" customHeight="1" x14ac:dyDescent="0.3">
      <c r="A29" t="s">
        <v>372</v>
      </c>
      <c r="B29" s="28" t="str">
        <f t="shared" si="24"/>
        <v>SheetWeight</v>
      </c>
      <c r="C29" s="28" t="str">
        <f t="shared" si="25"/>
        <v>Sheet Weight</v>
      </c>
      <c r="D29" s="28" t="str">
        <f t="shared" si="26"/>
        <v>sheetWeight</v>
      </c>
      <c r="E29" s="28" t="str">
        <f>A.Backend!H21</f>
        <v>decimal?</v>
      </c>
      <c r="F29" s="28" t="str">
        <f>A.Backend!G21</f>
        <v>18,2</v>
      </c>
      <c r="G29" s="28" t="str">
        <f t="shared" si="3"/>
        <v/>
      </c>
      <c r="H29" s="35" t="str">
        <f t="shared" si="4"/>
        <v xml:space="preserve">			{headerName: this.l('Sheet Weight'),headerTooltip: this.l('Sheet Weight'),field: 'sheetWeight',flex: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sheetWeight</v>
      </c>
      <c r="T29" s="28" t="str">
        <f t="shared" si="14"/>
        <v xml:space="preserve">			this.sheetWeight,</v>
      </c>
      <c r="U29" s="28" t="str">
        <f t="shared" si="15"/>
        <v xml:space="preserve">		this.sheetWeight = '',</v>
      </c>
      <c r="V29" s="28" t="str">
        <f t="shared" si="8"/>
        <v/>
      </c>
    </row>
    <row r="30" spans="1:22" ht="15" customHeight="1" x14ac:dyDescent="0.3">
      <c r="A30" t="s">
        <v>373</v>
      </c>
      <c r="B30" s="28" t="str">
        <f t="shared" si="24"/>
        <v>YiledRation</v>
      </c>
      <c r="C30" s="28" t="str">
        <f t="shared" si="25"/>
        <v>Yiled Ration</v>
      </c>
      <c r="D30" s="28" t="str">
        <f t="shared" si="26"/>
        <v>yiledRation</v>
      </c>
      <c r="E30" s="28" t="str">
        <f>A.Backend!H22</f>
        <v>decimal?</v>
      </c>
      <c r="F30" s="28" t="str">
        <f>A.Backend!G22</f>
        <v>18,2</v>
      </c>
      <c r="G30" s="28" t="str">
        <f t="shared" si="3"/>
        <v/>
      </c>
      <c r="H30" s="35" t="str">
        <f t="shared" si="4"/>
        <v xml:space="preserve">			{headerName: this.l('Yiled Ration'),headerTooltip: this.l('Yiled Ration'),field: 'yiledRation',flex: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yiledRation</v>
      </c>
      <c r="T30" s="28" t="str">
        <f t="shared" si="14"/>
        <v xml:space="preserve">			this.yiledRation,</v>
      </c>
      <c r="U30" s="28" t="str">
        <f t="shared" si="15"/>
        <v xml:space="preserve">		this.yiledRation = '',</v>
      </c>
      <c r="V30" s="28" t="str">
        <f t="shared" si="8"/>
        <v/>
      </c>
    </row>
    <row r="32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353</v>
      </c>
    </row>
    <row r="7" spans="1:2" x14ac:dyDescent="0.3">
      <c r="A7" t="s">
        <v>24</v>
      </c>
      <c r="B7" t="s">
        <v>348</v>
      </c>
    </row>
    <row r="8" spans="1:2" x14ac:dyDescent="0.3">
      <c r="A8" t="s">
        <v>4</v>
      </c>
      <c r="B8" t="s">
        <v>348</v>
      </c>
    </row>
    <row r="9" spans="1:2" x14ac:dyDescent="0.3">
      <c r="A9" t="s">
        <v>0</v>
      </c>
      <c r="B9" t="s">
        <v>349</v>
      </c>
    </row>
    <row r="10" spans="1:2" x14ac:dyDescent="0.3">
      <c r="A10" t="s">
        <v>25</v>
      </c>
      <c r="B10" t="s">
        <v>352</v>
      </c>
    </row>
    <row r="11" spans="1:2" x14ac:dyDescent="0.3">
      <c r="A11" t="s">
        <v>26</v>
      </c>
      <c r="B11" t="s">
        <v>352</v>
      </c>
    </row>
    <row r="12" spans="1:2" x14ac:dyDescent="0.3">
      <c r="A12" t="s">
        <v>27</v>
      </c>
      <c r="B12" t="s">
        <v>352</v>
      </c>
    </row>
    <row r="13" spans="1:2" x14ac:dyDescent="0.3">
      <c r="A13" t="s">
        <v>28</v>
      </c>
      <c r="B13" t="s">
        <v>352</v>
      </c>
    </row>
    <row r="14" spans="1:2" x14ac:dyDescent="0.3">
      <c r="A14" t="s">
        <v>29</v>
      </c>
      <c r="B14" t="s">
        <v>352</v>
      </c>
    </row>
    <row r="15" spans="1:2" x14ac:dyDescent="0.3">
      <c r="A15" t="s">
        <v>30</v>
      </c>
      <c r="B15" t="s">
        <v>352</v>
      </c>
    </row>
    <row r="16" spans="1:2" x14ac:dyDescent="0.3">
      <c r="A16" t="s">
        <v>31</v>
      </c>
      <c r="B16" t="s">
        <v>350</v>
      </c>
    </row>
    <row r="17" spans="1:2" x14ac:dyDescent="0.3">
      <c r="A17" t="s">
        <v>3</v>
      </c>
      <c r="B17" t="s">
        <v>350</v>
      </c>
    </row>
    <row r="18" spans="1:2" x14ac:dyDescent="0.3">
      <c r="A18" t="s">
        <v>33</v>
      </c>
      <c r="B18" t="s">
        <v>350</v>
      </c>
    </row>
    <row r="19" spans="1:2" x14ac:dyDescent="0.3">
      <c r="A19" t="s">
        <v>2</v>
      </c>
      <c r="B19" t="s">
        <v>350</v>
      </c>
    </row>
    <row r="20" spans="1:2" x14ac:dyDescent="0.3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2023-07-13T09:16:10Z</dcterms:modified>
</cp:coreProperties>
</file>
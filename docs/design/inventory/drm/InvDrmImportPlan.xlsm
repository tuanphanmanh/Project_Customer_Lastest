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inventory\drm\"/>
    </mc:Choice>
  </mc:AlternateContent>
  <bookViews>
    <workbookView xWindow="-120" yWindow="-120" windowWidth="19440" windowHeight="15000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5" l="1"/>
  <c r="D16" i="5" s="1"/>
  <c r="C16" i="5"/>
  <c r="E16" i="5"/>
  <c r="F16" i="5"/>
  <c r="G16" i="5"/>
  <c r="B17" i="5"/>
  <c r="C17" i="5"/>
  <c r="D17" i="5"/>
  <c r="E17" i="5"/>
  <c r="G17" i="5" s="1"/>
  <c r="F17" i="5"/>
  <c r="B18" i="5"/>
  <c r="D18" i="5" s="1"/>
  <c r="C18" i="5"/>
  <c r="E18" i="5"/>
  <c r="F18" i="5"/>
  <c r="G18" i="5"/>
  <c r="B19" i="5"/>
  <c r="C19" i="5"/>
  <c r="D19" i="5"/>
  <c r="E19" i="5"/>
  <c r="G19" i="5" s="1"/>
  <c r="F19" i="5"/>
  <c r="B20" i="5"/>
  <c r="D20" i="5" s="1"/>
  <c r="C20" i="5"/>
  <c r="E20" i="5"/>
  <c r="F20" i="5"/>
  <c r="G20" i="5"/>
  <c r="B21" i="5"/>
  <c r="C21" i="5"/>
  <c r="D21" i="5"/>
  <c r="E21" i="5"/>
  <c r="G21" i="5" s="1"/>
  <c r="F21" i="5"/>
  <c r="B22" i="5"/>
  <c r="D22" i="5" s="1"/>
  <c r="C22" i="5"/>
  <c r="E22" i="5"/>
  <c r="F22" i="5"/>
  <c r="G22" i="5"/>
  <c r="B23" i="5"/>
  <c r="C23" i="5"/>
  <c r="D23" i="5"/>
  <c r="E23" i="5"/>
  <c r="G23" i="5" s="1"/>
  <c r="F23" i="5"/>
  <c r="B24" i="5"/>
  <c r="D24" i="5" s="1"/>
  <c r="C24" i="5"/>
  <c r="E24" i="5"/>
  <c r="F24" i="5"/>
  <c r="G24" i="5"/>
  <c r="B25" i="5"/>
  <c r="C25" i="5"/>
  <c r="D25" i="5"/>
  <c r="E25" i="5"/>
  <c r="I25" i="5" s="1"/>
  <c r="F25" i="5"/>
  <c r="B26" i="5"/>
  <c r="D26" i="5" s="1"/>
  <c r="T26" i="5" s="1"/>
  <c r="C26" i="5"/>
  <c r="E26" i="5"/>
  <c r="F26" i="5"/>
  <c r="V26" i="5" s="1"/>
  <c r="G26" i="5"/>
  <c r="B27" i="5"/>
  <c r="C27" i="5"/>
  <c r="D27" i="5"/>
  <c r="E27" i="5"/>
  <c r="G27" i="5" s="1"/>
  <c r="F27" i="5"/>
  <c r="B28" i="5"/>
  <c r="D28" i="5" s="1"/>
  <c r="C28" i="5"/>
  <c r="E28" i="5"/>
  <c r="I28" i="5" s="1"/>
  <c r="F28" i="5"/>
  <c r="G28" i="5"/>
  <c r="K25" i="5"/>
  <c r="T22" i="1"/>
  <c r="P22" i="1"/>
  <c r="L22" i="1"/>
  <c r="H22" i="1"/>
  <c r="W22" i="1" s="1"/>
  <c r="G22" i="1"/>
  <c r="E22" i="1"/>
  <c r="D22" i="1"/>
  <c r="V22" i="1" s="1"/>
  <c r="L21" i="1"/>
  <c r="G21" i="1"/>
  <c r="E21" i="1"/>
  <c r="H21" i="1" s="1"/>
  <c r="D21" i="1"/>
  <c r="T21" i="1" s="1"/>
  <c r="L19" i="1"/>
  <c r="G19" i="1"/>
  <c r="E19" i="1"/>
  <c r="H19" i="1" s="1"/>
  <c r="D19" i="1"/>
  <c r="V19" i="1" s="1"/>
  <c r="L18" i="1"/>
  <c r="G18" i="1"/>
  <c r="E18" i="1"/>
  <c r="H18" i="1" s="1"/>
  <c r="D18" i="1"/>
  <c r="V18" i="1" s="1"/>
  <c r="L17" i="1"/>
  <c r="G17" i="1"/>
  <c r="E17" i="1"/>
  <c r="H17" i="1" s="1"/>
  <c r="D17" i="1"/>
  <c r="V17" i="1" s="1"/>
  <c r="I23" i="5" l="1"/>
  <c r="L23" i="5"/>
  <c r="G25" i="5"/>
  <c r="V28" i="5"/>
  <c r="S28" i="5"/>
  <c r="L28" i="5"/>
  <c r="T28" i="5"/>
  <c r="U28" i="5"/>
  <c r="K28" i="5"/>
  <c r="H28" i="5"/>
  <c r="V24" i="5"/>
  <c r="L25" i="5"/>
  <c r="H23" i="5"/>
  <c r="T25" i="5"/>
  <c r="S25" i="5"/>
  <c r="U25" i="5"/>
  <c r="T23" i="5"/>
  <c r="S23" i="5"/>
  <c r="U23" i="5"/>
  <c r="S24" i="5"/>
  <c r="H25" i="5"/>
  <c r="T24" i="5"/>
  <c r="K23" i="5"/>
  <c r="H24" i="5"/>
  <c r="H26" i="5"/>
  <c r="V23" i="5"/>
  <c r="I24" i="5"/>
  <c r="V25" i="5"/>
  <c r="I26" i="5"/>
  <c r="K24" i="5"/>
  <c r="U24" i="5"/>
  <c r="K26" i="5"/>
  <c r="U26" i="5"/>
  <c r="L24" i="5"/>
  <c r="S26" i="5"/>
  <c r="L26" i="5"/>
  <c r="M22" i="1"/>
  <c r="I22" i="1"/>
  <c r="N22" i="1"/>
  <c r="J22" i="1"/>
  <c r="O22" i="1"/>
  <c r="M21" i="1"/>
  <c r="N21" i="1"/>
  <c r="I21" i="1"/>
  <c r="W21" i="1"/>
  <c r="O21" i="1"/>
  <c r="J21" i="1"/>
  <c r="P21" i="1"/>
  <c r="V21" i="1"/>
  <c r="W19" i="1"/>
  <c r="O19" i="1"/>
  <c r="J19" i="1"/>
  <c r="N19" i="1"/>
  <c r="I19" i="1"/>
  <c r="M19" i="1"/>
  <c r="P19" i="1"/>
  <c r="T19" i="1"/>
  <c r="N18" i="1"/>
  <c r="I18" i="1"/>
  <c r="M18" i="1"/>
  <c r="W18" i="1"/>
  <c r="O18" i="1"/>
  <c r="J18" i="1"/>
  <c r="P18" i="1"/>
  <c r="T18" i="1"/>
  <c r="W17" i="1"/>
  <c r="N17" i="1"/>
  <c r="I17" i="1"/>
  <c r="M17" i="1"/>
  <c r="O17" i="1"/>
  <c r="J17" i="1"/>
  <c r="P17" i="1"/>
  <c r="T17" i="1"/>
  <c r="L20" i="1"/>
  <c r="G20" i="1"/>
  <c r="E20" i="1"/>
  <c r="H20" i="1" s="1"/>
  <c r="D20" i="1"/>
  <c r="V20" i="1" s="1"/>
  <c r="T20" i="1" l="1"/>
  <c r="W20" i="1"/>
  <c r="P20" i="1"/>
  <c r="M20" i="1"/>
  <c r="I20" i="1"/>
  <c r="N20" i="1"/>
  <c r="J20" i="1"/>
  <c r="O20" i="1"/>
  <c r="T27" i="5"/>
  <c r="T22" i="5"/>
  <c r="T21" i="5"/>
  <c r="T20" i="5"/>
  <c r="T19" i="5"/>
  <c r="T18" i="5"/>
  <c r="B7" i="5" l="1"/>
  <c r="B6" i="5"/>
  <c r="B2" i="5"/>
  <c r="B8" i="5" l="1"/>
  <c r="B3" i="5"/>
  <c r="L16" i="1"/>
  <c r="G16" i="1"/>
  <c r="E16" i="1"/>
  <c r="H16" i="1" s="1"/>
  <c r="D16" i="1"/>
  <c r="V16" i="1" s="1"/>
  <c r="L15" i="1"/>
  <c r="G15" i="1"/>
  <c r="E15" i="1"/>
  <c r="H15" i="1" s="1"/>
  <c r="D15" i="1"/>
  <c r="T15" i="1" s="1"/>
  <c r="L14" i="1"/>
  <c r="G14" i="1"/>
  <c r="E14" i="1"/>
  <c r="H14" i="1" s="1"/>
  <c r="D14" i="1"/>
  <c r="V14" i="1" s="1"/>
  <c r="L13" i="1"/>
  <c r="G13" i="1"/>
  <c r="E13" i="1"/>
  <c r="H13" i="1" s="1"/>
  <c r="D13" i="1"/>
  <c r="T13" i="1" s="1"/>
  <c r="L12" i="1"/>
  <c r="G12" i="1"/>
  <c r="E12" i="1"/>
  <c r="H12" i="1" s="1"/>
  <c r="D12" i="1"/>
  <c r="V12" i="1" s="1"/>
  <c r="H19" i="5" l="1"/>
  <c r="S19" i="5"/>
  <c r="U19" i="5"/>
  <c r="K19" i="5"/>
  <c r="I19" i="5"/>
  <c r="U21" i="5"/>
  <c r="K21" i="5"/>
  <c r="I21" i="5"/>
  <c r="H21" i="5"/>
  <c r="S21" i="5"/>
  <c r="H27" i="5"/>
  <c r="S27" i="5"/>
  <c r="U27" i="5"/>
  <c r="K27" i="5"/>
  <c r="I27" i="5"/>
  <c r="S18" i="5"/>
  <c r="U18" i="5"/>
  <c r="K18" i="5"/>
  <c r="I18" i="5"/>
  <c r="H18" i="5"/>
  <c r="I20" i="5"/>
  <c r="H20" i="5"/>
  <c r="S20" i="5"/>
  <c r="U20" i="5"/>
  <c r="K20" i="5"/>
  <c r="S22" i="5"/>
  <c r="U22" i="5"/>
  <c r="K22" i="5"/>
  <c r="I22" i="5"/>
  <c r="H22" i="5"/>
  <c r="L22" i="5"/>
  <c r="V22" i="5"/>
  <c r="L20" i="5"/>
  <c r="V20" i="5"/>
  <c r="V27" i="5"/>
  <c r="L27" i="5"/>
  <c r="I15" i="1"/>
  <c r="L21" i="5"/>
  <c r="V21" i="5"/>
  <c r="P12" i="1"/>
  <c r="P16" i="1"/>
  <c r="W12" i="1"/>
  <c r="M15" i="1"/>
  <c r="W16" i="1"/>
  <c r="O16" i="1"/>
  <c r="J16" i="1"/>
  <c r="N16" i="1"/>
  <c r="I16" i="1"/>
  <c r="M16" i="1"/>
  <c r="N15" i="1"/>
  <c r="V15" i="1"/>
  <c r="J15" i="1"/>
  <c r="O15" i="1"/>
  <c r="W15" i="1"/>
  <c r="T16" i="1"/>
  <c r="P15" i="1"/>
  <c r="P14" i="1"/>
  <c r="W14" i="1"/>
  <c r="O14" i="1"/>
  <c r="J14" i="1"/>
  <c r="N14" i="1"/>
  <c r="I14" i="1"/>
  <c r="M14" i="1"/>
  <c r="M13" i="1"/>
  <c r="N13" i="1"/>
  <c r="I13" i="1"/>
  <c r="W13" i="1"/>
  <c r="O13" i="1"/>
  <c r="J13" i="1"/>
  <c r="M12" i="1"/>
  <c r="T12" i="1"/>
  <c r="T14" i="1"/>
  <c r="V13" i="1"/>
  <c r="I12" i="1"/>
  <c r="N12" i="1"/>
  <c r="P13" i="1"/>
  <c r="J12" i="1"/>
  <c r="O12" i="1"/>
  <c r="T17" i="5"/>
  <c r="T16" i="5"/>
  <c r="B6" i="1" l="1"/>
  <c r="V19" i="5" l="1"/>
  <c r="L19" i="5"/>
  <c r="C15" i="5"/>
  <c r="B15" i="5"/>
  <c r="D15" i="5" s="1"/>
  <c r="T15" i="5" s="1"/>
  <c r="G11" i="1"/>
  <c r="E11" i="1"/>
  <c r="H11" i="1" s="1"/>
  <c r="D11" i="1"/>
  <c r="T11" i="1" s="1"/>
  <c r="U17" i="5" l="1"/>
  <c r="K17" i="5"/>
  <c r="I17" i="5"/>
  <c r="H17" i="5"/>
  <c r="S17" i="5"/>
  <c r="V18" i="5"/>
  <c r="L18" i="5"/>
  <c r="V17" i="5"/>
  <c r="L17" i="5"/>
  <c r="M11" i="1"/>
  <c r="L11" i="1"/>
  <c r="P11" i="1"/>
  <c r="I11" i="1"/>
  <c r="N11" i="1"/>
  <c r="V11" i="1"/>
  <c r="J11" i="1"/>
  <c r="O11" i="1"/>
  <c r="W11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E10" i="1"/>
  <c r="H10" i="1" s="1"/>
  <c r="D10" i="1"/>
  <c r="T10" i="1" s="1"/>
  <c r="K16" i="5" l="1"/>
  <c r="H16" i="5"/>
  <c r="U16" i="5"/>
  <c r="I16" i="5"/>
  <c r="S16" i="5"/>
  <c r="V16" i="5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4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24" i="1"/>
  <c r="T7" i="1" l="1"/>
  <c r="W24" i="1"/>
  <c r="G6" i="1" l="1"/>
  <c r="K13" i="5"/>
  <c r="L13" i="5"/>
  <c r="S13" i="5"/>
  <c r="H13" i="5"/>
  <c r="V13" i="5"/>
  <c r="I13" i="5"/>
  <c r="U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l="1"/>
  <c r="L10" i="1"/>
  <c r="C7" i="1"/>
  <c r="P24" i="1"/>
  <c r="O24" i="1"/>
  <c r="N24" i="1"/>
  <c r="I24" i="1"/>
  <c r="J24" i="1"/>
  <c r="Q7" i="1" l="1"/>
  <c r="M68" i="3" s="1"/>
  <c r="L7" i="1"/>
  <c r="G68" i="3" s="1"/>
  <c r="K68" i="3"/>
  <c r="J68" i="3"/>
  <c r="M24" i="1"/>
  <c r="K24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<sst xmlns="http://schemas.openxmlformats.org/spreadsheetml/2006/main" count="487" uniqueCount="380">
  <si>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</si>
  <si>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</si>
  <si>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</si>
  <si>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</si>
  <si>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</si>
  <si>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</si>
  <si>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</si>
  <si>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</si>
  <si>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</si>
  <si>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</si>
  <si>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</si>
  <si>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</si>
  <si>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</si>
  <si>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</si>
  <si>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</si>
  <si>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</si>
  <si>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</si>
  <si>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</si>
  <si>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</si>
  <si>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</si>
  <si>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</si>
  <si>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</si>
  <si>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</si>
  <si>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</si>
  <si>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</si>
  <si>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</si>
  <si>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</si>
  <si>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</si>
  <si>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</si>
  <si>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</si>
  <si>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</si>
  <si>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</si>
  <si>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</si>
  <si>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</si>
  <si>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</si>
  <si>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</si>
  <si>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</si>
  <si>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</si>
  <si>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</si>
  <si>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</si>
  <si>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</si>
  <si>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</si>
  <si>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</si>
  <si>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</si>
  <si>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</si>
  <si>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</si>
  <si>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</si>
  <si>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</si>
  <si>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</si>
  <si>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</si>
  <si>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</si>
  <si>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</si>
  <si>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</si>
  <si>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</si>
  <si>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</si>
  <si>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</si>
  <si>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</si>
  <si>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</si>
  <si>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</si>
  <si>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</si>
  <si>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</si>
  <si>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</si>
  <si>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</si>
  <si>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</si>
  <si>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</si>
  <si>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</si>
  <si>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</si>
  <si>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</si>
  <si>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</si>
  <si>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</si>
  <si>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</si>
  <si>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</si>
  <si>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</si>
  <si>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</si>
  <si>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</si>
  <si>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</si>
  <si>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</si>
  <si>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</si>
  <si>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</si>
  <si>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</si>
  <si>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</si>
  <si>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</si>
  <si>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</si>
  <si>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</si>
  <si>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</si>
  <si>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</si>
  <si>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</si>
  <si>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</si>
  <si>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</si>
  <si>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</si>
  <si>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</si>
  <si>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</si>
  <si>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</si>
  <si>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</si>
  <si>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</si>
  <si>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</si>
  <si>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</si>
  <si>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</si>
  <si>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</si>
  <si>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</si>
  <si>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</si>
  <si>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</si>
  <si>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</si>
  <si>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</si>
  <si>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</si>
  <si>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</si>
  <si>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</si>
  <si>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</si>
  <si>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</si>
  <si>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</si>
  <si>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</si>
  <si>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</si>
  <si>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</si>
  <si>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</si>
  <si>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</si>
  <si>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</si>
  <si>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</si>
  <si>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</si>
  <si>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</si>
  <si>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</si>
  <si>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</si>
  <si>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</si>
  <si>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</si>
  <si>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</si>
  <si>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</si>
  <si>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</si>
  <si>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</si>
  <si>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</si>
  <si>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</si>
  <si>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</si>
  <si>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</si>
  <si>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</si>
  <si>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</si>
  <si>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</si>
  <si>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</si>
  <si>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</si>
  <si>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</si>
  <si>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</si>
  <si>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</si>
  <si>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</si>
  <si>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</si>
  <si>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</si>
  <si>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</si>
  <si>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</si>
  <si>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</si>
  <si>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</si>
  <si>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</si>
  <si>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</si>
  <si>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</si>
  <si>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</si>
  <si>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</si>
  <si>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</si>
  <si>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</si>
  <si>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</si>
  <si>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</si>
  <si>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</si>
  <si>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</si>
  <si>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</si>
  <si>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</si>
  <si>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</si>
  <si>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</si>
  <si>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</si>
  <si>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</si>
  <si>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</si>
  <si>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</si>
  <si>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</si>
  <si>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</si>
  <si>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</si>
  <si>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</si>
  <si>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</si>
  <si>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</si>
  <si>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</si>
  <si>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</si>
  <si>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</si>
  <si>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</si>
  <si>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</si>
  <si>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</si>
  <si>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</si>
  <si>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</si>
  <si>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</si>
  <si>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</si>
  <si>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</si>
  <si>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</si>
  <si>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</si>
  <si>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</si>
  <si>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</si>
  <si>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</si>
  <si>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</si>
  <si>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</si>
  <si>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</si>
  <si>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</si>
  <si>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</si>
  <si>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</si>
  <si>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</si>
  <si>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</si>
  <si>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</si>
  <si>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</si>
  <si>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</si>
  <si>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</si>
  <si>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</si>
  <si>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</si>
  <si>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</si>
  <si>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</si>
  <si>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</si>
  <si>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</si>
  <si>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</si>
  <si>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</si>
  <si>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</si>
  <si>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</si>
  <si>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</si>
  <si>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</si>
  <si>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</si>
  <si>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</si>
  <si>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</si>
  <si>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</si>
  <si>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</si>
  <si>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</si>
  <si>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</si>
  <si>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</si>
  <si>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</si>
  <si>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</si>
  <si>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</si>
  <si>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</si>
  <si>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</si>
  <si>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</si>
  <si>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</si>
  <si>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</si>
  <si>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</si>
  <si>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</si>
  <si>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</si>
  <si>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</si>
  <si>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</si>
  <si>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</si>
  <si>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</si>
  <si>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</si>
  <si>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</si>
  <si>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</si>
  <si>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</si>
  <si>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</si>
  <si>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</si>
  <si>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</si>
  <si>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</si>
  <si>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</si>
  <si>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</si>
  <si>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</si>
  <si>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</si>
  <si>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</si>
  <si>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</si>
  <si>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</si>
  <si>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</si>
  <si>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</si>
  <si>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</si>
  <si>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</si>
  <si>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</si>
  <si>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</si>
  <si>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</si>
  <si>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</si>
  <si>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</si>
  <si>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</si>
  <si>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</si>
  <si>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</si>
  <si>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</si>
  <si>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</si>
  <si>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</si>
  <si>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</si>
  <si>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</si>
  <si>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</si>
  <si>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</si>
  <si>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</si>
  <si>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</si>
  <si>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</si>
  <si>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</si>
  <si>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</si>
  <si>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</si>
  <si>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</si>
  <si>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</si>
  <si>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</si>
  <si>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</si>
  <si>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</si>
  <si>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</si>
  <si>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</si>
  <si>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</si>
  <si>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</si>
  <si>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</si>
  <si>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</si>
  <si>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</si>
  <si>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</si>
  <si>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</si>
  <si>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</si>
  <si>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</si>
  <si>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</si>
  <si>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</si>
  <si>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</si>
  <si>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</si>
  <si>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</si>
  <si>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</si>
  <si>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</si>
  <si>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</si>
  <si>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</si>
  <si>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</si>
  <si>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</si>
  <si>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</si>
  <si>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</si>
  <si>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</si>
  <si>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</si>
  <si>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</si>
  <si>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</si>
  <si>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</si>
  <si>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</si>
  <si>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</si>
  <si>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</si>
  <si>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</si>
  <si>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</si>
  <si>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</si>
  <si>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</si>
  <si>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</si>
  <si>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</si>
  <si>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</si>
  <si>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</si>
  <si>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</si>
  <si>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</si>
  <si>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</si>
  <si>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</si>
  <si>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</si>
  <si>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</si>
  <si>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</si>
  <si>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</si>
  <si>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</si>
  <si>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</si>
  <si>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</si>
  <si>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</si>
  <si>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</si>
  <si>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</si>
  <si>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</si>
  <si>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</si>
  <si>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</si>
  <si>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</si>
  <si>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</si>
  <si>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</si>
  <si>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</si>
  <si>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</si>
  <si>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</si>
  <si>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</si>
  <si>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</si>
  <si>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</si>
  <si>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</si>
  <si>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</si>
  <si>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</si>
  <si>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</si>
  <si>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</si>
  <si>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</si>
  <si>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</si>
  <si>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</si>
  <si>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</si>
  <si>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INT</t>
  </si>
  <si>
    <t>Inventory.DRM</t>
  </si>
  <si>
    <t>PART_NO</t>
  </si>
  <si>
    <t>PART_NAME</t>
  </si>
  <si>
    <t>QTY</t>
  </si>
  <si>
    <t>DATETIME</t>
  </si>
  <si>
    <t>InvDrmImportPlan</t>
  </si>
  <si>
    <t>DrmImportPlan</t>
  </si>
  <si>
    <t>SUPPLIER_NO</t>
  </si>
  <si>
    <t>ETD</t>
  </si>
  <si>
    <t>ETA</t>
  </si>
  <si>
    <t>SHIPMENT_NO</t>
  </si>
  <si>
    <t>CFC</t>
  </si>
  <si>
    <t>PART_CODE</t>
  </si>
  <si>
    <t>PACKING_MONTH</t>
  </si>
  <si>
    <t>DELAY_ETD</t>
  </si>
  <si>
    <t>DELAY_ETA</t>
  </si>
  <si>
    <t>REMARK</t>
  </si>
  <si>
    <t>ATA</t>
  </si>
  <si>
    <t>NVARCHAR(10)</t>
  </si>
  <si>
    <t>NVARCHAR(4)</t>
  </si>
  <si>
    <t>NVARCHAR(60)</t>
  </si>
  <si>
    <t>NVARCHAR(300)</t>
  </si>
  <si>
    <t>NVARCHAR(12)</t>
  </si>
  <si>
    <t>NVARCHAR(1000)</t>
  </si>
  <si>
    <t xml:space="preserve">IMPORTED PART - DELIVERY PLAN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</si>
</sst>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Border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43" zoomScaleNormal="100" workbookViewId="0">
      <selection activeCell="E57" sqref="E57"/>
    </sheetView>
  </sheetViews>
  <sheetFormatPr defaultColWidth="8.7109375" defaultRowHeight="15" x14ac:dyDescent="0.25"/>
  <cols>
    <col min="1" max="1" width="3.42578125" customWidth="1"/>
    <col min="2" max="2" width="18.42578125" customWidth="1"/>
    <col min="3" max="5" width="26.28515625" customWidth="1"/>
    <col min="6" max="6" width="29.42578125" customWidth="1"/>
    <col min="7" max="10" width="26.28515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prod.Inventory.DRM
{
	[Table("InvDrmImportPlan")]
	public class InvDrmImportPlan: FullAuditedEntity&lt;long&gt;, IEntity&lt;long&gt;	
	{
		public const int MaxSupplierNoLength = 10;
		public const int MaxShipmentNoLength = 10;
		public const int MaxCfcLength = 4;
		public const int MaxPartCodeLength = 60;
		public const int MaxPartNoLength = 12;
		public const int MaxPartNameLength = 300;
		public const int MaxRemarkLength = 1000;
		[StringLength(MaxSupplierNoLength)]
		public virtual string SupplierNo { get; set; }
		public virtual DateTime? Etd { get; set; }
		public virtual DateTime? Eta { get; set; }
		[StringLength(MaxShipmentNoLength)]
		public virtual string ShipmentNo { get; set; }
		[StringLength(MaxCfcLength)]
		public virtual string Cfc { get; set; }
		[StringLength(MaxPartCodeLength)]
		public virtual string PartCode { get; set; }
		[StringLength(MaxPartNoLength)]
		public virtual string PartNo { get; set; }
		[StringLength(MaxPartNameLength)]
		public virtual string PartName { get; set; }
		public virtual int? Qty { get; set; }
		public virtual DateTime? PackingMonth { get; set; }
		public virtual DateTime? DelayEtd { get; set; }
		public virtual DateTime? DelayEta { get; set; }
		[StringLength(MaxRemarkLength)]
		public virtual string Remark { get; set; }
		public virtual DateTime? Ata { get; set; }
	}
}
</v>
      </c>
      <c r="D68" s="48" t="str">
        <f>A.Backend!O7</f>
        <v xml:space="preserve">		public const string Pages_Inventory_DRM_DrmImportPlan = "Pages.Inventory.DRM.DrmImportPlan";
		public const string Pages_Inventory_DRM_DrmImportPlan_CreateEdit = "Pages.Inventory.DRM.DrmImportPlan.CreateEdit";
		public const string Pages_Inventory_DRM_DrmImportPlan_Delete = "Pages.Inventory.DRM.DrmImportPlan.Delete";
</v>
      </c>
      <c r="E68" s="48" t="str">
        <f>A.Backend!N7</f>
        <v xml:space="preserve">		var perInvDrmImportPlan = PARENTS.CreateChildPermission(AppPermissions.Pages_Inventory_DRM_DrmImportPlan, L( "InventoryDRMDrmImportPlan"), multiTenancySides: MultiTenancySides.Tenant);
		perInvDrmImportPlan.CreateChildPermission(AppPermissions.Pages_Inventory_DRM_DrmImportPlan_CreateEdit, L( "InventoryDRMDrmImportPlanCreateEdit"), multiTenancySides: MultiTenancySides.Tenant);
		perInvDrmImportPlan.CreateChildPermission(AppPermissions.Pages_Inventory_DRM_DrmImportPlan_Delete, L( "InventoryDRMDrmImportPlanDelete"), multiTenancySides: MultiTenancySides.Tenant);</v>
      </c>
      <c r="F68" s="48" t="str">
        <f>A.Backend!K7</f>
        <v>public virtual DbSet&lt;InvDrmImportPlan&gt; InvDrmImportPlans { get; set; }</v>
      </c>
      <c r="G68" s="48" t="str">
        <f ca="1">A.Backend!L7</f>
        <v xml:space="preserve">namespace prod.Inventory.DRM
{
	public class InvDrmImportPlanConsts	
	{
		public const int MaxSupplierNoLength = 10;
		public const int MaxShipmentNoLength = 10;
		public const int MaxCfcLength = 4;
		public const int MaxPartCodeLength = 60;
		public const int MaxPartNoLength = 12;
		public const int MaxPartNameLength = 300;
		public const int MaxRemarkLength = 1000;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prod.Inventory.DRM.Dto
{
	public class InvDrmImportPlanDto : EntityDto&lt;long?&gt;	
	{
		public virtual string SupplierNo { get; set; }
		public virtual DateTime? Etd { get; set; }
		public virtual DateTime? Eta { get; set; }
		public virtual string ShipmentNo { get; set; }
		public virtual string Cfc { get; set; }
		public virtual string PartCode { get; set; }
		public virtual string PartNo { get; set; }
		public virtual string PartName { get; set; }
		public virtual int? Qty { get; set; }
		public virtual DateTime? PackingMonth { get; set; }
		public virtual DateTime? DelayEtd { get; set; }
		public virtual DateTime? DelayEta { get; set; }
		public virtual string Remark { get; set; }
		public virtual DateTime? Ata { get; set; }
	}
	public class CreateOrEditInvDrmImportPlanDto : EntityDto&lt;long?&gt;	
	{
		[StringLength(InvDrmImportPlanConsts.MaxSupplierNoLength)]
		public virtual string SupplierNo { get; set; }
		public virtual DateTime? Etd { get; set; }
		public virtual DateTime? Eta { get; set; }
		[StringLength(InvDrmImportPlanConsts.MaxShipmentNoLength)]
		public virtual string ShipmentNo { get; set; }
		[StringLength(InvDrmImportPlanConsts.MaxCfcLength)]
		public virtual string Cfc { get; set; }
		[StringLength(InvDrmImportPlanConsts.MaxPartCodeLength)]
		public virtual string PartCode { get; set; }
		[StringLength(InvDrmImportPlanConsts.MaxPartNoLength)]
		public virtual string PartNo { get; set; }
		[StringLength(InvDrmImportPlanConsts.MaxPartNameLength)]
		public virtual string PartName { get; set; }
		public virtual int? Qty { get; set; }
		public virtual DateTime? PackingMonth { get; set; }
		public virtual DateTime? DelayEtd { get; set; }
		public virtual DateTime? DelayEta { get; set; }
		[StringLength(InvDrmImportPlanConsts.MaxRemarkLength)]
		public virtual string Remark { get; set; }
		public virtual DateTime? Ata { get; set; }
	}
	public class GetInvDrmImportPlanInput : PagedAndSortedResultRequestDto	
	{
		public virtual string SupplierNo { get; set; }
		public virtual string ShipmentNo { get; set; }
		public virtual string Cfc { get; set; }
		public virtual string PartCode { get; set; }
		public virtual string PartNo { get; set; }
		public virtual string PartName { get; set; }
		public virtual string Remark { get; set; }
	}
}
</v>
      </c>
      <c r="I68" s="48" t="str">
        <f ca="1">A.Backend!R7</f>
        <v xml:space="preserve">using Abp.Application.Services.Dto;
using System;
using System.ComponentModel.DataAnnotations;
namespace prod.Inventory.DRM.Dto
{
	public class InvDrmImportPlanExportInput{
		public virtual string SupplierNo { get; set; }
		public virtual DateTime? Etd { get; set; }
		public virtual DateTime? Eta { get; set; }
		public virtual string ShipmentNo { get; set; }
		public virtual string Cfc { get; set; }
		public virtual string PartCode { get; set; }
		public virtual string PartNo { get; set; }
		public virtual string PartName { get; set; }
		public virtual int? Qty { get; set; }
		public virtual DateTime? PackingMonth { get; set; }
		public virtual DateTime? DelayEtd { get; set; }
		public virtual DateTime? DelayEta { get; set; }
		public virtual string Remark { get; set; }
		public virtual DateTime? Ata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vovina.Inventory.DRM.Dto;
namespace prod.Inventory.DRM
{
	public interface IInvDrmImportPlanAppService : IApplicationService
	{
		Task&lt;PagedResultDto&lt;InvDrmImportPlanDto&gt;&gt; GetAll(GetInvDrmImportPlanInput input);
		Task CreateOrEdit(CreateOrEditInvDrmImportPlanDto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vovina.Inventory.DRM.Dto;
namespace prod.Inventory.DRM.Exporting
{
	public interface IInvDrmImportPlanExcelExporter : IApplicationService
	{
		FileDto ExportToFile(List&lt;InvDrmImportPlanDto&gt; invdrmimportplan);
	}
}
</v>
      </c>
      <c r="L68" s="48" t="str">
        <f ca="1">A.Backend!T7</f>
        <v>using System.Collections.Generic;
using vovina.DataExporting.Excel.NPOI;
using vovina.Dto;
using vovina.Inventory.DRM.Exporting;
using vovina.Inventory.DRM.Dto;
using vovina.Storage;
using vovina.Inventory.DRM.Dto;
namespace vovina.Inventory.DRM.Exporting
{
    public class InvDrmImportPlanExcelExporter : NpoiExcelExporterBase, IInvDrmImportPlanExcelExporter
    {
        public InvDrmImportPlanExcelExporter(ITempFileCacheManager tempFileCacheManager) : base(tempFileCacheManager) { }
        public FileDto ExportToFile(List&lt;InvDrmImportPlanDto&gt; drmimportplan)
        {
            return CreateExcelPackage(
				"InventoryDRMDrmImportPlan.xlsx",
				excelPackage =&gt;
				 {
					var sheet = excelPackage.CreateSheet("DrmImportPlan");
					AddHeader(
								sheet,
								("SupplierNo"),
								("Etd"),
								("Eta"),
								("ShipmentNo"),
								("Cfc"),
								("PartCode"),
								("PartNo"),
								("PartName"),
								("Qty"),
								("PackingMonth"),
								("DelayEtd"),
								("DelayEta"),
								("Remark"),
								("Ata"),
							   );
					AddObjects(
						 sheet, 1, drmimportplan,                                       
								_ =&gt; _.SupplierNo,
								_ =&gt; _.Etd,
								_ =&gt; _.Eta,
								_ =&gt; _.ShipmentNo,
								_ =&gt; _.Cfc,
								_ =&gt; _.PartCode,
								_ =&gt; _.PartNo,
								_ =&gt; _.PartName,
								_ =&gt; _.Qty,
								_ =&gt; _.PackingMonth,
								_ =&gt; _.DelayEtd,
								_ =&gt; _.DelayEta,
								_ =&gt; _.Remark,
								_ =&gt; _.Ata,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vovina.Inventory.DRM.Dto;
using vovina.Inventory.DRM.Exporting;
namespace vovina.Inventory.DRM
{
    [AbpAuthorize(AppPermissions.Pages_Inventory_DRM_DrmImportPlan)]
    public class InvDrmImportPlanAppService : vovinaAppServiceBase, IInvDrmImportPlanAppService
    {
        private readonly IDapperRepository&lt;InvDrmImportPlan, long&gt; _dapperRepo;
        private readonly IRepository&lt;InvDrmImportPlan, long&gt; _repo;
        private readonly IInvDrmImportPlanExcelExporter _calendarListExcelExporter;
        public InvDrmImportPlanAppService(IRepository&lt;InvDrmImportPlan,long&gt; repo, 
                                         IDapperRepository&lt;InvDrmImportPlan,long&gt; dapperRepo,
                                        IInvDrmImportPlanExcelExporter calendarListExcelExporter
            )
        {
            _repo = repo;
            _dapperRepo = dapperRepo;
            _calendarListExcelExporter = calendarListExcelExporter;
        }
        [AbpAuthorize(AppPermissions.Pages_Inventory_DRM_DrmImportPlan_CreateEdit)]
        public async Task CreateOrEdit(CreateOrEditInvDrmImportPlanDto input)
        {
            if (input.Id == null) await Create(input);
            else await Update(input);
        }
        //CREATE
        private async Task Create(CreateOrEditInvDrmImportPlanDto input)
        {          
            var mainObj = ObjectMapper.Map&lt;InvDrmImportPlan&gt;(input);
            await CurrentUnitOfWork.GetDbContext&lt;vovinaDbContext&gt;().AddAsync(mainObj);
        }
        // EDIT
        private async Task Update(CreateOrEditInvDrmImportPlanDto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[AbpAuthorize(AppPermissions.Pages_Inventory_DRM_DrmImportPlan_Delete)]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Task&lt;PagedResultDto&lt;InvDrmImportPlanDto&gt;&gt; GetAll(GetInvDrmImportPlanInput input)
        {
            var filtered = _repo.GetAll()
				.WhereIf(!string.IsNullOrWhiteSpace(input.SupplierNo), e =&gt; e.SupplierNo.Contains(input.SupplierNo))
				.WhereIf(!string.IsNullOrWhiteSpace(input.ShipmentNo), e =&gt; e.ShipmentNo.Contains(input.ShipmentNo))
				.WhereIf(!string.IsNullOrWhiteSpace(input.Cfc), e =&gt; e.Cfc.Contains(input.Cfc))
				.WhereIf(!string.IsNullOrWhiteSpace(input.PartCode), e =&gt; e.PartCode.Contains(input.PartCode))
				.WhereIf(!string.IsNullOrWhiteSpace(input.PartNo), e =&gt; e.PartNo.Contains(input.PartNo))
				.WhereIf(!string.IsNullOrWhiteSpace(input.PartName), e =&gt; e.PartName.Contains(input.PartName))
				.WhereIf(!string.IsNullOrWhiteSpace(input.Remark), e =&gt; e.Remark.Contains(input.Remark))
				;
            var pageAndFiltered = filtered.OrderBy(s =&gt; s.Id);
            var system = from o in pageAndFiltered
                         select new InvDrmImportPlanDto
                        {
							Id = o.Id,
							SupplierNo = o.SupplierNo,
							Etd = o.Etd,
							Eta = o.Eta,
							ShipmentNo = o.ShipmentNo,
							Cfc = o.Cfc,
							PartCode = o.PartCode,
							PartNo = o.PartNo,
							PartName = o.PartName,
							Qty = o.Qty,
							PackingMonth = o.PackingMonth,
							DelayEtd = o.DelayEtd,
							DelayEta = o.DelayEta,
							Remark = o.Remark,
							Ata = o.Ata,
                        };
            var totalCount = await filtered.CountAsync();
			var paged = system.PageBy(input);
            return new PagedResultDto&lt;InvDrmImportPlanDto&gt;(
                totalCount,
                 await paged.ToListAsync()
            );
        }
        public async Task&lt;FileDto&gt; GetDrmImportPlanToExcel(InvDrmImportPlanExportInput input)
        {
            var query = from o in _repo.GetAll()
                        select new InvDrmImportPlanDto
                        {
							Id = o.Id,
							SupplierNo = o.SupplierNo,
							Etd = o.Etd,
							Eta = o.Eta,
							ShipmentNo = o.ShipmentNo,
							Cfc = o.Cfc,
							PartCode = o.PartCode,
							PartNo = o.PartNo,
							PartName = o.PartName,
							Qty = o.Qty,
							PackingMonth = o.PackingMonth,
							DelayEtd = o.DelayEtd,
							DelayEta = o.DelayEta,
							Remark = o.Remark,
							Ata = o.Ata,
                        };
            var exportToExcel = await query.ToListAsync();
            return _calendarListExcelExporter.ExportToFile(exportToExcel);
        }
       // public async Task GenerateAsync()
      //  {
        //    await _dapperRepo.ExecuteAsync(InvDrmImportPlanConsts.SP_MST_WPT_CALENDAR_GENERATE);
       // }
    }
}</v>
      </c>
      <c r="N68" s="58" t="str">
        <f>A.Backend!U7</f>
        <v xml:space="preserve">  configuration.CreateMap&lt;InvDrmImportPlanDto, InvDrmImportPlan&gt;();
  configuration.CreateMap&lt;InvDrmImportPlan, InvDrmImportPlanDto&gt;();
  configuration.CreateMap&lt;CreateOrEditInvDrmImportPlanDto, InvDrmImportPlan&gt;();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drmimportplan</v>
      </c>
      <c r="C73" s="66" t="str">
        <f>"create folder " &amp;B73</f>
        <v>create folder drmimportplan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drmimportplan.component.ts</v>
      </c>
      <c r="D74" s="28" t="str">
        <f>B.Frontend!I14</f>
        <v>drmimportplan.component.html</v>
      </c>
      <c r="E74" s="28" t="str">
        <f>B.Frontend!J14</f>
        <v>drmimportplan.component.less</v>
      </c>
      <c r="F74" s="28" t="str">
        <f>B.Frontend!K14</f>
        <v>create-or-edit-drmimportplan-modal.component.html</v>
      </c>
      <c r="G74" s="28" t="str">
        <f>B.Frontend!L14</f>
        <v>create-or-edit-drmimportplan-modal.component.ts</v>
      </c>
      <c r="H74" s="28" t="str">
        <f>B.Frontend!M14</f>
        <v>create-or-edit-drmimportplan-modal.component.less</v>
      </c>
      <c r="I74" s="28" t="str">
        <f>B.Frontend!N14</f>
        <v>drmimportplan.module.ts</v>
      </c>
      <c r="J74" s="28" t="str">
        <f>B.Frontend!O14</f>
        <v>drmimportplan-routing.module.ts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InvDrmImportPlanDto, InvDrmImportPlanServiceProxy } from '@shared/service-proxies/service-proxies';
import { finalize } from 'rxjs/internal/operators/finalize';
import { CreateOrEditDrmImportPlanModalComponent } from './create-or-edit-drmimportplan-modal.component';
import { DatePipe } from '@angular/common';
import { FileDownloadService } from '@shared/utils/file-download.service';
import ceil from 'lodash-es/ceil';
import { Paginator } from 'primeng/paginator';
@Component({
    templateUrl: './drmimportplan.component.html',
    styleUrls: ['./drmimportplan.component.less'],
})
export class DrmImportPlanComponent extends AppComponentBase implements OnInit {
    @ViewChild('createOrEditModalDrmImportPlan', { static: true }) createOrEditModalDrmImportPlan:| CreateOrEditDrmImportPlanModalComponent|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InvDrmImportPlanDto = new InvDrmImportPlanDto();
    saveSelectedRow: InvDrmImportPlanDto = new InvDrmImportPlanDto();
    datas: InvDrmImportPlanDto = new InvDrmImportPlanDto();
    isLoading: boolean = false;
    dataParams: GridParams | undefined;
    rowData: any[] = [];
    gridApi!: GridApi;
    rowSelection = 'multiple';
    filter: string = '';
	pipe = new DatePipe('en-US');
	frameworkComponents: FrameworkComponent;
    	supplierNo : string = '' ; 
	etd
	eta
	shipmentNo : string = '' ; 
	cfc : string = '' ; 
	partCode : string = '' ; 
	partNo : string = '' ; 
	partName : string = '' ; 
	qty
	packingMonth
	delayEtd
	delayEta
	remark : string = '' ; 
	ata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InvDrmImportPlanServiceProxy,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this.l('Supplier No'),headerTooltip: this.l('Supplier No'),field: 'supplierNo',flex: 1},
			{headerName: this.l('Etd'),headerTooltip: this.l('Etd'),field: 'etd',flex: 1},
			{headerName: this.l('Eta'),headerTooltip: this.l('Eta'),field: 'eta',flex: 1},
			{headerName: this.l('Shipment No'),headerTooltip: this.l('Shipment No'),field: 'shipmentNo',flex: 1},
			{headerName: this.l('Cfc'),headerTooltip: this.l('Cfc'),field: 'cfc',flex: 1},
			{headerName: this.l('Part Code'),headerTooltip: this.l('Part Code'),field: 'partCode',flex: 1},
			{headerName: this.l('Part No'),headerTooltip: this.l('Part No'),field: 'partNo',flex: 1},
			{headerName: this.l('Part Name'),headerTooltip: this.l('Part Name'),field: 'partName',flex: 1},
			{headerName: this.l('Qty'),headerTooltip: this.l('Qty'),field: 'qty',flex: 1},
			{headerName: this.l('Packing Month'),headerTooltip: this.l('Packing Month'),field: 'packingMonth',flex: 1},
			{headerName: this.l('Delay Etd'),headerTooltip: this.l('Delay Etd'),field: 'delayEtd',flex: 1},
			{headerName: this.l('Delay Eta'),headerTooltip: this.l('Delay Eta'),field: 'delayEta',flex: 1},
			{headerName: this.l('Remark'),headerTooltip: this.l('Remark'),field: 'remark',flex: 1},
			{headerName: this.l('Ata'),headerTooltip: this.l('Ata'),field: 'ata',flex: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this.supplierNo,
			this.etd,
			this.eta,
			this.shipmentNo,
			this.cfc,
			this.partCode,
			this.partNo,
			this.partName,
			this.qty,
			this.packingMonth,
			this.delayEtd,
			this.delayEta,
			this.remark,
			this.ata,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this.supplierNo = '',
		this.etd = '',
		this.eta = '',
		this.shipmentNo = '',
		this.cfc = '',
		this.partCode = '',
		this.partNo = '',
		this.partName = '',
		this.qty = '',
		this.packingMonth = '',
		this.delayEtd = '',
		this.delayEta = '',
		this.remark = '',
		this.ata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this.supplierNo,
			this.etd,
			this.eta,
			this.shipmentNo,
			this.cfc,
			this.partCode,
			this.partNo,
			this.partName,
			this.qty,
			this.packingMonth,
			this.delayEtd,
			this.delayEta,
			this.remark,
			this.ata,
			'',
            this.paginationParams.skipCount,
            this.paginationParams.pageSize
        );
    }
    onChangeRowSelection(params: { api: { getSelectedRows: () =&gt; InvDrmImportPlanDto[] } }) {
        this.saveSelectedRow = params.api.getSelectedRows()[0] ?? new InvDrmImportPlanDto();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InvDrmImportPlanDto):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this._service.getDrmImportPlanToExcel(
			this.supplierNo,
			this.etd,
			this.eta,
			this.shipmentNo,
			this.cfc,
			this.partCode,
			this.partNo,
			this.partName,
			this.qty,
			this.packingMonth,
			this.delayEtd,
			this.delayEta,
			this.remark,
			this.ata,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IMPORTED PART - DELIVERY PLAN
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[(ngModel)]='shipmentNo' name='shipmentNo'
									class='form-control' [placeholder]="l('Shipment No')"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[(ngModel)]='partCode' name='partCode'
									class='form-control' [placeholder]="l('Part Code')"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(click)="createOrEditModalDrmImportPlan.show()"&gt;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(click)="createOrEditModalDrmImportPlan.show(selectedRow)"&gt;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&lt;create-or-edit-drmimportplan-modal
    #createOrEditModalDrmImportPlan
    (modalSave)="callBackDataGrid(dataParams)"
    (modalClose)="onChangeRowSelection(dataParams)"
&gt;
&lt;/create-or-edit-drmimportplan-modal&gt;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#createOrEditModalDrmImportPlan="bs-modal"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DrmImportPlan')}}&lt;/h3&gt;
                    &lt;h3 *ngIf="!rowdata.id"&gt;{{('Create New DrmImportPlan')}}&lt;/h3&gt;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title'&gt;Shipment No&lt;/label&gt;
						&lt;input type='text' class='col-md-10 form-control input-text' name='ShipmentNo' [(ngModel)]='rowdata.shipmentNo'&gt;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title'&gt;Part Code&lt;/label&gt;
						&lt;input type='text' class='col-md-10 form-control input-text' name='PartCode' [(ngModel)]='rowdata.partCode'&gt;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CreateOrEditInvDrmImportPlanDto, InvDrmImportPlanServiceProxy } from '@shared/service-proxies/service-proxies';
import { BsDatepickerDirective } from 'ngx-bootstrap/datepicker';
@Component({
    selector: 'create-or-edit-drmimportplan-modal',
    templateUrl: './create-or-edit-drmimportplan-modal.component.html',
    styleUrls: ['./create-or-edit-drmimportplan-modal.component.less']
    })
export class CreateOrEditDrmImportPlanModalComponent extends AppComponentBase {
    @ViewChild('createOrEditModalDrmImportPlan',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CreateOrEditInvDrmImportPlanDto = new CreateOrEditInvDrmImportPlanDto();
    active: boolean = false;
    saving: boolean = false;
    _: boolean;
    constructor(
        injector: Injector,
        private _mstwptDrmImportPlanService: InvDrmImportPlanServiceProxy,
    ) 
    {
        super(injector);
    }
    show(rowdata?: CreateOrEditInvDrmImportPlanDto): void {
        if (!rowdata) this.rowdata = new CreateOrEditInvDrmImportPlanDto();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this._mstwptDrmImportPlanService.createOrEdit(this.rowdata)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DrmImportPlanRoutingModule } from './drmimportplan-routing.module';
import { DrmImportPlanComponent } from './drmimportplan.component';
import { CreateOrEditDrmImportPlanModalComponent } from './create-or-edit-drmimportplan-modal.component';
@NgModule({
    declarations: [
       DrmImportPlanComponent, 
        CreateOrEditDrmImportPlanModalComponent
    ],
    imports: [
        AppSharedModule, DrmImportPlanRoutingModule]
})
export class DrmImportPlanModule {}</v>
      </c>
      <c r="J75" s="46" t="str">
        <f>B.Frontend!O10</f>
        <v>import {NgModule} from '@angular/core';
import {RouterModule, Routes} from '@angular/router';
import { DrmImportPlanComponent } from './drmimportplan.component';
const routes: Routes = [{
    path: '',
    component: DrmImportPlanComponent,
    pathMatch: 'full'
}];
@NgModule({
    imports: [RouterModule.forChild(routes)],
    exports: [RouterModule],
})
export class DrmImportPlanRoutingModule {}</v>
      </c>
      <c r="K75" s="46" t="str">
        <f>B.Frontend!P10</f>
        <v xml:space="preserve"> new AppMenuItem("DrmImportPlan", "Pages.Inventory.DRM.DrmImportPlan", "flaticon-book",   "/app/main/inventory/drm/drmimportplan"),</v>
      </c>
      <c r="L75" s="47" t="str">
        <f>B.Frontend!Q10</f>
        <v>{
    path: 'inventory/drm/drmimportplan',
    loadChildren: () =&gt; import('./inventory/drm/drmimportplan/drmimportplan.module').then(m =&gt; m.DrmImportPlanModule),
    data: { permission: 'Pages.Inventory.DRM.DrmImportPlan' }
},</v>
      </c>
      <c r="M75" s="45" t="str">
        <f>B.Frontend!R10</f>
        <v>ApiServiceProxies.InvDrmImportPlanServiceProxy,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4"/>
  <sheetViews>
    <sheetView workbookViewId="0">
      <pane xSplit="1" topLeftCell="B1" activePane="topRight" state="frozen"/>
      <selection pane="topRight" activeCell="A9" sqref="A9:A22"/>
    </sheetView>
  </sheetViews>
  <sheetFormatPr defaultColWidth="9.28515625" defaultRowHeight="15" x14ac:dyDescent="0.25"/>
  <cols>
    <col min="1" max="1" width="20.71093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71093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71093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28515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28515625" style="7" customWidth="1"/>
    <col min="23" max="23" width="27.7109375" style="8" customWidth="1"/>
    <col min="24" max="16384" width="9.28515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vovina.Inventory.DRM.Dto;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355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360</v>
      </c>
      <c r="C3" s="9" t="s">
        <v>41</v>
      </c>
      <c r="D3" s="9" t="s">
        <v>42</v>
      </c>
      <c r="E3" s="9" t="s">
        <v>37</v>
      </c>
      <c r="F3" s="10" t="str">
        <f>"J"&amp;COUNTA($A:$A)</f>
        <v>J22</v>
      </c>
      <c r="G3" s="4" t="s">
        <v>54</v>
      </c>
      <c r="H3" s="9" t="str">
        <f>"I"&amp;COUNTA($A:$A)</f>
        <v>I22</v>
      </c>
      <c r="I3" s="9" t="str">
        <f>REPT(CHAR(9),2)&amp;"[Required]"&amp;"
"</f>
        <v xml:space="preserve">		[Required]
</v>
      </c>
      <c r="J3" s="10" t="str">
        <f>"L"&amp;COUNTA($A:$A)</f>
        <v>L22</v>
      </c>
      <c r="K3" s="5" t="s">
        <v>53</v>
      </c>
      <c r="L3" s="10" t="str">
        <f>"M"&amp;COUNTA($A:$A)</f>
        <v>M22</v>
      </c>
      <c r="M3" s="10" t="str">
        <f>"N"&amp;COUNTA($A:$A)</f>
        <v>N22</v>
      </c>
      <c r="N3" s="10" t="str">
        <f>"O"&amp;COUNTA($A:$A)</f>
        <v>O22</v>
      </c>
      <c r="O3" s="10" t="str">
        <f>"P"&amp;COUNTA($A:$A)</f>
        <v>P22</v>
      </c>
      <c r="Q3" s="10" t="str">
        <f>RIGHT(B2,(LEN(B2)-FIND(".",B2,1)))</f>
        <v>DRM</v>
      </c>
      <c r="R3" s="29" t="str">
        <f>REPT(CHAR(9),1)&amp;"public class "&amp;B3&amp;"ExportInput"&amp;C3</f>
        <v xml:space="preserve">	public class InvDrmImportPlanExportInput{
</v>
      </c>
      <c r="S3" s="10" t="str">
        <f>"namespace "&amp;$B$6&amp;".Exporting
"&amp;$C$3</f>
        <v xml:space="preserve">namespace prod.Inventory.DRM.Exporting
{
</v>
      </c>
      <c r="T3" s="10" t="str">
        <f>"T"&amp;COUNTA($A:$A)</f>
        <v>T22</v>
      </c>
      <c r="V3" s="10" t="str">
        <f>"V"&amp;COUNTA($A:$A)</f>
        <v>V22</v>
      </c>
      <c r="W3" s="9" t="str">
        <f>"W"&amp;COUNTA($A:$A)</f>
        <v>W22</v>
      </c>
    </row>
    <row r="4" spans="1:23" s="10" customFormat="1" ht="33" customHeight="1" x14ac:dyDescent="0.25">
      <c r="A4" s="1" t="s">
        <v>233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361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.15" customHeight="1" x14ac:dyDescent="0.25">
      <c r="A6" s="1" t="s">
        <v>6</v>
      </c>
      <c r="B6" s="9" t="str">
        <f>"prod."&amp;B2</f>
        <v>prod.Inventory.DRM</v>
      </c>
      <c r="C6" s="10" t="str">
        <f>"namespace "&amp;$B$6&amp;"
"&amp;$C$3</f>
        <v xml:space="preserve">namespace prod.Inventory.DRM
{
</v>
      </c>
      <c r="D6" s="10" t="str">
        <f>REPT(CHAR(9),1)&amp;"public class "&amp;B3&amp;G3&amp;REPT(CHAR(9),1)&amp;"
"&amp;REPT(CHAR(9),1)&amp;C3</f>
        <v xml:space="preserve">	public class InvDrmImportPlan: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InvDrmImportPlanConsts	
	{
</v>
      </c>
      <c r="F6" s="10" t="str">
        <f>REPT(CHAR(9),1)&amp;"public class "&amp;B3&amp;"Dto"&amp;K3&amp;REPT(CHAR(9),1)&amp;"
"&amp;REPT(CHAR(9),1)&amp;C3</f>
        <v xml:space="preserve">	public class InvDrmImportPlanDto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CreateOrEditInvDrmImportPlanDto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GetInvDrmImportPlanInput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5.15" customHeight="1" x14ac:dyDescent="0.25">
      <c r="A7" s="1" t="s">
        <v>13</v>
      </c>
      <c r="B7" s="9" t="str">
        <f>B3</f>
        <v>InvDrmImportPlan</v>
      </c>
      <c r="C7" s="10" t="str">
        <f>REPT(CHAR(9),1)&amp;"[Table("""&amp;B7&amp;""")]"&amp;"
"</f>
        <v xml:space="preserve">	[Table("InvDrmImportPlan")]
</v>
      </c>
      <c r="D7" s="10"/>
      <c r="E7" s="10"/>
      <c r="F7" s="10"/>
      <c r="G7" s="10"/>
      <c r="H7" s="10"/>
      <c r="I7" s="10"/>
      <c r="J7" t="str">
        <f ca="1">SUBSTITUTE(SUBSTITUTE((B1&amp;C6&amp;C7&amp;K24&amp;D6&amp;I24&amp;E3&amp;J24&amp;""&amp;REPT(CHAR(9),1)&amp;D3&amp;D3),"WorkingPattern",$Q$3),"Master",$B$4)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prod.Inventory.DRM
{
	[Table("InvDrmImportPlan")]
	public class InvDrmImportPlan: FullAuditedEntity&lt;long&gt;, IEntity&lt;long&gt;	
	{
		public const int MaxSupplierNoLength = 10;
		public const int MaxShipmentNoLength = 10;
		public const int MaxCfcLength = 4;
		public const int MaxPartCodeLength = 60;
		public const int MaxPartNoLength = 12;
		public const int MaxPartNameLength = 300;
		public const int MaxRemarkLength = 1000;
		[StringLength(MaxSupplierNoLength)]
		public virtual string SupplierNo { get; set; }
		public virtual DateTime? Etd { get; set; }
		public virtual DateTime? Eta { get; set; }
		[StringLength(MaxShipmentNoLength)]
		public virtual string ShipmentNo { get; set; }
		[StringLength(MaxCfcLength)]
		public virtual string Cfc { get; set; }
		[StringLength(MaxPartCodeLength)]
		public virtual string PartCode { get; set; }
		[StringLength(MaxPartNoLength)]
		public virtual string PartNo { get; set; }
		[StringLength(MaxPartNameLength)]
		public virtual string PartName { get; set; }
		public virtual int? Qty { get; set; }
		public virtual DateTime? PackingMonth { get; set; }
		public virtual DateTime? DelayEtd { get; set; }
		public virtual DateTime? DelayEta { get; set; }
		[StringLength(MaxRemarkLength)]
		public virtual string Remark { get; set; }
		public virtual DateTime? Ata { get; set; }
	}
}
</v>
      </c>
      <c r="K7" t="str">
        <f>SUBSTITUTE(SUBSTITUTE(("public virtual DbSet&lt;"&amp;B3&amp;"&gt; "&amp;B3&amp;"s { get; set; }"),"WorkingPattern",$Q$3),"Master",$B$4)</f>
        <v>public virtual DbSet&lt;InvDrmImportPlan&gt; InvDrmImportPlans { get; set; }</v>
      </c>
      <c r="L7" t="str">
        <f ca="1">SUBSTITUTE(SUBSTITUTE((C6&amp;E6&amp;I24&amp;"
"&amp;REPT(CHAR(9),2)&amp;"// Define Store Name: Format SP_ + &lt;Store Name&gt; = &lt;Store Name&gt;
"&amp;E3&amp;REPT(CHAR(9),1)&amp;D3&amp;D3),"WorkingPattern",$Q$3),"Master",$B$4)</f>
        <v xml:space="preserve">namespace prod.Inventory.DRM
{
	public class InvDrmImportPlanConsts	
	{
		public const int MaxSupplierNoLength = 10;
		public const int MaxShipmentNoLength = 10;
		public const int MaxCfcLength = 4;
		public const int MaxPartCodeLength = 60;
		public const int MaxPartNoLength = 12;
		public const int MaxPartNameLength = 300;
		public const int MaxRemarkLength = 1000;
		// Define Store Name: Format SP_ + &lt;Store Name&gt; = &lt;Store Name&gt;
	}
}
</v>
      </c>
      <c r="M7" t="str">
        <f ca="1">SUBSTITUTE(SUBSTITUTE((C1&amp;"namespace "&amp;B6&amp;".Dto"&amp;E3&amp;C3&amp;F6&amp;M24&amp;E3&amp;REPT(CHAR(9),1)&amp;D3&amp;G6&amp;N24&amp;REPT(CHAR(9),1)&amp;D3&amp;H6&amp;O24&amp;"
"&amp;REPT(CHAR(9),1)&amp;D3&amp;D3),"WorkingPattern",$Q$3),"Master",$B$4)</f>
        <v xml:space="preserve">using Abp.Application.Services.Dto;
using System;
using System.ComponentModel.DataAnnotations;
namespace prod.Inventory.DRM.Dto
{
	public class InvDrmImportPlanDto : EntityDto&lt;long?&gt;	
	{
		public virtual string SupplierNo { get; set; }
		public virtual DateTime? Etd { get; set; }
		public virtual DateTime? Eta { get; set; }
		public virtual string ShipmentNo { get; set; }
		public virtual string Cfc { get; set; }
		public virtual string PartCode { get; set; }
		public virtual string PartNo { get; set; }
		public virtual string PartName { get; set; }
		public virtual int? Qty { get; set; }
		public virtual DateTime? PackingMonth { get; set; }
		public virtual DateTime? DelayEtd { get; set; }
		public virtual DateTime? DelayEta { get; set; }
		public virtual string Remark { get; set; }
		public virtual DateTime? Ata { get; set; }
	}
	public class CreateOrEditInvDrmImportPlanDto : EntityDto&lt;long?&gt;	
	{
		[StringLength(InvDrmImportPlanConsts.MaxSupplierNoLength)]
		public virtual string SupplierNo { get; set; }
		public virtual DateTime? Etd { get; set; }
		public virtual DateTime? Eta { get; set; }
		[StringLength(InvDrmImportPlanConsts.MaxShipmentNoLength)]
		public virtual string ShipmentNo { get; set; }
		[StringLength(InvDrmImportPlanConsts.MaxCfcLength)]
		public virtual string Cfc { get; set; }
		[StringLength(InvDrmImportPlanConsts.MaxPartCodeLength)]
		public virtual string PartCode { get; set; }
		[StringLength(InvDrmImportPlanConsts.MaxPartNoLength)]
		public virtual string PartNo { get; set; }
		[StringLength(InvDrmImportPlanConsts.MaxPartNameLength)]
		public virtual string PartName { get; set; }
		public virtual int? Qty { get; set; }
		public virtual DateTime? PackingMonth { get; set; }
		public virtual DateTime? DelayEtd { get; set; }
		public virtual DateTime? DelayEta { get; set; }
		[StringLength(InvDrmImportPlanConsts.MaxRemarkLength)]
		public virtual string Remark { get; set; }
		public virtual DateTime? Ata { get; set; }
	}
	public class GetInvDrmImportPlanInput : PagedAndSortedResultRequestDto	
	{
		public virtual string SupplierNo { get; set; }
		public virtual string ShipmentNo { get; set; }
		public virtual string Cfc { get; set; }
		public virtual string PartCode { get; set; }
		public virtual string PartNo { get; set; }
		public virtual string PartName { get; set; }
		public virtual string Remark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perInvDrmImportPlan = PARENTS.CreateChildPermission(AppPermissions.Pages_Inventory_DRM_DrmImportPlan, L( "InventoryDRMDrmImportPlan"), multiTenancySides: MultiTenancySides.Tenant);
		perInvDrmImportPlan.CreateChildPermission(AppPermissions.Pages_Inventory_DRM_DrmImportPlan_CreateEdit, L( "InventoryDRMDrmImportPlanCreateEdit"), multiTenancySides: MultiTenancySides.Tenant);
		perInvDrmImportPlan.CreateChildPermission(AppPermissions.Pages_Inventory_DRM_DrmImportPlan_Delete, L( "InventoryDRMDrmImportPlanDelete"),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Pages_Inventory_DRM_DrmImportPlan = "Pages.Inventory.DRM.DrmImportPlan";
		public const string Pages_Inventory_DRM_DrmImportPlan_CreateEdit = "Pages.Inventory.DRM.DrmImportPlan.CreateEdit";
		public const string Pages_Inventory_DRM_DrmImportPlan_Delete = "Pages.Inventory.DRM.DrmImportPlan.Delete";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vovina.Inventory.DRM.Dto;
namespace prod.Inventory.DRM
{
	public interface IInvDrmImportPlanAppService : IApplicationService
	{
		Task&lt;PagedResultDto&lt;InvDrmImportPlanDto&gt;&gt; GetAll(GetInvDrmImportPlanInput input);
		Task CreateOrEdit(CreateOrEditInvDrmImportPlanDto input);
		Task Delete(EntityDto input);
	}
}
</v>
      </c>
      <c r="Q7" t="str">
        <f ca="1">SUBSTITUTE(SUBSTITUTE(SUBSTITUTE(SUBSTITUTE(SUBSTITUTE(SUBSTITUTE(E1,"MstWptCalendar",$B$3),"&lt;PROPERTIES&gt;",P24),"Calendar",$B$5),"WorkingPattern",$Q$3),"Master",$B$4),"&lt;PARAMS_SEARCH&gt;",$W$24)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vovina.Inventory.DRM.Dto;
using vovina.Inventory.DRM.Exporting;
namespace vovina.Inventory.DRM
{
    [AbpAuthorize(AppPermissions.Pages_Inventory_DRM_DrmImportPlan)]
    public class InvDrmImportPlanAppService : vovinaAppServiceBase, IInvDrmImportPlanAppService
    {
        private readonly IDapperRepository&lt;InvDrmImportPlan, long&gt; _dapperRepo;
        private readonly IRepository&lt;InvDrmImportPlan, long&gt; _repo;
        private readonly IInvDrmImportPlanExcelExporter _calendarListExcelExporter;
        public InvDrmImportPlanAppService(IRepository&lt;InvDrmImportPlan,long&gt; repo, 
                                         IDapperRepository&lt;InvDrmImportPlan,long&gt; dapperRepo,
                                        IInvDrmImportPlanExcelExporter calendarListExcelExporter
            )
        {
            _repo = repo;
            _dapperRepo = dapperRepo;
            _calendarListExcelExporter = calendarListExcelExporter;
        }
        [AbpAuthorize(AppPermissions.Pages_Inventory_DRM_DrmImportPlan_CreateEdit)]
        public async Task CreateOrEdit(CreateOrEditInvDrmImportPlanDto input)
        {
            if (input.Id == null) await Create(input);
            else await Update(input);
        }
        //CREATE
        private async Task Create(CreateOrEditInvDrmImportPlanDto input)
        {          
            var mainObj = ObjectMapper.Map&lt;InvDrmImportPlan&gt;(input);
            await CurrentUnitOfWork.GetDbContext&lt;vovinaDbContext&gt;().AddAsync(mainObj);
        }
        // EDIT
        private async Task Update(CreateOrEditInvDrmImportPlanDto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[AbpAuthorize(AppPermissions.Pages_Inventory_DRM_DrmImportPlan_Delete)]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Task&lt;PagedResultDto&lt;InvDrmImportPlanDto&gt;&gt; GetAll(GetInvDrmImportPlanInput input)
        {
            var filtered = _repo.GetAll()
				.WhereIf(!string.IsNullOrWhiteSpace(input.SupplierNo), e =&gt; e.SupplierNo.Contains(input.SupplierNo))
				.WhereIf(!string.IsNullOrWhiteSpace(input.ShipmentNo), e =&gt; e.ShipmentNo.Contains(input.ShipmentNo))
				.WhereIf(!string.IsNullOrWhiteSpace(input.Cfc), e =&gt; e.Cfc.Contains(input.Cfc))
				.WhereIf(!string.IsNullOrWhiteSpace(input.PartCode), e =&gt; e.PartCode.Contains(input.PartCode))
				.WhereIf(!string.IsNullOrWhiteSpace(input.PartNo), e =&gt; e.PartNo.Contains(input.PartNo))
				.WhereIf(!string.IsNullOrWhiteSpace(input.PartName), e =&gt; e.PartName.Contains(input.PartName))
				.WhereIf(!string.IsNullOrWhiteSpace(input.Remark), e =&gt; e.Remark.Contains(input.Remark))
				;
            var pageAndFiltered = filtered.OrderBy(s =&gt; s.Id);
            var system = from o in pageAndFiltered
                         select new InvDrmImportPlanDto
                        {
							Id = o.Id,
							SupplierNo = o.SupplierNo,
							Etd = o.Etd,
							Eta = o.Eta,
							ShipmentNo = o.ShipmentNo,
							Cfc = o.Cfc,
							PartCode = o.PartCode,
							PartNo = o.PartNo,
							PartName = o.PartName,
							Qty = o.Qty,
							PackingMonth = o.PackingMonth,
							DelayEtd = o.DelayEtd,
							DelayEta = o.DelayEta,
							Remark = o.Remark,
							Ata = o.Ata,
                        };
            var totalCount = await filtered.CountAsync();
			var paged = system.PageBy(input);
            return new PagedResultDto&lt;InvDrmImportPlanDto&gt;(
                totalCount,
                 await paged.ToListAsync()
            );
        }
        public async Task&lt;FileDto&gt; GetDrmImportPlanToExcel(InvDrmImportPlanExportInput input)
        {
            var query = from o in _repo.GetAll()
                        select new InvDrmImportPlanDto
                        {
							Id = o.Id,
							SupplierNo = o.SupplierNo,
							Etd = o.Etd,
							Eta = o.Eta,
							ShipmentNo = o.ShipmentNo,
							Cfc = o.Cfc,
							PartCode = o.PartCode,
							PartNo = o.PartNo,
							PartName = o.PartName,
							Qty = o.Qty,
							PackingMonth = o.PackingMonth,
							DelayEtd = o.DelayEtd,
							DelayEta = o.DelayEta,
							Remark = o.Remark,
							Ata = o.Ata,
                        };
            var exportToExcel = await query.ToListAsync();
            return _calendarListExcelExporter.ExportToFile(exportToExcel);
        }
       // public async Task GenerateAsync()
      //  {
        //    await _dapperRepo.ExecuteAsync(InvDrmImportPlanConsts.SP_MST_WPT_CALENDAR_GENERATE);
       // }
    }
}</v>
      </c>
      <c r="R7" t="str">
        <f ca="1">SUBSTITUTE(SUBSTITUTE((C1&amp;"namespace "&amp;B6&amp;".Dto"&amp;E3&amp;C3&amp;R3&amp;M24&amp;E3&amp;REPT(CHAR(9),1)&amp;D3&amp;D3),"WorkingPattern",$Q$3),"Master",$B$4)</f>
        <v xml:space="preserve">using Abp.Application.Services.Dto;
using System;
using System.ComponentModel.DataAnnotations;
namespace prod.Inventory.DRM.Dto
{
	public class InvDrmImportPlanExportInput{
		public virtual string SupplierNo { get; set; }
		public virtual DateTime? Etd { get; set; }
		public virtual DateTime? Eta { get; set; }
		public virtual string ShipmentNo { get; set; }
		public virtual string Cfc { get; set; }
		public virtual string PartCode { get; set; }
		public virtual string PartNo { get; set; }
		public virtual string PartName { get; set; }
		public virtual int? Qty { get; set; }
		public virtual DateTime? PackingMonth { get; set; }
		public virtual DateTime? DelayEtd { get; set; }
		public virtual DateTime? DelayEta { get; set; }
		public virtual string Remark { get; set; }
		public virtual DateTime? Ata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vovina.Inventory.DRM.Dto;
namespace prod.Inventory.DRM.Exporting
{
	public interface IInvDrmImportPlanExcelExporter : IApplicationService
	{
		FileDto ExportToFile(List&lt;InvDrmImportPlanDto&gt; invdrmimportplan);
	}
}
</v>
      </c>
      <c r="T7" s="26" t="str">
        <f ca="1">SUBSTITUTE(SUBSTITUTE(SUBSTITUTE(SUBSTITUTE(SUBSTITUTE(SUBSTITUTE(SUBSTITUTE(T1,"MstWptCalendar",$B$3),"&lt;PROPERTIES1&gt;",V24),"&lt;PROPERTIES&gt;",T24),"Calendar",$B$5),"calendar",LOWER(B5)),"WorkingPattern",$Q$3),"Master",$B$4)</f>
        <v>using System.Collections.Generic;
using vovina.DataExporting.Excel.NPOI;
using vovina.Dto;
using vovina.Inventory.DRM.Exporting;
using vovina.Inventory.DRM.Dto;
using vovina.Storage;
using vovina.Inventory.DRM.Dto;
namespace vovina.Inventory.DRM.Exporting
{
    public class InvDrmImportPlanExcelExporter : NpoiExcelExporterBase, IInvDrmImportPlanExcelExporter
    {
        public InvDrmImportPlanExcelExporter(ITempFileCacheManager tempFileCacheManager) : base(tempFileCacheManager) { }
        public FileDto ExportToFile(List&lt;InvDrmImportPlanDto&gt; drmimportplan)
        {
            return CreateExcelPackage(
				"InventoryDRMDrmImportPlan.xlsx",
				excelPackage =&gt;
				 {
					var sheet = excelPackage.CreateSheet("DrmImportPlan");
					AddHeader(
								sheet,
								("SupplierNo"),
								("Etd"),
								("Eta"),
								("ShipmentNo"),
								("Cfc"),
								("PartCode"),
								("PartNo"),
								("PartName"),
								("Qty"),
								("PackingMonth"),
								("DelayEtd"),
								("DelayEta"),
								("Remark"),
								("Ata"),
							   );
					AddObjects(
						 sheet, 1, drmimportplan,                                       
								_ =&gt; _.SupplierNo,
								_ =&gt; _.Etd,
								_ =&gt; _.Eta,
								_ =&gt; _.ShipmentNo,
								_ =&gt; _.Cfc,
								_ =&gt; _.PartCode,
								_ =&gt; _.PartNo,
								_ =&gt; _.PartName,
								_ =&gt; _.Qty,
								_ =&gt; _.PackingMonth,
								_ =&gt; _.DelayEtd,
								_ =&gt; _.DelayEta,
								_ =&gt; _.Remark,
								_ =&gt; _.Ata,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configuration.CreateMap&lt;InvDrmImportPlanDto, InvDrmImportPlan&gt;();
  configuration.CreateMap&lt;InvDrmImportPlan, InvDrmImportPlanDto&gt;();
  configuration.CreateMap&lt;CreateOrEditInvDrmImportPlanDto, InvDrmImportPlan&gt;();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362</v>
      </c>
      <c r="B9" t="s">
        <v>373</v>
      </c>
      <c r="C9" t="s">
        <v>1</v>
      </c>
      <c r="D9" t="str">
        <f t="shared" ref="D9" si="0">SUBSTITUTE(PROPER(A9),"_","")</f>
        <v>SupplierNo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10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MaxSupplierNoLength = 10;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[StringLength(MaxSupplierNoLength)]
		public virtual string SupplierNo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SupplierNo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[StringLength(InvDrmImportPlanConsts.MaxSupplierNoLength)]
		public virtual string SupplierNo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SupplierNo { get; set; }
</v>
      </c>
      <c r="P9" t="str">
        <f t="shared" ref="P9" si="9">REPT(CHAR(9),7)&amp;D9&amp;" = o." &amp;D9 &amp;","</f>
        <v xml:space="preserve">							SupplierNo = o.SupplierNo,</v>
      </c>
      <c r="T9" s="63" t="str">
        <f t="shared" ref="T9" si="10">REPT(CHAR(9),8)&amp;"("""&amp;D9&amp;"""),"</f>
        <v xml:space="preserve">								("SupplierNo"),</v>
      </c>
      <c r="V9" s="64" t="str">
        <f t="shared" ref="V9" si="11">REPT(CHAR(9),8)&amp;"_ =&gt; _."&amp;D9&amp;","</f>
        <v xml:space="preserve">								_ =&gt; _.SupplierNo,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.WhereIf(!string.IsNullOrWhiteSpace(input.SupplierNo), e =&gt; e.SupplierNo.Contains(input.SupplierNo))</v>
      </c>
    </row>
    <row r="10" spans="1:23" customFormat="1" ht="18.75" customHeight="1" x14ac:dyDescent="0.25">
      <c r="A10" t="s">
        <v>363</v>
      </c>
      <c r="B10" t="s">
        <v>359</v>
      </c>
      <c r="C10" t="s">
        <v>1</v>
      </c>
      <c r="D10" t="str">
        <f t="shared" ref="D10:D11" si="13">SUBSTITUTE(PROPER(A10),"_","")</f>
        <v>Etd</v>
      </c>
      <c r="E10" t="str">
        <f t="shared" ref="E10:E11" si="14">IFERROR(LEFT(B10, FIND("(",B10)-1),B10)</f>
        <v>DATETIME</v>
      </c>
      <c r="F10" s="6"/>
      <c r="G10" t="str">
        <f t="shared" ref="G10:G11" si="15">IFERROR(MID(B10,FIND("(",B10) +1, FIND(")",B10) - FIND("(",B10) - 1),"")</f>
        <v/>
      </c>
      <c r="H10" t="str">
        <f>+VLOOKUP(E10,'Data Type Mapping'!A:B,2,)</f>
        <v>DateTime?</v>
      </c>
      <c r="I10" t="str">
        <f t="shared" ref="I10:I11" si="16">IF(H10="string",REPT(CHAR(9),2)&amp;"public const int Max"&amp;D10&amp;"Length = "&amp;G10&amp;";"&amp;$E$3,"" )</f>
        <v/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DateTime? Etd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DateTime? Etd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DateTime? Etd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/>
      </c>
      <c r="P10" t="str">
        <f t="shared" ref="P10:P11" si="22">REPT(CHAR(9),7)&amp;D10&amp;" = o." &amp;D10 &amp;","</f>
        <v xml:space="preserve">							Etd = o.Etd,</v>
      </c>
      <c r="T10" s="63" t="str">
        <f t="shared" ref="T10:T11" si="23">REPT(CHAR(9),8)&amp;"("""&amp;D10&amp;"""),"</f>
        <v xml:space="preserve">								("Etd"),</v>
      </c>
      <c r="V10" s="64" t="str">
        <f t="shared" ref="V10:V11" si="24">REPT(CHAR(9),8)&amp;"_ =&gt; _."&amp;D10&amp;","</f>
        <v xml:space="preserve">								_ =&gt; _.Etd,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1" spans="1:23" customFormat="1" ht="18.75" customHeight="1" x14ac:dyDescent="0.25">
      <c r="A11" t="s">
        <v>364</v>
      </c>
      <c r="B11" t="s">
        <v>359</v>
      </c>
      <c r="C11" t="s">
        <v>1</v>
      </c>
      <c r="D11" t="str">
        <f t="shared" si="13"/>
        <v>Eta</v>
      </c>
      <c r="E11" t="str">
        <f t="shared" si="14"/>
        <v>DATETIME</v>
      </c>
      <c r="F11" s="6"/>
      <c r="G11" t="str">
        <f t="shared" si="15"/>
        <v/>
      </c>
      <c r="H11" t="str">
        <f>+VLOOKUP(E11,'Data Type Mapping'!A:B,2,)</f>
        <v>DateTime?</v>
      </c>
      <c r="I11" t="str">
        <f t="shared" si="16"/>
        <v/>
      </c>
      <c r="J11" t="str">
        <f t="shared" si="17"/>
        <v xml:space="preserve">		public virtual DateTime? Eta { get; set; }
</v>
      </c>
      <c r="K11" s="6"/>
      <c r="L11" t="str">
        <f t="shared" si="18"/>
        <v/>
      </c>
      <c r="M11" t="str">
        <f t="shared" si="19"/>
        <v xml:space="preserve">		public virtual DateTime? Eta { get; set; }
</v>
      </c>
      <c r="N11" t="str">
        <f t="shared" si="20"/>
        <v xml:space="preserve">		public virtual DateTime? Eta { get; set; }
</v>
      </c>
      <c r="O11" t="str">
        <f t="shared" si="21"/>
        <v/>
      </c>
      <c r="P11" t="str">
        <f t="shared" si="22"/>
        <v xml:space="preserve">							Eta = o.Eta,</v>
      </c>
      <c r="T11" s="63" t="str">
        <f t="shared" si="23"/>
        <v xml:space="preserve">								("Eta"),</v>
      </c>
      <c r="V11" s="64" t="str">
        <f t="shared" si="24"/>
        <v xml:space="preserve">								_ =&gt; _.Eta,</v>
      </c>
      <c r="W11" s="63" t="str">
        <f t="shared" si="25"/>
        <v/>
      </c>
    </row>
    <row r="12" spans="1:23" customFormat="1" ht="18.75" customHeight="1" x14ac:dyDescent="0.25">
      <c r="A12" t="s">
        <v>365</v>
      </c>
      <c r="B12" t="s">
        <v>373</v>
      </c>
      <c r="C12" t="s">
        <v>1</v>
      </c>
      <c r="D12" t="str">
        <f t="shared" ref="D12" si="26">SUBSTITUTE(PROPER(A12),"_","")</f>
        <v>ShipmentNo</v>
      </c>
      <c r="E12" t="str">
        <f t="shared" ref="E12" si="27">IFERROR(LEFT(B12, FIND("(",B12)-1),B12)</f>
        <v>NVARCHAR</v>
      </c>
      <c r="F12" s="6"/>
      <c r="G12" t="str">
        <f t="shared" ref="G12" si="28">IFERROR(MID(B12,FIND("(",B12) +1, FIND(")",B12) - FIND("(",B12) - 1),"")</f>
        <v>10</v>
      </c>
      <c r="H12" t="str">
        <f>+VLOOKUP(E12,'Data Type Mapping'!A:B,2,)</f>
        <v>string</v>
      </c>
      <c r="I12" t="str">
        <f t="shared" ref="I12" si="29">IF(H12="string",REPT(CHAR(9),2)&amp;"public const int Max"&amp;D12&amp;"Length = "&amp;G12&amp;";"&amp;$E$3,"" )</f>
        <v xml:space="preserve">		public const int MaxShipmentNoLength = 10;
</v>
      </c>
      <c r="J12" t="str">
        <f t="shared" ref="J12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[StringLength(MaxShipmentNoLength)]
		public virtual string ShipmentNo { get; set; }
</v>
      </c>
      <c r="K12" s="6"/>
      <c r="L12" t="str">
        <f t="shared" ref="L12" si="31">IF(K12="","",REPT(CHAR(9),1)&amp;"[Index(nameof("&amp;IF(D12="","",""&amp;D12)&amp;")"&amp;", Name="&amp;"""IX_"&amp;$B$7&amp;"_"&amp;D12&amp;""")]")</f>
        <v/>
      </c>
      <c r="M12" t="str">
        <f t="shared" ref="M12" si="32">REPT(CHAR(9),2)&amp;"public virtual "&amp;IF(OR(H12="DateTime",H12="TimeSpan"),H12&amp;"?",H12)&amp;IF(C12="?","? "," ")&amp;D12&amp;" { get; set; }" &amp; "
"</f>
        <v xml:space="preserve">		public virtual string ShipmentNo { get; set; }
</v>
      </c>
      <c r="N12" t="str">
        <f t="shared" ref="N12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[StringLength(InvDrmImportPlanConsts.MaxShipmentNoLength)]
		public virtual string ShipmentNo { get; set; }
</v>
      </c>
      <c r="O12" t="str">
        <f t="shared" ref="O12" si="34">IF(OR(H12="string",H12="DateTime",H12="int"),REPT(CHAR(9),2)&amp;"public virtual "&amp;IF(OR(H12="DateTime",H12="TimeSpan"),H12&amp;"?",H12)&amp;IF(C12="?","? "," ")&amp;D12&amp;" { get; set; }"&amp;$E$3,"")</f>
        <v xml:space="preserve">		public virtual string ShipmentNo { get; set; }
</v>
      </c>
      <c r="P12" t="str">
        <f t="shared" ref="P12" si="35">REPT(CHAR(9),7)&amp;D12&amp;" = o." &amp;D12 &amp;","</f>
        <v xml:space="preserve">							ShipmentNo = o.ShipmentNo,</v>
      </c>
      <c r="T12" s="63" t="str">
        <f t="shared" ref="T12" si="36">REPT(CHAR(9),8)&amp;"("""&amp;D12&amp;"""),"</f>
        <v xml:space="preserve">								("ShipmentNo"),</v>
      </c>
      <c r="V12" s="64" t="str">
        <f t="shared" ref="V12" si="37">REPT(CHAR(9),8)&amp;"_ =&gt; _."&amp;D12&amp;","</f>
        <v xml:space="preserve">								_ =&gt; _.ShipmentNo,</v>
      </c>
      <c r="W12" s="63" t="str">
        <f t="shared" ref="W12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.WhereIf(!string.IsNullOrWhiteSpace(input.ShipmentNo), e =&gt; e.ShipmentNo.Contains(input.ShipmentNo))</v>
      </c>
    </row>
    <row r="13" spans="1:23" customFormat="1" ht="18.75" customHeight="1" x14ac:dyDescent="0.25">
      <c r="A13" t="s">
        <v>366</v>
      </c>
      <c r="B13" t="s">
        <v>374</v>
      </c>
      <c r="C13" t="s">
        <v>1</v>
      </c>
      <c r="D13" t="str">
        <f t="shared" ref="D13:D16" si="39">SUBSTITUTE(PROPER(A13),"_","")</f>
        <v>Cfc</v>
      </c>
      <c r="E13" t="str">
        <f t="shared" ref="E13:E16" si="40">IFERROR(LEFT(B13, FIND("(",B13)-1),B13)</f>
        <v>NVARCHAR</v>
      </c>
      <c r="F13" s="6"/>
      <c r="G13" t="str">
        <f t="shared" ref="G13:G16" si="41">IFERROR(MID(B13,FIND("(",B13) +1, FIND(")",B13) - FIND("(",B13) - 1),"")</f>
        <v>4</v>
      </c>
      <c r="H13" t="str">
        <f>+VLOOKUP(E13,'Data Type Mapping'!A:B,2,)</f>
        <v>string</v>
      </c>
      <c r="I13" t="str">
        <f t="shared" ref="I13:I16" si="42">IF(H13="string",REPT(CHAR(9),2)&amp;"public const int Max"&amp;D13&amp;"Length = "&amp;G13&amp;";"&amp;$E$3,"" )</f>
        <v xml:space="preserve">		public const int MaxCfcLength = 4;
</v>
      </c>
      <c r="J13" t="str">
        <f t="shared" ref="J13:J16" si="43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[StringLength(MaxCfcLength)]
		public virtual string Cfc { get; set; }
</v>
      </c>
      <c r="K13" s="6"/>
      <c r="L13" t="str">
        <f t="shared" ref="L13:L16" si="44">IF(K13="","",REPT(CHAR(9),1)&amp;"[Index(nameof("&amp;IF(D13="","",""&amp;D13)&amp;")"&amp;", Name="&amp;"""IX_"&amp;$B$7&amp;"_"&amp;D13&amp;""")]")</f>
        <v/>
      </c>
      <c r="M13" t="str">
        <f t="shared" ref="M13:M16" si="45">REPT(CHAR(9),2)&amp;"public virtual "&amp;IF(OR(H13="DateTime",H13="TimeSpan"),H13&amp;"?",H13)&amp;IF(C13="?","? "," ")&amp;D13&amp;" { get; set; }" &amp; "
"</f>
        <v xml:space="preserve">		public virtual string Cfc { get; set; }
</v>
      </c>
      <c r="N13" t="str">
        <f t="shared" ref="N13:N16" si="46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[StringLength(InvDrmImportPlanConsts.MaxCfcLength)]
		public virtual string Cfc { get; set; }
</v>
      </c>
      <c r="O13" t="str">
        <f t="shared" ref="O13:O16" si="47">IF(OR(H13="string",H13="DateTime",H13="int"),REPT(CHAR(9),2)&amp;"public virtual "&amp;IF(OR(H13="DateTime",H13="TimeSpan"),H13&amp;"?",H13)&amp;IF(C13="?","? "," ")&amp;D13&amp;" { get; set; }"&amp;$E$3,"")</f>
        <v xml:space="preserve">		public virtual string Cfc { get; set; }
</v>
      </c>
      <c r="P13" t="str">
        <f t="shared" ref="P13:P16" si="48">REPT(CHAR(9),7)&amp;D13&amp;" = o." &amp;D13 &amp;","</f>
        <v xml:space="preserve">							Cfc = o.Cfc,</v>
      </c>
      <c r="T13" s="63" t="str">
        <f t="shared" ref="T13:T16" si="49">REPT(CHAR(9),8)&amp;"("""&amp;D13&amp;"""),"</f>
        <v xml:space="preserve">								("Cfc"),</v>
      </c>
      <c r="V13" s="64" t="str">
        <f t="shared" ref="V13:V16" si="50">REPT(CHAR(9),8)&amp;"_ =&gt; _."&amp;D13&amp;","</f>
        <v xml:space="preserve">								_ =&gt; _.Cfc,</v>
      </c>
      <c r="W13" s="63" t="str">
        <f t="shared" ref="W13:W16" si="51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.WhereIf(!string.IsNullOrWhiteSpace(input.Cfc), e =&gt; e.Cfc.Contains(input.Cfc))</v>
      </c>
    </row>
    <row r="14" spans="1:23" customFormat="1" ht="18.75" customHeight="1" x14ac:dyDescent="0.25">
      <c r="A14" t="s">
        <v>367</v>
      </c>
      <c r="B14" t="s">
        <v>375</v>
      </c>
      <c r="C14" t="s">
        <v>1</v>
      </c>
      <c r="D14" t="str">
        <f t="shared" si="39"/>
        <v>PartCode</v>
      </c>
      <c r="E14" t="str">
        <f t="shared" si="40"/>
        <v>NVARCHAR</v>
      </c>
      <c r="F14" s="6"/>
      <c r="G14" t="str">
        <f t="shared" si="41"/>
        <v>60</v>
      </c>
      <c r="H14" t="str">
        <f>+VLOOKUP(E14,'Data Type Mapping'!A:B,2,)</f>
        <v>string</v>
      </c>
      <c r="I14" t="str">
        <f t="shared" si="42"/>
        <v xml:space="preserve">		public const int MaxPartCodeLength = 60;
</v>
      </c>
      <c r="J14" t="str">
        <f t="shared" si="43"/>
        <v xml:space="preserve">		[StringLength(MaxPartCodeLength)]
		public virtual string PartCode { get; set; }
</v>
      </c>
      <c r="K14" s="6"/>
      <c r="L14" t="str">
        <f t="shared" si="44"/>
        <v/>
      </c>
      <c r="M14" t="str">
        <f t="shared" si="45"/>
        <v xml:space="preserve">		public virtual string PartCode { get; set; }
</v>
      </c>
      <c r="N14" t="str">
        <f t="shared" si="46"/>
        <v xml:space="preserve">		[StringLength(InvDrmImportPlanConsts.MaxPartCodeLength)]
		public virtual string PartCode { get; set; }
</v>
      </c>
      <c r="O14" t="str">
        <f t="shared" si="47"/>
        <v xml:space="preserve">		public virtual string PartCode { get; set; }
</v>
      </c>
      <c r="P14" t="str">
        <f t="shared" si="48"/>
        <v xml:space="preserve">							PartCode = o.PartCode,</v>
      </c>
      <c r="T14" s="63" t="str">
        <f t="shared" si="49"/>
        <v xml:space="preserve">								("PartCode"),</v>
      </c>
      <c r="V14" s="64" t="str">
        <f t="shared" si="50"/>
        <v xml:space="preserve">								_ =&gt; _.PartCode,</v>
      </c>
      <c r="W14" s="63" t="str">
        <f t="shared" si="51"/>
        <v xml:space="preserve">				.WhereIf(!string.IsNullOrWhiteSpace(input.PartCode), e =&gt; e.PartCode.Contains(input.PartCode))</v>
      </c>
    </row>
    <row r="15" spans="1:23" customFormat="1" ht="18.75" customHeight="1" x14ac:dyDescent="0.25">
      <c r="A15" t="s">
        <v>356</v>
      </c>
      <c r="B15" t="s">
        <v>377</v>
      </c>
      <c r="C15" t="s">
        <v>1</v>
      </c>
      <c r="D15" t="str">
        <f t="shared" si="39"/>
        <v>PartNo</v>
      </c>
      <c r="E15" t="str">
        <f t="shared" si="40"/>
        <v>NVARCHAR</v>
      </c>
      <c r="F15" s="6"/>
      <c r="G15" t="str">
        <f t="shared" si="41"/>
        <v>12</v>
      </c>
      <c r="H15" t="str">
        <f>+VLOOKUP(E15,'Data Type Mapping'!A:B,2,)</f>
        <v>string</v>
      </c>
      <c r="I15" t="str">
        <f t="shared" si="42"/>
        <v xml:space="preserve">		public const int MaxPartNoLength = 12;
</v>
      </c>
      <c r="J15" t="str">
        <f t="shared" si="43"/>
        <v xml:space="preserve">		[StringLength(MaxPartNoLength)]
		public virtual string PartNo { get; set; }
</v>
      </c>
      <c r="K15" s="6"/>
      <c r="L15" t="str">
        <f t="shared" si="44"/>
        <v/>
      </c>
      <c r="M15" t="str">
        <f t="shared" si="45"/>
        <v xml:space="preserve">		public virtual string PartNo { get; set; }
</v>
      </c>
      <c r="N15" t="str">
        <f t="shared" si="46"/>
        <v xml:space="preserve">		[StringLength(InvDrmImportPlanConsts.MaxPartNoLength)]
		public virtual string PartNo { get; set; }
</v>
      </c>
      <c r="O15" t="str">
        <f t="shared" si="47"/>
        <v xml:space="preserve">		public virtual string PartNo { get; set; }
</v>
      </c>
      <c r="P15" t="str">
        <f t="shared" si="48"/>
        <v xml:space="preserve">							PartNo = o.PartNo,</v>
      </c>
      <c r="T15" s="63" t="str">
        <f t="shared" si="49"/>
        <v xml:space="preserve">								("PartNo"),</v>
      </c>
      <c r="V15" s="64" t="str">
        <f t="shared" si="50"/>
        <v xml:space="preserve">								_ =&gt; _.PartNo,</v>
      </c>
      <c r="W15" s="63" t="str">
        <f t="shared" si="51"/>
        <v xml:space="preserve">				.WhereIf(!string.IsNullOrWhiteSpace(input.PartNo), e =&gt; e.PartNo.Contains(input.PartNo))</v>
      </c>
    </row>
    <row r="16" spans="1:23" customFormat="1" ht="18.75" customHeight="1" x14ac:dyDescent="0.25">
      <c r="A16" t="s">
        <v>357</v>
      </c>
      <c r="B16" t="s">
        <v>376</v>
      </c>
      <c r="C16" t="s">
        <v>1</v>
      </c>
      <c r="D16" t="str">
        <f t="shared" si="39"/>
        <v>PartName</v>
      </c>
      <c r="E16" t="str">
        <f t="shared" si="40"/>
        <v>NVARCHAR</v>
      </c>
      <c r="F16" s="6"/>
      <c r="G16" t="str">
        <f t="shared" si="41"/>
        <v>300</v>
      </c>
      <c r="H16" t="str">
        <f>+VLOOKUP(E16,'Data Type Mapping'!A:B,2,)</f>
        <v>string</v>
      </c>
      <c r="I16" t="str">
        <f t="shared" si="42"/>
        <v xml:space="preserve">		public const int MaxPartNameLength = 300;
</v>
      </c>
      <c r="J16" t="str">
        <f t="shared" si="43"/>
        <v xml:space="preserve">		[StringLength(MaxPartNameLength)]
		public virtual string PartName { get; set; }
</v>
      </c>
      <c r="K16" s="6"/>
      <c r="L16" t="str">
        <f t="shared" si="44"/>
        <v/>
      </c>
      <c r="M16" t="str">
        <f t="shared" si="45"/>
        <v xml:space="preserve">		public virtual string PartName { get; set; }
</v>
      </c>
      <c r="N16" t="str">
        <f t="shared" si="46"/>
        <v xml:space="preserve">		[StringLength(InvDrmImportPlanConsts.MaxPartNameLength)]
		public virtual string PartName { get; set; }
</v>
      </c>
      <c r="O16" t="str">
        <f t="shared" si="47"/>
        <v xml:space="preserve">		public virtual string PartName { get; set; }
</v>
      </c>
      <c r="P16" t="str">
        <f t="shared" si="48"/>
        <v xml:space="preserve">							PartName = o.PartName,</v>
      </c>
      <c r="T16" s="63" t="str">
        <f t="shared" si="49"/>
        <v xml:space="preserve">								("PartName"),</v>
      </c>
      <c r="V16" s="64" t="str">
        <f t="shared" si="50"/>
        <v xml:space="preserve">								_ =&gt; _.PartName,</v>
      </c>
      <c r="W16" s="63" t="str">
        <f t="shared" si="51"/>
        <v xml:space="preserve">				.WhereIf(!string.IsNullOrWhiteSpace(input.PartName), e =&gt; e.PartName.Contains(input.PartName))</v>
      </c>
    </row>
    <row r="17" spans="1:23" customFormat="1" ht="18.75" customHeight="1" x14ac:dyDescent="0.25">
      <c r="A17" t="s">
        <v>358</v>
      </c>
      <c r="B17" t="s">
        <v>354</v>
      </c>
      <c r="C17" t="s">
        <v>1</v>
      </c>
      <c r="D17" t="str">
        <f t="shared" ref="D17:D18" si="52">SUBSTITUTE(PROPER(A17),"_","")</f>
        <v>Qty</v>
      </c>
      <c r="E17" t="str">
        <f t="shared" ref="E17:E18" si="53">IFERROR(LEFT(B17, FIND("(",B17)-1),B17)</f>
        <v>INT</v>
      </c>
      <c r="F17" s="6"/>
      <c r="G17" t="str">
        <f t="shared" ref="G17:G18" si="54">IFERROR(MID(B17,FIND("(",B17) +1, FIND(")",B17) - FIND("(",B17) - 1),"")</f>
        <v/>
      </c>
      <c r="H17" t="str">
        <f>+VLOOKUP(E17,'Data Type Mapping'!A:B,2,)</f>
        <v>int?</v>
      </c>
      <c r="I17" t="str">
        <f t="shared" ref="I17:I18" si="55">IF(H17="string",REPT(CHAR(9),2)&amp;"public const int Max"&amp;D17&amp;"Length = "&amp;G17&amp;";"&amp;$E$3,"" )</f>
        <v/>
      </c>
      <c r="J17" t="str">
        <f t="shared" ref="J17:J18" si="56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public virtual int? Qty { get; set; }
</v>
      </c>
      <c r="K17" s="6"/>
      <c r="L17" t="str">
        <f t="shared" ref="L17:L18" si="57">IF(K17="","",REPT(CHAR(9),1)&amp;"[Index(nameof("&amp;IF(D17="","",""&amp;D17)&amp;")"&amp;", Name="&amp;"""IX_"&amp;$B$7&amp;"_"&amp;D17&amp;""")]")</f>
        <v/>
      </c>
      <c r="M17" t="str">
        <f t="shared" ref="M17:M18" si="58">REPT(CHAR(9),2)&amp;"public virtual "&amp;IF(OR(H17="DateTime",H17="TimeSpan"),H17&amp;"?",H17)&amp;IF(C17="?","? "," ")&amp;D17&amp;" { get; set; }" &amp; "
"</f>
        <v xml:space="preserve">		public virtual int? Qty { get; set; }
</v>
      </c>
      <c r="N17" t="str">
        <f t="shared" ref="N17:N18" si="59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public virtual int? Qty { get; set; }
</v>
      </c>
      <c r="O17" t="str">
        <f t="shared" ref="O17:O18" si="60">IF(OR(H17="string",H17="DateTime",H17="int"),REPT(CHAR(9),2)&amp;"public virtual "&amp;IF(OR(H17="DateTime",H17="TimeSpan"),H17&amp;"?",H17)&amp;IF(C17="?","? "," ")&amp;D17&amp;" { get; set; }"&amp;$E$3,"")</f>
        <v/>
      </c>
      <c r="P17" t="str">
        <f t="shared" ref="P17:P18" si="61">REPT(CHAR(9),7)&amp;D17&amp;" = o." &amp;D17 &amp;","</f>
        <v xml:space="preserve">							Qty = o.Qty,</v>
      </c>
      <c r="T17" s="63" t="str">
        <f t="shared" ref="T17:T18" si="62">REPT(CHAR(9),8)&amp;"("""&amp;D17&amp;"""),"</f>
        <v xml:space="preserve">								("Qty"),</v>
      </c>
      <c r="V17" s="64" t="str">
        <f t="shared" ref="V17:V18" si="63">REPT(CHAR(9),8)&amp;"_ =&gt; _."&amp;D17&amp;","</f>
        <v xml:space="preserve">								_ =&gt; _.Qty,</v>
      </c>
      <c r="W17" s="63" t="str">
        <f t="shared" ref="W17:W18" si="64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/>
      </c>
    </row>
    <row r="18" spans="1:23" customFormat="1" ht="18.75" customHeight="1" x14ac:dyDescent="0.25">
      <c r="A18" t="s">
        <v>368</v>
      </c>
      <c r="B18" t="s">
        <v>359</v>
      </c>
      <c r="C18" t="s">
        <v>1</v>
      </c>
      <c r="D18" t="str">
        <f t="shared" si="52"/>
        <v>PackingMonth</v>
      </c>
      <c r="E18" t="str">
        <f t="shared" si="53"/>
        <v>DATETIME</v>
      </c>
      <c r="F18" s="6"/>
      <c r="G18" t="str">
        <f t="shared" si="54"/>
        <v/>
      </c>
      <c r="H18" t="str">
        <f>+VLOOKUP(E18,'Data Type Mapping'!A:B,2,)</f>
        <v>DateTime?</v>
      </c>
      <c r="I18" t="str">
        <f t="shared" si="55"/>
        <v/>
      </c>
      <c r="J18" t="str">
        <f t="shared" si="56"/>
        <v xml:space="preserve">		public virtual DateTime? PackingMonth { get; set; }
</v>
      </c>
      <c r="K18" s="6"/>
      <c r="L18" t="str">
        <f t="shared" si="57"/>
        <v/>
      </c>
      <c r="M18" t="str">
        <f t="shared" si="58"/>
        <v xml:space="preserve">		public virtual DateTime? PackingMonth { get; set; }
</v>
      </c>
      <c r="N18" t="str">
        <f t="shared" si="59"/>
        <v xml:space="preserve">		public virtual DateTime? PackingMonth { get; set; }
</v>
      </c>
      <c r="O18" t="str">
        <f t="shared" si="60"/>
        <v/>
      </c>
      <c r="P18" t="str">
        <f t="shared" si="61"/>
        <v xml:space="preserve">							PackingMonth = o.PackingMonth,</v>
      </c>
      <c r="T18" s="63" t="str">
        <f t="shared" si="62"/>
        <v xml:space="preserve">								("PackingMonth"),</v>
      </c>
      <c r="V18" s="64" t="str">
        <f t="shared" si="63"/>
        <v xml:space="preserve">								_ =&gt; _.PackingMonth,</v>
      </c>
      <c r="W18" s="63" t="str">
        <f t="shared" si="64"/>
        <v/>
      </c>
    </row>
    <row r="19" spans="1:23" customFormat="1" ht="18.75" customHeight="1" x14ac:dyDescent="0.25">
      <c r="A19" t="s">
        <v>369</v>
      </c>
      <c r="B19" t="s">
        <v>359</v>
      </c>
      <c r="C19" t="s">
        <v>1</v>
      </c>
      <c r="D19" t="str">
        <f t="shared" ref="D19" si="65">SUBSTITUTE(PROPER(A19),"_","")</f>
        <v>DelayEtd</v>
      </c>
      <c r="E19" t="str">
        <f t="shared" ref="E19" si="66">IFERROR(LEFT(B19, FIND("(",B19)-1),B19)</f>
        <v>DATETIME</v>
      </c>
      <c r="F19" s="6"/>
      <c r="G19" t="str">
        <f t="shared" ref="G19" si="67">IFERROR(MID(B19,FIND("(",B19) +1, FIND(")",B19) - FIND("(",B19) - 1),"")</f>
        <v/>
      </c>
      <c r="H19" t="str">
        <f>+VLOOKUP(E19,'Data Type Mapping'!A:B,2,)</f>
        <v>DateTime?</v>
      </c>
      <c r="I19" t="str">
        <f t="shared" ref="I19" si="68">IF(H19="string",REPT(CHAR(9),2)&amp;"public const int Max"&amp;D19&amp;"Length = "&amp;G19&amp;";"&amp;$E$3,"" )</f>
        <v/>
      </c>
      <c r="J19" t="str">
        <f t="shared" ref="J19" si="69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public virtual DateTime? DelayEtd { get; set; }
</v>
      </c>
      <c r="K19" s="6"/>
      <c r="L19" t="str">
        <f t="shared" ref="L19" si="70">IF(K19="","",REPT(CHAR(9),1)&amp;"[Index(nameof("&amp;IF(D19="","",""&amp;D19)&amp;")"&amp;", Name="&amp;"""IX_"&amp;$B$7&amp;"_"&amp;D19&amp;""")]")</f>
        <v/>
      </c>
      <c r="M19" t="str">
        <f t="shared" ref="M19" si="71">REPT(CHAR(9),2)&amp;"public virtual "&amp;IF(OR(H19="DateTime",H19="TimeSpan"),H19&amp;"?",H19)&amp;IF(C19="?","? "," ")&amp;D19&amp;" { get; set; }" &amp; "
"</f>
        <v xml:space="preserve">		public virtual DateTime? DelayEtd { get; set; }
</v>
      </c>
      <c r="N19" t="str">
        <f t="shared" ref="N19" si="72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public virtual DateTime? DelayEtd { get; set; }
</v>
      </c>
      <c r="O19" t="str">
        <f t="shared" ref="O19" si="73">IF(OR(H19="string",H19="DateTime",H19="int"),REPT(CHAR(9),2)&amp;"public virtual "&amp;IF(OR(H19="DateTime",H19="TimeSpan"),H19&amp;"?",H19)&amp;IF(C19="?","? "," ")&amp;D19&amp;" { get; set; }"&amp;$E$3,"")</f>
        <v/>
      </c>
      <c r="P19" t="str">
        <f t="shared" ref="P19" si="74">REPT(CHAR(9),7)&amp;D19&amp;" = o." &amp;D19 &amp;","</f>
        <v xml:space="preserve">							DelayEtd = o.DelayEtd,</v>
      </c>
      <c r="T19" s="63" t="str">
        <f t="shared" ref="T19" si="75">REPT(CHAR(9),8)&amp;"("""&amp;D19&amp;"""),"</f>
        <v xml:space="preserve">								("DelayEtd"),</v>
      </c>
      <c r="V19" s="64" t="str">
        <f t="shared" ref="V19" si="76">REPT(CHAR(9),8)&amp;"_ =&gt; _."&amp;D19&amp;","</f>
        <v xml:space="preserve">								_ =&gt; _.DelayEtd,</v>
      </c>
      <c r="W19" s="63" t="str">
        <f t="shared" ref="W19" si="77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/>
      </c>
    </row>
    <row r="20" spans="1:23" customFormat="1" ht="18.75" customHeight="1" x14ac:dyDescent="0.25">
      <c r="A20" t="s">
        <v>370</v>
      </c>
      <c r="B20" t="s">
        <v>359</v>
      </c>
      <c r="C20" t="s">
        <v>1</v>
      </c>
      <c r="D20" t="str">
        <f t="shared" ref="D20:D21" si="78">SUBSTITUTE(PROPER(A20),"_","")</f>
        <v>DelayEta</v>
      </c>
      <c r="E20" t="str">
        <f t="shared" ref="E20:E21" si="79">IFERROR(LEFT(B20, FIND("(",B20)-1),B20)</f>
        <v>DATETIME</v>
      </c>
      <c r="F20" s="6"/>
      <c r="G20" t="str">
        <f t="shared" ref="G20:G21" si="80">IFERROR(MID(B20,FIND("(",B20) +1, FIND(")",B20) - FIND("(",B20) - 1),"")</f>
        <v/>
      </c>
      <c r="H20" t="str">
        <f>+VLOOKUP(E20,'Data Type Mapping'!A:B,2,)</f>
        <v>DateTime?</v>
      </c>
      <c r="I20" t="str">
        <f t="shared" ref="I20:I21" si="81">IF(H20="string",REPT(CHAR(9),2)&amp;"public const int Max"&amp;D20&amp;"Length = "&amp;G20&amp;";"&amp;$E$3,"" )</f>
        <v/>
      </c>
      <c r="J20" t="str">
        <f t="shared" ref="J20:J21" si="82"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public virtual DateTime? DelayEta { get; set; }
</v>
      </c>
      <c r="K20" s="6"/>
      <c r="L20" t="str">
        <f t="shared" ref="L20:L21" si="83">IF(K20="","",REPT(CHAR(9),1)&amp;"[Index(nameof("&amp;IF(D20="","",""&amp;D20)&amp;")"&amp;", Name="&amp;"""IX_"&amp;$B$7&amp;"_"&amp;D20&amp;""")]")</f>
        <v/>
      </c>
      <c r="M20" t="str">
        <f t="shared" ref="M20:M21" si="84">REPT(CHAR(9),2)&amp;"public virtual "&amp;IF(OR(H20="DateTime",H20="TimeSpan"),H20&amp;"?",H20)&amp;IF(C20="?","? "," ")&amp;D20&amp;" { get; set; }" &amp; "
"</f>
        <v xml:space="preserve">		public virtual DateTime? DelayEta { get; set; }
</v>
      </c>
      <c r="N20" t="str">
        <f t="shared" ref="N20:N21" si="85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public virtual DateTime? DelayEta { get; set; }
</v>
      </c>
      <c r="O20" t="str">
        <f t="shared" ref="O20:O21" si="86">IF(OR(H20="string",H20="DateTime",H20="int"),REPT(CHAR(9),2)&amp;"public virtual "&amp;IF(OR(H20="DateTime",H20="TimeSpan"),H20&amp;"?",H20)&amp;IF(C20="?","? "," ")&amp;D20&amp;" { get; set; }"&amp;$E$3,"")</f>
        <v/>
      </c>
      <c r="P20" t="str">
        <f t="shared" ref="P20:P21" si="87">REPT(CHAR(9),7)&amp;D20&amp;" = o." &amp;D20 &amp;","</f>
        <v xml:space="preserve">							DelayEta = o.DelayEta,</v>
      </c>
      <c r="T20" s="63" t="str">
        <f t="shared" ref="T20:T21" si="88">REPT(CHAR(9),8)&amp;"("""&amp;D20&amp;"""),"</f>
        <v xml:space="preserve">								("DelayEta"),</v>
      </c>
      <c r="V20" s="64" t="str">
        <f t="shared" ref="V20:V21" si="89">REPT(CHAR(9),8)&amp;"_ =&gt; _."&amp;D20&amp;","</f>
        <v xml:space="preserve">								_ =&gt; _.DelayEta,</v>
      </c>
      <c r="W20" s="63" t="str">
        <f t="shared" ref="W20:W21" si="90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/>
      </c>
    </row>
    <row r="21" spans="1:23" customFormat="1" ht="18.75" customHeight="1" x14ac:dyDescent="0.25">
      <c r="A21" t="s">
        <v>371</v>
      </c>
      <c r="B21" t="s">
        <v>378</v>
      </c>
      <c r="C21" t="s">
        <v>1</v>
      </c>
      <c r="D21" t="str">
        <f t="shared" si="78"/>
        <v>Remark</v>
      </c>
      <c r="E21" t="str">
        <f t="shared" si="79"/>
        <v>NVARCHAR</v>
      </c>
      <c r="F21" s="6"/>
      <c r="G21" t="str">
        <f t="shared" si="80"/>
        <v>1000</v>
      </c>
      <c r="H21" t="str">
        <f>+VLOOKUP(E21,'Data Type Mapping'!A:B,2,)</f>
        <v>string</v>
      </c>
      <c r="I21" t="str">
        <f t="shared" si="81"/>
        <v xml:space="preserve">		public const int MaxRemarkLength = 1000;
</v>
      </c>
      <c r="J21" t="str">
        <f t="shared" si="82"/>
        <v xml:space="preserve">		[StringLength(MaxRemarkLength)]
		public virtual string Remark { get; set; }
</v>
      </c>
      <c r="K21" s="6"/>
      <c r="L21" t="str">
        <f t="shared" si="83"/>
        <v/>
      </c>
      <c r="M21" t="str">
        <f t="shared" si="84"/>
        <v xml:space="preserve">		public virtual string Remark { get; set; }
</v>
      </c>
      <c r="N21" t="str">
        <f t="shared" si="85"/>
        <v xml:space="preserve">		[StringLength(InvDrmImportPlanConsts.MaxRemarkLength)]
		public virtual string Remark { get; set; }
</v>
      </c>
      <c r="O21" t="str">
        <f t="shared" si="86"/>
        <v xml:space="preserve">		public virtual string Remark { get; set; }
</v>
      </c>
      <c r="P21" t="str">
        <f t="shared" si="87"/>
        <v xml:space="preserve">							Remark = o.Remark,</v>
      </c>
      <c r="T21" s="63" t="str">
        <f t="shared" si="88"/>
        <v xml:space="preserve">								("Remark"),</v>
      </c>
      <c r="V21" s="64" t="str">
        <f t="shared" si="89"/>
        <v xml:space="preserve">								_ =&gt; _.Remark,</v>
      </c>
      <c r="W21" s="63" t="str">
        <f t="shared" si="90"/>
        <v xml:space="preserve">				.WhereIf(!string.IsNullOrWhiteSpace(input.Remark), e =&gt; e.Remark.Contains(input.Remark))</v>
      </c>
    </row>
    <row r="22" spans="1:23" customFormat="1" ht="18.75" customHeight="1" x14ac:dyDescent="0.25">
      <c r="A22" t="s">
        <v>372</v>
      </c>
      <c r="B22" t="s">
        <v>359</v>
      </c>
      <c r="C22" t="s">
        <v>1</v>
      </c>
      <c r="D22" t="str">
        <f t="shared" ref="D22" si="91">SUBSTITUTE(PROPER(A22),"_","")</f>
        <v>Ata</v>
      </c>
      <c r="E22" t="str">
        <f t="shared" ref="E22" si="92">IFERROR(LEFT(B22, FIND("(",B22)-1),B22)</f>
        <v>DATETIME</v>
      </c>
      <c r="F22" s="6"/>
      <c r="G22" t="str">
        <f t="shared" ref="G22" si="93">IFERROR(MID(B22,FIND("(",B22) +1, FIND(")",B22) - FIND("(",B22) - 1),"")</f>
        <v/>
      </c>
      <c r="H22" t="str">
        <f>+VLOOKUP(E22,'Data Type Mapping'!A:B,2,)</f>
        <v>DateTime?</v>
      </c>
      <c r="I22" t="str">
        <f t="shared" ref="I22" si="94">IF(H22="string",REPT(CHAR(9),2)&amp;"public const int Max"&amp;D22&amp;"Length = "&amp;G22&amp;";"&amp;$E$3,"" )</f>
        <v/>
      </c>
      <c r="J22" t="str">
        <f t="shared" ref="J22" si="95">IF(F22="","",REPT(CHAR(9),2)&amp;"[Column(TypeName="""&amp;F22&amp;""")]"&amp;$E$3)&amp;IF(C22="Checked","",$I$3)&amp;IF(H22="string",REPT(CHAR(9),2)&amp;"[StringLength(Max"&amp;D22&amp;"Length"&amp;")]"&amp;$E$3,"")&amp;REPT(CHAR(9),2)&amp;"public virtual "&amp;H22&amp;IF(C22="?","? "," ")&amp;D22&amp;" { get; set; }" &amp; "
"</f>
        <v xml:space="preserve">		public virtual DateTime? Ata { get; set; }
</v>
      </c>
      <c r="K22" s="6"/>
      <c r="L22" t="str">
        <f t="shared" ref="L22" si="96">IF(K22="","",REPT(CHAR(9),1)&amp;"[Index(nameof("&amp;IF(D22="","",""&amp;D22)&amp;")"&amp;", Name="&amp;"""IX_"&amp;$B$7&amp;"_"&amp;D22&amp;""")]")</f>
        <v/>
      </c>
      <c r="M22" t="str">
        <f t="shared" ref="M22" si="97">REPT(CHAR(9),2)&amp;"public virtual "&amp;IF(OR(H22="DateTime",H22="TimeSpan"),H22&amp;"?",H22)&amp;IF(C22="?","? "," ")&amp;D22&amp;" { get; set; }" &amp; "
"</f>
        <v xml:space="preserve">		public virtual DateTime? Ata { get; set; }
</v>
      </c>
      <c r="N22" t="str">
        <f t="shared" ref="N22" si="98">IF(C22="Checked","",$I$3)&amp;IF(H22="string",REPT(CHAR(9),2)&amp;"[StringLength("&amp;$B$3&amp;"Consts.Max"&amp;D22&amp;"Length"&amp;")]"&amp;$E$3,"")&amp;REPT(CHAR(9),2)&amp;"public virtual "&amp;IF(OR(H22="DateTime",H22="TimeSpan"),H22&amp;"?",H22)&amp;IF(C22="?","? "," ")&amp;D22&amp;" { get; set; }" &amp; "
"</f>
        <v xml:space="preserve">		public virtual DateTime? Ata { get; set; }
</v>
      </c>
      <c r="O22" t="str">
        <f t="shared" ref="O22" si="99">IF(OR(H22="string",H22="DateTime",H22="int"),REPT(CHAR(9),2)&amp;"public virtual "&amp;IF(OR(H22="DateTime",H22="TimeSpan"),H22&amp;"?",H22)&amp;IF(C22="?","? "," ")&amp;D22&amp;" { get; set; }"&amp;$E$3,"")</f>
        <v/>
      </c>
      <c r="P22" t="str">
        <f t="shared" ref="P22" si="100">REPT(CHAR(9),7)&amp;D22&amp;" = o." &amp;D22 &amp;","</f>
        <v xml:space="preserve">							Ata = o.Ata,</v>
      </c>
      <c r="T22" s="63" t="str">
        <f t="shared" ref="T22" si="101">REPT(CHAR(9),8)&amp;"("""&amp;D22&amp;"""),"</f>
        <v xml:space="preserve">								("Ata"),</v>
      </c>
      <c r="V22" s="64" t="str">
        <f t="shared" ref="V22" si="102">REPT(CHAR(9),8)&amp;"_ =&gt; _."&amp;D22&amp;","</f>
        <v xml:space="preserve">								_ =&gt; _.Ata,</v>
      </c>
      <c r="W22" s="63" t="str">
        <f t="shared" ref="W22" si="103">IF(H22="string",REPT(CHAR(9),4)&amp;".WhereIf(!string.IsNullOrWhiteSpace(input."&amp;D22&amp;"), e =&gt; e."&amp;D22&amp;".Contains(input."&amp;D22&amp;"))",IF(H22="DateTime",REPT(CHAR(9),4)&amp;".WhereIf(input."&amp;D22&amp;".HasValue, t =&gt; t."&amp;D22&amp;" == input."&amp;D22&amp;".Value)",""))</f>
        <v/>
      </c>
    </row>
    <row r="24" spans="1:23" ht="45.75" customHeight="1" x14ac:dyDescent="0.25">
      <c r="H24" s="11"/>
      <c r="I24" s="31" t="str">
        <f ca="1">TEXTJOIN2("
", TRUE,INDIRECT( $H$1):INDIRECT( $H$3))</f>
        <v xml:space="preserve">		public const int MaxSupplierNoLength = 10;
		public const int MaxShipmentNoLength = 10;
		public const int MaxCfcLength = 4;
		public const int MaxPartCodeLength = 60;
		public const int MaxPartNoLength = 12;
		public const int MaxPartNameLength = 300;
		public const int MaxRemarkLength = 1000;
</v>
      </c>
      <c r="J24" s="30" t="str">
        <f ca="1">TEXTJOIN2("
", TRUE,INDIRECT( $F$1):INDIRECT( $F$3))</f>
        <v xml:space="preserve">		[StringLength(MaxSupplierNoLength)]
		public virtual string SupplierNo { get; set; }
		public virtual DateTime? Etd { get; set; }
		public virtual DateTime? Eta { get; set; }
		[StringLength(MaxShipmentNoLength)]
		public virtual string ShipmentNo { get; set; }
		[StringLength(MaxCfcLength)]
		public virtual string Cfc { get; set; }
		[StringLength(MaxPartCodeLength)]
		public virtual string PartCode { get; set; }
		[StringLength(MaxPartNoLength)]
		public virtual string PartNo { get; set; }
		[StringLength(MaxPartNameLength)]
		public virtual string PartName { get; set; }
		public virtual int? Qty { get; set; }
		public virtual DateTime? PackingMonth { get; set; }
		public virtual DateTime? DelayEtd { get; set; }
		public virtual DateTime? DelayEta { get; set; }
		[StringLength(MaxRemarkLength)]
		public virtual string Remark { get; set; }
		public virtual DateTime? Ata { get; set; }
</v>
      </c>
      <c r="K24" s="32" t="str">
        <f ca="1">TEXTJOIN2("
", TRUE,INDIRECT( $J$1):INDIRECT( $J$3))</f>
        <v/>
      </c>
      <c r="L24" s="12" t="s">
        <v>57</v>
      </c>
      <c r="M24" s="33" t="str">
        <f ca="1">TEXTJOIN2("
",TRUE,INDIRECT( $L$1):INDIRECT($L$3))</f>
        <v xml:space="preserve">		public virtual string SupplierNo { get; set; }
		public virtual DateTime? Etd { get; set; }
		public virtual DateTime? Eta { get; set; }
		public virtual string ShipmentNo { get; set; }
		public virtual string Cfc { get; set; }
		public virtual string PartCode { get; set; }
		public virtual string PartNo { get; set; }
		public virtual string PartName { get; set; }
		public virtual int? Qty { get; set; }
		public virtual DateTime? PackingMonth { get; set; }
		public virtual DateTime? DelayEtd { get; set; }
		public virtual DateTime? DelayEta { get; set; }
		public virtual string Remark { get; set; }
		public virtual DateTime? Ata { get; set; }
</v>
      </c>
      <c r="N24" s="30" t="str">
        <f ca="1">TEXTJOIN2("
",TRUE,INDIRECT( $M$1):INDIRECT($M$3))</f>
        <v xml:space="preserve">		[StringLength(InvDrmImportPlanConsts.MaxSupplierNoLength)]
		public virtual string SupplierNo { get; set; }
		public virtual DateTime? Etd { get; set; }
		public virtual DateTime? Eta { get; set; }
		[StringLength(InvDrmImportPlanConsts.MaxShipmentNoLength)]
		public virtual string ShipmentNo { get; set; }
		[StringLength(InvDrmImportPlanConsts.MaxCfcLength)]
		public virtual string Cfc { get; set; }
		[StringLength(InvDrmImportPlanConsts.MaxPartCodeLength)]
		public virtual string PartCode { get; set; }
		[StringLength(InvDrmImportPlanConsts.MaxPartNoLength)]
		public virtual string PartNo { get; set; }
		[StringLength(InvDrmImportPlanConsts.MaxPartNameLength)]
		public virtual string PartName { get; set; }
		public virtual int? Qty { get; set; }
		public virtual DateTime? PackingMonth { get; set; }
		public virtual DateTime? DelayEtd { get; set; }
		public virtual DateTime? DelayEta { get; set; }
		[StringLength(InvDrmImportPlanConsts.MaxRemarkLength)]
		public virtual string Remark { get; set; }
		public virtual DateTime? Ata { get; set; }
</v>
      </c>
      <c r="O24" s="30" t="str">
        <f ca="1">TEXTJOIN2("
",TRUE,INDIRECT( $N$1):INDIRECT($N$3))</f>
        <v xml:space="preserve">		public virtual string SupplierNo { get; set; }
		public virtual string ShipmentNo { get; set; }
		public virtual string Cfc { get; set; }
		public virtual string PartCode { get; set; }
		public virtual string PartNo { get; set; }
		public virtual string PartName { get; set; }
		public virtual string Remark { get; set; }
</v>
      </c>
      <c r="P24" s="8" t="str">
        <f ca="1">TEXTJOIN2("
",TRUE,INDIRECT( $O$1):INDIRECT($O$3))</f>
        <v xml:space="preserve">							SupplierNo = o.SupplierNo,
							Etd = o.Etd,
							Eta = o.Eta,
							ShipmentNo = o.ShipmentNo,
							Cfc = o.Cfc,
							PartCode = o.PartCode,
							PartNo = o.PartNo,
							PartName = o.PartName,
							Qty = o.Qty,
							PackingMonth = o.PackingMonth,
							DelayEtd = o.DelayEtd,
							DelayEta = o.DelayEta,
							Remark = o.Remark,
							Ata = o.Ata,</v>
      </c>
      <c r="T24" s="8" t="str">
        <f ca="1">TEXTJOIN2("
",TRUE,INDIRECT( $T$2):INDIRECT($T$3))</f>
        <v xml:space="preserve">								("SupplierNo"),
								("Etd"),
								("Eta"),
								("ShipmentNo"),
								("Cfc"),
								("PartCode"),
								("PartNo"),
								("PartName"),
								("Qty"),
								("PackingMonth"),
								("DelayEtd"),
								("DelayEta"),
								("Remark"),
								("Ata"),</v>
      </c>
      <c r="V24" s="8" t="str">
        <f ca="1">TEXTJOIN2("
",TRUE,INDIRECT( $V$2):INDIRECT($V$3))</f>
        <v xml:space="preserve">								_ =&gt; _.SupplierNo,
								_ =&gt; _.Etd,
								_ =&gt; _.Eta,
								_ =&gt; _.ShipmentNo,
								_ =&gt; _.Cfc,
								_ =&gt; _.PartCode,
								_ =&gt; _.PartNo,
								_ =&gt; _.PartName,
								_ =&gt; _.Qty,
								_ =&gt; _.PackingMonth,
								_ =&gt; _.DelayEtd,
								_ =&gt; _.DelayEta,
								_ =&gt; _.Remark,
								_ =&gt; _.Ata,</v>
      </c>
      <c r="W24" s="8" t="str">
        <f ca="1">TEXTJOIN2("
",TRUE,INDIRECT( $W$2):INDIRECT($W$3))</f>
        <v xml:space="preserve">				.WhereIf(!string.IsNullOrWhiteSpace(input.SupplierNo), e =&gt; e.SupplierNo.Contains(input.SupplierNo))
				.WhereIf(!string.IsNullOrWhiteSpace(input.ShipmentNo), e =&gt; e.ShipmentNo.Contains(input.ShipmentNo))
				.WhereIf(!string.IsNullOrWhiteSpace(input.Cfc), e =&gt; e.Cfc.Contains(input.Cfc))
				.WhereIf(!string.IsNullOrWhiteSpace(input.PartCode), e =&gt; e.PartCode.Contains(input.PartCode))
				.WhereIf(!string.IsNullOrWhiteSpace(input.PartNo), e =&gt; e.PartNo.Contains(input.PartNo))
				.WhereIf(!string.IsNullOrWhiteSpace(input.PartName), e =&gt; e.PartName.Contains(input.PartName))
				.WhereIf(!string.IsNullOrWhiteSpace(input.Remark), e =&gt; e.Remark.Contains(input.Remark))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"/>
  <sheetViews>
    <sheetView tabSelected="1" workbookViewId="0">
      <selection activeCell="C17" sqref="C17"/>
    </sheetView>
  </sheetViews>
  <sheetFormatPr defaultColWidth="8.7109375" defaultRowHeight="15" x14ac:dyDescent="0.25"/>
  <cols>
    <col min="1" max="1" width="17.7109375" customWidth="1"/>
    <col min="2" max="2" width="15.42578125" customWidth="1"/>
    <col min="3" max="3" width="16.7109375" customWidth="1"/>
    <col min="4" max="7" width="15.28515625" customWidth="1"/>
    <col min="8" max="8" width="24.42578125" customWidth="1"/>
    <col min="9" max="9" width="26.28515625" customWidth="1"/>
    <col min="10" max="10" width="22.28515625" customWidth="1"/>
    <col min="11" max="11" width="25.7109375" customWidth="1"/>
    <col min="12" max="12" width="23.7109375" customWidth="1"/>
    <col min="13" max="13" width="23.42578125" customWidth="1"/>
    <col min="14" max="15" width="20.42578125" customWidth="1"/>
    <col min="16" max="16" width="25.7109375" customWidth="1"/>
    <col min="17" max="18" width="25.42578125" customWidth="1"/>
    <col min="19" max="19" width="24" customWidth="1"/>
    <col min="20" max="20" width="19.28515625" customWidth="1"/>
    <col min="21" max="21" width="19.7109375" customWidth="1"/>
    <col min="22" max="22" width="13.7109375" customWidth="1"/>
  </cols>
  <sheetData>
    <row r="1" spans="1:22" ht="60" x14ac:dyDescent="0.25">
      <c r="A1" s="38" t="s">
        <v>208</v>
      </c>
      <c r="B1" s="65" t="s">
        <v>379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DRM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drm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InvDrmImportPlan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DrmImportPlan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drmimportplan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InvDrmImportPlanDto, InvDrmImportPlanServiceProxy } from '@shared/service-proxies/service-proxies';
import { finalize } from 'rxjs/internal/operators/finalize';
import { CreateOrEditDrmImportPlanModalComponent } from './create-or-edit-drmimportplan-modal.component';
import { DatePipe } from '@angular/common';
import { FileDownloadService } from '@shared/utils/file-download.service';
import ceil from 'lodash-es/ceil';
import { Paginator } from 'primeng/paginator';
@Component({
    templateUrl: './drmimportplan.component.html',
    styleUrls: ['./drmimportplan.component.less'],
})
export class DrmImportPlanComponent extends AppComponentBase implements OnInit {
    @ViewChild('createOrEditModalDrmImportPlan', { static: true }) createOrEditModalDrmImportPlan:| CreateOrEditDrmImportPlanModalComponent|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InvDrmImportPlanDto = new InvDrmImportPlanDto();
    saveSelectedRow: InvDrmImportPlanDto = new InvDrmImportPlanDto();
    datas: InvDrmImportPlanDto = new InvDrmImportPlanDto();
    isLoading: boolean = false;
    dataParams: GridParams | undefined;
    rowData: any[] = [];
    gridApi!: GridApi;
    rowSelection = 'multiple';
    filter: string = '';
	pipe = new DatePipe('en-US');
	frameworkComponents: FrameworkComponent;
    	supplierNo : string = '' ; 
	etd
	eta
	shipmentNo : string = '' ; 
	cfc : string = '' ; 
	partCode : string = '' ; 
	partNo : string = '' ; 
	partName : string = '' ; 
	qty
	packingMonth
	delayEtd
	delayEta
	remark : string = '' ; 
	ata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InvDrmImportPlanServiceProxy,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this.l('Supplier No'),headerTooltip: this.l('Supplier No'),field: 'supplierNo',flex: 1},
			{headerName: this.l('Etd'),headerTooltip: this.l('Etd'),field: 'etd',flex: 1},
			{headerName: this.l('Eta'),headerTooltip: this.l('Eta'),field: 'eta',flex: 1},
			{headerName: this.l('Shipment No'),headerTooltip: this.l('Shipment No'),field: 'shipmentNo',flex: 1},
			{headerName: this.l('Cfc'),headerTooltip: this.l('Cfc'),field: 'cfc',flex: 1},
			{headerName: this.l('Part Code'),headerTooltip: this.l('Part Code'),field: 'partCode',flex: 1},
			{headerName: this.l('Part No'),headerTooltip: this.l('Part No'),field: 'partNo',flex: 1},
			{headerName: this.l('Part Name'),headerTooltip: this.l('Part Name'),field: 'partName',flex: 1},
			{headerName: this.l('Qty'),headerTooltip: this.l('Qty'),field: 'qty',flex: 1},
			{headerName: this.l('Packing Month'),headerTooltip: this.l('Packing Month'),field: 'packingMonth',flex: 1},
			{headerName: this.l('Delay Etd'),headerTooltip: this.l('Delay Etd'),field: 'delayEtd',flex: 1},
			{headerName: this.l('Delay Eta'),headerTooltip: this.l('Delay Eta'),field: 'delayEta',flex: 1},
			{headerName: this.l('Remark'),headerTooltip: this.l('Remark'),field: 'remark',flex: 1},
			{headerName: this.l('Ata'),headerTooltip: this.l('Ata'),field: 'ata',flex: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this.supplierNo,
			this.etd,
			this.eta,
			this.shipmentNo,
			this.cfc,
			this.partCode,
			this.partNo,
			this.partName,
			this.qty,
			this.packingMonth,
			this.delayEtd,
			this.delayEta,
			this.remark,
			this.ata,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this.supplierNo = '',
		this.etd = '',
		this.eta = '',
		this.shipmentNo = '',
		this.cfc = '',
		this.partCode = '',
		this.partNo = '',
		this.partName = '',
		this.qty = '',
		this.packingMonth = '',
		this.delayEtd = '',
		this.delayEta = '',
		this.remark = '',
		this.ata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this.supplierNo,
			this.etd,
			this.eta,
			this.shipmentNo,
			this.cfc,
			this.partCode,
			this.partNo,
			this.partName,
			this.qty,
			this.packingMonth,
			this.delayEtd,
			this.delayEta,
			this.remark,
			this.ata,
			'',
            this.paginationParams.skipCount,
            this.paginationParams.pageSize
        );
    }
    onChangeRowSelection(params: { api: { getSelectedRows: () =&gt; InvDrmImportPlanDto[] } }) {
        this.saveSelectedRow = params.api.getSelectedRows()[0] ?? new InvDrmImportPlanDto();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InvDrmImportPlanDto):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this._service.getDrmImportPlanToExcel(
			this.supplierNo,
			this.etd,
			this.eta,
			this.shipmentNo,
			this.cfc,
			this.partCode,
			this.partNo,
			this.partName,
			this.qty,
			this.packingMonth,
			this.delayEtd,
			this.delayEta,
			this.remark,
			this.ata,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IMPORTED PART - DELIVERY PLAN
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[(ngModel)]='shipmentNo' name='shipmentNo'
									class='form-control' [placeholder]="l('Shipment No')"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[(ngModel)]='partCode' name='partCode'
									class='form-control' [placeholder]="l('Part Code')"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(click)="createOrEditModalDrmImportPlan.show()"&gt;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(click)="createOrEditModalDrmImportPlan.show(selectedRow)"&gt;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&lt;create-or-edit-drmimportplan-modal
    #createOrEditModalDrmImportPlan
    (modalSave)="callBackDataGrid(dataParams)"
    (modalClose)="onChangeRowSelection(dataParams)"
&gt;
&lt;/create-or-edit-drmimportplan-modal&gt;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#createOrEditModalDrmImportPlan="bs-modal"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DrmImportPlan')}}&lt;/h3&gt;
                    &lt;h3 *ngIf="!rowdata.id"&gt;{{('Create New DrmImportPlan')}}&lt;/h3&gt;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title'&gt;Shipment No&lt;/label&gt;
						&lt;input type='text' class='col-md-10 form-control input-text' name='ShipmentNo' [(ngModel)]='rowdata.shipmentNo'&gt;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title'&gt;Part Code&lt;/label&gt;
						&lt;input type='text' class='col-md-10 form-control input-text' name='PartCode' [(ngModel)]='rowdata.partCode'&gt;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CreateOrEditInvDrmImportPlanDto, InvDrmImportPlanServiceProxy } from '@shared/service-proxies/service-proxies';
import { BsDatepickerDirective } from 'ngx-bootstrap/datepicker';
@Component({
    selector: 'create-or-edit-drmimportplan-modal',
    templateUrl: './create-or-edit-drmimportplan-modal.component.html',
    styleUrls: ['./create-or-edit-drmimportplan-modal.component.less']
    })
export class CreateOrEditDrmImportPlanModalComponent extends AppComponentBase {
    @ViewChild('createOrEditModalDrmImportPlan',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CreateOrEditInvDrmImportPlanDto = new CreateOrEditInvDrmImportPlanDto();
    active: boolean = false;
    saving: boolean = false;
    _: boolean;
    constructor(
        injector: Injector,
        private _mstwptDrmImportPlanService: InvDrmImportPlanServiceProxy,
    ) 
    {
        super(injector);
    }
    show(rowdata?: CreateOrEditInvDrmImportPlanDto): void {
        if (!rowdata) this.rowdata = new CreateOrEditInvDrmImportPlanDto();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this._mstwptDrmImportPlanService.createOrEdit(this.rowdata)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DrmImportPlanRoutingModule } from './drmimportplan-routing.module';
import { DrmImportPlanComponent } from './drmimportplan.component';
import { CreateOrEditDrmImportPlanModalComponent } from './create-or-edit-drmimportplan-modal.component';
@NgModule({
    declarations: [
       DrmImportPlanComponent, 
        CreateOrEditDrmImportPlanModalComponent
    ],
    imports: [
        AppSharedModule, DrmImportPlanRoutingModule]
})
export class DrmImportPlanModule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DrmImportPlanComponent } from './drmimportplan.component';
const routes: Routes = [{
    path: '',
    component: DrmImportPlanComponent,
    pathMatch: 'full'
}];
@NgModule({
    imports: [RouterModule.forChild(routes)],
    exports: [RouterModule],
})
export class DrmImportPlanRoutingModule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AppMenuItem("DrmImportPlan", "Pages.Inventory.DRM.DrmImportPlan", "flaticon-book",   "/app/main/inventory/drm/drmimportplan"),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'inventory/drm/drmimportplan',
    loadChildren: () =&gt; import('./inventory/drm/drmimportplan/drmimportplan.module').then(m =&gt; m.DrmImportPlanModule),
    data: { permission: 'Pages.Inventory.DRM.DrmImportPlan' }
},</v>
      </c>
      <c r="R10" s="47" t="str">
        <f>SUBSTITUTE(R9,"MstWptCalendar",$B$6)</f>
        <v>ApiServiceProxies.InvDrmImportPlanServiceProxy,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H28</v>
      </c>
      <c r="I12" s="28" t="str">
        <f>"I"&amp;COUNTA($A:$A)</f>
        <v>I28</v>
      </c>
      <c r="J12" s="28"/>
      <c r="K12" s="28" t="str">
        <f>"K"&amp;COUNTA($A:$A)</f>
        <v>K28</v>
      </c>
      <c r="L12" s="28" t="str">
        <f>"L"&amp;COUNTA($A:$A)</f>
        <v>L28</v>
      </c>
      <c r="M12" s="28"/>
      <c r="N12" s="28"/>
      <c r="O12" s="28"/>
      <c r="P12" s="28"/>
      <c r="Q12" s="28"/>
      <c r="R12" s="28"/>
      <c r="S12" s="28" t="str">
        <f>"S"&amp;COUNTA($A:$A)</f>
        <v>S28</v>
      </c>
      <c r="T12" s="28" t="str">
        <f>"T"&amp;COUNTA($A:$A)</f>
        <v>T28</v>
      </c>
      <c r="U12" s="28" t="str">
        <f>"U"&amp;COUNTA($A:$A)</f>
        <v>U28</v>
      </c>
      <c r="V12" s="28" t="str">
        <f>"V"&amp;COUNTA($A:$A)</f>
        <v>V28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this.l('Supplier No'),headerTooltip: this.l('Supplier No'),field: 'supplierNo',flex: 1},
			{headerName: this.l('Etd'),headerTooltip: this.l('Etd'),field: 'etd',flex: 1},
			{headerName: this.l('Eta'),headerTooltip: this.l('Eta'),field: 'eta',flex: 1},
			{headerName: this.l('Shipment No'),headerTooltip: this.l('Shipment No'),field: 'shipmentNo',flex: 1},
			{headerName: this.l('Cfc'),headerTooltip: this.l('Cfc'),field: 'cfc',flex: 1},
			{headerName: this.l('Part Code'),headerTooltip: this.l('Part Code'),field: 'partCode',flex: 1},
			{headerName: this.l('Part No'),headerTooltip: this.l('Part No'),field: 'partNo',flex: 1},
			{headerName: this.l('Part Name'),headerTooltip: this.l('Part Name'),field: 'partName',flex: 1},
			{headerName: this.l('Qty'),headerTooltip: this.l('Qty'),field: 'qty',flex: 1},
			{headerName: this.l('Packing Month'),headerTooltip: this.l('Packing Month'),field: 'packingMonth',flex: 1},
			{headerName: this.l('Delay Etd'),headerTooltip: this.l('Delay Etd'),field: 'delayEtd',flex: 1},
			{headerName: this.l('Delay Eta'),headerTooltip: this.l('Delay Eta'),field: 'delayEta',flex: 1},
			{headerName: this.l('Remark'),headerTooltip: this.l('Remark'),field: 'remark',flex: 1},
			{headerName: this.l('Ata'),headerTooltip: this.l('Ata'),field: 'ata',flex: 1},</v>
      </c>
      <c r="I13" s="35" t="str">
        <f ca="1">TEXTJOIN2("
",TRUE,INDIRECT(I11):INDIRECT(I12))</f>
        <v xml:space="preserve">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[(ngModel)]='shipmentNo' name='shipmentNo'
									class='form-control' [placeholder]="l('Shipment No')"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[(ngModel)]='partCode' name='partCode'
									class='form-control' [placeholder]="l('Part Code')"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title'&gt;Shipment No&lt;/label&gt;
						&lt;input type='text' class='col-md-10 form-control input-text' name='ShipmentNo' [(ngModel)]='rowdata.shipmentNo'&gt;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title'&gt;Part Code&lt;/label&gt;
						&lt;input type='text' class='col-md-10 form-control input-text' name='PartCode' [(ngModel)]='rowdata.partCode'&gt;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supplierNo : string = '' ; 
	etd
	eta
	shipmentNo : string = '' ; 
	cfc : string = '' ; 
	partCode : string = '' ; 
	partNo : string = '' ; 
	partName : string = '' ; 
	qty
	packingMonth
	delayEtd
	delayEta
	remark : string = '' ; 
	ata</v>
      </c>
      <c r="T13" s="62" t="str">
        <f ca="1">TEXTJOIN2("
",TRUE,INDIRECT(T11):INDIRECT(T12))</f>
        <v xml:space="preserve">			this.supplierNo,
			this.etd,
			this.eta,
			this.shipmentNo,
			this.cfc,
			this.partCode,
			this.partNo,
			this.partName,
			this.qty,
			this.packingMonth,
			this.delayEtd,
			this.delayEta,
			this.remark,
			this.ata,</v>
      </c>
      <c r="U13" s="62" t="str">
        <f ca="1">TEXTJOIN2("
",TRUE,INDIRECT(U11):INDIRECT(U12))</f>
        <v xml:space="preserve">		this.supplierNo = '',
		this.etd = '',
		this.eta = '',
		this.shipmentNo = '',
		this.cfc = '',
		this.partCode = '',
		this.partNo = '',
		this.partName = '',
		this.qty = '',
		this.packingMonth = '',
		this.delayEtd = '',
		this.delayEta = '',
		this.remark = '',
		this.ata = '',</v>
      </c>
      <c r="V13" s="28" t="str">
        <f ca="1">TEXTJOIN2("
",TRUE,INDIRECT(V11):INDIRECT(V12))</f>
        <v/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drmimportplan.component.ts</v>
      </c>
      <c r="I14" s="37" t="str">
        <f>B8&amp;".component.html"</f>
        <v>drmimportplan.component.html</v>
      </c>
      <c r="J14" s="36" t="str">
        <f>B8&amp;".component.less"</f>
        <v>drmimportplan.component.less</v>
      </c>
      <c r="K14" s="37" t="str">
        <f>"create-or-edit-"&amp;B8&amp;"-modal.component.html"</f>
        <v>create-or-edit-drmimportplan-modal.component.html</v>
      </c>
      <c r="L14" s="37" t="str">
        <f>"create-or-edit-"&amp;B8&amp;"-modal.component.ts"</f>
        <v>create-or-edit-drmimportplan-modal.component.ts</v>
      </c>
      <c r="M14" s="37" t="str">
        <f>"create-or-edit-"&amp;B8&amp;"-modal.component.less"</f>
        <v>create-or-edit-drmimportplan-modal.component.less</v>
      </c>
      <c r="N14" s="37" t="str">
        <f>B8&amp;".module.ts"</f>
        <v>drmimportplan.module.ts</v>
      </c>
      <c r="O14" s="37" t="str">
        <f>B8&amp;"-routing.module.ts"</f>
        <v>drmimportplan-routing.module.ts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362</v>
      </c>
      <c r="B15" s="28" t="str">
        <f t="shared" ref="B15" si="0">SUBSTITUTE(PROPER(A15),"_","")</f>
        <v>SupplierNo</v>
      </c>
      <c r="C15" s="28" t="str">
        <f t="shared" ref="C15" si="1">SUBSTITUTE(PROPER(A15),"_"," ")</f>
        <v>Supplier No</v>
      </c>
      <c r="D15" s="28" t="str">
        <f t="shared" ref="D15" si="2">LOWER(LEFT(B15,1))&amp;RIGHT(B15,LEN(B15) - 1)</f>
        <v>supplierNo</v>
      </c>
      <c r="E15" s="28" t="str">
        <f>A.Backend!H9</f>
        <v>string</v>
      </c>
      <c r="F15" s="28" t="str">
        <f>A.Backend!G9</f>
        <v>10</v>
      </c>
      <c r="G15" s="28" t="str">
        <f t="shared" ref="G15:G22" si="3">IF(E15="string"," : string = '' ; ",IF(OR(E15="DateTime",E15="TimeSpan")," : any ;",IF(E15="int"," : number = 0 ;","")))</f>
        <v xml:space="preserve"> : string = '' ; </v>
      </c>
      <c r="H15" s="35" t="str">
        <f t="shared" ref="H15:H27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this.l('Supplier No'),headerTooltip: this.l('Supplier No'),field: 'supplierNo',flex: 1},</v>
      </c>
      <c r="I15" s="35" t="str">
        <f t="shared" ref="I15:I27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15" s="28"/>
      <c r="K15" s="35" t="str">
        <f t="shared" ref="K15:K27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supplierNo : string = '' ; </v>
      </c>
      <c r="T15" s="28" t="str">
        <f>REPT(CHAR(9),3)&amp;"this."&amp;D15&amp;","</f>
        <v xml:space="preserve">			this.supplierNo,</v>
      </c>
      <c r="U15" s="28" t="str">
        <f>IF(E15="int",REPT(CHAR(9),2)&amp;"this."&amp;D15&amp;" = 0,",REPT(CHAR(9),2)&amp;"this."&amp;D15&amp;" = '',")</f>
        <v xml:space="preserve">		this.supplierNo = '',</v>
      </c>
      <c r="V15" s="28" t="str">
        <f t="shared" ref="V15:V27" si="8">IF(AND(E15="string",F15="1"),D15,"")</f>
        <v/>
      </c>
    </row>
    <row r="16" spans="1:22" ht="18" customHeight="1" x14ac:dyDescent="0.25">
      <c r="A16" t="s">
        <v>363</v>
      </c>
      <c r="B16" s="28" t="str">
        <f t="shared" ref="B16:B28" si="9">SUBSTITUTE(PROPER(A16),"_","")</f>
        <v>Etd</v>
      </c>
      <c r="C16" s="28" t="str">
        <f t="shared" ref="C16:C28" si="10">SUBSTITUTE(PROPER(A16),"_"," ")</f>
        <v>Etd</v>
      </c>
      <c r="D16" s="28" t="str">
        <f t="shared" ref="D16:D28" si="11">LOWER(LEFT(B16,1))&amp;RIGHT(B16,LEN(B16) - 1)</f>
        <v>etd</v>
      </c>
      <c r="E16" s="28" t="str">
        <f>A.Backend!H10</f>
        <v>DateTime?</v>
      </c>
      <c r="F16" s="28" t="str">
        <f>A.Backend!G10</f>
        <v/>
      </c>
      <c r="G16" s="28" t="str">
        <f t="shared" ref="G16:G28" si="12">IF(E16="string"," : string = '' ; ",IF(OR(E16="DateTime",E16="TimeSpan")," : any ;",IF(E16="int"," : number = 0 ;","")))</f>
        <v/>
      </c>
      <c r="H16" s="35" t="str">
        <f t="shared" si="4"/>
        <v xml:space="preserve">			{headerName: this.l('Etd'),headerTooltip: this.l('Etd'),field: 'etd',flex: 1},</v>
      </c>
      <c r="I16" s="35" t="str">
        <f t="shared" si="5"/>
        <v/>
      </c>
      <c r="J16" s="28"/>
      <c r="K16" s="35" t="str">
        <f t="shared" si="6"/>
        <v/>
      </c>
      <c r="L16" s="56" t="str">
        <f t="shared" ref="L16" si="13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7" si="14">REPT(CHAR(9),1)&amp;D16&amp;G16</f>
        <v xml:space="preserve">	etd</v>
      </c>
      <c r="T16" s="28" t="str">
        <f t="shared" ref="T16:T27" si="15">REPT(CHAR(9),3)&amp;"this."&amp;D16&amp;","</f>
        <v xml:space="preserve">			this.etd,</v>
      </c>
      <c r="U16" s="28" t="str">
        <f t="shared" ref="U16:U27" si="16">IF(E16="int",REPT(CHAR(9),2)&amp;"this."&amp;D16&amp;" = 0,",REPT(CHAR(9),2)&amp;"this."&amp;D16&amp;" = '',")</f>
        <v xml:space="preserve">		this.etd = '',</v>
      </c>
      <c r="V16" s="28" t="str">
        <f t="shared" si="8"/>
        <v/>
      </c>
    </row>
    <row r="17" spans="1:22" ht="18" customHeight="1" x14ac:dyDescent="0.25">
      <c r="A17" t="s">
        <v>364</v>
      </c>
      <c r="B17" s="28" t="str">
        <f t="shared" si="9"/>
        <v>Eta</v>
      </c>
      <c r="C17" s="28" t="str">
        <f t="shared" si="10"/>
        <v>Eta</v>
      </c>
      <c r="D17" s="28" t="str">
        <f t="shared" si="11"/>
        <v>eta</v>
      </c>
      <c r="E17" s="28" t="str">
        <f>A.Backend!H11</f>
        <v>DateTime?</v>
      </c>
      <c r="F17" s="28" t="str">
        <f>A.Backend!G11</f>
        <v/>
      </c>
      <c r="G17" s="28" t="str">
        <f t="shared" si="12"/>
        <v/>
      </c>
      <c r="H17" s="35" t="str">
        <f t="shared" si="4"/>
        <v xml:space="preserve">			{headerName: this.l('Eta'),headerTooltip: this.l('Eta'),field: 'eta',flex: 1},</v>
      </c>
      <c r="I17" s="35" t="str">
        <f t="shared" si="5"/>
        <v/>
      </c>
      <c r="J17" s="28"/>
      <c r="K17" s="35" t="str">
        <f t="shared" si="6"/>
        <v/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4"/>
        <v xml:space="preserve">	eta</v>
      </c>
      <c r="T17" s="28" t="str">
        <f t="shared" si="15"/>
        <v xml:space="preserve">			this.eta,</v>
      </c>
      <c r="U17" s="28" t="str">
        <f t="shared" si="16"/>
        <v xml:space="preserve">		this.eta = '',</v>
      </c>
      <c r="V17" s="28" t="str">
        <f t="shared" si="8"/>
        <v/>
      </c>
    </row>
    <row r="18" spans="1:22" ht="15" customHeight="1" x14ac:dyDescent="0.25">
      <c r="A18" t="s">
        <v>365</v>
      </c>
      <c r="B18" s="28" t="str">
        <f t="shared" si="9"/>
        <v>ShipmentNo</v>
      </c>
      <c r="C18" s="28" t="str">
        <f t="shared" si="10"/>
        <v>Shipment No</v>
      </c>
      <c r="D18" s="28" t="str">
        <f t="shared" si="11"/>
        <v>shipmentNo</v>
      </c>
      <c r="E18" s="28" t="str">
        <f>A.Backend!H12</f>
        <v>string</v>
      </c>
      <c r="F18" s="28" t="str">
        <f>A.Backend!G12</f>
        <v>10</v>
      </c>
      <c r="G18" s="28" t="str">
        <f t="shared" si="12"/>
        <v xml:space="preserve"> : string = '' ; </v>
      </c>
      <c r="H18" s="35" t="str">
        <f t="shared" si="4"/>
        <v xml:space="preserve">			{headerName: this.l('Shipment No'),headerTooltip: this.l('Shipment No'),field: 'shipmentNo',flex: 1},</v>
      </c>
      <c r="I18" s="35" t="str">
        <f t="shared" si="5"/>
        <v xml:space="preserve">								&lt;div class='input-search'&gt;
									&lt;input [(ngModel)]='shipmentNo' name='shipmentNo'
									class='form-control' [placeholder]="l('Shipment No')"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title'&gt;Shipment No&lt;/label&gt;
						&lt;input type='text' class='col-md-10 form-control input-text' name='ShipmentNo' [(ngModel)]='rowdata.shipmentNo'&gt;
					&lt;/div&gt;</v>
      </c>
      <c r="L18" s="56" t="str">
        <f t="shared" ref="L18:L21" si="17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4"/>
        <v xml:space="preserve">	shipmentNo : string = '' ; </v>
      </c>
      <c r="T18" s="28" t="str">
        <f t="shared" si="15"/>
        <v xml:space="preserve">			this.shipmentNo,</v>
      </c>
      <c r="U18" s="28" t="str">
        <f t="shared" si="16"/>
        <v xml:space="preserve">		this.shipmentNo = '',</v>
      </c>
      <c r="V18" s="28" t="str">
        <f t="shared" si="8"/>
        <v/>
      </c>
    </row>
    <row r="19" spans="1:22" ht="18" customHeight="1" x14ac:dyDescent="0.25">
      <c r="A19" t="s">
        <v>366</v>
      </c>
      <c r="B19" s="28" t="str">
        <f t="shared" si="9"/>
        <v>Cfc</v>
      </c>
      <c r="C19" s="28" t="str">
        <f t="shared" si="10"/>
        <v>Cfc</v>
      </c>
      <c r="D19" s="28" t="str">
        <f t="shared" si="11"/>
        <v>cfc</v>
      </c>
      <c r="E19" s="28" t="str">
        <f>A.Backend!H13</f>
        <v>string</v>
      </c>
      <c r="F19" s="28" t="str">
        <f>A.Backend!G13</f>
        <v>4</v>
      </c>
      <c r="G19" s="28" t="str">
        <f t="shared" si="12"/>
        <v xml:space="preserve"> : string = '' ; </v>
      </c>
      <c r="H19" s="35" t="str">
        <f t="shared" si="4"/>
        <v xml:space="preserve">			{headerName: this.l('Cfc'),headerTooltip: this.l('Cfc'),field: 'cfc',flex: 1},</v>
      </c>
      <c r="I19" s="35" t="str">
        <f t="shared" si="5"/>
        <v xml:space="preserve">								&lt;div class='input-search'&gt;
									&lt;input [(ngModel)]='cfc' name='cfc'
									class='form-control' [placeholder]="l('Cfc')"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title'&gt;Cfc&lt;/label&gt;
						&lt;input type='text' class='col-md-10 form-control input-text' name='Cfc' [(ngModel)]='rowdata.cfc'&gt;
					&lt;/div&gt;</v>
      </c>
      <c r="L19" s="56" t="str">
        <f t="shared" si="17"/>
        <v/>
      </c>
      <c r="M19" s="28"/>
      <c r="N19" s="28"/>
      <c r="O19" s="28"/>
      <c r="P19" s="28"/>
      <c r="Q19" s="28"/>
      <c r="R19" s="28"/>
      <c r="S19" s="28" t="str">
        <f t="shared" si="14"/>
        <v xml:space="preserve">	cfc : string = '' ; </v>
      </c>
      <c r="T19" s="28" t="str">
        <f t="shared" si="15"/>
        <v xml:space="preserve">			this.cfc,</v>
      </c>
      <c r="U19" s="28" t="str">
        <f t="shared" si="16"/>
        <v xml:space="preserve">		this.cfc = '',</v>
      </c>
      <c r="V19" s="28" t="str">
        <f t="shared" si="8"/>
        <v/>
      </c>
    </row>
    <row r="20" spans="1:22" ht="15" customHeight="1" x14ac:dyDescent="0.25">
      <c r="A20" t="s">
        <v>367</v>
      </c>
      <c r="B20" s="28" t="str">
        <f t="shared" si="9"/>
        <v>PartCode</v>
      </c>
      <c r="C20" s="28" t="str">
        <f t="shared" si="10"/>
        <v>Part Code</v>
      </c>
      <c r="D20" s="28" t="str">
        <f t="shared" si="11"/>
        <v>partCode</v>
      </c>
      <c r="E20" s="28" t="str">
        <f>A.Backend!H14</f>
        <v>string</v>
      </c>
      <c r="F20" s="28" t="str">
        <f>A.Backend!G14</f>
        <v>60</v>
      </c>
      <c r="G20" s="28" t="str">
        <f t="shared" si="12"/>
        <v xml:space="preserve"> : string = '' ; </v>
      </c>
      <c r="H20" s="35" t="str">
        <f t="shared" si="4"/>
        <v xml:space="preserve">			{headerName: this.l('Part Code'),headerTooltip: this.l('Part Code'),field: 'partCode',flex: 1},</v>
      </c>
      <c r="I20" s="35" t="str">
        <f t="shared" si="5"/>
        <v xml:space="preserve">								&lt;div class='input-search'&gt;
									&lt;input [(ngModel)]='partCode' name='partCode'
									class='form-control' [placeholder]="l('Part Code')"
									type='text' (keyup.enter)='searchDatas()'&gt;
								&lt;/div&gt;</v>
      </c>
      <c r="J20" s="28"/>
      <c r="K20" s="35" t="str">
        <f t="shared" si="6"/>
        <v xml:space="preserve">					&lt;div class='col-md-12 form-group row'&gt;
						&lt;label class='col-md-2 form-control title'&gt;Part Code&lt;/label&gt;
						&lt;input type='text' class='col-md-10 form-control input-text' name='PartCode' [(ngModel)]='rowdata.partCode'&gt;
					&lt;/div&gt;</v>
      </c>
      <c r="L20" s="56" t="str">
        <f t="shared" si="17"/>
        <v/>
      </c>
      <c r="M20" s="28"/>
      <c r="N20" s="28"/>
      <c r="O20" s="28"/>
      <c r="P20" s="28"/>
      <c r="Q20" s="28"/>
      <c r="R20" s="28"/>
      <c r="S20" s="28" t="str">
        <f t="shared" si="14"/>
        <v xml:space="preserve">	partCode : string = '' ; </v>
      </c>
      <c r="T20" s="28" t="str">
        <f t="shared" si="15"/>
        <v xml:space="preserve">			this.partCode,</v>
      </c>
      <c r="U20" s="28" t="str">
        <f t="shared" si="16"/>
        <v xml:space="preserve">		this.partCode = '',</v>
      </c>
      <c r="V20" s="28" t="str">
        <f t="shared" si="8"/>
        <v/>
      </c>
    </row>
    <row r="21" spans="1:22" ht="18" customHeight="1" x14ac:dyDescent="0.25">
      <c r="A21" t="s">
        <v>356</v>
      </c>
      <c r="B21" s="28" t="str">
        <f t="shared" si="9"/>
        <v>PartNo</v>
      </c>
      <c r="C21" s="28" t="str">
        <f t="shared" si="10"/>
        <v>Part No</v>
      </c>
      <c r="D21" s="28" t="str">
        <f t="shared" si="11"/>
        <v>partNo</v>
      </c>
      <c r="E21" s="28" t="str">
        <f>A.Backend!H15</f>
        <v>string</v>
      </c>
      <c r="F21" s="28" t="str">
        <f>A.Backend!G15</f>
        <v>12</v>
      </c>
      <c r="G21" s="28" t="str">
        <f t="shared" si="12"/>
        <v xml:space="preserve"> : string = '' ; </v>
      </c>
      <c r="H21" s="35" t="str">
        <f t="shared" si="4"/>
        <v xml:space="preserve">			{headerName: this.l('Part No'),headerTooltip: this.l('Part No'),field: 'partNo',flex: 1},</v>
      </c>
      <c r="I21" s="35" t="str">
        <f t="shared" si="5"/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21" s="28"/>
      <c r="K21" s="35" t="str">
        <f t="shared" si="6"/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21" s="56" t="str">
        <f t="shared" si="17"/>
        <v/>
      </c>
      <c r="M21" s="28"/>
      <c r="N21" s="28"/>
      <c r="O21" s="28"/>
      <c r="P21" s="28"/>
      <c r="Q21" s="28"/>
      <c r="R21" s="28"/>
      <c r="S21" s="28" t="str">
        <f t="shared" si="14"/>
        <v xml:space="preserve">	partNo : string = '' ; </v>
      </c>
      <c r="T21" s="28" t="str">
        <f t="shared" si="15"/>
        <v xml:space="preserve">			this.partNo,</v>
      </c>
      <c r="U21" s="28" t="str">
        <f t="shared" si="16"/>
        <v xml:space="preserve">		this.partNo = '',</v>
      </c>
      <c r="V21" s="28" t="str">
        <f t="shared" si="8"/>
        <v/>
      </c>
    </row>
    <row r="22" spans="1:22" ht="18" customHeight="1" x14ac:dyDescent="0.25">
      <c r="A22" t="s">
        <v>357</v>
      </c>
      <c r="B22" s="28" t="str">
        <f t="shared" si="9"/>
        <v>PartName</v>
      </c>
      <c r="C22" s="28" t="str">
        <f t="shared" si="10"/>
        <v>Part Name</v>
      </c>
      <c r="D22" s="28" t="str">
        <f t="shared" si="11"/>
        <v>partName</v>
      </c>
      <c r="E22" s="28" t="str">
        <f>A.Backend!H16</f>
        <v>string</v>
      </c>
      <c r="F22" s="28" t="str">
        <f>A.Backend!G16</f>
        <v>300</v>
      </c>
      <c r="G22" s="28" t="str">
        <f t="shared" si="12"/>
        <v xml:space="preserve"> : string = '' ; </v>
      </c>
      <c r="H22" s="35" t="str">
        <f t="shared" si="4"/>
        <v xml:space="preserve">			{headerName: this.l('Part Name'),headerTooltip: this.l('Part Name'),field: 'partName',flex: 1},</v>
      </c>
      <c r="I22" s="35" t="str">
        <f t="shared" si="5"/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22" s="28"/>
      <c r="K22" s="35" t="str">
        <f t="shared" si="6"/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4"/>
        <v xml:space="preserve">	partName : string = '' ; </v>
      </c>
      <c r="T22" s="28" t="str">
        <f t="shared" si="15"/>
        <v xml:space="preserve">			this.partName,</v>
      </c>
      <c r="U22" s="28" t="str">
        <f t="shared" si="16"/>
        <v xml:space="preserve">		this.partName = '',</v>
      </c>
      <c r="V22" s="28" t="str">
        <f t="shared" si="8"/>
        <v/>
      </c>
    </row>
    <row r="23" spans="1:22" ht="15" customHeight="1" x14ac:dyDescent="0.25">
      <c r="A23" t="s">
        <v>358</v>
      </c>
      <c r="B23" s="28" t="str">
        <f t="shared" si="9"/>
        <v>Qty</v>
      </c>
      <c r="C23" s="28" t="str">
        <f t="shared" si="10"/>
        <v>Qty</v>
      </c>
      <c r="D23" s="28" t="str">
        <f t="shared" si="11"/>
        <v>qty</v>
      </c>
      <c r="E23" s="28" t="str">
        <f>A.Backend!H17</f>
        <v>int?</v>
      </c>
      <c r="F23" s="28" t="str">
        <f>A.Backend!G17</f>
        <v/>
      </c>
      <c r="G23" s="28" t="str">
        <f t="shared" si="12"/>
        <v/>
      </c>
      <c r="H23" s="35" t="str">
        <f t="shared" ref="H23:H26" si="18">IF(E23="DateTime",
REPT(CHAR(9),3)&amp;"{headerName: this.l('"&amp;C23&amp;"'),headerTooltip: this.l('"&amp;C23&amp;"'),field: '"&amp;D23&amp;"',valueGetter: (params) =&gt; this.pipe.transform(params.data?."&amp;D23&amp;", 'dd/MM/yyyy'),flex: 1},",
IF(AND(E23="string",F23="1"),
REPT(CHAR(9),3)&amp;"{headerName: this.l('"&amp;C23&amp;"'),headerTooltip: this.l('"&amp;C23&amp;"'),field:  '"&amp;D23&amp;"', cellClass: ['text-center'], width: 120, cellRenderer: 'agCellButtonComponent',
buttonDefTwo: { text: params =&gt; (params.data?.'"&amp;D23&amp;"' == 'Y') ? 'Active' : 'Inactive',iconName: 'fa fa-circle',className: params =&gt; (params.data?.'"&amp;D23&amp;"' == 'Y') ? 'btnActive' : 'btnInActive',},}",
REPT(CHAR(9),3)&amp;"{headerName: this.l('"&amp;C23&amp;"'),headerTooltip: this.l('"&amp;C23&amp;"'),field: '"&amp;D23&amp;"',flex: 1},"))</f>
        <v xml:space="preserve">			{headerName: this.l('Qty'),headerTooltip: this.l('Qty'),field: 'qty',flex: 1},</v>
      </c>
      <c r="I23" s="35" t="str">
        <f t="shared" ref="I23:I26" si="19">IF(E23="DateTime",
REPT(CHAR(9),8)&amp;"&lt;div class='input-search'&gt;
"&amp;REPT(CHAR(9),9)&amp;"&lt;input type='text' [placeholder]=""l('"&amp;C23&amp;"')"" [(ngModel)]='"&amp;D23&amp;"' 
"&amp;REPT(CHAR(9),9)&amp;"name='"&amp;D23&amp;"'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IF(E23="string",
REPT(CHAR(9),8)&amp;"&lt;div class='input-search'&gt;
"&amp;REPT(CHAR(9),9)&amp;"&lt;input [(ngModel)]='"&amp;D23&amp;"' name='"&amp;D23&amp;"'
"&amp;REPT(CHAR(9),9)&amp;"class='form-control' [placeholder]=""l('"&amp;C23&amp;"')""
"&amp;REPT(CHAR(9),9)&amp;"type='text' (keyup.enter)='searchDatas()'&gt;
"&amp;REPT(CHAR(9),8)&amp;"&lt;/div&gt;",""))</f>
        <v/>
      </c>
      <c r="J23" s="28"/>
      <c r="K23" s="35" t="str">
        <f t="shared" ref="K23:K26" si="20">IF(OR(E23="DateTime",E23="TimeSpan"),
REPT(CHAR(9),5)&amp;"&lt;div class='col-md-12 form-group row'&gt;
"&amp;REPT(CHAR(9),6)&amp;"&lt;label class='col-md-2 form-control title'&gt;"&amp;C23&amp;"&lt;/label&gt;
"&amp;REPT(CHAR(9),6)&amp;"&lt;input type='text' class='col-md-10 form-control input-text' name='"&amp;D23&amp;"' 
"&amp;REPT(CHAR(9),6)&amp;"#datepicker='bsDatepicker' [(ngModel)]='rowdata."&amp;D23&amp;"'  bsDatepicker &gt;
"&amp;REPT(CHAR(9),5)&amp;"&lt;/div&gt;",
IF(AND(E23="string",F23="1"),
REPT(CHAR(9),5)&amp;"&lt;div class='col-md-12 form-group row'&gt;
"&amp;REPT(CHAR(9),6)&amp;"&lt;label class='col-md-2 form-control title'&gt;"&amp;C23&amp;"&lt;/label&gt;
"&amp;REPT(CHAR(9),6)&amp;"&lt;new-checkbox [(ngModel)]='_"&amp;D23&amp;"' name='"&amp;D23&amp;"' className='col-md-10' &gt; &lt;/new-checkbox&gt;
"&amp;REPT(CHAR(9),5)&amp;"&lt;/div&gt;",
IF(E23="string",
REPT(CHAR(9),5)&amp;"&lt;div class='col-md-12 form-group row'&gt;
"&amp;REPT(CHAR(9),6)&amp;"&lt;label class='col-md-2 form-control title'&gt;"&amp;C23&amp;"&lt;/label&gt;
"&amp;REPT(CHAR(9),6)&amp;"&lt;input type='text' class='col-md-10 form-control input-text' name='"&amp;B23&amp;"' [(ngModel)]='rowdata."&amp;D23&amp;"'&gt;
"&amp;REPT(CHAR(9),5)&amp;"&lt;/div&gt;",
IF(E23="int",
REPT(CHAR(9),5)&amp;"&lt;div class='col-md-12 form-group row'&gt;
"&amp;REPT(CHAR(9),6)&amp;"&lt;label class='col-md-2 form-control title'&gt;"&amp;C23&amp;"&lt;/label&gt;
"&amp;REPT(CHAR(9),6)&amp;"&lt;input type='number' class='col-md-10 form-control input-text' name='"&amp;B23&amp;"' [(ngModel)]='rowdata."&amp;D23&amp;"'&gt;
"&amp;REPT(CHAR(9),5)&amp;"&lt;/div&gt;",""))))</f>
        <v/>
      </c>
      <c r="L23" s="56" t="str">
        <f t="shared" ref="L23:L26" si="21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ref="S23:S26" si="22">REPT(CHAR(9),1)&amp;D23&amp;G23</f>
        <v xml:space="preserve">	qty</v>
      </c>
      <c r="T23" s="28" t="str">
        <f t="shared" ref="T23:T26" si="23">REPT(CHAR(9),3)&amp;"this."&amp;D23&amp;","</f>
        <v xml:space="preserve">			this.qty,</v>
      </c>
      <c r="U23" s="28" t="str">
        <f t="shared" ref="U23:U26" si="24">IF(E23="int",REPT(CHAR(9),2)&amp;"this."&amp;D23&amp;" = 0,",REPT(CHAR(9),2)&amp;"this."&amp;D23&amp;" = '',")</f>
        <v xml:space="preserve">		this.qty = '',</v>
      </c>
      <c r="V23" s="28" t="str">
        <f t="shared" ref="V23:V26" si="25">IF(AND(E23="string",F23="1"),D23,"")</f>
        <v/>
      </c>
    </row>
    <row r="24" spans="1:22" ht="18" customHeight="1" x14ac:dyDescent="0.25">
      <c r="A24" t="s">
        <v>368</v>
      </c>
      <c r="B24" s="28" t="str">
        <f t="shared" si="9"/>
        <v>PackingMonth</v>
      </c>
      <c r="C24" s="28" t="str">
        <f t="shared" si="10"/>
        <v>Packing Month</v>
      </c>
      <c r="D24" s="28" t="str">
        <f t="shared" si="11"/>
        <v>packingMonth</v>
      </c>
      <c r="E24" s="28" t="str">
        <f>A.Backend!H18</f>
        <v>DateTime?</v>
      </c>
      <c r="F24" s="28" t="str">
        <f>A.Backend!G18</f>
        <v/>
      </c>
      <c r="G24" s="28" t="str">
        <f t="shared" si="12"/>
        <v/>
      </c>
      <c r="H24" s="35" t="str">
        <f t="shared" si="18"/>
        <v xml:space="preserve">			{headerName: this.l('Packing Month'),headerTooltip: this.l('Packing Month'),field: 'packingMonth',flex: 1},</v>
      </c>
      <c r="I24" s="35" t="str">
        <f t="shared" si="19"/>
        <v/>
      </c>
      <c r="J24" s="28"/>
      <c r="K24" s="35" t="str">
        <f t="shared" si="20"/>
        <v/>
      </c>
      <c r="L24" s="56" t="str">
        <f t="shared" si="21"/>
        <v/>
      </c>
      <c r="M24" s="28"/>
      <c r="N24" s="28"/>
      <c r="O24" s="28"/>
      <c r="P24" s="28"/>
      <c r="Q24" s="28"/>
      <c r="R24" s="28"/>
      <c r="S24" s="28" t="str">
        <f t="shared" si="22"/>
        <v xml:space="preserve">	packingMonth</v>
      </c>
      <c r="T24" s="28" t="str">
        <f t="shared" si="23"/>
        <v xml:space="preserve">			this.packingMonth,</v>
      </c>
      <c r="U24" s="28" t="str">
        <f t="shared" si="24"/>
        <v xml:space="preserve">		this.packingMonth = '',</v>
      </c>
      <c r="V24" s="28" t="str">
        <f t="shared" si="25"/>
        <v/>
      </c>
    </row>
    <row r="25" spans="1:22" ht="15" customHeight="1" x14ac:dyDescent="0.25">
      <c r="A25" t="s">
        <v>369</v>
      </c>
      <c r="B25" s="28" t="str">
        <f t="shared" si="9"/>
        <v>DelayEtd</v>
      </c>
      <c r="C25" s="28" t="str">
        <f t="shared" si="10"/>
        <v>Delay Etd</v>
      </c>
      <c r="D25" s="28" t="str">
        <f t="shared" si="11"/>
        <v>delayEtd</v>
      </c>
      <c r="E25" s="28" t="str">
        <f>A.Backend!H19</f>
        <v>DateTime?</v>
      </c>
      <c r="F25" s="28" t="str">
        <f>A.Backend!G19</f>
        <v/>
      </c>
      <c r="G25" s="28" t="str">
        <f t="shared" si="12"/>
        <v/>
      </c>
      <c r="H25" s="35" t="str">
        <f t="shared" si="18"/>
        <v xml:space="preserve">			{headerName: this.l('Delay Etd'),headerTooltip: this.l('Delay Etd'),field: 'delayEtd',flex: 1},</v>
      </c>
      <c r="I25" s="35" t="str">
        <f t="shared" si="19"/>
        <v/>
      </c>
      <c r="J25" s="28"/>
      <c r="K25" s="35" t="str">
        <f t="shared" si="20"/>
        <v/>
      </c>
      <c r="L25" s="56" t="str">
        <f t="shared" si="21"/>
        <v/>
      </c>
      <c r="M25" s="28"/>
      <c r="N25" s="28"/>
      <c r="O25" s="28"/>
      <c r="P25" s="28"/>
      <c r="Q25" s="28"/>
      <c r="R25" s="28"/>
      <c r="S25" s="28" t="str">
        <f t="shared" si="22"/>
        <v xml:space="preserve">	delayEtd</v>
      </c>
      <c r="T25" s="28" t="str">
        <f t="shared" si="23"/>
        <v xml:space="preserve">			this.delayEtd,</v>
      </c>
      <c r="U25" s="28" t="str">
        <f t="shared" si="24"/>
        <v xml:space="preserve">		this.delayEtd = '',</v>
      </c>
      <c r="V25" s="28" t="str">
        <f t="shared" si="25"/>
        <v/>
      </c>
    </row>
    <row r="26" spans="1:22" ht="18" customHeight="1" x14ac:dyDescent="0.25">
      <c r="A26" t="s">
        <v>370</v>
      </c>
      <c r="B26" s="28" t="str">
        <f t="shared" si="9"/>
        <v>DelayEta</v>
      </c>
      <c r="C26" s="28" t="str">
        <f t="shared" si="10"/>
        <v>Delay Eta</v>
      </c>
      <c r="D26" s="28" t="str">
        <f t="shared" si="11"/>
        <v>delayEta</v>
      </c>
      <c r="E26" s="28" t="str">
        <f>A.Backend!H20</f>
        <v>DateTime?</v>
      </c>
      <c r="F26" s="28" t="str">
        <f>A.Backend!G20</f>
        <v/>
      </c>
      <c r="G26" s="28" t="str">
        <f t="shared" si="12"/>
        <v/>
      </c>
      <c r="H26" s="35" t="str">
        <f t="shared" si="18"/>
        <v xml:space="preserve">			{headerName: this.l('Delay Eta'),headerTooltip: this.l('Delay Eta'),field: 'delayEta',flex: 1},</v>
      </c>
      <c r="I26" s="35" t="str">
        <f t="shared" si="19"/>
        <v/>
      </c>
      <c r="J26" s="28"/>
      <c r="K26" s="35" t="str">
        <f t="shared" si="20"/>
        <v/>
      </c>
      <c r="L26" s="56" t="str">
        <f t="shared" si="21"/>
        <v/>
      </c>
      <c r="M26" s="28"/>
      <c r="N26" s="28"/>
      <c r="O26" s="28"/>
      <c r="P26" s="28"/>
      <c r="Q26" s="28"/>
      <c r="R26" s="28"/>
      <c r="S26" s="28" t="str">
        <f t="shared" si="22"/>
        <v xml:space="preserve">	delayEta</v>
      </c>
      <c r="T26" s="28" t="str">
        <f t="shared" si="23"/>
        <v xml:space="preserve">			this.delayEta,</v>
      </c>
      <c r="U26" s="28" t="str">
        <f t="shared" si="24"/>
        <v xml:space="preserve">		this.delayEta = '',</v>
      </c>
      <c r="V26" s="28" t="str">
        <f t="shared" si="25"/>
        <v/>
      </c>
    </row>
    <row r="27" spans="1:22" ht="15" customHeight="1" x14ac:dyDescent="0.25">
      <c r="A27" t="s">
        <v>371</v>
      </c>
      <c r="B27" s="28" t="str">
        <f t="shared" si="9"/>
        <v>Remark</v>
      </c>
      <c r="C27" s="28" t="str">
        <f t="shared" si="10"/>
        <v>Remark</v>
      </c>
      <c r="D27" s="28" t="str">
        <f t="shared" si="11"/>
        <v>remark</v>
      </c>
      <c r="E27" s="28" t="str">
        <f>A.Backend!H21</f>
        <v>string</v>
      </c>
      <c r="F27" s="28" t="str">
        <f>A.Backend!G21</f>
        <v>1000</v>
      </c>
      <c r="G27" s="28" t="str">
        <f t="shared" si="12"/>
        <v xml:space="preserve"> : string = '' ; </v>
      </c>
      <c r="H27" s="35" t="str">
        <f t="shared" si="4"/>
        <v xml:space="preserve">			{headerName: this.l('Remark'),headerTooltip: this.l('Remark'),field: 'remark',flex: 1},</v>
      </c>
      <c r="I27" s="35" t="str">
        <f t="shared" si="5"/>
        <v xml:space="preserve">								&lt;div class='input-search'&gt;
									&lt;input [(ngModel)]='remark' name='remark'
									class='form-control' [placeholder]="l('Remark')"
									type='text' (keyup.enter)='searchDatas()'&gt;
								&lt;/div&gt;</v>
      </c>
      <c r="J27" s="28"/>
      <c r="K27" s="35" t="str">
        <f t="shared" si="6"/>
        <v xml:space="preserve">					&lt;div class='col-md-12 form-group row'&gt;
						&lt;label class='col-md-2 form-control title'&gt;Remark&lt;/label&gt;
						&lt;input type='text' class='col-md-10 form-control input-text' name='Remark' [(ngModel)]='rowdata.remark'&gt;
					&lt;/div&gt;</v>
      </c>
      <c r="L27" s="56" t="str">
        <f t="shared" ref="L27" si="26"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 t="shared" si="14"/>
        <v xml:space="preserve">	remark : string = '' ; </v>
      </c>
      <c r="T27" s="28" t="str">
        <f t="shared" si="15"/>
        <v xml:space="preserve">			this.remark,</v>
      </c>
      <c r="U27" s="28" t="str">
        <f t="shared" si="16"/>
        <v xml:space="preserve">		this.remark = '',</v>
      </c>
      <c r="V27" s="28" t="str">
        <f t="shared" si="8"/>
        <v/>
      </c>
    </row>
    <row r="28" spans="1:22" ht="15" customHeight="1" x14ac:dyDescent="0.25">
      <c r="A28" t="s">
        <v>372</v>
      </c>
      <c r="B28" s="28" t="str">
        <f t="shared" si="9"/>
        <v>Ata</v>
      </c>
      <c r="C28" s="28" t="str">
        <f t="shared" si="10"/>
        <v>Ata</v>
      </c>
      <c r="D28" s="28" t="str">
        <f t="shared" si="11"/>
        <v>ata</v>
      </c>
      <c r="E28" s="28" t="str">
        <f>A.Backend!H22</f>
        <v>DateTime?</v>
      </c>
      <c r="F28" s="28" t="str">
        <f>A.Backend!G22</f>
        <v/>
      </c>
      <c r="G28" s="28" t="str">
        <f t="shared" si="12"/>
        <v/>
      </c>
      <c r="H28" s="35" t="str">
        <f t="shared" ref="H28" si="27">IF(E28="DateTime",
REPT(CHAR(9),3)&amp;"{headerName: this.l('"&amp;C28&amp;"'),headerTooltip: this.l('"&amp;C28&amp;"'),field: '"&amp;D28&amp;"',valueGetter: (params) =&gt; this.pipe.transform(params.data?."&amp;D28&amp;", 'dd/MM/yyyy'),flex: 1},",
IF(AND(E28="string",F28="1"),
REPT(CHAR(9),3)&amp;"{headerName: this.l('"&amp;C28&amp;"'),headerTooltip: this.l('"&amp;C28&amp;"'),field:  '"&amp;D28&amp;"', cellClass: ['text-center'], width: 120, cellRenderer: 'agCellButtonComponent',
buttonDefTwo: { text: params =&gt; (params.data?.'"&amp;D28&amp;"' == 'Y') ? 'Active' : 'Inactive',iconName: 'fa fa-circle',className: params =&gt; (params.data?.'"&amp;D28&amp;"' == 'Y') ? 'btnActive' : 'btnInActive',},}",
REPT(CHAR(9),3)&amp;"{headerName: this.l('"&amp;C28&amp;"'),headerTooltip: this.l('"&amp;C28&amp;"'),field: '"&amp;D28&amp;"',flex: 1},"))</f>
        <v xml:space="preserve">			{headerName: this.l('Ata'),headerTooltip: this.l('Ata'),field: 'ata',flex: 1},</v>
      </c>
      <c r="I28" s="35" t="str">
        <f t="shared" ref="I28" si="28">IF(E28="DateTime",
REPT(CHAR(9),8)&amp;"&lt;div class='input-search'&gt;
"&amp;REPT(CHAR(9),9)&amp;"&lt;input type='text' [placeholder]=""l('"&amp;C28&amp;"')"" [(ngModel)]='"&amp;D28&amp;"' 
"&amp;REPT(CHAR(9),9)&amp;"name='"&amp;D28&amp;"'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IF(E28="string",
REPT(CHAR(9),8)&amp;"&lt;div class='input-search'&gt;
"&amp;REPT(CHAR(9),9)&amp;"&lt;input [(ngModel)]='"&amp;D28&amp;"' name='"&amp;D28&amp;"'
"&amp;REPT(CHAR(9),9)&amp;"class='form-control' [placeholder]=""l('"&amp;C28&amp;"')""
"&amp;REPT(CHAR(9),9)&amp;"type='text' (keyup.enter)='searchDatas()'&gt;
"&amp;REPT(CHAR(9),8)&amp;"&lt;/div&gt;",""))</f>
        <v/>
      </c>
      <c r="J28" s="28"/>
      <c r="K28" s="35" t="str">
        <f t="shared" ref="K28" si="29">IF(OR(E28="DateTime",E28="TimeSpan"),
REPT(CHAR(9),5)&amp;"&lt;div class='col-md-12 form-group row'&gt;
"&amp;REPT(CHAR(9),6)&amp;"&lt;label class='col-md-2 form-control title'&gt;"&amp;C28&amp;"&lt;/label&gt;
"&amp;REPT(CHAR(9),6)&amp;"&lt;input type='text' class='col-md-10 form-control input-text' name='"&amp;D28&amp;"' 
"&amp;REPT(CHAR(9),6)&amp;"#datepicker='bsDatepicker' [(ngModel)]='rowdata."&amp;D28&amp;"'  bsDatepicker &gt;
"&amp;REPT(CHAR(9),5)&amp;"&lt;/div&gt;",
IF(AND(E28="string",F28="1"),
REPT(CHAR(9),5)&amp;"&lt;div class='col-md-12 form-group row'&gt;
"&amp;REPT(CHAR(9),6)&amp;"&lt;label class='col-md-2 form-control title'&gt;"&amp;C28&amp;"&lt;/label&gt;
"&amp;REPT(CHAR(9),6)&amp;"&lt;new-checkbox [(ngModel)]='_"&amp;D28&amp;"' name='"&amp;D28&amp;"' className='col-md-10' &gt; &lt;/new-checkbox&gt;
"&amp;REPT(CHAR(9),5)&amp;"&lt;/div&gt;",
IF(E28="string",
REPT(CHAR(9),5)&amp;"&lt;div class='col-md-12 form-group row'&gt;
"&amp;REPT(CHAR(9),6)&amp;"&lt;label class='col-md-2 form-control title'&gt;"&amp;C28&amp;"&lt;/label&gt;
"&amp;REPT(CHAR(9),6)&amp;"&lt;input type='text' class='col-md-10 form-control input-text' name='"&amp;B28&amp;"' [(ngModel)]='rowdata."&amp;D28&amp;"'&gt;
"&amp;REPT(CHAR(9),5)&amp;"&lt;/div&gt;",
IF(E28="int",
REPT(CHAR(9),5)&amp;"&lt;div class='col-md-12 form-group row'&gt;
"&amp;REPT(CHAR(9),6)&amp;"&lt;label class='col-md-2 form-control title'&gt;"&amp;C28&amp;"&lt;/label&gt;
"&amp;REPT(CHAR(9),6)&amp;"&lt;input type='number' class='col-md-10 form-control input-text' name='"&amp;B28&amp;"' [(ngModel)]='rowdata."&amp;D28&amp;"'&gt;
"&amp;REPT(CHAR(9),5)&amp;"&lt;/div&gt;",""))))</f>
        <v/>
      </c>
      <c r="L28" s="56" t="str">
        <f t="shared" ref="L28" si="30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ref="S28" si="31">REPT(CHAR(9),1)&amp;D28&amp;G28</f>
        <v xml:space="preserve">	ata</v>
      </c>
      <c r="T28" s="28" t="str">
        <f t="shared" ref="T28" si="32">REPT(CHAR(9),3)&amp;"this."&amp;D28&amp;","</f>
        <v xml:space="preserve">			this.ata,</v>
      </c>
      <c r="U28" s="28" t="str">
        <f t="shared" ref="U28" si="33">IF(E28="int",REPT(CHAR(9),2)&amp;"this."&amp;D28&amp;" = 0,",REPT(CHAR(9),2)&amp;"this."&amp;D28&amp;" = '',")</f>
        <v xml:space="preserve">		this.ata = '',</v>
      </c>
      <c r="V28" s="28" t="str">
        <f t="shared" ref="V28" si="34">IF(AND(E28="string",F28="1"),D28,"")</f>
        <v/>
      </c>
    </row>
    <row r="29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7109375" defaultRowHeight="15" x14ac:dyDescent="0.25"/>
  <cols>
    <col min="1" max="1" width="22.42578125" bestFit="1" customWidth="1"/>
    <col min="2" max="2" width="29.71093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71093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2023-07-17T06:42:15Z</dcterms:modified>
</cp:coreProperties>
</file>
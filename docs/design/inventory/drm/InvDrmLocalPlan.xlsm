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5" l="1"/>
  <c r="D16" i="5"/>
  <c r="E16" i="5"/>
  <c r="F16" i="5"/>
  <c r="G16" i="5"/>
  <c r="C17" i="5"/>
  <c r="D17" i="5"/>
  <c r="E17" i="5"/>
  <c r="F17" i="5"/>
  <c r="G17" i="5"/>
  <c r="C18" i="5"/>
  <c r="D18" i="5"/>
  <c r="E18" i="5"/>
  <c r="G18" i="5" s="1"/>
  <c r="F18" i="5"/>
  <c r="C19" i="5"/>
  <c r="D19" i="5"/>
  <c r="E19" i="5"/>
  <c r="G19" i="5" s="1"/>
  <c r="F19" i="5"/>
  <c r="C20" i="5"/>
  <c r="D20" i="5"/>
  <c r="E20" i="5"/>
  <c r="F20" i="5"/>
  <c r="G20" i="5"/>
  <c r="C21" i="5"/>
  <c r="D21" i="5"/>
  <c r="E21" i="5"/>
  <c r="F21" i="5"/>
  <c r="G21" i="5"/>
  <c r="C22" i="5"/>
  <c r="D22" i="5"/>
  <c r="E22" i="5"/>
  <c r="G22" i="5" s="1"/>
  <c r="F22" i="5"/>
  <c r="C23" i="5"/>
  <c r="D23" i="5"/>
  <c r="E23" i="5"/>
  <c r="G23" i="5" s="1"/>
  <c r="F23" i="5"/>
  <c r="C24" i="5"/>
  <c r="D24" i="5"/>
  <c r="E24" i="5"/>
  <c r="F24" i="5"/>
  <c r="G24" i="5"/>
  <c r="C25" i="5"/>
  <c r="D25" i="5"/>
  <c r="E25" i="5"/>
  <c r="F25" i="5"/>
  <c r="G25" i="5"/>
  <c r="L14" i="1" l="1"/>
  <c r="G14" i="1"/>
  <c r="E14" i="1"/>
  <c r="H14" i="1" s="1"/>
  <c r="D14" i="1"/>
  <c r="V14" i="1" s="1"/>
  <c r="D15" i="1"/>
  <c r="E15" i="1"/>
  <c r="H15" i="1" s="1"/>
  <c r="G15" i="1"/>
  <c r="L15" i="1"/>
  <c r="V15" i="1"/>
  <c r="W14" i="1" l="1"/>
  <c r="I15" i="1"/>
  <c r="N15" i="1"/>
  <c r="M15" i="1"/>
  <c r="P15" i="1"/>
  <c r="W15" i="1"/>
  <c r="O15" i="1"/>
  <c r="J15" i="1"/>
  <c r="T15" i="1"/>
  <c r="P14" i="1"/>
  <c r="T14" i="1"/>
  <c r="I14" i="1"/>
  <c r="N14" i="1"/>
  <c r="M14" i="1"/>
  <c r="J14" i="1"/>
  <c r="O14" i="1"/>
  <c r="B16" i="5"/>
  <c r="B17" i="5"/>
  <c r="B18" i="5"/>
  <c r="B19" i="5"/>
  <c r="B20" i="5"/>
  <c r="B21" i="5"/>
  <c r="B22" i="5"/>
  <c r="B23" i="5"/>
  <c r="B24" i="5"/>
  <c r="B25" i="5"/>
  <c r="L19" i="1"/>
  <c r="G19" i="1"/>
  <c r="E19" i="1"/>
  <c r="H19" i="1" s="1"/>
  <c r="D19" i="1"/>
  <c r="T19" i="1" s="1"/>
  <c r="L18" i="1"/>
  <c r="G18" i="1"/>
  <c r="E18" i="1"/>
  <c r="H18" i="1" s="1"/>
  <c r="D18" i="1"/>
  <c r="V18" i="1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I25" i="5" l="1"/>
  <c r="K25" i="5"/>
  <c r="I23" i="5"/>
  <c r="L23" i="5"/>
  <c r="S25" i="5"/>
  <c r="V24" i="5"/>
  <c r="L25" i="5"/>
  <c r="H23" i="5"/>
  <c r="T25" i="5"/>
  <c r="U25" i="5"/>
  <c r="T23" i="5"/>
  <c r="S23" i="5"/>
  <c r="U23" i="5"/>
  <c r="S24" i="5"/>
  <c r="H25" i="5"/>
  <c r="T24" i="5"/>
  <c r="K23" i="5"/>
  <c r="H24" i="5"/>
  <c r="V23" i="5"/>
  <c r="I24" i="5"/>
  <c r="V25" i="5"/>
  <c r="K24" i="5"/>
  <c r="U24" i="5"/>
  <c r="L24" i="5"/>
  <c r="M19" i="1"/>
  <c r="N19" i="1"/>
  <c r="I19" i="1"/>
  <c r="W19" i="1"/>
  <c r="O19" i="1"/>
  <c r="J19" i="1"/>
  <c r="P19" i="1"/>
  <c r="V19" i="1"/>
  <c r="W18" i="1"/>
  <c r="O18" i="1"/>
  <c r="J18" i="1"/>
  <c r="N18" i="1"/>
  <c r="I18" i="1"/>
  <c r="M18" i="1"/>
  <c r="P18" i="1"/>
  <c r="T18" i="1"/>
  <c r="N17" i="1"/>
  <c r="I17" i="1"/>
  <c r="M17" i="1"/>
  <c r="W17" i="1"/>
  <c r="O17" i="1"/>
  <c r="J17" i="1"/>
  <c r="P17" i="1"/>
  <c r="T17" i="1"/>
  <c r="W16" i="1"/>
  <c r="N16" i="1"/>
  <c r="I16" i="1"/>
  <c r="M16" i="1"/>
  <c r="O16" i="1"/>
  <c r="J16" i="1"/>
  <c r="P16" i="1"/>
  <c r="T16" i="1"/>
  <c r="T22" i="5" l="1"/>
  <c r="T21" i="5"/>
  <c r="T20" i="5"/>
  <c r="T19" i="5"/>
  <c r="T18" i="5"/>
  <c r="B7" i="5" l="1"/>
  <c r="B6" i="5"/>
  <c r="B2" i="5"/>
  <c r="B8" i="5" l="1"/>
  <c r="B3" i="5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11" i="1"/>
  <c r="G11" i="1"/>
  <c r="E11" i="1"/>
  <c r="H11" i="1" s="1"/>
  <c r="D11" i="1"/>
  <c r="V11" i="1" s="1"/>
  <c r="H19" i="5" l="1"/>
  <c r="S19" i="5"/>
  <c r="U19" i="5"/>
  <c r="K19" i="5"/>
  <c r="I19" i="5"/>
  <c r="U21" i="5"/>
  <c r="K21" i="5"/>
  <c r="I21" i="5"/>
  <c r="H21" i="5"/>
  <c r="S21" i="5"/>
  <c r="S18" i="5"/>
  <c r="U18" i="5"/>
  <c r="K18" i="5"/>
  <c r="I18" i="5"/>
  <c r="H18" i="5"/>
  <c r="I20" i="5"/>
  <c r="H20" i="5"/>
  <c r="S20" i="5"/>
  <c r="U20" i="5"/>
  <c r="K20" i="5"/>
  <c r="S22" i="5"/>
  <c r="U22" i="5"/>
  <c r="K22" i="5"/>
  <c r="I22" i="5"/>
  <c r="H22" i="5"/>
  <c r="L22" i="5"/>
  <c r="V22" i="5"/>
  <c r="L20" i="5"/>
  <c r="V20" i="5"/>
  <c r="L21" i="5"/>
  <c r="V21" i="5"/>
  <c r="P11" i="1"/>
  <c r="W11" i="1"/>
  <c r="P13" i="1"/>
  <c r="W13" i="1"/>
  <c r="O13" i="1"/>
  <c r="J13" i="1"/>
  <c r="N13" i="1"/>
  <c r="I13" i="1"/>
  <c r="M13" i="1"/>
  <c r="M12" i="1"/>
  <c r="N12" i="1"/>
  <c r="I12" i="1"/>
  <c r="W12" i="1"/>
  <c r="O12" i="1"/>
  <c r="J12" i="1"/>
  <c r="M11" i="1"/>
  <c r="T11" i="1"/>
  <c r="T13" i="1"/>
  <c r="V12" i="1"/>
  <c r="I11" i="1"/>
  <c r="N11" i="1"/>
  <c r="P12" i="1"/>
  <c r="J11" i="1"/>
  <c r="O11" i="1"/>
  <c r="T17" i="5"/>
  <c r="T16" i="5"/>
  <c r="B6" i="1" l="1"/>
  <c r="V19" i="5" l="1"/>
  <c r="L19" i="5"/>
  <c r="C15" i="5"/>
  <c r="B15" i="5"/>
  <c r="D15" i="5" s="1"/>
  <c r="T15" i="5" s="1"/>
  <c r="U17" i="5" l="1"/>
  <c r="K17" i="5"/>
  <c r="I17" i="5"/>
  <c r="H17" i="5"/>
  <c r="S17" i="5"/>
  <c r="V18" i="5"/>
  <c r="L18" i="5"/>
  <c r="V17" i="5"/>
  <c r="L17" i="5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K16" i="5" l="1"/>
  <c r="H16" i="5"/>
  <c r="U16" i="5"/>
  <c r="I16" i="5"/>
  <c r="S16" i="5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I13" i="5"/>
  <c r="H13" i="5"/>
  <c r="S13" i="5"/>
  <c r="K13" i="5"/>
  <c r="U13" i="5"/>
  <c r="V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21" i="1"/>
  <c r="N21" i="1"/>
  <c r="P21" i="1"/>
  <c r="J21" i="1"/>
  <c r="O21" i="1"/>
  <c r="Q7" i="1" l="1"/>
  <c r="M68" i="3" s="1"/>
  <c r="L7" i="1"/>
  <c r="G68" i="3" s="1"/>
  <c r="K68" i="3"/>
  <c r="J68" i="3"/>
  <c r="M21" i="1"/>
  <c r="K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<sst xmlns="http://schemas.openxmlformats.org/spreadsheetml/2006/main" count="475" uniqueCount="375">
  <si>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</si>
  <si>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</si>
  <si>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</si>
  <si>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</si>
  <si>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</si>
  <si>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</si>
  <si>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</si>
  <si>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</si>
  <si>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</si>
  <si>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</si>
  <si>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</si>
  <si>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</si>
  <si>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</si>
  <si>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</si>
  <si>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</si>
  <si>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</si>
  <si>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</si>
  <si>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</si>
  <si>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</si>
  <si>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</si>
  <si>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</si>
  <si>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</si>
  <si>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</si>
  <si>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</si>
  <si>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</si>
  <si>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</si>
  <si>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</si>
  <si>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</si>
  <si>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</si>
  <si>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</si>
  <si>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</si>
  <si>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</si>
  <si>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</si>
  <si>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</si>
  <si>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</si>
  <si>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</si>
  <si>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</si>
  <si>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</si>
  <si>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</si>
  <si>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</si>
  <si>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</si>
  <si>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</si>
  <si>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</si>
  <si>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</si>
  <si>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</si>
  <si>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</si>
  <si>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</si>
  <si>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</si>
  <si>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</si>
  <si>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</si>
  <si>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</si>
  <si>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</si>
  <si>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</si>
  <si>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</si>
  <si>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</si>
  <si>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</si>
  <si>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</si>
  <si>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</si>
  <si>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</si>
  <si>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</si>
  <si>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</si>
  <si>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</si>
  <si>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</si>
  <si>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</si>
  <si>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</si>
  <si>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</si>
  <si>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</si>
  <si>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</si>
  <si>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</si>
  <si>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</si>
  <si>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</si>
  <si>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</si>
  <si>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</si>
  <si>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</si>
  <si>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</si>
  <si>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</si>
  <si>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</si>
  <si>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</si>
  <si>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</si>
  <si>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</si>
  <si>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</si>
  <si>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</si>
  <si>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</si>
  <si>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</si>
  <si>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</si>
  <si>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</si>
  <si>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</si>
  <si>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</si>
  <si>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</si>
  <si>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</si>
  <si>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</si>
  <si>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</si>
  <si>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</si>
  <si>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</si>
  <si>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</si>
  <si>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</si>
  <si>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</si>
  <si>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</si>
  <si>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</si>
  <si>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</si>
  <si>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</si>
  <si>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</si>
  <si>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</si>
  <si>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</si>
  <si>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</si>
  <si>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</si>
  <si>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</si>
  <si>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</si>
  <si>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</si>
  <si>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</si>
  <si>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</si>
  <si>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</si>
  <si>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</si>
  <si>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</si>
  <si>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</si>
  <si>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</si>
  <si>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</si>
  <si>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</si>
  <si>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</si>
  <si>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</si>
  <si>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</si>
  <si>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</si>
  <si>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</si>
  <si>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</si>
  <si>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</si>
  <si>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</si>
  <si>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</si>
  <si>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</si>
  <si>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</si>
  <si>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</si>
  <si>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</si>
  <si>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</si>
  <si>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</si>
  <si>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</si>
  <si>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</si>
  <si>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</si>
  <si>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</si>
  <si>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</si>
  <si>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</si>
  <si>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</si>
  <si>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</si>
  <si>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</si>
  <si>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</si>
  <si>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</si>
  <si>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</si>
  <si>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</si>
  <si>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</si>
  <si>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</si>
  <si>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</si>
  <si>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</si>
  <si>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</si>
  <si>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</si>
  <si>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</si>
  <si>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</si>
  <si>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</si>
  <si>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</si>
  <si>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</si>
  <si>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</si>
  <si>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</si>
  <si>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</si>
  <si>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</si>
  <si>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</si>
  <si>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</si>
  <si>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</si>
  <si>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</si>
  <si>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</si>
  <si>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</si>
  <si>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</si>
  <si>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</si>
  <si>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</si>
  <si>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</si>
  <si>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</si>
  <si>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</si>
  <si>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</si>
  <si>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</si>
  <si>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</si>
  <si>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</si>
  <si>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</si>
  <si>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</si>
  <si>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</si>
  <si>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</si>
  <si>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</si>
  <si>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</si>
  <si>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</si>
  <si>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</si>
  <si>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</si>
  <si>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</si>
  <si>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</si>
  <si>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</si>
  <si>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</si>
  <si>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</si>
  <si>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</si>
  <si>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</si>
  <si>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</si>
  <si>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</si>
  <si>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</si>
  <si>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</si>
  <si>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</si>
  <si>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</si>
  <si>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</si>
  <si>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</si>
  <si>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</si>
  <si>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</si>
  <si>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</si>
  <si>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</si>
  <si>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</si>
  <si>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</si>
  <si>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</si>
  <si>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</si>
  <si>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</si>
  <si>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</si>
  <si>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</si>
  <si>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</si>
  <si>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</si>
  <si>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</si>
  <si>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</si>
  <si>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</si>
  <si>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</si>
  <si>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</si>
  <si>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</si>
  <si>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</si>
  <si>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</si>
  <si>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</si>
  <si>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</si>
  <si>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</si>
  <si>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</si>
  <si>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</si>
  <si>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</si>
  <si>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</si>
  <si>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</si>
  <si>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</si>
  <si>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</si>
  <si>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</si>
  <si>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</si>
  <si>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</si>
  <si>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</si>
  <si>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</si>
  <si>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</si>
  <si>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</si>
  <si>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</si>
  <si>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</si>
  <si>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</si>
  <si>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</si>
  <si>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</si>
  <si>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</si>
  <si>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</si>
  <si>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</si>
  <si>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</si>
  <si>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</si>
  <si>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</si>
  <si>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</si>
  <si>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</si>
  <si>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</si>
  <si>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</si>
  <si>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</si>
  <si>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</si>
  <si>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</si>
  <si>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</si>
  <si>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</si>
  <si>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</si>
  <si>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</si>
  <si>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</si>
  <si>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</si>
  <si>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</si>
  <si>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</si>
  <si>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</si>
  <si>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</si>
  <si>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</si>
  <si>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</si>
  <si>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</si>
  <si>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</si>
  <si>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</si>
  <si>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</si>
  <si>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</si>
  <si>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</si>
  <si>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</si>
  <si>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</si>
  <si>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</si>
  <si>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</si>
  <si>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</si>
  <si>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</si>
  <si>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</si>
  <si>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</si>
  <si>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</si>
  <si>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</si>
  <si>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</si>
  <si>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</si>
  <si>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</si>
  <si>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</si>
  <si>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</si>
  <si>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</si>
  <si>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</si>
  <si>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</si>
  <si>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</si>
  <si>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</si>
  <si>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</si>
  <si>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</si>
  <si>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</si>
  <si>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</si>
  <si>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</si>
  <si>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</si>
  <si>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</si>
  <si>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</si>
  <si>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</si>
  <si>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</si>
  <si>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</si>
  <si>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</si>
  <si>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</si>
  <si>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</si>
  <si>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</si>
  <si>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</si>
  <si>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</si>
  <si>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</si>
  <si>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</si>
  <si>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</si>
  <si>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</si>
  <si>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</si>
  <si>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</si>
  <si>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</si>
  <si>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</si>
  <si>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</si>
  <si>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</si>
  <si>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</si>
  <si>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</si>
  <si>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</si>
  <si>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</si>
  <si>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</si>
  <si>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</si>
  <si>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</si>
  <si>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</si>
  <si>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</si>
  <si>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</si>
  <si>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</si>
  <si>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</si>
  <si>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</si>
  <si>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</si>
  <si>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</si>
  <si>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</si>
  <si>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</si>
  <si>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</si>
  <si>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</si>
  <si>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</si>
  <si>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</si>
  <si>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</si>
  <si>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</si>
  <si>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</si>
  <si>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</si>
  <si>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</si>
  <si>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</si>
  <si>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</si>
  <si>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</si>
  <si>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</si>
  <si>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</si>
  <si>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</si>
  <si>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INT</t>
  </si>
  <si>
    <t>Inventory.DRM</t>
  </si>
  <si>
    <t>QTY</t>
  </si>
  <si>
    <t>DATETIME</t>
  </si>
  <si>
    <t>SUPPLIER_NO</t>
  </si>
  <si>
    <t>SHIPMENT_NO</t>
  </si>
  <si>
    <t>CFC</t>
  </si>
  <si>
    <t>PART_CODE</t>
  </si>
  <si>
    <t>REMARK</t>
  </si>
  <si>
    <t>NVARCHAR(10)</t>
  </si>
  <si>
    <t>NVARCHAR(4)</t>
  </si>
  <si>
    <t>NVARCHAR(60)</t>
  </si>
  <si>
    <t>NVARCHAR(1000)</t>
  </si>
  <si>
    <t xml:space="preserve">IMPORTED PART - DELIVERY PLAN
</t>
  </si>
  <si>
    <t>InvDrmLocalPlan</t>
  </si>
  <si>
    <t>DELIVERY_DATE</t>
  </si>
  <si>
    <t>MATERIAL_CODE</t>
  </si>
  <si>
    <t>MATERIAL_SPEC</t>
  </si>
  <si>
    <t>DELIVERY_MONTH</t>
  </si>
  <si>
    <t>DELAY_DELIVERY</t>
  </si>
  <si>
    <t>NVARCHAR(500)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</si>
</sst>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3" zoomScaleNormal="100" workbookViewId="0">
      <selection activeCell="E57" sqref="E57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[Table("InvDrmLocalPlan")]
	public class InvDrmLocalPlan: FullAuditedEntity&lt;long&gt;, IEntity&lt;long&gt;	
	{
		public const int MaxSupplierNoLength = 10;
		public const int MaxShipmentNoLength = 10;
		public const int MaxCfcLength = 4;
		public const int MaxPartCodeLength = 60;
		public const int MaxMaterialCodeLength = 60;
		public const int MaxMaterialSpecLength = 500;
		public const int MaxRemarkLength = 1000;
		[StringLength(MaxSupplierNoLength)]
		public virtual string SupplierNo { get; set; }
		public virtual DateTime? DeliveryDate { get; set; }
		[StringLength(MaxShipmentNoLength)]
		public virtual string ShipmentNo { get; set; }
		[StringLength(MaxCfcLength)]
		public virtual string Cfc { get; set; }
		[StringLength(MaxPartCodeLength)]
		public virtual string PartCode { get; set; }
		[StringLength(MaxMaterialCodeLength)]
		public virtual string MaterialCode { get; set; }
		[StringLength(MaxMaterialSpecLength)]
		public virtual string MaterialSpec { get; set; }
		public virtual int? Qty { get; set; }
		public virtual DateTime? DeliveryMonth { get; set; }
		public virtual DateTime? DelayDelivery { get; set; }
		[StringLength(MaxRemarkLength)]
		public virtual string Remark { get; set; }
	}
}
</v>
      </c>
      <c r="D68" s="48" t="str">
        <f>A.Backend!O7</f>
        <v xml:space="preserve">		public const string Pages_Inventory_DRM_InvDrmLocalPlan = "Pages.Inventory.DRM.InvDrmLocalPlan";
		public const string Pages_Inventory_DRM_InvDrmLocalPlan_CreateEdit = "Pages.Inventory.DRM.InvDrmLocalPlan.CreateEdit";
		public const string Pages_Inventory_DRM_InvDrmLocalPlan_Delete = "Pages.Inventory.DRM.InvDrmLocalPlan.Delete";
</v>
      </c>
      <c r="E68" s="48" t="str">
        <f>A.Backend!N7</f>
        <v xml:space="preserve">		var perInvDrmLocalPlan = PARENTS.CreateChildPermission(AppPermissions.Pages_Inventory_DRM_InvDrmLocalPlan, L( "InventoryDRMInvDrmLocalPlan"), multiTenancySides: MultiTenancySides.Tenant);
		perInvDrmLocalPlan.CreateChildPermission(AppPermissions.Pages_Inventory_DRM_InvDrmLocalPlan_CreateEdit, L( "InventoryDRMInvDrmLocalPlanCreateEdit"), multiTenancySides: MultiTenancySides.Tenant);
		perInvDrmLocalPlan.CreateChildPermission(AppPermissions.Pages_Inventory_DRM_InvDrmLocalPlan_Delete, L( "InventoryDRMInvDrmLocalPlanDelete"), multiTenancySides: MultiTenancySides.Tenant);</v>
      </c>
      <c r="F68" s="48" t="str">
        <f>A.Backend!K7</f>
        <v>public virtual DbSet&lt;InvDrmLocalPlan&gt; InvDrmLocalPlans { get; set; }</v>
      </c>
      <c r="G68" s="48" t="str">
        <f ca="1">A.Backend!L7</f>
        <v xml:space="preserve">namespace prod.Inventory.DRM
{
	public class InvDrmLocalPlanConsts	
	{
		public const int MaxSupplierNoLength = 10;
		public const int MaxShipmentNoLength = 10;
		public const int MaxCfcLength = 4;
		public const int MaxPartCodeLength = 60;
		public const int MaxMaterialCodeLength = 60;
		public const int MaxMaterialSpecLength = 500;
		public const int MaxRemarkLength = 1000;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InvDrmLocalPlanDto : EntityDto&lt;long?&gt;	
	{
		public virtual string SupplierNo { get; set; }
		public virtual DateTime? DeliveryDate { get; set; }
		public virtual string ShipmentNo { get; set; }
		public virtual string Cfc { get; set; }
		public virtual string PartCode { get; set; }
		public virtual string MaterialCode { get; set; }
		public virtual string MaterialSpec { get; set; }
		public virtual int? Qty { get; set; }
		public virtual DateTime? DeliveryMonth { get; set; }
		public virtual DateTime? DelayDelivery { get; set; }
		public virtual string Remark { get; set; }
	}
	public class CreateOrEditInvDrmLocalPlanDto : EntityDto&lt;long?&gt;	
	{
		[StringLength(InvDrmLocalPlanConsts.MaxSupplierNoLength)]
		public virtual string SupplierNo { get; set; }
		public virtual DateTime? DeliveryDate { get; set; }
		[StringLength(InvDrmLocalPlanConsts.MaxShipmentNoLength)]
		public virtual string ShipmentNo { get; set; }
		[StringLength(InvDrmLocalPlanConsts.MaxCfcLength)]
		public virtual string Cfc { get; set; }
		[StringLength(InvDrmLocalPlanConsts.MaxPartCodeLength)]
		public virtual string PartCode { get; set; }
		[StringLength(InvDrmLocalPlanConsts.MaxMaterialCodeLength)]
		public virtual string MaterialCode { get; set; }
		[StringLength(InvDrmLocalPlanConsts.MaxMaterialSpecLength)]
		public virtual string MaterialSpec { get; set; }
		public virtual int? Qty { get; set; }
		public virtual DateTime? DeliveryMonth { get; set; }
		public virtual DateTime? DelayDelivery { get; set; }
		[StringLength(InvDrmLocalPlanConsts.MaxRemarkLength)]
		public virtual string Remark { get; set; }
	}
	public class GetInvDrmLocalPlanInput : PagedAndSortedResultRequestDto	
	{
		public virtual string SupplierNo { get; set; }
		public virtual string ShipmentNo { get; set; }
		public virtual string Cfc { get; set; }
		public virtual string PartCode { get; set; }
		public virtual string MaterialCode { get; set; }
		public virtual string MaterialSpec { get; set; }
		public virtual string Remark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InvDrmLocalPlanExportInput{
		public virtual string SupplierNo { get; set; }
		public virtual DateTime? DeliveryDate { get; set; }
		public virtual string ShipmentNo { get; set; }
		public virtual string Cfc { get; set; }
		public virtual string PartCode { get; set; }
		public virtual string MaterialCode { get; set; }
		public virtual string MaterialSpec { get; set; }
		public virtual int? Qty { get; set; }
		public virtual DateTime? DeliveryMonth { get; set; }
		public virtual DateTime? DelayDelivery { get; set; }
		public virtual string Remark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IInvDrmLocalPlanAppService : IApplicationService
	{
		Task&lt;PagedResultDto&lt;InvDrmLocalPlanDto&gt;&gt; GetAll(GetInvDrmLocalPlanInput input);
		Task CreateOrEdit(CreateOrEditInvDrmLocalPlanDto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IInvDrmLocalPlanExcelExporter : IApplicationService
	{
		FileDto ExportToFile(List&lt;InvDrmLocalPlanDto&gt; invdrmlocalplan);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InvDrmLocalPlanExcelExporter : NpoiExcelExporterBase, IInvDrmLocalPlanExcelExporter
    {
        public InvDrmLocalPlanExcelExporter(ITempFileCacheManager tempFileCacheManager) : base(tempFileCacheManager) { }
        public FileDto ExportToFile(List&lt;InvDrmLocalPlanDto&gt; invdrmlocalplan)
        {
            return CreateExcelPackage(
				"InventoryDRMInvDrmLocalPlan.xlsx",
				excelPackage =&gt;
				 {
					var sheet = excelPackage.CreateSheet("InvDrmLocalPlan");
					AddHeader(
								sheet,
								("SupplierNo"),
								("DeliveryDate"),
								("ShipmentNo"),
								("Cfc"),
								("PartCode"),
								("MaterialCode"),
								("MaterialSpec"),
								("Qty"),
								("DeliveryMonth"),
								("DelayDelivery"),
								("Remark"),
							   );
					AddObjects(
						 sheet, 1, invdrmlocalplan,                                       
								_ =&gt; _.SupplierNo,
								_ =&gt; _.DeliveryDate,
								_ =&gt; _.ShipmentNo,
								_ =&gt; _.Cfc,
								_ =&gt; _.PartCode,
								_ =&gt; _.MaterialCode,
								_ =&gt; _.MaterialSpec,
								_ =&gt; _.Qty,
								_ =&gt; _.DeliveryMonth,
								_ =&gt; _.DelayDelivery,
								_ =&gt; _.Remark,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[AbpAuthorize(AppPermissions.Pages_Inventory_DRM_InvDrmLocalPlan)]
    public class InvDrmLocalPlanAppService : vovinaAppServiceBase, IInvDrmLocalPlanAppService
    {
        private readonly IDapperRepository&lt;InvDrmLocalPlan, long&gt; _dapperRepo;
        private readonly IRepository&lt;InvDrmLocalPlan, long&gt; _repo;
        private readonly IInvDrmLocalPlanExcelExporter _calendarListExcelExporter;
        public InvDrmLocalPlanAppService(IRepository&lt;InvDrmLocalPlan,long&gt; repo, 
                                         IDapperRepository&lt;InvDrmLocalPlan,long&gt; dapperRepo,
                                        IInvDrmLocalPlanExcelExporter calendarListExcelExporter
            )
        {
            _repo = repo;
            _dapperRepo = dapperRepo;
            _calendarListExcelExporter = calendarListExcelExporter;
        }
        [AbpAuthorize(AppPermissions.Pages_Inventory_DRM_InvDrmLocalPlan_CreateEdit)]
        public async Task CreateOrEdit(CreateOrEditInvDrmLocalPlanDto input)
        {
            if (input.Id == null) await Create(input);
            else await Update(input);
        }
        //CREATE
        private async Task Create(CreateOrEditInvDrmLocalPlanDto input)
        {          
            var mainObj = ObjectMapper.Map&lt;InvDrmLocalPlan&gt;(input);
            await CurrentUnitOfWork.GetDbContext&lt;vovinaDbContext&gt;().AddAsync(mainObj);
        }
        // EDIT
        private async Task Update(CreateOrEditInvDrmLocalPlanDto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[AbpAuthorize(AppPermissions.Pages_Inventory_DRM_InvDrmLocalPlan_Delete)]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Task&lt;PagedResultDto&lt;InvDrmLocalPlanDto&gt;&gt; GetAll(GetInvDrmLocalPlanInput input)
        {
            var filtered = _repo.GetAll()
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.WhereIf(!string.IsNullOrWhiteSpace(input.MaterialCode), e =&gt; e.MaterialCode.Contains(input.MaterialCode))
				.WhereIf(!string.IsNullOrWhiteSpace(input.MaterialSpec), e =&gt; e.MaterialSpec.Contains(input.MaterialSpec))
				.WhereIf(!string.IsNullOrWhiteSpace(input.Remark), e =&gt; e.Remark.Contains(input.Remark))                   
				;
            var pageAndFiltered = filtered.OrderBy(s =&gt; s.Id);
            var system = from o in pageAndFiltered
                         select new InvDrmLocalPlanDto
                        {
							Id = o.Id,
							SupplierNo = o.SupplierNo,
							DeliveryDate = o.DeliveryDate,
							ShipmentNo = o.ShipmentNo,
							Cfc = o.Cfc,
							PartCode = o.PartCode,
							MaterialCode = o.MaterialCode,
							MaterialSpec = o.MaterialSpec,
							Qty = o.Qty,
							DeliveryMonth = o.DeliveryMonth,
							DelayDelivery = o.DelayDelivery,
							Remark = o.Remark,
                        };
            var totalCount = await filtered.CountAsync();
			var paged = system.PageBy(input);
            return new PagedResultDto&lt;InvDrmLocalPlanDto&gt;(
                totalCount,
                 await paged.ToListAsync()
            );
        }
        public async Task&lt;FileDto&gt; GetInvDrmLocalPlanToExcel(InvDrmLocalPlanExportInput input)
        {
            var query = from o in _repo.GetAll()
                        select new InvDrmLocalPlanDto
                        {
							Id = o.Id,
							SupplierNo = o.SupplierNo,
							DeliveryDate = o.DeliveryDate,
							ShipmentNo = o.ShipmentNo,
							Cfc = o.Cfc,
							PartCode = o.PartCode,
							MaterialCode = o.MaterialCode,
							MaterialSpec = o.MaterialSpec,
							Qty = o.Qty,
							DeliveryMonth = o.DeliveryMonth,
							DelayDelivery = o.DelayDelivery,
							Remark = o.Remark,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_dapperRepo.ExecuteAsync(InvDrmLocalPlanConsts.SP_MST_WPT_CALENDAR_GENERATE);
       // }
    }
}</v>
      </c>
      <c r="N68" s="58" t="str">
        <f>A.Backend!U7</f>
        <v xml:space="preserve">  configuration.CreateMap&lt;InvDrmLocalPlanDto, InvDrmLocalPlan&gt;();
  configuration.CreateMap&lt;InvDrmLocalPlan, InvDrmLocalPlanDto&gt;();
  configuration.CreateMap&lt;CreateOrEditInvDrmLocalPlanDto, InvDrmLocalPlan&gt;();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invdrmlocalplan</v>
      </c>
      <c r="C73" s="66" t="str">
        <f>"create folder " &amp;B73</f>
        <v>create folder invdrmlocalplan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invdrmlocalplan.component.ts</v>
      </c>
      <c r="D74" s="28" t="str">
        <f>B.Frontend!I14</f>
        <v>invdrmlocalplan.component.html</v>
      </c>
      <c r="E74" s="28" t="str">
        <f>B.Frontend!J14</f>
        <v>invdrmlocalplan.component.less</v>
      </c>
      <c r="F74" s="28" t="str">
        <f>B.Frontend!K14</f>
        <v>create-or-edit-invdrmlocalplan-modal.component.html</v>
      </c>
      <c r="G74" s="28" t="str">
        <f>B.Frontend!L14</f>
        <v>create-or-edit-invdrmlocalplan-modal.component.ts</v>
      </c>
      <c r="H74" s="28" t="str">
        <f>B.Frontend!M14</f>
        <v>create-or-edit-invdrmlocalplan-modal.component.less</v>
      </c>
      <c r="I74" s="28" t="str">
        <f>B.Frontend!N14</f>
        <v>invdrmlocalplan.module.ts</v>
      </c>
      <c r="J74" s="28" t="str">
        <f>B.Frontend!O14</f>
        <v>invdrmlocalplan-routing.module.ts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InvDrmLocalPlanDto, InvDrmLocalPlanServiceProxy } from '@shared/service-proxies/service-proxies';
import { finalize } from 'rxjs/internal/operators/finalize';
import { CreateOrEditInvDrmLocalPlanModalComponent } from './create-or-edit-invdrmlocalplan-modal.component';
import { DatePipe } from '@angular/common';
import { FileDownloadService } from '@shared/utils/file-download.service';
import ceil from 'lodash-es/ceil';
import { Paginator } from 'primeng/paginator';
@Component({
    templateUrl: './invdrmlocalplan.component.html',
    styleUrls: ['./invdrmlocalplan.component.less'],
})
export class InvDrmLocalPlanComponent extends AppComponentBase implements OnInit {
    @ViewChild('createOrEditModalInvDrmLocalPlan', { static: true }) createOrEditModalInvDrmLocalPlan:| CreateOrEditInvDrmLocalPlanModalComponent|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InvDrmLocalPlanDto = new InvDrmLocalPlanDto();
    saveSelectedRow: InvDrmLocalPlanDto = new InvDrmLocalPlanDto();
    datas: InvDrmLocalPlanDto = new InvDrmLocalPlanDto();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deliveryDate
	shipmentNo : string = '' ; 
	cfc : string = '' ; 
	partCode : string = '' ; 
	materialCode : string = '' ; 
	materialSpec : string = '' ; 
	qty
	deliveryMonth
	delayDelivery
	remark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InvDrmLocalPlanServiceProxy,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this.l('Delivery Date'),headerTooltip: this.l('Delivery Date'),field: 'deliveryDate',flex: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this.l('Material Code'),headerTooltip: this.l('Material Code'),field: 'materialCode',flex: 1},
			{headerName: this.l('Material Spec'),headerTooltip: this.l('Material Spec'),field: 'materialSpec',flex: 1},
			{headerName: this.l('Qty'),headerTooltip: this.l('Qty'),field: 'qty',flex: 1},
			{headerName: this.l('Delivery Month'),headerTooltip: this.l('Delivery Month'),field: 'deliveryMonth',flex: 1},
			{headerName: this.l('Delay Delivery'),headerTooltip: this.l('Delay Delivery'),field: 'delayDelivery',flex: 1},
			{headerName: this.l('Remark'),headerTooltip: this.l('Remark'),field: 'remark',flex: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this.deliveryDate,
			this.shipmentNo,
			this.cfc,
			this.partCode,
			this.materialCode,
			this.materialSpec,
			this.qty,
			this.deliveryMonth,
			this.delayDelivery,
			this.remark,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this.deliveryDate = '',
		this.shipmentNo = '',
		this.cfc = '',
		this.partCode = '',
		this.materialCode = '',
		this.materialSpec = '',
		this.qty = '',
		this.deliveryMonth = '',
		this.delayDelivery = '',
		this.remark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this.deliveryDate,
			this.shipmentNo,
			this.cfc,
			this.partCode,
			this.materialCode,
			this.materialSpec,
			this.qty,
			this.deliveryMonth,
			this.delayDelivery,
			this.remark,
			'',
            this.paginationParams.skipCount,
            this.paginationParams.pageSize
        );
    }
    onChangeRowSelection(params: { api: { getSelectedRows: () =&gt; InvDrmLocalPlanDto[] } }) {
        this.saveSelectedRow = params.api.getSelectedRows()[0] ?? new InvDrmLocalPlanDto();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InvDrmLocalPlanDto):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this._service.getInvDrmLocalPlanToExcel(
			this.supplierNo,
			this.deliveryDate,
			this.shipmentNo,
			this.cfc,
			this.partCode,
			this.materialCode,
			this.materialSpec,
			this.qty,
			this.deliveryMonth,
			this.delayDelivery,
			this.remark,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IMPORTED PART - DELIVERY PLAN
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(click)="createOrEditModalInvDrmLocalPlan.show()"&gt;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(click)="createOrEditModalInvDrmLocalPlan.show(selectedRow)"&gt;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&lt;create-or-edit-invdrmlocalplan-modal
    #createOrEditModalInvDrmLocalPlan
    (modalSave)="callBackDataGrid(dataParams)"
    (modalClose)="onChangeRowSelection(dataParams)"
&gt;
&lt;/create-or-edit-invdrmlocalplan-modal&gt;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#createOrEditModalInvDrmLocalPlan="bs-modal"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InvDrmLocalPlan')}}&lt;/h3&gt;
                    &lt;h3 *ngIf="!rowdata.id"&gt;{{('Create New InvDrmLocalPlan')}}&lt;/h3&gt;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CreateOrEditInvDrmLocalPlanDto, InvDrmLocalPlanServiceProxy } from '@shared/service-proxies/service-proxies';
import { BsDatepickerDirective } from 'ngx-bootstrap/datepicker';
@Component({
    selector: 'create-or-edit-invdrmlocalplan-modal',
    templateUrl: './create-or-edit-invdrmlocalplan-modal.component.html',
    styleUrls: ['./create-or-edit-invdrmlocalplan-modal.component.less']
    })
export class CreateOrEditInvDrmLocalPlanModalComponent extends AppComponentBase {
    @ViewChild('createOrEditModalInvDrmLocalPlan',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CreateOrEditInvDrmLocalPlanDto = new CreateOrEditInvDrmLocalPlanDto();
    active: boolean = false;
    saving: boolean = false;
    _: boolean;
    constructor(
        injector: Injector,
        private _mstwptInvDrmLocalPlanService: InvDrmLocalPlanServiceProxy,
    ) 
    {
        super(injector);
    }
    show(rowdata?: CreateOrEditInvDrmLocalPlanDto): void {
        if (!rowdata) this.rowdata = new CreateOrEditInvDrmLocalPlanDto();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this._mstwptInvDrmLocalPlanService.createOrEdit(this.rowdata)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InvDrmLocalPlanRoutingModule } from './invdrmlocalplan-routing.module';
import { InvDrmLocalPlanComponent } from './invdrmlocalplan.component';
import { CreateOrEditInvDrmLocalPlanModalComponent } from './create-or-edit-invdrmlocalplan-modal.component';
@NgModule({
    declarations: [
       InvDrmLocalPlanComponent, 
        CreateOrEditInvDrmLocalPlanModalComponent
    ],
    imports: [
        AppSharedModule, InvDrmLocalPlanRoutingModule]
})
export class InvDrmLocalPlanModule {}</v>
      </c>
      <c r="J75" s="46" t="str">
        <f>B.Frontend!O10</f>
        <v>import {NgModule} from '@angular/core';
import {RouterModule, Routes} from '@angular/router';
import { InvDrmLocalPlanComponent } from './invdrmlocalplan.component';
const routes: Routes = [{
    path: '',
    component: InvDrmLocalPlanComponent,
    pathMatch: 'full'
}];
@NgModule({
    imports: [RouterModule.forChild(routes)],
    exports: [RouterModule],
})
export class InvDrmLocalPlanRoutingModule {}</v>
      </c>
      <c r="K75" s="46" t="str">
        <f>B.Frontend!P10</f>
        <v xml:space="preserve"> new AppMenuItem("InvDrmLocalPlan", "Pages.Inventory.DRM.InvDrmLocalPlan", "flaticon-book",   "/app/main/inventory/drm/invdrmlocalplan"),</v>
      </c>
      <c r="L75" s="47" t="str">
        <f>B.Frontend!Q10</f>
        <v>{
    path: 'inventory/drm/invdrmlocalplan',
    loadChildren: () =&gt; import('./inventory/drm/invdrmlocalplan/invdrmlocalplan.module').then(m =&gt; m.InvDrmLocalPlanModule),
    data: { permission: 'Pages.Inventory.DRM.InvDrmLocalPlan' }
},</v>
      </c>
      <c r="M75" s="45" t="str">
        <f>B.Frontend!R10</f>
        <v>ApiServiceProxies.InvDrmLocalPlanServiceProxy,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A9" sqref="A9:A19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368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InvDrmLocalPlanExportInput{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InvDrmLocalPlan: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InvDrmLocalPlanConsts	
	{
</v>
      </c>
      <c r="F6" s="10" t="str">
        <f>REPT(CHAR(9),1)&amp;"public class "&amp;B3&amp;"Dto"&amp;K3&amp;REPT(CHAR(9),1)&amp;"
"&amp;REPT(CHAR(9),1)&amp;C3</f>
        <v xml:space="preserve">	public class InvDrmLocalPlanDto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CreateOrEditInvDrmLocalPlanDto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GetInvDrmLocalPlanInput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InvDrmLocalPlan</v>
      </c>
      <c r="C7" s="10" t="str">
        <f>REPT(CHAR(9),1)&amp;"[Table("""&amp;B7&amp;""")]"&amp;"
"</f>
        <v xml:space="preserve">	[Table("InvDrmLocalPlan")]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[Table("InvDrmLocalPlan")]
	public class InvDrmLocalPlan: FullAuditedEntity&lt;long&gt;, IEntity&lt;long&gt;	
	{
		public const int MaxSupplierNoLength = 10;
		public const int MaxShipmentNoLength = 10;
		public const int MaxCfcLength = 4;
		public const int MaxPartCodeLength = 60;
		public const int MaxMaterialCodeLength = 60;
		public const int MaxMaterialSpecLength = 500;
		public const int MaxRemarkLength = 1000;
		[StringLength(MaxSupplierNoLength)]
		public virtual string SupplierNo { get; set; }
		public virtual DateTime? DeliveryDate { get; set; }
		[StringLength(MaxShipmentNoLength)]
		public virtual string ShipmentNo { get; set; }
		[StringLength(MaxCfcLength)]
		public virtual string Cfc { get; set; }
		[StringLength(MaxPartCodeLength)]
		public virtual string PartCode { get; set; }
		[StringLength(MaxMaterialCodeLength)]
		public virtual string MaterialCode { get; set; }
		[StringLength(MaxMaterialSpecLength)]
		public virtual string MaterialSpec { get; set; }
		public virtual int? Qty { get; set; }
		public virtual DateTime? DeliveryMonth { get; set; }
		public virtual DateTime? DelayDelivery { get; set; }
		[StringLength(MaxRemarkLength)]
		public virtual string Remark { get; set; }
	}
}
</v>
      </c>
      <c r="K7" t="str">
        <f>SUBSTITUTE(SUBSTITUTE(("public virtual DbSet&lt;"&amp;B3&amp;"&gt; "&amp;B3&amp;"s { get; set; }"),"WorkingPattern",$Q$3),"Master",$B$4)</f>
        <v>public virtual DbSet&lt;InvDrmLocalPlan&gt; InvDrmLocalPlans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prod.Inventory.DRM
{
	public class InvDrmLocalPlanConsts	
	{
		public const int MaxSupplierNoLength = 10;
		public const int MaxShipmentNoLength = 10;
		public const int MaxCfcLength = 4;
		public const int MaxPartCodeLength = 60;
		public const int MaxMaterialCodeLength = 60;
		public const int MaxMaterialSpecLength = 500;
		public const int MaxRemarkLength = 1000;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prod.Inventory.DRM.Dto
{
	public class InvDrmLocalPlanDto : EntityDto&lt;long?&gt;	
	{
		public virtual string SupplierNo { get; set; }
		public virtual DateTime? DeliveryDate { get; set; }
		public virtual string ShipmentNo { get; set; }
		public virtual string Cfc { get; set; }
		public virtual string PartCode { get; set; }
		public virtual string MaterialCode { get; set; }
		public virtual string MaterialSpec { get; set; }
		public virtual int? Qty { get; set; }
		public virtual DateTime? DeliveryMonth { get; set; }
		public virtual DateTime? DelayDelivery { get; set; }
		public virtual string Remark { get; set; }
	}
	public class CreateOrEditInvDrmLocalPlanDto : EntityDto&lt;long?&gt;	
	{
		[StringLength(InvDrmLocalPlanConsts.MaxSupplierNoLength)]
		public virtual string SupplierNo { get; set; }
		public virtual DateTime? DeliveryDate { get; set; }
		[StringLength(InvDrmLocalPlanConsts.MaxShipmentNoLength)]
		public virtual string ShipmentNo { get; set; }
		[StringLength(InvDrmLocalPlanConsts.MaxCfcLength)]
		public virtual string Cfc { get; set; }
		[StringLength(InvDrmLocalPlanConsts.MaxPartCodeLength)]
		public virtual string PartCode { get; set; }
		[StringLength(InvDrmLocalPlanConsts.MaxMaterialCodeLength)]
		public virtual string MaterialCode { get; set; }
		[StringLength(InvDrmLocalPlanConsts.MaxMaterialSpecLength)]
		public virtual string MaterialSpec { get; set; }
		public virtual int? Qty { get; set; }
		public virtual DateTime? DeliveryMonth { get; set; }
		public virtual DateTime? DelayDelivery { get; set; }
		[StringLength(InvDrmLocalPlanConsts.MaxRemarkLength)]
		public virtual string Remark { get; set; }
	}
	public class GetInvDrmLocalPlanInput : PagedAndSortedResultRequestDto	
	{
		public virtual string SupplierNo { get; set; }
		public virtual string ShipmentNo { get; set; }
		public virtual string Cfc { get; set; }
		public virtual string PartCode { get; set; }
		public virtual string MaterialCode { get; set; }
		public virtual string MaterialSpec { get; set; }
		public virtual string Remark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perInvDrmLocalPlan = PARENTS.CreateChildPermission(AppPermissions.Pages_Inventory_DRM_InvDrmLocalPlan, L( "InventoryDRMInvDrmLocalPlan"), multiTenancySides: MultiTenancySides.Tenant);
		perInvDrmLocalPlan.CreateChildPermission(AppPermissions.Pages_Inventory_DRM_InvDrmLocalPlan_CreateEdit, L( "InventoryDRMInvDrmLocalPlanCreateEdit"), multiTenancySides: MultiTenancySides.Tenant);
		perInvDrmLocalPlan.CreateChildPermission(AppPermissions.Pages_Inventory_DRM_InvDrmLocalPlan_Delete, L( "InventoryDRMInvDrmLocalPlanDelete"),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Pages_Inventory_DRM_InvDrmLocalPlan = "Pages.Inventory.DRM.InvDrmLocalPlan";
		public const string Pages_Inventory_DRM_InvDrmLocalPlan_CreateEdit = "Pages.Inventory.DRM.InvDrmLocalPlan.CreateEdit";
		public const string Pages_Inventory_DRM_InvDrmLocalPlan_Delete = "Pages.Inventory.DRM.InvDrmLocalPlan.Delete";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IInvDrmLocalPlanAppService : IApplicationService
	{
		Task&lt;PagedResultDto&lt;InvDrmLocalPlanDto&gt;&gt; GetAll(GetInvDrmLocalPlanInput input);
		Task CreateOrEdit(CreateOrEditInvDrmLocalPlanDto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[AbpAuthorize(AppPermissions.Pages_Inventory_DRM_InvDrmLocalPlan)]
    public class InvDrmLocalPlanAppService : vovinaAppServiceBase, IInvDrmLocalPlanAppService
    {
        private readonly IDapperRepository&lt;InvDrmLocalPlan, long&gt; _dapperRepo;
        private readonly IRepository&lt;InvDrmLocalPlan, long&gt; _repo;
        private readonly IInvDrmLocalPlanExcelExporter _calendarListExcelExporter;
        public InvDrmLocalPlanAppService(IRepository&lt;InvDrmLocalPlan,long&gt; repo, 
                                         IDapperRepository&lt;InvDrmLocalPlan,long&gt; dapperRepo,
                                        IInvDrmLocalPlanExcelExporter calendarListExcelExporter
            )
        {
            _repo = repo;
            _dapperRepo = dapperRepo;
            _calendarListExcelExporter = calendarListExcelExporter;
        }
        [AbpAuthorize(AppPermissions.Pages_Inventory_DRM_InvDrmLocalPlan_CreateEdit)]
        public async Task CreateOrEdit(CreateOrEditInvDrmLocalPlanDto input)
        {
            if (input.Id == null) await Create(input);
            else await Update(input);
        }
        //CREATE
        private async Task Create(CreateOrEditInvDrmLocalPlanDto input)
        {          
            var mainObj = ObjectMapper.Map&lt;InvDrmLocalPlan&gt;(input);
            await CurrentUnitOfWork.GetDbContext&lt;vovinaDbContext&gt;().AddAsync(mainObj);
        }
        // EDIT
        private async Task Update(CreateOrEditInvDrmLocalPlanDto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[AbpAuthorize(AppPermissions.Pages_Inventory_DRM_InvDrmLocalPlan_Delete)]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Task&lt;PagedResultDto&lt;InvDrmLocalPlanDto&gt;&gt; GetAll(GetInvDrmLocalPlanInput input)
        {
            var filtered = _repo.GetAll()
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.WhereIf(!string.IsNullOrWhiteSpace(input.MaterialCode), e =&gt; e.MaterialCode.Contains(input.MaterialCode))
				.WhereIf(!string.IsNullOrWhiteSpace(input.MaterialSpec), e =&gt; e.MaterialSpec.Contains(input.MaterialSpec))
				.WhereIf(!string.IsNullOrWhiteSpace(input.Remark), e =&gt; e.Remark.Contains(input.Remark))                   
				;
            var pageAndFiltered = filtered.OrderBy(s =&gt; s.Id);
            var system = from o in pageAndFiltered
                         select new InvDrmLocalPlanDto
                        {
							Id = o.Id,
							SupplierNo = o.SupplierNo,
							DeliveryDate = o.DeliveryDate,
							ShipmentNo = o.ShipmentNo,
							Cfc = o.Cfc,
							PartCode = o.PartCode,
							MaterialCode = o.MaterialCode,
							MaterialSpec = o.MaterialSpec,
							Qty = o.Qty,
							DeliveryMonth = o.DeliveryMonth,
							DelayDelivery = o.DelayDelivery,
							Remark = o.Remark,
                        };
            var totalCount = await filtered.CountAsync();
			var paged = system.PageBy(input);
            return new PagedResultDto&lt;InvDrmLocalPlanDto&gt;(
                totalCount,
                 await paged.ToListAsync()
            );
        }
        public async Task&lt;FileDto&gt; GetInvDrmLocalPlanToExcel(InvDrmLocalPlanExportInput input)
        {
            var query = from o in _repo.GetAll()
                        select new InvDrmLocalPlanDto
                        {
							Id = o.Id,
							SupplierNo = o.SupplierNo,
							DeliveryDate = o.DeliveryDate,
							ShipmentNo = o.ShipmentNo,
							Cfc = o.Cfc,
							PartCode = o.PartCode,
							MaterialCode = o.MaterialCode,
							MaterialSpec = o.MaterialSpec,
							Qty = o.Qty,
							DeliveryMonth = o.DeliveryMonth,
							DelayDelivery = o.DelayDelivery,
							Remark = o.Remark,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_dapperRepo.ExecuteAsync(InvDrmLocalPlanConsts.SP_MST_WPT_CALENDAR_GENERATE);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prod.Inventory.DRM.Dto
{
	public class InvDrmLocalPlanExportInput{
		public virtual string SupplierNo { get; set; }
		public virtual DateTime? DeliveryDate { get; set; }
		public virtual string ShipmentNo { get; set; }
		public virtual string Cfc { get; set; }
		public virtual string PartCode { get; set; }
		public virtual string MaterialCode { get; set; }
		public virtual string MaterialSpec { get; set; }
		public virtual int? Qty { get; set; }
		public virtual DateTime? DeliveryMonth { get; set; }
		public virtual DateTime? DelayDelivery { get; set; }
		public virtual string Remark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IInvDrmLocalPlanExcelExporter : IApplicationService
	{
		FileDto ExportToFile(List&lt;InvDrmLocalPlanDto&gt; invdrmlocalplan);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InvDrmLocalPlanExcelExporter : NpoiExcelExporterBase, IInvDrmLocalPlanExcelExporter
    {
        public InvDrmLocalPlanExcelExporter(ITempFileCacheManager tempFileCacheManager) : base(tempFileCacheManager) { }
        public FileDto ExportToFile(List&lt;InvDrmLocalPlanDto&gt; invdrmlocalplan)
        {
            return CreateExcelPackage(
				"InventoryDRMInvDrmLocalPlan.xlsx",
				excelPackage =&gt;
				 {
					var sheet = excelPackage.CreateSheet("InvDrmLocalPlan");
					AddHeader(
								sheet,
								("SupplierNo"),
								("DeliveryDate"),
								("ShipmentNo"),
								("Cfc"),
								("PartCode"),
								("MaterialCode"),
								("MaterialSpec"),
								("Qty"),
								("DeliveryMonth"),
								("DelayDelivery"),
								("Remark"),
							   );
					AddObjects(
						 sheet, 1, invdrmlocalplan,                                       
								_ =&gt; _.SupplierNo,
								_ =&gt; _.DeliveryDate,
								_ =&gt; _.ShipmentNo,
								_ =&gt; _.Cfc,
								_ =&gt; _.PartCode,
								_ =&gt; _.MaterialCode,
								_ =&gt; _.MaterialSpec,
								_ =&gt; _.Qty,
								_ =&gt; _.DeliveryMonth,
								_ =&gt; _.DelayDelivery,
								_ =&gt; _.Remark,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configuration.CreateMap&lt;InvDrmLocalPlanDto, InvDrmLocalPlan&gt;();
  configuration.CreateMap&lt;InvDrmLocalPlan, InvDrmLocalPlanDto&gt;();
  configuration.CreateMap&lt;CreateOrEditInvDrmLocalPlanDto, InvDrmLocalPlan&gt;();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363</v>
      </c>
      <c r="C9" t="s">
        <v>1</v>
      </c>
      <c r="D9" t="str">
        <f t="shared" ref="D9" si="0">SUBSTITUTE(PROPER(A9),"_","")</f>
        <v>SupplierNo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MaxSupplierNoLength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[StringLength(MaxSupplierNoLength)]
		public virtual string SupplierNo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[StringLength(InvDrmLocalPlanConsts.MaxSupplierNoLength)]
		public virtual string SupplierNo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SupplierNo { get; set; }
</v>
      </c>
      <c r="P9" t="str">
        <f t="shared" ref="P9" si="9">REPT(CHAR(9),7)&amp;D9&amp;" = o." &amp;D9 &amp;","</f>
        <v xml:space="preserve">							SupplierNo = o.SupplierNo,</v>
      </c>
      <c r="T9" s="63" t="str">
        <f t="shared" ref="T9" si="10">REPT(CHAR(9),8)&amp;"("""&amp;D9&amp;"""),"</f>
        <v xml:space="preserve">								("SupplierNo"),</v>
      </c>
      <c r="V9" s="64" t="str">
        <f t="shared" ref="V9" si="11">REPT(CHAR(9),8)&amp;"_ =&gt; _."&amp;D9&amp;","</f>
        <v xml:space="preserve">								_ =&gt; _.SupplierNo,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.WhereIf(!string.IsNullOrWhiteSpace(input.SupplierNo), e =&gt; e.SupplierNo.Contains(input.SupplierNo))</v>
      </c>
    </row>
    <row r="10" spans="1:23" customFormat="1" ht="18.75" customHeight="1" x14ac:dyDescent="0.25">
      <c r="A10" t="s">
        <v>369</v>
      </c>
      <c r="B10" t="s">
        <v>357</v>
      </c>
      <c r="C10" t="s">
        <v>1</v>
      </c>
      <c r="D10" t="str">
        <f t="shared" ref="D10" si="13">SUBSTITUTE(PROPER(A10),"_","")</f>
        <v>DeliveryDate</v>
      </c>
      <c r="E10" t="str">
        <f t="shared" ref="E10" si="14">IFERROR(LEFT(B10, FIND("(",B10)-1),B10)</f>
        <v>DATETIME</v>
      </c>
      <c r="F10" s="6"/>
      <c r="G10" t="str">
        <f t="shared" ref="G10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DeliveryDate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DateTime? DeliveryDate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DeliveryDate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2">REPT(CHAR(9),7)&amp;D10&amp;" = o." &amp;D10 &amp;","</f>
        <v xml:space="preserve">							DeliveryDate = o.DeliveryDate,</v>
      </c>
      <c r="T10" s="63" t="str">
        <f t="shared" ref="T10" si="23">REPT(CHAR(9),8)&amp;"("""&amp;D10&amp;"""),"</f>
        <v xml:space="preserve">								("DeliveryDate"),</v>
      </c>
      <c r="V10" s="64" t="str">
        <f t="shared" ref="V10" si="24">REPT(CHAR(9),8)&amp;"_ =&gt; _."&amp;D10&amp;","</f>
        <v xml:space="preserve">								_ =&gt; _.DeliveryDate,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359</v>
      </c>
      <c r="B11" t="s">
        <v>363</v>
      </c>
      <c r="C11" t="s">
        <v>1</v>
      </c>
      <c r="D11" t="str">
        <f t="shared" ref="D11" si="26">SUBSTITUTE(PROPER(A11),"_","")</f>
        <v>ShipmentNo</v>
      </c>
      <c r="E11" t="str">
        <f t="shared" ref="E11" si="27">IFERROR(LEFT(B11, FIND("(",B11)-1),B11)</f>
        <v>NVARCHAR</v>
      </c>
      <c r="F11" s="6"/>
      <c r="G11" t="str">
        <f t="shared" ref="G11" si="28">IFERROR(MID(B11,FIND("(",B11) +1, FIND(")",B11) - FIND("(",B11) - 1),"")</f>
        <v>10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MaxShipmentNoLength = 10;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[StringLength(MaxShipmentNoLength)]
		public virtual string ShipmentNo { get; set; }
</v>
      </c>
      <c r="K11" s="6"/>
      <c r="L11" t="str">
        <f t="shared" ref="L11" si="31">IF(K11="","",REPT(CHAR(9),1)&amp;"[Index(nameof("&amp;IF(D11="","",""&amp;D11)&amp;")"&amp;", Name="&amp;"""IX_"&amp;$B$7&amp;"_"&amp;D11&amp;""")]")</f>
        <v/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ShipmentNo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[StringLength(InvDrmLocalPlanConsts.MaxShipmentNoLength)]
		public virtual string ShipmentNo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ShipmentNo { get; set; }
</v>
      </c>
      <c r="P11" t="str">
        <f t="shared" ref="P11" si="35">REPT(CHAR(9),7)&amp;D11&amp;" = o." &amp;D11 &amp;","</f>
        <v xml:space="preserve">							ShipmentNo = o.ShipmentNo,</v>
      </c>
      <c r="T11" s="63" t="str">
        <f t="shared" ref="T11" si="36">REPT(CHAR(9),8)&amp;"("""&amp;D11&amp;"""),"</f>
        <v xml:space="preserve">								("ShipmentNo"),</v>
      </c>
      <c r="V11" s="64" t="str">
        <f t="shared" ref="V11" si="37">REPT(CHAR(9),8)&amp;"_ =&gt; _."&amp;D11&amp;","</f>
        <v xml:space="preserve">								_ =&gt; _.ShipmentNo,</v>
      </c>
      <c r="W11" s="63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.WhereIf(!string.IsNullOrWhiteSpace(input.ShipmentNo), e =&gt; e.ShipmentNo.Contains(input.ShipmentNo))</v>
      </c>
    </row>
    <row r="12" spans="1:23" customFormat="1" ht="18.75" customHeight="1" x14ac:dyDescent="0.25">
      <c r="A12" t="s">
        <v>360</v>
      </c>
      <c r="B12" t="s">
        <v>364</v>
      </c>
      <c r="C12" t="s">
        <v>1</v>
      </c>
      <c r="D12" t="str">
        <f t="shared" ref="D12:D15" si="39">SUBSTITUTE(PROPER(A12),"_","")</f>
        <v>Cfc</v>
      </c>
      <c r="E12" t="str">
        <f t="shared" ref="E12:E15" si="40">IFERROR(LEFT(B12, FIND("(",B12)-1),B12)</f>
        <v>NVARCHAR</v>
      </c>
      <c r="F12" s="6"/>
      <c r="G12" t="str">
        <f t="shared" ref="G12:G15" si="41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5" si="42">IF(H12="string",REPT(CHAR(9),2)&amp;"public const int Max"&amp;D12&amp;"Length = "&amp;G12&amp;";"&amp;$E$3,"" )</f>
        <v xml:space="preserve">		public const int MaxCfcLength = 4;
</v>
      </c>
      <c r="J12" t="str">
        <f t="shared" ref="J12:J15" si="4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[StringLength(MaxCfcLength)]
		public virtual string Cfc { get; set; }
</v>
      </c>
      <c r="K12" s="6"/>
      <c r="L12" t="str">
        <f t="shared" ref="L12:L15" si="44">IF(K12="","",REPT(CHAR(9),1)&amp;"[Index(nameof("&amp;IF(D12="","",""&amp;D12)&amp;")"&amp;", Name="&amp;"""IX_"&amp;$B$7&amp;"_"&amp;D12&amp;""")]")</f>
        <v/>
      </c>
      <c r="M12" t="str">
        <f t="shared" ref="M12:M15" si="45">REPT(CHAR(9),2)&amp;"public virtual "&amp;IF(OR(H12="DateTime",H12="TimeSpan"),H12&amp;"?",H12)&amp;IF(C12="?","? "," ")&amp;D12&amp;" { get; set; }" &amp; "
"</f>
        <v xml:space="preserve">		public virtual string Cfc { get; set; }
</v>
      </c>
      <c r="N12" t="str">
        <f t="shared" ref="N12:N15" si="4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[StringLength(InvDrmLocalPlanConsts.MaxCfcLength)]
		public virtual string Cfc { get; set; }
</v>
      </c>
      <c r="O12" t="str">
        <f t="shared" ref="O12:O15" si="47">IF(OR(H12="string",H12="DateTime",H12="int"),REPT(CHAR(9),2)&amp;"public virtual "&amp;IF(OR(H12="DateTime",H12="TimeSpan"),H12&amp;"?",H12)&amp;IF(C12="?","? "," ")&amp;D12&amp;" { get; set; }"&amp;$E$3,"")</f>
        <v xml:space="preserve">		public virtual string Cfc { get; set; }
</v>
      </c>
      <c r="P12" t="str">
        <f t="shared" ref="P12:P15" si="48">REPT(CHAR(9),7)&amp;D12&amp;" = o." &amp;D12 &amp;","</f>
        <v xml:space="preserve">							Cfc = o.Cfc,</v>
      </c>
      <c r="T12" s="63" t="str">
        <f t="shared" ref="T12:T15" si="49">REPT(CHAR(9),8)&amp;"("""&amp;D12&amp;"""),"</f>
        <v xml:space="preserve">								("Cfc"),</v>
      </c>
      <c r="V12" s="64" t="str">
        <f t="shared" ref="V12:V15" si="50">REPT(CHAR(9),8)&amp;"_ =&gt; _."&amp;D12&amp;","</f>
        <v xml:space="preserve">								_ =&gt; _.Cfc,</v>
      </c>
      <c r="W12" s="63" t="str">
        <f t="shared" ref="W12:W15" si="5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.WhereIf(!string.IsNullOrWhiteSpace(input.Cfc), e =&gt; e.Cfc.Contains(input.Cfc))</v>
      </c>
    </row>
    <row r="13" spans="1:23" customFormat="1" ht="18.75" customHeight="1" x14ac:dyDescent="0.25">
      <c r="A13" t="s">
        <v>361</v>
      </c>
      <c r="B13" t="s">
        <v>365</v>
      </c>
      <c r="C13" t="s">
        <v>1</v>
      </c>
      <c r="D13" t="str">
        <f t="shared" si="39"/>
        <v>PartCode</v>
      </c>
      <c r="E13" t="str">
        <f t="shared" si="40"/>
        <v>NVARCHAR</v>
      </c>
      <c r="F13" s="6"/>
      <c r="G13" t="str">
        <f t="shared" si="41"/>
        <v>60</v>
      </c>
      <c r="H13" t="str">
        <f>+VLOOKUP(E13,'Data Type Mapping'!A:B,2,)</f>
        <v>string</v>
      </c>
      <c r="I13" t="str">
        <f t="shared" si="42"/>
        <v xml:space="preserve">		public const int MaxPartCodeLength = 60;
</v>
      </c>
      <c r="J13" t="str">
        <f t="shared" si="43"/>
        <v xml:space="preserve">		[StringLength(MaxPartCodeLength)]
		public virtual string PartCode { get; set; }
</v>
      </c>
      <c r="K13" s="6"/>
      <c r="L13" t="str">
        <f t="shared" si="44"/>
        <v/>
      </c>
      <c r="M13" t="str">
        <f t="shared" si="45"/>
        <v xml:space="preserve">		public virtual string PartCode { get; set; }
</v>
      </c>
      <c r="N13" t="str">
        <f t="shared" si="46"/>
        <v xml:space="preserve">		[StringLength(InvDrmLocalPlanConsts.MaxPartCodeLength)]
		public virtual string PartCode { get; set; }
</v>
      </c>
      <c r="O13" t="str">
        <f t="shared" si="47"/>
        <v xml:space="preserve">		public virtual string PartCode { get; set; }
</v>
      </c>
      <c r="P13" t="str">
        <f t="shared" si="48"/>
        <v xml:space="preserve">							PartCode = o.PartCode,</v>
      </c>
      <c r="T13" s="63" t="str">
        <f t="shared" si="49"/>
        <v xml:space="preserve">								("PartCode"),</v>
      </c>
      <c r="V13" s="64" t="str">
        <f t="shared" si="50"/>
        <v xml:space="preserve">								_ =&gt; _.PartCode,</v>
      </c>
      <c r="W13" s="63" t="str">
        <f t="shared" si="51"/>
        <v xml:space="preserve">				.WhereIf(!string.IsNullOrWhiteSpace(input.PartCode), e =&gt; e.PartCode.Contains(input.PartCode))</v>
      </c>
    </row>
    <row r="14" spans="1:23" customFormat="1" ht="18.75" customHeight="1" x14ac:dyDescent="0.25">
      <c r="A14" t="s">
        <v>370</v>
      </c>
      <c r="B14" t="s">
        <v>365</v>
      </c>
      <c r="C14" t="s">
        <v>1</v>
      </c>
      <c r="D14" t="str">
        <f t="shared" ref="D14" si="52">SUBSTITUTE(PROPER(A14),"_","")</f>
        <v>MaterialCode</v>
      </c>
      <c r="E14" t="str">
        <f t="shared" ref="E14" si="53">IFERROR(LEFT(B14, FIND("(",B14)-1),B14)</f>
        <v>NVARCHAR</v>
      </c>
      <c r="F14" s="6"/>
      <c r="G14" t="str">
        <f t="shared" ref="G14" si="54">IFERROR(MID(B14,FIND("(",B14) +1, FIND(")",B14) - FIND("(",B14) - 1),"")</f>
        <v>60</v>
      </c>
      <c r="H14" t="str">
        <f>+VLOOKUP(E14,'Data Type Mapping'!A:B,2,)</f>
        <v>string</v>
      </c>
      <c r="I14" t="str">
        <f t="shared" ref="I14" si="55">IF(H14="string",REPT(CHAR(9),2)&amp;"public const int Max"&amp;D14&amp;"Length = "&amp;G14&amp;";"&amp;$E$3,"" )</f>
        <v xml:space="preserve">		public const int MaxMaterialCodeLength = 60;
</v>
      </c>
      <c r="J14" t="str">
        <f t="shared" ref="J14" si="56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[StringLength(MaxMaterialCodeLength)]
		public virtual string MaterialCode { get; set; }
</v>
      </c>
      <c r="K14" s="6"/>
      <c r="L14" t="str">
        <f t="shared" ref="L14" si="57">IF(K14="","",REPT(CHAR(9),1)&amp;"[Index(nameof("&amp;IF(D14="","",""&amp;D14)&amp;")"&amp;", Name="&amp;"""IX_"&amp;$B$7&amp;"_"&amp;D14&amp;""")]")</f>
        <v/>
      </c>
      <c r="M14" t="str">
        <f t="shared" ref="M14" si="58">REPT(CHAR(9),2)&amp;"public virtual "&amp;IF(OR(H14="DateTime",H14="TimeSpan"),H14&amp;"?",H14)&amp;IF(C14="?","? "," ")&amp;D14&amp;" { get; set; }" &amp; "
"</f>
        <v xml:space="preserve">		public virtual string MaterialCode { get; set; }
</v>
      </c>
      <c r="N14" t="str">
        <f t="shared" ref="N14" si="59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[StringLength(InvDrmLocalPlanConsts.MaxMaterialCodeLength)]
		public virtual string MaterialCode { get; set; }
</v>
      </c>
      <c r="O14" t="str">
        <f t="shared" ref="O14" si="60">IF(OR(H14="string",H14="DateTime",H14="int"),REPT(CHAR(9),2)&amp;"public virtual "&amp;IF(OR(H14="DateTime",H14="TimeSpan"),H14&amp;"?",H14)&amp;IF(C14="?","? "," ")&amp;D14&amp;" { get; set; }"&amp;$E$3,"")</f>
        <v xml:space="preserve">		public virtual string MaterialCode { get; set; }
</v>
      </c>
      <c r="P14" t="str">
        <f t="shared" ref="P14" si="61">REPT(CHAR(9),7)&amp;D14&amp;" = o." &amp;D14 &amp;","</f>
        <v xml:space="preserve">							MaterialCode = o.MaterialCode,</v>
      </c>
      <c r="T14" s="63" t="str">
        <f t="shared" ref="T14" si="62">REPT(CHAR(9),8)&amp;"("""&amp;D14&amp;"""),"</f>
        <v xml:space="preserve">								("MaterialCode"),</v>
      </c>
      <c r="V14" s="64" t="str">
        <f t="shared" ref="V14" si="63">REPT(CHAR(9),8)&amp;"_ =&gt; _."&amp;D14&amp;","</f>
        <v xml:space="preserve">								_ =&gt; _.MaterialCode,</v>
      </c>
      <c r="W14" s="63" t="str">
        <f t="shared" ref="W14" si="64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.WhereIf(!string.IsNullOrWhiteSpace(input.MaterialCode), e =&gt; e.MaterialCode.Contains(input.MaterialCode))</v>
      </c>
    </row>
    <row r="15" spans="1:23" customFormat="1" ht="18.75" customHeight="1" x14ac:dyDescent="0.25">
      <c r="A15" t="s">
        <v>371</v>
      </c>
      <c r="B15" t="s">
        <v>374</v>
      </c>
      <c r="C15" t="s">
        <v>1</v>
      </c>
      <c r="D15" t="str">
        <f t="shared" si="39"/>
        <v>MaterialSpec</v>
      </c>
      <c r="E15" t="str">
        <f t="shared" si="40"/>
        <v>NVARCHAR</v>
      </c>
      <c r="F15" s="6"/>
      <c r="G15" t="str">
        <f t="shared" si="41"/>
        <v>500</v>
      </c>
      <c r="H15" t="str">
        <f>+VLOOKUP(E15,'Data Type Mapping'!A:B,2,)</f>
        <v>string</v>
      </c>
      <c r="I15" t="str">
        <f t="shared" si="42"/>
        <v xml:space="preserve">		public const int MaxMaterialSpecLength = 500;
</v>
      </c>
      <c r="J15" t="str">
        <f t="shared" si="43"/>
        <v xml:space="preserve">		[StringLength(MaxMaterialSpecLength)]
		public virtual string MaterialSpec { get; set; }
</v>
      </c>
      <c r="K15" s="6"/>
      <c r="L15" t="str">
        <f t="shared" si="44"/>
        <v/>
      </c>
      <c r="M15" t="str">
        <f t="shared" si="45"/>
        <v xml:space="preserve">		public virtual string MaterialSpec { get; set; }
</v>
      </c>
      <c r="N15" t="str">
        <f t="shared" si="46"/>
        <v xml:space="preserve">		[StringLength(InvDrmLocalPlanConsts.MaxMaterialSpecLength)]
		public virtual string MaterialSpec { get; set; }
</v>
      </c>
      <c r="O15" t="str">
        <f t="shared" si="47"/>
        <v xml:space="preserve">		public virtual string MaterialSpec { get; set; }
</v>
      </c>
      <c r="P15" t="str">
        <f t="shared" si="48"/>
        <v xml:space="preserve">							MaterialSpec = o.MaterialSpec,</v>
      </c>
      <c r="T15" s="63" t="str">
        <f t="shared" si="49"/>
        <v xml:space="preserve">								("MaterialSpec"),</v>
      </c>
      <c r="V15" s="64" t="str">
        <f t="shared" si="50"/>
        <v xml:space="preserve">								_ =&gt; _.MaterialSpec,</v>
      </c>
      <c r="W15" s="63" t="str">
        <f t="shared" si="51"/>
        <v xml:space="preserve">				.WhereIf(!string.IsNullOrWhiteSpace(input.MaterialSpec), e =&gt; e.MaterialSpec.Contains(input.MaterialSpec))</v>
      </c>
    </row>
    <row r="16" spans="1:23" customFormat="1" ht="18.75" customHeight="1" x14ac:dyDescent="0.25">
      <c r="A16" t="s">
        <v>356</v>
      </c>
      <c r="B16" t="s">
        <v>354</v>
      </c>
      <c r="C16" t="s">
        <v>1</v>
      </c>
      <c r="D16" t="str">
        <f t="shared" ref="D16:D17" si="65">SUBSTITUTE(PROPER(A16),"_","")</f>
        <v>Qty</v>
      </c>
      <c r="E16" t="str">
        <f t="shared" ref="E16:E17" si="66">IFERROR(LEFT(B16, FIND("(",B16)-1),B16)</f>
        <v>INT</v>
      </c>
      <c r="F16" s="6"/>
      <c r="G16" t="str">
        <f t="shared" ref="G16:G17" si="67">IFERROR(MID(B16,FIND("(",B16) +1, FIND(")",B16) - FIND("(",B16) - 1),"")</f>
        <v/>
      </c>
      <c r="H16" t="str">
        <f>+VLOOKUP(E16,'Data Type Mapping'!A:B,2,)</f>
        <v>int?</v>
      </c>
      <c r="I16" t="str">
        <f t="shared" ref="I16:I17" si="68">IF(H16="string",REPT(CHAR(9),2)&amp;"public const int Max"&amp;D16&amp;"Length = "&amp;G16&amp;";"&amp;$E$3,"" )</f>
        <v/>
      </c>
      <c r="J16" t="str">
        <f t="shared" ref="J16:J17" si="6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Qty { get; set; }
</v>
      </c>
      <c r="K16" s="6"/>
      <c r="L16" t="str">
        <f t="shared" ref="L16:L17" si="70">IF(K16="","",REPT(CHAR(9),1)&amp;"[Index(nameof("&amp;IF(D16="","",""&amp;D16)&amp;")"&amp;", Name="&amp;"""IX_"&amp;$B$7&amp;"_"&amp;D16&amp;""")]")</f>
        <v/>
      </c>
      <c r="M16" t="str">
        <f t="shared" ref="M16:M17" si="71">REPT(CHAR(9),2)&amp;"public virtual "&amp;IF(OR(H16="DateTime",H16="TimeSpan"),H16&amp;"?",H16)&amp;IF(C16="?","? "," ")&amp;D16&amp;" { get; set; }" &amp; "
"</f>
        <v xml:space="preserve">		public virtual int? Qty { get; set; }
</v>
      </c>
      <c r="N16" t="str">
        <f t="shared" ref="N16:N17" si="72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Qty { get; set; }
</v>
      </c>
      <c r="O16" t="str">
        <f t="shared" ref="O16:O17" si="73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17" si="74">REPT(CHAR(9),7)&amp;D16&amp;" = o." &amp;D16 &amp;","</f>
        <v xml:space="preserve">							Qty = o.Qty,</v>
      </c>
      <c r="T16" s="63" t="str">
        <f t="shared" ref="T16:T17" si="75">REPT(CHAR(9),8)&amp;"("""&amp;D16&amp;"""),"</f>
        <v xml:space="preserve">								("Qty"),</v>
      </c>
      <c r="V16" s="64" t="str">
        <f t="shared" ref="V16:V17" si="76">REPT(CHAR(9),8)&amp;"_ =&gt; _."&amp;D16&amp;","</f>
        <v xml:space="preserve">								_ =&gt; _.Qty,</v>
      </c>
      <c r="W16" s="63" t="str">
        <f t="shared" ref="W16:W17" si="77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372</v>
      </c>
      <c r="B17" t="s">
        <v>357</v>
      </c>
      <c r="C17" t="s">
        <v>1</v>
      </c>
      <c r="D17" t="str">
        <f t="shared" si="65"/>
        <v>DeliveryMonth</v>
      </c>
      <c r="E17" t="str">
        <f t="shared" si="66"/>
        <v>DATETIME</v>
      </c>
      <c r="F17" s="6"/>
      <c r="G17" t="str">
        <f t="shared" si="67"/>
        <v/>
      </c>
      <c r="H17" t="str">
        <f>+VLOOKUP(E17,'Data Type Mapping'!A:B,2,)</f>
        <v>DateTime?</v>
      </c>
      <c r="I17" t="str">
        <f t="shared" si="68"/>
        <v/>
      </c>
      <c r="J17" t="str">
        <f t="shared" si="69"/>
        <v xml:space="preserve">		public virtual DateTime? DeliveryMonth { get; set; }
</v>
      </c>
      <c r="K17" s="6"/>
      <c r="L17" t="str">
        <f t="shared" si="70"/>
        <v/>
      </c>
      <c r="M17" t="str">
        <f t="shared" si="71"/>
        <v xml:space="preserve">		public virtual DateTime? DeliveryMonth { get; set; }
</v>
      </c>
      <c r="N17" t="str">
        <f t="shared" si="72"/>
        <v xml:space="preserve">		public virtual DateTime? DeliveryMonth { get; set; }
</v>
      </c>
      <c r="O17" t="str">
        <f t="shared" si="73"/>
        <v/>
      </c>
      <c r="P17" t="str">
        <f t="shared" si="74"/>
        <v xml:space="preserve">							DeliveryMonth = o.DeliveryMonth,</v>
      </c>
      <c r="T17" s="63" t="str">
        <f t="shared" si="75"/>
        <v xml:space="preserve">								("DeliveryMonth"),</v>
      </c>
      <c r="V17" s="64" t="str">
        <f t="shared" si="76"/>
        <v xml:space="preserve">								_ =&gt; _.DeliveryMonth,</v>
      </c>
      <c r="W17" s="63" t="str">
        <f t="shared" si="77"/>
        <v/>
      </c>
    </row>
    <row r="18" spans="1:23" customFormat="1" ht="18.75" customHeight="1" x14ac:dyDescent="0.25">
      <c r="A18" t="s">
        <v>373</v>
      </c>
      <c r="B18" t="s">
        <v>357</v>
      </c>
      <c r="C18" t="s">
        <v>1</v>
      </c>
      <c r="D18" t="str">
        <f t="shared" ref="D18" si="78">SUBSTITUTE(PROPER(A18),"_","")</f>
        <v>DelayDelivery</v>
      </c>
      <c r="E18" t="str">
        <f t="shared" ref="E18" si="79">IFERROR(LEFT(B18, FIND("(",B18)-1),B18)</f>
        <v>DATETIME</v>
      </c>
      <c r="F18" s="6"/>
      <c r="G18" t="str">
        <f t="shared" ref="G18" si="80">IFERROR(MID(B18,FIND("(",B18) +1, FIND(")",B18) - FIND("(",B18) - 1),"")</f>
        <v/>
      </c>
      <c r="H18" t="str">
        <f>+VLOOKUP(E18,'Data Type Mapping'!A:B,2,)</f>
        <v>DateTime?</v>
      </c>
      <c r="I18" t="str">
        <f t="shared" ref="I18" si="81">IF(H18="string",REPT(CHAR(9),2)&amp;"public const int Max"&amp;D18&amp;"Length = "&amp;G18&amp;";"&amp;$E$3,"" )</f>
        <v/>
      </c>
      <c r="J18" t="str">
        <f t="shared" ref="J18" si="82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DateTime? DelayDelivery { get; set; }
</v>
      </c>
      <c r="K18" s="6"/>
      <c r="L18" t="str">
        <f t="shared" ref="L18" si="83">IF(K18="","",REPT(CHAR(9),1)&amp;"[Index(nameof("&amp;IF(D18="","",""&amp;D18)&amp;")"&amp;", Name="&amp;"""IX_"&amp;$B$7&amp;"_"&amp;D18&amp;""")]")</f>
        <v/>
      </c>
      <c r="M18" t="str">
        <f t="shared" ref="M18" si="84">REPT(CHAR(9),2)&amp;"public virtual "&amp;IF(OR(H18="DateTime",H18="TimeSpan"),H18&amp;"?",H18)&amp;IF(C18="?","? "," ")&amp;D18&amp;" { get; set; }" &amp; "
"</f>
        <v xml:space="preserve">		public virtual DateTime? DelayDelivery { get; set; }
</v>
      </c>
      <c r="N18" t="str">
        <f t="shared" ref="N18" si="85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DelayDelivery { get; set; }
</v>
      </c>
      <c r="O18" t="str">
        <f t="shared" ref="O18" si="86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87">REPT(CHAR(9),7)&amp;D18&amp;" = o." &amp;D18 &amp;","</f>
        <v xml:space="preserve">							DelayDelivery = o.DelayDelivery,</v>
      </c>
      <c r="T18" s="63" t="str">
        <f t="shared" ref="T18" si="88">REPT(CHAR(9),8)&amp;"("""&amp;D18&amp;"""),"</f>
        <v xml:space="preserve">								("DelayDelivery"),</v>
      </c>
      <c r="V18" s="64" t="str">
        <f t="shared" ref="V18" si="89">REPT(CHAR(9),8)&amp;"_ =&gt; _."&amp;D18&amp;","</f>
        <v xml:space="preserve">								_ =&gt; _.DelayDelivery,</v>
      </c>
      <c r="W18" s="63" t="str">
        <f t="shared" ref="W18" si="90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362</v>
      </c>
      <c r="B19" t="s">
        <v>366</v>
      </c>
      <c r="C19" t="s">
        <v>1</v>
      </c>
      <c r="D19" t="str">
        <f t="shared" ref="D19" si="91">SUBSTITUTE(PROPER(A19),"_","")</f>
        <v>Remark</v>
      </c>
      <c r="E19" t="str">
        <f t="shared" ref="E19" si="92">IFERROR(LEFT(B19, FIND("(",B19)-1),B19)</f>
        <v>NVARCHAR</v>
      </c>
      <c r="F19" s="6"/>
      <c r="G19" t="str">
        <f t="shared" ref="G19" si="93">IFERROR(MID(B19,FIND("(",B19) +1, FIND(")",B19) - FIND("(",B19) - 1),"")</f>
        <v>1000</v>
      </c>
      <c r="H19" t="str">
        <f>+VLOOKUP(E19,'Data Type Mapping'!A:B,2,)</f>
        <v>string</v>
      </c>
      <c r="I19" t="str">
        <f t="shared" ref="I19" si="94">IF(H19="string",REPT(CHAR(9),2)&amp;"public const int Max"&amp;D19&amp;"Length = "&amp;G19&amp;";"&amp;$E$3,"" )</f>
        <v xml:space="preserve">		public const int MaxRemarkLength = 1000;
</v>
      </c>
      <c r="J19" t="str">
        <f t="shared" ref="J19" si="9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[StringLength(MaxRemarkLength)]
		public virtual string Remark { get; set; }
</v>
      </c>
      <c r="K19" s="6"/>
      <c r="L19" t="str">
        <f t="shared" ref="L19" si="96">IF(K19="","",REPT(CHAR(9),1)&amp;"[Index(nameof("&amp;IF(D19="","",""&amp;D19)&amp;")"&amp;", Name="&amp;"""IX_"&amp;$B$7&amp;"_"&amp;D19&amp;""")]")</f>
        <v/>
      </c>
      <c r="M19" t="str">
        <f t="shared" ref="M19" si="97">REPT(CHAR(9),2)&amp;"public virtual "&amp;IF(OR(H19="DateTime",H19="TimeSpan"),H19&amp;"?",H19)&amp;IF(C19="?","? "," ")&amp;D19&amp;" { get; set; }" &amp; "
"</f>
        <v xml:space="preserve">		public virtual string Remark { get; set; }
</v>
      </c>
      <c r="N19" t="str">
        <f t="shared" ref="N19" si="98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[StringLength(InvDrmLocalPlanConsts.MaxRemarkLength)]
		public virtual string Remark { get; set; }
</v>
      </c>
      <c r="O19" t="str">
        <f t="shared" ref="O19" si="99">IF(OR(H19="string",H19="DateTime",H19="int"),REPT(CHAR(9),2)&amp;"public virtual "&amp;IF(OR(H19="DateTime",H19="TimeSpan"),H19&amp;"?",H19)&amp;IF(C19="?","? "," ")&amp;D19&amp;" { get; set; }"&amp;$E$3,"")</f>
        <v xml:space="preserve">		public virtual string Remark { get; set; }
</v>
      </c>
      <c r="P19" t="str">
        <f t="shared" ref="P19" si="100">REPT(CHAR(9),7)&amp;D19&amp;" = o." &amp;D19 &amp;","</f>
        <v xml:space="preserve">							Remark = o.Remark,</v>
      </c>
      <c r="T19" s="63" t="str">
        <f t="shared" ref="T19" si="101">REPT(CHAR(9),8)&amp;"("""&amp;D19&amp;"""),"</f>
        <v xml:space="preserve">								("Remark"),</v>
      </c>
      <c r="V19" s="64" t="str">
        <f t="shared" ref="V19" si="102">REPT(CHAR(9),8)&amp;"_ =&gt; _."&amp;D19&amp;","</f>
        <v xml:space="preserve">								_ =&gt; _.Remark,</v>
      </c>
      <c r="W19" s="63" t="str">
        <f t="shared" ref="W19" si="103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.WhereIf(!string.IsNullOrWhiteSpace(input.Remark), e =&gt; e.Remark.Contains(input.Remark))</v>
      </c>
    </row>
    <row r="21" spans="1:23" ht="45.75" customHeight="1" x14ac:dyDescent="0.25">
      <c r="H21" s="11"/>
      <c r="I21" s="31" t="str">
        <f ca="1">TEXTJOIN2("
", TRUE,INDIRECT( $H$1):INDIRECT( $H$3))</f>
        <v xml:space="preserve">		public const int MaxSupplierNoLength = 10;
		public const int MaxShipmentNoLength = 10;
		public const int MaxCfcLength = 4;
		public const int MaxPartCodeLength = 60;
		public const int MaxMaterialCodeLength = 60;
		public const int MaxMaterialSpecLength = 500;
		public const int MaxRemarkLength = 1000;
</v>
      </c>
      <c r="J21" s="30" t="str">
        <f ca="1">TEXTJOIN2("
", TRUE,INDIRECT( $F$1):INDIRECT( $F$3))</f>
        <v xml:space="preserve">		[StringLength(MaxSupplierNoLength)]
		public virtual string SupplierNo { get; set; }
		public virtual DateTime? DeliveryDate { get; set; }
		[StringLength(MaxShipmentNoLength)]
		public virtual string ShipmentNo { get; set; }
		[StringLength(MaxCfcLength)]
		public virtual string Cfc { get; set; }
		[StringLength(MaxPartCodeLength)]
		public virtual string PartCode { get; set; }
		[StringLength(MaxMaterialCodeLength)]
		public virtual string MaterialCode { get; set; }
		[StringLength(MaxMaterialSpecLength)]
		public virtual string MaterialSpec { get; set; }
		public virtual int? Qty { get; set; }
		public virtual DateTime? DeliveryMonth { get; set; }
		public virtual DateTime? DelayDelivery { get; set; }
		[StringLength(MaxRemarkLength)]
		public virtual string Remark { get; set; }
</v>
      </c>
      <c r="K21" s="32" t="str">
        <f ca="1">TEXTJOIN2("
", TRUE,INDIRECT( $J$1):INDIRECT( $J$3))</f>
        <v/>
      </c>
      <c r="L21" s="12" t="s">
        <v>57</v>
      </c>
      <c r="M21" s="33" t="str">
        <f ca="1">TEXTJOIN2("
",TRUE,INDIRECT( $L$1):INDIRECT($L$3))</f>
        <v xml:space="preserve">		public virtual string SupplierNo { get; set; }
		public virtual DateTime? DeliveryDate { get; set; }
		public virtual string ShipmentNo { get; set; }
		public virtual string Cfc { get; set; }
		public virtual string PartCode { get; set; }
		public virtual string MaterialCode { get; set; }
		public virtual string MaterialSpec { get; set; }
		public virtual int? Qty { get; set; }
		public virtual DateTime? DeliveryMonth { get; set; }
		public virtual DateTime? DelayDelivery { get; set; }
		public virtual string Remark { get; set; }
</v>
      </c>
      <c r="N21" s="30" t="str">
        <f ca="1">TEXTJOIN2("
",TRUE,INDIRECT( $M$1):INDIRECT($M$3))</f>
        <v xml:space="preserve">		[StringLength(InvDrmLocalPlanConsts.MaxSupplierNoLength)]
		public virtual string SupplierNo { get; set; }
		public virtual DateTime? DeliveryDate { get; set; }
		[StringLength(InvDrmLocalPlanConsts.MaxShipmentNoLength)]
		public virtual string ShipmentNo { get; set; }
		[StringLength(InvDrmLocalPlanConsts.MaxCfcLength)]
		public virtual string Cfc { get; set; }
		[StringLength(InvDrmLocalPlanConsts.MaxPartCodeLength)]
		public virtual string PartCode { get; set; }
		[StringLength(InvDrmLocalPlanConsts.MaxMaterialCodeLength)]
		public virtual string MaterialCode { get; set; }
		[StringLength(InvDrmLocalPlanConsts.MaxMaterialSpecLength)]
		public virtual string MaterialSpec { get; set; }
		public virtual int? Qty { get; set; }
		public virtual DateTime? DeliveryMonth { get; set; }
		public virtual DateTime? DelayDelivery { get; set; }
		[StringLength(InvDrmLocalPlanConsts.MaxRemarkLength)]
		public virtual string Remark { get; set; }
</v>
      </c>
      <c r="O21" s="30" t="str">
        <f ca="1">TEXTJOIN2("
",TRUE,INDIRECT( $N$1):INDIRECT($N$3))</f>
        <v xml:space="preserve">		public virtual string SupplierNo { get; set; }
		public virtual string ShipmentNo { get; set; }
		public virtual string Cfc { get; set; }
		public virtual string PartCode { get; set; }
		public virtual string MaterialCode { get; set; }
		public virtual string MaterialSpec { get; set; }
		public virtual string Remark { get; set; }
</v>
      </c>
      <c r="P21" s="8" t="str">
        <f ca="1">TEXTJOIN2("
",TRUE,INDIRECT( $O$1):INDIRECT($O$3))</f>
        <v xml:space="preserve">							SupplierNo = o.SupplierNo,
							DeliveryDate = o.DeliveryDate,
							ShipmentNo = o.ShipmentNo,
							Cfc = o.Cfc,
							PartCode = o.PartCode,
							MaterialCode = o.MaterialCode,
							MaterialSpec = o.MaterialSpec,
							Qty = o.Qty,
							DeliveryMonth = o.DeliveryMonth,
							DelayDelivery = o.DelayDelivery,
							Remark = o.Remark,</v>
      </c>
      <c r="T21" s="8" t="str">
        <f ca="1">TEXTJOIN2("
",TRUE,INDIRECT( $T$2):INDIRECT($T$3))</f>
        <v xml:space="preserve">								("SupplierNo"),
								("DeliveryDate"),
								("ShipmentNo"),
								("Cfc"),
								("PartCode"),
								("MaterialCode"),
								("MaterialSpec"),
								("Qty"),
								("DeliveryMonth"),
								("DelayDelivery"),
								("Remark"),</v>
      </c>
      <c r="V21" s="8" t="str">
        <f ca="1">TEXTJOIN2("
",TRUE,INDIRECT( $V$2):INDIRECT($V$3))</f>
        <v xml:space="preserve">								_ =&gt; _.SupplierNo,
								_ =&gt; _.DeliveryDate,
								_ =&gt; _.ShipmentNo,
								_ =&gt; _.Cfc,
								_ =&gt; _.PartCode,
								_ =&gt; _.MaterialCode,
								_ =&gt; _.MaterialSpec,
								_ =&gt; _.Qty,
								_ =&gt; _.DeliveryMonth,
								_ =&gt; _.DelayDelivery,
								_ =&gt; _.Remark,</v>
      </c>
      <c r="W21" s="8" t="str">
        <f ca="1">TEXTJOIN2("
",TRUE,INDIRECT( $W$2):INDIRECT($W$3))</f>
        <v xml:space="preserve">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.WhereIf(!string.IsNullOrWhiteSpace(input.MaterialCode), e =&gt; e.MaterialCode.Contains(input.MaterialCode))
				.WhereIf(!string.IsNullOrWhiteSpace(input.MaterialSpec), e =&gt; e.MaterialSpec.Contains(input.MaterialSpec))
				.WhereIf(!string.IsNullOrWhiteSpace(input.Remark), e =&gt; e.Remark.Contains(input.Remark))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tabSelected="1" topLeftCell="A7" workbookViewId="0">
      <selection activeCell="C28" sqref="C28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60" x14ac:dyDescent="0.25">
      <c r="A1" s="38" t="s">
        <v>208</v>
      </c>
      <c r="B1" s="65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InvDrmLocalPlan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InvDrmLocalPlan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invdrmlocalplan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InvDrmLocalPlanDto, InvDrmLocalPlanServiceProxy } from '@shared/service-proxies/service-proxies';
import { finalize } from 'rxjs/internal/operators/finalize';
import { CreateOrEditInvDrmLocalPlanModalComponent } from './create-or-edit-invdrmlocalplan-modal.component';
import { DatePipe } from '@angular/common';
import { FileDownloadService } from '@shared/utils/file-download.service';
import ceil from 'lodash-es/ceil';
import { Paginator } from 'primeng/paginator';
@Component({
    templateUrl: './invdrmlocalplan.component.html',
    styleUrls: ['./invdrmlocalplan.component.less'],
})
export class InvDrmLocalPlanComponent extends AppComponentBase implements OnInit {
    @ViewChild('createOrEditModalInvDrmLocalPlan', { static: true }) createOrEditModalInvDrmLocalPlan:| CreateOrEditInvDrmLocalPlanModalComponent|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InvDrmLocalPlanDto = new InvDrmLocalPlanDto();
    saveSelectedRow: InvDrmLocalPlanDto = new InvDrmLocalPlanDto();
    datas: InvDrmLocalPlanDto = new InvDrmLocalPlanDto();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deliveryDate
	shipmentNo : string = '' ; 
	cfc : string = '' ; 
	partCode : string = '' ; 
	materialCode : string = '' ; 
	materialSpec : string = '' ; 
	qty
	deliveryMonth
	delayDelivery
	remark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InvDrmLocalPlanServiceProxy,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this.l('Delivery Date'),headerTooltip: this.l('Delivery Date'),field: 'deliveryDate',flex: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this.l('Material Code'),headerTooltip: this.l('Material Code'),field: 'materialCode',flex: 1},
			{headerName: this.l('Material Spec'),headerTooltip: this.l('Material Spec'),field: 'materialSpec',flex: 1},
			{headerName: this.l('Qty'),headerTooltip: this.l('Qty'),field: 'qty',flex: 1},
			{headerName: this.l('Delivery Month'),headerTooltip: this.l('Delivery Month'),field: 'deliveryMonth',flex: 1},
			{headerName: this.l('Delay Delivery'),headerTooltip: this.l('Delay Delivery'),field: 'delayDelivery',flex: 1},
			{headerName: this.l('Remark'),headerTooltip: this.l('Remark'),field: 'remark',flex: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this.deliveryDate,
			this.shipmentNo,
			this.cfc,
			this.partCode,
			this.materialCode,
			this.materialSpec,
			this.qty,
			this.deliveryMonth,
			this.delayDelivery,
			this.remark,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this.deliveryDate = '',
		this.shipmentNo = '',
		this.cfc = '',
		this.partCode = '',
		this.materialCode = '',
		this.materialSpec = '',
		this.qty = '',
		this.deliveryMonth = '',
		this.delayDelivery = '',
		this.remark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this.deliveryDate,
			this.shipmentNo,
			this.cfc,
			this.partCode,
			this.materialCode,
			this.materialSpec,
			this.qty,
			this.deliveryMonth,
			this.delayDelivery,
			this.remark,
			'',
            this.paginationParams.skipCount,
            this.paginationParams.pageSize
        );
    }
    onChangeRowSelection(params: { api: { getSelectedRows: () =&gt; InvDrmLocalPlanDto[] } }) {
        this.saveSelectedRow = params.api.getSelectedRows()[0] ?? new InvDrmLocalPlanDto();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InvDrmLocalPlanDto):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this._service.getInvDrmLocalPlanToExcel(
			this.supplierNo,
			this.deliveryDate,
			this.shipmentNo,
			this.cfc,
			this.partCode,
			this.materialCode,
			this.materialSpec,
			this.qty,
			this.deliveryMonth,
			this.delayDelivery,
			this.remark,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IMPORTED PART - DELIVERY PLAN
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(click)="createOrEditModalInvDrmLocalPlan.show()"&gt;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(click)="createOrEditModalInvDrmLocalPlan.show(selectedRow)"&gt;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&lt;create-or-edit-invdrmlocalplan-modal
    #createOrEditModalInvDrmLocalPlan
    (modalSave)="callBackDataGrid(dataParams)"
    (modalClose)="onChangeRowSelection(dataParams)"
&gt;
&lt;/create-or-edit-invdrmlocalplan-modal&gt;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#createOrEditModalInvDrmLocalPlan="bs-modal"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InvDrmLocalPlan')}}&lt;/h3&gt;
                    &lt;h3 *ngIf="!rowdata.id"&gt;{{('Create New InvDrmLocalPlan')}}&lt;/h3&gt;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CreateOrEditInvDrmLocalPlanDto, InvDrmLocalPlanServiceProxy } from '@shared/service-proxies/service-proxies';
import { BsDatepickerDirective } from 'ngx-bootstrap/datepicker';
@Component({
    selector: 'create-or-edit-invdrmlocalplan-modal',
    templateUrl: './create-or-edit-invdrmlocalplan-modal.component.html',
    styleUrls: ['./create-or-edit-invdrmlocalplan-modal.component.less']
    })
export class CreateOrEditInvDrmLocalPlanModalComponent extends AppComponentBase {
    @ViewChild('createOrEditModalInvDrmLocalPlan',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CreateOrEditInvDrmLocalPlanDto = new CreateOrEditInvDrmLocalPlanDto();
    active: boolean = false;
    saving: boolean = false;
    _: boolean;
    constructor(
        injector: Injector,
        private _mstwptInvDrmLocalPlanService: InvDrmLocalPlanServiceProxy,
    ) 
    {
        super(injector);
    }
    show(rowdata?: CreateOrEditInvDrmLocalPlanDto): void {
        if (!rowdata) this.rowdata = new CreateOrEditInvDrmLocalPlanDto();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this._mstwptInvDrmLocalPlanService.createOrEdit(this.rowdata)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InvDrmLocalPlanRoutingModule } from './invdrmlocalplan-routing.module';
import { InvDrmLocalPlanComponent } from './invdrmlocalplan.component';
import { CreateOrEditInvDrmLocalPlanModalComponent } from './create-or-edit-invdrmlocalplan-modal.component';
@NgModule({
    declarations: [
       InvDrmLocalPlanComponent, 
        CreateOrEditInvDrmLocalPlanModalComponent
    ],
    imports: [
        AppSharedModule, InvDrmLocalPlanRoutingModule]
})
export class InvDrmLocalPlanModule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InvDrmLocalPlanComponent } from './invdrmlocalplan.component';
const routes: Routes = [{
    path: '',
    component: InvDrmLocalPlanComponent,
    pathMatch: 'full'
}];
@NgModule({
    imports: [RouterModule.forChild(routes)],
    exports: [RouterModule],
})
export class InvDrmLocalPlanRoutingModule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AppMenuItem("InvDrmLocalPlan", "Pages.Inventory.DRM.InvDrmLocalPlan", "flaticon-book",   "/app/main/inventory/drm/invdrmlocalplan"),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'inventory/drm/invdrmlocalplan',
    loadChildren: () =&gt; import('./inventory/drm/invdrmlocalplan/invdrmlocalplan.module').then(m =&gt; m.InvDrmLocalPlanModule),
    data: { permission: 'Pages.Inventory.DRM.InvDrmLocalPlan' }
},</v>
      </c>
      <c r="R10" s="47" t="str">
        <f>SUBSTITUTE(R9,"MstWptCalendar",$B$6)</f>
        <v>ApiServiceProxies.InvDrmLocalPlanServiceProxy,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No'),headerTooltip: this.l('Supplier No'),field: 'supplierNo',flex: 1},
			{headerName: this.l('Delivery Date'),headerTooltip: this.l('Delivery Date'),field: 'deliveryDate',flex: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this.l('Material Code'),headerTooltip: this.l('Material Code'),field: 'materialCode',flex: 1},
			{headerName: this.l('Material Spec'),headerTooltip: this.l('Material Spec'),field: 'materialSpec',flex: 1},
			{headerName: this.l('Qty'),headerTooltip: this.l('Qty'),field: 'qty',flex: 1},
			{headerName: this.l('Delivery Month'),headerTooltip: this.l('Delivery Month'),field: 'deliveryMonth',flex: 1},
			{headerName: this.l('Delay Delivery'),headerTooltip: this.l('Delay Delivery'),field: 'delayDelivery',flex: 1},
			{headerName: this.l('Remark'),headerTooltip: this.l('Remark'),field: 'remark',flex: 1},</v>
      </c>
      <c r="I13" s="35" t="str">
        <f ca="1">TEXTJOIN2("
",TRUE,INDIRECT(I11):INDIRECT(I12))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supplierNo : string = '' ; 
	deliveryDate
	shipmentNo : string = '' ; 
	cfc : string = '' ; 
	partCode : string = '' ; 
	materialCode : string = '' ; 
	materialSpec : string = '' ; 
	qty
	deliveryMonth
	delayDelivery
	remark : string = '' ; </v>
      </c>
      <c r="T13" s="62" t="str">
        <f ca="1">TEXTJOIN2("
",TRUE,INDIRECT(T11):INDIRECT(T12))</f>
        <v xml:space="preserve">			this.supplierNo,
			this.deliveryDate,
			this.shipmentNo,
			this.cfc,
			this.partCode,
			this.materialCode,
			this.materialSpec,
			this.qty,
			this.deliveryMonth,
			this.delayDelivery,
			this.remark,</v>
      </c>
      <c r="U13" s="62" t="str">
        <f ca="1">TEXTJOIN2("
",TRUE,INDIRECT(U11):INDIRECT(U12))</f>
        <v xml:space="preserve">		this.supplierNo = '',
		this.deliveryDate = '',
		this.shipmentNo = '',
		this.cfc = '',
		this.partCode = '',
		this.materialCode = '',
		this.materialSpec = '',
		this.qty = '',
		this.deliveryMonth = '',
		this.delayDelivery = '',
		this.remark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invdrmlocalplan.component.ts</v>
      </c>
      <c r="I14" s="37" t="str">
        <f>B8&amp;".component.html"</f>
        <v>invdrmlocalplan.component.html</v>
      </c>
      <c r="J14" s="36" t="str">
        <f>B8&amp;".component.less"</f>
        <v>invdrmlocalplan.component.less</v>
      </c>
      <c r="K14" s="37" t="str">
        <f>"create-or-edit-"&amp;B8&amp;"-modal.component.html"</f>
        <v>create-or-edit-invdrmlocalplan-modal.component.html</v>
      </c>
      <c r="L14" s="37" t="str">
        <f>"create-or-edit-"&amp;B8&amp;"-modal.component.ts"</f>
        <v>create-or-edit-invdrmlocalplan-modal.component.ts</v>
      </c>
      <c r="M14" s="37" t="str">
        <f>"create-or-edit-"&amp;B8&amp;"-modal.component.less"</f>
        <v>create-or-edit-invdrmlocalplan-modal.component.less</v>
      </c>
      <c r="N14" s="37" t="str">
        <f>B8&amp;".module.ts"</f>
        <v>invdrmlocalplan.module.ts</v>
      </c>
      <c r="O14" s="37" t="str">
        <f>B8&amp;"-routing.module.ts"</f>
        <v>invdrmlocalplan-routing.module.ts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28" t="s">
        <v>358</v>
      </c>
      <c r="B15" s="28" t="str">
        <f t="shared" ref="B15" si="0">SUBSTITUTE(PROPER(A15),"_","")</f>
        <v>SupplierNo</v>
      </c>
      <c r="C15" s="28" t="str">
        <f t="shared" ref="C15" si="1">SUBSTITUTE(PROPER(A15),"_"," ")</f>
        <v>Supplier No</v>
      </c>
      <c r="D15" s="28" t="str">
        <f t="shared" ref="D15" si="2">LOWER(LEFT(B15,1))&amp;RIGHT(B15,LEN(B15) - 1)</f>
        <v>supplierNo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2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No'),headerTooltip: this.l('Supplier No'),field: 'supplierNo',flex: 1},</v>
      </c>
      <c r="I15" s="35" t="str">
        <f t="shared" ref="I15:I2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5" s="28"/>
      <c r="K15" s="35" t="str">
        <f t="shared" ref="K15:K22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supplierNo : string = '' ; </v>
      </c>
      <c r="T15" s="28" t="str">
        <f>REPT(CHAR(9),3)&amp;"this."&amp;D15&amp;","</f>
        <v xml:space="preserve">			this.supplierNo,</v>
      </c>
      <c r="U15" s="28" t="str">
        <f>IF(E15="int",REPT(CHAR(9),2)&amp;"this."&amp;D15&amp;" = 0,",REPT(CHAR(9),2)&amp;"this."&amp;D15&amp;" = '',")</f>
        <v xml:space="preserve">		this.supplierNo = '',</v>
      </c>
      <c r="V15" s="28" t="str">
        <f t="shared" ref="V15:V22" si="8">IF(AND(E15="string",F15="1"),D15,"")</f>
        <v/>
      </c>
    </row>
    <row r="16" spans="1:22" ht="18" customHeight="1" x14ac:dyDescent="0.25">
      <c r="A16" s="28" t="s">
        <v>369</v>
      </c>
      <c r="B16" s="28" t="str">
        <f t="shared" ref="B16:B25" si="9">SUBSTITUTE(PROPER(A16),"_","")</f>
        <v>DeliveryDate</v>
      </c>
      <c r="C16" s="28" t="str">
        <f t="shared" ref="C16:C25" si="10">SUBSTITUTE(PROPER(A16),"_"," ")</f>
        <v>Delivery Date</v>
      </c>
      <c r="D16" s="28" t="str">
        <f t="shared" ref="D16:D25" si="11">LOWER(LEFT(B16,1))&amp;RIGHT(B16,LEN(B16) - 1)</f>
        <v>deliveryDate</v>
      </c>
      <c r="E16" s="28" t="str">
        <f>A.Backend!H10</f>
        <v>DateTime?</v>
      </c>
      <c r="F16" s="28" t="str">
        <f>A.Backend!G10</f>
        <v/>
      </c>
      <c r="G16" s="28" t="str">
        <f t="shared" ref="G16:G25" si="12">IF(E16="string"," : string = '' ; ",IF(OR(E16="DateTime",E16="TimeSpan")," : any ;",IF(E16="int"," : number = 0 ;","")))</f>
        <v/>
      </c>
      <c r="H16" s="35" t="str">
        <f t="shared" si="4"/>
        <v xml:space="preserve">			{headerName: this.l('Delivery Date'),headerTooltip: this.l('Delivery Date'),field: 'deliveryDate',flex: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2" si="14">REPT(CHAR(9),1)&amp;D16&amp;G16</f>
        <v xml:space="preserve">	deliveryDate</v>
      </c>
      <c r="T16" s="28" t="str">
        <f t="shared" ref="T16:T22" si="15">REPT(CHAR(9),3)&amp;"this."&amp;D16&amp;","</f>
        <v xml:space="preserve">			this.deliveryDate,</v>
      </c>
      <c r="U16" s="28" t="str">
        <f t="shared" ref="U16:U22" si="16">IF(E16="int",REPT(CHAR(9),2)&amp;"this."&amp;D16&amp;" = 0,",REPT(CHAR(9),2)&amp;"this."&amp;D16&amp;" = '',")</f>
        <v xml:space="preserve">		this.deliveryDate = '',</v>
      </c>
      <c r="V16" s="28" t="str">
        <f t="shared" si="8"/>
        <v/>
      </c>
    </row>
    <row r="17" spans="1:22" ht="18" customHeight="1" x14ac:dyDescent="0.25">
      <c r="A17" s="28" t="s">
        <v>359</v>
      </c>
      <c r="B17" s="28" t="str">
        <f t="shared" si="9"/>
        <v>ShipmentNo</v>
      </c>
      <c r="C17" s="28" t="str">
        <f t="shared" si="10"/>
        <v>Shipment No</v>
      </c>
      <c r="D17" s="28" t="str">
        <f t="shared" si="11"/>
        <v>shipmentNo</v>
      </c>
      <c r="E17" s="28" t="str">
        <f>A.Backend!H11</f>
        <v>string</v>
      </c>
      <c r="F17" s="28" t="str">
        <f>A.Backend!G11</f>
        <v>10</v>
      </c>
      <c r="G17" s="28" t="str">
        <f t="shared" si="12"/>
        <v xml:space="preserve"> : string = '' ; </v>
      </c>
      <c r="H17" s="35" t="str">
        <f t="shared" si="4"/>
        <v xml:space="preserve">			{headerName: this.l('Shipment No'),headerTooltip: this.l('Shipment No'),field: 'shipmentNo',flex: 1},</v>
      </c>
      <c r="I17" s="35" t="str">
        <f t="shared" si="5"/>
        <v xml:space="preserve">								&lt;div class='input-search'&gt;
									&lt;input [(ngModel)]='shipmentNo' name='shipmentNo'
									class='form-control' [placeholder]="l('Shipment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title'&gt;Shipment No&lt;/label&gt;
						&lt;input type='text' class='col-md-10 form-control input-text' name='ShipmentNo' [(ngModel)]='rowdata.shipmentNo'&gt;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shipmentNo : string = '' ; </v>
      </c>
      <c r="T17" s="28" t="str">
        <f t="shared" si="15"/>
        <v xml:space="preserve">			this.shipmentNo,</v>
      </c>
      <c r="U17" s="28" t="str">
        <f t="shared" si="16"/>
        <v xml:space="preserve">		this.shipmentNo = '',</v>
      </c>
      <c r="V17" s="28" t="str">
        <f t="shared" si="8"/>
        <v/>
      </c>
    </row>
    <row r="18" spans="1:22" ht="15" customHeight="1" x14ac:dyDescent="0.25">
      <c r="A18" s="28" t="s">
        <v>360</v>
      </c>
      <c r="B18" s="28" t="str">
        <f t="shared" si="9"/>
        <v>Cfc</v>
      </c>
      <c r="C18" s="28" t="str">
        <f t="shared" si="10"/>
        <v>Cfc</v>
      </c>
      <c r="D18" s="28" t="str">
        <f t="shared" si="11"/>
        <v>cfc</v>
      </c>
      <c r="E18" s="28" t="str">
        <f>A.Backend!H12</f>
        <v>string</v>
      </c>
      <c r="F18" s="28" t="str">
        <f>A.Backend!G12</f>
        <v>4</v>
      </c>
      <c r="G18" s="28" t="str">
        <f t="shared" si="12"/>
        <v xml:space="preserve"> : string = '' ; </v>
      </c>
      <c r="H18" s="35" t="str">
        <f t="shared" si="4"/>
        <v xml:space="preserve">			{headerName: this.l('Cfc'),headerTooltip: this.l('Cfc'),field: 'cfc',flex: 1},</v>
      </c>
      <c r="I18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8" s="56" t="str">
        <f t="shared" ref="L18:L21" si="17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cfc : string = '' ; </v>
      </c>
      <c r="T18" s="28" t="str">
        <f t="shared" si="15"/>
        <v xml:space="preserve">			this.cfc,</v>
      </c>
      <c r="U18" s="28" t="str">
        <f t="shared" si="16"/>
        <v xml:space="preserve">		this.cfc = '',</v>
      </c>
      <c r="V18" s="28" t="str">
        <f t="shared" si="8"/>
        <v/>
      </c>
    </row>
    <row r="19" spans="1:22" ht="18" customHeight="1" x14ac:dyDescent="0.25">
      <c r="A19" s="28" t="s">
        <v>361</v>
      </c>
      <c r="B19" s="28" t="str">
        <f t="shared" si="9"/>
        <v>PartCode</v>
      </c>
      <c r="C19" s="28" t="str">
        <f t="shared" si="10"/>
        <v>Part Code</v>
      </c>
      <c r="D19" s="28" t="str">
        <f t="shared" si="11"/>
        <v>partCode</v>
      </c>
      <c r="E19" s="28" t="str">
        <f>A.Backend!H13</f>
        <v>string</v>
      </c>
      <c r="F19" s="28" t="str">
        <f>A.Backend!G13</f>
        <v>60</v>
      </c>
      <c r="G19" s="28" t="str">
        <f t="shared" si="12"/>
        <v xml:space="preserve"> : string = '' ; </v>
      </c>
      <c r="H19" s="35" t="str">
        <f t="shared" si="4"/>
        <v xml:space="preserve">			{headerName: this.l('Part Code'),headerTooltip: this.l('Part Code'),field: 'partCode',flex: 1},</v>
      </c>
      <c r="I19" s="35" t="str">
        <f t="shared" si="5"/>
        <v xml:space="preserve">								&lt;div class='input-search'&gt;
									&lt;input [(ngModel)]='partCode' name='partCode'
									class='form-control' [placeholder]="l('Part Code')"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Code&lt;/label&gt;
						&lt;input type='text' class='col-md-10 form-control input-text' name='PartCode' [(ngModel)]='rowdata.partCode'&gt;
					&lt;/div&gt;</v>
      </c>
      <c r="L19" s="56" t="str">
        <f t="shared" si="17"/>
        <v/>
      </c>
      <c r="M19" s="28"/>
      <c r="N19" s="28"/>
      <c r="O19" s="28"/>
      <c r="P19" s="28"/>
      <c r="Q19" s="28"/>
      <c r="R19" s="28"/>
      <c r="S19" s="28" t="str">
        <f t="shared" si="14"/>
        <v xml:space="preserve">	partCode : string = '' ; </v>
      </c>
      <c r="T19" s="28" t="str">
        <f t="shared" si="15"/>
        <v xml:space="preserve">			this.partCode,</v>
      </c>
      <c r="U19" s="28" t="str">
        <f t="shared" si="16"/>
        <v xml:space="preserve">		this.partCode = '',</v>
      </c>
      <c r="V19" s="28" t="str">
        <f t="shared" si="8"/>
        <v/>
      </c>
    </row>
    <row r="20" spans="1:22" ht="15" customHeight="1" x14ac:dyDescent="0.25">
      <c r="A20" s="28" t="s">
        <v>370</v>
      </c>
      <c r="B20" s="28" t="str">
        <f t="shared" si="9"/>
        <v>MaterialCode</v>
      </c>
      <c r="C20" s="28" t="str">
        <f t="shared" si="10"/>
        <v>Material Code</v>
      </c>
      <c r="D20" s="28" t="str">
        <f t="shared" si="11"/>
        <v>materialCode</v>
      </c>
      <c r="E20" s="28" t="str">
        <f>A.Backend!H14</f>
        <v>string</v>
      </c>
      <c r="F20" s="28" t="str">
        <f>A.Backend!G14</f>
        <v>60</v>
      </c>
      <c r="G20" s="28" t="str">
        <f t="shared" si="12"/>
        <v xml:space="preserve"> : string = '' ; </v>
      </c>
      <c r="H20" s="35" t="str">
        <f t="shared" si="4"/>
        <v xml:space="preserve">			{headerName: this.l('Material Code'),headerTooltip: this.l('Material Code'),field: 'materialCode',flex: 1},</v>
      </c>
      <c r="I20" s="35" t="str">
        <f t="shared" si="5"/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20" s="56" t="str">
        <f t="shared" si="17"/>
        <v/>
      </c>
      <c r="M20" s="28"/>
      <c r="N20" s="28"/>
      <c r="O20" s="28"/>
      <c r="P20" s="28"/>
      <c r="Q20" s="28"/>
      <c r="R20" s="28"/>
      <c r="S20" s="28" t="str">
        <f t="shared" si="14"/>
        <v xml:space="preserve">	materialCode : string = '' ; </v>
      </c>
      <c r="T20" s="28" t="str">
        <f t="shared" si="15"/>
        <v xml:space="preserve">			this.materialCode,</v>
      </c>
      <c r="U20" s="28" t="str">
        <f t="shared" si="16"/>
        <v xml:space="preserve">		this.materialCode = '',</v>
      </c>
      <c r="V20" s="28" t="str">
        <f t="shared" si="8"/>
        <v/>
      </c>
    </row>
    <row r="21" spans="1:22" ht="18" customHeight="1" x14ac:dyDescent="0.25">
      <c r="A21" s="28" t="s">
        <v>371</v>
      </c>
      <c r="B21" s="28" t="str">
        <f t="shared" si="9"/>
        <v>MaterialSpec</v>
      </c>
      <c r="C21" s="28" t="str">
        <f t="shared" si="10"/>
        <v>Material Spec</v>
      </c>
      <c r="D21" s="28" t="str">
        <f t="shared" si="11"/>
        <v>materialSpec</v>
      </c>
      <c r="E21" s="28" t="str">
        <f>A.Backend!H15</f>
        <v>string</v>
      </c>
      <c r="F21" s="28" t="str">
        <f>A.Backend!G15</f>
        <v>500</v>
      </c>
      <c r="G21" s="28" t="str">
        <f t="shared" si="12"/>
        <v xml:space="preserve"> : string = '' ; </v>
      </c>
      <c r="H21" s="35" t="str">
        <f t="shared" si="4"/>
        <v xml:space="preserve">			{headerName: this.l('Material Spec'),headerTooltip: this.l('Material Spec'),field: 'materialSpec',flex: 1},</v>
      </c>
      <c r="I21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21" s="56" t="str">
        <f t="shared" si="17"/>
        <v/>
      </c>
      <c r="M21" s="28"/>
      <c r="N21" s="28"/>
      <c r="O21" s="28"/>
      <c r="P21" s="28"/>
      <c r="Q21" s="28"/>
      <c r="R21" s="28"/>
      <c r="S21" s="28" t="str">
        <f t="shared" si="14"/>
        <v xml:space="preserve">	materialSpec : string = '' ; </v>
      </c>
      <c r="T21" s="28" t="str">
        <f t="shared" si="15"/>
        <v xml:space="preserve">			this.materialSpec,</v>
      </c>
      <c r="U21" s="28" t="str">
        <f t="shared" si="16"/>
        <v xml:space="preserve">		this.materialSpec = '',</v>
      </c>
      <c r="V21" s="28" t="str">
        <f t="shared" si="8"/>
        <v/>
      </c>
    </row>
    <row r="22" spans="1:22" ht="18" customHeight="1" x14ac:dyDescent="0.25">
      <c r="A22" s="28" t="s">
        <v>356</v>
      </c>
      <c r="B22" s="28" t="str">
        <f t="shared" si="9"/>
        <v>Qty</v>
      </c>
      <c r="C22" s="28" t="str">
        <f t="shared" si="10"/>
        <v>Qty</v>
      </c>
      <c r="D22" s="28" t="str">
        <f t="shared" si="11"/>
        <v>qty</v>
      </c>
      <c r="E22" s="28" t="str">
        <f>A.Backend!H16</f>
        <v>int?</v>
      </c>
      <c r="F22" s="28" t="str">
        <f>A.Backend!G16</f>
        <v/>
      </c>
      <c r="G22" s="28" t="str">
        <f t="shared" si="12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4"/>
        <v xml:space="preserve">	qty</v>
      </c>
      <c r="T22" s="28" t="str">
        <f t="shared" si="15"/>
        <v xml:space="preserve">			this.qty,</v>
      </c>
      <c r="U22" s="28" t="str">
        <f t="shared" si="16"/>
        <v xml:space="preserve">		this.qty = '',</v>
      </c>
      <c r="V22" s="28" t="str">
        <f t="shared" si="8"/>
        <v/>
      </c>
    </row>
    <row r="23" spans="1:22" ht="15" customHeight="1" x14ac:dyDescent="0.25">
      <c r="A23" s="28" t="s">
        <v>372</v>
      </c>
      <c r="B23" s="28" t="str">
        <f t="shared" si="9"/>
        <v>DeliveryMonth</v>
      </c>
      <c r="C23" s="28" t="str">
        <f t="shared" si="10"/>
        <v>Delivery Month</v>
      </c>
      <c r="D23" s="28" t="str">
        <f t="shared" si="11"/>
        <v>deliveryMonth</v>
      </c>
      <c r="E23" s="28" t="str">
        <f>A.Backend!H17</f>
        <v>DateTime?</v>
      </c>
      <c r="F23" s="28" t="str">
        <f>A.Backend!G17</f>
        <v/>
      </c>
      <c r="G23" s="28" t="str">
        <f t="shared" si="12"/>
        <v/>
      </c>
      <c r="H23" s="35" t="str">
        <f t="shared" ref="H23:H25" si="18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this.l('Delivery Month'),headerTooltip: this.l('Delivery Month'),field: 'deliveryMonth',flex: 1},</v>
      </c>
      <c r="I23" s="35" t="str">
        <f t="shared" ref="I23:I25" si="19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25" si="20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25" si="21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ref="S23:S25" si="22">REPT(CHAR(9),1)&amp;D23&amp;G23</f>
        <v xml:space="preserve">	deliveryMonth</v>
      </c>
      <c r="T23" s="28" t="str">
        <f t="shared" ref="T23:T25" si="23">REPT(CHAR(9),3)&amp;"this."&amp;D23&amp;","</f>
        <v xml:space="preserve">			this.deliveryMonth,</v>
      </c>
      <c r="U23" s="28" t="str">
        <f t="shared" ref="U23:U25" si="24">IF(E23="int",REPT(CHAR(9),2)&amp;"this."&amp;D23&amp;" = 0,",REPT(CHAR(9),2)&amp;"this."&amp;D23&amp;" = '',")</f>
        <v xml:space="preserve">		this.deliveryMonth = '',</v>
      </c>
      <c r="V23" s="28" t="str">
        <f t="shared" ref="V23:V25" si="25">IF(AND(E23="string",F23="1"),D23,"")</f>
        <v/>
      </c>
    </row>
    <row r="24" spans="1:22" ht="18" customHeight="1" x14ac:dyDescent="0.25">
      <c r="A24" s="28" t="s">
        <v>373</v>
      </c>
      <c r="B24" s="28" t="str">
        <f t="shared" si="9"/>
        <v>DelayDelivery</v>
      </c>
      <c r="C24" s="28" t="str">
        <f t="shared" si="10"/>
        <v>Delay Delivery</v>
      </c>
      <c r="D24" s="28" t="str">
        <f t="shared" si="11"/>
        <v>delayDelivery</v>
      </c>
      <c r="E24" s="28" t="str">
        <f>A.Backend!H18</f>
        <v>DateTime?</v>
      </c>
      <c r="F24" s="28" t="str">
        <f>A.Backend!G18</f>
        <v/>
      </c>
      <c r="G24" s="28" t="str">
        <f t="shared" si="12"/>
        <v/>
      </c>
      <c r="H24" s="35" t="str">
        <f t="shared" si="18"/>
        <v xml:space="preserve">			{headerName: this.l('Delay Delivery'),headerTooltip: this.l('Delay Delivery'),field: 'delayDelivery',flex: 1},</v>
      </c>
      <c r="I24" s="35" t="str">
        <f t="shared" si="19"/>
        <v/>
      </c>
      <c r="J24" s="28"/>
      <c r="K24" s="35" t="str">
        <f t="shared" si="20"/>
        <v/>
      </c>
      <c r="L24" s="56" t="str">
        <f t="shared" si="21"/>
        <v/>
      </c>
      <c r="M24" s="28"/>
      <c r="N24" s="28"/>
      <c r="O24" s="28"/>
      <c r="P24" s="28"/>
      <c r="Q24" s="28"/>
      <c r="R24" s="28"/>
      <c r="S24" s="28" t="str">
        <f t="shared" si="22"/>
        <v xml:space="preserve">	delayDelivery</v>
      </c>
      <c r="T24" s="28" t="str">
        <f t="shared" si="23"/>
        <v xml:space="preserve">			this.delayDelivery,</v>
      </c>
      <c r="U24" s="28" t="str">
        <f t="shared" si="24"/>
        <v xml:space="preserve">		this.delayDelivery = '',</v>
      </c>
      <c r="V24" s="28" t="str">
        <f t="shared" si="25"/>
        <v/>
      </c>
    </row>
    <row r="25" spans="1:22" ht="15" customHeight="1" x14ac:dyDescent="0.25">
      <c r="A25" s="28" t="s">
        <v>362</v>
      </c>
      <c r="B25" s="28" t="str">
        <f t="shared" si="9"/>
        <v>Remark</v>
      </c>
      <c r="C25" s="28" t="str">
        <f t="shared" si="10"/>
        <v>Remark</v>
      </c>
      <c r="D25" s="28" t="str">
        <f t="shared" si="11"/>
        <v>remark</v>
      </c>
      <c r="E25" s="28" t="str">
        <f>A.Backend!H19</f>
        <v>string</v>
      </c>
      <c r="F25" s="28" t="str">
        <f>A.Backend!G19</f>
        <v>1000</v>
      </c>
      <c r="G25" s="28" t="str">
        <f t="shared" si="12"/>
        <v xml:space="preserve"> : string = '' ; </v>
      </c>
      <c r="H25" s="35" t="str">
        <f t="shared" si="18"/>
        <v xml:space="preserve">			{headerName: this.l('Remark'),headerTooltip: this.l('Remark'),field: 'remark',flex: 1},</v>
      </c>
      <c r="I25" s="35" t="str">
        <f t="shared" si="19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5" s="28"/>
      <c r="K25" s="35" t="str">
        <f t="shared" si="20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5" s="56" t="str">
        <f t="shared" si="21"/>
        <v/>
      </c>
      <c r="M25" s="28"/>
      <c r="N25" s="28"/>
      <c r="O25" s="28"/>
      <c r="P25" s="28"/>
      <c r="Q25" s="28"/>
      <c r="R25" s="28"/>
      <c r="S25" s="28" t="str">
        <f t="shared" si="22"/>
        <v xml:space="preserve">	remark : string = '' ; </v>
      </c>
      <c r="T25" s="28" t="str">
        <f t="shared" si="23"/>
        <v xml:space="preserve">			this.remark,</v>
      </c>
      <c r="U25" s="28" t="str">
        <f t="shared" si="24"/>
        <v xml:space="preserve">		this.remark = '',</v>
      </c>
      <c r="V25" s="28" t="str">
        <f t="shared" si="25"/>
        <v/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2023-07-20T11:21:57Z</dcterms:modified>
</cp:coreProperties>
</file>
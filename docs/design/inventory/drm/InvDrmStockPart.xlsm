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drm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7" i="1" l="1"/>
  <c r="L17" i="1"/>
  <c r="G17" i="1"/>
  <c r="F23" i="5" s="1"/>
  <c r="E17" i="1"/>
  <c r="H17" i="1" s="1"/>
  <c r="D17" i="1"/>
  <c r="V17" i="1" s="1"/>
  <c r="W17" i="1" l="1"/>
  <c r="E23" i="5"/>
  <c r="G23" i="5" s="1"/>
  <c r="P17" i="1"/>
  <c r="M17" i="1"/>
  <c r="I17" i="1"/>
  <c r="N17" i="1"/>
  <c r="J17" i="1"/>
  <c r="O17" i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16" i="1"/>
  <c r="G16" i="1"/>
  <c r="F22" i="5" s="1"/>
  <c r="E16" i="1"/>
  <c r="H16" i="1" s="1"/>
  <c r="E22" i="5" s="1"/>
  <c r="D16" i="1"/>
  <c r="V16" i="1" s="1"/>
  <c r="L15" i="1"/>
  <c r="G15" i="1"/>
  <c r="F21" i="5" s="1"/>
  <c r="E15" i="1"/>
  <c r="H15" i="1" s="1"/>
  <c r="E21" i="5" s="1"/>
  <c r="D15" i="1"/>
  <c r="T15" i="1" s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H19" i="5" l="1"/>
  <c r="G19" i="5"/>
  <c r="S19" i="5" s="1"/>
  <c r="U19" i="5"/>
  <c r="K19" i="5"/>
  <c r="I19" i="5"/>
  <c r="U21" i="5"/>
  <c r="K21" i="5"/>
  <c r="I21" i="5"/>
  <c r="H21" i="5"/>
  <c r="G21" i="5"/>
  <c r="S21" i="5" s="1"/>
  <c r="H23" i="5"/>
  <c r="S23" i="5"/>
  <c r="U23" i="5"/>
  <c r="K23" i="5"/>
  <c r="I23" i="5"/>
  <c r="G18" i="5"/>
  <c r="S18" i="5" s="1"/>
  <c r="U18" i="5"/>
  <c r="K18" i="5"/>
  <c r="I18" i="5"/>
  <c r="H18" i="5"/>
  <c r="I20" i="5"/>
  <c r="H20" i="5"/>
  <c r="G20" i="5"/>
  <c r="S20" i="5" s="1"/>
  <c r="U20" i="5"/>
  <c r="K20" i="5"/>
  <c r="G22" i="5"/>
  <c r="S22" i="5" s="1"/>
  <c r="U22" i="5"/>
  <c r="K22" i="5"/>
  <c r="I22" i="5"/>
  <c r="H22" i="5"/>
  <c r="L22" i="5"/>
  <c r="V22" i="5"/>
  <c r="L20" i="5"/>
  <c r="V20" i="5"/>
  <c r="V23" i="5"/>
  <c r="L23" i="5"/>
  <c r="I15" i="1"/>
  <c r="L21" i="5"/>
  <c r="V21" i="5"/>
  <c r="P12" i="1"/>
  <c r="P16" i="1"/>
  <c r="W12" i="1"/>
  <c r="M15" i="1"/>
  <c r="W16" i="1"/>
  <c r="O16" i="1"/>
  <c r="J16" i="1"/>
  <c r="N16" i="1"/>
  <c r="I16" i="1"/>
  <c r="M16" i="1"/>
  <c r="N15" i="1"/>
  <c r="V15" i="1"/>
  <c r="J15" i="1"/>
  <c r="O15" i="1"/>
  <c r="W15" i="1"/>
  <c r="T16" i="1"/>
  <c r="P15" i="1"/>
  <c r="P14" i="1"/>
  <c r="W14" i="1"/>
  <c r="O14" i="1"/>
  <c r="J14" i="1"/>
  <c r="N14" i="1"/>
  <c r="I14" i="1"/>
  <c r="M14" i="1"/>
  <c r="M13" i="1"/>
  <c r="N13" i="1"/>
  <c r="I13" i="1"/>
  <c r="W13" i="1"/>
  <c r="O13" i="1"/>
  <c r="J13" i="1"/>
  <c r="M12" i="1"/>
  <c r="T12" i="1"/>
  <c r="T14" i="1"/>
  <c r="V13" i="1"/>
  <c r="I12" i="1"/>
  <c r="N12" i="1"/>
  <c r="P13" i="1"/>
  <c r="J12" i="1"/>
  <c r="O12" i="1"/>
  <c r="C17" i="5"/>
  <c r="B17" i="5"/>
  <c r="D17" i="5" s="1"/>
  <c r="T17" i="5" s="1"/>
  <c r="C16" i="5"/>
  <c r="B16" i="5"/>
  <c r="D16" i="5" s="1"/>
  <c r="T16" i="5" s="1"/>
  <c r="B6" i="1" l="1"/>
  <c r="V19" i="5" l="1"/>
  <c r="L19" i="5"/>
  <c r="C15" i="5"/>
  <c r="B15" i="5"/>
  <c r="D15" i="5" s="1"/>
  <c r="T15" i="5" s="1"/>
  <c r="G11" i="1"/>
  <c r="F17" i="5" s="1"/>
  <c r="E11" i="1"/>
  <c r="H11" i="1" s="1"/>
  <c r="E17" i="5" s="1"/>
  <c r="D11" i="1"/>
  <c r="T11" i="1" s="1"/>
  <c r="U17" i="5" l="1"/>
  <c r="K17" i="5"/>
  <c r="I17" i="5"/>
  <c r="H17" i="5"/>
  <c r="G17" i="5"/>
  <c r="S17" i="5" s="1"/>
  <c r="V18" i="5"/>
  <c r="L18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K16" i="5" l="1"/>
  <c r="H16" i="5"/>
  <c r="U16" i="5"/>
  <c r="I16" i="5"/>
  <c r="G16" i="5"/>
  <c r="S16" i="5" s="1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9" i="1"/>
  <c r="T13" i="5"/>
  <c r="T7" i="1" l="1"/>
  <c r="W19" i="1"/>
  <c r="G6" i="1" l="1"/>
  <c r="V13" i="5"/>
  <c r="L13" i="5"/>
  <c r="S13" i="5"/>
  <c r="K13" i="5"/>
  <c r="I13" i="5"/>
  <c r="U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N19" i="1"/>
  <c r="P19" i="1"/>
  <c r="J19" i="1"/>
  <c r="O19" i="1"/>
  <c r="I19" i="1"/>
  <c r="Q7" i="1" l="1"/>
  <c r="M68" i="3" s="1"/>
  <c r="L7" i="1"/>
  <c r="G68" i="3" s="1"/>
  <c r="K68" i="3"/>
  <c r="J68" i="3"/>
  <c r="M19" i="1"/>
  <c r="K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<sst xmlns="http://schemas.openxmlformats.org/spreadsheetml/2006/main" count="467" uniqueCount="373">
  <si>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</si>
  <si>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</si>
  <si>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</si>
  <si>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</si>
  <si>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</si>
  <si>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</si>
  <si>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</si>
  <si>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</si>
  <si>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</si>
  <si>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</si>
  <si>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</si>
  <si>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</si>
  <si>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</si>
  <si>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</si>
  <si>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</si>
  <si>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</si>
  <si>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</si>
  <si>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</si>
  <si>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</si>
  <si>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</si>
  <si>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</si>
  <si>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</si>
  <si>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</si>
  <si>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</si>
  <si>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</si>
  <si>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</si>
  <si>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</si>
  <si>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</si>
  <si>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</si>
  <si>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</si>
  <si>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</si>
  <si>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</si>
  <si>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</si>
  <si>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</si>
  <si>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</si>
  <si>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</si>
  <si>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</si>
  <si>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</si>
  <si>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</si>
  <si>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</si>
  <si>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</si>
  <si>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</si>
  <si>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</si>
  <si>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</si>
  <si>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</si>
  <si>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</si>
  <si>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</si>
  <si>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</si>
  <si>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</si>
  <si>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</si>
  <si>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</si>
  <si>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</si>
  <si>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</si>
  <si>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</si>
  <si>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</si>
  <si>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</si>
  <si>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</si>
  <si>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</si>
  <si>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</si>
  <si>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</si>
  <si>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</si>
  <si>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</si>
  <si>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</si>
  <si>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</si>
  <si>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</si>
  <si>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</si>
  <si>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</si>
  <si>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</si>
  <si>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</si>
  <si>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</si>
  <si>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</si>
  <si>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</si>
  <si>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</si>
  <si>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</si>
  <si>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</si>
  <si>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</si>
  <si>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</si>
  <si>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</si>
  <si>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</si>
  <si>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</si>
  <si>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</si>
  <si>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</si>
  <si>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</si>
  <si>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</si>
  <si>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</si>
  <si>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</si>
  <si>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</si>
  <si>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</si>
  <si>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</si>
  <si>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</si>
  <si>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</si>
  <si>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</si>
  <si>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</si>
  <si>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</si>
  <si>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</si>
  <si>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</si>
  <si>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</si>
  <si>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</si>
  <si>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</si>
  <si>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</si>
  <si>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</si>
  <si>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</si>
  <si>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</si>
  <si>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</si>
  <si>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</si>
  <si>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</si>
  <si>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</si>
  <si>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</si>
  <si>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</si>
  <si>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</si>
  <si>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</si>
  <si>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</si>
  <si>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</si>
  <si>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</si>
  <si>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</si>
  <si>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</si>
  <si>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</si>
  <si>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</si>
  <si>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</si>
  <si>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</si>
  <si>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</si>
  <si>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</si>
  <si>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</si>
  <si>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</si>
  <si>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</si>
  <si>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</si>
  <si>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</si>
  <si>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</si>
  <si>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</si>
  <si>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</si>
  <si>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</si>
  <si>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</si>
  <si>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</si>
  <si>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</si>
  <si>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</si>
  <si>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</si>
  <si>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</si>
  <si>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</si>
  <si>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</si>
  <si>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</si>
  <si>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</si>
  <si>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</si>
  <si>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</si>
  <si>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</si>
  <si>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</si>
  <si>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</si>
  <si>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</si>
  <si>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</si>
  <si>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</si>
  <si>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</si>
  <si>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</si>
  <si>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</si>
  <si>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</si>
  <si>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</si>
  <si>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</si>
  <si>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</si>
  <si>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</si>
  <si>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</si>
  <si>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</si>
  <si>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</si>
  <si>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</si>
  <si>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</si>
  <si>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</si>
  <si>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</si>
  <si>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</si>
  <si>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</si>
  <si>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</si>
  <si>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</si>
  <si>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</si>
  <si>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</si>
  <si>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</si>
  <si>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</si>
  <si>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</si>
  <si>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</si>
  <si>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</si>
  <si>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</si>
  <si>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</si>
  <si>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</si>
  <si>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</si>
  <si>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</si>
  <si>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</si>
  <si>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</si>
  <si>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</si>
  <si>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</si>
  <si>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</si>
  <si>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</si>
  <si>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</si>
  <si>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</si>
  <si>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</si>
  <si>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</si>
  <si>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</si>
  <si>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</si>
  <si>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</si>
  <si>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</si>
  <si>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</si>
  <si>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</si>
  <si>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</si>
  <si>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</si>
  <si>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</si>
  <si>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</si>
  <si>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</si>
  <si>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</si>
  <si>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</si>
  <si>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</si>
  <si>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</si>
  <si>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</si>
  <si>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</si>
  <si>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</si>
  <si>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</si>
  <si>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</si>
  <si>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</si>
  <si>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</si>
  <si>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</si>
  <si>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</si>
  <si>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</si>
  <si>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</si>
  <si>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</si>
  <si>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</si>
  <si>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</si>
  <si>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</si>
  <si>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</si>
  <si>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</si>
  <si>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</si>
  <si>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</si>
  <si>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</si>
  <si>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</si>
  <si>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</si>
  <si>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</si>
  <si>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</si>
  <si>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</si>
  <si>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</si>
  <si>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</si>
  <si>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</si>
  <si>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</si>
  <si>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</si>
  <si>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</si>
  <si>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</si>
  <si>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</si>
  <si>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</si>
  <si>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</si>
  <si>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</si>
  <si>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</si>
  <si>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</si>
  <si>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</si>
  <si>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</si>
  <si>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</si>
  <si>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</si>
  <si>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</si>
  <si>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</si>
  <si>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</si>
  <si>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</si>
  <si>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</si>
  <si>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</si>
  <si>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</si>
  <si>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</si>
  <si>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</si>
  <si>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</si>
  <si>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</si>
  <si>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</si>
  <si>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</si>
  <si>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</si>
  <si>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</si>
  <si>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</si>
  <si>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</si>
  <si>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</si>
  <si>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</si>
  <si>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</si>
  <si>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</si>
  <si>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</si>
  <si>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</si>
  <si>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</si>
  <si>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</si>
  <si>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</si>
  <si>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</si>
  <si>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</si>
  <si>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</si>
  <si>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</si>
  <si>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</si>
  <si>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</si>
  <si>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</si>
  <si>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</si>
  <si>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</si>
  <si>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</si>
  <si>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</si>
  <si>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</si>
  <si>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</si>
  <si>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</si>
  <si>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</si>
  <si>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</si>
  <si>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</si>
  <si>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</si>
  <si>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</si>
  <si>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</si>
  <si>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</si>
  <si>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</si>
  <si>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</si>
  <si>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</si>
  <si>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</si>
  <si>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</si>
  <si>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</si>
  <si>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</si>
  <si>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</si>
  <si>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</si>
  <si>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</si>
  <si>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</si>
  <si>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</si>
  <si>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</si>
  <si>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</si>
  <si>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</si>
  <si>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</si>
  <si>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</si>
  <si>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</si>
  <si>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</si>
  <si>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</si>
  <si>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</si>
  <si>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</si>
  <si>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</si>
  <si>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</si>
  <si>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</si>
  <si>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</si>
  <si>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</si>
  <si>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</si>
  <si>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</si>
  <si>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</si>
  <si>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</si>
  <si>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</si>
  <si>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</si>
  <si>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</si>
  <si>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</si>
  <si>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</si>
  <si>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</si>
  <si>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</si>
  <si>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</si>
  <si>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</si>
  <si>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</si>
  <si>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</si>
  <si>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</si>
  <si>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</si>
  <si>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</si>
  <si>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</si>
  <si>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</si>
  <si>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</si>
  <si>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</si>
  <si>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</si>
  <si>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</si>
  <si>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</si>
  <si>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</si>
  <si>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</si>
  <si>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</si>
  <si>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</si>
  <si>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</si>
  <si>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</si>
  <si>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</si>
  <si>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</si>
  <si>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</si>
  <si>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VARCHAR(40)</t>
  </si>
  <si>
    <t>INT</t>
  </si>
  <si>
    <t>Inventory.DRM</t>
  </si>
  <si>
    <t>MATERIAL_CODE</t>
  </si>
  <si>
    <t>MATERIAL_SPEC</t>
  </si>
  <si>
    <t>VARCHAR(200)</t>
  </si>
  <si>
    <t>DRM_MATERIAL_ID</t>
  </si>
  <si>
    <t>PART_NO</t>
  </si>
  <si>
    <t>PART_NAME</t>
  </si>
  <si>
    <t>PART_ID</t>
  </si>
  <si>
    <t>MATERIAL_ID</t>
  </si>
  <si>
    <t>QTY</t>
  </si>
  <si>
    <t>WORKING_DATE</t>
  </si>
  <si>
    <t>BIGINT</t>
  </si>
  <si>
    <t>DATETIME</t>
  </si>
  <si>
    <t>Drm Stock Part</t>
  </si>
  <si>
    <t>InvDrmStockPart</t>
  </si>
  <si>
    <t>DrmStockPart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</si>
</sst>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[Table("InvDrmStockPart")]
	public class InvDrmStockPart: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}
}
</v>
      </c>
      <c r="D68" s="48" t="str">
        <f>A.Backend!O7</f>
        <v xml:space="preserve">		public const string Pages_Inventory_DRM_DrmStockPart = "Pages.Inventory.DRM.DrmStockPart";
		public const string Pages_Inventory_DRM_DrmStockPart_CreateEdit = "Pages.Inventory.DRM.DrmStockPart.CreateEdit";
		public const string Pages_Inventory_DRM_DrmStockPart_Delete = "Pages.Inventory.DRM.DrmStockPart.Delete";
</v>
      </c>
      <c r="E68" s="48" t="str">
        <f>A.Backend!N7</f>
        <v xml:space="preserve">		var perInvDrmStockPart = PARENTS.CreateChildPermission(AppPermissions.Pages_Inventory_DRM_DrmStockPart, L( "InventoryDRMDrmStockPart"), multiTenancySides: MultiTenancySides.Tenant);
		perInvDrmStockPart.CreateChildPermission(AppPermissions.Pages_Inventory_DRM_DrmStockPart_CreateEdit, L( "InventoryDRMDrmStockPartCreateEdit"), multiTenancySides: MultiTenancySides.Tenant);
		perInvDrmStockPart.CreateChildPermission(AppPermissions.Pages_Inventory_DRM_DrmStockPart_Delete, L( "InventoryDRMDrmStockPartDelete"), multiTenancySides: MultiTenancySides.Tenant);</v>
      </c>
      <c r="F68" s="48" t="str">
        <f>A.Backend!K7</f>
        <v>public virtual DbSet&lt;InvDrmStockPart&gt; InvDrmStockParts { get; set; }</v>
      </c>
      <c r="G68" s="48" t="str">
        <f ca="1">A.Backend!L7</f>
        <v xml:space="preserve">namespace prod.Inventory.DRM
{
	public class InvDrmStockPartConsts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prod.Inventory.DRM.Dto
{
	public class InvDrmStockPartDto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	public class CreateOrEditInvDrmStockPartDto : EntityDto&lt;long?&gt;	
	{
		[StringLength(InvDrmStockPartConsts.MaxMaterialCodeLength)]
		public virtual string MaterialCode { get; set; }
		[StringLength(InvDrmStockPartConsts.MaxMaterialSpecLength)]
		public virtual string MaterialSpec { get; set; }
		public virtual long? DrmMaterialId { get; set; }
		[StringLength(InvDrmStockPartConsts.MaxPartNoLength)]
		public virtual string PartNo { get; set; }
		[StringLength(InvDrmStockPartConsts.MaxPartNameLength)]
		public virtual string PartName { get; set; }
		public virtual long? PartId { get; set; }
		public virtual long? MaterialId { get; set; }
		public virtual int? Qty { get; set; }
		public virtual DateTime? WorkingDate { get; set; }
	}
	public class GetInvDrmStockPartInput : PagedAndSortedResultRequestDto	
	{
		public virtual string MaterialCode { get; set; }
		public virtual string MaterialSpec { get; set; }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prod.Inventory.DRM.Dto
{
	public class InvDrmStockPartExportInput{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vovina.Inventory.DRM.Dto;
namespace prod.Inventory.DRM
{
	public interface IInvDrmStockPartAppService : IApplicationService
	{
		Task&lt;PagedResultDto&lt;InvDrmStockPartDto&gt;&gt; GetAll(GetInvDrmStockPartInput input);
		Task CreateOrEdit(CreateOrEditInvDrmStockPartDto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IInvDrmStockPartExcelExporter : IApplicationService
	{
		FileDto ExportToFile(List&lt;InvDrmStockPartDto&gt; invdrmstockpart);
	}
}
</v>
      </c>
      <c r="L68" s="48" t="str">
        <f ca="1">A.Backend!T7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InvDrmStockPartExcelExporter : NpoiExcelExporterBase, IInvDrmStockPartExcelExporter
    {
        public InvDrmStockPartExcelExporter(ITempFileCacheManager tempFileCacheManager) : base(tempFileCacheManager) { }
        public FileDto ExportToFile(List&lt;InvDrmStockPartDto&gt; drmstockpart)
        {
            return CreateExcelPackage(
				"InventoryDRMDrmStockPart.xlsx",
				excelPackage =&gt;
				 {
					var sheet = excelPackage.CreateSheet("DrmStockPart");
					AddHeader(
								sheet,
								("MaterialCode"),
								("MaterialSpec"),
								("DrmMaterialId"),
								("PartNo"),
								("PartName"),
								("PartId"),
								("MaterialId"),
								("Qty"),
								("WorkingDate"),
							   );
					AddObjects(
						 sheet, 1, drmstockpart,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[AbpAuthorize(AppPermissions.Pages_Inventory_DRM_DrmStockPart)]
    public class InvDrmStockPartAppService : vovinaAppServiceBase, IInvDrmStockPartAppService
    {
        private readonly IDapperRepository&lt;InvDrmStockPart, long&gt; _dapperRepo;
        private readonly IRepository&lt;InvDrmStockPart, long&gt; _repo;
        private readonly IInvDrmStockPartExcelExporter _calendarListExcelExporter;
        public InvDrmStockPartAppService(IRepository&lt;InvDrmStockPart,long&gt; repo, 
                                         IDapperRepository&lt;InvDrmStockPart,long&gt; dapperRepo,
                                        IInvDrmStockPartExcelExporter calendarListExcelExporter
            )
        {
            _repo = repo;
            _dapperRepo = dapperRepo;
            _calendarListExcelExporter = calendarListExcelExporter;
        }
        [AbpAuthorize(AppPermissions.Pages_Inventory_DRM_DrmStockPart_CreateEdit)]
        public async Task CreateOrEdit(CreateOrEditInvDrmStockPartDto input)
        {
            if (input.Id == null) await Create(input);
            else await Update(input);
        }
        //CREATE
        private async Task Create(CreateOrEditInvDrmStockPartDto input)
        {          
            var mainObj = ObjectMapper.Map&lt;InvDrmStockPart&gt;(input);
            await CurrentUnitOfWork.GetDbContext&lt;vovinaDbContext&gt;().AddAsync(mainObj);
        }
        // EDIT
        private async Task Update(CreateOrEditInvDrmStockPartDto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Task&lt;PagedResultDto&lt;InvDrmStockPartDto&gt;&gt; GetAll(GetInvDrmStockPartInput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InvDrmStockPartDto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totalCount = await filtered.CountAsync();
			var paged = system.PageBy(input);
            return new PagedResultDto&lt;InvDrmStockPartDto&gt;(
                totalCount,
                 await paged.ToListAsync()
            );
        }
        public async Task&lt;FileDto&gt; GetDrmStockPartToExcel(InvDrmStockPartExportInput input)
        {
            var query = from o in _repo.GetAll()
                        select new InvDrmStockPartDto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_dapperRepo.ExecuteAsync(InvDrmStockPartConsts.SP_MST_WPT_CALENDAR_GENERATE);
       // }
    }
}</v>
      </c>
      <c r="N68" s="58" t="str">
        <f>A.Backend!U7</f>
        <v xml:space="preserve">  configuration.CreateMap&lt;InvDrmStockPartDto, InvDrmStockPart&gt;();
  configuration.CreateMap&lt;InvDrmStockPart, InvDrmStockPartDto&gt;();
  configuration.CreateMap&lt;CreateOrEditInvDrmStockPartDto, InvDrmStockPart&gt;();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drmstockpart</v>
      </c>
      <c r="C73" s="66" t="str">
        <f>"create folder " &amp;B73</f>
        <v>create folder drmstockpart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drmstockpart.component.ts</v>
      </c>
      <c r="D74" s="28" t="str">
        <f>B.Frontend!I14</f>
        <v>drmstockpart.component.html</v>
      </c>
      <c r="E74" s="28" t="str">
        <f>B.Frontend!J14</f>
        <v>drmstockpart.component.less</v>
      </c>
      <c r="F74" s="28" t="str">
        <f>B.Frontend!K14</f>
        <v>create-or-edit-drmstockpart-modal.component.html</v>
      </c>
      <c r="G74" s="28" t="str">
        <f>B.Frontend!L14</f>
        <v>create-or-edit-drmstockpart-modal.component.ts</v>
      </c>
      <c r="H74" s="28" t="str">
        <f>B.Frontend!M14</f>
        <v>create-or-edit-drmstockpart-modal.component.less</v>
      </c>
      <c r="I74" s="28" t="str">
        <f>B.Frontend!N14</f>
        <v>drmstockpart.module.ts</v>
      </c>
      <c r="J74" s="28" t="str">
        <f>B.Frontend!O14</f>
        <v>drmstockpart-routing.module.ts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InvDrmStockPartDto, InvDrmStockPartServiceProxy } from '@shared/service-proxies/service-proxies';
import { finalize } from 'rxjs/internal/operators/finalize';
import { CreateOrEditDrmStockPartModalComponent } from './create-or-edit-drmstockpart-modal.component';
import { DatePipe } from '@angular/common';
import { FileDownloadService } from '@shared/utils/file-download.service';
import ceil from 'lodash-es/ceil';
import { Paginator } from 'primeng/paginator';
@Component({
    templateUrl: './drmstockpart.component.html',
    styleUrls: ['./drmstockpart.component.less'],
})
export class DrmStockPartComponent extends AppComponentBase implements OnInit {
    @ViewChild('createOrEditModalDrmStockPart', { static: true }) createOrEditModalDrmStockPart:| CreateOrEditDrmStockPartModalComponent|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InvDrmStockPartDto = new InvDrmStockPartDto();
    saveSelectedRow: InvDrmStockPartDto = new InvDrmStockPartDto();
    datas: InvDrmStockPartDto = new InvDrmStockPartDto();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'',
            this.paginationParams.skipCount,
            this.paginationParams.pageSize
        );
    }
    onChangeRowSelection(params: { api: { getSelectedRows: () =&gt; InvDrmStockPartDto[] } }) {
        this.saveSelectedRow = params.api.getSelectedRows()[0] ?? new InvDrmStockPartDto();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this._service.getDrmStockPartToExcel(
			this.materialCode,
			this.materialSpec,
			this.drmMaterialId,
			this.partNo,
			this.partName,
			this.partId,
			this.materialId,
			this.qty,
			this.workingDate,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&lt;create-or-edit-drmstockpart-modal
    #createOrEditModalDrmStockPart
    (modalSave)="callBackDataGrid(dataParams)"
    (modalClose)="onChangeRowSelection(dataParams)"
&gt;
&lt;/create-or-edit-drmstockpart-modal&gt;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#createOrEditModalDrmStockPart="bs-modal"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DrmStockPart')}}&lt;/h3&gt;
                    &lt;h3 *ngIf="!rowdata.id"&gt;{{('Create New DrmStockPart')}}&lt;/h3&gt;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CreateOrEditInvDrmStockPartDto, InvDrmStockPartServiceProxy } from '@shared/service-proxies/service-proxies';
import { BsDatepickerDirective } from 'ngx-bootstrap/datepicker';
@Component({
    selector: 'create-or-edit-drmstockpart-modal',
    templateUrl: './create-or-edit-drmstockpart-modal.component.html',
    styleUrls: ['./create-or-edit-drmstockpart-modal.component.less']
    })
export class CreateOrEditDrmStockPartModalComponent extends AppComponentBase {
    @ViewChild('createOrEditModalDrmStockPart',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CreateOrEditInvDrmStockPartDto = new CreateOrEditInvDrmStockPartDto();
    active: boolean = false;
    saving: boolean = false;
    _: boolean;
    constructor(
        injector: Injector,
        private _mstwptDrmStockPartService: InvDrmStockPartServiceProxy,
    ) 
    {
        super(injector);
    }
    show(rowdata?: CreateOrEditInvDrmStockPartDto): void {
        if (!rowdata) this.rowdata = new CreateOrEditInvDrmStockPartDto();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DrmStockPartRoutingModule } from './drmstockpart-routing.module';
import { DrmStockPartComponent } from './drmstockpart.component';
import { CreateOrEditDrmStockPartModalComponent } from './create-or-edit-drmstockpart-modal.component';
@NgModule({
    declarations: [
       DrmStockPartComponent, 
        CreateOrEditDrmStockPartModalComponent
    ],
    imports: [
        AppSharedModule, DrmStockPartRoutingModule]
})
export class DrmStockPartModule {}</v>
      </c>
      <c r="J75" s="46" t="str">
        <f>B.Frontend!O10</f>
        <v>import {NgModule} from '@angular/core';
import {RouterModule, Routes} from '@angular/router';
import { DrmStockPartComponent } from './drmstockpart.component';
const routes: Routes = [{
    path: '',
    component: DrmStockPartComponent,
    pathMatch: 'full'
}];
@NgModule({
    imports: [RouterModule.forChild(routes)],
    exports: [RouterModule],
})
export class DrmStockPartRoutingModule {}</v>
      </c>
      <c r="K75" s="46" t="str">
        <f>B.Frontend!P10</f>
        <v xml:space="preserve"> new AppMenuItem("DrmStockPart", "Pages.Inventory.DRM.DrmStockPart", "flaticon-book",   "/app/main/inventory/drm/drmstockpart"),</v>
      </c>
      <c r="L75" s="47" t="str">
        <f>B.Frontend!Q10</f>
        <v>{
    path: 'inventory/drm/drmstockpart',
    loadChildren: () =&gt; import('./inventory/drm/drmstockpart/drmstockpart.module').then(m =&gt; m.DrmStockPartModule),
    data: { permission: 'Pages.Inventory.DRM.DrmStockPart' }
},</v>
      </c>
      <c r="M75" s="45" t="str">
        <f>B.Frontend!R10</f>
        <v>ApiServiceProxies.InvDrmStockPartServiceProxy,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C21" sqref="C21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vovina.Inventory.DRM.Dto;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357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371</v>
      </c>
      <c r="C3" s="9" t="s">
        <v>41</v>
      </c>
      <c r="D3" s="9" t="s">
        <v>42</v>
      </c>
      <c r="E3" s="9" t="s">
        <v>37</v>
      </c>
      <c r="F3" s="10" t="str">
        <f>"J"&amp;COUNTA($A:$A)</f>
        <v>J17</v>
      </c>
      <c r="G3" s="4" t="s">
        <v>54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53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DRM</v>
      </c>
      <c r="R3" s="29" t="str">
        <f>REPT(CHAR(9),1)&amp;"public class "&amp;B3&amp;"ExportInput"&amp;C3</f>
        <v xml:space="preserve">	public class InvDrmStockPartExportInput{
</v>
      </c>
      <c r="S3" s="10" t="str">
        <f>"namespace "&amp;$B$6&amp;".Exporting
"&amp;$C$3</f>
        <v xml:space="preserve">namespace prod.Inventory.DRM.Exporting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prod.Inventory.DRM</v>
      </c>
      <c r="C6" s="10" t="str">
        <f>"namespace "&amp;$B$6&amp;"
"&amp;$C$3</f>
        <v xml:space="preserve">namespace prod.Inventory.DRM
{
</v>
      </c>
      <c r="D6" s="10" t="str">
        <f>REPT(CHAR(9),1)&amp;"public class "&amp;B3&amp;G3&amp;REPT(CHAR(9),1)&amp;"
"&amp;REPT(CHAR(9),1)&amp;C3</f>
        <v xml:space="preserve">	public class InvDrmStockPart: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InvDrmStockPartConsts	
	{
</v>
      </c>
      <c r="F6" s="10" t="str">
        <f>REPT(CHAR(9),1)&amp;"public class "&amp;B3&amp;"Dto"&amp;K3&amp;REPT(CHAR(9),1)&amp;"
"&amp;REPT(CHAR(9),1)&amp;C3</f>
        <v xml:space="preserve">	public class InvDrmStockPartDto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CreateOrEditInvDrmStockPartDto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GetInvDrmStockPartInput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InvDrmStockPart</v>
      </c>
      <c r="C7" s="10" t="str">
        <f>REPT(CHAR(9),1)&amp;"[Table("""&amp;B7&amp;""")]"&amp;"
"</f>
        <v xml:space="preserve">	[Table("InvDrmStockPart")]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prod.Inventory.DRM
{
	[Table("InvDrmStockPart")]
	public class InvDrmStockPart: FullAuditedEntity&lt;long&gt;, IEntity&lt;long&gt;	
	{
		public const int MaxMaterialCodeLength = 40;
		public const int MaxMaterialSpecLength = 200;
		public const int MaxPartNoLength = 20;
		public const int MaxPartNameLength = 200;
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	}
}
</v>
      </c>
      <c r="K7" t="str">
        <f>SUBSTITUTE(SUBSTITUTE(("public virtual DbSet&lt;"&amp;B3&amp;"&gt; "&amp;B3&amp;"s { get; set; }"),"WorkingPattern",$Q$3),"Master",$B$4)</f>
        <v>public virtual DbSet&lt;InvDrmStockPart&gt; InvDrmStockParts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prod.Inventory.DRM
{
	public class InvDrmStockPartConsts	
	{
		public const int MaxMaterialCodeLength = 40;
		public const int MaxMaterialSpecLength = 200;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prod.Inventory.DRM.Dto
{
	public class InvDrmStockPartDto : EntityDto&lt;long?&gt;	
	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	public class CreateOrEditInvDrmStockPartDto : EntityDto&lt;long?&gt;	
	{
		[StringLength(InvDrmStockPartConsts.MaxMaterialCodeLength)]
		public virtual string MaterialCode { get; set; }
		[StringLength(InvDrmStockPartConsts.MaxMaterialSpecLength)]
		public virtual string MaterialSpec { get; set; }
		public virtual long? DrmMaterialId { get; set; }
		[StringLength(InvDrmStockPartConsts.MaxPartNoLength)]
		public virtual string PartNo { get; set; }
		[StringLength(InvDrmStockPartConsts.MaxPartNameLength)]
		public virtual string PartName { get; set; }
		public virtual long? PartId { get; set; }
		public virtual long? MaterialId { get; set; }
		public virtual int? Qty { get; set; }
		public virtual DateTime? WorkingDate { get; set; }
	}
	public class GetInvDrmStockPartInput : PagedAndSortedResultRequestDto	
	{
		public virtual string MaterialCode { get; set; }
		public virtual string MaterialSpec { get; set; }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perInvDrmStockPart = PARENTS.CreateChildPermission(AppPermissions.Pages_Inventory_DRM_DrmStockPart, L( "InventoryDRMDrmStockPart"), multiTenancySides: MultiTenancySides.Tenant);
		perInvDrmStockPart.CreateChildPermission(AppPermissions.Pages_Inventory_DRM_DrmStockPart_CreateEdit, L( "InventoryDRMDrmStockPartCreateEdit"), multiTenancySides: MultiTenancySides.Tenant);
		perInvDrmStockPart.CreateChildPermission(AppPermissions.Pages_Inventory_DRM_DrmStockPart_Delete, L( "InventoryDRMDrmStockPartDelete"),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Pages_Inventory_DRM_DrmStockPart = "Pages.Inventory.DRM.DrmStockPart";
		public const string Pages_Inventory_DRM_DrmStockPart_CreateEdit = "Pages.Inventory.DRM.DrmStockPart.CreateEdit";
		public const string Pages_Inventory_DRM_DrmStockPart_Delete = "Pages.Inventory.DRM.DrmStockPart.Delete";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
{
	public interface IInvDrmStockPartAppService : IApplicationService
	{
		Task&lt;PagedResultDto&lt;InvDrmStockPartDto&gt;&gt; GetAll(GetInvDrmStockPartInput input);
		Task CreateOrEdit(CreateOrEditInvDrmStockPartDto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vovina.Inventory.DRM.Dto;
using vovina.Inventory.DRM.Exporting;
namespace vovina.Inventory.DRM
{
    [AbpAuthorize(AppPermissions.Pages_Inventory_DRM_DrmStockPart)]
    public class InvDrmStockPartAppService : vovinaAppServiceBase, IInvDrmStockPartAppService
    {
        private readonly IDapperRepository&lt;InvDrmStockPart, long&gt; _dapperRepo;
        private readonly IRepository&lt;InvDrmStockPart, long&gt; _repo;
        private readonly IInvDrmStockPartExcelExporter _calendarListExcelExporter;
        public InvDrmStockPartAppService(IRepository&lt;InvDrmStockPart,long&gt; repo, 
                                         IDapperRepository&lt;InvDrmStockPart,long&gt; dapperRepo,
                                        IInvDrmStockPartExcelExporter calendarListExcelExporter
            )
        {
            _repo = repo;
            _dapperRepo = dapperRepo;
            _calendarListExcelExporter = calendarListExcelExporter;
        }
        [AbpAuthorize(AppPermissions.Pages_Inventory_DRM_DrmStockPart_CreateEdit)]
        public async Task CreateOrEdit(CreateOrEditInvDrmStockPartDto input)
        {
            if (input.Id == null) await Create(input);
            else await Update(input);
        }
        //CREATE
        private async Task Create(CreateOrEditInvDrmStockPartDto input)
        {          
            var mainObj = ObjectMapper.Map&lt;InvDrmStockPart&gt;(input);
            await CurrentUnitOfWork.GetDbContext&lt;vovinaDbContext&gt;().AddAsync(mainObj);
        }
        // EDIT
        private async Task Update(CreateOrEditInvDrmStockPartDto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[AbpAuthorize(AppPermissions.Pages_Inventory_DRM_DrmStockPart_Delete)]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Task&lt;PagedResultDto&lt;InvDrmStockPartDto&gt;&gt; GetAll(GetInvDrmStockPartInput input)
        {
            var filtered = _repo.GetAll()
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InvDrmStockPartDto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totalCount = await filtered.CountAsync();
			var paged = system.PageBy(input);
            return new PagedResultDto&lt;InvDrmStockPartDto&gt;(
                totalCount,
                 await paged.ToListAsync()
            );
        }
        public async Task&lt;FileDto&gt; GetDrmStockPartToExcel(InvDrmStockPartExportInput input)
        {
            var query = from o in _repo.GetAll()
                        select new InvDrmStockPartDto
                        {
							Id = o.Id,
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
                        };
            var exportToExcel = await query.ToListAsync();
            return _calendarListExcelExporter.ExportToFile(exportToExcel);
        }
       // public async Task GenerateAsync()
      //  {
        //    await _dapperRepo.ExecuteAsync(InvDrmStockPartConsts.SP_MST_WPT_CALENDAR_GENERATE);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prod.Inventory.DRM.Dto
{
	public class InvDrmStockPartExportInput{
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vovina.Inventory.DRM.Dto;
namespace prod.Inventory.DRM.Exporting
{
	public interface IInvDrmStockPartExcelExporter : IApplicationService
	{
		FileDto ExportToFile(List&lt;InvDrmStockPartDto&gt; invdrmstockpart);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vovina.Inventory.DRM.Exporting;
using vovina.Inventory.DRM.Dto;
using vovina.Storage;
using vovina.Inventory.DRM.Dto;
namespace vovina.Inventory.DRM.Exporting
{
    public class InvDrmStockPartExcelExporter : NpoiExcelExporterBase, IInvDrmStockPartExcelExporter
    {
        public InvDrmStockPartExcelExporter(ITempFileCacheManager tempFileCacheManager) : base(tempFileCacheManager) { }
        public FileDto ExportToFile(List&lt;InvDrmStockPartDto&gt; drmstockpart)
        {
            return CreateExcelPackage(
				"InventoryDRMDrmStockPart.xlsx",
				excelPackage =&gt;
				 {
					var sheet = excelPackage.CreateSheet("DrmStockPart");
					AddHeader(
								sheet,
								("MaterialCode"),
								("MaterialSpec"),
								("DrmMaterialId"),
								("PartNo"),
								("PartName"),
								("PartId"),
								("MaterialId"),
								("Qty"),
								("WorkingDate"),
							   );
					AddObjects(
						 sheet, 1, drmstockpart,                                       
								_ =&gt; _.MaterialCode,
								_ =&gt; _.MaterialSpec,
								_ =&gt; _.DrmMaterialId,
								_ =&gt; _.PartNo,
								_ =&gt; _.PartName,
								_ =&gt; _.PartId,
								_ =&gt; _.MaterialId,
								_ =&gt; _.Qty,
								_ =&gt; _.WorkingDate,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configuration.CreateMap&lt;InvDrmStockPartDto, InvDrmStockPart&gt;();
  configuration.CreateMap&lt;InvDrmStockPart, InvDrmStockPartDto&gt;();
  configuration.CreateMap&lt;CreateOrEditInvDrmStockPartDto, InvDrmStockPart&gt;();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355</v>
      </c>
      <c r="C9" t="s">
        <v>1</v>
      </c>
      <c r="D9" t="str">
        <f t="shared" ref="D9" si="0">SUBSTITUTE(PROPER(A9),"_","")</f>
        <v>MaterialCode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MaxMaterialCodeLength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[StringLength(MaxMaterialCodeLength)]
		public virtual string MaterialCode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MaterialCode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[StringLength(InvDrmStockPartConsts.MaxMaterialCodeLength)]
		public virtual string MaterialCode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MaterialCode { get; set; }
</v>
      </c>
      <c r="P9" t="str">
        <f t="shared" ref="P9" si="9">REPT(CHAR(9),7)&amp;D9&amp;" = o." &amp;D9 &amp;","</f>
        <v xml:space="preserve">							MaterialCode = o.MaterialCode,</v>
      </c>
      <c r="T9" s="63" t="str">
        <f t="shared" ref="T9" si="10">REPT(CHAR(9),8)&amp;"("""&amp;D9&amp;"""),"</f>
        <v xml:space="preserve">								("MaterialCode"),</v>
      </c>
      <c r="V9" s="64" t="str">
        <f t="shared" ref="V9" si="11">REPT(CHAR(9),8)&amp;"_ =&gt; _."&amp;D9&amp;","</f>
        <v xml:space="preserve">								_ =&gt; _.MaterialCode,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.WhereIf(!string.IsNullOrWhiteSpace(input.MaterialCode), e =&gt; e.MaterialCode.Contains(input.MaterialCode))</v>
      </c>
    </row>
    <row r="10" spans="1:23" customFormat="1" ht="18.75" customHeight="1" x14ac:dyDescent="0.25">
      <c r="A10" t="s">
        <v>359</v>
      </c>
      <c r="B10" t="s">
        <v>360</v>
      </c>
      <c r="C10" t="s">
        <v>1</v>
      </c>
      <c r="D10" t="str">
        <f t="shared" ref="D10:D11" si="13">SUBSTITUTE(PROPER(A10),"_","")</f>
        <v>MaterialSpec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MaxMaterialSpecLength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[StringLength(MaxMaterialSpecLength)]
		public virtual string MaterialSpec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MaterialSpec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[StringLength(InvDrmStockPartConsts.MaxMaterialSpecLength)]
		public virtual string MaterialSpec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MaterialSpec { get; set; }
</v>
      </c>
      <c r="P10" t="str">
        <f t="shared" ref="P10:P11" si="22">REPT(CHAR(9),7)&amp;D10&amp;" = o." &amp;D10 &amp;","</f>
        <v xml:space="preserve">							MaterialSpec = o.MaterialSpec,</v>
      </c>
      <c r="T10" s="63" t="str">
        <f t="shared" ref="T10:T11" si="23">REPT(CHAR(9),8)&amp;"("""&amp;D10&amp;"""),"</f>
        <v xml:space="preserve">								("MaterialSpec"),</v>
      </c>
      <c r="V10" s="64" t="str">
        <f t="shared" ref="V10:V11" si="24">REPT(CHAR(9),8)&amp;"_ =&gt; _."&amp;D10&amp;","</f>
        <v xml:space="preserve">								_ =&gt; _.MaterialSpec,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.WhereIf(!string.IsNullOrWhiteSpace(input.MaterialSpec), e =&gt; e.MaterialSpec.Contains(input.MaterialSpec))</v>
      </c>
    </row>
    <row r="11" spans="1:23" customFormat="1" ht="18.75" customHeight="1" x14ac:dyDescent="0.25">
      <c r="A11" t="s">
        <v>361</v>
      </c>
      <c r="B11" t="s">
        <v>368</v>
      </c>
      <c r="C11" t="s">
        <v>1</v>
      </c>
      <c r="D11" t="str">
        <f t="shared" si="13"/>
        <v>DrmMaterialId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DrmMaterialId { get; set; }
</v>
      </c>
      <c r="K11" s="6"/>
      <c r="L11" t="str">
        <f t="shared" si="18"/>
        <v/>
      </c>
      <c r="M11" t="str">
        <f t="shared" si="19"/>
        <v xml:space="preserve">		public virtual long? DrmMaterialId { get; set; }
</v>
      </c>
      <c r="N11" t="str">
        <f t="shared" si="20"/>
        <v xml:space="preserve">		public virtual long? DrmMaterialId { get; set; }
</v>
      </c>
      <c r="O11" t="str">
        <f t="shared" si="21"/>
        <v/>
      </c>
      <c r="P11" t="str">
        <f t="shared" si="22"/>
        <v xml:space="preserve">							DrmMaterialId = o.DrmMaterialId,</v>
      </c>
      <c r="T11" s="63" t="str">
        <f t="shared" si="23"/>
        <v xml:space="preserve">								("DrmMaterialId"),</v>
      </c>
      <c r="V11" s="64" t="str">
        <f t="shared" si="24"/>
        <v xml:space="preserve">								_ =&gt; _.DrmMaterialId,</v>
      </c>
      <c r="W11" s="63" t="str">
        <f t="shared" si="25"/>
        <v/>
      </c>
    </row>
    <row r="12" spans="1:23" customFormat="1" ht="18.75" customHeight="1" x14ac:dyDescent="0.25">
      <c r="A12" t="s">
        <v>362</v>
      </c>
      <c r="B12" t="s">
        <v>354</v>
      </c>
      <c r="C12" t="s">
        <v>1</v>
      </c>
      <c r="D12" t="str">
        <f t="shared" ref="D12" si="26">SUBSTITUTE(PROPER(A12),"_","")</f>
        <v>PartNo</v>
      </c>
      <c r="E12" t="str">
        <f t="shared" ref="E12" si="27">IFERROR(LEFT(B12, FIND("(",B12)-1),B12)</f>
        <v>VARCHAR</v>
      </c>
      <c r="F12" s="6"/>
      <c r="G12" t="str">
        <f t="shared" ref="G12" si="28">IFERROR(MID(B12,FIND("(",B12) +1, FIND(")",B12) - FIND("(",B12) - 1),"")</f>
        <v>20</v>
      </c>
      <c r="H12" t="str">
        <f>+VLOOKUP(E12,'Data Type Mapping'!A:B,2,)</f>
        <v>string</v>
      </c>
      <c r="I12" t="str">
        <f t="shared" ref="I12" si="29">IF(H12="string",REPT(CHAR(9),2)&amp;"public const int Max"&amp;D12&amp;"Length = "&amp;G12&amp;";"&amp;$E$3,"" )</f>
        <v xml:space="preserve">		public const int MaxPartNoLength = 20;
</v>
      </c>
      <c r="J12" t="str">
        <f t="shared" ref="J12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[StringLength(MaxPartNoLength)]
		public virtual string PartNo { get; set; }
</v>
      </c>
      <c r="K12" s="6"/>
      <c r="L12" t="str">
        <f t="shared" ref="L12" si="31">IF(K12="","",REPT(CHAR(9),1)&amp;"[Index(nameof("&amp;IF(D12="","",""&amp;D12)&amp;")"&amp;", Name="&amp;"""IX_"&amp;$B$7&amp;"_"&amp;D12&amp;""")]")</f>
        <v/>
      </c>
      <c r="M12" t="str">
        <f t="shared" ref="M12" si="32">REPT(CHAR(9),2)&amp;"public virtual "&amp;IF(OR(H12="DateTime",H12="TimeSpan"),H12&amp;"?",H12)&amp;IF(C12="?","? "," ")&amp;D12&amp;" { get; set; }" &amp; "
"</f>
        <v xml:space="preserve">		public virtual string PartNo { get; set; }
</v>
      </c>
      <c r="N12" t="str">
        <f t="shared" ref="N12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[StringLength(InvDrmStockPartConsts.MaxPartNoLength)]
		public virtual string PartNo { get; set; }
</v>
      </c>
      <c r="O12" t="str">
        <f t="shared" ref="O12" si="34">IF(OR(H12="string",H12="DateTime",H12="int"),REPT(CHAR(9),2)&amp;"public virtual "&amp;IF(OR(H12="DateTime",H12="TimeSpan"),H12&amp;"?",H12)&amp;IF(C12="?","? "," ")&amp;D12&amp;" { get; set; }"&amp;$E$3,"")</f>
        <v xml:space="preserve">		public virtual string PartNo { get; set; }
</v>
      </c>
      <c r="P12" t="str">
        <f t="shared" ref="P12" si="35">REPT(CHAR(9),7)&amp;D12&amp;" = o." &amp;D12 &amp;","</f>
        <v xml:space="preserve">							PartNo = o.PartNo,</v>
      </c>
      <c r="T12" s="63" t="str">
        <f t="shared" ref="T12" si="36">REPT(CHAR(9),8)&amp;"("""&amp;D12&amp;"""),"</f>
        <v xml:space="preserve">								("PartNo"),</v>
      </c>
      <c r="V12" s="64" t="str">
        <f t="shared" ref="V12" si="37">REPT(CHAR(9),8)&amp;"_ =&gt; _."&amp;D12&amp;","</f>
        <v xml:space="preserve">								_ =&gt; _.PartNo,</v>
      </c>
      <c r="W12" s="63" t="str">
        <f t="shared" ref="W12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.WhereIf(!string.IsNullOrWhiteSpace(input.PartNo), e =&gt; e.PartNo.Contains(input.PartNo))</v>
      </c>
    </row>
    <row r="13" spans="1:23" customFormat="1" ht="18.75" customHeight="1" x14ac:dyDescent="0.25">
      <c r="A13" t="s">
        <v>363</v>
      </c>
      <c r="B13" t="s">
        <v>360</v>
      </c>
      <c r="C13" t="s">
        <v>1</v>
      </c>
      <c r="D13" t="str">
        <f t="shared" ref="D13:D16" si="39">SUBSTITUTE(PROPER(A13),"_","")</f>
        <v>PartName</v>
      </c>
      <c r="E13" t="str">
        <f t="shared" ref="E13:E16" si="40">IFERROR(LEFT(B13, FIND("(",B13)-1),B13)</f>
        <v>VARCHAR</v>
      </c>
      <c r="F13" s="6"/>
      <c r="G13" t="str">
        <f t="shared" ref="G13:G16" si="4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:I16" si="42">IF(H13="string",REPT(CHAR(9),2)&amp;"public const int Max"&amp;D13&amp;"Length = "&amp;G13&amp;";"&amp;$E$3,"" )</f>
        <v xml:space="preserve">		public const int MaxPartNameLength = 200;
</v>
      </c>
      <c r="J13" t="str">
        <f t="shared" ref="J13:J16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[StringLength(MaxPartNameLength)]
		public virtual string PartName { get; set; }
</v>
      </c>
      <c r="K13" s="6"/>
      <c r="L13" t="str">
        <f t="shared" ref="L13:L16" si="44">IF(K13="","",REPT(CHAR(9),1)&amp;"[Index(nameof("&amp;IF(D13="","",""&amp;D13)&amp;")"&amp;", Name="&amp;"""IX_"&amp;$B$7&amp;"_"&amp;D13&amp;""")]")</f>
        <v/>
      </c>
      <c r="M13" t="str">
        <f t="shared" ref="M13:M16" si="45">REPT(CHAR(9),2)&amp;"public virtual "&amp;IF(OR(H13="DateTime",H13="TimeSpan"),H13&amp;"?",H13)&amp;IF(C13="?","? "," ")&amp;D13&amp;" { get; set; }" &amp; "
"</f>
        <v xml:space="preserve">		public virtual string PartName { get; set; }
</v>
      </c>
      <c r="N13" t="str">
        <f t="shared" ref="N13:N16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[StringLength(InvDrmStockPartConsts.MaxPartNameLength)]
		public virtual string PartName { get; set; }
</v>
      </c>
      <c r="O13" t="str">
        <f t="shared" ref="O13:O16" si="47">IF(OR(H13="string",H13="DateTime",H13="int"),REPT(CHAR(9),2)&amp;"public virtual "&amp;IF(OR(H13="DateTime",H13="TimeSpan"),H13&amp;"?",H13)&amp;IF(C13="?","? "," ")&amp;D13&amp;" { get; set; }"&amp;$E$3,"")</f>
        <v xml:space="preserve">		public virtual string PartName { get; set; }
</v>
      </c>
      <c r="P13" t="str">
        <f t="shared" ref="P13:P16" si="48">REPT(CHAR(9),7)&amp;D13&amp;" = o." &amp;D13 &amp;","</f>
        <v xml:space="preserve">							PartName = o.PartName,</v>
      </c>
      <c r="T13" s="63" t="str">
        <f t="shared" ref="T13:T16" si="49">REPT(CHAR(9),8)&amp;"("""&amp;D13&amp;"""),"</f>
        <v xml:space="preserve">								("PartName"),</v>
      </c>
      <c r="V13" s="64" t="str">
        <f t="shared" ref="V13:V16" si="50">REPT(CHAR(9),8)&amp;"_ =&gt; _."&amp;D13&amp;","</f>
        <v xml:space="preserve">								_ =&gt; _.PartName,</v>
      </c>
      <c r="W13" s="63" t="str">
        <f t="shared" ref="W13:W16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.WhereIf(!string.IsNullOrWhiteSpace(input.PartName), e =&gt; e.PartName.Contains(input.PartName))</v>
      </c>
    </row>
    <row r="14" spans="1:23" customFormat="1" ht="18.75" customHeight="1" x14ac:dyDescent="0.25">
      <c r="A14" t="s">
        <v>364</v>
      </c>
      <c r="B14" t="s">
        <v>368</v>
      </c>
      <c r="C14" t="s">
        <v>1</v>
      </c>
      <c r="D14" t="str">
        <f t="shared" si="39"/>
        <v>PartId</v>
      </c>
      <c r="E14" t="str">
        <f t="shared" si="40"/>
        <v>BIGINT</v>
      </c>
      <c r="F14" s="6"/>
      <c r="G14" t="str">
        <f t="shared" si="41"/>
        <v/>
      </c>
      <c r="H14" t="str">
        <f>+VLOOKUP(E14,'Data Type Mapping'!A:B,2,)</f>
        <v>long?</v>
      </c>
      <c r="I14" t="str">
        <f t="shared" si="42"/>
        <v/>
      </c>
      <c r="J14" t="str">
        <f t="shared" si="43"/>
        <v xml:space="preserve">		public virtual long? PartId { get; set; }
</v>
      </c>
      <c r="K14" s="6"/>
      <c r="L14" t="str">
        <f t="shared" si="44"/>
        <v/>
      </c>
      <c r="M14" t="str">
        <f t="shared" si="45"/>
        <v xml:space="preserve">		public virtual long? PartId { get; set; }
</v>
      </c>
      <c r="N14" t="str">
        <f t="shared" si="46"/>
        <v xml:space="preserve">		public virtual long? PartId { get; set; }
</v>
      </c>
      <c r="O14" t="str">
        <f t="shared" si="47"/>
        <v/>
      </c>
      <c r="P14" t="str">
        <f t="shared" si="48"/>
        <v xml:space="preserve">							PartId = o.PartId,</v>
      </c>
      <c r="T14" s="63" t="str">
        <f t="shared" si="49"/>
        <v xml:space="preserve">								("PartId"),</v>
      </c>
      <c r="V14" s="64" t="str">
        <f t="shared" si="50"/>
        <v xml:space="preserve">								_ =&gt; _.PartId,</v>
      </c>
      <c r="W14" s="63" t="str">
        <f t="shared" si="51"/>
        <v/>
      </c>
    </row>
    <row r="15" spans="1:23" customFormat="1" ht="18.75" customHeight="1" x14ac:dyDescent="0.25">
      <c r="A15" t="s">
        <v>365</v>
      </c>
      <c r="B15" t="s">
        <v>368</v>
      </c>
      <c r="C15" t="s">
        <v>1</v>
      </c>
      <c r="D15" t="str">
        <f t="shared" si="39"/>
        <v>MaterialId</v>
      </c>
      <c r="E15" t="str">
        <f t="shared" si="40"/>
        <v>BIGINT</v>
      </c>
      <c r="F15" s="6"/>
      <c r="G15" t="str">
        <f t="shared" si="41"/>
        <v/>
      </c>
      <c r="H15" t="str">
        <f>+VLOOKUP(E15,'Data Type Mapping'!A:B,2,)</f>
        <v>long?</v>
      </c>
      <c r="I15" t="str">
        <f t="shared" si="42"/>
        <v/>
      </c>
      <c r="J15" t="str">
        <f t="shared" si="43"/>
        <v xml:space="preserve">		public virtual long? MaterialId { get; set; }
</v>
      </c>
      <c r="K15" s="6"/>
      <c r="L15" t="str">
        <f t="shared" si="44"/>
        <v/>
      </c>
      <c r="M15" t="str">
        <f t="shared" si="45"/>
        <v xml:space="preserve">		public virtual long? MaterialId { get; set; }
</v>
      </c>
      <c r="N15" t="str">
        <f t="shared" si="46"/>
        <v xml:space="preserve">		public virtual long? MaterialId { get; set; }
</v>
      </c>
      <c r="O15" t="str">
        <f t="shared" si="47"/>
        <v/>
      </c>
      <c r="P15" t="str">
        <f t="shared" si="48"/>
        <v xml:space="preserve">							MaterialId = o.MaterialId,</v>
      </c>
      <c r="T15" s="63" t="str">
        <f t="shared" si="49"/>
        <v xml:space="preserve">								("MaterialId"),</v>
      </c>
      <c r="V15" s="64" t="str">
        <f t="shared" si="50"/>
        <v xml:space="preserve">								_ =&gt; _.MaterialId,</v>
      </c>
      <c r="W15" s="63" t="str">
        <f t="shared" si="51"/>
        <v/>
      </c>
    </row>
    <row r="16" spans="1:23" customFormat="1" ht="18.75" customHeight="1" x14ac:dyDescent="0.25">
      <c r="A16" t="s">
        <v>366</v>
      </c>
      <c r="B16" t="s">
        <v>356</v>
      </c>
      <c r="C16" t="s">
        <v>1</v>
      </c>
      <c r="D16" t="str">
        <f t="shared" si="39"/>
        <v>Qty</v>
      </c>
      <c r="E16" t="str">
        <f t="shared" si="40"/>
        <v>INT</v>
      </c>
      <c r="F16" s="6"/>
      <c r="G16" t="str">
        <f t="shared" si="41"/>
        <v/>
      </c>
      <c r="H16" t="str">
        <f>+VLOOKUP(E16,'Data Type Mapping'!A:B,2,)</f>
        <v>int?</v>
      </c>
      <c r="I16" t="str">
        <f t="shared" si="42"/>
        <v/>
      </c>
      <c r="J16" t="str">
        <f t="shared" si="43"/>
        <v xml:space="preserve">		public virtual int? Qty { get; set; }
</v>
      </c>
      <c r="K16" s="6"/>
      <c r="L16" t="str">
        <f t="shared" si="44"/>
        <v/>
      </c>
      <c r="M16" t="str">
        <f t="shared" si="45"/>
        <v xml:space="preserve">		public virtual int? Qty { get; set; }
</v>
      </c>
      <c r="N16" t="str">
        <f t="shared" si="46"/>
        <v xml:space="preserve">		public virtual int? Qty { get; set; }
</v>
      </c>
      <c r="O16" t="str">
        <f t="shared" si="47"/>
        <v/>
      </c>
      <c r="P16" t="str">
        <f t="shared" si="48"/>
        <v xml:space="preserve">							Qty = o.Qty,</v>
      </c>
      <c r="T16" s="63" t="str">
        <f t="shared" si="49"/>
        <v xml:space="preserve">								("Qty"),</v>
      </c>
      <c r="V16" s="64" t="str">
        <f t="shared" si="50"/>
        <v xml:space="preserve">								_ =&gt; _.Qty,</v>
      </c>
      <c r="W16" s="63" t="str">
        <f t="shared" si="51"/>
        <v/>
      </c>
    </row>
    <row r="17" spans="1:23" customFormat="1" ht="18.75" customHeight="1" x14ac:dyDescent="0.25">
      <c r="A17" t="s">
        <v>367</v>
      </c>
      <c r="B17" t="s">
        <v>369</v>
      </c>
      <c r="C17" t="s">
        <v>1</v>
      </c>
      <c r="D17" t="str">
        <f t="shared" ref="D17" si="52">SUBSTITUTE(PROPER(A17),"_","")</f>
        <v>WorkingDate</v>
      </c>
      <c r="E17" t="str">
        <f t="shared" ref="E17" si="53">IFERROR(LEFT(B17, FIND("(",B17)-1),B17)</f>
        <v>DATETIME</v>
      </c>
      <c r="F17" s="6"/>
      <c r="G17" t="str">
        <f t="shared" ref="G17" si="54">IFERROR(MID(B17,FIND("(",B17) +1, FIND(")",B17) - FIND("(",B17) - 1),"")</f>
        <v/>
      </c>
      <c r="H17" t="str">
        <f>+VLOOKUP(E17,'Data Type Mapping'!A:B,2,)</f>
        <v>DateTime?</v>
      </c>
      <c r="I17" t="str">
        <f t="shared" ref="I17" si="55">IF(H17="string",REPT(CHAR(9),2)&amp;"public const int Max"&amp;D17&amp;"Length = "&amp;G17&amp;";"&amp;$E$3,"" )</f>
        <v/>
      </c>
      <c r="J17" t="str">
        <f t="shared" ref="J17" si="5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DateTime? WorkingDate { get; set; }
</v>
      </c>
      <c r="K17" s="6"/>
      <c r="L17" t="str">
        <f t="shared" ref="L17" si="57">IF(K17="","",REPT(CHAR(9),1)&amp;"[Index(nameof("&amp;IF(D17="","",""&amp;D17)&amp;")"&amp;", Name="&amp;"""IX_"&amp;$B$7&amp;"_"&amp;D17&amp;""")]")</f>
        <v/>
      </c>
      <c r="M17" t="str">
        <f t="shared" ref="M17" si="58">REPT(CHAR(9),2)&amp;"public virtual "&amp;IF(OR(H17="DateTime",H17="TimeSpan"),H17&amp;"?",H17)&amp;IF(C17="?","? "," ")&amp;D17&amp;" { get; set; }" &amp; "
"</f>
        <v xml:space="preserve">		public virtual DateTime? WorkingDate { get; set; }
</v>
      </c>
      <c r="N17" t="str">
        <f t="shared" ref="N17" si="59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WorkingDate { get; set; }
</v>
      </c>
      <c r="O17" t="str">
        <f t="shared" ref="O17" si="60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61">REPT(CHAR(9),7)&amp;D17&amp;" = o." &amp;D17 &amp;","</f>
        <v xml:space="preserve">							WorkingDate = o.WorkingDate,</v>
      </c>
      <c r="T17" s="63" t="str">
        <f t="shared" ref="T17" si="62">REPT(CHAR(9),8)&amp;"("""&amp;D17&amp;"""),"</f>
        <v xml:space="preserve">								("WorkingDate"),</v>
      </c>
      <c r="V17" s="64" t="str">
        <f t="shared" ref="V17" si="63">REPT(CHAR(9),8)&amp;"_ =&gt; _."&amp;D17&amp;","</f>
        <v xml:space="preserve">								_ =&gt; _.WorkingDate,</v>
      </c>
      <c r="W17" s="63" t="str">
        <f t="shared" ref="W17" si="64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9" spans="1:23" ht="45.75" customHeight="1" x14ac:dyDescent="0.25">
      <c r="H19" s="11"/>
      <c r="I19" s="31" t="str">
        <f ca="1">TEXTJOIN2("
", TRUE,INDIRECT( $H$1):INDIRECT( $H$3))</f>
        <v xml:space="preserve">		public const int MaxMaterialCodeLength = 40;
		public const int MaxMaterialSpecLength = 200;
		public const int MaxPartNoLength = 20;
		public const int MaxPartNameLength = 200;
</v>
      </c>
      <c r="J19" s="30" t="str">
        <f ca="1">TEXTJOIN2("
", TRUE,INDIRECT( $F$1):INDIRECT( $F$3))</f>
        <v xml:space="preserve">		[StringLength(MaxMaterialCodeLength)]
		public virtual string MaterialCode { get; set; }
		[StringLength(MaxMaterialSpecLength)]
		public virtual string MaterialSpec { get; set; }
		public virtual long? DrmMaterialId { get; set; }
		[StringLength(MaxPartNoLength)]
		public virtual string PartNo { get; set; }
		[StringLength(MaxPartNameLength)]
		public virtual string PartName { get; set; }
		public virtual long? PartId { get; set; }
		public virtual long? MaterialId { get; set; }
		public virtual int? Qty { get; set; }
		public virtual DateTime? WorkingDate { get; set; }
</v>
      </c>
      <c r="K19" s="32" t="str">
        <f ca="1">TEXTJOIN2("
", TRUE,INDIRECT( $J$1):INDIRECT( $J$3))</f>
        <v/>
      </c>
      <c r="L19" s="12" t="s">
        <v>57</v>
      </c>
      <c r="M19" s="33" t="str">
        <f ca="1">TEXTJOIN2("
",TRUE,INDIRECT( $L$1):INDIRECT($L$3))</f>
        <v xml:space="preserve">		public virtual string MaterialCode { get; set; }
		public virtual string MaterialSpec { get; set; }
		public virtual long? DrmMaterialId { get; set; }
		public virtual string PartNo { get; set; }
		public virtual string PartName { get; set; }
		public virtual long? PartId { get; set; }
		public virtual long? MaterialId { get; set; }
		public virtual int? Qty { get; set; }
		public virtual DateTime? WorkingDate { get; set; }
</v>
      </c>
      <c r="N19" s="30" t="str">
        <f ca="1">TEXTJOIN2("
",TRUE,INDIRECT( $M$1):INDIRECT($M$3))</f>
        <v xml:space="preserve">		[StringLength(InvDrmStockPartConsts.MaxMaterialCodeLength)]
		public virtual string MaterialCode { get; set; }
		[StringLength(InvDrmStockPartConsts.MaxMaterialSpecLength)]
		public virtual string MaterialSpec { get; set; }
		public virtual long? DrmMaterialId { get; set; }
		[StringLength(InvDrmStockPartConsts.MaxPartNoLength)]
		public virtual string PartNo { get; set; }
		[StringLength(InvDrmStockPartConsts.MaxPartNameLength)]
		public virtual string PartName { get; set; }
		public virtual long? PartId { get; set; }
		public virtual long? MaterialId { get; set; }
		public virtual int? Qty { get; set; }
		public virtual DateTime? WorkingDate { get; set; }
</v>
      </c>
      <c r="O19" s="30" t="str">
        <f ca="1">TEXTJOIN2("
",TRUE,INDIRECT( $N$1):INDIRECT($N$3))</f>
        <v xml:space="preserve">		public virtual string MaterialCode { get; set; }
		public virtual string MaterialSpec { get; set; }
		public virtual string PartNo { get; set; }
		public virtual string PartName { get; set; }
</v>
      </c>
      <c r="P19" s="8" t="str">
        <f ca="1">TEXTJOIN2("
",TRUE,INDIRECT( $O$1):INDIRECT($O$3))</f>
        <v xml:space="preserve">							MaterialCode = o.MaterialCode,
							MaterialSpec = o.MaterialSpec,
							DrmMaterialId = o.DrmMaterialId,
							PartNo = o.PartNo,
							PartName = o.PartName,
							PartId = o.PartId,
							MaterialId = o.MaterialId,
							Qty = o.Qty,
							WorkingDate = o.WorkingDate,</v>
      </c>
      <c r="T19" s="8" t="str">
        <f ca="1">TEXTJOIN2("
",TRUE,INDIRECT( $T$2):INDIRECT($T$3))</f>
        <v xml:space="preserve">								("MaterialCode"),
								("MaterialSpec"),
								("DrmMaterialId"),
								("PartNo"),
								("PartName"),
								("PartId"),
								("MaterialId"),
								("Qty"),
								("WorkingDate"),</v>
      </c>
      <c r="V19" s="8" t="str">
        <f ca="1">TEXTJOIN2("
",TRUE,INDIRECT( $V$2):INDIRECT($V$3))</f>
        <v xml:space="preserve">								_ =&gt; _.MaterialCode,
								_ =&gt; _.MaterialSpec,
								_ =&gt; _.DrmMaterialId,
								_ =&gt; _.PartNo,
								_ =&gt; _.PartName,
								_ =&gt; _.PartId,
								_ =&gt; _.MaterialId,
								_ =&gt; _.Qty,
								_ =&gt; _.WorkingDate,</v>
      </c>
      <c r="W19" s="8" t="str">
        <f ca="1">TEXTJOIN2("
",TRUE,INDIRECT( $W$2):INDIRECT($W$3))</f>
        <v xml:space="preserve">				.WhereIf(!string.IsNullOrWhiteSpace(input.MaterialCode), e =&gt; e.MaterialCode.Contains(input.MaterialCode))
				.WhereIf(!string.IsNullOrWhiteSpace(input.MaterialSpec), e =&gt; e.MaterialSpec.Contains(input.MaterialSpec))
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C23" sqref="C23:C24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x14ac:dyDescent="0.25">
      <c r="A1" s="38" t="s">
        <v>208</v>
      </c>
      <c r="B1" s="65" t="s">
        <v>370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DRM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drm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InvDrmStockPart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DrmStockPart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drmstockpart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InvDrmStockPartDto, InvDrmStockPartServiceProxy } from '@shared/service-proxies/service-proxies';
import { finalize } from 'rxjs/internal/operators/finalize';
import { CreateOrEditDrmStockPartModalComponent } from './create-or-edit-drmstockpart-modal.component';
import { DatePipe } from '@angular/common';
import { FileDownloadService } from '@shared/utils/file-download.service';
import ceil from 'lodash-es/ceil';
import { Paginator } from 'primeng/paginator';
@Component({
    templateUrl: './drmstockpart.component.html',
    styleUrls: ['./drmstockpart.component.less'],
})
export class DrmStockPartComponent extends AppComponentBase implements OnInit {
    @ViewChild('createOrEditModalDrmStockPart', { static: true }) createOrEditModalDrmStockPart:| CreateOrEditDrmStockPartModalComponent|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InvDrmStockPartDto = new InvDrmStockPartDto();
    saveSelectedRow: InvDrmStockPartDto = new InvDrmStockPartDto();
    datas: InvDrmStockPartDto = new InvDrmStockPartDto();
    isLoading: boolean = false;
    dataParams: GridParams | undefined;
    rowData: any[] = [];
    gridApi!: GridApi;
    rowSelection = 'multiple';
    filter: string = '';
	pipe = new DatePipe('en-US');
	frameworkComponents: FrameworkComponent;
    	materialCode : string = '' ; 
	materialSpec : string = '' ; 
	drmMaterialId
	partNo : string = '' ; 
	partName : string = '' ; 
	partId
	materialId
	qty
	workingDate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InvDrmStockPartServiceProxy,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this.materialCode,
			this.materialSpec,
			this.drmMaterialId,
			this.partNo,
			this.partName,
			this.partId,
			this.materialId,
			this.qty,
			this.workingDate,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this.materialCode = '',
		this.materialSpec = '',
		this.drmMaterialId = '',
		this.partNo = '',
		this.partName = '',
		this.partId = '',
		this.materialId = '',
		this.qty = '',
		this.workingDate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this.materialCode,
			this.materialSpec,
			this.drmMaterialId,
			this.partNo,
			this.partName,
			this.partId,
			this.materialId,
			this.qty,
			this.workingDate,
			'',
            this.paginationParams.skipCount,
            this.paginationParams.pageSize
        );
    }
    onChangeRowSelection(params: { api: { getSelectedRows: () =&gt; InvDrmStockPartDto[] } }) {
        this.saveSelectedRow = params.api.getSelectedRows()[0] ?? new InvDrmStockPartDto();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InvDrmStockPartDto):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this._service.getDrmStockPartToExcel(
			this.materialCode,
			this.materialSpec,
			this.drmMaterialId,
			this.partNo,
			this.partName,
			this.partId,
			this.materialId,
			this.qty,
			this.workingDate,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Part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(click)="createOrEditModalDrmStockPart.show()"&gt;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(click)="createOrEditModalDrmStockPart.show(selectedRow)"&gt;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&lt;create-or-edit-drmstockpart-modal
    #createOrEditModalDrmStockPart
    (modalSave)="callBackDataGrid(dataParams)"
    (modalClose)="onChangeRowSelection(dataParams)"
&gt;
&lt;/create-or-edit-drmstockpart-modal&gt;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#createOrEditModalDrmStockPart="bs-modal"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DrmStockPart')}}&lt;/h3&gt;
                    &lt;h3 *ngIf="!rowdata.id"&gt;{{('Create New DrmStockPart')}}&lt;/h3&gt;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CreateOrEditInvDrmStockPartDto, InvDrmStockPartServiceProxy } from '@shared/service-proxies/service-proxies';
import { BsDatepickerDirective } from 'ngx-bootstrap/datepicker';
@Component({
    selector: 'create-or-edit-drmstockpart-modal',
    templateUrl: './create-or-edit-drmstockpart-modal.component.html',
    styleUrls: ['./create-or-edit-drmstockpart-modal.component.less']
    })
export class CreateOrEditDrmStockPartModalComponent extends AppComponentBase {
    @ViewChild('createOrEditModalDrmStockPart',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CreateOrEditInvDrmStockPartDto = new CreateOrEditInvDrmStockPartDto();
    active: boolean = false;
    saving: boolean = false;
    _: boolean;
    constructor(
        injector: Injector,
        private _mstwptDrmStockPartService: InvDrmStockPartServiceProxy,
    ) 
    {
        super(injector);
    }
    show(rowdata?: CreateOrEditInvDrmStockPartDto): void {
        if (!rowdata) this.rowdata = new CreateOrEditInvDrmStockPartDto();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this._mstwptDrmStockPartService.createOrEdit(this.rowdata)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DrmStockPartRoutingModule } from './drmstockpart-routing.module';
import { DrmStockPartComponent } from './drmstockpart.component';
import { CreateOrEditDrmStockPartModalComponent } from './create-or-edit-drmstockpart-modal.component';
@NgModule({
    declarations: [
       DrmStockPartComponent, 
        CreateOrEditDrmStockPartModalComponent
    ],
    imports: [
        AppSharedModule, DrmStockPartRoutingModule]
})
export class DrmStockPartModule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DrmStockPartComponent } from './drmstockpart.component';
const routes: Routes = [{
    path: '',
    component: DrmStockPartComponent,
    pathMatch: 'full'
}];
@NgModule({
    imports: [RouterModule.forChild(routes)],
    exports: [RouterModule],
})
export class DrmStockPartRoutingModule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AppMenuItem("DrmStockPart", "Pages.Inventory.DRM.DrmStockPart", "flaticon-book",   "/app/main/inventory/drm/drmstockpart"),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'inventory/drm/drmstockpart',
    loadChildren: () =&gt; import('./inventory/drm/drmstockpart/drmstockpart.module').then(m =&gt; m.DrmStockPartModule),
    data: { permission: 'Pages.Inventory.DRM.DrmStockPart' }
},</v>
      </c>
      <c r="R10" s="47" t="str">
        <f>SUBSTITUTE(R9,"MstWptCalendar",$B$6)</f>
        <v>ApiServiceProxies.InvDrmStockPartServiceProxy,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this.l('Material Code'),headerTooltip: this.l('Material Code'),field: 'materialCode',flex: 1},
			{headerName: this.l('Material Spec'),headerTooltip: this.l('Material Spec'),field: 'materialSpec',flex: 1},
			{headerName: this.l('Drm Material Id'),headerTooltip: this.l('Drm Material Id'),field: 'drmMaterialId',flex: 1},
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this.l('Material Id'),headerTooltip: this.l('Material Id'),field: 'materialId',flex: 1},
			{headerName: this.l('Qty'),headerTooltip: this.l('Qty'),field: 'qty',flex: 1},
			{headerName: this.l('Working Date'),headerTooltip: this.l('Working Date'),field: 'workingDate',flex: 1},</v>
      </c>
      <c r="I13" s="35" t="str">
        <f ca="1">TEXTJOIN2("
",TRUE,INDIRECT(I11):INDIRECT(I12))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
								&lt;div class='input-search'&gt;
									&lt;input [(ngModel)]='materialSpec' name='materialSpec'
									class='form-control' [placeholder]="l('Material Spec')"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
					&lt;div class='col-md-12 form-group row'&gt;
						&lt;label class='col-md-2 form-control title'&gt;Material Spec&lt;/label&gt;
						&lt;input type='text' class='col-md-10 form-control input-text' name='MaterialSpec' [(ngModel)]='rowdata.materialSpec'&gt;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materialCode : string = '' ; 
	materialSpec : string = '' ; 
	drmMaterialId
	partNo : string = '' ; 
	partName : string = '' ; 
	partId
	materialId
	qty
	workingDate</v>
      </c>
      <c r="T13" s="62" t="str">
        <f ca="1">TEXTJOIN2("
",TRUE,INDIRECT(T11):INDIRECT(T12))</f>
        <v xml:space="preserve">			this.materialCode,
			this.materialSpec,
			this.drmMaterialId,
			this.partNo,
			this.partName,
			this.partId,
			this.materialId,
			this.qty,
			this.workingDate,</v>
      </c>
      <c r="U13" s="62" t="str">
        <f ca="1">TEXTJOIN2("
",TRUE,INDIRECT(U11):INDIRECT(U12))</f>
        <v xml:space="preserve">		this.materialCode = '',
		this.materialSpec = '',
		this.drmMaterialId = '',
		this.partNo = '',
		this.partName = '',
		this.partId = '',
		this.materialId = '',
		this.qty = '',
		this.workingDate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drmstockpart.component.ts</v>
      </c>
      <c r="I14" s="37" t="str">
        <f>B8&amp;".component.html"</f>
        <v>drmstockpart.component.html</v>
      </c>
      <c r="J14" s="36" t="str">
        <f>B8&amp;".component.less"</f>
        <v>drmstockpart.component.less</v>
      </c>
      <c r="K14" s="37" t="str">
        <f>"create-or-edit-"&amp;B8&amp;"-modal.component.html"</f>
        <v>create-or-edit-drmstockpart-modal.component.html</v>
      </c>
      <c r="L14" s="37" t="str">
        <f>"create-or-edit-"&amp;B8&amp;"-modal.component.ts"</f>
        <v>create-or-edit-drmstockpart-modal.component.ts</v>
      </c>
      <c r="M14" s="37" t="str">
        <f>"create-or-edit-"&amp;B8&amp;"-modal.component.less"</f>
        <v>create-or-edit-drmstockpart-modal.component.less</v>
      </c>
      <c r="N14" s="37" t="str">
        <f>B8&amp;".module.ts"</f>
        <v>drmstockpart.module.ts</v>
      </c>
      <c r="O14" s="37" t="str">
        <f>B8&amp;"-routing.module.ts"</f>
        <v>drmstockpart-routing.module.ts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" si="0">SUBSTITUTE(PROPER(A15),"_","")</f>
        <v>MaterialCode</v>
      </c>
      <c r="C15" s="28" t="str">
        <f t="shared" ref="C15" si="1">SUBSTITUTE(PROPER(A15),"_"," ")</f>
        <v>Material Code</v>
      </c>
      <c r="D15" s="28" t="str">
        <f t="shared" ref="D15" si="2">LOWER(LEFT(B15,1))&amp;RIGHT(B15,LEN(B15) - 1)</f>
        <v>materialCode</v>
      </c>
      <c r="E15" s="28" t="str">
        <f>A.Backend!H9</f>
        <v>string</v>
      </c>
      <c r="F15" s="28" t="str">
        <f>A.Backend!G9</f>
        <v>40</v>
      </c>
      <c r="G15" s="28" t="str">
        <f t="shared" ref="G15:G22" si="3">IF(E15="string"," : string = '' ; ",IF(OR(E15="DateTime",E15="TimeSpan")," : any ;",IF(E15="int"," : number = 0 ;","")))</f>
        <v xml:space="preserve"> : string = '' ; </v>
      </c>
      <c r="H15" s="35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this.l('Material Code'),headerTooltip: this.l('Material Code'),field: 'materialCode',flex: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[(ngModel)]='materialCode' name='materialCode'
									class='form-control' [placeholder]="l('Material Code')"
									type='text' (keyup.enter)='searchDatas()'&gt;
								&lt;/div&gt;</v>
      </c>
      <c r="J15" s="28"/>
      <c r="K15" s="35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title'&gt;Material Code&lt;/label&gt;
						&lt;input type='text' class='col-md-10 form-control input-text' name='MaterialCode' [(ngModel)]='rowdata.materialCode'&gt;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materialCode : string = '' ; </v>
      </c>
      <c r="T15" s="28" t="str">
        <f>REPT(CHAR(9),3)&amp;"this."&amp;D15&amp;","</f>
        <v xml:space="preserve">			this.materialCode,</v>
      </c>
      <c r="U15" s="28" t="str">
        <f>IF(E15="int",REPT(CHAR(9),2)&amp;"this."&amp;D15&amp;" = 0,",REPT(CHAR(9),2)&amp;"this."&amp;D15&amp;" = '',")</f>
        <v xml:space="preserve">		this.materialCode = '',</v>
      </c>
      <c r="V15" s="28" t="str">
        <f t="shared" ref="V15:V23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MaterialSpec</v>
      </c>
      <c r="C16" s="28" t="str">
        <f t="shared" ref="C16" si="10">SUBSTITUTE(PROPER(A16),"_"," ")</f>
        <v>Material Spec</v>
      </c>
      <c r="D16" s="28" t="str">
        <f t="shared" ref="D16" si="11">LOWER(LEFT(B16,1))&amp;RIGHT(B16,LEN(B16) - 1)</f>
        <v>materialSpec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this.l('Material Spec'),headerTooltip: this.l('Material Spec'),field: 'materialSpec',flex: 1},</v>
      </c>
      <c r="I16" s="35" t="str">
        <f t="shared" si="5"/>
        <v xml:space="preserve">								&lt;div class='input-search'&gt;
									&lt;input [(ngModel)]='materialSpec' name='materialSpec'
									class='form-control' [placeholder]="l('Material Spec')"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title'&gt;Material Spec&lt;/label&gt;
						&lt;input type='text' class='col-md-10 form-control input-text' name='MaterialSpec' [(ngModel)]='rowdata.materialSpec'&gt;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3">REPT(CHAR(9),1)&amp;D16&amp;G16</f>
        <v xml:space="preserve">	materialSpec : string = '' ; </v>
      </c>
      <c r="T16" s="28" t="str">
        <f t="shared" ref="T16:T23" si="14">REPT(CHAR(9),3)&amp;"this."&amp;D16&amp;","</f>
        <v xml:space="preserve">			this.materialSpec,</v>
      </c>
      <c r="U16" s="28" t="str">
        <f t="shared" ref="U16:U23" si="15">IF(E16="int",REPT(CHAR(9),2)&amp;"this."&amp;D16&amp;" = 0,",REPT(CHAR(9),2)&amp;"this."&amp;D16&amp;" = '',")</f>
        <v xml:space="preserve">		this.materialSpec = '',</v>
      </c>
      <c r="V16" s="28" t="str">
        <f t="shared" si="8"/>
        <v/>
      </c>
    </row>
    <row r="17" spans="1:22" ht="18" customHeight="1" x14ac:dyDescent="0.25">
      <c r="A17" t="s">
        <v>361</v>
      </c>
      <c r="B17" s="28" t="str">
        <f>SUBSTITUTE(PROPER(A17),"_","")</f>
        <v>DrmMaterialId</v>
      </c>
      <c r="C17" s="28" t="str">
        <f>SUBSTITUTE(PROPER(A17),"_"," ")</f>
        <v>Drm Material Id</v>
      </c>
      <c r="D17" s="28" t="str">
        <f>LOWER(LEFT(B17,1))&amp;RIGHT(B17,LEN(B17) - 1)</f>
        <v>drmMaterialId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this.l('Drm Material Id'),headerTooltip: this.l('Drm Material Id'),field: 'drmMaterialId',flex: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drmMaterialId</v>
      </c>
      <c r="T17" s="28" t="str">
        <f t="shared" si="14"/>
        <v xml:space="preserve">			this.drmMaterialId,</v>
      </c>
      <c r="U17" s="28" t="str">
        <f t="shared" si="15"/>
        <v xml:space="preserve">		this.drmMaterialId = '',</v>
      </c>
      <c r="V17" s="28" t="str">
        <f t="shared" si="8"/>
        <v/>
      </c>
    </row>
    <row r="18" spans="1:22" ht="15" customHeight="1" x14ac:dyDescent="0.25">
      <c r="A18" t="s">
        <v>362</v>
      </c>
      <c r="B18" s="28" t="str">
        <f t="shared" ref="B18:B21" si="16">SUBSTITUTE(PROPER(A18),"_","")</f>
        <v>PartNo</v>
      </c>
      <c r="C18" s="28" t="str">
        <f t="shared" ref="C18:C21" si="17">SUBSTITUTE(PROPER(A18),"_"," ")</f>
        <v>Part No</v>
      </c>
      <c r="D18" s="28" t="str">
        <f t="shared" ref="D18:D21" si="18">LOWER(LEFT(B18,1))&amp;RIGHT(B18,LEN(B18) - 1)</f>
        <v>partNo</v>
      </c>
      <c r="E18" s="28" t="str">
        <f>A.Backend!H12</f>
        <v>string</v>
      </c>
      <c r="F18" s="28" t="str">
        <f>A.Backend!G12</f>
        <v>20</v>
      </c>
      <c r="G18" s="28" t="str">
        <f t="shared" si="3"/>
        <v xml:space="preserve"> : string = '' ; </v>
      </c>
      <c r="H18" s="35" t="str">
        <f t="shared" si="4"/>
        <v xml:space="preserve">			{headerName: this.l('Part No'),headerTooltip: this.l('Part No'),field: 'partNo',flex: 1},</v>
      </c>
      <c r="I18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partNo : string = '' ; </v>
      </c>
      <c r="T18" s="28" t="str">
        <f t="shared" si="14"/>
        <v xml:space="preserve">			this.partNo,</v>
      </c>
      <c r="U18" s="28" t="str">
        <f t="shared" si="15"/>
        <v xml:space="preserve">		this.partNo = '',</v>
      </c>
      <c r="V18" s="28" t="str">
        <f t="shared" si="8"/>
        <v/>
      </c>
    </row>
    <row r="19" spans="1:22" ht="18" customHeight="1" x14ac:dyDescent="0.25">
      <c r="A19" t="s">
        <v>363</v>
      </c>
      <c r="B19" s="28" t="str">
        <f t="shared" si="16"/>
        <v>PartName</v>
      </c>
      <c r="C19" s="28" t="str">
        <f t="shared" si="17"/>
        <v>Part Name</v>
      </c>
      <c r="D19" s="28" t="str">
        <f t="shared" si="18"/>
        <v>partName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this.l('Part Name'),headerTooltip: this.l('Part Name'),field: 'partName',flex: 1},</v>
      </c>
      <c r="I19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partName : string = '' ; </v>
      </c>
      <c r="T19" s="28" t="str">
        <f t="shared" si="14"/>
        <v xml:space="preserve">			this.partName,</v>
      </c>
      <c r="U19" s="28" t="str">
        <f t="shared" si="15"/>
        <v xml:space="preserve">		this.partName = '',</v>
      </c>
      <c r="V19" s="28" t="str">
        <f t="shared" si="8"/>
        <v/>
      </c>
    </row>
    <row r="20" spans="1:22" ht="15" customHeight="1" x14ac:dyDescent="0.25">
      <c r="A20" t="s">
        <v>364</v>
      </c>
      <c r="B20" s="28" t="str">
        <f t="shared" si="16"/>
        <v>PartId</v>
      </c>
      <c r="C20" s="28" t="str">
        <f t="shared" si="17"/>
        <v>Part Id</v>
      </c>
      <c r="D20" s="28" t="str">
        <f t="shared" si="18"/>
        <v>partId</v>
      </c>
      <c r="E20" s="28" t="str">
        <f>A.Backend!H14</f>
        <v>long?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this.l('Part Id'),headerTooltip: this.l('Part Id'),field: 'partId',flex: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partId</v>
      </c>
      <c r="T20" s="28" t="str">
        <f t="shared" si="14"/>
        <v xml:space="preserve">			this.partId,</v>
      </c>
      <c r="U20" s="28" t="str">
        <f t="shared" si="15"/>
        <v xml:space="preserve">		this.partId = '',</v>
      </c>
      <c r="V20" s="28" t="str">
        <f t="shared" si="8"/>
        <v/>
      </c>
    </row>
    <row r="21" spans="1:22" ht="18" customHeight="1" x14ac:dyDescent="0.25">
      <c r="A21" t="s">
        <v>365</v>
      </c>
      <c r="B21" s="28" t="str">
        <f t="shared" si="16"/>
        <v>MaterialId</v>
      </c>
      <c r="C21" s="28" t="str">
        <f t="shared" si="17"/>
        <v>Material Id</v>
      </c>
      <c r="D21" s="28" t="str">
        <f t="shared" si="18"/>
        <v>materialId</v>
      </c>
      <c r="E21" s="28" t="str">
        <f>A.Backend!H15</f>
        <v>long?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this.l('Material Id'),headerTooltip: this.l('Material Id'),field: 'materialId',flex: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materialId</v>
      </c>
      <c r="T21" s="28" t="str">
        <f t="shared" si="14"/>
        <v xml:space="preserve">			this.materialId,</v>
      </c>
      <c r="U21" s="28" t="str">
        <f t="shared" si="15"/>
        <v xml:space="preserve">		this.materialId = '',</v>
      </c>
      <c r="V21" s="28" t="str">
        <f t="shared" si="8"/>
        <v/>
      </c>
    </row>
    <row r="22" spans="1:22" ht="18" customHeight="1" x14ac:dyDescent="0.25">
      <c r="A22" t="s">
        <v>366</v>
      </c>
      <c r="B22" s="28" t="str">
        <f>SUBSTITUTE(PROPER(A22),"_","")</f>
        <v>Qty</v>
      </c>
      <c r="C22" s="28" t="str">
        <f>SUBSTITUTE(PROPER(A22),"_"," ")</f>
        <v>Qty</v>
      </c>
      <c r="D22" s="28" t="str">
        <f>LOWER(LEFT(B22,1))&amp;RIGHT(B22,LEN(B22) - 1)</f>
        <v>qty</v>
      </c>
      <c r="E22" s="28" t="str">
        <f>A.Backend!H16</f>
        <v>int?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this.l('Qty'),headerTooltip: this.l('Qty'),field: 'qty',flex: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qty</v>
      </c>
      <c r="T22" s="28" t="str">
        <f t="shared" si="14"/>
        <v xml:space="preserve">			this.qty,</v>
      </c>
      <c r="U22" s="28" t="str">
        <f t="shared" si="15"/>
        <v xml:space="preserve">		this.qty = '',</v>
      </c>
      <c r="V22" s="28" t="str">
        <f t="shared" si="8"/>
        <v/>
      </c>
    </row>
    <row r="23" spans="1:22" ht="15" customHeight="1" x14ac:dyDescent="0.25">
      <c r="A23" t="s">
        <v>367</v>
      </c>
      <c r="B23" s="28" t="str">
        <f t="shared" ref="B23" si="20">SUBSTITUTE(PROPER(A23),"_","")</f>
        <v>WorkingDate</v>
      </c>
      <c r="C23" s="28" t="str">
        <f t="shared" ref="C23" si="21">SUBSTITUTE(PROPER(A23),"_"," ")</f>
        <v>Working Date</v>
      </c>
      <c r="D23" s="28" t="str">
        <f t="shared" ref="D23" si="22">LOWER(LEFT(B23,1))&amp;RIGHT(B23,LEN(B23) - 1)</f>
        <v>workingDate</v>
      </c>
      <c r="E23" s="28" t="str">
        <f>A.Backend!H17</f>
        <v>DateTime?</v>
      </c>
      <c r="F23" s="28" t="str">
        <f>A.Backend!G17</f>
        <v/>
      </c>
      <c r="G23" s="28" t="str">
        <f t="shared" ref="G23" si="23">IF(E23="string"," : string = '' ; ",IF(OR(E23="DateTime",E23="TimeSpan")," : any ;",IF(E23="int"," : number = 0 ;","")))</f>
        <v/>
      </c>
      <c r="H23" s="35" t="str">
        <f t="shared" si="4"/>
        <v xml:space="preserve">			{headerName: this.l('Working Date'),headerTooltip: this.l('Working Date'),field: 'workingDate',flex: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" si="24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workingDate</v>
      </c>
      <c r="T23" s="28" t="str">
        <f t="shared" si="14"/>
        <v xml:space="preserve">			this.workingDate,</v>
      </c>
      <c r="U23" s="28" t="str">
        <f t="shared" si="15"/>
        <v xml:space="preserve">		this.workingDate = '',</v>
      </c>
      <c r="V23" s="28" t="str">
        <f t="shared" si="8"/>
        <v/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2023-07-16T11:08:05Z</dcterms:modified>
</cp:coreProperties>
</file>
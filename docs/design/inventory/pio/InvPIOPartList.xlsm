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pio\"/>
    </mc:Choice>
  </mc:AlternateContent>
  <bookViews>
    <workbookView xWindow="-120" yWindow="-120" windowWidth="19320" windowHeight="12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0" i="5" l="1"/>
  <c r="L20" i="5"/>
  <c r="G20" i="5"/>
  <c r="F20" i="5"/>
  <c r="E20" i="5"/>
  <c r="D20" i="5"/>
  <c r="S20" i="5" s="1"/>
  <c r="C20" i="5"/>
  <c r="B20" i="5"/>
  <c r="U20" i="5" l="1"/>
  <c r="H20" i="5"/>
  <c r="I20" i="5"/>
  <c r="T20" i="5"/>
  <c r="K20" i="5"/>
  <c r="L14" i="1"/>
  <c r="G14" i="1"/>
  <c r="E14" i="1"/>
  <c r="H14" i="1" s="1"/>
  <c r="D14" i="1"/>
  <c r="T14" i="1" s="1"/>
  <c r="W14" i="1" l="1"/>
  <c r="O14" i="1"/>
  <c r="J14" i="1"/>
  <c r="M14" i="1"/>
  <c r="N14" i="1"/>
  <c r="I14" i="1"/>
  <c r="V14" i="1"/>
  <c r="P14" i="1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B21" i="5"/>
  <c r="D21" i="5" s="1"/>
  <c r="C21" i="5"/>
  <c r="L15" i="1" l="1"/>
  <c r="G15" i="1"/>
  <c r="F21" i="5" s="1"/>
  <c r="E15" i="1"/>
  <c r="H15" i="1" s="1"/>
  <c r="D15" i="1"/>
  <c r="V15" i="1" s="1"/>
  <c r="W15" i="1" l="1"/>
  <c r="E21" i="5"/>
  <c r="P15" i="1"/>
  <c r="T15" i="1"/>
  <c r="I15" i="1"/>
  <c r="N15" i="1"/>
  <c r="M15" i="1"/>
  <c r="J15" i="1"/>
  <c r="O15" i="1"/>
  <c r="B7" i="5"/>
  <c r="B6" i="5"/>
  <c r="B2" i="5"/>
  <c r="G21" i="5" l="1"/>
  <c r="S21" i="5"/>
  <c r="U21" i="5"/>
  <c r="T21" i="5"/>
  <c r="I21" i="5"/>
  <c r="V21" i="5"/>
  <c r="K21" i="5"/>
  <c r="H21" i="5"/>
  <c r="B8" i="5"/>
  <c r="B3" i="5"/>
  <c r="L21" i="5" l="1"/>
  <c r="B6" i="1" l="1"/>
  <c r="G13" i="1"/>
  <c r="F19" i="5" s="1"/>
  <c r="E13" i="1"/>
  <c r="H13" i="1" s="1"/>
  <c r="E19" i="5" s="1"/>
  <c r="D13" i="1"/>
  <c r="V13" i="1" s="1"/>
  <c r="G19" i="5" l="1"/>
  <c r="I19" i="5"/>
  <c r="K19" i="5"/>
  <c r="S19" i="5"/>
  <c r="U19" i="5"/>
  <c r="T19" i="5"/>
  <c r="V19" i="5"/>
  <c r="H19" i="5"/>
  <c r="L19" i="5"/>
  <c r="W13" i="1"/>
  <c r="N13" i="1"/>
  <c r="I13" i="1"/>
  <c r="M13" i="1"/>
  <c r="O13" i="1"/>
  <c r="J13" i="1"/>
  <c r="L13" i="1"/>
  <c r="P13" i="1"/>
  <c r="T13" i="1"/>
  <c r="C15" i="5"/>
  <c r="B15" i="5"/>
  <c r="D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G17" i="5" l="1"/>
  <c r="S17" i="5" s="1"/>
  <c r="K17" i="5"/>
  <c r="U17" i="5"/>
  <c r="T17" i="5"/>
  <c r="V17" i="5"/>
  <c r="I17" i="5"/>
  <c r="H17" i="5"/>
  <c r="G18" i="5"/>
  <c r="U18" i="5" s="1"/>
  <c r="I18" i="5"/>
  <c r="V18" i="5"/>
  <c r="K18" i="5"/>
  <c r="T18" i="5"/>
  <c r="H18" i="5"/>
  <c r="L18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S18" i="5" l="1"/>
  <c r="G9" i="1"/>
  <c r="F15" i="5" s="1"/>
  <c r="E9" i="1"/>
  <c r="H9" i="1" s="1"/>
  <c r="E15" i="5" s="1"/>
  <c r="D9" i="1"/>
  <c r="V9" i="1" s="1"/>
  <c r="K15" i="5" l="1"/>
  <c r="T15" i="5"/>
  <c r="I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K16" i="5"/>
  <c r="V16" i="5"/>
  <c r="T16" i="5"/>
  <c r="G16" i="5"/>
  <c r="U16" i="5" s="1"/>
  <c r="I16" i="5"/>
  <c r="L16" i="5"/>
  <c r="P10" i="1"/>
  <c r="V10" i="1"/>
  <c r="W10" i="1"/>
  <c r="J10" i="1"/>
  <c r="I10" i="1"/>
  <c r="O10" i="1"/>
  <c r="N10" i="1"/>
  <c r="M10" i="1"/>
  <c r="S16" i="5" l="1"/>
  <c r="W3" i="1"/>
  <c r="V3" i="1"/>
  <c r="U7" i="1" l="1"/>
  <c r="T3" i="1" l="1"/>
  <c r="F3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V17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7" i="1"/>
  <c r="T13" i="5"/>
  <c r="T7" i="1" l="1"/>
  <c r="W17" i="1"/>
  <c r="G6" i="1" l="1"/>
  <c r="L13" i="5"/>
  <c r="H13" i="5"/>
  <c r="S13" i="5"/>
  <c r="K13" i="5"/>
  <c r="I13" i="5"/>
  <c r="U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C6" i="1" l="1"/>
  <c r="P7" i="1" s="1"/>
  <c r="S3" i="1"/>
  <c r="S7" i="1" s="1"/>
  <c r="E6" i="1"/>
  <c r="F69" i="3"/>
  <c r="I3" i="1" l="1"/>
  <c r="B7" i="1"/>
  <c r="L9" i="1" l="1"/>
  <c r="L10" i="1"/>
  <c r="C7" i="1"/>
  <c r="P17" i="1"/>
  <c r="I17" i="1"/>
  <c r="N17" i="1"/>
  <c r="O17" i="1"/>
  <c r="J17" i="1"/>
  <c r="Q7" i="1" l="1"/>
  <c r="M69" i="3" s="1"/>
  <c r="L7" i="1"/>
  <c r="G69" i="3" s="1"/>
  <c r="K69" i="3"/>
  <c r="J69" i="3"/>
  <c r="K17" i="1"/>
  <c r="M17" i="1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<sst xmlns="http://schemas.openxmlformats.org/spreadsheetml/2006/main" count="463" uniqueCount="373">
  <si>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</si>
  <si>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</si>
  <si>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</si>
  <si>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</si>
  <si>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</si>
  <si>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</si>
  <si>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</si>
  <si>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</si>
  <si>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</si>
  <si>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</si>
  <si>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</si>
  <si>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</si>
  <si>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</si>
  <si>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</si>
  <si>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</si>
  <si>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</si>
  <si>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</si>
  <si>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</si>
  <si>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</si>
  <si>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</si>
  <si>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</si>
  <si>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</si>
  <si>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</si>
  <si>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</si>
  <si>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</si>
  <si>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</si>
  <si>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</si>
  <si>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</si>
  <si>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</si>
  <si>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</si>
  <si>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</si>
  <si>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</si>
  <si>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</si>
  <si>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</si>
  <si>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</si>
  <si>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</si>
  <si>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</si>
  <si>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</si>
  <si>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</si>
  <si>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</si>
  <si>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</si>
  <si>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</si>
  <si>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</si>
  <si>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</si>
  <si>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</si>
  <si>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</si>
  <si>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</si>
  <si>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</si>
  <si>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</si>
  <si>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</si>
  <si>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</si>
  <si>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</si>
  <si>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</si>
  <si>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</si>
  <si>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</si>
  <si>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</si>
  <si>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</si>
  <si>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</si>
  <si>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</si>
  <si>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</si>
  <si>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</si>
  <si>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</si>
  <si>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</si>
  <si>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</si>
  <si>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</si>
  <si>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</si>
  <si>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</si>
  <si>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</si>
  <si>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</si>
  <si>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</si>
  <si>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</si>
  <si>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</si>
  <si>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</si>
  <si>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</si>
  <si>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</si>
  <si>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</si>
  <si>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</si>
  <si>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</si>
  <si>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</si>
  <si>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</si>
  <si>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</si>
  <si>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</si>
  <si>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</si>
  <si>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</si>
  <si>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</si>
  <si>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</si>
  <si>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</si>
  <si>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</si>
  <si>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</si>
  <si>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</si>
  <si>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</si>
  <si>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</si>
  <si>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</si>
  <si>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</si>
  <si>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</si>
  <si>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</si>
  <si>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</si>
  <si>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</si>
  <si>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</si>
  <si>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</si>
  <si>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</si>
  <si>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</si>
  <si>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</si>
  <si>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</si>
  <si>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</si>
  <si>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</si>
  <si>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</si>
  <si>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</si>
  <si>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</si>
  <si>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</si>
  <si>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</si>
  <si>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</si>
  <si>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</si>
  <si>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</si>
  <si>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</si>
  <si>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</si>
  <si>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</si>
  <si>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</si>
  <si>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</si>
  <si>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</si>
  <si>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</si>
  <si>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</si>
  <si>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</si>
  <si>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</si>
  <si>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</si>
  <si>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</si>
  <si>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</si>
  <si>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</si>
  <si>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</si>
  <si>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</si>
  <si>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</si>
  <si>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</si>
  <si>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</si>
  <si>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</si>
  <si>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</si>
  <si>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</si>
  <si>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</si>
  <si>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</si>
  <si>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</si>
  <si>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</si>
  <si>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</si>
  <si>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</si>
  <si>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</si>
  <si>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</si>
  <si>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</si>
  <si>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</si>
  <si>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</si>
  <si>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</si>
  <si>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</si>
  <si>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</si>
  <si>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</si>
  <si>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</si>
  <si>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</si>
  <si>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</si>
  <si>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</si>
  <si>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</si>
  <si>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</si>
  <si>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</si>
  <si>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</si>
  <si>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</si>
  <si>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</si>
  <si>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</si>
  <si>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</si>
  <si>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</si>
  <si>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</si>
  <si>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</si>
  <si>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</si>
  <si>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</si>
  <si>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</si>
  <si>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</si>
  <si>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</si>
  <si>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</si>
  <si>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</si>
  <si>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</si>
  <si>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</si>
  <si>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</si>
  <si>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</si>
  <si>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</si>
  <si>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</si>
  <si>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</si>
  <si>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</si>
  <si>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</si>
  <si>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</si>
  <si>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</si>
  <si>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</si>
  <si>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</si>
  <si>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</si>
  <si>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</si>
  <si>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</si>
  <si>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</si>
  <si>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</si>
  <si>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</si>
  <si>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</si>
  <si>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</si>
  <si>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</si>
  <si>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</si>
  <si>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</si>
  <si>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</si>
  <si>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</si>
  <si>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</si>
  <si>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</si>
  <si>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</si>
  <si>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</si>
  <si>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</si>
  <si>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</si>
  <si>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</si>
  <si>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</si>
  <si>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</si>
  <si>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</si>
  <si>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</si>
  <si>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</si>
  <si>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</si>
  <si>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</si>
  <si>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</si>
  <si>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</si>
  <si>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</si>
  <si>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</si>
  <si>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</si>
  <si>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</si>
  <si>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</si>
  <si>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</si>
  <si>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</si>
  <si>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</si>
  <si>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</si>
  <si>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</si>
  <si>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</si>
  <si>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</si>
  <si>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</si>
  <si>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</si>
  <si>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</si>
  <si>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</si>
  <si>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</si>
  <si>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</si>
  <si>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</si>
  <si>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</si>
  <si>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</si>
  <si>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</si>
  <si>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</si>
  <si>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</si>
  <si>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</si>
  <si>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</si>
  <si>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</si>
  <si>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</si>
  <si>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</si>
  <si>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</si>
  <si>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</si>
  <si>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</si>
  <si>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</si>
  <si>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</si>
  <si>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</si>
  <si>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</si>
  <si>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</si>
  <si>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</si>
  <si>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</si>
  <si>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</si>
  <si>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</si>
  <si>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</si>
  <si>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</si>
  <si>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</si>
  <si>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</si>
  <si>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</si>
  <si>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</si>
  <si>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</si>
  <si>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</si>
  <si>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</si>
  <si>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</si>
  <si>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</si>
  <si>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</si>
  <si>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</si>
  <si>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</si>
  <si>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</si>
  <si>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</si>
  <si>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</si>
  <si>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</si>
  <si>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</si>
  <si>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</si>
  <si>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</si>
  <si>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</si>
  <si>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</si>
  <si>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</si>
  <si>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</si>
  <si>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</si>
  <si>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</si>
  <si>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</si>
  <si>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</si>
  <si>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</si>
  <si>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</si>
  <si>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</si>
  <si>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</si>
  <si>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</si>
  <si>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</si>
  <si>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</si>
  <si>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</si>
  <si>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</si>
  <si>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</si>
  <si>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</si>
  <si>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</si>
  <si>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</si>
  <si>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</si>
  <si>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</si>
  <si>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</si>
  <si>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</si>
  <si>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</si>
  <si>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</si>
  <si>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</si>
  <si>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</si>
  <si>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</si>
  <si>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</si>
  <si>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</si>
  <si>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</si>
  <si>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</si>
  <si>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</si>
  <si>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</si>
  <si>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</si>
  <si>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</si>
  <si>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</si>
  <si>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</si>
  <si>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</si>
  <si>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</si>
  <si>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</si>
  <si>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</si>
  <si>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</si>
  <si>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</si>
  <si>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</si>
  <si>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</si>
  <si>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</si>
  <si>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</si>
  <si>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</si>
  <si>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</si>
  <si>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</si>
  <si>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</si>
  <si>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</si>
  <si>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</si>
  <si>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</si>
  <si>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</si>
  <si>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</si>
  <si>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</si>
  <si>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</si>
  <si>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</si>
  <si>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</si>
  <si>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</si>
  <si>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</si>
  <si>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</si>
  <si>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</si>
  <si>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</si>
  <si>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</si>
  <si>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</si>
  <si>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</si>
  <si>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</si>
  <si>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</si>
  <si>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</si>
  <si>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</si>
  <si>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nvarchar(40)</t>
  </si>
  <si>
    <t>varchar(1)</t>
  </si>
  <si>
    <t>CPS</t>
  </si>
  <si>
    <t>Cps</t>
  </si>
  <si>
    <t>InvCps</t>
  </si>
  <si>
    <t>IHP</t>
  </si>
  <si>
    <t>Ihp</t>
  </si>
  <si>
    <t>InvIhp</t>
  </si>
  <si>
    <t>Inhouse Part</t>
  </si>
  <si>
    <t>InvPioPartList</t>
  </si>
  <si>
    <t>PartList</t>
  </si>
  <si>
    <t>FULL_MODEL</t>
  </si>
  <si>
    <t>PROD_SFX</t>
  </si>
  <si>
    <t>MKT_CODE</t>
  </si>
  <si>
    <t>PART_NO</t>
  </si>
  <si>
    <t>PART_TYPE</t>
  </si>
  <si>
    <t>nvarchar(10)</t>
  </si>
  <si>
    <t>Pio Part List</t>
  </si>
  <si>
    <t>REMARK</t>
  </si>
  <si>
    <t>nvarchar(5000)</t>
  </si>
  <si>
    <t>Inventory.PIO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</si>
</sst>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abSelected="1" topLeftCell="A40" zoomScaleNormal="100" workbookViewId="0">
      <selection activeCell="C69" sqref="C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342</v>
      </c>
      <c r="F18" s="1" t="s">
        <v>344</v>
      </c>
      <c r="G18" t="s">
        <v>343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330</v>
      </c>
      <c r="G42" t="s">
        <v>330</v>
      </c>
    </row>
    <row r="43" spans="1:8" x14ac:dyDescent="0.25">
      <c r="A43" s="1"/>
      <c r="D43" t="s">
        <v>320</v>
      </c>
      <c r="F43" s="1" t="s">
        <v>325</v>
      </c>
      <c r="G43" t="s">
        <v>331</v>
      </c>
    </row>
    <row r="44" spans="1:8" x14ac:dyDescent="0.25">
      <c r="A44" s="1"/>
      <c r="D44" t="s">
        <v>322</v>
      </c>
      <c r="F44" s="1" t="s">
        <v>326</v>
      </c>
      <c r="G44" t="s">
        <v>332</v>
      </c>
    </row>
    <row r="45" spans="1:8" x14ac:dyDescent="0.25">
      <c r="A45" s="1"/>
      <c r="D45" t="s">
        <v>321</v>
      </c>
      <c r="F45" s="1" t="s">
        <v>327</v>
      </c>
      <c r="G45" t="s">
        <v>333</v>
      </c>
    </row>
    <row r="46" spans="1:8" x14ac:dyDescent="0.25">
      <c r="A46" s="1"/>
      <c r="D46" t="s">
        <v>357</v>
      </c>
      <c r="F46" s="1" t="s">
        <v>358</v>
      </c>
      <c r="G46" t="s">
        <v>359</v>
      </c>
      <c r="H46" t="s">
        <v>360</v>
      </c>
    </row>
    <row r="47" spans="1:8" x14ac:dyDescent="0.25">
      <c r="A47" s="1"/>
      <c r="D47" t="s">
        <v>339</v>
      </c>
      <c r="F47" s="1" t="s">
        <v>340</v>
      </c>
      <c r="G47" t="s">
        <v>341</v>
      </c>
    </row>
    <row r="48" spans="1:8" x14ac:dyDescent="0.25">
      <c r="A48" s="1"/>
      <c r="D48" t="s">
        <v>324</v>
      </c>
      <c r="F48" s="1" t="s">
        <v>328</v>
      </c>
      <c r="G48" t="s">
        <v>334</v>
      </c>
    </row>
    <row r="49" spans="1:7" x14ac:dyDescent="0.25">
      <c r="A49" s="1"/>
      <c r="D49" t="s">
        <v>323</v>
      </c>
      <c r="F49" s="1" t="s">
        <v>329</v>
      </c>
      <c r="G49" t="s">
        <v>335</v>
      </c>
    </row>
    <row r="50" spans="1:7" x14ac:dyDescent="0.25">
      <c r="A50" s="1"/>
      <c r="D50" t="s">
        <v>336</v>
      </c>
      <c r="F50" s="1" t="s">
        <v>337</v>
      </c>
      <c r="G50" t="s">
        <v>338</v>
      </c>
    </row>
    <row r="51" spans="1:7" x14ac:dyDescent="0.25">
      <c r="A51" s="1"/>
      <c r="D51" t="s">
        <v>354</v>
      </c>
      <c r="F51" s="1" t="s">
        <v>355</v>
      </c>
      <c r="G51" t="s">
        <v>356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prod.Inventory.PIO
{
	[Table("InvPioPartList")]
	public class InvPioPartList: FullAuditedEntity&lt;long&gt;, IEntity&lt;long&gt;	
	{
		public const int MaxFullModelLength = 40;
		public const int MaxProdSfxLength = 40;
		public const int MaxMktCodeLength = 40;
		public const int MaxPartNoLength = 40;
		public const int MaxPartTypeLength = 10;
		public const int MaxRemarkLength = 5000;
		public const int MaxIsActiveLength = 1;
		[StringLength(MaxFullModelLength)]
		public virtual string FullModel { get; set; }
		[StringLength(MaxProdSfxLength)]
		public virtual string ProdSfx { get; set; }
		[StringLength(MaxMktCodeLength)]
		public virtual string MktCode { get; set; }
		[StringLength(MaxPartNoLength)]
		public virtual string PartNo { get; set; }
		[StringLength(MaxPartTypeLength)]
		public virtual string PartType { get; set; }
		[StringLength(MaxRemarkLength)]
		public virtual string Remark { get; set; }
		[StringLength(MaxIsActiveLength)]
		public virtual string IsActive { get; set; }
	}
}
</v>
      </c>
      <c r="D69" s="48" t="str">
        <f>A.Backend!O7</f>
        <v xml:space="preserve">		public const string Pages_Inventory_PIO_PartList = "Pages.Inventory.PIO.PartList";
		public const string Pages_Inventory_PIO_PartList_CreateEdit = "Pages.Inventory.PIO.PartList.CreateEdit";
		public const string Pages_Inventory_PIO_PartList_Delete = "Pages.Inventory.PIO.PartList.Delete";
</v>
      </c>
      <c r="E69" s="48" t="str">
        <f>A.Backend!N7</f>
        <v xml:space="preserve">		var perInvPioPartList = PARENTS.CreateChildPermission(AppPermissions.Pages_Inventory_PIO_PartList, L( "InventoryPIOPartList"), multiTenancySides: MultiTenancySides.Tenant);
		perInvPioPartList.CreateChildPermission(AppPermissions.Pages_Inventory_PIO_PartList_CreateEdit, L( "InventoryPIOPartListCreateEdit"), multiTenancySides: MultiTenancySides.Tenant);
		perInvPioPartList.CreateChildPermission(AppPermissions.Pages_Inventory_PIO_PartList_Delete, L( "InventoryPIOPartListDelete"), multiTenancySides: MultiTenancySides.Tenant);</v>
      </c>
      <c r="F69" s="48" t="str">
        <f>A.Backend!K7</f>
        <v>public virtual DbSet&lt;InvPioPartList&gt; InvPioPartLists { get; set; }</v>
      </c>
      <c r="G69" s="48" t="str">
        <f ca="1">A.Backend!L7</f>
        <v xml:space="preserve">namespace prod.Inventory.PIO
{
	public class InvPioPartListConsts	
	{
		public const int MaxFullModelLength = 40;
		public const int MaxProdSfxLength = 40;
		public const int MaxMktCodeLength = 40;
		public const int MaxPartNoLength = 40;
		public const int MaxPartTypeLength = 10;
		public const int MaxRemarkLength = 5000;
		public const int MaxIsActiveLength = 1;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prod.Inventory.PIO.Dto
{
	public class InvPioPartListDto : EntityDto&lt;long?&gt;	
	{
		public virtual string FullModel { get; set; }
		public virtual string ProdSfx { get; set; }
		public virtual string MktCode { get; set; }
		public virtual string PartNo { get; set; }
		public virtual string PartType { get; set; }
		public virtual string Remark { get; set; }
		public virtual string IsActive { get; set; }
	}
	public class CreateOrEditInvPioPartListDto : EntityDto&lt;long?&gt;	
	{
		[StringLength(InvPioPartListConsts.MaxFullModelLength)]
		public virtual string FullModel { get; set; }
		[StringLength(InvPioPartListConsts.MaxProdSfxLength)]
		public virtual string ProdSfx { get; set; }
		[StringLength(InvPioPartListConsts.MaxMktCodeLength)]
		public virtual string MktCode { get; set; }
		[StringLength(InvPioPartListConsts.MaxPartNoLength)]
		public virtual string PartNo { get; set; }
		[StringLength(InvPioPartListConsts.MaxPartTypeLength)]
		public virtual string PartType { get; set; }
		[StringLength(InvPioPartListConsts.MaxRemarkLength)]
		public virtual string Remark { get; set; }
		[StringLength(InvPioPartListConsts.MaxIsActiveLength)]
		public virtual string IsActive { get; set; }
	}
	public class GetInvPioPartListInput : PagedAndSortedResultRequestDto	
	{
		public virtual string FullModel { get; set; }
		public virtual string ProdSfx { get; set; }
		public virtual string MktCode { get; set; }
		public virtual string PartNo { get; set; }
		public virtual string PartType { get; set; }
		public virtual string Remark { get; set; }
		public virtual string IsActive { get; set; }
	}
}
</v>
      </c>
      <c r="I69" s="48" t="str">
        <f ca="1">A.Backend!R7</f>
        <v xml:space="preserve">using Abp.Application.Services.Dto;
using System;
using System.ComponentModel.DataAnnotations;
namespace prod.Inventory.PIO.Dto
{
	public class InvPioPartListExportInput{
		public virtual string FullModel { get; set; }
		public virtual string ProdSfx { get; set; }
		public virtual string MktCode { get; set; }
		public virtual string PartNo { get; set; }
		public virtual string PartType { get; set; }
		public virtual string Remark { get; set; }
		public virtual string IsActive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vovina.Inventory.PIO.Dto;
namespace prod.Inventory.PIO
{
	public interface IInvPioPartListAppService : IApplicationService
	{
		Task&lt;PagedResultDto&lt;InvPioPartListDto&gt;&gt; GetAll(GetInvPioPartListInput input);
		Task CreateOrEdit(CreateOrEditInvPioPartListDto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vovina.Inventory.PIO.Dto;
namespace prod.Inventory.PIO.Exporting
{
	public interface IInvPioPartListExcelExporter : IApplicationService
	{
		FileDto ExportToFile(List&lt;InvPioPartListDto&gt; invpiopartlist);
	}
}
</v>
      </c>
      <c r="L69" s="48" t="str">
        <f ca="1">A.Backend!T7</f>
        <v>using System.Collections.Generic;
using vovina.DataExporting.Excel.NPOI;
using vovina.Dto;
using vovina.Inventory.PIO.Exporting;
using vovina.Inventory.PIO.Dto;
using vovina.Storage;
using vovina.Inventory.PIO.Dto;
namespace vovina.Inventory.PIO.Exporting
{
    public class InvPioPartListExcelExporter : NpoiExcelExporterBase, IInvPioPartListExcelExporter
    {
        public InvPioPartListExcelExporter(ITempFileCacheManager tempFileCacheManager) : base(tempFileCacheManager) { }
        public FileDto ExportToFile(List&lt;InvPioPartListDto&gt; partlist)
        {
            return CreateExcelPackage(
				"InventoryPIOPartList.xlsx",
				excelPackage =&gt;
				 {
					var sheet = excelPackage.CreateSheet("PartList");
					AddHeader(
								sheet,
								("FullModel"),
								("ProdSfx"),
								("MktCode"),
								("PartNo"),
								("PartType"),
								("Remark"),
								("IsActive"),
							   );
					AddObjects(
						 sheet, 1, partlist,                                       
								_ =&gt; _.FullModel,
								_ =&gt; _.ProdSfx,
								_ =&gt; _.MktCode,
								_ =&gt; _.PartNo,
								_ =&gt; _.PartType,
								_ =&gt; _.Remark,
								_ =&gt; _.IsActive,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vovina.Inventory.PIO.Dto;
using vovina.Inventory.PIO.Exporting;
namespace vovina.Inventory.PIO
{
    [AbpAuthorize(AppPermissions.Pages_Inventory_PIO_PartList)]
    public class InvPioPartListAppService : vovinaAppServiceBase, IInvPioPartListAppService
    {
        private readonly IDapperRepository&lt;InvPioPartList, long&gt; _dapperRepo;
        private readonly IRepository&lt;InvPioPartList, long&gt; _repo;
        private readonly IInvPioPartListExcelExporter _calendarListExcelExporter;
        public InvPioPartListAppService(IRepository&lt;InvPioPartList,long&gt; repo, 
                                         IDapperRepository&lt;InvPioPartList,long&gt; dapperRepo,
                                        IInvPioPartListExcelExporter calendarListExcelExporter
            )
        {
            _repo = repo;
            _dapperRepo = dapperRepo;
            _calendarListExcelExporter = calendarListExcelExporter;
        }
        [AbpAuthorize(AppPermissions.Pages_Inventory_PIO_PartList_CreateEdit)]
        public async Task CreateOrEdit(CreateOrEditInvPioPartListDto input)
        {
            if (input.Id == null) await Create(input);
            else await Update(input);
        }
        //CREATE
        private async Task Create(CreateOrEditInvPioPartListDto input)
        {          
            var mainObj = ObjectMapper.Map&lt;InvPioPartList&gt;(input);
            await CurrentUnitOfWork.GetDbContext&lt;vovinaDbContext&gt;().AddAsync(mainObj);
        }
        // EDIT
        private async Task Update(CreateOrEditInvPioPartListDto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[AbpAuthorize(AppPermissions.Pages_Inventory_PIO_PartList_Delete)]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Task&lt;PagedResultDto&lt;InvPioPartListDto&gt;&gt; GetAll(GetInvPioPartListInput input)
        {
            var filtered = _repo.GetAll()
				.WhereIf(!string.IsNullOrWhiteSpace(input.FullModel), e =&gt; e.FullModel.Contains(input.FullModel))
				.WhereIf(!string.IsNullOrWhiteSpace(input.ProdSfx), e =&gt; e.ProdSfx.Contains(input.ProdSfx))
				.WhereIf(!string.IsNullOrWhiteSpace(input.MktCode), e =&gt; e.MktCode.Contains(input.MktCode))
				.WhereIf(!string.IsNullOrWhiteSpace(input.PartNo), e =&gt; e.PartNo.Contains(input.PartNo))
				.WhereIf(!string.IsNullOrWhiteSpace(input.PartType), e =&gt; e.PartType.Contains(input.PartType))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InvPioPartListDto
                        {
							Id = o.Id,
							FullModel = o.FullModel,
							ProdSfx = o.ProdSfx,
							MktCode = o.MktCode,
							PartNo = o.PartNo,
							PartType = o.PartType,
							Remark = o.Remark,
							IsActive = o.IsActive,
                        };
            var totalCount = await filtered.CountAsync();
			var paged = system.PageBy(input);
            return new PagedResultDto&lt;InvPioPartListDto&gt;(
                totalCount,
                 await paged.ToListAsync()
            );
        }
        public async Task&lt;FileDto&gt; GetPartListToExcel(InvPioPartListExportInput input)
        {
            var query = from o in _repo.GetAll()
                        select new InvPioPartListDto
                        {
							Id = o.Id,
							FullModel = o.FullModel,
							ProdSfx = o.ProdSfx,
							MktCode = o.MktCode,
							PartNo = o.PartNo,
							PartType = o.PartType,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_dapperRepo.ExecuteAsync(InvPioPartListConsts.SP_MST_WPT_CALENDAR_GENERATE);
       // }
    }
}</v>
      </c>
      <c r="N69" s="58" t="str">
        <f>A.Backend!U7</f>
        <v xml:space="preserve">  configuration.CreateMap&lt;InvPioPartListDto, InvPioPartList&gt;();
  configuration.CreateMap&lt;InvPioPartList, InvPioPartListDto&gt;();
  configuration.CreateMap&lt;CreateOrEditInvPioPartListDto, InvPioPartList&gt;();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partlist</v>
      </c>
      <c r="C74" s="66" t="str">
        <f>"create folder " &amp;B74</f>
        <v>create folder partlist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partlist.component.ts</v>
      </c>
      <c r="D75" s="28" t="str">
        <f>B.Frontend!I14</f>
        <v>partlist.component.html</v>
      </c>
      <c r="E75" s="28" t="str">
        <f>B.Frontend!J14</f>
        <v>partlist.component.less</v>
      </c>
      <c r="F75" s="28" t="str">
        <f>B.Frontend!K14</f>
        <v>create-or-edit-partlist-modal.component.html</v>
      </c>
      <c r="G75" s="28" t="str">
        <f>B.Frontend!L14</f>
        <v>create-or-edit-partlist-modal.component.ts</v>
      </c>
      <c r="H75" s="28" t="str">
        <f>B.Frontend!M14</f>
        <v>create-or-edit-partlist-modal.component.less</v>
      </c>
      <c r="I75" s="28" t="str">
        <f>B.Frontend!N14</f>
        <v>partlist.module.ts</v>
      </c>
      <c r="J75" s="28" t="str">
        <f>B.Frontend!O14</f>
        <v>partlist-routing.module.ts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e">
        <f ca="1">B.Frontend!H10</f>
        <v>#VALUE!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Part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[(ngModel)]='fullModel' name='fullModel'
									class='form-control' [placeholder]="l('Full Model')"
									type='text' (keyup.enter)='searchDatas()'&gt;
								&lt;/div&gt;
								&lt;div class='input-search'&gt;
									&lt;input [(ngModel)]='prodSfx' name='prodSfx'
									class='form-control' [placeholder]="l('Prod Sfx')"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&lt;create-or-edit-partlist-modal
    #createOrEditModalPartList
    (modalSave)="callBackDataGrid(dataParams)"
    (modalClose)="onChangeRowSelection(dataParams)"
&gt;
&lt;/create-or-edit-partlist-modal&gt;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PartList')}}&lt;/h3&gt;
                    &lt;h3 *ngIf="!rowdata.id"&gt;{{('Create New 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title'&gt;Full Model&lt;/label&gt;
						&lt;input type='text' class='col-md-10 form-control input-text' name='FullModel' [(ngModel)]='rowdata.fullModel'&gt;
					&lt;/div&gt;
					&lt;div class='col-md-12 form-group row'&gt;
						&lt;label class='col-md-2 form-control title'&gt;Prod Sfx&lt;/label&gt;
						&lt;input type='text' class='col-md-10 form-control input-text' name='ProdSfx' [(ngModel)]='rowdata.prodSfx'&gt;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CreateOrEditInvPioPartListDto, InvPioPartListServiceProxy } from '@shared/service-proxies/service-proxies';
import { BsDatepickerDirective } from 'ngx-bootstrap/datepicker';
@Component({
    selector: 'create-or-edit-partlist-modal',
    templateUrl: './create-or-edit-partlist-modal.component.html',
    styleUrls: ['./create-or-edit-partlist-modal.component.less']
    })
export class CreateOrEditPartListModalComponent extends AppComponentBase {
    @ViewChild('createOrEditModalPartList',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CreateOrEditInvPioPartListDto = new CreateOrEditInvPioPartListDto();
    active: boolean = false;
    saving: boolean = false;
    _isActive: boolean;
    constructor(
        injector: Injector,
        private _mstwptPartListService: InvPioPartListServiceProxy,
    ) 
    {
        super(injector);
    }
    show(rowdata?: CreateOrEditInvPioPartListDto): void {
        if (!rowdata) this.rowdata = new CreateOrEditInvPioPartListDto();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PartListRoutingModule } from './partlist-routing.module';
import { PartListComponent } from './partlist.component';
import { CreateOrEditPartListModalComponent } from './create-or-edit-partlist-modal.component';
@NgModule({
    declarations: [
       PartListComponent, 
        CreateOrEditPartListModalComponent
    ],
    imports: [
        AppSharedModule, PartListRoutingModule]
})
export class PartListModule {}</v>
      </c>
      <c r="J76" s="46" t="str">
        <f>B.Frontend!O10</f>
        <v>import {NgModule} from '@angular/core';
import {RouterModule, Routes} from '@angular/router';
import { PartListComponent } from './partlist.component';
const routes: Routes = [{
    path: '',
    component: PartListComponent,
    pathMatch: 'full'
}];
@NgModule({
    imports: [RouterModule.forChild(routes)],
    exports: [RouterModule],
})
export class PartListRoutingModule {}</v>
      </c>
      <c r="K76" s="46" t="str">
        <f>B.Frontend!P10</f>
        <v xml:space="preserve"> new AppMenuItem("PartList", "Pages.Inventory.PIO.PartList", "flaticon-book",   "/app/main/inventory/pio/partlist"),</v>
      </c>
      <c r="L76" s="47" t="str">
        <f>B.Frontend!Q10</f>
        <v>{
    path: 'inventory/pio/partlist',
    loadChildren: () =&gt; import('./inventory/pio/partlist/partlist.module').then(m =&gt; m.PartListModule),
    data: { permission: 'Pages.Inventory.PIO.PartList' }
},</v>
      </c>
      <c r="M76" s="45" t="str">
        <f>B.Frontend!R10</f>
        <v>ApiServiceProxies.InvPioPartListServiceProxy,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7"/>
  <sheetViews>
    <sheetView workbookViewId="0">
      <pane xSplit="1" topLeftCell="B1" activePane="topRight" state="frozen"/>
      <selection pane="topRight" activeCell="B2" sqref="B2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vovina.Inventory.PIO.Dto;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372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361</v>
      </c>
      <c r="C3" s="9" t="s">
        <v>40</v>
      </c>
      <c r="D3" s="9" t="s">
        <v>41</v>
      </c>
      <c r="E3" s="9" t="s">
        <v>36</v>
      </c>
      <c r="F3" s="10" t="str">
        <f>"J"&amp;COUNTA($A:$A)</f>
        <v>J15</v>
      </c>
      <c r="G3" s="4" t="s">
        <v>53</v>
      </c>
      <c r="H3" s="9" t="str">
        <f>"I"&amp;COUNTA($A:$A)</f>
        <v>I15</v>
      </c>
      <c r="I3" s="9" t="str">
        <f>REPT(CHAR(9),2)&amp;"[Required]"&amp;"
"</f>
        <v xml:space="preserve">		[Required]
</v>
      </c>
      <c r="J3" s="10" t="str">
        <f>"L"&amp;COUNTA($A:$A)</f>
        <v>L15</v>
      </c>
      <c r="K3" s="5" t="s">
        <v>52</v>
      </c>
      <c r="L3" s="10" t="str">
        <f>"M"&amp;COUNTA($A:$A)</f>
        <v>M15</v>
      </c>
      <c r="M3" s="10" t="str">
        <f>"N"&amp;COUNTA($A:$A)</f>
        <v>N15</v>
      </c>
      <c r="N3" s="10" t="str">
        <f>"O"&amp;COUNTA($A:$A)</f>
        <v>O15</v>
      </c>
      <c r="O3" s="10" t="str">
        <f>"P"&amp;COUNTA($A:$A)</f>
        <v>P15</v>
      </c>
      <c r="Q3" s="10" t="str">
        <f>RIGHT(B2,(LEN(B2)-FIND(".",B2,1)))</f>
        <v>PIO</v>
      </c>
      <c r="R3" s="29" t="str">
        <f>REPT(CHAR(9),1)&amp;"public class "&amp;B3&amp;"ExportInput"&amp;C3</f>
        <v xml:space="preserve">	public class InvPioPartListExportInput{
</v>
      </c>
      <c r="S3" s="10" t="str">
        <f>"namespace "&amp;$B$6&amp;".Exporting
"&amp;$C$3</f>
        <v xml:space="preserve">namespace prod.Inventory.PIO.Exporting
{
</v>
      </c>
      <c r="T3" s="10" t="str">
        <f>"T"&amp;COUNTA($A:$A)</f>
        <v>T15</v>
      </c>
      <c r="V3" s="10" t="str">
        <f>"V"&amp;COUNTA($A:$A)</f>
        <v>V15</v>
      </c>
      <c r="W3" s="9" t="str">
        <f>"W"&amp;COUNTA($A:$A)</f>
        <v>W15</v>
      </c>
    </row>
    <row r="4" spans="1:23" s="10" customFormat="1" ht="33" customHeight="1" x14ac:dyDescent="0.2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362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prod.Inventory.PIO</v>
      </c>
      <c r="C6" s="10" t="str">
        <f>"namespace "&amp;$B$6&amp;"
"&amp;$C$3</f>
        <v xml:space="preserve">namespace prod.Inventory.PIO
{
</v>
      </c>
      <c r="D6" s="10" t="str">
        <f>REPT(CHAR(9),1)&amp;"public class "&amp;B3&amp;G3&amp;REPT(CHAR(9),1)&amp;"
"&amp;REPT(CHAR(9),1)&amp;C3</f>
        <v xml:space="preserve">	public class InvPioPartList: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InvPioPartListConsts	
	{
</v>
      </c>
      <c r="F6" s="10" t="str">
        <f>REPT(CHAR(9),1)&amp;"public class "&amp;B3&amp;"Dto"&amp;K3&amp;REPT(CHAR(9),1)&amp;"
"&amp;REPT(CHAR(9),1)&amp;C3</f>
        <v xml:space="preserve">	public class InvPioPartListDto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CreateOrEditInvPioPartListDto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GetInvPioPartListInput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InvPioPartList</v>
      </c>
      <c r="C7" s="10" t="str">
        <f>REPT(CHAR(9),1)&amp;"[Table("""&amp;B7&amp;""")]"&amp;"
"</f>
        <v xml:space="preserve">	[Table("InvPioPartList")]
</v>
      </c>
      <c r="D7" s="10"/>
      <c r="E7" s="10"/>
      <c r="F7" s="10"/>
      <c r="G7" s="10"/>
      <c r="H7" s="10"/>
      <c r="I7" s="10"/>
      <c r="J7" t="str">
        <f ca="1">SUBSTITUTE(SUBSTITUTE((B1&amp;C6&amp;C7&amp;K17&amp;D6&amp;I17&amp;E3&amp;J17&amp;""&amp;REPT(CHAR(9),1)&amp;D3&amp;D3),"WorkingPattern",$Q$3),"Master",$B$4)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prod.Inventory.PIO
{
	[Table("InvPioPartList")]
	public class InvPioPartList: FullAuditedEntity&lt;long&gt;, IEntity&lt;long&gt;	
	{
		public const int MaxFullModelLength = 40;
		public const int MaxProdSfxLength = 40;
		public const int MaxMktCodeLength = 40;
		public const int MaxPartNoLength = 40;
		public const int MaxPartTypeLength = 10;
		public const int MaxRemarkLength = 5000;
		public const int MaxIsActiveLength = 1;
		[StringLength(MaxFullModelLength)]
		public virtual string FullModel { get; set; }
		[StringLength(MaxProdSfxLength)]
		public virtual string ProdSfx { get; set; }
		[StringLength(MaxMktCodeLength)]
		public virtual string MktCode { get; set; }
		[StringLength(MaxPartNoLength)]
		public virtual string PartNo { get; set; }
		[StringLength(MaxPartTypeLength)]
		public virtual string PartType { get; set; }
		[StringLength(MaxRemarkLength)]
		public virtual string Remark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DbSet&lt;InvPioPartList&gt; InvPioPartLists { get; set; }</v>
      </c>
      <c r="L7" t="str">
        <f ca="1">SUBSTITUTE(SUBSTITUTE((C6&amp;E6&amp;I17&amp;"
"&amp;REPT(CHAR(9),2)&amp;"// Define Store Name: Format SP_ + &lt;Store Name&gt; = &lt;Store Name&gt;
"&amp;E3&amp;REPT(CHAR(9),1)&amp;D3&amp;D3),"WorkingPattern",$Q$3),"Master",$B$4)</f>
        <v xml:space="preserve">namespace prod.Inventory.PIO
{
	public class InvPioPartListConsts	
	{
		public const int MaxFullModelLength = 40;
		public const int MaxProdSfxLength = 40;
		public const int MaxMktCodeLength = 40;
		public const int MaxPartNoLength = 40;
		public const int MaxPartTypeLength = 10;
		public const int MaxRemarkLength = 5000;
		public const int MaxIsActiveLength = 1;
		// Define Store Name: Format SP_ + &lt;Store Name&gt; = &lt;Store Name&gt;
	}
}
</v>
      </c>
      <c r="M7" t="str">
        <f ca="1">SUBSTITUTE(SUBSTITUTE((C1&amp;"namespace "&amp;B6&amp;".Dto"&amp;E3&amp;C3&amp;F6&amp;M17&amp;E3&amp;REPT(CHAR(9),1)&amp;D3&amp;G6&amp;N17&amp;REPT(CHAR(9),1)&amp;D3&amp;H6&amp;O17&amp;"
"&amp;REPT(CHAR(9),1)&amp;D3&amp;D3),"WorkingPattern",$Q$3),"Master",$B$4)</f>
        <v xml:space="preserve">using Abp.Application.Services.Dto;
using System;
using System.ComponentModel.DataAnnotations;
namespace prod.Inventory.PIO.Dto
{
	public class InvPioPartListDto : EntityDto&lt;long?&gt;	
	{
		public virtual string FullModel { get; set; }
		public virtual string ProdSfx { get; set; }
		public virtual string MktCode { get; set; }
		public virtual string PartNo { get; set; }
		public virtual string PartType { get; set; }
		public virtual string Remark { get; set; }
		public virtual string IsActive { get; set; }
	}
	public class CreateOrEditInvPioPartListDto : EntityDto&lt;long?&gt;	
	{
		[StringLength(InvPioPartListConsts.MaxFullModelLength)]
		public virtual string FullModel { get; set; }
		[StringLength(InvPioPartListConsts.MaxProdSfxLength)]
		public virtual string ProdSfx { get; set; }
		[StringLength(InvPioPartListConsts.MaxMktCodeLength)]
		public virtual string MktCode { get; set; }
		[StringLength(InvPioPartListConsts.MaxPartNoLength)]
		public virtual string PartNo { get; set; }
		[StringLength(InvPioPartListConsts.MaxPartTypeLength)]
		public virtual string PartType { get; set; }
		[StringLength(InvPioPartListConsts.MaxRemarkLength)]
		public virtual string Remark { get; set; }
		[StringLength(InvPioPartListConsts.MaxIsActiveLength)]
		public virtual string IsActive { get; set; }
	}
	public class GetInvPioPartListInput : PagedAndSortedResultRequestDto	
	{
		public virtual string FullModel { get; set; }
		public virtual string ProdSfx { get; set; }
		public virtual string MktCode { get; set; }
		public virtual string PartNo { get; set; }
		public virtual string PartType { get; set; }
		public virtual string Remark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perInvPioPartList = PARENTS.CreateChildPermission(AppPermissions.Pages_Inventory_PIO_PartList, L( "InventoryPIOPartList"), multiTenancySides: MultiTenancySides.Tenant);
		perInvPioPartList.CreateChildPermission(AppPermissions.Pages_Inventory_PIO_PartList_CreateEdit, L( "InventoryPIOPartListCreateEdit"), multiTenancySides: MultiTenancySides.Tenant);
		perInvPioPartList.CreateChildPermission(AppPermissions.Pages_Inventory_PIO_PartList_Delete, L( "InventoryPIOPartListDelete"),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Pages_Inventory_PIO_PartList = "Pages.Inventory.PIO.PartList";
		public const string Pages_Inventory_PIO_PartList_CreateEdit = "Pages.Inventory.PIO.PartList.CreateEdit";
		public const string Pages_Inventory_PIO_PartList_Delete = "Pages.Inventory.PIO.PartList.Delete";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vovina.Inventory.PIO.Dto;
namespace prod.Inventory.PIO
{
	public interface IInvPioPartListAppService : IApplicationService
	{
		Task&lt;PagedResultDto&lt;InvPioPartListDto&gt;&gt; GetAll(GetInvPioPartListInput input);
		Task CreateOrEdit(CreateOrEditInvPioPartListDto input);
		Task Delete(EntityDto input);
	}
}
</v>
      </c>
      <c r="Q7" t="str">
        <f ca="1">SUBSTITUTE(SUBSTITUTE(SUBSTITUTE(SUBSTITUTE(SUBSTITUTE(SUBSTITUTE(E1,"MstWptCalendar",$B$3),"&lt;PROPERTIES&gt;",P17),"Calendar",$B$5),"WorkingPattern",$Q$3),"Master",$B$4),"&lt;PARAMS_SEARCH&gt;",$W$17)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vovina.Inventory.PIO.Dto;
using vovina.Inventory.PIO.Exporting;
namespace vovina.Inventory.PIO
{
    [AbpAuthorize(AppPermissions.Pages_Inventory_PIO_PartList)]
    public class InvPioPartListAppService : vovinaAppServiceBase, IInvPioPartListAppService
    {
        private readonly IDapperRepository&lt;InvPioPartList, long&gt; _dapperRepo;
        private readonly IRepository&lt;InvPioPartList, long&gt; _repo;
        private readonly IInvPioPartListExcelExporter _calendarListExcelExporter;
        public InvPioPartListAppService(IRepository&lt;InvPioPartList,long&gt; repo, 
                                         IDapperRepository&lt;InvPioPartList,long&gt; dapperRepo,
                                        IInvPioPartListExcelExporter calendarListExcelExporter
            )
        {
            _repo = repo;
            _dapperRepo = dapperRepo;
            _calendarListExcelExporter = calendarListExcelExporter;
        }
        [AbpAuthorize(AppPermissions.Pages_Inventory_PIO_PartList_CreateEdit)]
        public async Task CreateOrEdit(CreateOrEditInvPioPartListDto input)
        {
            if (input.Id == null) await Create(input);
            else await Update(input);
        }
        //CREATE
        private async Task Create(CreateOrEditInvPioPartListDto input)
        {          
            var mainObj = ObjectMapper.Map&lt;InvPioPartList&gt;(input);
            await CurrentUnitOfWork.GetDbContext&lt;vovinaDbContext&gt;().AddAsync(mainObj);
        }
        // EDIT
        private async Task Update(CreateOrEditInvPioPartListDto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[AbpAuthorize(AppPermissions.Pages_Inventory_PIO_PartList_Delete)]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Task&lt;PagedResultDto&lt;InvPioPartListDto&gt;&gt; GetAll(GetInvPioPartListInput input)
        {
            var filtered = _repo.GetAll()
				.WhereIf(!string.IsNullOrWhiteSpace(input.FullModel), e =&gt; e.FullModel.Contains(input.FullModel))
				.WhereIf(!string.IsNullOrWhiteSpace(input.ProdSfx), e =&gt; e.ProdSfx.Contains(input.ProdSfx))
				.WhereIf(!string.IsNullOrWhiteSpace(input.MktCode), e =&gt; e.MktCode.Contains(input.MktCode))
				.WhereIf(!string.IsNullOrWhiteSpace(input.PartNo), e =&gt; e.PartNo.Contains(input.PartNo))
				.WhereIf(!string.IsNullOrWhiteSpace(input.PartType), e =&gt; e.PartType.Contains(input.PartType))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InvPioPartListDto
                        {
							Id = o.Id,
							FullModel = o.FullModel,
							ProdSfx = o.ProdSfx,
							MktCode = o.MktCode,
							PartNo = o.PartNo,
							PartType = o.PartType,
							Remark = o.Remark,
							IsActive = o.IsActive,
                        };
            var totalCount = await filtered.CountAsync();
			var paged = system.PageBy(input);
            return new PagedResultDto&lt;InvPioPartListDto&gt;(
                totalCount,
                 await paged.ToListAsync()
            );
        }
        public async Task&lt;FileDto&gt; GetPartListToExcel(InvPioPartListExportInput input)
        {
            var query = from o in _repo.GetAll()
                        select new InvPioPartListDto
                        {
							Id = o.Id,
							FullModel = o.FullModel,
							ProdSfx = o.ProdSfx,
							MktCode = o.MktCode,
							PartNo = o.PartNo,
							PartType = o.PartType,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_dapperRepo.ExecuteAsync(InvPioPartListConsts.SP_MST_WPT_CALENDAR_GENERATE);
       // }
    }
}</v>
      </c>
      <c r="R7" t="str">
        <f ca="1">SUBSTITUTE(SUBSTITUTE((C1&amp;"namespace "&amp;B6&amp;".Dto"&amp;E3&amp;C3&amp;R3&amp;M17&amp;E3&amp;REPT(CHAR(9),1)&amp;D3&amp;D3),"WorkingPattern",$Q$3),"Master",$B$4)</f>
        <v xml:space="preserve">using Abp.Application.Services.Dto;
using System;
using System.ComponentModel.DataAnnotations;
namespace prod.Inventory.PIO.Dto
{
	public class InvPioPartListExportInput{
		public virtual string FullModel { get; set; }
		public virtual string ProdSfx { get; set; }
		public virtual string MktCode { get; set; }
		public virtual string PartNo { get; set; }
		public virtual string PartType { get; set; }
		public virtual string Remark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vovina.Inventory.PIO.Dto;
namespace prod.Inventory.PIO.Exporting
{
	public interface IInvPioPartListExcelExporter : IApplicationService
	{
		FileDto ExportToFile(List&lt;InvPioPartListDto&gt; invpiopartlist);
	}
}
</v>
      </c>
      <c r="T7" s="26" t="str">
        <f ca="1">SUBSTITUTE(SUBSTITUTE(SUBSTITUTE(SUBSTITUTE(SUBSTITUTE(SUBSTITUTE(SUBSTITUTE(T1,"MstWptCalendar",$B$3),"&lt;PROPERTIES1&gt;",V17),"&lt;PROPERTIES&gt;",T17),"Calendar",$B$5),"calendar",LOWER(B5)),"WorkingPattern",$Q$3),"Master",$B$4)</f>
        <v>using System.Collections.Generic;
using vovina.DataExporting.Excel.NPOI;
using vovina.Dto;
using vovina.Inventory.PIO.Exporting;
using vovina.Inventory.PIO.Dto;
using vovina.Storage;
using vovina.Inventory.PIO.Dto;
namespace vovina.Inventory.PIO.Exporting
{
    public class InvPioPartListExcelExporter : NpoiExcelExporterBase, IInvPioPartListExcelExporter
    {
        public InvPioPartListExcelExporter(ITempFileCacheManager tempFileCacheManager) : base(tempFileCacheManager) { }
        public FileDto ExportToFile(List&lt;InvPioPartListDto&gt; partlist)
        {
            return CreateExcelPackage(
				"InventoryPIOPartList.xlsx",
				excelPackage =&gt;
				 {
					var sheet = excelPackage.CreateSheet("PartList");
					AddHeader(
								sheet,
								("FullModel"),
								("ProdSfx"),
								("MktCode"),
								("PartNo"),
								("PartType"),
								("Remark"),
								("IsActive"),
							   );
					AddObjects(
						 sheet, 1, partlist,                                       
								_ =&gt; _.FullModel,
								_ =&gt; _.ProdSfx,
								_ =&gt; _.MktCode,
								_ =&gt; _.PartNo,
								_ =&gt; _.PartType,
								_ =&gt; _.Remark,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configuration.CreateMap&lt;InvPioPartListDto, InvPioPartList&gt;();
  configuration.CreateMap&lt;InvPioPartList, InvPioPartListDto&gt;();
  configuration.CreateMap&lt;CreateOrEditInvPioPartListDto, InvPioPartList&gt;();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363</v>
      </c>
      <c r="B9" s="28" t="s">
        <v>352</v>
      </c>
      <c r="C9" t="s">
        <v>1</v>
      </c>
      <c r="D9" t="str">
        <f t="shared" ref="D9" si="0">SUBSTITUTE(PROPER(A9),"_","")</f>
        <v>FullModel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40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MaxFullModelLength = 40;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[StringLength(MaxFullModelLength)]
		public virtual string FullModel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FullModel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[StringLength(InvPioPartListConsts.MaxFullModelLength)]
		public virtual string FullModel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FullModel { get; set; }
</v>
      </c>
      <c r="P9" t="str">
        <f t="shared" ref="P9" si="9">REPT(CHAR(9),7)&amp;D9&amp;" = o." &amp;D9 &amp;","</f>
        <v xml:space="preserve">							FullModel = o.FullModel,</v>
      </c>
      <c r="T9" s="63" t="str">
        <f t="shared" ref="T9" si="10">REPT(CHAR(9),8)&amp;"("""&amp;D9&amp;"""),"</f>
        <v xml:space="preserve">								("FullModel"),</v>
      </c>
      <c r="V9" s="64" t="str">
        <f t="shared" ref="V9" si="11">REPT(CHAR(9),8)&amp;"_ =&gt; _."&amp;D9&amp;","</f>
        <v xml:space="preserve">								_ =&gt; _.FullModel,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.WhereIf(!string.IsNullOrWhiteSpace(input.FullModel), e =&gt; e.FullModel.Contains(input.FullModel))</v>
      </c>
    </row>
    <row r="10" spans="1:23" customFormat="1" ht="18.75" customHeight="1" x14ac:dyDescent="0.25">
      <c r="A10" s="28" t="s">
        <v>364</v>
      </c>
      <c r="B10" s="28" t="s">
        <v>352</v>
      </c>
      <c r="C10" t="s">
        <v>1</v>
      </c>
      <c r="D10" t="str">
        <f t="shared" ref="D10:D11" si="13">SUBSTITUTE(PROPER(A10),"_","")</f>
        <v>ProdSfx</v>
      </c>
      <c r="E10" t="str">
        <f t="shared" ref="E10:E11" si="14">IFERROR(LEFT(B10, FIND("(",B10)-1),B10)</f>
        <v>nvarchar</v>
      </c>
      <c r="F10" s="6"/>
      <c r="G10" t="str">
        <f t="shared" ref="G10:G11" si="15">IFERROR(MID(B10,FIND("(",B10) +1, FIND(")",B10) - FIND("(",B10) - 1),"")</f>
        <v>40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MaxProdSfxLength = 40;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[StringLength(MaxProdSfxLength)]
		public virtual string ProdSfx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ProdSfx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[StringLength(InvPioPartListConsts.MaxProdSfxLength)]
		public virtual string ProdSfx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ProdSfx { get; set; }
</v>
      </c>
      <c r="P10" t="str">
        <f t="shared" ref="P10:P11" si="22">REPT(CHAR(9),7)&amp;D10&amp;" = o." &amp;D10 &amp;","</f>
        <v xml:space="preserve">							ProdSfx = o.ProdSfx,</v>
      </c>
      <c r="T10" s="63" t="str">
        <f t="shared" ref="T10:T11" si="23">REPT(CHAR(9),8)&amp;"("""&amp;D10&amp;"""),"</f>
        <v xml:space="preserve">								("ProdSfx"),</v>
      </c>
      <c r="V10" s="64" t="str">
        <f t="shared" ref="V10:V11" si="24">REPT(CHAR(9),8)&amp;"_ =&gt; _."&amp;D10&amp;","</f>
        <v xml:space="preserve">								_ =&gt; _.ProdSfx,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.WhereIf(!string.IsNullOrWhiteSpace(input.ProdSfx), e =&gt; e.ProdSfx.Contains(input.ProdSfx))</v>
      </c>
    </row>
    <row r="11" spans="1:23" customFormat="1" ht="18.75" customHeight="1" x14ac:dyDescent="0.25">
      <c r="A11" s="28" t="s">
        <v>365</v>
      </c>
      <c r="B11" s="28" t="s">
        <v>352</v>
      </c>
      <c r="C11" t="s">
        <v>1</v>
      </c>
      <c r="D11" t="str">
        <f t="shared" si="13"/>
        <v>MktCode</v>
      </c>
      <c r="E11" t="str">
        <f t="shared" si="14"/>
        <v>nvarchar</v>
      </c>
      <c r="F11" s="6"/>
      <c r="G11" t="str">
        <f t="shared" si="15"/>
        <v>40</v>
      </c>
      <c r="H11" t="str">
        <f>+VLOOKUP(E11,'Data Type Mapping'!A:B,2,)</f>
        <v>string</v>
      </c>
      <c r="I11" t="str">
        <f t="shared" si="16"/>
        <v xml:space="preserve">		public const int MaxMktCodeLength = 40;
</v>
      </c>
      <c r="J11" t="str">
        <f t="shared" si="17"/>
        <v xml:space="preserve">		[StringLength(MaxMktCodeLength)]
		public virtual string MktCode { get; set; }
</v>
      </c>
      <c r="K11" s="6"/>
      <c r="L11" t="str">
        <f t="shared" si="18"/>
        <v/>
      </c>
      <c r="M11" t="str">
        <f t="shared" si="19"/>
        <v xml:space="preserve">		public virtual string MktCode { get; set; }
</v>
      </c>
      <c r="N11" t="str">
        <f t="shared" si="20"/>
        <v xml:space="preserve">		[StringLength(InvPioPartListConsts.MaxMktCodeLength)]
		public virtual string MktCode { get; set; }
</v>
      </c>
      <c r="O11" t="str">
        <f t="shared" si="21"/>
        <v xml:space="preserve">		public virtual string MktCode { get; set; }
</v>
      </c>
      <c r="P11" t="str">
        <f t="shared" si="22"/>
        <v xml:space="preserve">							MktCode = o.MktCode,</v>
      </c>
      <c r="T11" s="63" t="str">
        <f t="shared" si="23"/>
        <v xml:space="preserve">								("MktCode"),</v>
      </c>
      <c r="V11" s="64" t="str">
        <f t="shared" si="24"/>
        <v xml:space="preserve">								_ =&gt; _.MktCode,</v>
      </c>
      <c r="W11" s="63" t="str">
        <f t="shared" si="25"/>
        <v xml:space="preserve">				.WhereIf(!string.IsNullOrWhiteSpace(input.MktCode), e =&gt; e.MktCode.Contains(input.MktCode))</v>
      </c>
    </row>
    <row r="12" spans="1:23" customFormat="1" ht="18.75" customHeight="1" x14ac:dyDescent="0.25">
      <c r="A12" s="28" t="s">
        <v>366</v>
      </c>
      <c r="B12" s="28" t="s">
        <v>352</v>
      </c>
      <c r="C12" t="s">
        <v>1</v>
      </c>
      <c r="D12" t="str">
        <f t="shared" ref="D12:D13" si="26">SUBSTITUTE(PROPER(A12),"_","")</f>
        <v>PartNo</v>
      </c>
      <c r="E12" t="str">
        <f t="shared" ref="E12:E13" si="27">IFERROR(LEFT(B12, FIND("(",B12)-1),B12)</f>
        <v>nvarchar</v>
      </c>
      <c r="F12" s="6"/>
      <c r="G12" t="str">
        <f t="shared" ref="G12:G13" si="28">IFERROR(MID(B12,FIND("(",B12) +1, FIND(")",B12) - FIND("(",B12) - 1),"")</f>
        <v>40</v>
      </c>
      <c r="H12" t="str">
        <f>+VLOOKUP(E12,'Data Type Mapping'!A:B,2,)</f>
        <v>string</v>
      </c>
      <c r="I12" t="str">
        <f t="shared" ref="I12:I13" si="29">IF(H12="string",REPT(CHAR(9),2)&amp;"public const int Max"&amp;D12&amp;"Length = "&amp;G12&amp;";"&amp;$E$3,"" )</f>
        <v xml:space="preserve">		public const int MaxPartNoLength = 40;
</v>
      </c>
      <c r="J12" t="str">
        <f t="shared" ref="J12:J13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[StringLength(MaxPartNoLength)]
		public virtual string PartNo { get; set; }
</v>
      </c>
      <c r="K12" s="6"/>
      <c r="L12" t="str">
        <f t="shared" ref="L12:L13" si="31">IF(K12="","",REPT(CHAR(9),1)&amp;"[Index(nameof("&amp;IF(D12="","",""&amp;D12)&amp;")"&amp;", Name="&amp;"""IX_"&amp;$B$7&amp;"_"&amp;D12&amp;""")]")</f>
        <v/>
      </c>
      <c r="M12" t="str">
        <f t="shared" ref="M12:M13" si="32">REPT(CHAR(9),2)&amp;"public virtual "&amp;IF(OR(H12="DateTime",H12="TimeSpan"),H12&amp;"?",H12)&amp;IF(C12="?","? "," ")&amp;D12&amp;" { get; set; }" &amp; "
"</f>
        <v xml:space="preserve">		public virtual string PartNo { get; set; }
</v>
      </c>
      <c r="N12" t="str">
        <f t="shared" ref="N12:N13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[StringLength(InvPioPartListConsts.MaxPartNoLength)]
		public virtual string PartNo { get; set; }
</v>
      </c>
      <c r="O12" t="str">
        <f t="shared" ref="O12:O13" si="34">IF(OR(H12="string",H12="DateTime",H12="int"),REPT(CHAR(9),2)&amp;"public virtual "&amp;IF(OR(H12="DateTime",H12="TimeSpan"),H12&amp;"?",H12)&amp;IF(C12="?","? "," ")&amp;D12&amp;" { get; set; }"&amp;$E$3,"")</f>
        <v xml:space="preserve">		public virtual string PartNo { get; set; }
</v>
      </c>
      <c r="P12" t="str">
        <f t="shared" ref="P12:P13" si="35">REPT(CHAR(9),7)&amp;D12&amp;" = o." &amp;D12 &amp;","</f>
        <v xml:space="preserve">							PartNo = o.PartNo,</v>
      </c>
      <c r="T12" s="63" t="str">
        <f t="shared" ref="T12:T13" si="36">REPT(CHAR(9),8)&amp;"("""&amp;D12&amp;"""),"</f>
        <v xml:space="preserve">								("PartNo"),</v>
      </c>
      <c r="V12" s="64" t="str">
        <f t="shared" ref="V12:V13" si="37">REPT(CHAR(9),8)&amp;"_ =&gt; _."&amp;D12&amp;","</f>
        <v xml:space="preserve">								_ =&gt; _.PartNo,</v>
      </c>
      <c r="W12" s="63" t="str">
        <f t="shared" ref="W12:W13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.WhereIf(!string.IsNullOrWhiteSpace(input.PartNo), e =&gt; e.PartNo.Contains(input.PartNo))</v>
      </c>
    </row>
    <row r="13" spans="1:23" customFormat="1" ht="18.75" customHeight="1" x14ac:dyDescent="0.25">
      <c r="A13" s="28" t="s">
        <v>367</v>
      </c>
      <c r="B13" s="28" t="s">
        <v>368</v>
      </c>
      <c r="C13" t="s">
        <v>1</v>
      </c>
      <c r="D13" t="str">
        <f t="shared" si="26"/>
        <v>PartType</v>
      </c>
      <c r="E13" t="str">
        <f t="shared" si="27"/>
        <v>nvarchar</v>
      </c>
      <c r="F13" s="6"/>
      <c r="G13" t="str">
        <f t="shared" si="28"/>
        <v>10</v>
      </c>
      <c r="H13" t="str">
        <f>+VLOOKUP(E13,'Data Type Mapping'!A:B,2,)</f>
        <v>string</v>
      </c>
      <c r="I13" t="str">
        <f t="shared" si="29"/>
        <v xml:space="preserve">		public const int MaxPartTypeLength = 10;
</v>
      </c>
      <c r="J13" t="str">
        <f t="shared" si="30"/>
        <v xml:space="preserve">		[StringLength(MaxPartTypeLength)]
		public virtual string PartType { get; set; }
</v>
      </c>
      <c r="K13" s="6"/>
      <c r="L13" t="str">
        <f t="shared" si="31"/>
        <v/>
      </c>
      <c r="M13" t="str">
        <f t="shared" si="32"/>
        <v xml:space="preserve">		public virtual string PartType { get; set; }
</v>
      </c>
      <c r="N13" t="str">
        <f t="shared" si="33"/>
        <v xml:space="preserve">		[StringLength(InvPioPartListConsts.MaxPartTypeLength)]
		public virtual string PartType { get; set; }
</v>
      </c>
      <c r="O13" t="str">
        <f t="shared" si="34"/>
        <v xml:space="preserve">		public virtual string PartType { get; set; }
</v>
      </c>
      <c r="P13" t="str">
        <f t="shared" si="35"/>
        <v xml:space="preserve">							PartType = o.PartType,</v>
      </c>
      <c r="T13" s="63" t="str">
        <f t="shared" si="36"/>
        <v xml:space="preserve">								("PartType"),</v>
      </c>
      <c r="V13" s="64" t="str">
        <f t="shared" si="37"/>
        <v xml:space="preserve">								_ =&gt; _.PartType,</v>
      </c>
      <c r="W13" s="63" t="str">
        <f t="shared" si="38"/>
        <v xml:space="preserve">				.WhereIf(!string.IsNullOrWhiteSpace(input.PartType), e =&gt; e.PartType.Contains(input.PartType))</v>
      </c>
    </row>
    <row r="14" spans="1:23" customFormat="1" ht="18.75" customHeight="1" x14ac:dyDescent="0.25">
      <c r="A14" s="28" t="s">
        <v>370</v>
      </c>
      <c r="B14" s="28" t="s">
        <v>371</v>
      </c>
      <c r="C14" t="s">
        <v>1</v>
      </c>
      <c r="D14" t="str">
        <f t="shared" ref="D14" si="39">SUBSTITUTE(PROPER(A14),"_","")</f>
        <v>Remark</v>
      </c>
      <c r="E14" t="str">
        <f t="shared" ref="E14" si="40">IFERROR(LEFT(B14, FIND("(",B14)-1),B14)</f>
        <v>nvarchar</v>
      </c>
      <c r="F14" s="6"/>
      <c r="G14" t="str">
        <f t="shared" ref="G14" si="41">IFERROR(MID(B14,FIND("(",B14) +1, FIND(")",B14) - FIND("(",B14) - 1),"")</f>
        <v>5000</v>
      </c>
      <c r="H14" t="str">
        <f>+VLOOKUP(E14,'Data Type Mapping'!A:B,2,)</f>
        <v>string</v>
      </c>
      <c r="I14" t="str">
        <f t="shared" ref="I14" si="42">IF(H14="string",REPT(CHAR(9),2)&amp;"public const int Max"&amp;D14&amp;"Length = "&amp;G14&amp;";"&amp;$E$3,"" )</f>
        <v xml:space="preserve">		public const int MaxRemarkLength = 5000;
</v>
      </c>
      <c r="J14" t="str">
        <f t="shared" ref="J14" si="43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[StringLength(MaxRemarkLength)]
		public virtual string Remark { get; set; }
</v>
      </c>
      <c r="K14" s="6"/>
      <c r="L14" t="str">
        <f t="shared" ref="L14" si="44">IF(K14="","",REPT(CHAR(9),1)&amp;"[Index(nameof("&amp;IF(D14="","",""&amp;D14)&amp;")"&amp;", Name="&amp;"""IX_"&amp;$B$7&amp;"_"&amp;D14&amp;""")]")</f>
        <v/>
      </c>
      <c r="M14" t="str">
        <f t="shared" ref="M14" si="45">REPT(CHAR(9),2)&amp;"public virtual "&amp;IF(OR(H14="DateTime",H14="TimeSpan"),H14&amp;"?",H14)&amp;IF(C14="?","? "," ")&amp;D14&amp;" { get; set; }" &amp; "
"</f>
        <v xml:space="preserve">		public virtual string Remark { get; set; }
</v>
      </c>
      <c r="N14" t="str">
        <f t="shared" ref="N14" si="46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[StringLength(InvPioPartListConsts.MaxRemarkLength)]
		public virtual string Remark { get; set; }
</v>
      </c>
      <c r="O14" t="str">
        <f t="shared" ref="O14" si="47">IF(OR(H14="string",H14="DateTime",H14="int"),REPT(CHAR(9),2)&amp;"public virtual "&amp;IF(OR(H14="DateTime",H14="TimeSpan"),H14&amp;"?",H14)&amp;IF(C14="?","? "," ")&amp;D14&amp;" { get; set; }"&amp;$E$3,"")</f>
        <v xml:space="preserve">		public virtual string Remark { get; set; }
</v>
      </c>
      <c r="P14" t="str">
        <f t="shared" ref="P14" si="48">REPT(CHAR(9),7)&amp;D14&amp;" = o." &amp;D14 &amp;","</f>
        <v xml:space="preserve">							Remark = o.Remark,</v>
      </c>
      <c r="T14" s="63" t="str">
        <f t="shared" ref="T14" si="49">REPT(CHAR(9),8)&amp;"("""&amp;D14&amp;"""),"</f>
        <v xml:space="preserve">								("Remark"),</v>
      </c>
      <c r="V14" s="64" t="str">
        <f t="shared" ref="V14" si="50">REPT(CHAR(9),8)&amp;"_ =&gt; _."&amp;D14&amp;","</f>
        <v xml:space="preserve">								_ =&gt; _.Remark,</v>
      </c>
      <c r="W14" s="63" t="str">
        <f t="shared" ref="W14" si="51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.WhereIf(!string.IsNullOrWhiteSpace(input.Remark), e =&gt; e.Remark.Contains(input.Remark))</v>
      </c>
    </row>
    <row r="15" spans="1:23" customFormat="1" ht="18.75" customHeight="1" x14ac:dyDescent="0.25">
      <c r="A15" s="28" t="s">
        <v>318</v>
      </c>
      <c r="B15" s="28" t="s">
        <v>353</v>
      </c>
      <c r="C15" t="s">
        <v>1</v>
      </c>
      <c r="D15" t="str">
        <f t="shared" ref="D15" si="52">SUBSTITUTE(PROPER(A15),"_","")</f>
        <v>IsActive</v>
      </c>
      <c r="E15" t="str">
        <f t="shared" ref="E15" si="53">IFERROR(LEFT(B15, FIND("(",B15)-1),B15)</f>
        <v>varchar</v>
      </c>
      <c r="F15" s="6"/>
      <c r="G15" t="str">
        <f t="shared" ref="G15" si="54">IFERROR(MID(B15,FIND("(",B15) +1, FIND(")",B15) - FIND("(",B15) - 1),"")</f>
        <v>1</v>
      </c>
      <c r="H15" t="str">
        <f>+VLOOKUP(E15,'Data Type Mapping'!A:B,2,)</f>
        <v>string</v>
      </c>
      <c r="I15" t="str">
        <f t="shared" ref="I15" si="55">IF(H15="string",REPT(CHAR(9),2)&amp;"public const int Max"&amp;D15&amp;"Length = "&amp;G15&amp;";"&amp;$E$3,"" )</f>
        <v xml:space="preserve">		public const int MaxIsActiveLength = 1;
</v>
      </c>
      <c r="J15" t="str">
        <f t="shared" ref="J15" si="56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[StringLength(MaxIsActiveLength)]
		public virtual string IsActive { get; set; }
</v>
      </c>
      <c r="K15" s="6"/>
      <c r="L15" t="str">
        <f t="shared" ref="L15" si="57">IF(K15="","",REPT(CHAR(9),1)&amp;"[Index(nameof("&amp;IF(D15="","",""&amp;D15)&amp;")"&amp;", Name="&amp;"""IX_"&amp;$B$7&amp;"_"&amp;D15&amp;""")]")</f>
        <v/>
      </c>
      <c r="M15" t="str">
        <f t="shared" ref="M15" si="58">REPT(CHAR(9),2)&amp;"public virtual "&amp;IF(OR(H15="DateTime",H15="TimeSpan"),H15&amp;"?",H15)&amp;IF(C15="?","? "," ")&amp;D15&amp;" { get; set; }" &amp; "
"</f>
        <v xml:space="preserve">		public virtual string IsActive { get; set; }
</v>
      </c>
      <c r="N15" t="str">
        <f t="shared" ref="N15" si="59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[StringLength(InvPioPartListConsts.MaxIsActiveLength)]
		public virtual string IsActive { get; set; }
</v>
      </c>
      <c r="O15" t="str">
        <f t="shared" ref="O15" si="60">IF(OR(H15="string",H15="DateTime",H15="int"),REPT(CHAR(9),2)&amp;"public virtual "&amp;IF(OR(H15="DateTime",H15="TimeSpan"),H15&amp;"?",H15)&amp;IF(C15="?","? "," ")&amp;D15&amp;" { get; set; }"&amp;$E$3,"")</f>
        <v xml:space="preserve">		public virtual string IsActive { get; set; }
</v>
      </c>
      <c r="P15" t="str">
        <f t="shared" ref="P15" si="61">REPT(CHAR(9),7)&amp;D15&amp;" = o." &amp;D15 &amp;","</f>
        <v xml:space="preserve">							IsActive = o.IsActive,</v>
      </c>
      <c r="T15" s="63" t="str">
        <f t="shared" ref="T15" si="62">REPT(CHAR(9),8)&amp;"("""&amp;D15&amp;"""),"</f>
        <v xml:space="preserve">								("IsActive"),</v>
      </c>
      <c r="V15" s="64" t="str">
        <f t="shared" ref="V15" si="63">REPT(CHAR(9),8)&amp;"_ =&gt; _."&amp;D15&amp;","</f>
        <v xml:space="preserve">								_ =&gt; _.IsActive,</v>
      </c>
      <c r="W15" s="63" t="str">
        <f t="shared" ref="W15" si="64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 xml:space="preserve">				.WhereIf(!string.IsNullOrWhiteSpace(input.IsActive), e =&gt; e.IsActive.Contains(input.IsActive))</v>
      </c>
    </row>
    <row r="17" spans="8:23" ht="45.75" customHeight="1" x14ac:dyDescent="0.25">
      <c r="H17" s="11"/>
      <c r="I17" s="31" t="str">
        <f ca="1">TEXTJOIN2("
", TRUE,INDIRECT( $H$1):INDIRECT( $H$3))</f>
        <v xml:space="preserve">		public const int MaxFullModelLength = 40;
		public const int MaxProdSfxLength = 40;
		public const int MaxMktCodeLength = 40;
		public const int MaxPartNoLength = 40;
		public const int MaxPartTypeLength = 10;
		public const int MaxRemarkLength = 5000;
		public const int MaxIsActiveLength = 1;
</v>
      </c>
      <c r="J17" s="30" t="str">
        <f ca="1">TEXTJOIN2("
", TRUE,INDIRECT( $F$1):INDIRECT( $F$3))</f>
        <v xml:space="preserve">		[StringLength(MaxFullModelLength)]
		public virtual string FullModel { get; set; }
		[StringLength(MaxProdSfxLength)]
		public virtual string ProdSfx { get; set; }
		[StringLength(MaxMktCodeLength)]
		public virtual string MktCode { get; set; }
		[StringLength(MaxPartNoLength)]
		public virtual string PartNo { get; set; }
		[StringLength(MaxPartTypeLength)]
		public virtual string PartType { get; set; }
		[StringLength(MaxRemarkLength)]
		public virtual string Remark { get; set; }
		[StringLength(MaxIsActiveLength)]
		public virtual string IsActive { get; set; }
</v>
      </c>
      <c r="K17" s="32" t="str">
        <f ca="1">TEXTJOIN2("
", TRUE,INDIRECT( $J$1):INDIRECT( $J$3))</f>
        <v/>
      </c>
      <c r="L17" s="12" t="s">
        <v>56</v>
      </c>
      <c r="M17" s="33" t="str">
        <f ca="1">TEXTJOIN2("
",TRUE,INDIRECT( $L$1):INDIRECT($L$3))</f>
        <v xml:space="preserve">		public virtual string FullModel { get; set; }
		public virtual string ProdSfx { get; set; }
		public virtual string MktCode { get; set; }
		public virtual string PartNo { get; set; }
		public virtual string PartType { get; set; }
		public virtual string Remark { get; set; }
		public virtual string IsActive { get; set; }
</v>
      </c>
      <c r="N17" s="30" t="str">
        <f ca="1">TEXTJOIN2("
",TRUE,INDIRECT( $M$1):INDIRECT($M$3))</f>
        <v xml:space="preserve">		[StringLength(InvPioPartListConsts.MaxFullModelLength)]
		public virtual string FullModel { get; set; }
		[StringLength(InvPioPartListConsts.MaxProdSfxLength)]
		public virtual string ProdSfx { get; set; }
		[StringLength(InvPioPartListConsts.MaxMktCodeLength)]
		public virtual string MktCode { get; set; }
		[StringLength(InvPioPartListConsts.MaxPartNoLength)]
		public virtual string PartNo { get; set; }
		[StringLength(InvPioPartListConsts.MaxPartTypeLength)]
		public virtual string PartType { get; set; }
		[StringLength(InvPioPartListConsts.MaxRemarkLength)]
		public virtual string Remark { get; set; }
		[StringLength(InvPioPartListConsts.MaxIsActiveLength)]
		public virtual string IsActive { get; set; }
</v>
      </c>
      <c r="O17" s="30" t="str">
        <f ca="1">TEXTJOIN2("
",TRUE,INDIRECT( $N$1):INDIRECT($N$3))</f>
        <v xml:space="preserve">		public virtual string FullModel { get; set; }
		public virtual string ProdSfx { get; set; }
		public virtual string MktCode { get; set; }
		public virtual string PartNo { get; set; }
		public virtual string PartType { get; set; }
		public virtual string Remark { get; set; }
		public virtual string IsActive { get; set; }
</v>
      </c>
      <c r="P17" s="8" t="str">
        <f ca="1">TEXTJOIN2("
",TRUE,INDIRECT( $O$1):INDIRECT($O$3))</f>
        <v xml:space="preserve">							FullModel = o.FullModel,
							ProdSfx = o.ProdSfx,
							MktCode = o.MktCode,
							PartNo = o.PartNo,
							PartType = o.PartType,
							Remark = o.Remark,
							IsActive = o.IsActive,</v>
      </c>
      <c r="T17" s="8" t="str">
        <f ca="1">TEXTJOIN2("
",TRUE,INDIRECT( $T$2):INDIRECT($T$3))</f>
        <v xml:space="preserve">								("FullModel"),
								("ProdSfx"),
								("MktCode"),
								("PartNo"),
								("PartType"),
								("Remark"),
								("IsActive"),</v>
      </c>
      <c r="V17" s="8" t="str">
        <f ca="1">TEXTJOIN2("
",TRUE,INDIRECT( $V$2):INDIRECT($V$3))</f>
        <v xml:space="preserve">								_ =&gt; _.FullModel,
								_ =&gt; _.ProdSfx,
								_ =&gt; _.MktCode,
								_ =&gt; _.PartNo,
								_ =&gt; _.PartType,
								_ =&gt; _.Remark,
								_ =&gt; _.IsActive,</v>
      </c>
      <c r="W17" s="8" t="str">
        <f ca="1">TEXTJOIN2("
",TRUE,INDIRECT( $W$2):INDIRECT($W$3))</f>
        <v xml:space="preserve">				.WhereIf(!string.IsNullOrWhiteSpace(input.FullModel), e =&gt; e.FullModel.Contains(input.FullModel))
				.WhereIf(!string.IsNullOrWhiteSpace(input.ProdSfx), e =&gt; e.ProdSfx.Contains(input.ProdSfx))
				.WhereIf(!string.IsNullOrWhiteSpace(input.MktCode), e =&gt; e.MktCode.Contains(input.MktCode))
				.WhereIf(!string.IsNullOrWhiteSpace(input.PartNo), e =&gt; e.PartNo.Contains(input.PartNo))
				.WhereIf(!string.IsNullOrWhiteSpace(input.PartType), e =&gt; e.PartType.Contains(input.PartType))
				.WhereIf(!string.IsNullOrWhiteSpace(input.Remark), e =&gt; e.Remark.Contains(input.Remark))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3"/>
  <sheetViews>
    <sheetView workbookViewId="0">
      <selection activeCell="A20" sqref="A20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369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PIO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pio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InvPioPartList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PartList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partlist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#VALUE!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Pio Part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[(ngModel)]='fullModel' name='fullModel'
									class='form-control' [placeholder]="l('Full Model')"
									type='text' (keyup.enter)='searchDatas()'&gt;
								&lt;/div&gt;
								&lt;div class='input-search'&gt;
									&lt;input [(ngModel)]='prodSfx' name='prodSfx'
									class='form-control' [placeholder]="l('Prod Sfx')"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&lt;create-or-edit-partlist-modal
    #createOrEditModalPartList
    (modalSave)="callBackDataGrid(dataParams)"
    (modalClose)="onChangeRowSelection(dataParams)"
&gt;
&lt;/create-or-edit-partlist-modal&gt;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PartList')}}&lt;/h3&gt;
                    &lt;h3 *ngIf="!rowdata.id"&gt;{{('Create New 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title'&gt;Full Model&lt;/label&gt;
						&lt;input type='text' class='col-md-10 form-control input-text' name='FullModel' [(ngModel)]='rowdata.fullModel'&gt;
					&lt;/div&gt;
					&lt;div class='col-md-12 form-group row'&gt;
						&lt;label class='col-md-2 form-control title'&gt;Prod Sfx&lt;/label&gt;
						&lt;input type='text' class='col-md-10 form-control input-text' name='ProdSfx' [(ngModel)]='rowdata.prodSfx'&gt;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CreateOrEditInvPioPartListDto, InvPioPartListServiceProxy } from '@shared/service-proxies/service-proxies';
import { BsDatepickerDirective } from 'ngx-bootstrap/datepicker';
@Component({
    selector: 'create-or-edit-partlist-modal',
    templateUrl: './create-or-edit-partlist-modal.component.html',
    styleUrls: ['./create-or-edit-partlist-modal.component.less']
    })
export class CreateOrEditPartListModalComponent extends AppComponentBase {
    @ViewChild('createOrEditModalPartList',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CreateOrEditInvPioPartListDto = new CreateOrEditInvPioPartListDto();
    active: boolean = false;
    saving: boolean = false;
    _isActive: boolean;
    constructor(
        injector: Injector,
        private _mstwptPartListService: InvPioPartListServiceProxy,
    ) 
    {
        super(injector);
    }
    show(rowdata?: CreateOrEditInvPioPartListDto): void {
        if (!rowdata) this.rowdata = new CreateOrEditInvPioPartListDto();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PartListRoutingModule } from './partlist-routing.module';
import { PartListComponent } from './partlist.component';
import { CreateOrEditPartListModalComponent } from './create-or-edit-partlist-modal.component';
@NgModule({
    declarations: [
       PartListComponent, 
        CreateOrEditPartListModalComponent
    ],
    imports: [
        AppSharedModule, PartListRoutingModule]
})
export class PartListModule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PartListComponent } from './partlist.component';
const routes: Routes = [{
    path: '',
    component: PartListComponent,
    pathMatch: 'full'
}];
@NgModule({
    imports: [RouterModule.forChild(routes)],
    exports: [RouterModule],
})
export class PartListRoutingModule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AppMenuItem("PartList", "Pages.Inventory.PIO.PartList", "flaticon-book",   "/app/main/inventory/pio/partlist"),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'inventory/pio/partlist',
    loadChildren: () =&gt; import('./inventory/pio/partlist/partlist.module').then(m =&gt; m.PartListModule),
    data: { permission: 'Pages.Inventory.PIO.PartList' }
},</v>
      </c>
      <c r="R10" s="47" t="str">
        <f>SUBSTITUTE(R9,"MstWptCalendar",$B$6)</f>
        <v>ApiServiceProxies.InvPioPartListServiceProxy,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H21</v>
      </c>
      <c r="I12" s="28" t="str">
        <f>"I"&amp;COUNTA($A:$A)</f>
        <v>I21</v>
      </c>
      <c r="J12" s="28"/>
      <c r="K12" s="28" t="str">
        <f>"K"&amp;COUNTA($A:$A)</f>
        <v>K21</v>
      </c>
      <c r="L12" s="28" t="str">
        <f>"L"&amp;COUNTA($A:$A)</f>
        <v>L21</v>
      </c>
      <c r="M12" s="28"/>
      <c r="N12" s="28"/>
      <c r="O12" s="28"/>
      <c r="P12" s="28"/>
      <c r="Q12" s="28"/>
      <c r="R12" s="28"/>
      <c r="S12" s="28" t="str">
        <f>"S"&amp;COUNTA($A:$A)</f>
        <v>S21</v>
      </c>
      <c r="T12" s="28" t="str">
        <f>"T"&amp;COUNTA($A:$A)</f>
        <v>T21</v>
      </c>
      <c r="U12" s="28" t="str">
        <f>"U"&amp;COUNTA($A:$A)</f>
        <v>U21</v>
      </c>
      <c r="V12" s="28" t="str">
        <f>"V"&amp;COUNTA($A:$A)</f>
        <v>V21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this.l('Full Model'),headerTooltip: this.l('Full Model'),field: 'fullModel',flex: 1},
			{headerName: this.l('Prod Sfx'),headerTooltip: this.l('Prod Sfx'),field: 'prodSfx',flex: 1},
			{headerName: this.l('Mkt Code'),headerTooltip: this.l('Mkt Code'),field: 'mktCode',flex: 1},
			{headerName: this.l('Part No'),headerTooltip: this.l('Part No'),field: 'partNo',flex: 1},
			{headerName: this.l('Part Type'),headerTooltip: this.l('Part Type'),field: 'partType',flex: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[(ngModel)]='fullModel' name='fullModel'
									class='form-control' [placeholder]="l('Full Model')"
									type='text' (keyup.enter)='searchDatas()'&gt;
								&lt;/div&gt;
								&lt;div class='input-search'&gt;
									&lt;input [(ngModel)]='prodSfx' name='prodSfx'
									class='form-control' [placeholder]="l('Prod Sfx')"
									type='text' (keyup.enter)='searchDatas()'&gt;
								&lt;/div&gt;
								&lt;div class='input-search'&gt;
									&lt;input [(ngModel)]='mktCode' name='mktCode'
									class='form-control' [placeholder]="l('Mkt Code')"
									type='text' (keyup.enter)='searchDatas()'&gt;
								&lt;/div&gt;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[(ngModel)]='partType' name='partType'
									class='form-control' [placeholder]="l('Part Type')"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title'&gt;Full Model&lt;/label&gt;
						&lt;input type='text' class='col-md-10 form-control input-text' name='FullModel' [(ngModel)]='rowdata.fullModel'&gt;
					&lt;/div&gt;
					&lt;div class='col-md-12 form-group row'&gt;
						&lt;label class='col-md-2 form-control title'&gt;Prod Sfx&lt;/label&gt;
						&lt;input type='text' class='col-md-10 form-control input-text' name='ProdSfx' [(ngModel)]='rowdata.prodSfx'&gt;
					&lt;/div&gt;
					&lt;div class='col-md-12 form-group row'&gt;
						&lt;label class='col-md-2 form-control title'&gt;Mkt Code&lt;/label&gt;
						&lt;input type='text' class='col-md-10 form-control input-text' name='MktCode' [(ngModel)]='rowdata.mktCode'&gt;
					&lt;/div&gt;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Type&lt;/label&gt;
						&lt;input type='text' class='col-md-10 form-control input-text' name='PartType' [(ngModel)]='rowdata.partType'&gt;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fullModel : string = '' ; 
	prodSfx : string = '' ; 
	mktCode : string = '' ; 
	partNo : string = '' ; 
	partType : string = '' ; 
	remark : string = '' ; 
</v>
      </c>
      <c r="T13" s="62" t="e">
        <f ca="1">TEXTJOIN2("
",TRUE,INDIRECT(T11):INDIRECT(T12))</f>
        <v>#VALUE!</v>
      </c>
      <c r="U13" s="62" t="str">
        <f ca="1">TEXTJOIN2("
",TRUE,INDIRECT(U11):INDIRECT(U12))</f>
        <v xml:space="preserve">	fullModel : string = '' ; 
	prodSfx : string = '' ; 
	mktCode : string = '' ; 
	partNo : string = '' ; 
	partType : string = '' ; 
	remark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partlist.component.ts</v>
      </c>
      <c r="I14" s="37" t="str">
        <f>B8&amp;".component.html"</f>
        <v>partlist.component.html</v>
      </c>
      <c r="J14" s="36" t="str">
        <f>B8&amp;".component.less"</f>
        <v>partlist.component.less</v>
      </c>
      <c r="K14" s="37" t="str">
        <f>"create-or-edit-"&amp;B8&amp;"-modal.component.html"</f>
        <v>create-or-edit-partlist-modal.component.html</v>
      </c>
      <c r="L14" s="37" t="str">
        <f>"create-or-edit-"&amp;B8&amp;"-modal.component.ts"</f>
        <v>create-or-edit-partlist-modal.component.ts</v>
      </c>
      <c r="M14" s="37" t="str">
        <f>"create-or-edit-"&amp;B8&amp;"-modal.component.less"</f>
        <v>create-or-edit-partlist-modal.component.less</v>
      </c>
      <c r="N14" s="37" t="str">
        <f>B8&amp;".module.ts"</f>
        <v>partlist.module.ts</v>
      </c>
      <c r="O14" s="37" t="str">
        <f>B8&amp;"-routing.module.ts"</f>
        <v>partlist-routing.module.ts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363</v>
      </c>
      <c r="B15" s="28" t="str">
        <f t="shared" ref="B15" si="0">SUBSTITUTE(PROPER(A15),"_","")</f>
        <v>FullModel</v>
      </c>
      <c r="C15" s="28" t="str">
        <f t="shared" ref="C15" si="1">SUBSTITUTE(PROPER(A15),"_"," ")</f>
        <v>Full Model</v>
      </c>
      <c r="D15" s="28" t="str">
        <f t="shared" ref="D15" si="2">LOWER(LEFT(B15,1))&amp;RIGHT(B15,LEN(B15) - 1)</f>
        <v>fullModel</v>
      </c>
      <c r="E15" s="28" t="str">
        <f>A.Backend!H9</f>
        <v>string</v>
      </c>
      <c r="F15" s="28" t="str">
        <f>A.Backend!G9</f>
        <v>40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this.l('Full Model'),headerTooltip: this.l('Full Model'),field: 'fullModel',flex: 1},</v>
      </c>
      <c r="I15" s="35" t="str">
        <f t="shared" ref="I15:I21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[(ngModel)]='fullModel' name='fullModel'
									class='form-control' [placeholder]="l('Full Model')"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title'&gt;Full Model&lt;/label&gt;
						&lt;input type='text' class='col-md-10 form-control input-text' name='FullModel' [(ngModel)]='rowdata.fullModel'&gt;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fullModel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fullModel : string = '' ; </v>
      </c>
      <c r="V15" s="28" t="str">
        <f t="shared" ref="V15" si="7">IF(AND(E15="string",F15="1"),D15,"")</f>
        <v/>
      </c>
    </row>
    <row r="16" spans="1:22" ht="18" customHeight="1" x14ac:dyDescent="0.25">
      <c r="A16" t="s">
        <v>364</v>
      </c>
      <c r="B16" s="28" t="str">
        <f t="shared" ref="B16:B21" si="8">SUBSTITUTE(PROPER(A16),"_","")</f>
        <v>ProdSfx</v>
      </c>
      <c r="C16" s="28" t="str">
        <f t="shared" ref="C16:C21" si="9">SUBSTITUTE(PROPER(A16),"_"," ")</f>
        <v>Prod Sfx</v>
      </c>
      <c r="D16" s="28" t="str">
        <f t="shared" ref="D16:D21" si="10">LOWER(LEFT(B16,1))&amp;RIGHT(B16,LEN(B16) - 1)</f>
        <v>prodSfx</v>
      </c>
      <c r="E16" s="28" t="str">
        <f>A.Backend!H10</f>
        <v>string</v>
      </c>
      <c r="F16" s="28" t="str">
        <f>A.Backend!G10</f>
        <v>40</v>
      </c>
      <c r="G16" s="28" t="str">
        <f t="shared" ref="G16:G21" si="11">IF(E16="string"," : string = '' ; ",IF(OR(E16="DateTime",E16="TimeSpan")," : any ;",IF(E16="int"," : number = 0 ;","")))</f>
        <v xml:space="preserve"> : string = '' ; </v>
      </c>
      <c r="H16" s="35" t="str">
        <f t="shared" ref="H16:H21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this.l('Prod Sfx'),headerTooltip: this.l('Prod Sfx'),field: 'prodSfx',flex: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[(ngModel)]='prodSfx' name='prodSfx'
									class='form-control' [placeholder]="l('Prod Sfx')"
									type='text' (keyup.enter)='searchDatas()'&gt;
								&lt;/div&gt;</v>
      </c>
      <c r="J16" s="28"/>
      <c r="K16" s="35" t="str">
        <f t="shared" ref="K16:K21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title'&gt;Prod Sfx&lt;/label&gt;
						&lt;input type='text' class='col-md-10 form-control input-text' name='ProdSfx' [(ngModel)]='rowdata.prodSfx'&gt;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1" si="15">IF(AND(E16="string",F16 &lt;&gt;"1"),(REPT(CHAR(9),1)&amp;D16&amp;G16),"")</f>
        <v xml:space="preserve">	prodSfx : string = '' ; </v>
      </c>
      <c r="T16" s="28" t="str">
        <f>IF(AND(E16="string",F16 &lt;&gt;"1"),(REPT(CHAR(9),3)&amp;"this."&amp;D15&amp;","),"")</f>
        <v xml:space="preserve">			this.fullModel,</v>
      </c>
      <c r="U16" s="28" t="str">
        <f t="shared" ref="U16:U21" si="16">IF(AND(E16="string",F16 &lt;&gt;"1"),(REPT(CHAR(9),1)&amp;D16&amp;G16),"")</f>
        <v xml:space="preserve">	prodSfx : string = '' ; </v>
      </c>
      <c r="V16" s="28" t="str">
        <f t="shared" ref="V16:V21" si="17">IF(AND(E16="string",F16="1"),D16,"")</f>
        <v/>
      </c>
    </row>
    <row r="17" spans="1:22" ht="18" customHeight="1" x14ac:dyDescent="0.25">
      <c r="A17" t="s">
        <v>365</v>
      </c>
      <c r="B17" s="28" t="str">
        <f t="shared" si="8"/>
        <v>MktCode</v>
      </c>
      <c r="C17" s="28" t="str">
        <f t="shared" si="9"/>
        <v>Mkt Code</v>
      </c>
      <c r="D17" s="28" t="str">
        <f t="shared" si="10"/>
        <v>mktCode</v>
      </c>
      <c r="E17" s="28" t="str">
        <f>A.Backend!H11</f>
        <v>string</v>
      </c>
      <c r="F17" s="28" t="str">
        <f>A.Backend!G11</f>
        <v>40</v>
      </c>
      <c r="G17" s="28" t="str">
        <f t="shared" si="11"/>
        <v xml:space="preserve"> : string = '' ; </v>
      </c>
      <c r="H17" s="35" t="str">
        <f t="shared" si="12"/>
        <v xml:space="preserve">			{headerName: this.l('Mkt Code'),headerTooltip: this.l('Mkt Code'),field: 'mktCode',flex: 1},</v>
      </c>
      <c r="I17" s="35" t="str">
        <f t="shared" si="5"/>
        <v xml:space="preserve">								&lt;div class='input-search'&gt;
									&lt;input [(ngModel)]='mktCode' name='mktCode'
									class='form-control' [placeholder]="l('Mkt Code')"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title'&gt;Mkt Code&lt;/label&gt;
						&lt;input type='text' class='col-md-10 form-control input-text' name='MktCode' [(ngModel)]='rowdata.mktCode'&gt;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mktCode : string = '' ; </v>
      </c>
      <c r="T17" s="28" t="str">
        <f t="shared" ref="T17:T19" si="18">IF(AND(E17="string",F17 &lt;&gt;"1"),(REPT(CHAR(9),3)&amp;"this."&amp;D16&amp;","),"")</f>
        <v xml:space="preserve">			this.prodSfx,</v>
      </c>
      <c r="U17" s="28" t="str">
        <f t="shared" si="16"/>
        <v xml:space="preserve">	mktCode : string = '' ; </v>
      </c>
      <c r="V17" s="28" t="str">
        <f t="shared" si="17"/>
        <v/>
      </c>
    </row>
    <row r="18" spans="1:22" ht="15" customHeight="1" x14ac:dyDescent="0.25">
      <c r="A18" t="s">
        <v>366</v>
      </c>
      <c r="B18" s="28" t="str">
        <f t="shared" si="8"/>
        <v>PartNo</v>
      </c>
      <c r="C18" s="28" t="str">
        <f t="shared" si="9"/>
        <v>Part No</v>
      </c>
      <c r="D18" s="28" t="str">
        <f t="shared" si="10"/>
        <v>partNo</v>
      </c>
      <c r="E18" s="28" t="str">
        <f>A.Backend!H12</f>
        <v>string</v>
      </c>
      <c r="F18" s="28" t="str">
        <f>A.Backend!G12</f>
        <v>40</v>
      </c>
      <c r="G18" s="28" t="str">
        <f t="shared" si="11"/>
        <v xml:space="preserve"> : string = '' ; </v>
      </c>
      <c r="H18" s="35" t="str">
        <f t="shared" si="12"/>
        <v xml:space="preserve">			{headerName: this.l('Part No'),headerTooltip: this.l('Part No'),field: 'partNo',flex: 1},</v>
      </c>
      <c r="I18" s="35" t="str">
        <f t="shared" si="5"/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partNo : string = '' ; </v>
      </c>
      <c r="T18" s="28" t="str">
        <f t="shared" si="18"/>
        <v xml:space="preserve">			this.mktCode,</v>
      </c>
      <c r="U18" s="28" t="str">
        <f t="shared" si="16"/>
        <v xml:space="preserve">	partNo : string = '' ; </v>
      </c>
      <c r="V18" s="28" t="str">
        <f t="shared" si="17"/>
        <v/>
      </c>
    </row>
    <row r="19" spans="1:22" ht="18" customHeight="1" x14ac:dyDescent="0.25">
      <c r="A19" t="s">
        <v>367</v>
      </c>
      <c r="B19" s="28" t="str">
        <f t="shared" si="8"/>
        <v>PartType</v>
      </c>
      <c r="C19" s="28" t="str">
        <f t="shared" si="9"/>
        <v>Part Type</v>
      </c>
      <c r="D19" s="28" t="str">
        <f t="shared" si="10"/>
        <v>partType</v>
      </c>
      <c r="E19" s="28" t="str">
        <f>A.Backend!H13</f>
        <v>string</v>
      </c>
      <c r="F19" s="28" t="str">
        <f>A.Backend!G13</f>
        <v>10</v>
      </c>
      <c r="G19" s="28" t="str">
        <f t="shared" si="11"/>
        <v xml:space="preserve"> : string = '' ; </v>
      </c>
      <c r="H19" s="35" t="str">
        <f t="shared" si="12"/>
        <v xml:space="preserve">			{headerName: this.l('Part Type'),headerTooltip: this.l('Part Type'),field: 'partType',flex: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[(ngModel)]='partType' name='partType'
									class='form-control' [placeholder]="l('Part Type')"
									type='text' (keyup.enter)='searchDatas()'&gt;
								&lt;/div&gt;</v>
      </c>
      <c r="J19" s="28"/>
      <c r="K19" s="35" t="str">
        <f t="shared" si="13"/>
        <v xml:space="preserve">					&lt;div class='col-md-12 form-group row'&gt;
						&lt;label class='col-md-2 form-control title'&gt;Part Type&lt;/label&gt;
						&lt;input type='text' class='col-md-10 form-control input-text' name='PartType' [(ngModel)]='rowdata.partType'&gt;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 xml:space="preserve">	partType : string = '' ; </v>
      </c>
      <c r="T19" s="28" t="str">
        <f t="shared" si="18"/>
        <v xml:space="preserve">			this.partNo,</v>
      </c>
      <c r="U19" s="28" t="str">
        <f t="shared" si="16"/>
        <v xml:space="preserve">	partType : string = '' ; </v>
      </c>
      <c r="V19" s="28" t="str">
        <f t="shared" si="17"/>
        <v/>
      </c>
    </row>
    <row r="20" spans="1:22" ht="18" customHeight="1" x14ac:dyDescent="0.25">
      <c r="A20" t="s">
        <v>370</v>
      </c>
      <c r="B20" s="28" t="str">
        <f t="shared" ref="B20" si="20">SUBSTITUTE(PROPER(A20),"_","")</f>
        <v>Remark</v>
      </c>
      <c r="C20" s="28" t="str">
        <f t="shared" ref="C20" si="21">SUBSTITUTE(PROPER(A20),"_"," ")</f>
        <v>Remark</v>
      </c>
      <c r="D20" s="28" t="str">
        <f t="shared" ref="D20" si="22">LOWER(LEFT(B20,1))&amp;RIGHT(B20,LEN(B20) - 1)</f>
        <v>remark</v>
      </c>
      <c r="E20" s="28" t="str">
        <f>A.Backend!H14</f>
        <v>string</v>
      </c>
      <c r="F20" s="28" t="str">
        <f>A.Backend!G14</f>
        <v>5000</v>
      </c>
      <c r="G20" s="28" t="str">
        <f t="shared" ref="G20" si="23">IF(E20="string"," : string = '' ; ",IF(OR(E20="DateTime",E20="TimeSpan")," : any ;",IF(E20="int"," : number = 0 ;","")))</f>
        <v xml:space="preserve"> : string = '' ; </v>
      </c>
      <c r="H20" s="35" t="str">
        <f t="shared" ref="H20" si="24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this.l('Remark'),headerTooltip: this.l('Remark'),field: 'remark',flex: 1},</v>
      </c>
      <c r="I20" s="35" t="str">
        <f t="shared" ref="I20" si="25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IF(AND(E20="string",F20 &lt;&gt;"1"),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20" s="28"/>
      <c r="K20" s="35" t="str">
        <f t="shared" ref="K20" si="26">IF(OR(E20="DateTime?",E20="TimeSpan?"),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IF(OR(E20="int?",E20="long?"),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20" s="56" t="str">
        <f t="shared" ref="L20" si="27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ref="S20" si="28">IF(AND(E20="string",F20 &lt;&gt;"1"),(REPT(CHAR(9),1)&amp;D20&amp;G20),"")</f>
        <v xml:space="preserve">	remark : string = '' ; </v>
      </c>
      <c r="T20" s="28" t="e">
        <f>IF(AND(E20="string",F20 &lt;&gt;"1"),(REPT(CHAR(9),3)&amp;"this."&amp;#REF!&amp;","),"")</f>
        <v>#REF!</v>
      </c>
      <c r="U20" s="28" t="str">
        <f t="shared" ref="U20" si="29">IF(AND(E20="string",F20 &lt;&gt;"1"),(REPT(CHAR(9),1)&amp;D20&amp;G20),"")</f>
        <v xml:space="preserve">	remark : string = '' ; </v>
      </c>
      <c r="V20" s="28" t="str">
        <f t="shared" ref="V20" si="30">IF(AND(E20="string",F20="1"),D20,"")</f>
        <v/>
      </c>
    </row>
    <row r="21" spans="1:22" ht="18" customHeight="1" x14ac:dyDescent="0.25">
      <c r="A21" t="s">
        <v>318</v>
      </c>
      <c r="B21" s="28" t="str">
        <f t="shared" si="8"/>
        <v>IsActive</v>
      </c>
      <c r="C21" s="28" t="str">
        <f t="shared" si="9"/>
        <v>Is Active</v>
      </c>
      <c r="D21" s="28" t="str">
        <f t="shared" si="10"/>
        <v>isActive</v>
      </c>
      <c r="E21" s="28" t="str">
        <f>A.Backend!H15</f>
        <v>string</v>
      </c>
      <c r="F21" s="28" t="str">
        <f>A.Backend!G15</f>
        <v>1</v>
      </c>
      <c r="G21" s="28" t="str">
        <f t="shared" si="11"/>
        <v xml:space="preserve"> : string = '' ; </v>
      </c>
      <c r="H21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1" s="35" t="str">
        <f t="shared" si="5"/>
        <v/>
      </c>
      <c r="J21" s="28"/>
      <c r="K21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5"/>
        <v/>
      </c>
      <c r="T21" s="28" t="str">
        <f>IF(AND(E21="string",F21 &lt;&gt;"1"),(REPT(CHAR(9),3)&amp;"this."&amp;#REF!&amp;","),"")</f>
        <v/>
      </c>
      <c r="U21" s="28" t="str">
        <f t="shared" si="16"/>
        <v/>
      </c>
      <c r="V21" s="28" t="str">
        <f t="shared" si="17"/>
        <v>isActive</v>
      </c>
    </row>
    <row r="23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351</v>
      </c>
    </row>
    <row r="6" spans="1:2" x14ac:dyDescent="0.25">
      <c r="A6" t="s">
        <v>23</v>
      </c>
      <c r="B6" t="s">
        <v>350</v>
      </c>
    </row>
    <row r="7" spans="1:2" x14ac:dyDescent="0.25">
      <c r="A7" t="s">
        <v>24</v>
      </c>
      <c r="B7" t="s">
        <v>345</v>
      </c>
    </row>
    <row r="8" spans="1:2" x14ac:dyDescent="0.25">
      <c r="A8" t="s">
        <v>4</v>
      </c>
      <c r="B8" t="s">
        <v>345</v>
      </c>
    </row>
    <row r="9" spans="1:2" x14ac:dyDescent="0.25">
      <c r="A9" t="s">
        <v>0</v>
      </c>
      <c r="B9" t="s">
        <v>346</v>
      </c>
    </row>
    <row r="10" spans="1:2" x14ac:dyDescent="0.25">
      <c r="A10" t="s">
        <v>25</v>
      </c>
      <c r="B10" t="s">
        <v>349</v>
      </c>
    </row>
    <row r="11" spans="1:2" x14ac:dyDescent="0.25">
      <c r="A11" t="s">
        <v>26</v>
      </c>
      <c r="B11" t="s">
        <v>349</v>
      </c>
    </row>
    <row r="12" spans="1:2" x14ac:dyDescent="0.25">
      <c r="A12" t="s">
        <v>27</v>
      </c>
      <c r="B12" t="s">
        <v>349</v>
      </c>
    </row>
    <row r="13" spans="1:2" x14ac:dyDescent="0.25">
      <c r="A13" t="s">
        <v>28</v>
      </c>
      <c r="B13" t="s">
        <v>349</v>
      </c>
    </row>
    <row r="14" spans="1:2" x14ac:dyDescent="0.25">
      <c r="A14" t="s">
        <v>29</v>
      </c>
      <c r="B14" t="s">
        <v>349</v>
      </c>
    </row>
    <row r="15" spans="1:2" x14ac:dyDescent="0.25">
      <c r="A15" t="s">
        <v>30</v>
      </c>
      <c r="B15" t="s">
        <v>349</v>
      </c>
    </row>
    <row r="16" spans="1:2" x14ac:dyDescent="0.25">
      <c r="A16" t="s">
        <v>31</v>
      </c>
      <c r="B16" t="s">
        <v>347</v>
      </c>
    </row>
    <row r="17" spans="1:2" x14ac:dyDescent="0.25">
      <c r="A17" t="s">
        <v>3</v>
      </c>
      <c r="B17" t="s">
        <v>347</v>
      </c>
    </row>
    <row r="18" spans="1:2" x14ac:dyDescent="0.25">
      <c r="A18" t="s">
        <v>33</v>
      </c>
      <c r="B18" t="s">
        <v>347</v>
      </c>
    </row>
    <row r="19" spans="1:2" x14ac:dyDescent="0.25">
      <c r="A19" t="s">
        <v>2</v>
      </c>
      <c r="B19" t="s">
        <v>347</v>
      </c>
    </row>
    <row r="20" spans="1:2" x14ac:dyDescent="0.25">
      <c r="A20" t="s">
        <v>262</v>
      </c>
      <c r="B20" t="s">
        <v>348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2023-08-14T08:20:04Z</dcterms:modified>
</cp:coreProperties>
</file>
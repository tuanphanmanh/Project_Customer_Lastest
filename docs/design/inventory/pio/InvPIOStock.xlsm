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inventory\pio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externalReferences>
    <externalReference r:id="rId6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8" i="5" l="1"/>
  <c r="E28" i="5"/>
  <c r="D28" i="5"/>
  <c r="C28" i="5"/>
  <c r="B28" i="5"/>
  <c r="L22" i="1"/>
  <c r="G22" i="1"/>
  <c r="E22" i="1"/>
  <c r="H22" i="1" s="1"/>
  <c r="D22" i="1"/>
  <c r="T22" i="1" s="1"/>
  <c r="H28" i="5" l="1"/>
  <c r="V28" i="5"/>
  <c r="I28" i="5"/>
  <c r="T28" i="5"/>
  <c r="K28" i="5"/>
  <c r="G28" i="5"/>
  <c r="S28" i="5" s="1"/>
  <c r="L28" i="5"/>
  <c r="W22" i="1"/>
  <c r="O22" i="1"/>
  <c r="J22" i="1"/>
  <c r="M22" i="1"/>
  <c r="N22" i="1"/>
  <c r="I22" i="1"/>
  <c r="V22" i="1"/>
  <c r="P22" i="1"/>
  <c r="F27" i="5"/>
  <c r="E27" i="5"/>
  <c r="D27" i="5"/>
  <c r="C27" i="5"/>
  <c r="B27" i="5"/>
  <c r="F26" i="5"/>
  <c r="E26" i="5"/>
  <c r="T26" i="5" s="1"/>
  <c r="C26" i="5"/>
  <c r="B26" i="5"/>
  <c r="D26" i="5" s="1"/>
  <c r="F25" i="5"/>
  <c r="E25" i="5"/>
  <c r="V25" i="5" s="1"/>
  <c r="D25" i="5"/>
  <c r="C25" i="5"/>
  <c r="B25" i="5"/>
  <c r="L24" i="5"/>
  <c r="G24" i="5"/>
  <c r="F24" i="5"/>
  <c r="E24" i="5"/>
  <c r="T24" i="5" s="1"/>
  <c r="C24" i="5"/>
  <c r="B24" i="5"/>
  <c r="D24" i="5" s="1"/>
  <c r="F23" i="5"/>
  <c r="E23" i="5"/>
  <c r="V23" i="5" s="1"/>
  <c r="D23" i="5"/>
  <c r="C23" i="5"/>
  <c r="B23" i="5"/>
  <c r="T21" i="1"/>
  <c r="L21" i="1"/>
  <c r="H21" i="1"/>
  <c r="W21" i="1" s="1"/>
  <c r="G21" i="1"/>
  <c r="E21" i="1"/>
  <c r="D21" i="1"/>
  <c r="V21" i="1" s="1"/>
  <c r="L20" i="1"/>
  <c r="G20" i="1"/>
  <c r="E20" i="1"/>
  <c r="H20" i="1" s="1"/>
  <c r="D20" i="1"/>
  <c r="T20" i="1" s="1"/>
  <c r="T19" i="1"/>
  <c r="L19" i="1"/>
  <c r="H19" i="1"/>
  <c r="W19" i="1" s="1"/>
  <c r="G19" i="1"/>
  <c r="E19" i="1"/>
  <c r="D19" i="1"/>
  <c r="V19" i="1" s="1"/>
  <c r="L18" i="1"/>
  <c r="G18" i="1"/>
  <c r="E18" i="1"/>
  <c r="H18" i="1" s="1"/>
  <c r="D18" i="1"/>
  <c r="T18" i="1" s="1"/>
  <c r="T17" i="1"/>
  <c r="P17" i="1"/>
  <c r="L17" i="1"/>
  <c r="H17" i="1"/>
  <c r="W17" i="1" s="1"/>
  <c r="G17" i="1"/>
  <c r="E17" i="1"/>
  <c r="D17" i="1"/>
  <c r="V17" i="1" s="1"/>
  <c r="L26" i="5" l="1"/>
  <c r="V27" i="5"/>
  <c r="U28" i="5"/>
  <c r="H23" i="5"/>
  <c r="S23" i="5"/>
  <c r="S24" i="5"/>
  <c r="G26" i="5"/>
  <c r="S26" i="5" s="1"/>
  <c r="K24" i="5"/>
  <c r="U24" i="5"/>
  <c r="H25" i="5"/>
  <c r="K26" i="5"/>
  <c r="U26" i="5"/>
  <c r="H27" i="5"/>
  <c r="I23" i="5"/>
  <c r="T23" i="5"/>
  <c r="V24" i="5"/>
  <c r="I25" i="5"/>
  <c r="T25" i="5"/>
  <c r="V26" i="5"/>
  <c r="I27" i="5"/>
  <c r="T27" i="5"/>
  <c r="K23" i="5"/>
  <c r="U23" i="5"/>
  <c r="H24" i="5"/>
  <c r="K25" i="5"/>
  <c r="H26" i="5"/>
  <c r="K27" i="5"/>
  <c r="G23" i="5"/>
  <c r="L23" i="5"/>
  <c r="I24" i="5"/>
  <c r="G25" i="5"/>
  <c r="U25" i="5" s="1"/>
  <c r="L25" i="5"/>
  <c r="I26" i="5"/>
  <c r="G27" i="5"/>
  <c r="S27" i="5" s="1"/>
  <c r="L27" i="5"/>
  <c r="M18" i="1"/>
  <c r="W18" i="1"/>
  <c r="O18" i="1"/>
  <c r="J18" i="1"/>
  <c r="N18" i="1"/>
  <c r="I18" i="1"/>
  <c r="M20" i="1"/>
  <c r="W20" i="1"/>
  <c r="O20" i="1"/>
  <c r="J20" i="1"/>
  <c r="N20" i="1"/>
  <c r="I20" i="1"/>
  <c r="V18" i="1"/>
  <c r="P19" i="1"/>
  <c r="V20" i="1"/>
  <c r="P21" i="1"/>
  <c r="M17" i="1"/>
  <c r="M19" i="1"/>
  <c r="I17" i="1"/>
  <c r="N17" i="1"/>
  <c r="P18" i="1"/>
  <c r="I19" i="1"/>
  <c r="N19" i="1"/>
  <c r="P20" i="1"/>
  <c r="I21" i="1"/>
  <c r="N21" i="1"/>
  <c r="M21" i="1"/>
  <c r="J17" i="1"/>
  <c r="O17" i="1"/>
  <c r="J19" i="1"/>
  <c r="O19" i="1"/>
  <c r="J21" i="1"/>
  <c r="O21" i="1"/>
  <c r="F22" i="5"/>
  <c r="E22" i="5"/>
  <c r="D22" i="5"/>
  <c r="C22" i="5"/>
  <c r="B22" i="5"/>
  <c r="F21" i="5"/>
  <c r="C21" i="5"/>
  <c r="B21" i="5"/>
  <c r="D21" i="5" s="1"/>
  <c r="T16" i="1"/>
  <c r="P16" i="1"/>
  <c r="L16" i="1"/>
  <c r="H16" i="1"/>
  <c r="W16" i="1" s="1"/>
  <c r="G16" i="1"/>
  <c r="E16" i="1"/>
  <c r="D16" i="1"/>
  <c r="V16" i="1" s="1"/>
  <c r="L15" i="1"/>
  <c r="G15" i="1"/>
  <c r="E15" i="1"/>
  <c r="H15" i="1" s="1"/>
  <c r="E21" i="5" s="1"/>
  <c r="D15" i="1"/>
  <c r="T15" i="1" s="1"/>
  <c r="B7" i="1"/>
  <c r="B6" i="1"/>
  <c r="U27" i="5" l="1"/>
  <c r="V22" i="5"/>
  <c r="S25" i="5"/>
  <c r="T21" i="5"/>
  <c r="G21" i="5"/>
  <c r="L21" i="5"/>
  <c r="S21" i="5"/>
  <c r="S22" i="5"/>
  <c r="H22" i="5"/>
  <c r="K21" i="5"/>
  <c r="U21" i="5"/>
  <c r="I22" i="5"/>
  <c r="T22" i="5"/>
  <c r="K22" i="5"/>
  <c r="U22" i="5"/>
  <c r="V21" i="5"/>
  <c r="H21" i="5"/>
  <c r="I21" i="5"/>
  <c r="G22" i="5"/>
  <c r="L22" i="5"/>
  <c r="M15" i="1"/>
  <c r="W15" i="1"/>
  <c r="O15" i="1"/>
  <c r="J15" i="1"/>
  <c r="N15" i="1"/>
  <c r="I15" i="1"/>
  <c r="V15" i="1"/>
  <c r="P15" i="1"/>
  <c r="I16" i="1"/>
  <c r="N16" i="1"/>
  <c r="M16" i="1"/>
  <c r="J16" i="1"/>
  <c r="O16" i="1"/>
  <c r="B16" i="5"/>
  <c r="D16" i="5" s="1"/>
  <c r="C16" i="5"/>
  <c r="B17" i="5"/>
  <c r="D17" i="5" s="1"/>
  <c r="C17" i="5"/>
  <c r="B18" i="5"/>
  <c r="D18" i="5" s="1"/>
  <c r="C18" i="5"/>
  <c r="B19" i="5"/>
  <c r="D19" i="5" s="1"/>
  <c r="C19" i="5"/>
  <c r="B20" i="5"/>
  <c r="D20" i="5" s="1"/>
  <c r="C20" i="5"/>
  <c r="B29" i="5"/>
  <c r="D29" i="5" s="1"/>
  <c r="C29" i="5"/>
  <c r="L23" i="1" l="1"/>
  <c r="G23" i="1"/>
  <c r="F29" i="5" s="1"/>
  <c r="E23" i="1"/>
  <c r="H23" i="1" s="1"/>
  <c r="D23" i="1"/>
  <c r="V23" i="1" s="1"/>
  <c r="W23" i="1" l="1"/>
  <c r="E29" i="5"/>
  <c r="P23" i="1"/>
  <c r="T23" i="1"/>
  <c r="I23" i="1"/>
  <c r="N23" i="1"/>
  <c r="M23" i="1"/>
  <c r="J23" i="1"/>
  <c r="O23" i="1"/>
  <c r="B7" i="5"/>
  <c r="B6" i="5"/>
  <c r="B2" i="5"/>
  <c r="G29" i="5" l="1"/>
  <c r="S29" i="5"/>
  <c r="U29" i="5"/>
  <c r="V29" i="5"/>
  <c r="K29" i="5"/>
  <c r="T29" i="5"/>
  <c r="I29" i="5"/>
  <c r="H29" i="5"/>
  <c r="B8" i="5"/>
  <c r="B3" i="5"/>
  <c r="L14" i="1"/>
  <c r="G14" i="1"/>
  <c r="F20" i="5" s="1"/>
  <c r="E14" i="1"/>
  <c r="H14" i="1" s="1"/>
  <c r="E20" i="5" s="1"/>
  <c r="D14" i="1"/>
  <c r="T14" i="1" s="1"/>
  <c r="G20" i="5" l="1"/>
  <c r="U20" i="5"/>
  <c r="V20" i="5"/>
  <c r="K20" i="5"/>
  <c r="T20" i="5"/>
  <c r="I20" i="5"/>
  <c r="S20" i="5"/>
  <c r="H20" i="5"/>
  <c r="L29" i="5"/>
  <c r="L20" i="5"/>
  <c r="M14" i="1"/>
  <c r="I14" i="1"/>
  <c r="N14" i="1"/>
  <c r="V14" i="1"/>
  <c r="J14" i="1"/>
  <c r="O14" i="1"/>
  <c r="W14" i="1"/>
  <c r="P14" i="1"/>
  <c r="G13" i="1" l="1"/>
  <c r="F19" i="5" s="1"/>
  <c r="E13" i="1"/>
  <c r="H13" i="1" s="1"/>
  <c r="E19" i="5" s="1"/>
  <c r="D13" i="1"/>
  <c r="V13" i="1" s="1"/>
  <c r="G19" i="5" l="1"/>
  <c r="K19" i="5"/>
  <c r="T19" i="5"/>
  <c r="S19" i="5"/>
  <c r="U19" i="5"/>
  <c r="I19" i="5"/>
  <c r="V19" i="5"/>
  <c r="H19" i="5"/>
  <c r="L19" i="5"/>
  <c r="W13" i="1"/>
  <c r="N13" i="1"/>
  <c r="I13" i="1"/>
  <c r="M13" i="1"/>
  <c r="O13" i="1"/>
  <c r="J13" i="1"/>
  <c r="L13" i="1"/>
  <c r="P13" i="1"/>
  <c r="T13" i="1"/>
  <c r="C15" i="5"/>
  <c r="B15" i="5"/>
  <c r="D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G18" i="5" l="1"/>
  <c r="U18" i="5" s="1"/>
  <c r="T18" i="5"/>
  <c r="I18" i="5"/>
  <c r="V18" i="5"/>
  <c r="K18" i="5"/>
  <c r="H18" i="5"/>
  <c r="G17" i="5"/>
  <c r="S17" i="5"/>
  <c r="U17" i="5"/>
  <c r="I17" i="5"/>
  <c r="V17" i="5"/>
  <c r="K17" i="5"/>
  <c r="T17" i="5"/>
  <c r="H17" i="5"/>
  <c r="L18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S18" i="5" l="1"/>
  <c r="G9" i="1"/>
  <c r="F15" i="5" s="1"/>
  <c r="E9" i="1"/>
  <c r="H9" i="1" s="1"/>
  <c r="E15" i="5" s="1"/>
  <c r="D9" i="1"/>
  <c r="V9" i="1" s="1"/>
  <c r="I15" i="5" l="1"/>
  <c r="T15" i="5"/>
  <c r="K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G10" i="1" l="1"/>
  <c r="F16" i="5" s="1"/>
  <c r="E10" i="1"/>
  <c r="H10" i="1" s="1"/>
  <c r="E16" i="5" s="1"/>
  <c r="D10" i="1"/>
  <c r="T10" i="1" s="1"/>
  <c r="H16" i="5" l="1"/>
  <c r="T16" i="5"/>
  <c r="V16" i="5"/>
  <c r="K16" i="5"/>
  <c r="I16" i="5"/>
  <c r="G16" i="5"/>
  <c r="U16" i="5" s="1"/>
  <c r="L16" i="5"/>
  <c r="P10" i="1"/>
  <c r="V10" i="1"/>
  <c r="W10" i="1"/>
  <c r="J10" i="1"/>
  <c r="I10" i="1"/>
  <c r="O10" i="1"/>
  <c r="N10" i="1"/>
  <c r="M10" i="1"/>
  <c r="S16" i="5" l="1"/>
  <c r="W3" i="1"/>
  <c r="V3" i="1"/>
  <c r="U7" i="1" l="1"/>
  <c r="T3" i="1" l="1"/>
  <c r="F3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V25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25" i="1"/>
  <c r="T13" i="5"/>
  <c r="T7" i="1" l="1"/>
  <c r="W25" i="1"/>
  <c r="G6" i="1" l="1"/>
  <c r="H13" i="5"/>
  <c r="L13" i="5"/>
  <c r="S13" i="5"/>
  <c r="U13" i="5"/>
  <c r="K13" i="5"/>
  <c r="I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C6" i="1" l="1"/>
  <c r="P7" i="1" s="1"/>
  <c r="S3" i="1"/>
  <c r="S7" i="1" s="1"/>
  <c r="E6" i="1"/>
  <c r="F69" i="3"/>
  <c r="I3" i="1" l="1"/>
  <c r="L9" i="1" l="1"/>
  <c r="L10" i="1"/>
  <c r="C7" i="1"/>
  <c r="N25" i="1"/>
  <c r="O25" i="1"/>
  <c r="P25" i="1"/>
  <c r="I25" i="1"/>
  <c r="J25" i="1"/>
  <c r="Q7" i="1" l="1"/>
  <c r="M69" i="3" s="1"/>
  <c r="L7" i="1"/>
  <c r="G69" i="3" s="1"/>
  <c r="K69" i="3"/>
  <c r="J69" i="3"/>
  <c r="K25" i="1"/>
  <c r="M25" i="1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<sst xmlns="http://schemas.openxmlformats.org/spreadsheetml/2006/main" count="495" uniqueCount="385">
  <si>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</si>
  <si>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</si>
  <si>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</si>
  <si>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</si>
  <si>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</si>
  <si>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</si>
  <si>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</si>
  <si>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</si>
  <si>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</si>
  <si>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</si>
  <si>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</si>
  <si>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</si>
  <si>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</si>
  <si>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</si>
  <si>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</si>
  <si>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</si>
  <si>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</si>
  <si>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</si>
  <si>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</si>
  <si>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</si>
  <si>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</si>
  <si>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</si>
  <si>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</si>
  <si>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</si>
  <si>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</si>
  <si>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</si>
  <si>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</si>
  <si>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</si>
  <si>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</si>
  <si>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</si>
  <si>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</si>
  <si>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</si>
  <si>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</si>
  <si>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</si>
  <si>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</si>
  <si>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</si>
  <si>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</si>
  <si>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</si>
  <si>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</si>
  <si>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</si>
  <si>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</si>
  <si>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</si>
  <si>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</si>
  <si>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</si>
  <si>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</si>
  <si>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</si>
  <si>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</si>
  <si>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</si>
  <si>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</si>
  <si>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</si>
  <si>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</si>
  <si>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</si>
  <si>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</si>
  <si>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</si>
  <si>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</si>
  <si>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</si>
  <si>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</si>
  <si>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</si>
  <si>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</si>
  <si>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</si>
  <si>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</si>
  <si>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</si>
  <si>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</si>
  <si>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</si>
  <si>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</si>
  <si>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</si>
  <si>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</si>
  <si>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</si>
  <si>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</si>
  <si>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</si>
  <si>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</si>
  <si>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</si>
  <si>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</si>
  <si>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</si>
  <si>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</si>
  <si>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</si>
  <si>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</si>
  <si>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</si>
  <si>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</si>
  <si>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</si>
  <si>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</si>
  <si>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</si>
  <si>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</si>
  <si>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</si>
  <si>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</si>
  <si>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</si>
  <si>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</si>
  <si>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</si>
  <si>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</si>
  <si>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</si>
  <si>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</si>
  <si>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</si>
  <si>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</si>
  <si>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</si>
  <si>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</si>
  <si>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</si>
  <si>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</si>
  <si>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</si>
  <si>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</si>
  <si>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</si>
  <si>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</si>
  <si>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</si>
  <si>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</si>
  <si>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</si>
  <si>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</si>
  <si>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</si>
  <si>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</si>
  <si>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</si>
  <si>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</si>
  <si>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</si>
  <si>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</si>
  <si>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</si>
  <si>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</si>
  <si>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</si>
  <si>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</si>
  <si>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</si>
  <si>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</si>
  <si>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</si>
  <si>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</si>
  <si>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</si>
  <si>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</si>
  <si>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</si>
  <si>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</si>
  <si>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</si>
  <si>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</si>
  <si>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</si>
  <si>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</si>
  <si>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</si>
  <si>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</si>
  <si>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</si>
  <si>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</si>
  <si>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</si>
  <si>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</si>
  <si>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</si>
  <si>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</si>
  <si>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</si>
  <si>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</si>
  <si>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</si>
  <si>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</si>
  <si>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</si>
  <si>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</si>
  <si>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</si>
  <si>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</si>
  <si>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</si>
  <si>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</si>
  <si>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</si>
  <si>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</si>
  <si>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</si>
  <si>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</si>
  <si>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</si>
  <si>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</si>
  <si>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</si>
  <si>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</si>
  <si>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</si>
  <si>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</si>
  <si>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</si>
  <si>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</si>
  <si>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</si>
  <si>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</si>
  <si>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</si>
  <si>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</si>
  <si>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</si>
  <si>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</si>
  <si>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</si>
  <si>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</si>
  <si>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</si>
  <si>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</si>
  <si>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</si>
  <si>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</si>
  <si>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</si>
  <si>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</si>
  <si>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</si>
  <si>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</si>
  <si>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</si>
  <si>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</si>
  <si>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</si>
  <si>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</si>
  <si>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</si>
  <si>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</si>
  <si>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</si>
  <si>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</si>
  <si>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</si>
  <si>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</si>
  <si>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</si>
  <si>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</si>
  <si>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</si>
  <si>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</si>
  <si>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</si>
  <si>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</si>
  <si>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</si>
  <si>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</si>
  <si>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</si>
  <si>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</si>
  <si>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</si>
  <si>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</si>
  <si>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</si>
  <si>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</si>
  <si>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</si>
  <si>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</si>
  <si>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</si>
  <si>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</si>
  <si>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</si>
  <si>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</si>
  <si>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</si>
  <si>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</si>
  <si>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</si>
  <si>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</si>
  <si>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</si>
  <si>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</si>
  <si>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</si>
  <si>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</si>
  <si>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</si>
  <si>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</si>
  <si>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</si>
  <si>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</si>
  <si>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</si>
  <si>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</si>
  <si>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</si>
  <si>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</si>
  <si>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</si>
  <si>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</si>
  <si>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</si>
  <si>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</si>
  <si>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</si>
  <si>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</si>
  <si>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</si>
  <si>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</si>
  <si>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</si>
  <si>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</si>
  <si>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</si>
  <si>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</si>
  <si>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</si>
  <si>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</si>
  <si>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</si>
  <si>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</si>
  <si>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</si>
  <si>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</si>
  <si>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</si>
  <si>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</si>
  <si>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</si>
  <si>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</si>
  <si>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</si>
  <si>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</si>
  <si>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</si>
  <si>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</si>
  <si>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</si>
  <si>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</si>
  <si>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</si>
  <si>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</si>
  <si>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</si>
  <si>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</si>
  <si>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</si>
  <si>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</si>
  <si>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</si>
  <si>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</si>
  <si>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</si>
  <si>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</si>
  <si>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</si>
  <si>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</si>
  <si>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</si>
  <si>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</si>
  <si>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</si>
  <si>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</si>
  <si>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</si>
  <si>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</si>
  <si>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</si>
  <si>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</si>
  <si>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</si>
  <si>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</si>
  <si>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</si>
  <si>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</si>
  <si>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</si>
  <si>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</si>
  <si>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</si>
  <si>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</si>
  <si>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</si>
  <si>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</si>
  <si>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</si>
  <si>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</si>
  <si>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</si>
  <si>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</si>
  <si>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</si>
  <si>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</si>
  <si>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</si>
  <si>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</si>
  <si>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</si>
  <si>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</si>
  <si>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</si>
  <si>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</si>
  <si>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</si>
  <si>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</si>
  <si>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</si>
  <si>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</si>
  <si>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</si>
  <si>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</si>
  <si>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</si>
  <si>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</si>
  <si>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</si>
  <si>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</si>
  <si>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</si>
  <si>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</si>
  <si>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</si>
  <si>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</si>
  <si>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</si>
  <si>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</si>
  <si>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</si>
  <si>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</si>
  <si>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</si>
  <si>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</si>
  <si>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</si>
  <si>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</si>
  <si>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</si>
  <si>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</si>
  <si>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</si>
  <si>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</si>
  <si>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</si>
  <si>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</si>
  <si>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</si>
  <si>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</si>
  <si>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</si>
  <si>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</si>
  <si>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</si>
  <si>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</si>
  <si>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</si>
  <si>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</si>
  <si>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</si>
  <si>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</si>
  <si>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</si>
  <si>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</si>
  <si>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</si>
  <si>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</si>
  <si>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</si>
  <si>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</si>
  <si>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</si>
  <si>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</si>
  <si>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</si>
  <si>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</si>
  <si>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</si>
  <si>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</si>
  <si>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</si>
  <si>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</si>
  <si>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</si>
  <si>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</si>
  <si>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</si>
  <si>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</si>
  <si>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</si>
  <si>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</si>
  <si>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</si>
  <si>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</si>
  <si>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</si>
  <si>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</si>
  <si>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</si>
  <si>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nvarchar(40)</t>
  </si>
  <si>
    <t>nvarchar(100)</t>
  </si>
  <si>
    <t>varchar(1)</t>
  </si>
  <si>
    <t>CPS</t>
  </si>
  <si>
    <t>Cps</t>
  </si>
  <si>
    <t>InvCps</t>
  </si>
  <si>
    <t>IHP</t>
  </si>
  <si>
    <t>Ihp</t>
  </si>
  <si>
    <t>InvIhp</t>
  </si>
  <si>
    <t>Inhouse Part</t>
  </si>
  <si>
    <t>Inventory.PIO</t>
  </si>
  <si>
    <t>PART_NO</t>
  </si>
  <si>
    <t>PART_NAME</t>
  </si>
  <si>
    <t>PART_ID</t>
  </si>
  <si>
    <t>MKT_CODE</t>
  </si>
  <si>
    <t>WORKING_DATE</t>
  </si>
  <si>
    <t>QTY</t>
  </si>
  <si>
    <t>TRANS_DATETIME</t>
  </si>
  <si>
    <t>TRANS_ID</t>
  </si>
  <si>
    <t>nvarchar(200)</t>
  </si>
  <si>
    <t>BIGINT</t>
  </si>
  <si>
    <t>DATETIME</t>
  </si>
  <si>
    <t>INT</t>
  </si>
  <si>
    <t>InvPIOStock</t>
  </si>
  <si>
    <t>Stock</t>
  </si>
  <si>
    <t>PIO Stock</t>
  </si>
  <si>
    <t>VEHICLE_ID</t>
  </si>
  <si>
    <t>VIN_NO</t>
  </si>
  <si>
    <t>PART_TYPE</t>
  </si>
  <si>
    <t>SHOP</t>
  </si>
  <si>
    <t>nvarchar(20)</t>
  </si>
  <si>
    <t>CART_TYPE</t>
  </si>
  <si>
    <t>INTERIOR_COLOR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</si>
</sst>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vPIOStockRundow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7">
          <cell r="G17" t="str">
            <v/>
          </cell>
          <cell r="H17" t="str">
            <v>long?</v>
          </cell>
        </row>
        <row r="18">
          <cell r="G18" t="str">
            <v>40</v>
          </cell>
          <cell r="H18" t="str">
            <v>string</v>
          </cell>
        </row>
        <row r="19">
          <cell r="G19" t="str">
            <v>40</v>
          </cell>
          <cell r="H19" t="str">
            <v>string</v>
          </cell>
        </row>
        <row r="20">
          <cell r="G20" t="str">
            <v>20</v>
          </cell>
          <cell r="H20" t="str">
            <v>string</v>
          </cell>
        </row>
        <row r="21">
          <cell r="G21" t="str">
            <v>20</v>
          </cell>
          <cell r="H21" t="str">
            <v>string</v>
          </cell>
        </row>
        <row r="22">
          <cell r="G22" t="str">
            <v>20</v>
          </cell>
        </row>
        <row r="23">
          <cell r="H23" t="str">
            <v>string</v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bool?</v>
          </cell>
        </row>
        <row r="6">
          <cell r="A6" t="str">
            <v>tinyint</v>
          </cell>
          <cell r="B6" t="str">
            <v>byte?</v>
          </cell>
        </row>
        <row r="7">
          <cell r="A7" t="str">
            <v>smallint</v>
          </cell>
          <cell r="B7" t="str">
            <v>int?</v>
          </cell>
        </row>
        <row r="8">
          <cell r="A8" t="str">
            <v>int</v>
          </cell>
          <cell r="B8" t="str">
            <v>int?</v>
          </cell>
        </row>
        <row r="9">
          <cell r="A9" t="str">
            <v>bigint</v>
          </cell>
          <cell r="B9" t="str">
            <v>long?</v>
          </cell>
        </row>
        <row r="10">
          <cell r="A10" t="str">
            <v>smallmoney</v>
          </cell>
          <cell r="B10" t="str">
            <v>decimal?</v>
          </cell>
        </row>
        <row r="11">
          <cell r="A11" t="str">
            <v>money</v>
          </cell>
          <cell r="B11" t="str">
            <v>decimal?</v>
          </cell>
        </row>
        <row r="12">
          <cell r="A12" t="str">
            <v>numeric</v>
          </cell>
          <cell r="B12" t="str">
            <v>decimal?</v>
          </cell>
        </row>
        <row r="13">
          <cell r="A13" t="str">
            <v>decimal</v>
          </cell>
          <cell r="B13" t="str">
            <v>decimal?</v>
          </cell>
        </row>
        <row r="14">
          <cell r="A14" t="str">
            <v>real</v>
          </cell>
          <cell r="B14" t="str">
            <v>decimal?</v>
          </cell>
        </row>
        <row r="15">
          <cell r="A15" t="str">
            <v>float</v>
          </cell>
          <cell r="B15" t="str">
            <v>decimal?</v>
          </cell>
        </row>
        <row r="16">
          <cell r="A16" t="str">
            <v>smalldatetime</v>
          </cell>
          <cell r="B16" t="str">
            <v>DateTime?</v>
          </cell>
        </row>
        <row r="17">
          <cell r="A17" t="str">
            <v>datetime</v>
          </cell>
          <cell r="B17" t="str">
            <v>DateTime?</v>
          </cell>
        </row>
        <row r="18">
          <cell r="A18" t="str">
            <v>datetime2</v>
          </cell>
          <cell r="B18" t="str">
            <v>DateTime?</v>
          </cell>
        </row>
        <row r="19">
          <cell r="A19" t="str">
            <v>date</v>
          </cell>
          <cell r="B19" t="str">
            <v>DateTime?</v>
          </cell>
        </row>
        <row r="20">
          <cell r="A20" t="str">
            <v>time</v>
          </cell>
          <cell r="B20" t="str">
            <v>TimeSpan?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abSelected="1" topLeftCell="A61" zoomScaleNormal="100" workbookViewId="0">
      <selection activeCell="F69" sqref="F6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342</v>
      </c>
      <c r="F18" s="1" t="s">
        <v>344</v>
      </c>
      <c r="G18" t="s">
        <v>343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330</v>
      </c>
      <c r="G42" t="s">
        <v>330</v>
      </c>
    </row>
    <row r="43" spans="1:8" x14ac:dyDescent="0.25">
      <c r="A43" s="1"/>
      <c r="D43" t="s">
        <v>320</v>
      </c>
      <c r="F43" s="1" t="s">
        <v>325</v>
      </c>
      <c r="G43" t="s">
        <v>331</v>
      </c>
    </row>
    <row r="44" spans="1:8" x14ac:dyDescent="0.25">
      <c r="A44" s="1"/>
      <c r="D44" t="s">
        <v>322</v>
      </c>
      <c r="F44" s="1" t="s">
        <v>326</v>
      </c>
      <c r="G44" t="s">
        <v>332</v>
      </c>
    </row>
    <row r="45" spans="1:8" x14ac:dyDescent="0.25">
      <c r="A45" s="1"/>
      <c r="D45" t="s">
        <v>321</v>
      </c>
      <c r="F45" s="1" t="s">
        <v>327</v>
      </c>
      <c r="G45" t="s">
        <v>333</v>
      </c>
    </row>
    <row r="46" spans="1:8" x14ac:dyDescent="0.25">
      <c r="A46" s="1"/>
      <c r="D46" t="s">
        <v>358</v>
      </c>
      <c r="F46" s="1" t="s">
        <v>359</v>
      </c>
      <c r="G46" t="s">
        <v>360</v>
      </c>
      <c r="H46" t="s">
        <v>361</v>
      </c>
    </row>
    <row r="47" spans="1:8" x14ac:dyDescent="0.25">
      <c r="A47" s="1"/>
      <c r="D47" t="s">
        <v>339</v>
      </c>
      <c r="F47" s="1" t="s">
        <v>340</v>
      </c>
      <c r="G47" t="s">
        <v>341</v>
      </c>
    </row>
    <row r="48" spans="1:8" x14ac:dyDescent="0.25">
      <c r="A48" s="1"/>
      <c r="D48" t="s">
        <v>324</v>
      </c>
      <c r="F48" s="1" t="s">
        <v>328</v>
      </c>
      <c r="G48" t="s">
        <v>334</v>
      </c>
    </row>
    <row r="49" spans="1:7" x14ac:dyDescent="0.25">
      <c r="A49" s="1"/>
      <c r="D49" t="s">
        <v>323</v>
      </c>
      <c r="F49" s="1" t="s">
        <v>329</v>
      </c>
      <c r="G49" t="s">
        <v>335</v>
      </c>
    </row>
    <row r="50" spans="1:7" x14ac:dyDescent="0.25">
      <c r="A50" s="1"/>
      <c r="D50" t="s">
        <v>336</v>
      </c>
      <c r="F50" s="1" t="s">
        <v>337</v>
      </c>
      <c r="G50" t="s">
        <v>338</v>
      </c>
    </row>
    <row r="51" spans="1:7" x14ac:dyDescent="0.25">
      <c r="A51" s="1"/>
      <c r="D51" t="s">
        <v>355</v>
      </c>
      <c r="F51" s="1" t="s">
        <v>356</v>
      </c>
      <c r="G51" t="s">
        <v>357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prod.Inventory.PIO
{
	[Table("InvPIOStock")]
	public class InvPIOStock: FullAuditedEntity&lt;long&gt;, IEntity&lt;long&gt;	
	{
		public const int MaxPartNoLength = 40;
		public const int MaxPartNameLength = 200;
		public const int MaxMktCodeLength = 100;
		public const int MaxVinNoLength = 40;
		public const int MaxPartTypeLength = 40;
		public const int MaxShopLength = 20;
		public const int MaxCartTypeLength = 20;
		public const int MaxInteriorColorLength = 20;
		public const int MaxIsActiveLength = 1;
		[StringLength(MaxPartNoLength)]
		public virtual string PartNo { get; set; }
		[StringLength(MaxPartNameLength)]
		public virtual string PartName { get; set; }
		public virtual long? PartId { get; set; }
		[StringLength(MaxMktCodeLength)]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[StringLength(MaxVinNoLength)]
		public virtual string VinNo { get; set; }
		[StringLength(MaxPartTypeLength)]
		public virtual string PartType { get; set; }
		[StringLength(MaxShopLength)]
		public virtual string Shop { get; set; }
		[StringLength(MaxCartTypeLength)]
		public virtual string CartType { get; set; }
		[StringLength(MaxInteriorColorLength)]
		public virtual string InteriorColor { get; set; }
		[StringLength(MaxIsActiveLength)]
		public virtual string IsActive { get; set; }
	}
}
</v>
      </c>
      <c r="D69" s="48" t="str">
        <f>A.Backend!O7</f>
        <v xml:space="preserve">		public const string Pages_Inventory_PIO_Stock = "Pages.Inventory.PIO.Stock";
		public const string Pages_Inventory_PIO_Stock_CreateEdit = "Pages.Inventory.PIO.Stock.CreateEdit";
		public const string Pages_Inventory_PIO_Stock_Delete = "Pages.Inventory.PIO.Stock.Delete";
</v>
      </c>
      <c r="E69" s="48" t="str">
        <f>A.Backend!N7</f>
        <v xml:space="preserve">		var perInvPIOStock = PARENTS.CreateChildPermission(AppPermissions.Pages_Inventory_PIO_Stock, L( "InventoryPIOStock"), multiTenancySides: MultiTenancySides.Tenant);
		perInvPIOStock.CreateChildPermission(AppPermissions.Pages_Inventory_PIO_Stock_CreateEdit, L( "InventoryPIOStockCreateEdit"), multiTenancySides: MultiTenancySides.Tenant);
		perInvPIOStock.CreateChildPermission(AppPermissions.Pages_Inventory_PIO_Stock_Delete, L( "InventoryPIOStockDelete"), multiTenancySides: MultiTenancySides.Tenant);</v>
      </c>
      <c r="F69" s="48" t="str">
        <f>A.Backend!K7</f>
        <v>public virtual DbSet&lt;InvPIOStock&gt; InvPIOStocks { get; set; }</v>
      </c>
      <c r="G69" s="48" t="str">
        <f ca="1">A.Backend!L7</f>
        <v xml:space="preserve">namespace prod.Inventory.PIO
{
	public class InvPIOStockConsts	
	{
		public const int MaxPartNoLength = 40;
		public const int MaxPartNameLength = 200;
		public const int MaxMktCodeLength = 100;
		public const int MaxVinNoLength = 40;
		public const int MaxPartTypeLength = 40;
		public const int MaxShopLength = 20;
		public const int MaxCartTypeLength = 20;
		public const int MaxInteriorColorLength = 20;
		public const int MaxIsActiveLength = 1;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prod.Inventory.PIO.Dto
{
	public class InvPIOStockDto : EntityDto&lt;long?&gt;	
	{
		public virtual string PartNo { get; set; }
		public virtual string PartName { get; set; }
		public virtual long? PartId { get; set; }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	}
	public class CreateOrEditInvPIOStockDto : EntityDto&lt;long?&gt;	
	{
		[StringLength(InvPIOStockConsts.MaxPartNoLength)]
		public virtual string PartNo { get; set; }
		[StringLength(InvPIOStockConsts.MaxPartNameLength)]
		public virtual string PartName { get; set; }
		public virtual long? PartId { get; set; }
		[StringLength(InvPIOStockConsts.MaxMktCodeLength)]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[StringLength(InvPIOStockConsts.MaxVinNoLength)]
		public virtual string VinNo { get; set; }
		[StringLength(InvPIOStockConsts.MaxPartTypeLength)]
		public virtual string PartType { get; set; }
		[StringLength(InvPIOStockConsts.MaxShopLength)]
		public virtual string Shop { get; set; }
		[StringLength(InvPIOStockConsts.MaxCartTypeLength)]
		public virtual string CartType { get; set; }
		[StringLength(InvPIOStockConsts.MaxInteriorColorLength)]
		public virtual string InteriorColor { get; set; }
		[StringLength(InvPIOStockConsts.MaxIsActiveLength)]
		public virtual string IsActive { get; set; }
	}
	public class GetInvPIOStockInput : PagedAndSortedResultRequestDto	
	{
		public virtual string PartNo { get; set; }
		public virtual string PartName { get; set; }
		public virtual string MktCode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	}
}
</v>
      </c>
      <c r="I69" s="48" t="str">
        <f ca="1">A.Backend!R7</f>
        <v xml:space="preserve">using Abp.Application.Services.Dto;
using System;
using System.ComponentModel.DataAnnotations;
namespace prod.Inventory.PIO.Dto
{
	public class InvPIOStockExportInput{
		public virtual string PartNo { get; set; }
		public virtual string PartName { get; set; }
		public virtual long? PartId { get; set; }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vovina.Inventory.PIO.Dto;
namespace prod.Inventory.PIO
{
	public interface IInvPIOStockAppService : IApplicationService
	{
		Task&lt;PagedResultDto&lt;InvPIOStockDto&gt;&gt; GetAll(GetInvPIOStockInput input);
		Task CreateOrEdit(CreateOrEditInvPIOStockDto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vovina.Inventory.PIO.Dto;
namespace prod.Inventory.PIO.Exporting
{
	public interface IInvPIOStockExcelExporter : IApplicationService
	{
		FileDto ExportToFile(List&lt;InvPIOStockDto&gt; invpiostock);
	}
}
</v>
      </c>
      <c r="L69" s="48" t="str">
        <f ca="1">A.Backend!T7</f>
        <v>using System.Collections.Generic;
using vovina.DataExporting.Excel.NPOI;
using vovina.Dto;
using vovina.Inventory.PIO.Exporting;
using vovina.Inventory.PIO.Dto;
using vovina.Storage;
using vovina.Inventory.PIO.Dto;
namespace vovina.Inventory.PIO.Exporting
{
    public class InvPIOStockExcelExporter : NpoiExcelExporterBase, IInvPIOStockExcelExporter
    {
        public InvPIOStockExcelExporter(ITempFileCacheManager tempFileCacheManager) : base(tempFileCacheManager) { }
        public FileDto ExportToFile(List&lt;InvPIOStockDto&gt; stock)
        {
            return CreateExcelPackage(
				"InventoryPIOStock.xlsx",
				excelPackage =&gt;
				 {
					var sheet = excelPackage.CreateSheet("Stock");
					AddHeader(
								sheet,
								("PartNo"),
								("PartName"),
								("PartId"),
								("MktCode"),
								("WorkingDate"),
								("Qty"),
								("TransId"),
								("TransDatetime"),
								("VehicleId"),
								("VinNo"),
								("PartType"),
								("Shop"),
								("CartType"),
								("InteriorColor"),
								("IsActive"),
							   );
					AddObjects(
						 sheet, 1, stock,                                       
								_ =&gt; _.PartNo,
								_ =&gt; _.PartName,
								_ =&gt; _.PartId,
								_ =&gt; _.MktCode,
								_ =&gt; _.WorkingDate,
								_ =&gt; _.Qty,
								_ =&gt; _.TransId,
								_ =&gt; _.TransDatetime,
								_ =&gt; _.VehicleId,
								_ =&gt; _.VinNo,
								_ =&gt; _.PartType,
								_ =&gt; _.Shop,
								_ =&gt; _.CartType,
								_ =&gt; _.InteriorColor,
								_ =&gt; _.IsActive,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vovina.Inventory.PIO.Dto;
using vovina.Inventory.PIO.Exporting;
namespace vovina.Inventory.PIO
{
    [AbpAuthorize(AppPermissions.Pages_Inventory_PIO_Stock)]
    public class InvPIOStockAppService : vovinaAppServiceBase, IInvPIOStockAppService
    {
        private readonly IDapperRepository&lt;InvPIOStock, long&gt; _dapperRepo;
        private readonly IRepository&lt;InvPIOStock, long&gt; _repo;
        private readonly IInvPIOStockExcelExporter _calendarListExcelExporter;
        public InvPIOStockAppService(IRepository&lt;InvPIOStock,long&gt; repo, 
                                         IDapperRepository&lt;InvPIOStock,long&gt; dapperRepo,
                                        IInvPIOStockExcelExporter calendarListExcelExporter
            )
        {
            _repo = repo;
            _dapperRepo = dapperRepo;
            _calendarListExcelExporter = calendarListExcelExporter;
        }
        [AbpAuthorize(AppPermissions.Pages_Inventory_PIO_Stock_CreateEdit)]
        public async Task CreateOrEdit(CreateOrEditInvPIOStockDto input)
        {
            if (input.Id == null) await Create(input);
            else await Update(input);
        }
        //CREATE
        private async Task Create(CreateOrEditInvPIOStockDto input)
        {          
            var mainObj = ObjectMapper.Map&lt;InvPIOStock&gt;(input);
            await CurrentUnitOfWork.GetDbContext&lt;vovinaDbContext&gt;().AddAsync(mainObj);
        }
        // EDIT
        private async Task Update(CreateOrEditInvPIOStockDto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[AbpAuthorize(AppPermissions.Pages_Inventory_PIO_Stock_Delete)]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Task&lt;PagedResultDto&lt;InvPIOStockDto&gt;&gt; GetAll(GetInvPIOStockInput input)
        {
            var filtered = _repo.GetAll()
				.WhereIf(!string.IsNullOrWhiteSpace(input.PartNo), e =&gt; e.PartNo.Contains(input.PartNo))
				.WhereIf(!string.IsNullOrWhiteSpace(input.PartName), e =&gt; e.PartName.Contains(input.PartName))
				.WhereIf(!string.IsNullOrWhiteSpace(input.MktCode), e =&gt; e.MktCode.Contains(input.MktCode))
				.WhereIf(!string.IsNullOrWhiteSpace(input.VinNo), e =&gt; e.VinNo.Contains(input.VinNo))
				.WhereIf(!string.IsNullOrWhiteSpace(input.PartType), e =&gt; e.PartType.Contains(input.PartType))
				.WhereIf(!string.IsNullOrWhiteSpace(input.Shop), e =&gt; e.Shop.Contains(input.Shop))
				.WhereIf(!string.IsNullOrWhiteSpace(input.CartType), e =&gt; e.CartType.Contains(input.CartType))
				.WhereIf(!string.IsNullOrWhiteSpace(input.InteriorColor), e =&gt; e.InteriorColor.Contains(input.InteriorColor))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InvPIOStockDto
                        {
							Id = o.Id,
							PartNo = o.PartNo,
							PartName = o.PartName,
							PartId = o.PartId,
							MktCode = o.MktCode,
							WorkingDate = o.WorkingDate,
							Qty = o.Qty,
							TransId = o.TransId,
							TransDatetime = o.TransDatetime,
							VehicleId = o.VehicleId,
							VinNo = o.VinNo,
							PartType = o.PartType,
							Shop = o.Shop,
							CartType = o.CartType,
							InteriorColor = o.InteriorColor,
							IsActive = o.IsActive,
                        };
            var totalCount = await filtered.CountAsync();
			var paged = system.PageBy(input);
            return new PagedResultDto&lt;InvPIOStockDto&gt;(
                totalCount,
                 await paged.ToListAsync()
            );
        }
        public async Task&lt;FileDto&gt; GetStockToExcel(InvPIOStockExportInput input)
        {
            var query = from o in _repo.GetAll()
                        select new InvPIOStockDto
                        {
							Id = o.Id,
							PartNo = o.PartNo,
							PartName = o.PartName,
							PartId = o.PartId,
							MktCode = o.MktCode,
							WorkingDate = o.WorkingDate,
							Qty = o.Qty,
							TransId = o.TransId,
							TransDatetime = o.TransDatetime,
							VehicleId = o.VehicleId,
							VinNo = o.VinNo,
							PartType = o.PartType,
							Shop = o.Shop,
							CartType = o.CartType,
							InteriorColor = o.InteriorColor,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_dapperRepo.ExecuteAsync(InvPIOStockConsts.SP_MST_WPT_CALENDAR_GENERATE);
       // }
    }
}</v>
      </c>
      <c r="N69" s="58" t="str">
        <f>A.Backend!U7</f>
        <v xml:space="preserve">  configuration.CreateMap&lt;InvPIOStockDto, InvPIOStock&gt;();
  configuration.CreateMap&lt;InvPIOStock, InvPIOStockDto&gt;();
  configuration.CreateMap&lt;CreateOrEditInvPIOStockDto, InvPIOStock&gt;();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stock</v>
      </c>
      <c r="C74" s="66" t="str">
        <f>"create folder " &amp;B74</f>
        <v>create folder stock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stock.component.ts</v>
      </c>
      <c r="D75" s="28" t="str">
        <f>B.Frontend!I14</f>
        <v>stock.component.html</v>
      </c>
      <c r="E75" s="28" t="str">
        <f>B.Frontend!J14</f>
        <v>stock.component.less</v>
      </c>
      <c r="F75" s="28" t="str">
        <f>B.Frontend!K14</f>
        <v>create-or-edit-stock-modal.component.html</v>
      </c>
      <c r="G75" s="28" t="str">
        <f>B.Frontend!L14</f>
        <v>create-or-edit-stock-modal.component.ts</v>
      </c>
      <c r="H75" s="28" t="str">
        <f>B.Frontend!M14</f>
        <v>create-or-edit-stock-modal.component.less</v>
      </c>
      <c r="I75" s="28" t="str">
        <f>B.Frontend!N14</f>
        <v>stock.module.ts</v>
      </c>
      <c r="J75" s="28" t="str">
        <f>B.Frontend!O14</f>
        <v>stock-routing.module.ts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InvPIOStockDto, InvPIOStockServiceProxy } from '@shared/service-proxies/service-proxies';
import { finalize } from 'rxjs/internal/operators/finalize';
import { CreateOrEditStockModalComponent } from './create-or-edit-stock-modal.component';
import { DatePipe } from '@angular/common';
import { FileDownloadService } from '@shared/utils/file-download.service';
import ceil from 'lodash-es/ceil';
import { Paginator } from 'primeng/paginator';
@Component({
    templateUrl: './stock.component.html',
    styleUrls: ['./stock.component.less'],
})
export class StockComponent extends AppComponentBase implements OnInit {
    @ViewChild('createOrEditModalStock', { static: true }) createOrEditModalStock:| CreateOrEditStockModalComponent|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InvPIOStockDto = new InvPIOStockDto();
    saveSelectedRow: InvPIOStockDto = new InvPIOStockDto();
    datas: InvPIOStockDto = new InvPIOStockDto();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partName : string = '' ; 
	mktCode : string = '' ; 
	vinNo : string = '' ; 
	partType : string = '' ; 
	shop : string = '' ; 
	cartType : string = '' ; 
	interiorColor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InvPIOStockServiceProxy,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this.l('Mkt Code'),headerTooltip: this.l('Mkt Code'),field: 'mktCode',flex: 1},
			{headerName: this.l('Working Date'),headerTooltip: this.l('Working Date'),field: 'workingDate',flex: 1},
			{headerName: this.l('Qty'),headerTooltip: this.l('Qty'),field: 'qty',flex: 1},
			{headerName: this.l('Trans Id'),headerTooltip: this.l('Trans Id'),field: 'transId',flex: 1},
			{headerName: this.l('Trans Datetime'),headerTooltip: this.l('Trans Datetime'),field: 'transDatetime',flex: 1},
			{headerName: this.l('Vehicle Id'),headerTooltip: this.l('Vehicle Id'),field: 'vehicleId',flex: 1},
			{headerName: this.l('Vin No'),headerTooltip: this.l('Vin No'),field: 'vinNo',flex: 1},
			{headerName: this.l('Part Type'),headerTooltip: this.l('Part Type'),field: 'partType',flex: 1},
			{headerName: this.l('Shop'),headerTooltip: this.l('Shop'),field: 'shop',flex: 1},
			{headerName: this.l('Cart Type'),headerTooltip: this.l('Cart Type'),field: 'cartType',flex: 1},
			{headerName: this.l('Interior Color'),headerTooltip: this.l('Interior Color'),field: 'interiorColor',flex: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this.partNo,
			this.partId,
			this.vehicleId,
			this.vinNo,
			this.partType,
			this.shop,
			this.cartType,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partNo : string = '' ; 
	partName : string = '' ; 
	mktCode : string = '' ; 
	vinNo : string = '' ; 
	partType : string = '' ; 
	shop : string = '' ; 
	cartType : string = '' ; 
	interiorColor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this.partNo,
			this.partId,
			this.vehicleId,
			this.vinNo,
			this.partType,
			this.shop,
			this.cartType,
			'',
            this.paginationParams.skipCount,
            this.paginationParams.pageSize
        );
    }
    onChangeRowSelection(params: { api: { getSelectedRows: () =&gt; InvPIOStockDto[] } }) {
        this.saveSelectedRow = params.api.getSelectedRows()[0] ?? new InvPIOStockDto();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InvPIOStockDto):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this._service.getStockToExcel(
			this.,
			this.partNo,
			this.partId,
			this.vehicleId,
			this.vinNo,
			this.partType,
			this.shop,
			this.cartType,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PIO Stock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[(ngModel)]='mktCode' name='mktCode'
									class='form-control' [placeholder]="l('Mkt Code')"
									type='text' (keyup.enter)='searchDatas()'&gt;
								&lt;/div&gt;
								&lt;div class='input-search'&gt;
									&lt;input [(ngModel)]='vinNo' name='vinNo'
									class='form-control' [placeholder]="l('Vin No')"
									type='text' (keyup.enter)='searchDatas()'&gt;
								&lt;/div&gt;
								&lt;div class='input-search'&gt;
									&lt;input [(ngModel)]='partType' name='partType'
									class='form-control' [placeholder]="l('Part Type')"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[(ngModel)]='cartType' name='cartType'
									class='form-control' [placeholder]="l('Cart Type')"
									type='text' (keyup.enter)='searchDatas()'&gt;
								&lt;/div&gt;
								&lt;div class='input-search'&gt;
									&lt;input [(ngModel)]='interiorColor' name='interiorColor'
									class='form-control' [placeholder]="l('Interior Color')"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(click)="createOrEditModalStock.show()"&gt;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(click)="createOrEditModalStock.show(selectedRow)"&gt;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&lt;create-or-edit-stock-modal
    #createOrEditModalStock
    (modalSave)="callBackDataGrid(dataParams)"
    (modalClose)="onChangeRowSelection(dataParams)"
&gt;
&lt;/create-or-edit-stock-modal&gt;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#createOrEditModalStock="bs-modal"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Stock')}}&lt;/h3&gt;
                    &lt;h3 *ngIf="!rowdata.id"&gt;{{('Create New Stock')}}&lt;/h3&gt;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Id&lt;/label&gt;
						&lt;input type='number' class='col-md-10 form-control input-text' name='PartId' [(ngModel)]='rowdata.partId'&gt;
					&lt;/div&gt;
					&lt;div class='col-md-12 form-group row'&gt;
						&lt;label class='col-md-2 form-control title'&gt;Mkt Code&lt;/label&gt;
						&lt;input type='text' class='col-md-10 form-control input-text' name='MktCode' [(ngModel)]='rowdata.mktCode'&gt;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title'&gt;Qty&lt;/label&gt;
						&lt;input type='number' class='col-md-10 form-control input-text' name='Qty' [(ngModel)]='rowdata.qty'&gt;
					&lt;/div&gt;
					&lt;div class='col-md-12 form-group row'&gt;
						&lt;label class='col-md-2 form-control title'&gt;Trans Id&lt;/label&gt;
						&lt;input type='number' class='col-md-10 form-control input-text' name='TransId' [(ngModel)]='rowdata.transId'&gt;
					&lt;/div&gt;
					&lt;div class='col-md-12 form-group row'&gt;
						&lt;label class='col-md-2 form-control title'&gt;Trans Datetime&lt;/label&gt;
						&lt;input type='text' class='col-md-10 form-control input-text' name='transDatetime' 
						#datepicker='bsDatepicker' [(ngModel)]='rowdata.transDatetime'  bsDatepicker &gt;
					&lt;/div&gt;
					&lt;div class='col-md-12 form-group row'&gt;
						&lt;label class='col-md-2 form-control title'&gt;Vehicle Id&lt;/label&gt;
						&lt;input type='number' class='col-md-10 form-control input-text' name='VehicleId' [(ngModel)]='rowdata.vehicleId'&gt;
					&lt;/div&gt;
					&lt;div class='col-md-12 form-group row'&gt;
						&lt;label class='col-md-2 form-control title'&gt;Vin No&lt;/label&gt;
						&lt;input type='text' class='col-md-10 form-control input-text' name='VinNo' [(ngModel)]='rowdata.vinNo'&gt;
					&lt;/div&gt;
					&lt;div class='col-md-12 form-group row'&gt;
						&lt;label class='col-md-2 form-control title'&gt;Part Type&lt;/label&gt;
						&lt;input type='text' class='col-md-10 form-control input-text' name='PartType' [(ngModel)]='rowdata.partType'&gt;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title'&gt;Cart Type&lt;/label&gt;
						&lt;input type='text' class='col-md-10 form-control input-text' name='CartType' [(ngModel)]='rowdata.cartType'&gt;
					&lt;/div&gt;
					&lt;div class='col-md-12 form-group row'&gt;
						&lt;label class='col-md-2 form-control title'&gt;Interior Color&lt;/label&gt;
						&lt;input type='text' class='col-md-10 form-control input-text' name='InteriorColor' [(ngModel)]='rowdata.interiorColor'&gt;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CreateOrEditInvPIOStockDto, InvPIOStockServiceProxy } from '@shared/service-proxies/service-proxies';
import { BsDatepickerDirective } from 'ngx-bootstrap/datepicker';
@Component({
    selector: 'create-or-edit-stock-modal',
    templateUrl: './create-or-edit-stock-modal.component.html',
    styleUrls: ['./create-or-edit-stock-modal.component.less']
    })
export class CreateOrEditStockModalComponent extends AppComponentBase {
    @ViewChild('createOrEditModalStock',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CreateOrEditInvPIOStockDto = new CreateOrEditInvPIOStockDto();
    active: boolean = false;
    saving: boolean = false;
    _isActive: boolean;
    constructor(
        injector: Injector,
        private _mstwptStockService: InvPIOStockServiceProxy,
    ) 
    {
        super(injector);
    }
    show(rowdata?: CreateOrEditInvPIOStockDto): void {
        if (!rowdata) this.rowdata = new CreateOrEditInvPIOStockDto();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this._mstwptStockService.createOrEdit(this.rowdata)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StockRoutingModule } from './stock-routing.module';
import { StockComponent } from './stock.component';
import { CreateOrEditStockModalComponent } from './create-or-edit-stock-modal.component';
@NgModule({
    declarations: [
       StockComponent, 
        CreateOrEditStockModalComponent
    ],
    imports: [
        AppSharedModule, StockRoutingModule]
})
export class StockModule {}</v>
      </c>
      <c r="J76" s="46" t="str">
        <f>B.Frontend!O10</f>
        <v>import {NgModule} from '@angular/core';
import {RouterModule, Routes} from '@angular/router';
import { StockComponent } from './stock.component';
const routes: Routes = [{
    path: '',
    component: StockComponent,
    pathMatch: 'full'
}];
@NgModule({
    imports: [RouterModule.forChild(routes)],
    exports: [RouterModule],
})
export class StockRoutingModule {}</v>
      </c>
      <c r="K76" s="46" t="str">
        <f>B.Frontend!P10</f>
        <v xml:space="preserve"> new AppMenuItem("Stock", "Pages.Inventory.PIO.Stock", "flaticon-book",   "/app/main/inventory/pio/stock"),</v>
      </c>
      <c r="L76" s="47" t="str">
        <f>B.Frontend!Q10</f>
        <v>{
    path: 'inventory/pio/stock',
    loadChildren: () =&gt; import('./inventory/pio/stock/stock.module').then(m =&gt; m.StockModule),
    data: { permission: 'Pages.Inventory.PIO.Stock' }
},</v>
      </c>
      <c r="M76" s="45" t="str">
        <f>B.Frontend!R10</f>
        <v>ApiServiceProxies.InvPIOStockServiceProxy,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5"/>
  <sheetViews>
    <sheetView workbookViewId="0">
      <pane xSplit="1" topLeftCell="B1" activePane="topRight" state="frozen"/>
      <selection pane="topRight" activeCell="C18" sqref="C18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vovina.Inventory.PIO.Dto;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362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375</v>
      </c>
      <c r="C3" s="9" t="s">
        <v>40</v>
      </c>
      <c r="D3" s="9" t="s">
        <v>41</v>
      </c>
      <c r="E3" s="9" t="s">
        <v>36</v>
      </c>
      <c r="F3" s="10" t="str">
        <f>"J"&amp;COUNTA($A:$A)</f>
        <v>J23</v>
      </c>
      <c r="G3" s="4" t="s">
        <v>53</v>
      </c>
      <c r="H3" s="9" t="str">
        <f>"I"&amp;COUNTA($A:$A)</f>
        <v>I23</v>
      </c>
      <c r="I3" s="9" t="str">
        <f>REPT(CHAR(9),2)&amp;"[Required]"&amp;"
"</f>
        <v xml:space="preserve">		[Required]
</v>
      </c>
      <c r="J3" s="10" t="str">
        <f>"L"&amp;COUNTA($A:$A)</f>
        <v>L23</v>
      </c>
      <c r="K3" s="5" t="s">
        <v>52</v>
      </c>
      <c r="L3" s="10" t="str">
        <f>"M"&amp;COUNTA($A:$A)</f>
        <v>M23</v>
      </c>
      <c r="M3" s="10" t="str">
        <f>"N"&amp;COUNTA($A:$A)</f>
        <v>N23</v>
      </c>
      <c r="N3" s="10" t="str">
        <f>"O"&amp;COUNTA($A:$A)</f>
        <v>O23</v>
      </c>
      <c r="O3" s="10" t="str">
        <f>"P"&amp;COUNTA($A:$A)</f>
        <v>P23</v>
      </c>
      <c r="Q3" s="10" t="str">
        <f>RIGHT(B2,(LEN(B2)-FIND(".",B2,1)))</f>
        <v>PIO</v>
      </c>
      <c r="R3" s="29" t="str">
        <f>REPT(CHAR(9),1)&amp;"public class "&amp;B3&amp;"ExportInput"&amp;C3</f>
        <v xml:space="preserve">	public class InvPIOStockExportInput{
</v>
      </c>
      <c r="S3" s="10" t="str">
        <f>"namespace "&amp;$B$6&amp;".Exporting
"&amp;$C$3</f>
        <v xml:space="preserve">namespace prod.Inventory.PIO.Exporting
{
</v>
      </c>
      <c r="T3" s="10" t="str">
        <f>"T"&amp;COUNTA($A:$A)</f>
        <v>T23</v>
      </c>
      <c r="V3" s="10" t="str">
        <f>"V"&amp;COUNTA($A:$A)</f>
        <v>V23</v>
      </c>
      <c r="W3" s="9" t="str">
        <f>"W"&amp;COUNTA($A:$A)</f>
        <v>W23</v>
      </c>
    </row>
    <row r="4" spans="1:23" s="10" customFormat="1" ht="33" customHeight="1" x14ac:dyDescent="0.25">
      <c r="A4" s="1" t="s">
        <v>232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376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prod.Inventory.PIO</v>
      </c>
      <c r="C6" s="10" t="str">
        <f>"namespace "&amp;$B$6&amp;"
"&amp;$C$3</f>
        <v xml:space="preserve">namespace prod.Inventory.PIO
{
</v>
      </c>
      <c r="D6" s="10" t="str">
        <f>REPT(CHAR(9),1)&amp;"public class "&amp;B3&amp;G3&amp;REPT(CHAR(9),1)&amp;"
"&amp;REPT(CHAR(9),1)&amp;C3</f>
        <v xml:space="preserve">	public class InvPIOStock: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InvPIOStockConsts	
	{
</v>
      </c>
      <c r="F6" s="10" t="str">
        <f>REPT(CHAR(9),1)&amp;"public class "&amp;B3&amp;"Dto"&amp;K3&amp;REPT(CHAR(9),1)&amp;"
"&amp;REPT(CHAR(9),1)&amp;C3</f>
        <v xml:space="preserve">	public class InvPIOStockDto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CreateOrEditInvPIOStockDto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GetInvPIOStockInput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InvPIOStock</v>
      </c>
      <c r="C7" s="10" t="str">
        <f>REPT(CHAR(9),1)&amp;"[Table("""&amp;B7&amp;""")]"&amp;"
"</f>
        <v xml:space="preserve">	[Table("InvPIOStock")]
</v>
      </c>
      <c r="D7" s="10"/>
      <c r="E7" s="10"/>
      <c r="F7" s="10"/>
      <c r="G7" s="10"/>
      <c r="H7" s="10"/>
      <c r="I7" s="10"/>
      <c r="J7" t="str">
        <f ca="1">SUBSTITUTE(SUBSTITUTE((B1&amp;C6&amp;C7&amp;K25&amp;D6&amp;I25&amp;E3&amp;J25&amp;""&amp;REPT(CHAR(9),1)&amp;D3&amp;D3),"WorkingPattern",$Q$3),"Master",$B$4)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prod.Inventory.PIO
{
	[Table("InvPIOStock")]
	public class InvPIOStock: FullAuditedEntity&lt;long&gt;, IEntity&lt;long&gt;	
	{
		public const int MaxPartNoLength = 40;
		public const int MaxPartNameLength = 200;
		public const int MaxMktCodeLength = 100;
		public const int MaxVinNoLength = 40;
		public const int MaxPartTypeLength = 40;
		public const int MaxShopLength = 20;
		public const int MaxCartTypeLength = 20;
		public const int MaxInteriorColorLength = 20;
		public const int MaxIsActiveLength = 1;
		[StringLength(MaxPartNoLength)]
		public virtual string PartNo { get; set; }
		[StringLength(MaxPartNameLength)]
		public virtual string PartName { get; set; }
		public virtual long? PartId { get; set; }
		[StringLength(MaxMktCodeLength)]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[StringLength(MaxVinNoLength)]
		public virtual string VinNo { get; set; }
		[StringLength(MaxPartTypeLength)]
		public virtual string PartType { get; set; }
		[StringLength(MaxShopLength)]
		public virtual string Shop { get; set; }
		[StringLength(MaxCartTypeLength)]
		public virtual string CartType { get; set; }
		[StringLength(MaxInteriorColorLength)]
		public virtual string InteriorColor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DbSet&lt;InvPIOStock&gt; InvPIOStocks { get; set; }</v>
      </c>
      <c r="L7" t="str">
        <f ca="1">SUBSTITUTE(SUBSTITUTE((C6&amp;E6&amp;I25&amp;"
"&amp;REPT(CHAR(9),2)&amp;"// Define Store Name: Format SP_ + &lt;Store Name&gt; = &lt;Store Name&gt;
"&amp;E3&amp;REPT(CHAR(9),1)&amp;D3&amp;D3),"WorkingPattern",$Q$3),"Master",$B$4)</f>
        <v xml:space="preserve">namespace prod.Inventory.PIO
{
	public class InvPIOStockConsts	
	{
		public const int MaxPartNoLength = 40;
		public const int MaxPartNameLength = 200;
		public const int MaxMktCodeLength = 100;
		public const int MaxVinNoLength = 40;
		public const int MaxPartTypeLength = 40;
		public const int MaxShopLength = 20;
		public const int MaxCartTypeLength = 20;
		public const int MaxInteriorColorLength = 20;
		public const int MaxIsActiveLength = 1;
		// Define Store Name: Format SP_ + &lt;Store Name&gt; = &lt;Store Name&gt;
	}
}
</v>
      </c>
      <c r="M7" t="str">
        <f ca="1">SUBSTITUTE(SUBSTITUTE((C1&amp;"namespace "&amp;B6&amp;".Dto"&amp;E3&amp;C3&amp;F6&amp;M25&amp;E3&amp;REPT(CHAR(9),1)&amp;D3&amp;G6&amp;N25&amp;REPT(CHAR(9),1)&amp;D3&amp;H6&amp;O25&amp;"
"&amp;REPT(CHAR(9),1)&amp;D3&amp;D3),"WorkingPattern",$Q$3),"Master",$B$4)</f>
        <v xml:space="preserve">using Abp.Application.Services.Dto;
using System;
using System.ComponentModel.DataAnnotations;
namespace prod.Inventory.PIO.Dto
{
	public class InvPIOStockDto : EntityDto&lt;long?&gt;	
	{
		public virtual string PartNo { get; set; }
		public virtual string PartName { get; set; }
		public virtual long? PartId { get; set; }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	}
	public class CreateOrEditInvPIOStockDto : EntityDto&lt;long?&gt;	
	{
		[StringLength(InvPIOStockConsts.MaxPartNoLength)]
		public virtual string PartNo { get; set; }
		[StringLength(InvPIOStockConsts.MaxPartNameLength)]
		public virtual string PartName { get; set; }
		public virtual long? PartId { get; set; }
		[StringLength(InvPIOStockConsts.MaxMktCodeLength)]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[StringLength(InvPIOStockConsts.MaxVinNoLength)]
		public virtual string VinNo { get; set; }
		[StringLength(InvPIOStockConsts.MaxPartTypeLength)]
		public virtual string PartType { get; set; }
		[StringLength(InvPIOStockConsts.MaxShopLength)]
		public virtual string Shop { get; set; }
		[StringLength(InvPIOStockConsts.MaxCartTypeLength)]
		public virtual string CartType { get; set; }
		[StringLength(InvPIOStockConsts.MaxInteriorColorLength)]
		public virtual string InteriorColor { get; set; }
		[StringLength(InvPIOStockConsts.MaxIsActiveLength)]
		public virtual string IsActive { get; set; }
	}
	public class GetInvPIOStockInput : PagedAndSortedResultRequestDto	
	{
		public virtual string PartNo { get; set; }
		public virtual string PartName { get; set; }
		public virtual string MktCode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perInvPIOStock = PARENTS.CreateChildPermission(AppPermissions.Pages_Inventory_PIO_Stock, L( "InventoryPIOStock"), multiTenancySides: MultiTenancySides.Tenant);
		perInvPIOStock.CreateChildPermission(AppPermissions.Pages_Inventory_PIO_Stock_CreateEdit, L( "InventoryPIOStockCreateEdit"), multiTenancySides: MultiTenancySides.Tenant);
		perInvPIOStock.CreateChildPermission(AppPermissions.Pages_Inventory_PIO_Stock_Delete, L( "InventoryPIOStockDelete"),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Pages_Inventory_PIO_Stock = "Pages.Inventory.PIO.Stock";
		public const string Pages_Inventory_PIO_Stock_CreateEdit = "Pages.Inventory.PIO.Stock.CreateEdit";
		public const string Pages_Inventory_PIO_Stock_Delete = "Pages.Inventory.PIO.Stock.Delete";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vovina.Inventory.PIO.Dto;
namespace prod.Inventory.PIO
{
	public interface IInvPIOStockAppService : IApplicationService
	{
		Task&lt;PagedResultDto&lt;InvPIOStockDto&gt;&gt; GetAll(GetInvPIOStockInput input);
		Task CreateOrEdit(CreateOrEditInvPIOStockDto input);
		Task Delete(EntityDto input);
	}
}
</v>
      </c>
      <c r="Q7" t="str">
        <f ca="1">SUBSTITUTE(SUBSTITUTE(SUBSTITUTE(SUBSTITUTE(SUBSTITUTE(SUBSTITUTE(E1,"MstWptCalendar",$B$3),"&lt;PROPERTIES&gt;",P25),"Calendar",$B$5),"WorkingPattern",$Q$3),"Master",$B$4),"&lt;PARAMS_SEARCH&gt;",$W$25)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vovina.Inventory.PIO.Dto;
using vovina.Inventory.PIO.Exporting;
namespace vovina.Inventory.PIO
{
    [AbpAuthorize(AppPermissions.Pages_Inventory_PIO_Stock)]
    public class InvPIOStockAppService : vovinaAppServiceBase, IInvPIOStockAppService
    {
        private readonly IDapperRepository&lt;InvPIOStock, long&gt; _dapperRepo;
        private readonly IRepository&lt;InvPIOStock, long&gt; _repo;
        private readonly IInvPIOStockExcelExporter _calendarListExcelExporter;
        public InvPIOStockAppService(IRepository&lt;InvPIOStock,long&gt; repo, 
                                         IDapperRepository&lt;InvPIOStock,long&gt; dapperRepo,
                                        IInvPIOStockExcelExporter calendarListExcelExporter
            )
        {
            _repo = repo;
            _dapperRepo = dapperRepo;
            _calendarListExcelExporter = calendarListExcelExporter;
        }
        [AbpAuthorize(AppPermissions.Pages_Inventory_PIO_Stock_CreateEdit)]
        public async Task CreateOrEdit(CreateOrEditInvPIOStockDto input)
        {
            if (input.Id == null) await Create(input);
            else await Update(input);
        }
        //CREATE
        private async Task Create(CreateOrEditInvPIOStockDto input)
        {          
            var mainObj = ObjectMapper.Map&lt;InvPIOStock&gt;(input);
            await CurrentUnitOfWork.GetDbContext&lt;vovinaDbContext&gt;().AddAsync(mainObj);
        }
        // EDIT
        private async Task Update(CreateOrEditInvPIOStockDto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[AbpAuthorize(AppPermissions.Pages_Inventory_PIO_Stock_Delete)]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Task&lt;PagedResultDto&lt;InvPIOStockDto&gt;&gt; GetAll(GetInvPIOStockInput input)
        {
            var filtered = _repo.GetAll()
				.WhereIf(!string.IsNullOrWhiteSpace(input.PartNo), e =&gt; e.PartNo.Contains(input.PartNo))
				.WhereIf(!string.IsNullOrWhiteSpace(input.PartName), e =&gt; e.PartName.Contains(input.PartName))
				.WhereIf(!string.IsNullOrWhiteSpace(input.MktCode), e =&gt; e.MktCode.Contains(input.MktCode))
				.WhereIf(!string.IsNullOrWhiteSpace(input.VinNo), e =&gt; e.VinNo.Contains(input.VinNo))
				.WhereIf(!string.IsNullOrWhiteSpace(input.PartType), e =&gt; e.PartType.Contains(input.PartType))
				.WhereIf(!string.IsNullOrWhiteSpace(input.Shop), e =&gt; e.Shop.Contains(input.Shop))
				.WhereIf(!string.IsNullOrWhiteSpace(input.CartType), e =&gt; e.CartType.Contains(input.CartType))
				.WhereIf(!string.IsNullOrWhiteSpace(input.InteriorColor), e =&gt; e.InteriorColor.Contains(input.InteriorColor))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InvPIOStockDto
                        {
							Id = o.Id,
							PartNo = o.PartNo,
							PartName = o.PartName,
							PartId = o.PartId,
							MktCode = o.MktCode,
							WorkingDate = o.WorkingDate,
							Qty = o.Qty,
							TransId = o.TransId,
							TransDatetime = o.TransDatetime,
							VehicleId = o.VehicleId,
							VinNo = o.VinNo,
							PartType = o.PartType,
							Shop = o.Shop,
							CartType = o.CartType,
							InteriorColor = o.InteriorColor,
							IsActive = o.IsActive,
                        };
            var totalCount = await filtered.CountAsync();
			var paged = system.PageBy(input);
            return new PagedResultDto&lt;InvPIOStockDto&gt;(
                totalCount,
                 await paged.ToListAsync()
            );
        }
        public async Task&lt;FileDto&gt; GetStockToExcel(InvPIOStockExportInput input)
        {
            var query = from o in _repo.GetAll()
                        select new InvPIOStockDto
                        {
							Id = o.Id,
							PartNo = o.PartNo,
							PartName = o.PartName,
							PartId = o.PartId,
							MktCode = o.MktCode,
							WorkingDate = o.WorkingDate,
							Qty = o.Qty,
							TransId = o.TransId,
							TransDatetime = o.TransDatetime,
							VehicleId = o.VehicleId,
							VinNo = o.VinNo,
							PartType = o.PartType,
							Shop = o.Shop,
							CartType = o.CartType,
							InteriorColor = o.InteriorColor,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_dapperRepo.ExecuteAsync(InvPIOStockConsts.SP_MST_WPT_CALENDAR_GENERATE);
       // }
    }
}</v>
      </c>
      <c r="R7" t="str">
        <f ca="1">SUBSTITUTE(SUBSTITUTE((C1&amp;"namespace "&amp;B6&amp;".Dto"&amp;E3&amp;C3&amp;R3&amp;M25&amp;E3&amp;REPT(CHAR(9),1)&amp;D3&amp;D3),"WorkingPattern",$Q$3),"Master",$B$4)</f>
        <v xml:space="preserve">using Abp.Application.Services.Dto;
using System;
using System.ComponentModel.DataAnnotations;
namespace prod.Inventory.PIO.Dto
{
	public class InvPIOStockExportInput{
		public virtual string PartNo { get; set; }
		public virtual string PartName { get; set; }
		public virtual long? PartId { get; set; }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vovina.Inventory.PIO.Dto;
namespace prod.Inventory.PIO.Exporting
{
	public interface IInvPIOStockExcelExporter : IApplicationService
	{
		FileDto ExportToFile(List&lt;InvPIOStockDto&gt; invpiostock);
	}
}
</v>
      </c>
      <c r="T7" s="26" t="str">
        <f ca="1">SUBSTITUTE(SUBSTITUTE(SUBSTITUTE(SUBSTITUTE(SUBSTITUTE(SUBSTITUTE(SUBSTITUTE(T1,"MstWptCalendar",$B$3),"&lt;PROPERTIES1&gt;",V25),"&lt;PROPERTIES&gt;",T25),"Calendar",$B$5),"calendar",LOWER(B5)),"WorkingPattern",$Q$3),"Master",$B$4)</f>
        <v>using System.Collections.Generic;
using vovina.DataExporting.Excel.NPOI;
using vovina.Dto;
using vovina.Inventory.PIO.Exporting;
using vovina.Inventory.PIO.Dto;
using vovina.Storage;
using vovina.Inventory.PIO.Dto;
namespace vovina.Inventory.PIO.Exporting
{
    public class InvPIOStockExcelExporter : NpoiExcelExporterBase, IInvPIOStockExcelExporter
    {
        public InvPIOStockExcelExporter(ITempFileCacheManager tempFileCacheManager) : base(tempFileCacheManager) { }
        public FileDto ExportToFile(List&lt;InvPIOStockDto&gt; stock)
        {
            return CreateExcelPackage(
				"InventoryPIOStock.xlsx",
				excelPackage =&gt;
				 {
					var sheet = excelPackage.CreateSheet("Stock");
					AddHeader(
								sheet,
								("PartNo"),
								("PartName"),
								("PartId"),
								("MktCode"),
								("WorkingDate"),
								("Qty"),
								("TransId"),
								("TransDatetime"),
								("VehicleId"),
								("VinNo"),
								("PartType"),
								("Shop"),
								("CartType"),
								("InteriorColor"),
								("IsActive"),
							   );
					AddObjects(
						 sheet, 1, stock,                                       
								_ =&gt; _.PartNo,
								_ =&gt; _.PartName,
								_ =&gt; _.PartId,
								_ =&gt; _.MktCode,
								_ =&gt; _.WorkingDate,
								_ =&gt; _.Qty,
								_ =&gt; _.TransId,
								_ =&gt; _.TransDatetime,
								_ =&gt; _.VehicleId,
								_ =&gt; _.VinNo,
								_ =&gt; _.PartType,
								_ =&gt; _.Shop,
								_ =&gt; _.CartType,
								_ =&gt; _.InteriorColor,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configuration.CreateMap&lt;InvPIOStockDto, InvPIOStock&gt;();
  configuration.CreateMap&lt;InvPIOStock, InvPIOStockDto&gt;();
  configuration.CreateMap&lt;CreateOrEditInvPIOStockDto, InvPIOStock&gt;();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363</v>
      </c>
      <c r="B9" s="28" t="s">
        <v>352</v>
      </c>
      <c r="C9" t="s">
        <v>1</v>
      </c>
      <c r="D9" t="str">
        <f t="shared" ref="D9" si="0">SUBSTITUTE(PROPER(A9),"_","")</f>
        <v>PartNo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40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MaxPartNoLength = 40;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[StringLength(InvPIOStockConsts.MaxPartNoLength)]
		public virtual string PartNo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" si="9">REPT(CHAR(9),7)&amp;D9&amp;" = o." &amp;D9 &amp;","</f>
        <v xml:space="preserve">							PartNo = o.PartNo,</v>
      </c>
      <c r="T9" s="63" t="str">
        <f t="shared" ref="T9" si="10">REPT(CHAR(9),8)&amp;"("""&amp;D9&amp;"""),"</f>
        <v xml:space="preserve">								("PartNo"),</v>
      </c>
      <c r="V9" s="64" t="str">
        <f t="shared" ref="V9" si="11">REPT(CHAR(9),8)&amp;"_ =&gt; _."&amp;D9&amp;","</f>
        <v xml:space="preserve">								_ =&gt; _.PartNo,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</row>
    <row r="10" spans="1:23" customFormat="1" ht="18.75" customHeight="1" x14ac:dyDescent="0.25">
      <c r="A10" s="28" t="s">
        <v>364</v>
      </c>
      <c r="B10" s="28" t="s">
        <v>371</v>
      </c>
      <c r="C10" t="s">
        <v>1</v>
      </c>
      <c r="D10" t="str">
        <f t="shared" ref="D10:D11" si="13">SUBSTITUTE(PROPER(A10),"_","")</f>
        <v>PartName</v>
      </c>
      <c r="E10" t="str">
        <f t="shared" ref="E10:E11" si="14">IFERROR(LEFT(B10, FIND("(",B10)-1),B10)</f>
        <v>nvarchar</v>
      </c>
      <c r="F10" s="6"/>
      <c r="G10" t="str">
        <f t="shared" ref="G10:G11" si="15">IFERROR(MID(B10,FIND("(",B10) +1, FIND(")",B10) - FIND("(",B10) - 1),"")</f>
        <v>200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MaxPartNameLength = 200;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[StringLength(MaxPartNameLength)]
		public virtual string PartName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PartName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[StringLength(InvPIOStockConsts.MaxPartNameLength)]
		public virtual string PartName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PartName { get; set; }
</v>
      </c>
      <c r="P10" t="str">
        <f t="shared" ref="P10:P11" si="22">REPT(CHAR(9),7)&amp;D10&amp;" = o." &amp;D10 &amp;","</f>
        <v xml:space="preserve">							PartName = o.PartName,</v>
      </c>
      <c r="T10" s="63" t="str">
        <f t="shared" ref="T10:T11" si="23">REPT(CHAR(9),8)&amp;"("""&amp;D10&amp;"""),"</f>
        <v xml:space="preserve">								("PartName"),</v>
      </c>
      <c r="V10" s="64" t="str">
        <f t="shared" ref="V10:V11" si="24">REPT(CHAR(9),8)&amp;"_ =&gt; _."&amp;D10&amp;","</f>
        <v xml:space="preserve">								_ =&gt; _.PartName,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.WhereIf(!string.IsNullOrWhiteSpace(input.PartName), e =&gt; e.PartName.Contains(input.PartName))</v>
      </c>
    </row>
    <row r="11" spans="1:23" customFormat="1" ht="18.75" customHeight="1" x14ac:dyDescent="0.25">
      <c r="A11" s="28" t="s">
        <v>365</v>
      </c>
      <c r="B11" s="28" t="s">
        <v>372</v>
      </c>
      <c r="C11" t="s">
        <v>1</v>
      </c>
      <c r="D11" t="str">
        <f t="shared" si="13"/>
        <v>PartId</v>
      </c>
      <c r="E11" t="str">
        <f t="shared" si="14"/>
        <v>BIGINT</v>
      </c>
      <c r="F11" s="6"/>
      <c r="G11" t="str">
        <f t="shared" si="15"/>
        <v/>
      </c>
      <c r="H11" t="str">
        <f>+VLOOKUP(E11,'Data Type Mapping'!A:B,2,)</f>
        <v>long?</v>
      </c>
      <c r="I11" t="str">
        <f t="shared" si="16"/>
        <v/>
      </c>
      <c r="J11" t="str">
        <f t="shared" si="17"/>
        <v xml:space="preserve">		public virtual long? PartId { get; set; }
</v>
      </c>
      <c r="K11" s="6"/>
      <c r="L11" t="str">
        <f t="shared" si="18"/>
        <v/>
      </c>
      <c r="M11" t="str">
        <f t="shared" si="19"/>
        <v xml:space="preserve">		public virtual long? PartId { get; set; }
</v>
      </c>
      <c r="N11" t="str">
        <f t="shared" si="20"/>
        <v xml:space="preserve">		public virtual long? PartId { get; set; }
</v>
      </c>
      <c r="O11" t="str">
        <f t="shared" si="21"/>
        <v/>
      </c>
      <c r="P11" t="str">
        <f t="shared" si="22"/>
        <v xml:space="preserve">							PartId = o.PartId,</v>
      </c>
      <c r="T11" s="63" t="str">
        <f t="shared" si="23"/>
        <v xml:space="preserve">								("PartId"),</v>
      </c>
      <c r="V11" s="64" t="str">
        <f t="shared" si="24"/>
        <v xml:space="preserve">								_ =&gt; _.PartId,</v>
      </c>
      <c r="W11" s="63" t="str">
        <f t="shared" si="25"/>
        <v/>
      </c>
    </row>
    <row r="12" spans="1:23" customFormat="1" ht="18.75" customHeight="1" x14ac:dyDescent="0.25">
      <c r="A12" s="28" t="s">
        <v>366</v>
      </c>
      <c r="B12" s="28" t="s">
        <v>353</v>
      </c>
      <c r="C12" t="s">
        <v>1</v>
      </c>
      <c r="D12" t="str">
        <f t="shared" ref="D12:D13" si="26">SUBSTITUTE(PROPER(A12),"_","")</f>
        <v>MktCode</v>
      </c>
      <c r="E12" t="str">
        <f t="shared" ref="E12:E13" si="27">IFERROR(LEFT(B12, FIND("(",B12)-1),B12)</f>
        <v>nvarchar</v>
      </c>
      <c r="F12" s="6"/>
      <c r="G12" t="str">
        <f t="shared" ref="G12:G13" si="28">IFERROR(MID(B12,FIND("(",B12) +1, FIND(")",B12) - FIND("(",B12) - 1),"")</f>
        <v>100</v>
      </c>
      <c r="H12" t="str">
        <f>+VLOOKUP(E12,'Data Type Mapping'!A:B,2,)</f>
        <v>string</v>
      </c>
      <c r="I12" t="str">
        <f t="shared" ref="I12:I13" si="29">IF(H12="string",REPT(CHAR(9),2)&amp;"public const int Max"&amp;D12&amp;"Length = "&amp;G12&amp;";"&amp;$E$3,"" )</f>
        <v xml:space="preserve">		public const int MaxMktCodeLength = 100;
</v>
      </c>
      <c r="J12" t="str">
        <f t="shared" ref="J12:J13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[StringLength(MaxMktCodeLength)]
		public virtual string MktCode { get; set; }
</v>
      </c>
      <c r="K12" s="6"/>
      <c r="L12" t="str">
        <f t="shared" ref="L12:L13" si="31">IF(K12="","",REPT(CHAR(9),1)&amp;"[Index(nameof("&amp;IF(D12="","",""&amp;D12)&amp;")"&amp;", Name="&amp;"""IX_"&amp;$B$7&amp;"_"&amp;D12&amp;""")]")</f>
        <v/>
      </c>
      <c r="M12" t="str">
        <f t="shared" ref="M12:M13" si="32">REPT(CHAR(9),2)&amp;"public virtual "&amp;IF(OR(H12="DateTime",H12="TimeSpan"),H12&amp;"?",H12)&amp;IF(C12="?","? "," ")&amp;D12&amp;" { get; set; }" &amp; "
"</f>
        <v xml:space="preserve">		public virtual string MktCode { get; set; }
</v>
      </c>
      <c r="N12" t="str">
        <f t="shared" ref="N12:N13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[StringLength(InvPIOStockConsts.MaxMktCodeLength)]
		public virtual string MktCode { get; set; }
</v>
      </c>
      <c r="O12" t="str">
        <f t="shared" ref="O12:O13" si="34">IF(OR(H12="string",H12="DateTime",H12="int"),REPT(CHAR(9),2)&amp;"public virtual "&amp;IF(OR(H12="DateTime",H12="TimeSpan"),H12&amp;"?",H12)&amp;IF(C12="?","? "," ")&amp;D12&amp;" { get; set; }"&amp;$E$3,"")</f>
        <v xml:space="preserve">		public virtual string MktCode { get; set; }
</v>
      </c>
      <c r="P12" t="str">
        <f t="shared" ref="P12:P13" si="35">REPT(CHAR(9),7)&amp;D12&amp;" = o." &amp;D12 &amp;","</f>
        <v xml:space="preserve">							MktCode = o.MktCode,</v>
      </c>
      <c r="T12" s="63" t="str">
        <f t="shared" ref="T12:T13" si="36">REPT(CHAR(9),8)&amp;"("""&amp;D12&amp;"""),"</f>
        <v xml:space="preserve">								("MktCode"),</v>
      </c>
      <c r="V12" s="64" t="str">
        <f t="shared" ref="V12:V13" si="37">REPT(CHAR(9),8)&amp;"_ =&gt; _."&amp;D12&amp;","</f>
        <v xml:space="preserve">								_ =&gt; _.MktCode,</v>
      </c>
      <c r="W12" s="63" t="str">
        <f t="shared" ref="W12:W13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.WhereIf(!string.IsNullOrWhiteSpace(input.MktCode), e =&gt; e.MktCode.Contains(input.MktCode))</v>
      </c>
    </row>
    <row r="13" spans="1:23" customFormat="1" ht="18.75" customHeight="1" x14ac:dyDescent="0.25">
      <c r="A13" s="28" t="s">
        <v>367</v>
      </c>
      <c r="B13" s="28" t="s">
        <v>373</v>
      </c>
      <c r="C13" t="s">
        <v>1</v>
      </c>
      <c r="D13" t="str">
        <f t="shared" si="26"/>
        <v>WorkingDate</v>
      </c>
      <c r="E13" t="str">
        <f t="shared" si="27"/>
        <v>DATETIME</v>
      </c>
      <c r="F13" s="6"/>
      <c r="G13" t="str">
        <f t="shared" si="28"/>
        <v/>
      </c>
      <c r="H13" t="str">
        <f>+VLOOKUP(E13,'Data Type Mapping'!A:B,2,)</f>
        <v>DateTime?</v>
      </c>
      <c r="I13" t="str">
        <f t="shared" si="29"/>
        <v/>
      </c>
      <c r="J13" t="str">
        <f t="shared" si="30"/>
        <v xml:space="preserve">		public virtual DateTime? WorkingDate { get; set; }
</v>
      </c>
      <c r="K13" s="6"/>
      <c r="L13" t="str">
        <f t="shared" si="31"/>
        <v/>
      </c>
      <c r="M13" t="str">
        <f t="shared" si="32"/>
        <v xml:space="preserve">		public virtual DateTime? WorkingDate { get; set; }
</v>
      </c>
      <c r="N13" t="str">
        <f t="shared" si="33"/>
        <v xml:space="preserve">		public virtual DateTime? WorkingDate { get; set; }
</v>
      </c>
      <c r="O13" t="str">
        <f t="shared" si="34"/>
        <v/>
      </c>
      <c r="P13" t="str">
        <f t="shared" si="35"/>
        <v xml:space="preserve">							WorkingDate = o.WorkingDate,</v>
      </c>
      <c r="T13" s="63" t="str">
        <f t="shared" si="36"/>
        <v xml:space="preserve">								("WorkingDate"),</v>
      </c>
      <c r="V13" s="64" t="str">
        <f t="shared" si="37"/>
        <v xml:space="preserve">								_ =&gt; _.WorkingDate,</v>
      </c>
      <c r="W13" s="63" t="str">
        <f t="shared" si="38"/>
        <v/>
      </c>
    </row>
    <row r="14" spans="1:23" customFormat="1" ht="18.75" customHeight="1" x14ac:dyDescent="0.25">
      <c r="A14" s="28" t="s">
        <v>368</v>
      </c>
      <c r="B14" s="28" t="s">
        <v>374</v>
      </c>
      <c r="C14" t="s">
        <v>1</v>
      </c>
      <c r="D14" t="str">
        <f t="shared" ref="D14" si="39">SUBSTITUTE(PROPER(A14),"_","")</f>
        <v>Qty</v>
      </c>
      <c r="E14" t="str">
        <f t="shared" ref="E14" si="40">IFERROR(LEFT(B14, FIND("(",B14)-1),B14)</f>
        <v>INT</v>
      </c>
      <c r="F14" s="6"/>
      <c r="G14" t="str">
        <f t="shared" ref="G14" si="41">IFERROR(MID(B14,FIND("(",B14) +1, FIND(")",B14) - FIND("(",B14) - 1),"")</f>
        <v/>
      </c>
      <c r="H14" t="str">
        <f>+VLOOKUP(E14,'Data Type Mapping'!A:B,2,)</f>
        <v>int?</v>
      </c>
      <c r="I14" t="str">
        <f t="shared" ref="I14" si="42">IF(H14="string",REPT(CHAR(9),2)&amp;"public const int Max"&amp;D14&amp;"Length = "&amp;G14&amp;";"&amp;$E$3,"" )</f>
        <v/>
      </c>
      <c r="J14" t="str">
        <f t="shared" ref="J14" si="4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public virtual int? Qty { get; set; }
</v>
      </c>
      <c r="K14" s="6"/>
      <c r="L14" t="str">
        <f t="shared" ref="L14" si="44">IF(K14="","",REPT(CHAR(9),1)&amp;"[Index(nameof("&amp;IF(D14="","",""&amp;D14)&amp;")"&amp;", Name="&amp;"""IX_"&amp;$B$7&amp;"_"&amp;D14&amp;""")]")</f>
        <v/>
      </c>
      <c r="M14" t="str">
        <f t="shared" ref="M14" si="45">REPT(CHAR(9),2)&amp;"public virtual "&amp;IF(OR(H14="DateTime",H14="TimeSpan"),H14&amp;"?",H14)&amp;IF(C14="?","? "," ")&amp;D14&amp;" { get; set; }" &amp; "
"</f>
        <v xml:space="preserve">		public virtual int? Qty { get; set; }
</v>
      </c>
      <c r="N14" t="str">
        <f t="shared" ref="N14" si="46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int? Qty { get; set; }
</v>
      </c>
      <c r="O14" t="str">
        <f t="shared" ref="O14" si="47">IF(OR(H14="string",H14="DateTime",H14="int"),REPT(CHAR(9),2)&amp;"public virtual "&amp;IF(OR(H14="DateTime",H14="TimeSpan"),H14&amp;"?",H14)&amp;IF(C14="?","? "," ")&amp;D14&amp;" { get; set; }"&amp;$E$3,"")</f>
        <v/>
      </c>
      <c r="P14" t="str">
        <f t="shared" ref="P14" si="48">REPT(CHAR(9),7)&amp;D14&amp;" = o." &amp;D14 &amp;","</f>
        <v xml:space="preserve">							Qty = o.Qty,</v>
      </c>
      <c r="T14" s="63" t="str">
        <f t="shared" ref="T14" si="49">REPT(CHAR(9),8)&amp;"("""&amp;D14&amp;"""),"</f>
        <v xml:space="preserve">								("Qty"),</v>
      </c>
      <c r="V14" s="64" t="str">
        <f t="shared" ref="V14" si="50">REPT(CHAR(9),8)&amp;"_ =&gt; _."&amp;D14&amp;","</f>
        <v xml:space="preserve">								_ =&gt; _.Qty,</v>
      </c>
      <c r="W14" s="63" t="str">
        <f t="shared" ref="W14" si="51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/>
      </c>
    </row>
    <row r="15" spans="1:23" customFormat="1" ht="18.75" customHeight="1" x14ac:dyDescent="0.25">
      <c r="A15" s="28" t="s">
        <v>370</v>
      </c>
      <c r="B15" s="28" t="s">
        <v>372</v>
      </c>
      <c r="C15" t="s">
        <v>1</v>
      </c>
      <c r="D15" t="str">
        <f t="shared" ref="D15:D22" si="52">SUBSTITUTE(PROPER(A15),"_","")</f>
        <v>TransId</v>
      </c>
      <c r="E15" t="str">
        <f t="shared" ref="E15:E22" si="53">IFERROR(LEFT(B15, FIND("(",B15)-1),B15)</f>
        <v>BIGINT</v>
      </c>
      <c r="F15" s="6"/>
      <c r="G15" t="str">
        <f t="shared" ref="G15:G22" si="54">IFERROR(MID(B15,FIND("(",B15) +1, FIND(")",B15) - FIND("(",B15) - 1),"")</f>
        <v/>
      </c>
      <c r="H15" t="str">
        <f>+VLOOKUP(E15,'Data Type Mapping'!A:B,2,)</f>
        <v>long?</v>
      </c>
      <c r="I15" t="str">
        <f t="shared" ref="I15:I22" si="55">IF(H15="string",REPT(CHAR(9),2)&amp;"public const int Max"&amp;D15&amp;"Length = "&amp;G15&amp;";"&amp;$E$3,"" )</f>
        <v/>
      </c>
      <c r="J15" t="str">
        <f t="shared" ref="J15:J22" si="56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long? TransId { get; set; }
</v>
      </c>
      <c r="K15" s="6"/>
      <c r="L15" t="str">
        <f t="shared" ref="L15:L22" si="57">IF(K15="","",REPT(CHAR(9),1)&amp;"[Index(nameof("&amp;IF(D15="","",""&amp;D15)&amp;")"&amp;", Name="&amp;"""IX_"&amp;$B$7&amp;"_"&amp;D15&amp;""")]")</f>
        <v/>
      </c>
      <c r="M15" t="str">
        <f t="shared" ref="M15:M22" si="58">REPT(CHAR(9),2)&amp;"public virtual "&amp;IF(OR(H15="DateTime",H15="TimeSpan"),H15&amp;"?",H15)&amp;IF(C15="?","? "," ")&amp;D15&amp;" { get; set; }" &amp; "
"</f>
        <v xml:space="preserve">		public virtual long? TransId { get; set; }
</v>
      </c>
      <c r="N15" t="str">
        <f t="shared" ref="N15:N22" si="59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long? TransId { get; set; }
</v>
      </c>
      <c r="O15" t="str">
        <f t="shared" ref="O15:O22" si="60">IF(OR(H15="string",H15="DateTime",H15="int"),REPT(CHAR(9),2)&amp;"public virtual "&amp;IF(OR(H15="DateTime",H15="TimeSpan"),H15&amp;"?",H15)&amp;IF(C15="?","? "," ")&amp;D15&amp;" { get; set; }"&amp;$E$3,"")</f>
        <v/>
      </c>
      <c r="P15" t="str">
        <f t="shared" ref="P15:P22" si="61">REPT(CHAR(9),7)&amp;D15&amp;" = o." &amp;D15 &amp;","</f>
        <v xml:space="preserve">							TransId = o.TransId,</v>
      </c>
      <c r="T15" s="63" t="str">
        <f t="shared" ref="T15:T22" si="62">REPT(CHAR(9),8)&amp;"("""&amp;D15&amp;"""),"</f>
        <v xml:space="preserve">								("TransId"),</v>
      </c>
      <c r="V15" s="64" t="str">
        <f t="shared" ref="V15:V22" si="63">REPT(CHAR(9),8)&amp;"_ =&gt; _."&amp;D15&amp;","</f>
        <v xml:space="preserve">								_ =&gt; _.TransId,</v>
      </c>
      <c r="W15" s="63" t="str">
        <f t="shared" ref="W15:W22" si="64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</row>
    <row r="16" spans="1:23" customFormat="1" ht="18.75" customHeight="1" x14ac:dyDescent="0.25">
      <c r="A16" s="28" t="s">
        <v>369</v>
      </c>
      <c r="B16" s="28" t="s">
        <v>373</v>
      </c>
      <c r="C16" t="s">
        <v>1</v>
      </c>
      <c r="D16" t="str">
        <f t="shared" si="52"/>
        <v>TransDatetime</v>
      </c>
      <c r="E16" t="str">
        <f t="shared" si="53"/>
        <v>DATETIME</v>
      </c>
      <c r="F16" s="6"/>
      <c r="G16" t="str">
        <f t="shared" si="54"/>
        <v/>
      </c>
      <c r="H16" t="str">
        <f>+VLOOKUP(E16,'Data Type Mapping'!A:B,2,)</f>
        <v>DateTime?</v>
      </c>
      <c r="I16" t="str">
        <f t="shared" si="55"/>
        <v/>
      </c>
      <c r="J16" t="str">
        <f t="shared" si="56"/>
        <v xml:space="preserve">		public virtual DateTime? TransDatetime { get; set; }
</v>
      </c>
      <c r="K16" s="6"/>
      <c r="L16" t="str">
        <f t="shared" si="57"/>
        <v/>
      </c>
      <c r="M16" t="str">
        <f t="shared" si="58"/>
        <v xml:space="preserve">		public virtual DateTime? TransDatetime { get; set; }
</v>
      </c>
      <c r="N16" t="str">
        <f t="shared" si="59"/>
        <v xml:space="preserve">		public virtual DateTime? TransDatetime { get; set; }
</v>
      </c>
      <c r="O16" t="str">
        <f t="shared" si="60"/>
        <v/>
      </c>
      <c r="P16" t="str">
        <f t="shared" si="61"/>
        <v xml:space="preserve">							TransDatetime = o.TransDatetime,</v>
      </c>
      <c r="T16" s="63" t="str">
        <f t="shared" si="62"/>
        <v xml:space="preserve">								("TransDatetime"),</v>
      </c>
      <c r="V16" s="64" t="str">
        <f t="shared" si="63"/>
        <v xml:space="preserve">								_ =&gt; _.TransDatetime,</v>
      </c>
      <c r="W16" s="63" t="str">
        <f t="shared" si="64"/>
        <v/>
      </c>
    </row>
    <row r="17" spans="1:23" customFormat="1" ht="18.75" customHeight="1" x14ac:dyDescent="0.25">
      <c r="A17" s="28" t="s">
        <v>378</v>
      </c>
      <c r="B17" s="28" t="s">
        <v>372</v>
      </c>
      <c r="C17" t="s">
        <v>1</v>
      </c>
      <c r="D17" t="str">
        <f t="shared" si="52"/>
        <v>VehicleId</v>
      </c>
      <c r="E17" t="str">
        <f t="shared" si="53"/>
        <v>BIGINT</v>
      </c>
      <c r="F17" s="6"/>
      <c r="G17" t="str">
        <f t="shared" si="54"/>
        <v/>
      </c>
      <c r="H17" t="str">
        <f>+VLOOKUP(E17,'[1]Data Type Mapping'!A:B,2,)</f>
        <v>long?</v>
      </c>
      <c r="I17" t="str">
        <f t="shared" si="55"/>
        <v/>
      </c>
      <c r="J17" t="str">
        <f t="shared" si="56"/>
        <v xml:space="preserve">		public virtual long? VehicleId { get; set; }
</v>
      </c>
      <c r="K17" s="6"/>
      <c r="L17" t="str">
        <f t="shared" si="57"/>
        <v/>
      </c>
      <c r="M17" t="str">
        <f t="shared" si="58"/>
        <v xml:space="preserve">		public virtual long? VehicleId { get; set; }
</v>
      </c>
      <c r="N17" t="str">
        <f t="shared" si="59"/>
        <v xml:space="preserve">		public virtual long? VehicleId { get; set; }
</v>
      </c>
      <c r="O17" t="str">
        <f t="shared" si="60"/>
        <v/>
      </c>
      <c r="P17" t="str">
        <f t="shared" si="61"/>
        <v xml:space="preserve">							VehicleId = o.VehicleId,</v>
      </c>
      <c r="T17" s="63" t="str">
        <f t="shared" si="62"/>
        <v xml:space="preserve">								("VehicleId"),</v>
      </c>
      <c r="V17" s="64" t="str">
        <f t="shared" si="63"/>
        <v xml:space="preserve">								_ =&gt; _.VehicleId,</v>
      </c>
      <c r="W17" s="63" t="str">
        <f t="shared" si="64"/>
        <v/>
      </c>
    </row>
    <row r="18" spans="1:23" customFormat="1" ht="18.75" customHeight="1" x14ac:dyDescent="0.25">
      <c r="A18" s="28" t="s">
        <v>379</v>
      </c>
      <c r="B18" s="28" t="s">
        <v>352</v>
      </c>
      <c r="C18" t="s">
        <v>1</v>
      </c>
      <c r="D18" t="str">
        <f t="shared" si="52"/>
        <v>VinNo</v>
      </c>
      <c r="E18" t="str">
        <f t="shared" si="53"/>
        <v>nvarchar</v>
      </c>
      <c r="F18" s="6"/>
      <c r="G18" t="str">
        <f t="shared" si="54"/>
        <v>40</v>
      </c>
      <c r="H18" t="str">
        <f>+VLOOKUP(E18,'[1]Data Type Mapping'!A:B,2,)</f>
        <v>string</v>
      </c>
      <c r="I18" t="str">
        <f t="shared" si="55"/>
        <v xml:space="preserve">		public const int MaxVinNoLength = 40;
</v>
      </c>
      <c r="J18" t="str">
        <f t="shared" si="56"/>
        <v xml:space="preserve">		[StringLength(MaxVinNoLength)]
		public virtual string VinNo { get; set; }
</v>
      </c>
      <c r="K18" s="6"/>
      <c r="L18" t="str">
        <f t="shared" si="57"/>
        <v/>
      </c>
      <c r="M18" t="str">
        <f t="shared" si="58"/>
        <v xml:space="preserve">		public virtual string VinNo { get; set; }
</v>
      </c>
      <c r="N18" t="str">
        <f t="shared" si="59"/>
        <v xml:space="preserve">		[StringLength(InvPIOStockConsts.MaxVinNoLength)]
		public virtual string VinNo { get; set; }
</v>
      </c>
      <c r="O18" t="str">
        <f t="shared" si="60"/>
        <v xml:space="preserve">		public virtual string VinNo { get; set; }
</v>
      </c>
      <c r="P18" t="str">
        <f t="shared" si="61"/>
        <v xml:space="preserve">							VinNo = o.VinNo,</v>
      </c>
      <c r="T18" s="63" t="str">
        <f t="shared" si="62"/>
        <v xml:space="preserve">								("VinNo"),</v>
      </c>
      <c r="V18" s="64" t="str">
        <f t="shared" si="63"/>
        <v xml:space="preserve">								_ =&gt; _.VinNo,</v>
      </c>
      <c r="W18" s="63" t="str">
        <f t="shared" si="64"/>
        <v xml:space="preserve">				.WhereIf(!string.IsNullOrWhiteSpace(input.VinNo), e =&gt; e.VinNo.Contains(input.VinNo))</v>
      </c>
    </row>
    <row r="19" spans="1:23" customFormat="1" ht="18.75" customHeight="1" x14ac:dyDescent="0.25">
      <c r="A19" s="28" t="s">
        <v>380</v>
      </c>
      <c r="B19" s="28" t="s">
        <v>352</v>
      </c>
      <c r="C19" t="s">
        <v>1</v>
      </c>
      <c r="D19" t="str">
        <f t="shared" si="52"/>
        <v>PartType</v>
      </c>
      <c r="E19" t="str">
        <f t="shared" si="53"/>
        <v>nvarchar</v>
      </c>
      <c r="F19" s="6"/>
      <c r="G19" t="str">
        <f t="shared" si="54"/>
        <v>40</v>
      </c>
      <c r="H19" t="str">
        <f>+VLOOKUP(E19,'[1]Data Type Mapping'!A:B,2,)</f>
        <v>string</v>
      </c>
      <c r="I19" t="str">
        <f t="shared" si="55"/>
        <v xml:space="preserve">		public const int MaxPartTypeLength = 40;
</v>
      </c>
      <c r="J19" t="str">
        <f t="shared" si="56"/>
        <v xml:space="preserve">		[StringLength(MaxPartTypeLength)]
		public virtual string PartType { get; set; }
</v>
      </c>
      <c r="K19" s="6"/>
      <c r="L19" t="str">
        <f t="shared" si="57"/>
        <v/>
      </c>
      <c r="M19" t="str">
        <f t="shared" si="58"/>
        <v xml:space="preserve">		public virtual string PartType { get; set; }
</v>
      </c>
      <c r="N19" t="str">
        <f t="shared" si="59"/>
        <v xml:space="preserve">		[StringLength(InvPIOStockConsts.MaxPartTypeLength)]
		public virtual string PartType { get; set; }
</v>
      </c>
      <c r="O19" t="str">
        <f t="shared" si="60"/>
        <v xml:space="preserve">		public virtual string PartType { get; set; }
</v>
      </c>
      <c r="P19" t="str">
        <f t="shared" si="61"/>
        <v xml:space="preserve">							PartType = o.PartType,</v>
      </c>
      <c r="T19" s="63" t="str">
        <f t="shared" si="62"/>
        <v xml:space="preserve">								("PartType"),</v>
      </c>
      <c r="V19" s="64" t="str">
        <f t="shared" si="63"/>
        <v xml:space="preserve">								_ =&gt; _.PartType,</v>
      </c>
      <c r="W19" s="63" t="str">
        <f t="shared" si="64"/>
        <v xml:space="preserve">				.WhereIf(!string.IsNullOrWhiteSpace(input.PartType), e =&gt; e.PartType.Contains(input.PartType))</v>
      </c>
    </row>
    <row r="20" spans="1:23" customFormat="1" ht="18.75" customHeight="1" x14ac:dyDescent="0.25">
      <c r="A20" s="28" t="s">
        <v>381</v>
      </c>
      <c r="B20" s="28" t="s">
        <v>382</v>
      </c>
      <c r="C20" t="s">
        <v>1</v>
      </c>
      <c r="D20" t="str">
        <f t="shared" si="52"/>
        <v>Shop</v>
      </c>
      <c r="E20" t="str">
        <f t="shared" si="53"/>
        <v>nvarchar</v>
      </c>
      <c r="F20" s="6"/>
      <c r="G20" t="str">
        <f t="shared" si="54"/>
        <v>20</v>
      </c>
      <c r="H20" t="str">
        <f>+VLOOKUP(E20,'[1]Data Type Mapping'!A:B,2,)</f>
        <v>string</v>
      </c>
      <c r="I20" t="str">
        <f t="shared" si="55"/>
        <v xml:space="preserve">		public const int MaxShopLength = 20;
</v>
      </c>
      <c r="J20" t="str">
        <f t="shared" si="56"/>
        <v xml:space="preserve">		[StringLength(MaxShopLength)]
		public virtual string Shop { get; set; }
</v>
      </c>
      <c r="K20" s="6"/>
      <c r="L20" t="str">
        <f t="shared" si="57"/>
        <v/>
      </c>
      <c r="M20" t="str">
        <f t="shared" si="58"/>
        <v xml:space="preserve">		public virtual string Shop { get; set; }
</v>
      </c>
      <c r="N20" t="str">
        <f t="shared" si="59"/>
        <v xml:space="preserve">		[StringLength(InvPIOStockConsts.MaxShopLength)]
		public virtual string Shop { get; set; }
</v>
      </c>
      <c r="O20" t="str">
        <f t="shared" si="60"/>
        <v xml:space="preserve">		public virtual string Shop { get; set; }
</v>
      </c>
      <c r="P20" t="str">
        <f t="shared" si="61"/>
        <v xml:space="preserve">							Shop = o.Shop,</v>
      </c>
      <c r="T20" s="63" t="str">
        <f t="shared" si="62"/>
        <v xml:space="preserve">								("Shop"),</v>
      </c>
      <c r="V20" s="64" t="str">
        <f t="shared" si="63"/>
        <v xml:space="preserve">								_ =&gt; _.Shop,</v>
      </c>
      <c r="W20" s="63" t="str">
        <f t="shared" si="64"/>
        <v xml:space="preserve">				.WhereIf(!string.IsNullOrWhiteSpace(input.Shop), e =&gt; e.Shop.Contains(input.Shop))</v>
      </c>
    </row>
    <row r="21" spans="1:23" customFormat="1" ht="18.75" customHeight="1" x14ac:dyDescent="0.25">
      <c r="A21" s="28" t="s">
        <v>383</v>
      </c>
      <c r="B21" s="28" t="s">
        <v>382</v>
      </c>
      <c r="C21" t="s">
        <v>1</v>
      </c>
      <c r="D21" t="str">
        <f t="shared" si="52"/>
        <v>CartType</v>
      </c>
      <c r="E21" t="str">
        <f t="shared" si="53"/>
        <v>nvarchar</v>
      </c>
      <c r="F21" s="6"/>
      <c r="G21" t="str">
        <f t="shared" si="54"/>
        <v>20</v>
      </c>
      <c r="H21" t="str">
        <f>+VLOOKUP(E21,'[1]Data Type Mapping'!A:B,2,)</f>
        <v>string</v>
      </c>
      <c r="I21" t="str">
        <f t="shared" si="55"/>
        <v xml:space="preserve">		public const int MaxCartTypeLength = 20;
</v>
      </c>
      <c r="J21" t="str">
        <f t="shared" si="56"/>
        <v xml:space="preserve">		[StringLength(MaxCartTypeLength)]
		public virtual string CartType { get; set; }
</v>
      </c>
      <c r="K21" s="6"/>
      <c r="L21" t="str">
        <f t="shared" si="57"/>
        <v/>
      </c>
      <c r="M21" t="str">
        <f t="shared" si="58"/>
        <v xml:space="preserve">		public virtual string CartType { get; set; }
</v>
      </c>
      <c r="N21" t="str">
        <f t="shared" si="59"/>
        <v xml:space="preserve">		[StringLength(InvPIOStockConsts.MaxCartTypeLength)]
		public virtual string CartType { get; set; }
</v>
      </c>
      <c r="O21" t="str">
        <f t="shared" si="60"/>
        <v xml:space="preserve">		public virtual string CartType { get; set; }
</v>
      </c>
      <c r="P21" t="str">
        <f t="shared" si="61"/>
        <v xml:space="preserve">							CartType = o.CartType,</v>
      </c>
      <c r="T21" s="63" t="str">
        <f t="shared" si="62"/>
        <v xml:space="preserve">								("CartType"),</v>
      </c>
      <c r="V21" s="64" t="str">
        <f t="shared" si="63"/>
        <v xml:space="preserve">								_ =&gt; _.CartType,</v>
      </c>
      <c r="W21" s="63" t="str">
        <f t="shared" si="64"/>
        <v xml:space="preserve">				.WhereIf(!string.IsNullOrWhiteSpace(input.CartType), e =&gt; e.CartType.Contains(input.CartType))</v>
      </c>
    </row>
    <row r="22" spans="1:23" customFormat="1" ht="18.75" customHeight="1" x14ac:dyDescent="0.25">
      <c r="A22" s="28" t="s">
        <v>384</v>
      </c>
      <c r="B22" s="28" t="s">
        <v>382</v>
      </c>
      <c r="C22" t="s">
        <v>1</v>
      </c>
      <c r="D22" t="str">
        <f t="shared" si="52"/>
        <v>InteriorColor</v>
      </c>
      <c r="E22" t="str">
        <f t="shared" si="53"/>
        <v>nvarchar</v>
      </c>
      <c r="F22" s="6"/>
      <c r="G22" t="str">
        <f t="shared" si="54"/>
        <v>20</v>
      </c>
      <c r="H22" t="str">
        <f>+VLOOKUP(E22,'[1]Data Type Mapping'!A:B,2,)</f>
        <v>string</v>
      </c>
      <c r="I22" t="str">
        <f t="shared" si="55"/>
        <v xml:space="preserve">		public const int MaxInteriorColorLength = 20;
</v>
      </c>
      <c r="J22" t="str">
        <f t="shared" si="56"/>
        <v xml:space="preserve">		[StringLength(MaxInteriorColorLength)]
		public virtual string InteriorColor { get; set; }
</v>
      </c>
      <c r="K22" s="6"/>
      <c r="L22" t="str">
        <f t="shared" si="57"/>
        <v/>
      </c>
      <c r="M22" t="str">
        <f t="shared" si="58"/>
        <v xml:space="preserve">		public virtual string InteriorColor { get; set; }
</v>
      </c>
      <c r="N22" t="str">
        <f t="shared" si="59"/>
        <v xml:space="preserve">		[StringLength(InvPIOStockConsts.MaxInteriorColorLength)]
		public virtual string InteriorColor { get; set; }
</v>
      </c>
      <c r="O22" t="str">
        <f t="shared" si="60"/>
        <v xml:space="preserve">		public virtual string InteriorColor { get; set; }
</v>
      </c>
      <c r="P22" t="str">
        <f t="shared" si="61"/>
        <v xml:space="preserve">							InteriorColor = o.InteriorColor,</v>
      </c>
      <c r="T22" s="63" t="str">
        <f t="shared" si="62"/>
        <v xml:space="preserve">								("InteriorColor"),</v>
      </c>
      <c r="V22" s="64" t="str">
        <f t="shared" si="63"/>
        <v xml:space="preserve">								_ =&gt; _.InteriorColor,</v>
      </c>
      <c r="W22" s="63" t="str">
        <f t="shared" si="64"/>
        <v xml:space="preserve">				.WhereIf(!string.IsNullOrWhiteSpace(input.InteriorColor), e =&gt; e.InteriorColor.Contains(input.InteriorColor))</v>
      </c>
    </row>
    <row r="23" spans="1:23" customFormat="1" ht="18.75" customHeight="1" x14ac:dyDescent="0.25">
      <c r="A23" s="28" t="s">
        <v>318</v>
      </c>
      <c r="B23" s="28" t="s">
        <v>354</v>
      </c>
      <c r="C23" t="s">
        <v>1</v>
      </c>
      <c r="D23" t="str">
        <f t="shared" ref="D23" si="65">SUBSTITUTE(PROPER(A23),"_","")</f>
        <v>IsActive</v>
      </c>
      <c r="E23" t="str">
        <f t="shared" ref="E23" si="66">IFERROR(LEFT(B23, FIND("(",B23)-1),B23)</f>
        <v>varchar</v>
      </c>
      <c r="F23" s="6"/>
      <c r="G23" t="str">
        <f t="shared" ref="G23" si="67">IFERROR(MID(B23,FIND("(",B23) +1, FIND(")",B23) - FIND("(",B23) - 1),"")</f>
        <v>1</v>
      </c>
      <c r="H23" t="str">
        <f>+VLOOKUP(E23,'Data Type Mapping'!A:B,2,)</f>
        <v>string</v>
      </c>
      <c r="I23" t="str">
        <f t="shared" ref="I23" si="68">IF(H23="string",REPT(CHAR(9),2)&amp;"public const int Max"&amp;D23&amp;"Length = "&amp;G23&amp;";"&amp;$E$3,"" )</f>
        <v xml:space="preserve">		public const int MaxIsActiveLength = 1;
</v>
      </c>
      <c r="J23" t="str">
        <f t="shared" ref="J23" si="69"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[StringLength(MaxIsActiveLength)]
		public virtual string IsActive { get; set; }
</v>
      </c>
      <c r="K23" s="6"/>
      <c r="L23" t="str">
        <f t="shared" ref="L23" si="70">IF(K23="","",REPT(CHAR(9),1)&amp;"[Index(nameof("&amp;IF(D23="","",""&amp;D23)&amp;")"&amp;", Name="&amp;"""IX_"&amp;$B$7&amp;"_"&amp;D23&amp;""")]")</f>
        <v/>
      </c>
      <c r="M23" t="str">
        <f t="shared" ref="M23" si="71">REPT(CHAR(9),2)&amp;"public virtual "&amp;IF(OR(H23="DateTime",H23="TimeSpan"),H23&amp;"?",H23)&amp;IF(C23="?","? "," ")&amp;D23&amp;" { get; set; }" &amp; "
"</f>
        <v xml:space="preserve">		public virtual string IsActive { get; set; }
</v>
      </c>
      <c r="N23" t="str">
        <f t="shared" ref="N23" si="72"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[StringLength(InvPIOStockConsts.MaxIsActiveLength)]
		public virtual string IsActive { get; set; }
</v>
      </c>
      <c r="O23" t="str">
        <f t="shared" ref="O23" si="73">IF(OR(H23="string",H23="DateTime",H23="int"),REPT(CHAR(9),2)&amp;"public virtual "&amp;IF(OR(H23="DateTime",H23="TimeSpan"),H23&amp;"?",H23)&amp;IF(C23="?","? "," ")&amp;D23&amp;" { get; set; }"&amp;$E$3,"")</f>
        <v xml:space="preserve">		public virtual string IsActive { get; set; }
</v>
      </c>
      <c r="P23" t="str">
        <f t="shared" ref="P23" si="74">REPT(CHAR(9),7)&amp;D23&amp;" = o." &amp;D23 &amp;","</f>
        <v xml:space="preserve">							IsActive = o.IsActive,</v>
      </c>
      <c r="T23" s="63" t="str">
        <f t="shared" ref="T23" si="75">REPT(CHAR(9),8)&amp;"("""&amp;D23&amp;"""),"</f>
        <v xml:space="preserve">								("IsActive"),</v>
      </c>
      <c r="V23" s="64" t="str">
        <f t="shared" ref="V23" si="76">REPT(CHAR(9),8)&amp;"_ =&gt; _."&amp;D23&amp;","</f>
        <v xml:space="preserve">								_ =&gt; _.IsActive,</v>
      </c>
      <c r="W23" s="63" t="str">
        <f t="shared" ref="W23" si="77"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 xml:space="preserve">				.WhereIf(!string.IsNullOrWhiteSpace(input.IsActive), e =&gt; e.IsActive.Contains(input.IsActive))</v>
      </c>
    </row>
    <row r="25" spans="1:23" ht="45.75" customHeight="1" x14ac:dyDescent="0.25">
      <c r="H25" s="11"/>
      <c r="I25" s="31" t="str">
        <f ca="1">TEXTJOIN2("
", TRUE,INDIRECT( $H$1):INDIRECT( $H$3))</f>
        <v xml:space="preserve">		public const int MaxPartNoLength = 40;
		public const int MaxPartNameLength = 200;
		public const int MaxMktCodeLength = 100;
		public const int MaxVinNoLength = 40;
		public const int MaxPartTypeLength = 40;
		public const int MaxShopLength = 20;
		public const int MaxCartTypeLength = 20;
		public const int MaxInteriorColorLength = 20;
		public const int MaxIsActiveLength = 1;
</v>
      </c>
      <c r="J25" s="30" t="str">
        <f ca="1">TEXTJOIN2("
", TRUE,INDIRECT( $F$1):INDIRECT( $F$3))</f>
        <v xml:space="preserve">		[StringLength(MaxPartNoLength)]
		public virtual string PartNo { get; set; }
		[StringLength(MaxPartNameLength)]
		public virtual string PartName { get; set; }
		public virtual long? PartId { get; set; }
		[StringLength(MaxMktCodeLength)]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[StringLength(MaxVinNoLength)]
		public virtual string VinNo { get; set; }
		[StringLength(MaxPartTypeLength)]
		public virtual string PartType { get; set; }
		[StringLength(MaxShopLength)]
		public virtual string Shop { get; set; }
		[StringLength(MaxCartTypeLength)]
		public virtual string CartType { get; set; }
		[StringLength(MaxInteriorColorLength)]
		public virtual string InteriorColor { get; set; }
		[StringLength(MaxIsActiveLength)]
		public virtual string IsActive { get; set; }
</v>
      </c>
      <c r="K25" s="32" t="str">
        <f ca="1">TEXTJOIN2("
", TRUE,INDIRECT( $J$1):INDIRECT( $J$3))</f>
        <v/>
      </c>
      <c r="L25" s="12" t="s">
        <v>56</v>
      </c>
      <c r="M25" s="33" t="str">
        <f ca="1">TEXTJOIN2("
",TRUE,INDIRECT( $L$1):INDIRECT($L$3))</f>
        <v xml:space="preserve">		public virtual string PartNo { get; set; }
		public virtual string PartName { get; set; }
		public virtual long? PartId { get; set; }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</v>
      </c>
      <c r="N25" s="30" t="str">
        <f ca="1">TEXTJOIN2("
",TRUE,INDIRECT( $M$1):INDIRECT($M$3))</f>
        <v xml:space="preserve">		[StringLength(InvPIOStockConsts.MaxPartNoLength)]
		public virtual string PartNo { get; set; }
		[StringLength(InvPIOStockConsts.MaxPartNameLength)]
		public virtual string PartName { get; set; }
		public virtual long? PartId { get; set; }
		[StringLength(InvPIOStockConsts.MaxMktCodeLength)]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[StringLength(InvPIOStockConsts.MaxVinNoLength)]
		public virtual string VinNo { get; set; }
		[StringLength(InvPIOStockConsts.MaxPartTypeLength)]
		public virtual string PartType { get; set; }
		[StringLength(InvPIOStockConsts.MaxShopLength)]
		public virtual string Shop { get; set; }
		[StringLength(InvPIOStockConsts.MaxCartTypeLength)]
		public virtual string CartType { get; set; }
		[StringLength(InvPIOStockConsts.MaxInteriorColorLength)]
		public virtual string InteriorColor { get; set; }
		[StringLength(InvPIOStockConsts.MaxIsActiveLength)]
		public virtual string IsActive { get; set; }
</v>
      </c>
      <c r="O25" s="30" t="str">
        <f ca="1">TEXTJOIN2("
",TRUE,INDIRECT( $N$1):INDIRECT($N$3))</f>
        <v xml:space="preserve">		public virtual string PartNo { get; set; }
		public virtual string PartName { get; set; }
		public virtual string MktCode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</v>
      </c>
      <c r="P25" s="8" t="str">
        <f ca="1">TEXTJOIN2("
",TRUE,INDIRECT( $O$1):INDIRECT($O$3))</f>
        <v xml:space="preserve">							PartNo = o.PartNo,
							PartName = o.PartName,
							PartId = o.PartId,
							MktCode = o.MktCode,
							WorkingDate = o.WorkingDate,
							Qty = o.Qty,
							TransId = o.TransId,
							TransDatetime = o.TransDatetime,
							VehicleId = o.VehicleId,
							VinNo = o.VinNo,
							PartType = o.PartType,
							Shop = o.Shop,
							CartType = o.CartType,
							InteriorColor = o.InteriorColor,
							IsActive = o.IsActive,</v>
      </c>
      <c r="T25" s="8" t="str">
        <f ca="1">TEXTJOIN2("
",TRUE,INDIRECT( $T$2):INDIRECT($T$3))</f>
        <v xml:space="preserve">								("PartNo"),
								("PartName"),
								("PartId"),
								("MktCode"),
								("WorkingDate"),
								("Qty"),
								("TransId"),
								("TransDatetime"),
								("VehicleId"),
								("VinNo"),
								("PartType"),
								("Shop"),
								("CartType"),
								("InteriorColor"),
								("IsActive"),</v>
      </c>
      <c r="V25" s="8" t="str">
        <f ca="1">TEXTJOIN2("
",TRUE,INDIRECT( $V$2):INDIRECT($V$3))</f>
        <v xml:space="preserve">								_ =&gt; _.PartNo,
								_ =&gt; _.PartName,
								_ =&gt; _.PartId,
								_ =&gt; _.MktCode,
								_ =&gt; _.WorkingDate,
								_ =&gt; _.Qty,
								_ =&gt; _.TransId,
								_ =&gt; _.TransDatetime,
								_ =&gt; _.VehicleId,
								_ =&gt; _.VinNo,
								_ =&gt; _.PartType,
								_ =&gt; _.Shop,
								_ =&gt; _.CartType,
								_ =&gt; _.InteriorColor,
								_ =&gt; _.IsActive,</v>
      </c>
      <c r="W25" s="8" t="str">
        <f ca="1">TEXTJOIN2("
",TRUE,INDIRECT( $W$2):INDIRECT($W$3))</f>
        <v xml:space="preserve">				.WhereIf(!string.IsNullOrWhiteSpace(input.PartNo), e =&gt; e.PartNo.Contains(input.PartNo))
				.WhereIf(!string.IsNullOrWhiteSpace(input.PartName), e =&gt; e.PartName.Contains(input.PartName))
				.WhereIf(!string.IsNullOrWhiteSpace(input.MktCode), e =&gt; e.MktCode.Contains(input.MktCode))
				.WhereIf(!string.IsNullOrWhiteSpace(input.VinNo), e =&gt; e.VinNo.Contains(input.VinNo))
				.WhereIf(!string.IsNullOrWhiteSpace(input.PartType), e =&gt; e.PartType.Contains(input.PartType))
				.WhereIf(!string.IsNullOrWhiteSpace(input.Shop), e =&gt; e.Shop.Contains(input.Shop))
				.WhereIf(!string.IsNullOrWhiteSpace(input.CartType), e =&gt; e.CartType.Contains(input.CartType))
				.WhereIf(!string.IsNullOrWhiteSpace(input.InteriorColor), e =&gt; e.InteriorColor.Contains(input.InteriorColor))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1"/>
  <sheetViews>
    <sheetView workbookViewId="0">
      <selection activeCell="F29" sqref="F29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377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PIO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pio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InvPIOStock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Stock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stock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InvPIOStockDto, InvPIOStockServiceProxy } from '@shared/service-proxies/service-proxies';
import { finalize } from 'rxjs/internal/operators/finalize';
import { CreateOrEditStockModalComponent } from './create-or-edit-stock-modal.component';
import { DatePipe } from '@angular/common';
import { FileDownloadService } from '@shared/utils/file-download.service';
import ceil from 'lodash-es/ceil';
import { Paginator } from 'primeng/paginator';
@Component({
    templateUrl: './stock.component.html',
    styleUrls: ['./stock.component.less'],
})
export class StockComponent extends AppComponentBase implements OnInit {
    @ViewChild('createOrEditModalStock', { static: true }) createOrEditModalStock:| CreateOrEditStockModalComponent|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InvPIOStockDto = new InvPIOStockDto();
    saveSelectedRow: InvPIOStockDto = new InvPIOStockDto();
    datas: InvPIOStockDto = new InvPIOStockDto();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partName : string = '' ; 
	mktCode : string = '' ; 
	vinNo : string = '' ; 
	partType : string = '' ; 
	shop : string = '' ; 
	cartType : string = '' ; 
	interiorColor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InvPIOStockServiceProxy,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this.l('Mkt Code'),headerTooltip: this.l('Mkt Code'),field: 'mktCode',flex: 1},
			{headerName: this.l('Working Date'),headerTooltip: this.l('Working Date'),field: 'workingDate',flex: 1},
			{headerName: this.l('Qty'),headerTooltip: this.l('Qty'),field: 'qty',flex: 1},
			{headerName: this.l('Trans Id'),headerTooltip: this.l('Trans Id'),field: 'transId',flex: 1},
			{headerName: this.l('Trans Datetime'),headerTooltip: this.l('Trans Datetime'),field: 'transDatetime',flex: 1},
			{headerName: this.l('Vehicle Id'),headerTooltip: this.l('Vehicle Id'),field: 'vehicleId',flex: 1},
			{headerName: this.l('Vin No'),headerTooltip: this.l('Vin No'),field: 'vinNo',flex: 1},
			{headerName: this.l('Part Type'),headerTooltip: this.l('Part Type'),field: 'partType',flex: 1},
			{headerName: this.l('Shop'),headerTooltip: this.l('Shop'),field: 'shop',flex: 1},
			{headerName: this.l('Cart Type'),headerTooltip: this.l('Cart Type'),field: 'cartType',flex: 1},
			{headerName: this.l('Interior Color'),headerTooltip: this.l('Interior Color'),field: 'interiorColor',flex: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this.partNo,
			this.partId,
			this.vehicleId,
			this.vinNo,
			this.partType,
			this.shop,
			this.cartType,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partNo : string = '' ; 
	partName : string = '' ; 
	mktCode : string = '' ; 
	vinNo : string = '' ; 
	partType : string = '' ; 
	shop : string = '' ; 
	cartType : string = '' ; 
	interiorColor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this.partNo,
			this.partId,
			this.vehicleId,
			this.vinNo,
			this.partType,
			this.shop,
			this.cartType,
			'',
            this.paginationParams.skipCount,
            this.paginationParams.pageSize
        );
    }
    onChangeRowSelection(params: { api: { getSelectedRows: () =&gt; InvPIOStockDto[] } }) {
        this.saveSelectedRow = params.api.getSelectedRows()[0] ?? new InvPIOStockDto();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InvPIOStockDto):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this._service.getStockToExcel(
			this.,
			this.partNo,
			this.partId,
			this.vehicleId,
			this.vinNo,
			this.partType,
			this.shop,
			this.cartType,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PIO Stock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[(ngModel)]='mktCode' name='mktCode'
									class='form-control' [placeholder]="l('Mkt Code')"
									type='text' (keyup.enter)='searchDatas()'&gt;
								&lt;/div&gt;
								&lt;div class='input-search'&gt;
									&lt;input [(ngModel)]='vinNo' name='vinNo'
									class='form-control' [placeholder]="l('Vin No')"
									type='text' (keyup.enter)='searchDatas()'&gt;
								&lt;/div&gt;
								&lt;div class='input-search'&gt;
									&lt;input [(ngModel)]='partType' name='partType'
									class='form-control' [placeholder]="l('Part Type')"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[(ngModel)]='cartType' name='cartType'
									class='form-control' [placeholder]="l('Cart Type')"
									type='text' (keyup.enter)='searchDatas()'&gt;
								&lt;/div&gt;
								&lt;div class='input-search'&gt;
									&lt;input [(ngModel)]='interiorColor' name='interiorColor'
									class='form-control' [placeholder]="l('Interior Color')"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(click)="createOrEditModalStock.show()"&gt;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(click)="createOrEditModalStock.show(selectedRow)"&gt;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&lt;create-or-edit-stock-modal
    #createOrEditModalStock
    (modalSave)="callBackDataGrid(dataParams)"
    (modalClose)="onChangeRowSelection(dataParams)"
&gt;
&lt;/create-or-edit-stock-modal&gt;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#createOrEditModalStock="bs-modal"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Stock')}}&lt;/h3&gt;
                    &lt;h3 *ngIf="!rowdata.id"&gt;{{('Create New Stock')}}&lt;/h3&gt;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Id&lt;/label&gt;
						&lt;input type='number' class='col-md-10 form-control input-text' name='PartId' [(ngModel)]='rowdata.partId'&gt;
					&lt;/div&gt;
					&lt;div class='col-md-12 form-group row'&gt;
						&lt;label class='col-md-2 form-control title'&gt;Mkt Code&lt;/label&gt;
						&lt;input type='text' class='col-md-10 form-control input-text' name='MktCode' [(ngModel)]='rowdata.mktCode'&gt;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title'&gt;Qty&lt;/label&gt;
						&lt;input type='number' class='col-md-10 form-control input-text' name='Qty' [(ngModel)]='rowdata.qty'&gt;
					&lt;/div&gt;
					&lt;div class='col-md-12 form-group row'&gt;
						&lt;label class='col-md-2 form-control title'&gt;Trans Id&lt;/label&gt;
						&lt;input type='number' class='col-md-10 form-control input-text' name='TransId' [(ngModel)]='rowdata.transId'&gt;
					&lt;/div&gt;
					&lt;div class='col-md-12 form-group row'&gt;
						&lt;label class='col-md-2 form-control title'&gt;Trans Datetime&lt;/label&gt;
						&lt;input type='text' class='col-md-10 form-control input-text' name='transDatetime' 
						#datepicker='bsDatepicker' [(ngModel)]='rowdata.transDatetime'  bsDatepicker &gt;
					&lt;/div&gt;
					&lt;div class='col-md-12 form-group row'&gt;
						&lt;label class='col-md-2 form-control title'&gt;Vehicle Id&lt;/label&gt;
						&lt;input type='number' class='col-md-10 form-control input-text' name='VehicleId' [(ngModel)]='rowdata.vehicleId'&gt;
					&lt;/div&gt;
					&lt;div class='col-md-12 form-group row'&gt;
						&lt;label class='col-md-2 form-control title'&gt;Vin No&lt;/label&gt;
						&lt;input type='text' class='col-md-10 form-control input-text' name='VinNo' [(ngModel)]='rowdata.vinNo'&gt;
					&lt;/div&gt;
					&lt;div class='col-md-12 form-group row'&gt;
						&lt;label class='col-md-2 form-control title'&gt;Part Type&lt;/label&gt;
						&lt;input type='text' class='col-md-10 form-control input-text' name='PartType' [(ngModel)]='rowdata.partType'&gt;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title'&gt;Cart Type&lt;/label&gt;
						&lt;input type='text' class='col-md-10 form-control input-text' name='CartType' [(ngModel)]='rowdata.cartType'&gt;
					&lt;/div&gt;
					&lt;div class='col-md-12 form-group row'&gt;
						&lt;label class='col-md-2 form-control title'&gt;Interior Color&lt;/label&gt;
						&lt;input type='text' class='col-md-10 form-control input-text' name='InteriorColor' [(ngModel)]='rowdata.interiorColor'&gt;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CreateOrEditInvPIOStockDto, InvPIOStockServiceProxy } from '@shared/service-proxies/service-proxies';
import { BsDatepickerDirective } from 'ngx-bootstrap/datepicker';
@Component({
    selector: 'create-or-edit-stock-modal',
    templateUrl: './create-or-edit-stock-modal.component.html',
    styleUrls: ['./create-or-edit-stock-modal.component.less']
    })
export class CreateOrEditStockModalComponent extends AppComponentBase {
    @ViewChild('createOrEditModalStock',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CreateOrEditInvPIOStockDto = new CreateOrEditInvPIOStockDto();
    active: boolean = false;
    saving: boolean = false;
    _isActive: boolean;
    constructor(
        injector: Injector,
        private _mstwptStockService: InvPIOStockServiceProxy,
    ) 
    {
        super(injector);
    }
    show(rowdata?: CreateOrEditInvPIOStockDto): void {
        if (!rowdata) this.rowdata = new CreateOrEditInvPIOStockDto();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this._mstwptStockService.createOrEdit(this.rowdata)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StockRoutingModule } from './stock-routing.module';
import { StockComponent } from './stock.component';
import { CreateOrEditStockModalComponent } from './create-or-edit-stock-modal.component';
@NgModule({
    declarations: [
       StockComponent, 
        CreateOrEditStockModalComponent
    ],
    imports: [
        AppSharedModule, StockRoutingModule]
})
export class StockModule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StockComponent } from './stock.component';
const routes: Routes = [{
    path: '',
    component: StockComponent,
    pathMatch: 'full'
}];
@NgModule({
    imports: [RouterModule.forChild(routes)],
    exports: [RouterModule],
})
export class StockRoutingModule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AppMenuItem("Stock", "Pages.Inventory.PIO.Stock", "flaticon-book",   "/app/main/inventory/pio/stock"),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'inventory/pio/stock',
    loadChildren: () =&gt; import('./inventory/pio/stock/stock.module').then(m =&gt; m.StockModule),
    data: { permission: 'Pages.Inventory.PIO.Stock' }
},</v>
      </c>
      <c r="R10" s="47" t="str">
        <f>SUBSTITUTE(R9,"MstWptCalendar",$B$6)</f>
        <v>ApiServiceProxies.InvPIOStockServiceProxy,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H29</v>
      </c>
      <c r="I12" s="28" t="str">
        <f>"I"&amp;COUNTA($A:$A)</f>
        <v>I29</v>
      </c>
      <c r="J12" s="28"/>
      <c r="K12" s="28" t="str">
        <f>"K"&amp;COUNTA($A:$A)</f>
        <v>K29</v>
      </c>
      <c r="L12" s="28" t="str">
        <f>"L"&amp;COUNTA($A:$A)</f>
        <v>L29</v>
      </c>
      <c r="M12" s="28"/>
      <c r="N12" s="28"/>
      <c r="O12" s="28"/>
      <c r="P12" s="28"/>
      <c r="Q12" s="28"/>
      <c r="R12" s="28"/>
      <c r="S12" s="28" t="str">
        <f>"S"&amp;COUNTA($A:$A)</f>
        <v>S29</v>
      </c>
      <c r="T12" s="28" t="str">
        <f>"T"&amp;COUNTA($A:$A)</f>
        <v>T29</v>
      </c>
      <c r="U12" s="28" t="str">
        <f>"U"&amp;COUNTA($A:$A)</f>
        <v>U29</v>
      </c>
      <c r="V12" s="28" t="str">
        <f>"V"&amp;COUNTA($A:$A)</f>
        <v>V29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this.l('Mkt Code'),headerTooltip: this.l('Mkt Code'),field: 'mktCode',flex: 1},
			{headerName: this.l('Working Date'),headerTooltip: this.l('Working Date'),field: 'workingDate',flex: 1},
			{headerName: this.l('Qty'),headerTooltip: this.l('Qty'),field: 'qty',flex: 1},
			{headerName: this.l('Trans Id'),headerTooltip: this.l('Trans Id'),field: 'transId',flex: 1},
			{headerName: this.l('Trans Datetime'),headerTooltip: this.l('Trans Datetime'),field: 'transDatetime',flex: 1},
			{headerName: this.l('Vehicle Id'),headerTooltip: this.l('Vehicle Id'),field: 'vehicleId',flex: 1},
			{headerName: this.l('Vin No'),headerTooltip: this.l('Vin No'),field: 'vinNo',flex: 1},
			{headerName: this.l('Part Type'),headerTooltip: this.l('Part Type'),field: 'partType',flex: 1},
			{headerName: this.l('Shop'),headerTooltip: this.l('Shop'),field: 'shop',flex: 1},
			{headerName: this.l('Cart Type'),headerTooltip: this.l('Cart Type'),field: 'cartType',flex: 1},
			{headerName: this.l('Interior Color'),headerTooltip: this.l('Interior Color'),field: 'interiorColor',flex: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[(ngModel)]='mktCode' name='mktCode'
									class='form-control' [placeholder]="l('Mkt Code')"
									type='text' (keyup.enter)='searchDatas()'&gt;
								&lt;/div&gt;
								&lt;div class='input-search'&gt;
									&lt;input [(ngModel)]='vinNo' name='vinNo'
									class='form-control' [placeholder]="l('Vin No')"
									type='text' (keyup.enter)='searchDatas()'&gt;
								&lt;/div&gt;
								&lt;div class='input-search'&gt;
									&lt;input [(ngModel)]='partType' name='partType'
									class='form-control' [placeholder]="l('Part Type')"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[(ngModel)]='cartType' name='cartType'
									class='form-control' [placeholder]="l('Cart Type')"
									type='text' (keyup.enter)='searchDatas()'&gt;
								&lt;/div&gt;
								&lt;div class='input-search'&gt;
									&lt;input [(ngModel)]='interiorColor' name='interiorColor'
									class='form-control' [placeholder]="l('Interior Color')"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Id&lt;/label&gt;
						&lt;input type='number' class='col-md-10 form-control input-text' name='PartId' [(ngModel)]='rowdata.partId'&gt;
					&lt;/div&gt;
					&lt;div class='col-md-12 form-group row'&gt;
						&lt;label class='col-md-2 form-control title'&gt;Mkt Code&lt;/label&gt;
						&lt;input type='text' class='col-md-10 form-control input-text' name='MktCode' [(ngModel)]='rowdata.mktCode'&gt;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title'&gt;Qty&lt;/label&gt;
						&lt;input type='number' class='col-md-10 form-control input-text' name='Qty' [(ngModel)]='rowdata.qty'&gt;
					&lt;/div&gt;
					&lt;div class='col-md-12 form-group row'&gt;
						&lt;label class='col-md-2 form-control title'&gt;Trans Id&lt;/label&gt;
						&lt;input type='number' class='col-md-10 form-control input-text' name='TransId' [(ngModel)]='rowdata.transId'&gt;
					&lt;/div&gt;
					&lt;div class='col-md-12 form-group row'&gt;
						&lt;label class='col-md-2 form-control title'&gt;Trans Datetime&lt;/label&gt;
						&lt;input type='text' class='col-md-10 form-control input-text' name='transDatetime' 
						#datepicker='bsDatepicker' [(ngModel)]='rowdata.transDatetime'  bsDatepicker &gt;
					&lt;/div&gt;
					&lt;div class='col-md-12 form-group row'&gt;
						&lt;label class='col-md-2 form-control title'&gt;Vehicle Id&lt;/label&gt;
						&lt;input type='number' class='col-md-10 form-control input-text' name='VehicleId' [(ngModel)]='rowdata.vehicleId'&gt;
					&lt;/div&gt;
					&lt;div class='col-md-12 form-group row'&gt;
						&lt;label class='col-md-2 form-control title'&gt;Vin No&lt;/label&gt;
						&lt;input type='text' class='col-md-10 form-control input-text' name='VinNo' [(ngModel)]='rowdata.vinNo'&gt;
					&lt;/div&gt;
					&lt;div class='col-md-12 form-group row'&gt;
						&lt;label class='col-md-2 form-control title'&gt;Part Type&lt;/label&gt;
						&lt;input type='text' class='col-md-10 form-control input-text' name='PartType' [(ngModel)]='rowdata.partType'&gt;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title'&gt;Cart Type&lt;/label&gt;
						&lt;input type='text' class='col-md-10 form-control input-text' name='CartType' [(ngModel)]='rowdata.cartType'&gt;
					&lt;/div&gt;
					&lt;div class='col-md-12 form-group row'&gt;
						&lt;label class='col-md-2 form-control title'&gt;Interior Color&lt;/label&gt;
						&lt;input type='text' class='col-md-10 form-control input-text' name='InteriorColor' [(ngModel)]='rowdata.interiorColor'&gt;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partNo : string = '' ; 
	partName : string = '' ; 
	mktCode : string = '' ; 
	vinNo : string = '' ; 
	partType : string = '' ; 
	shop : string = '' ; 
	cartType : string = '' ; 
	interiorColor : string = '' ; 
</v>
      </c>
      <c r="T13" s="62" t="str">
        <f ca="1">TEXTJOIN2("
",TRUE,INDIRECT(T11):INDIRECT(T12))</f>
        <v xml:space="preserve">			this.,
			this.partNo,
			this.partId,
			this.vehicleId,
			this.vinNo,
			this.partType,
			this.shop,
			this.cartType,
</v>
      </c>
      <c r="U13" s="62" t="str">
        <f ca="1">TEXTJOIN2("
",TRUE,INDIRECT(U11):INDIRECT(U12))</f>
        <v xml:space="preserve">	partNo : string = '' ; 
	partName : string = '' ; 
	mktCode : string = '' ; 
	vinNo : string = '' ; 
	partType : string = '' ; 
	shop : string = '' ; 
	cartType : string = '' ; 
	interiorColor : string = '' ; 
</v>
      </c>
      <c r="V13" s="28" t="str">
        <f ca="1">TEXTJOIN2("
",TRUE,INDIRECT(V11):INDIRECT(V12))</f>
        <v>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stock.component.ts</v>
      </c>
      <c r="I14" s="37" t="str">
        <f>B8&amp;".component.html"</f>
        <v>stock.component.html</v>
      </c>
      <c r="J14" s="36" t="str">
        <f>B8&amp;".component.less"</f>
        <v>stock.component.less</v>
      </c>
      <c r="K14" s="37" t="str">
        <f>"create-or-edit-"&amp;B8&amp;"-modal.component.html"</f>
        <v>create-or-edit-stock-modal.component.html</v>
      </c>
      <c r="L14" s="37" t="str">
        <f>"create-or-edit-"&amp;B8&amp;"-modal.component.ts"</f>
        <v>create-or-edit-stock-modal.component.ts</v>
      </c>
      <c r="M14" s="37" t="str">
        <f>"create-or-edit-"&amp;B8&amp;"-modal.component.less"</f>
        <v>create-or-edit-stock-modal.component.less</v>
      </c>
      <c r="N14" s="37" t="str">
        <f>B8&amp;".module.ts"</f>
        <v>stock.module.ts</v>
      </c>
      <c r="O14" s="37" t="str">
        <f>B8&amp;"-routing.module.ts"</f>
        <v>stock-routing.module.ts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t="s">
        <v>363</v>
      </c>
      <c r="B15" s="28" t="str">
        <f t="shared" ref="B15" si="0">SUBSTITUTE(PROPER(A15),"_","")</f>
        <v>PartNo</v>
      </c>
      <c r="C15" s="28" t="str">
        <f t="shared" ref="C15" si="1">SUBSTITUTE(PROPER(A15),"_"," ")</f>
        <v>Part No</v>
      </c>
      <c r="D15" s="28" t="str">
        <f t="shared" ref="D15" si="2">LOWER(LEFT(B15,1))&amp;RIGHT(B15,LEN(B15) - 1)</f>
        <v>partNo</v>
      </c>
      <c r="E15" s="28" t="str">
        <f>A.Backend!H9</f>
        <v>string</v>
      </c>
      <c r="F15" s="28" t="str">
        <f>A.Backend!G9</f>
        <v>40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5" t="str">
        <f t="shared" ref="I15:I29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partNo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partNo : string = '' ; </v>
      </c>
      <c r="V15" s="28" t="str">
        <f t="shared" ref="V15" si="7">IF(AND(E15="string",F15="1"),D15,"")</f>
        <v/>
      </c>
    </row>
    <row r="16" spans="1:22" ht="18" customHeight="1" x14ac:dyDescent="0.25">
      <c r="A16" t="s">
        <v>364</v>
      </c>
      <c r="B16" s="28" t="str">
        <f t="shared" ref="B16:B29" si="8">SUBSTITUTE(PROPER(A16),"_","")</f>
        <v>PartName</v>
      </c>
      <c r="C16" s="28" t="str">
        <f t="shared" ref="C16:C29" si="9">SUBSTITUTE(PROPER(A16),"_"," ")</f>
        <v>Part Name</v>
      </c>
      <c r="D16" s="28" t="str">
        <f t="shared" ref="D16:D29" si="10">LOWER(LEFT(B16,1))&amp;RIGHT(B16,LEN(B16) - 1)</f>
        <v>partName</v>
      </c>
      <c r="E16" s="28" t="str">
        <f>A.Backend!H10</f>
        <v>string</v>
      </c>
      <c r="F16" s="28" t="str">
        <f>A.Backend!G10</f>
        <v>200</v>
      </c>
      <c r="G16" s="28" t="str">
        <f t="shared" ref="G16:G29" si="11">IF(E16="string"," : string = '' ; ",IF(OR(E16="DateTime",E16="TimeSpan")," : any ;",IF(E16="int"," : number = 0 ;","")))</f>
        <v xml:space="preserve"> : string = '' ; </v>
      </c>
      <c r="H16" s="35" t="str">
        <f t="shared" ref="H16:H29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this.l('Part Name'),headerTooltip: this.l('Part Name'),field: 'partName',flex: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6" s="28"/>
      <c r="K16" s="35" t="str">
        <f t="shared" ref="K16:K29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9" si="15">IF(AND(E16="string",F16 &lt;&gt;"1"),(REPT(CHAR(9),1)&amp;D16&amp;G16),"")</f>
        <v xml:space="preserve">	partName : string = '' ; </v>
      </c>
      <c r="T16" s="28" t="str">
        <f>IF(AND(E16="string",F16 &lt;&gt;"1"),(REPT(CHAR(9),3)&amp;"this."&amp;D15&amp;","),"")</f>
        <v xml:space="preserve">			this.partNo,</v>
      </c>
      <c r="U16" s="28" t="str">
        <f t="shared" ref="U16:U29" si="16">IF(AND(E16="string",F16 &lt;&gt;"1"),(REPT(CHAR(9),1)&amp;D16&amp;G16),"")</f>
        <v xml:space="preserve">	partName : string = '' ; </v>
      </c>
      <c r="V16" s="28" t="str">
        <f t="shared" ref="V16:V29" si="17">IF(AND(E16="string",F16="1"),D16,"")</f>
        <v/>
      </c>
    </row>
    <row r="17" spans="1:22" ht="18" customHeight="1" x14ac:dyDescent="0.25">
      <c r="A17" t="s">
        <v>365</v>
      </c>
      <c r="B17" s="28" t="str">
        <f t="shared" si="8"/>
        <v>PartId</v>
      </c>
      <c r="C17" s="28" t="str">
        <f t="shared" si="9"/>
        <v>Part Id</v>
      </c>
      <c r="D17" s="28" t="str">
        <f t="shared" si="10"/>
        <v>partId</v>
      </c>
      <c r="E17" s="28" t="str">
        <f>A.Backend!H11</f>
        <v>long?</v>
      </c>
      <c r="F17" s="28" t="str">
        <f>A.Backend!G11</f>
        <v/>
      </c>
      <c r="G17" s="28" t="str">
        <f t="shared" si="11"/>
        <v/>
      </c>
      <c r="H17" s="35" t="str">
        <f t="shared" si="12"/>
        <v xml:space="preserve">			{headerName: this.l('Part Id'),headerTooltip: this.l('Part Id'),field: 'partId',flex: 1},</v>
      </c>
      <c r="I17" s="35" t="str">
        <f t="shared" si="5"/>
        <v/>
      </c>
      <c r="J17" s="28"/>
      <c r="K17" s="35" t="str">
        <f t="shared" si="13"/>
        <v xml:space="preserve">					&lt;div class='col-md-12 form-group row'&gt;
						&lt;label class='col-md-2 form-control title'&gt;Part Id&lt;/label&gt;
						&lt;input type='number' class='col-md-10 form-control input-text' name='PartId' [(ngModel)]='rowdata.partId'&gt;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5"/>
        <v/>
      </c>
      <c r="T17" s="28" t="str">
        <f t="shared" ref="T17:T20" si="18">IF(AND(E17="string",F17 &lt;&gt;"1"),(REPT(CHAR(9),3)&amp;"this."&amp;D16&amp;","),"")</f>
        <v/>
      </c>
      <c r="U17" s="28" t="str">
        <f t="shared" si="16"/>
        <v/>
      </c>
      <c r="V17" s="28" t="str">
        <f t="shared" si="17"/>
        <v/>
      </c>
    </row>
    <row r="18" spans="1:22" ht="15" customHeight="1" x14ac:dyDescent="0.25">
      <c r="A18" t="s">
        <v>366</v>
      </c>
      <c r="B18" s="28" t="str">
        <f t="shared" si="8"/>
        <v>MktCode</v>
      </c>
      <c r="C18" s="28" t="str">
        <f t="shared" si="9"/>
        <v>Mkt Code</v>
      </c>
      <c r="D18" s="28" t="str">
        <f t="shared" si="10"/>
        <v>mktCode</v>
      </c>
      <c r="E18" s="28" t="str">
        <f>A.Backend!H12</f>
        <v>string</v>
      </c>
      <c r="F18" s="28" t="str">
        <f>A.Backend!G12</f>
        <v>100</v>
      </c>
      <c r="G18" s="28" t="str">
        <f t="shared" si="11"/>
        <v xml:space="preserve"> : string = '' ; </v>
      </c>
      <c r="H18" s="35" t="str">
        <f t="shared" si="12"/>
        <v xml:space="preserve">			{headerName: this.l('Mkt Code'),headerTooltip: this.l('Mkt Code'),field: 'mktCode',flex: 1},</v>
      </c>
      <c r="I18" s="35" t="str">
        <f t="shared" si="5"/>
        <v xml:space="preserve">								&lt;div class='input-search'&gt;
									&lt;input [(ngModel)]='mktCode' name='mktCode'
									class='form-control' [placeholder]="l('Mkt Code')"
									type='text' (keyup.enter)='searchDatas()'&gt;
								&lt;/div&gt;</v>
      </c>
      <c r="J18" s="28"/>
      <c r="K18" s="35" t="str">
        <f t="shared" si="13"/>
        <v xml:space="preserve">					&lt;div class='col-md-12 form-group row'&gt;
						&lt;label class='col-md-2 form-control title'&gt;Mkt Code&lt;/label&gt;
						&lt;input type='text' class='col-md-10 form-control input-text' name='MktCode' [(ngModel)]='rowdata.mktCode'&gt;
					&lt;/div&gt;</v>
      </c>
      <c r="L18" s="56" t="str">
        <f t="shared" ref="L18:L29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5"/>
        <v xml:space="preserve">	mktCode : string = '' ; </v>
      </c>
      <c r="T18" s="28" t="str">
        <f t="shared" si="18"/>
        <v xml:space="preserve">			this.partId,</v>
      </c>
      <c r="U18" s="28" t="str">
        <f t="shared" si="16"/>
        <v xml:space="preserve">	mktCode : string = '' ; </v>
      </c>
      <c r="V18" s="28" t="str">
        <f t="shared" si="17"/>
        <v/>
      </c>
    </row>
    <row r="19" spans="1:22" ht="18" customHeight="1" x14ac:dyDescent="0.25">
      <c r="A19" t="s">
        <v>367</v>
      </c>
      <c r="B19" s="28" t="str">
        <f t="shared" si="8"/>
        <v>WorkingDate</v>
      </c>
      <c r="C19" s="28" t="str">
        <f t="shared" si="9"/>
        <v>Working Date</v>
      </c>
      <c r="D19" s="28" t="str">
        <f t="shared" si="10"/>
        <v>workingDate</v>
      </c>
      <c r="E19" s="28" t="str">
        <f>A.Backend!H13</f>
        <v>DateTime?</v>
      </c>
      <c r="F19" s="28" t="str">
        <f>A.Backend!G13</f>
        <v/>
      </c>
      <c r="G19" s="28" t="str">
        <f t="shared" si="11"/>
        <v/>
      </c>
      <c r="H19" s="35" t="str">
        <f t="shared" si="12"/>
        <v xml:space="preserve">			{headerName: this.l('Working Date'),headerTooltip: this.l('Working Date'),field: 'workingDate',flex: 1},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/>
      </c>
      <c r="J19" s="28"/>
      <c r="K19" s="35" t="str">
        <f t="shared" si="13"/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5"/>
        <v/>
      </c>
      <c r="T19" s="28" t="str">
        <f t="shared" si="18"/>
        <v/>
      </c>
      <c r="U19" s="28" t="str">
        <f t="shared" si="16"/>
        <v/>
      </c>
      <c r="V19" s="28" t="str">
        <f t="shared" si="17"/>
        <v/>
      </c>
    </row>
    <row r="20" spans="1:22" ht="15" customHeight="1" x14ac:dyDescent="0.25">
      <c r="A20" t="s">
        <v>368</v>
      </c>
      <c r="B20" s="28" t="str">
        <f t="shared" si="8"/>
        <v>Qty</v>
      </c>
      <c r="C20" s="28" t="str">
        <f t="shared" si="9"/>
        <v>Qty</v>
      </c>
      <c r="D20" s="28" t="str">
        <f t="shared" si="10"/>
        <v>qty</v>
      </c>
      <c r="E20" s="28" t="str">
        <f>A.Backend!H14</f>
        <v>int?</v>
      </c>
      <c r="F20" s="28" t="str">
        <f>A.Backend!G14</f>
        <v/>
      </c>
      <c r="G20" s="28" t="str">
        <f t="shared" si="11"/>
        <v/>
      </c>
      <c r="H20" s="35" t="str">
        <f t="shared" si="12"/>
        <v xml:space="preserve">			{headerName: this.l('Qty'),headerTooltip: this.l('Qty'),field: 'qty',flex: 1},</v>
      </c>
      <c r="I20" s="35" t="str">
        <f t="shared" si="5"/>
        <v/>
      </c>
      <c r="J20" s="28"/>
      <c r="K20" s="35" t="str">
        <f t="shared" si="13"/>
        <v xml:space="preserve">					&lt;div class='col-md-12 form-group row'&gt;
						&lt;label class='col-md-2 form-control title'&gt;Qty&lt;/label&gt;
						&lt;input type='number' class='col-md-10 form-control input-text' name='Qty' [(ngModel)]='rowdata.qty'&gt;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5"/>
        <v/>
      </c>
      <c r="T20" s="28" t="str">
        <f t="shared" si="18"/>
        <v/>
      </c>
      <c r="U20" s="28" t="str">
        <f t="shared" si="16"/>
        <v/>
      </c>
      <c r="V20" s="28" t="str">
        <f t="shared" si="17"/>
        <v/>
      </c>
    </row>
    <row r="21" spans="1:22" ht="15" customHeight="1" x14ac:dyDescent="0.25">
      <c r="A21" t="s">
        <v>370</v>
      </c>
      <c r="B21" s="28" t="str">
        <f t="shared" ref="B21" si="20">SUBSTITUTE(PROPER(A21),"_","")</f>
        <v>TransId</v>
      </c>
      <c r="C21" s="28" t="str">
        <f t="shared" ref="C21" si="21">SUBSTITUTE(PROPER(A21),"_"," ")</f>
        <v>Trans Id</v>
      </c>
      <c r="D21" s="28" t="str">
        <f t="shared" ref="D21" si="22">LOWER(LEFT(B21,1))&amp;RIGHT(B21,LEN(B21) - 1)</f>
        <v>transId</v>
      </c>
      <c r="E21" s="28" t="str">
        <f>A.Backend!H15</f>
        <v>long?</v>
      </c>
      <c r="F21" s="28" t="str">
        <f>A.Backend!G15</f>
        <v/>
      </c>
      <c r="G21" s="28" t="str">
        <f t="shared" ref="G21" si="23">IF(E21="string"," : string = '' ; ",IF(OR(E21="DateTime",E21="TimeSpan")," : any ;",IF(E21="int"," : number = 0 ;","")))</f>
        <v/>
      </c>
      <c r="H21" s="35" t="str">
        <f t="shared" ref="H21" si="24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this.l('Trans Id'),headerTooltip: this.l('Trans Id'),field: 'transId',flex: 1},</v>
      </c>
      <c r="I21" s="35" t="str">
        <f t="shared" ref="I21" si="25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IF(AND(E21="string",F21 &lt;&gt;"1"),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/>
      </c>
      <c r="J21" s="28"/>
      <c r="K21" s="35" t="str">
        <f t="shared" ref="K21" si="26">IF(OR(E21="DateTime?",E21="TimeSpan?"),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IF(OR(E21="int?",E21="long?"),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title'&gt;Trans Id&lt;/label&gt;
						&lt;input type='number' class='col-md-10 form-control input-text' name='TransId' [(ngModel)]='rowdata.transId'&gt;
					&lt;/div&gt;</v>
      </c>
      <c r="L21" s="56" t="str">
        <f t="shared" ref="L21" si="27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28"/>
      <c r="N21" s="28"/>
      <c r="O21" s="28"/>
      <c r="P21" s="28"/>
      <c r="Q21" s="28"/>
      <c r="R21" s="28"/>
      <c r="S21" s="28" t="str">
        <f t="shared" ref="S21" si="28">IF(AND(E21="string",F21 &lt;&gt;"1"),(REPT(CHAR(9),1)&amp;D21&amp;G21),"")</f>
        <v/>
      </c>
      <c r="T21" s="28" t="str">
        <f t="shared" ref="T21" si="29">IF(AND(E21="string",F21 &lt;&gt;"1"),(REPT(CHAR(9),3)&amp;"this."&amp;D20&amp;","),"")</f>
        <v/>
      </c>
      <c r="U21" s="28" t="str">
        <f t="shared" ref="U21" si="30">IF(AND(E21="string",F21 &lt;&gt;"1"),(REPT(CHAR(9),1)&amp;D21&amp;G21),"")</f>
        <v/>
      </c>
      <c r="V21" s="28" t="str">
        <f t="shared" ref="V21" si="31">IF(AND(E21="string",F21="1"),D21,"")</f>
        <v/>
      </c>
    </row>
    <row r="22" spans="1:22" ht="15" customHeight="1" x14ac:dyDescent="0.25">
      <c r="A22" t="s">
        <v>369</v>
      </c>
      <c r="B22" s="28" t="str">
        <f t="shared" ref="B22:B28" si="32">SUBSTITUTE(PROPER(A22),"_","")</f>
        <v>TransDatetime</v>
      </c>
      <c r="C22" s="28" t="str">
        <f t="shared" ref="C22:C28" si="33">SUBSTITUTE(PROPER(A22),"_"," ")</f>
        <v>Trans Datetime</v>
      </c>
      <c r="D22" s="28" t="str">
        <f t="shared" ref="D22:D28" si="34">LOWER(LEFT(B22,1))&amp;RIGHT(B22,LEN(B22) - 1)</f>
        <v>transDatetime</v>
      </c>
      <c r="E22" s="28" t="str">
        <f>A.Backend!H16</f>
        <v>DateTime?</v>
      </c>
      <c r="F22" s="28" t="str">
        <f>A.Backend!G16</f>
        <v/>
      </c>
      <c r="G22" s="28" t="str">
        <f t="shared" ref="G22:G28" si="35">IF(E22="string"," : string = '' ; ",IF(OR(E22="DateTime",E22="TimeSpan")," : any ;",IF(E22="int"," : number = 0 ;","")))</f>
        <v/>
      </c>
      <c r="H22" s="35" t="str">
        <f t="shared" ref="H22:H28" si="36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this.l('Trans Datetime'),headerTooltip: this.l('Trans Datetime'),field: 'transDatetime',flex: 1},</v>
      </c>
      <c r="I22" s="35" t="str">
        <f t="shared" ref="I22:I23" si="37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IF(AND(E22="string",F22 &lt;&gt;"1"),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/>
      </c>
      <c r="J22" s="28"/>
      <c r="K22" s="35" t="str">
        <f t="shared" ref="K22:K28" si="38">IF(OR(E22="DateTime?",E22="TimeSpan?"),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IF(OR(E22="int?",E22="long?"),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title'&gt;Trans Datetime&lt;/label&gt;
						&lt;input type='text' class='col-md-10 form-control input-text' name='transDatetime' 
						#datepicker='bsDatepicker' [(ngModel)]='rowdata.transDatetime'  bsDatepicker &gt;
					&lt;/div&gt;</v>
      </c>
      <c r="L22" s="56" t="str">
        <f t="shared" ref="L22:L28" si="39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ref="S22:S28" si="40">IF(AND(E22="string",F22 &lt;&gt;"1"),(REPT(CHAR(9),1)&amp;D22&amp;G22),"")</f>
        <v/>
      </c>
      <c r="T22" s="28" t="str">
        <f t="shared" ref="T22:T28" si="41">IF(AND(E22="string",F22 &lt;&gt;"1"),(REPT(CHAR(9),3)&amp;"this."&amp;D21&amp;","),"")</f>
        <v/>
      </c>
      <c r="U22" s="28" t="str">
        <f t="shared" ref="U22:U28" si="42">IF(AND(E22="string",F22 &lt;&gt;"1"),(REPT(CHAR(9),1)&amp;D22&amp;G22),"")</f>
        <v/>
      </c>
      <c r="V22" s="28" t="str">
        <f t="shared" ref="V22:V28" si="43">IF(AND(E22="string",F22="1"),D22,"")</f>
        <v/>
      </c>
    </row>
    <row r="23" spans="1:22" ht="15" customHeight="1" x14ac:dyDescent="0.25">
      <c r="A23" t="s">
        <v>378</v>
      </c>
      <c r="B23" s="28" t="str">
        <f t="shared" si="32"/>
        <v>VehicleId</v>
      </c>
      <c r="C23" s="28" t="str">
        <f t="shared" si="33"/>
        <v>Vehicle Id</v>
      </c>
      <c r="D23" s="28" t="str">
        <f t="shared" si="34"/>
        <v>vehicleId</v>
      </c>
      <c r="E23" s="28" t="str">
        <f>[1]A.Backend!H17</f>
        <v>long?</v>
      </c>
      <c r="F23" s="28" t="str">
        <f>[1]A.Backend!G17</f>
        <v/>
      </c>
      <c r="G23" s="28" t="str">
        <f t="shared" si="35"/>
        <v/>
      </c>
      <c r="H23" s="35" t="str">
        <f t="shared" si="36"/>
        <v xml:space="preserve">			{headerName: this.l('Vehicle Id'),headerTooltip: this.l('Vehicle Id'),field: 'vehicleId',flex: 1},</v>
      </c>
      <c r="I23" s="35" t="str">
        <f t="shared" si="37"/>
        <v/>
      </c>
      <c r="J23" s="28"/>
      <c r="K23" s="35" t="str">
        <f t="shared" si="38"/>
        <v xml:space="preserve">					&lt;div class='col-md-12 form-group row'&gt;
						&lt;label class='col-md-2 form-control title'&gt;Vehicle Id&lt;/label&gt;
						&lt;input type='number' class='col-md-10 form-control input-text' name='VehicleId' [(ngModel)]='rowdata.vehicleId'&gt;
					&lt;/div&gt;</v>
      </c>
      <c r="L23" s="56" t="str">
        <f t="shared" si="39"/>
        <v/>
      </c>
      <c r="M23" s="28"/>
      <c r="N23" s="28"/>
      <c r="O23" s="28"/>
      <c r="P23" s="28"/>
      <c r="Q23" s="28"/>
      <c r="R23" s="28"/>
      <c r="S23" s="28" t="str">
        <f t="shared" si="40"/>
        <v/>
      </c>
      <c r="T23" s="28" t="str">
        <f t="shared" si="41"/>
        <v/>
      </c>
      <c r="U23" s="28" t="str">
        <f t="shared" si="42"/>
        <v/>
      </c>
      <c r="V23" s="28" t="str">
        <f t="shared" si="43"/>
        <v/>
      </c>
    </row>
    <row r="24" spans="1:22" ht="18" customHeight="1" x14ac:dyDescent="0.25">
      <c r="A24" t="s">
        <v>379</v>
      </c>
      <c r="B24" s="28" t="str">
        <f t="shared" si="32"/>
        <v>VinNo</v>
      </c>
      <c r="C24" s="28" t="str">
        <f t="shared" si="33"/>
        <v>Vin No</v>
      </c>
      <c r="D24" s="28" t="str">
        <f t="shared" si="34"/>
        <v>vinNo</v>
      </c>
      <c r="E24" s="28" t="str">
        <f>[1]A.Backend!H18</f>
        <v>string</v>
      </c>
      <c r="F24" s="28" t="str">
        <f>[1]A.Backend!G18</f>
        <v>40</v>
      </c>
      <c r="G24" s="28" t="str">
        <f t="shared" si="35"/>
        <v xml:space="preserve"> : string = '' ; </v>
      </c>
      <c r="H24" s="35" t="str">
        <f t="shared" si="36"/>
        <v xml:space="preserve">			{headerName: this.l('Vin No'),headerTooltip: this.l('Vin No'),field: 'vinNo',flex: 1},</v>
      </c>
      <c r="I24" s="35" t="str">
        <f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IF(AND(E24="string",F24 &lt;&gt;"1"),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 xml:space="preserve">								&lt;div class='input-search'&gt;
									&lt;input [(ngModel)]='vinNo' name='vinNo'
									class='form-control' [placeholder]="l('Vin No')"
									type='text' (keyup.enter)='searchDatas()'&gt;
								&lt;/div&gt;</v>
      </c>
      <c r="J24" s="28"/>
      <c r="K24" s="35" t="str">
        <f t="shared" si="38"/>
        <v xml:space="preserve">					&lt;div class='col-md-12 form-group row'&gt;
						&lt;label class='col-md-2 form-control title'&gt;Vin No&lt;/label&gt;
						&lt;input type='text' class='col-md-10 form-control input-text' name='VinNo' [(ngModel)]='rowdata.vinNo'&gt;
					&lt;/div&gt;</v>
      </c>
      <c r="L24" s="56" t="str">
        <f t="shared" si="39"/>
        <v/>
      </c>
      <c r="M24" s="28"/>
      <c r="N24" s="28"/>
      <c r="O24" s="28"/>
      <c r="P24" s="28"/>
      <c r="Q24" s="28"/>
      <c r="R24" s="28"/>
      <c r="S24" s="28" t="str">
        <f t="shared" si="40"/>
        <v xml:space="preserve">	vinNo : string = '' ; </v>
      </c>
      <c r="T24" s="28" t="str">
        <f t="shared" si="41"/>
        <v xml:space="preserve">			this.vehicleId,</v>
      </c>
      <c r="U24" s="28" t="str">
        <f t="shared" si="42"/>
        <v xml:space="preserve">	vinNo : string = '' ; </v>
      </c>
      <c r="V24" s="28" t="str">
        <f t="shared" si="43"/>
        <v/>
      </c>
    </row>
    <row r="25" spans="1:22" ht="15" customHeight="1" x14ac:dyDescent="0.25">
      <c r="A25" t="s">
        <v>380</v>
      </c>
      <c r="B25" s="28" t="str">
        <f t="shared" si="32"/>
        <v>PartType</v>
      </c>
      <c r="C25" s="28" t="str">
        <f t="shared" si="33"/>
        <v>Part Type</v>
      </c>
      <c r="D25" s="28" t="str">
        <f t="shared" si="34"/>
        <v>partType</v>
      </c>
      <c r="E25" s="28" t="str">
        <f>[1]A.Backend!H19</f>
        <v>string</v>
      </c>
      <c r="F25" s="28" t="str">
        <f>[1]A.Backend!G19</f>
        <v>40</v>
      </c>
      <c r="G25" s="28" t="str">
        <f t="shared" si="35"/>
        <v xml:space="preserve"> : string = '' ; </v>
      </c>
      <c r="H25" s="35" t="str">
        <f t="shared" si="36"/>
        <v xml:space="preserve">			{headerName: this.l('Part Type'),headerTooltip: this.l('Part Type'),field: 'partType',flex: 1},</v>
      </c>
      <c r="I25" s="35" t="str">
        <f t="shared" ref="I25:I28" si="44"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IF(AND(E25="string",F25 &lt;&gt;"1"),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[(ngModel)]='partType' name='partType'
									class='form-control' [placeholder]="l('Part Type')"
									type='text' (keyup.enter)='searchDatas()'&gt;
								&lt;/div&gt;</v>
      </c>
      <c r="J25" s="28"/>
      <c r="K25" s="35" t="str">
        <f t="shared" si="38"/>
        <v xml:space="preserve">					&lt;div class='col-md-12 form-group row'&gt;
						&lt;label class='col-md-2 form-control title'&gt;Part Type&lt;/label&gt;
						&lt;input type='text' class='col-md-10 form-control input-text' name='PartType' [(ngModel)]='rowdata.partType'&gt;
					&lt;/div&gt;</v>
      </c>
      <c r="L25" s="56" t="str">
        <f t="shared" si="39"/>
        <v/>
      </c>
      <c r="M25" s="28"/>
      <c r="N25" s="28"/>
      <c r="O25" s="28"/>
      <c r="P25" s="28"/>
      <c r="Q25" s="28"/>
      <c r="R25" s="28"/>
      <c r="S25" s="28" t="str">
        <f t="shared" si="40"/>
        <v xml:space="preserve">	partType : string = '' ; </v>
      </c>
      <c r="T25" s="28" t="str">
        <f t="shared" si="41"/>
        <v xml:space="preserve">			this.vinNo,</v>
      </c>
      <c r="U25" s="28" t="str">
        <f t="shared" si="42"/>
        <v xml:space="preserve">	partType : string = '' ; </v>
      </c>
      <c r="V25" s="28" t="str">
        <f t="shared" si="43"/>
        <v/>
      </c>
    </row>
    <row r="26" spans="1:22" ht="15" customHeight="1" x14ac:dyDescent="0.25">
      <c r="A26" t="s">
        <v>381</v>
      </c>
      <c r="B26" s="28" t="str">
        <f t="shared" si="32"/>
        <v>Shop</v>
      </c>
      <c r="C26" s="28" t="str">
        <f t="shared" si="33"/>
        <v>Shop</v>
      </c>
      <c r="D26" s="28" t="str">
        <f t="shared" si="34"/>
        <v>shop</v>
      </c>
      <c r="E26" s="28" t="str">
        <f>[1]A.Backend!H20</f>
        <v>string</v>
      </c>
      <c r="F26" s="28" t="str">
        <f>[1]A.Backend!G20</f>
        <v>20</v>
      </c>
      <c r="G26" s="28" t="str">
        <f t="shared" si="35"/>
        <v xml:space="preserve"> : string = '' ; </v>
      </c>
      <c r="H26" s="35" t="str">
        <f t="shared" si="36"/>
        <v xml:space="preserve">			{headerName: this.l('Shop'),headerTooltip: this.l('Shop'),field: 'shop',flex: 1},</v>
      </c>
      <c r="I26" s="35" t="str">
        <f t="shared" si="44"/>
        <v xml:space="preserve">								&lt;div class='input-search'&gt;
									&lt;input [(ngModel)]='shop' name='shop'
									class='form-control' [placeholder]="l('Shop')"
									type='text' (keyup.enter)='searchDatas()'&gt;
								&lt;/div&gt;</v>
      </c>
      <c r="J26" s="28"/>
      <c r="K26" s="35" t="str">
        <f t="shared" si="38"/>
        <v xml:space="preserve">					&lt;div class='col-md-12 form-group row'&gt;
						&lt;label class='col-md-2 form-control title'&gt;Shop&lt;/label&gt;
						&lt;input type='text' class='col-md-10 form-control input-text' name='Shop' [(ngModel)]='rowdata.shop'&gt;
					&lt;/div&gt;</v>
      </c>
      <c r="L26" s="56" t="str">
        <f t="shared" si="39"/>
        <v/>
      </c>
      <c r="M26" s="28"/>
      <c r="N26" s="28"/>
      <c r="O26" s="28"/>
      <c r="P26" s="28"/>
      <c r="Q26" s="28"/>
      <c r="R26" s="28"/>
      <c r="S26" s="28" t="str">
        <f t="shared" si="40"/>
        <v xml:space="preserve">	shop : string = '' ; </v>
      </c>
      <c r="T26" s="28" t="str">
        <f t="shared" si="41"/>
        <v xml:space="preserve">			this.partType,</v>
      </c>
      <c r="U26" s="28" t="str">
        <f t="shared" si="42"/>
        <v xml:space="preserve">	shop : string = '' ; </v>
      </c>
      <c r="V26" s="28" t="str">
        <f t="shared" si="43"/>
        <v/>
      </c>
    </row>
    <row r="27" spans="1:22" ht="15" customHeight="1" x14ac:dyDescent="0.25">
      <c r="A27" t="s">
        <v>383</v>
      </c>
      <c r="B27" s="28" t="str">
        <f t="shared" si="32"/>
        <v>CartType</v>
      </c>
      <c r="C27" s="28" t="str">
        <f t="shared" si="33"/>
        <v>Cart Type</v>
      </c>
      <c r="D27" s="28" t="str">
        <f t="shared" si="34"/>
        <v>cartType</v>
      </c>
      <c r="E27" s="28" t="str">
        <f>[1]A.Backend!H21</f>
        <v>string</v>
      </c>
      <c r="F27" s="28" t="str">
        <f>[1]A.Backend!G21</f>
        <v>20</v>
      </c>
      <c r="G27" s="28" t="str">
        <f t="shared" si="35"/>
        <v xml:space="preserve"> : string = '' ; </v>
      </c>
      <c r="H27" s="35" t="str">
        <f t="shared" si="36"/>
        <v xml:space="preserve">			{headerName: this.l('Cart Type'),headerTooltip: this.l('Cart Type'),field: 'cartType',flex: 1},</v>
      </c>
      <c r="I27" s="35" t="str">
        <f t="shared" si="44"/>
        <v xml:space="preserve">								&lt;div class='input-search'&gt;
									&lt;input [(ngModel)]='cartType' name='cartType'
									class='form-control' [placeholder]="l('Cart Type')"
									type='text' (keyup.enter)='searchDatas()'&gt;
								&lt;/div&gt;</v>
      </c>
      <c r="J27" s="28"/>
      <c r="K27" s="35" t="str">
        <f t="shared" si="38"/>
        <v xml:space="preserve">					&lt;div class='col-md-12 form-group row'&gt;
						&lt;label class='col-md-2 form-control title'&gt;Cart Type&lt;/label&gt;
						&lt;input type='text' class='col-md-10 form-control input-text' name='CartType' [(ngModel)]='rowdata.cartType'&gt;
					&lt;/div&gt;</v>
      </c>
      <c r="L27" s="56" t="str">
        <f t="shared" si="39"/>
        <v/>
      </c>
      <c r="M27" s="28"/>
      <c r="N27" s="28"/>
      <c r="O27" s="28"/>
      <c r="P27" s="28"/>
      <c r="Q27" s="28"/>
      <c r="R27" s="28"/>
      <c r="S27" s="28" t="str">
        <f t="shared" si="40"/>
        <v xml:space="preserve">	cartType : string = '' ; </v>
      </c>
      <c r="T27" s="28" t="str">
        <f t="shared" si="41"/>
        <v xml:space="preserve">			this.shop,</v>
      </c>
      <c r="U27" s="28" t="str">
        <f t="shared" si="42"/>
        <v xml:space="preserve">	cartType : string = '' ; </v>
      </c>
      <c r="V27" s="28" t="str">
        <f t="shared" si="43"/>
        <v/>
      </c>
    </row>
    <row r="28" spans="1:22" ht="18" customHeight="1" x14ac:dyDescent="0.25">
      <c r="A28" t="s">
        <v>384</v>
      </c>
      <c r="B28" s="28" t="str">
        <f t="shared" si="32"/>
        <v>InteriorColor</v>
      </c>
      <c r="C28" s="28" t="str">
        <f t="shared" si="33"/>
        <v>Interior Color</v>
      </c>
      <c r="D28" s="28" t="str">
        <f t="shared" si="34"/>
        <v>interiorColor</v>
      </c>
      <c r="E28" s="28" t="str">
        <f>[1]A.Backend!H23</f>
        <v>string</v>
      </c>
      <c r="F28" s="28" t="str">
        <f>[1]A.Backend!G22</f>
        <v>20</v>
      </c>
      <c r="G28" s="28" t="str">
        <f t="shared" si="35"/>
        <v xml:space="preserve"> : string = '' ; </v>
      </c>
      <c r="H28" s="35" t="str">
        <f t="shared" si="36"/>
        <v xml:space="preserve">			{headerName: this.l('Interior Color'),headerTooltip: this.l('Interior Color'),field: 'interiorColor',flex: 1},</v>
      </c>
      <c r="I28" s="35" t="str">
        <f t="shared" si="44"/>
        <v xml:space="preserve">								&lt;div class='input-search'&gt;
									&lt;input [(ngModel)]='interiorColor' name='interiorColor'
									class='form-control' [placeholder]="l('Interior Color')"
									type='text' (keyup.enter)='searchDatas()'&gt;
								&lt;/div&gt;</v>
      </c>
      <c r="J28" s="28"/>
      <c r="K28" s="35" t="str">
        <f t="shared" si="38"/>
        <v xml:space="preserve">					&lt;div class='col-md-12 form-group row'&gt;
						&lt;label class='col-md-2 form-control title'&gt;Interior Color&lt;/label&gt;
						&lt;input type='text' class='col-md-10 form-control input-text' name='InteriorColor' [(ngModel)]='rowdata.interiorColor'&gt;
					&lt;/div&gt;</v>
      </c>
      <c r="L28" s="56" t="str">
        <f t="shared" si="39"/>
        <v/>
      </c>
      <c r="M28" s="28"/>
      <c r="N28" s="28"/>
      <c r="O28" s="28"/>
      <c r="P28" s="28"/>
      <c r="Q28" s="28"/>
      <c r="R28" s="28"/>
      <c r="S28" s="28" t="str">
        <f t="shared" si="40"/>
        <v xml:space="preserve">	interiorColor : string = '' ; </v>
      </c>
      <c r="T28" s="28" t="str">
        <f t="shared" si="41"/>
        <v xml:space="preserve">			this.cartType,</v>
      </c>
      <c r="U28" s="28" t="str">
        <f t="shared" si="42"/>
        <v xml:space="preserve">	interiorColor : string = '' ; </v>
      </c>
      <c r="V28" s="28" t="str">
        <f t="shared" si="43"/>
        <v/>
      </c>
    </row>
    <row r="29" spans="1:22" ht="18" customHeight="1" x14ac:dyDescent="0.25">
      <c r="A29" t="s">
        <v>318</v>
      </c>
      <c r="B29" s="28" t="str">
        <f t="shared" si="8"/>
        <v>IsActive</v>
      </c>
      <c r="C29" s="28" t="str">
        <f t="shared" si="9"/>
        <v>Is Active</v>
      </c>
      <c r="D29" s="28" t="str">
        <f t="shared" si="10"/>
        <v>isActive</v>
      </c>
      <c r="E29" s="28" t="str">
        <f>A.Backend!H23</f>
        <v>string</v>
      </c>
      <c r="F29" s="28" t="str">
        <f>A.Backend!G23</f>
        <v>1</v>
      </c>
      <c r="G29" s="28" t="str">
        <f t="shared" si="11"/>
        <v xml:space="preserve"> : string = '' ; </v>
      </c>
      <c r="H29" s="35" t="str">
        <f t="shared" si="12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9" s="35" t="str">
        <f t="shared" si="5"/>
        <v/>
      </c>
      <c r="J29" s="28"/>
      <c r="K29" s="35" t="str">
        <f t="shared" si="13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9" s="56" t="str">
        <f t="shared" si="19"/>
        <v/>
      </c>
      <c r="M29" s="28"/>
      <c r="N29" s="28"/>
      <c r="O29" s="28"/>
      <c r="P29" s="28"/>
      <c r="Q29" s="28"/>
      <c r="R29" s="28"/>
      <c r="S29" s="28" t="str">
        <f t="shared" si="15"/>
        <v/>
      </c>
      <c r="T29" s="28" t="str">
        <f>IF(AND(E29="string",F29 &lt;&gt;"1"),(REPT(CHAR(9),3)&amp;"this."&amp;D20&amp;","),"")</f>
        <v/>
      </c>
      <c r="U29" s="28" t="str">
        <f t="shared" si="16"/>
        <v/>
      </c>
      <c r="V29" s="28" t="str">
        <f t="shared" si="17"/>
        <v>isActive</v>
      </c>
    </row>
    <row r="31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351</v>
      </c>
    </row>
    <row r="6" spans="1:2" x14ac:dyDescent="0.25">
      <c r="A6" t="s">
        <v>23</v>
      </c>
      <c r="B6" t="s">
        <v>350</v>
      </c>
    </row>
    <row r="7" spans="1:2" x14ac:dyDescent="0.25">
      <c r="A7" t="s">
        <v>24</v>
      </c>
      <c r="B7" t="s">
        <v>345</v>
      </c>
    </row>
    <row r="8" spans="1:2" x14ac:dyDescent="0.25">
      <c r="A8" t="s">
        <v>4</v>
      </c>
      <c r="B8" t="s">
        <v>345</v>
      </c>
    </row>
    <row r="9" spans="1:2" x14ac:dyDescent="0.25">
      <c r="A9" t="s">
        <v>0</v>
      </c>
      <c r="B9" t="s">
        <v>346</v>
      </c>
    </row>
    <row r="10" spans="1:2" x14ac:dyDescent="0.25">
      <c r="A10" t="s">
        <v>25</v>
      </c>
      <c r="B10" t="s">
        <v>349</v>
      </c>
    </row>
    <row r="11" spans="1:2" x14ac:dyDescent="0.25">
      <c r="A11" t="s">
        <v>26</v>
      </c>
      <c r="B11" t="s">
        <v>349</v>
      </c>
    </row>
    <row r="12" spans="1:2" x14ac:dyDescent="0.25">
      <c r="A12" t="s">
        <v>27</v>
      </c>
      <c r="B12" t="s">
        <v>349</v>
      </c>
    </row>
    <row r="13" spans="1:2" x14ac:dyDescent="0.25">
      <c r="A13" t="s">
        <v>28</v>
      </c>
      <c r="B13" t="s">
        <v>349</v>
      </c>
    </row>
    <row r="14" spans="1:2" x14ac:dyDescent="0.25">
      <c r="A14" t="s">
        <v>29</v>
      </c>
      <c r="B14" t="s">
        <v>349</v>
      </c>
    </row>
    <row r="15" spans="1:2" x14ac:dyDescent="0.25">
      <c r="A15" t="s">
        <v>30</v>
      </c>
      <c r="B15" t="s">
        <v>349</v>
      </c>
    </row>
    <row r="16" spans="1:2" x14ac:dyDescent="0.25">
      <c r="A16" t="s">
        <v>31</v>
      </c>
      <c r="B16" t="s">
        <v>347</v>
      </c>
    </row>
    <row r="17" spans="1:2" x14ac:dyDescent="0.25">
      <c r="A17" t="s">
        <v>3</v>
      </c>
      <c r="B17" t="s">
        <v>347</v>
      </c>
    </row>
    <row r="18" spans="1:2" x14ac:dyDescent="0.25">
      <c r="A18" t="s">
        <v>33</v>
      </c>
      <c r="B18" t="s">
        <v>347</v>
      </c>
    </row>
    <row r="19" spans="1:2" x14ac:dyDescent="0.25">
      <c r="A19" t="s">
        <v>2</v>
      </c>
      <c r="B19" t="s">
        <v>347</v>
      </c>
    </row>
    <row r="20" spans="1:2" x14ac:dyDescent="0.25">
      <c r="A20" t="s">
        <v>262</v>
      </c>
      <c r="B20" t="s">
        <v>348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2023-08-14T08:19:59Z</dcterms:modified>
</cp:coreProperties>
</file>
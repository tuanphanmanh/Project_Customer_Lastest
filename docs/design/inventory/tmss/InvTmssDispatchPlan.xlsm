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mms\docs\design\inventory\tmss\"/>
    </mc:Choice>
  </mc:AlternateContent>
  <xr:revisionPtr revIDLastSave="0" documentId="13_ncr:1_{6098BD53-13C8-4707-9AB1-9864CA6792F9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5" l="1"/>
  <c r="B6" i="5"/>
  <c r="B2" i="5"/>
  <c r="B8" i="5" l="1"/>
  <c r="B3" i="5"/>
  <c r="C24" i="5"/>
  <c r="B24" i="5"/>
  <c r="D24" i="5" s="1"/>
  <c r="T24" i="5" s="1"/>
  <c r="C23" i="5"/>
  <c r="B23" i="5"/>
  <c r="D23" i="5" s="1"/>
  <c r="C22" i="5"/>
  <c r="B22" i="5"/>
  <c r="D22" i="5" s="1"/>
  <c r="T22" i="5" s="1"/>
  <c r="C21" i="5"/>
  <c r="B21" i="5"/>
  <c r="D21" i="5" s="1"/>
  <c r="C20" i="5"/>
  <c r="B20" i="5"/>
  <c r="D20" i="5" s="1"/>
  <c r="G18" i="1"/>
  <c r="F24" i="5" s="1"/>
  <c r="E18" i="1"/>
  <c r="D18" i="1"/>
  <c r="T18" i="1" s="1"/>
  <c r="L17" i="1"/>
  <c r="G17" i="1"/>
  <c r="F23" i="5" s="1"/>
  <c r="E17" i="1"/>
  <c r="D17" i="1"/>
  <c r="V17" i="1" s="1"/>
  <c r="L16" i="1"/>
  <c r="G16" i="1"/>
  <c r="F22" i="5" s="1"/>
  <c r="E16" i="1"/>
  <c r="D16" i="1"/>
  <c r="T16" i="1" s="1"/>
  <c r="L15" i="1"/>
  <c r="G15" i="1"/>
  <c r="F21" i="5" s="1"/>
  <c r="E15" i="1"/>
  <c r="D15" i="1"/>
  <c r="V15" i="1" s="1"/>
  <c r="G14" i="1"/>
  <c r="F20" i="5" s="1"/>
  <c r="E14" i="1"/>
  <c r="D14" i="1"/>
  <c r="T14" i="1" s="1"/>
  <c r="H18" i="1" l="1"/>
  <c r="E24" i="5" s="1"/>
  <c r="G24" i="5" s="1"/>
  <c r="S24" i="5" s="1"/>
  <c r="X18" i="1"/>
  <c r="H15" i="1"/>
  <c r="E21" i="5" s="1"/>
  <c r="I21" i="5" s="1"/>
  <c r="X15" i="1"/>
  <c r="H14" i="1"/>
  <c r="E20" i="5" s="1"/>
  <c r="G20" i="5" s="1"/>
  <c r="S20" i="5" s="1"/>
  <c r="X14" i="1"/>
  <c r="H16" i="1"/>
  <c r="E22" i="5" s="1"/>
  <c r="G22" i="5" s="1"/>
  <c r="S22" i="5" s="1"/>
  <c r="X16" i="1"/>
  <c r="H17" i="1"/>
  <c r="E23" i="5" s="1"/>
  <c r="I23" i="5" s="1"/>
  <c r="X17" i="1"/>
  <c r="T21" i="5"/>
  <c r="T23" i="5"/>
  <c r="T20" i="5"/>
  <c r="P15" i="1"/>
  <c r="V18" i="1"/>
  <c r="P18" i="1"/>
  <c r="P17" i="1"/>
  <c r="T15" i="1"/>
  <c r="T17" i="1"/>
  <c r="V14" i="1"/>
  <c r="V16" i="1"/>
  <c r="P16" i="1"/>
  <c r="P14" i="1"/>
  <c r="C18" i="5"/>
  <c r="B18" i="5"/>
  <c r="D18" i="5" s="1"/>
  <c r="T18" i="5" s="1"/>
  <c r="C17" i="5"/>
  <c r="B17" i="5"/>
  <c r="D17" i="5" s="1"/>
  <c r="C16" i="5"/>
  <c r="B16" i="5"/>
  <c r="D16" i="5" s="1"/>
  <c r="M15" i="1" l="1"/>
  <c r="W15" i="1"/>
  <c r="J15" i="1"/>
  <c r="G21" i="5"/>
  <c r="S21" i="5" s="1"/>
  <c r="N15" i="1"/>
  <c r="H21" i="5"/>
  <c r="I15" i="1"/>
  <c r="K21" i="5"/>
  <c r="L21" i="5"/>
  <c r="O15" i="1"/>
  <c r="U21" i="5"/>
  <c r="M14" i="1"/>
  <c r="V21" i="5"/>
  <c r="M17" i="1"/>
  <c r="I17" i="1"/>
  <c r="J17" i="1"/>
  <c r="U23" i="5"/>
  <c r="J16" i="1"/>
  <c r="H23" i="5"/>
  <c r="V22" i="5"/>
  <c r="M16" i="1"/>
  <c r="N17" i="1"/>
  <c r="G23" i="5"/>
  <c r="S23" i="5" s="1"/>
  <c r="O17" i="1"/>
  <c r="K24" i="5"/>
  <c r="O18" i="1"/>
  <c r="H24" i="5"/>
  <c r="J18" i="1"/>
  <c r="N18" i="1"/>
  <c r="I18" i="1"/>
  <c r="W18" i="1"/>
  <c r="I24" i="5"/>
  <c r="M18" i="1"/>
  <c r="U24" i="5"/>
  <c r="L24" i="5"/>
  <c r="W17" i="1"/>
  <c r="K23" i="5"/>
  <c r="V23" i="5"/>
  <c r="V24" i="5"/>
  <c r="L23" i="5"/>
  <c r="O16" i="1"/>
  <c r="Z14" i="1"/>
  <c r="Y14" i="1"/>
  <c r="H22" i="5"/>
  <c r="Y15" i="1"/>
  <c r="Z15" i="1"/>
  <c r="W16" i="1"/>
  <c r="I16" i="1"/>
  <c r="I22" i="5"/>
  <c r="H20" i="5"/>
  <c r="N16" i="1"/>
  <c r="L22" i="5"/>
  <c r="K22" i="5"/>
  <c r="U22" i="5"/>
  <c r="Y18" i="1"/>
  <c r="Z18" i="1"/>
  <c r="J14" i="1"/>
  <c r="O14" i="1"/>
  <c r="V20" i="5"/>
  <c r="Z16" i="1"/>
  <c r="Y16" i="1"/>
  <c r="K20" i="5"/>
  <c r="I20" i="5"/>
  <c r="U20" i="5"/>
  <c r="L20" i="5"/>
  <c r="W14" i="1"/>
  <c r="I14" i="1"/>
  <c r="Y17" i="1"/>
  <c r="Z17" i="1"/>
  <c r="N14" i="1"/>
  <c r="T16" i="5"/>
  <c r="T17" i="5"/>
  <c r="B6" i="1"/>
  <c r="G13" i="1"/>
  <c r="F19" i="5" s="1"/>
  <c r="E13" i="1"/>
  <c r="D13" i="1"/>
  <c r="V13" i="1" s="1"/>
  <c r="H13" i="1" l="1"/>
  <c r="E19" i="5" s="1"/>
  <c r="X13" i="1"/>
  <c r="L13" i="1"/>
  <c r="P13" i="1"/>
  <c r="T13" i="1"/>
  <c r="C19" i="5"/>
  <c r="B19" i="5"/>
  <c r="D19" i="5" s="1"/>
  <c r="C15" i="5"/>
  <c r="B15" i="5"/>
  <c r="D15" i="5" s="1"/>
  <c r="T15" i="5" s="1"/>
  <c r="L12" i="1"/>
  <c r="G12" i="1"/>
  <c r="F18" i="5" s="1"/>
  <c r="E12" i="1"/>
  <c r="D12" i="1"/>
  <c r="V12" i="1" s="1"/>
  <c r="G11" i="1"/>
  <c r="F17" i="5" s="1"/>
  <c r="E11" i="1"/>
  <c r="D11" i="1"/>
  <c r="T11" i="1" s="1"/>
  <c r="H11" i="1" l="1"/>
  <c r="E17" i="5" s="1"/>
  <c r="V17" i="5" s="1"/>
  <c r="X11" i="1"/>
  <c r="J13" i="1"/>
  <c r="I13" i="1"/>
  <c r="O13" i="1"/>
  <c r="H12" i="1"/>
  <c r="E18" i="5" s="1"/>
  <c r="V18" i="5" s="1"/>
  <c r="X12" i="1"/>
  <c r="M13" i="1"/>
  <c r="N13" i="1"/>
  <c r="W13" i="1"/>
  <c r="Z13" i="1"/>
  <c r="Y13" i="1"/>
  <c r="T19" i="5"/>
  <c r="L11" i="1"/>
  <c r="P11" i="1"/>
  <c r="V11" i="1"/>
  <c r="P12" i="1"/>
  <c r="T12" i="1"/>
  <c r="N12" i="1" l="1"/>
  <c r="I11" i="1"/>
  <c r="J12" i="1"/>
  <c r="W11" i="1"/>
  <c r="L17" i="5"/>
  <c r="H17" i="5"/>
  <c r="J11" i="1"/>
  <c r="G17" i="5"/>
  <c r="S17" i="5" s="1"/>
  <c r="I17" i="5"/>
  <c r="M12" i="1"/>
  <c r="O11" i="1"/>
  <c r="U17" i="5"/>
  <c r="K17" i="5"/>
  <c r="I12" i="1"/>
  <c r="W12" i="1"/>
  <c r="L18" i="5"/>
  <c r="Y12" i="1"/>
  <c r="Z12" i="1"/>
  <c r="H18" i="5"/>
  <c r="K18" i="5"/>
  <c r="G18" i="5"/>
  <c r="S18" i="5" s="1"/>
  <c r="O12" i="1"/>
  <c r="M11" i="1"/>
  <c r="U18" i="5"/>
  <c r="N11" i="1"/>
  <c r="I18" i="5"/>
  <c r="Y11" i="1"/>
  <c r="Z11" i="1"/>
  <c r="G9" i="1" l="1"/>
  <c r="F15" i="5" s="1"/>
  <c r="E9" i="1"/>
  <c r="D9" i="1"/>
  <c r="V9" i="1" s="1"/>
  <c r="H9" i="1" l="1"/>
  <c r="E15" i="5" s="1"/>
  <c r="V15" i="5" s="1"/>
  <c r="X9" i="1"/>
  <c r="P9" i="1"/>
  <c r="T9" i="1"/>
  <c r="J9" i="1" l="1"/>
  <c r="O9" i="1"/>
  <c r="M9" i="1"/>
  <c r="N9" i="1"/>
  <c r="I9" i="1"/>
  <c r="G15" i="5"/>
  <c r="S15" i="5" s="1"/>
  <c r="W9" i="1"/>
  <c r="H15" i="5"/>
  <c r="U15" i="5"/>
  <c r="Z9" i="1"/>
  <c r="Y9" i="1"/>
  <c r="K15" i="5"/>
  <c r="L15" i="5"/>
  <c r="I15" i="5"/>
  <c r="Q3" i="1"/>
  <c r="B4" i="5" s="1"/>
  <c r="B5" i="5" s="1"/>
  <c r="G10" i="1" l="1"/>
  <c r="F16" i="5" s="1"/>
  <c r="E10" i="1"/>
  <c r="D10" i="1"/>
  <c r="T10" i="1" s="1"/>
  <c r="H10" i="1" l="1"/>
  <c r="E16" i="5" s="1"/>
  <c r="U16" i="5" s="1"/>
  <c r="X10" i="1"/>
  <c r="H19" i="5"/>
  <c r="L19" i="5"/>
  <c r="I19" i="5"/>
  <c r="G19" i="5"/>
  <c r="S19" i="5" s="1"/>
  <c r="K19" i="5"/>
  <c r="U19" i="5"/>
  <c r="V19" i="5"/>
  <c r="P10" i="1"/>
  <c r="V10" i="1"/>
  <c r="M10" i="1" l="1"/>
  <c r="N10" i="1"/>
  <c r="H16" i="5"/>
  <c r="J10" i="1"/>
  <c r="I10" i="1"/>
  <c r="V16" i="5"/>
  <c r="W10" i="1"/>
  <c r="L16" i="5"/>
  <c r="I16" i="5"/>
  <c r="O10" i="1"/>
  <c r="G16" i="5"/>
  <c r="S16" i="5" s="1"/>
  <c r="K16" i="5"/>
  <c r="Z10" i="1"/>
  <c r="Y10" i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0" i="1"/>
  <c r="K12" i="5" l="1"/>
  <c r="H12" i="5"/>
  <c r="V12" i="5"/>
  <c r="T12" i="5"/>
  <c r="U12" i="5"/>
  <c r="I12" i="5"/>
  <c r="L12" i="5"/>
  <c r="S12" i="5"/>
  <c r="R3" i="1" l="1"/>
  <c r="D1" i="1"/>
  <c r="F6" i="1"/>
  <c r="T20" i="1"/>
  <c r="T13" i="5"/>
  <c r="T7" i="1" l="1"/>
  <c r="W20" i="1"/>
  <c r="G6" i="1" l="1"/>
  <c r="K13" i="5"/>
  <c r="U13" i="5"/>
  <c r="I13" i="5"/>
  <c r="S13" i="5"/>
  <c r="H13" i="5"/>
  <c r="L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14" i="1"/>
  <c r="L9" i="1"/>
  <c r="L10" i="1"/>
  <c r="C7" i="1"/>
  <c r="I20" i="1"/>
  <c r="N20" i="1"/>
  <c r="P20" i="1"/>
  <c r="J20" i="1"/>
  <c r="O20" i="1"/>
  <c r="Q7" i="1" l="1"/>
  <c r="M68" i="3" s="1"/>
  <c r="L7" i="1"/>
  <c r="G68" i="3" s="1"/>
  <c r="K68" i="3"/>
  <c r="J68" i="3"/>
  <c r="M20" i="1"/>
  <c r="K20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<sst xmlns="http://schemas.openxmlformats.org/spreadsheetml/2006/main" count="473" uniqueCount="373">
  <si>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</si>
  <si>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</si>
  <si>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</si>
  <si>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</si>
  <si>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</si>
  <si>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</si>
  <si>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</si>
  <si>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</si>
  <si>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</si>
  <si>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</si>
  <si>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</si>
  <si>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</si>
  <si>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</si>
  <si>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</si>
  <si>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</si>
  <si>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</si>
  <si>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</si>
  <si>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</si>
  <si>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</si>
  <si>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</si>
  <si>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</si>
  <si>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</si>
  <si>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</si>
  <si>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</si>
  <si>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</si>
  <si>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</si>
  <si>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</si>
  <si>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</si>
  <si>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</si>
  <si>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</si>
  <si>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</si>
  <si>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</si>
  <si>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</si>
  <si>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</si>
  <si>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</si>
  <si>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</si>
  <si>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</si>
  <si>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</si>
  <si>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</si>
  <si>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</si>
  <si>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</si>
  <si>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</si>
  <si>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</si>
  <si>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</si>
  <si>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</si>
  <si>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</si>
  <si>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</si>
  <si>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</si>
  <si>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</si>
  <si>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</si>
  <si>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</si>
  <si>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</si>
  <si>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</si>
  <si>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</si>
  <si>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</si>
  <si>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</si>
  <si>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</si>
  <si>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</si>
  <si>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</si>
  <si>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</si>
  <si>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</si>
  <si>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</si>
  <si>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</si>
  <si>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</si>
  <si>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</si>
  <si>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</si>
  <si>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</si>
  <si>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</si>
  <si>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</si>
  <si>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</si>
  <si>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</si>
  <si>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</si>
  <si>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</si>
  <si>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</si>
  <si>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</si>
  <si>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</si>
  <si>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</si>
  <si>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</si>
  <si>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</si>
  <si>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</si>
  <si>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</si>
  <si>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</si>
  <si>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</si>
  <si>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</si>
  <si>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</si>
  <si>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</si>
  <si>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</si>
  <si>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</si>
  <si>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</si>
  <si>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</si>
  <si>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</si>
  <si>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</si>
  <si>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</si>
  <si>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</si>
  <si>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</si>
  <si>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</si>
  <si>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</si>
  <si>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</si>
  <si>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</si>
  <si>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</si>
  <si>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</si>
  <si>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</si>
  <si>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</si>
  <si>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</si>
  <si>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</si>
  <si>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</si>
  <si>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</si>
  <si>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</si>
  <si>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</si>
  <si>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</si>
  <si>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</si>
  <si>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</si>
  <si>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</si>
  <si>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</si>
  <si>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</si>
  <si>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</si>
  <si>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</si>
  <si>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</si>
  <si>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</si>
  <si>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</si>
  <si>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</si>
  <si>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</si>
  <si>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</si>
  <si>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</si>
  <si>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</si>
  <si>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</si>
  <si>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</si>
  <si>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</si>
  <si>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</si>
  <si>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</si>
  <si>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</si>
  <si>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</si>
  <si>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</si>
  <si>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</si>
  <si>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</si>
  <si>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</si>
  <si>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</si>
  <si>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</si>
  <si>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</si>
  <si>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</si>
  <si>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</si>
  <si>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</si>
  <si>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</si>
  <si>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</si>
  <si>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</si>
  <si>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</si>
  <si>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</si>
  <si>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</si>
  <si>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</si>
  <si>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</si>
  <si>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</si>
  <si>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</si>
  <si>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</si>
  <si>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</si>
  <si>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</si>
  <si>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</si>
  <si>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</si>
  <si>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</si>
  <si>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</si>
  <si>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</si>
  <si>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</si>
  <si>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</si>
  <si>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</si>
  <si>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</si>
  <si>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</si>
  <si>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</si>
  <si>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</si>
  <si>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</si>
  <si>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</si>
  <si>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</si>
  <si>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</si>
  <si>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</si>
  <si>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</si>
  <si>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</si>
  <si>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</si>
  <si>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</si>
  <si>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</si>
  <si>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</si>
  <si>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</si>
  <si>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</si>
  <si>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</si>
  <si>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</si>
  <si>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</si>
  <si>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</si>
  <si>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</si>
  <si>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</si>
  <si>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</si>
  <si>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</si>
  <si>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</si>
  <si>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</si>
  <si>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</si>
  <si>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</si>
  <si>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</si>
  <si>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</si>
  <si>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</si>
  <si>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</si>
  <si>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</si>
  <si>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</si>
  <si>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</si>
  <si>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</si>
  <si>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</si>
  <si>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</si>
  <si>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</si>
  <si>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</si>
  <si>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</si>
  <si>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</si>
  <si>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</si>
  <si>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</si>
  <si>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</si>
  <si>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</si>
  <si>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</si>
  <si>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</si>
  <si>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</si>
  <si>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</si>
  <si>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</si>
  <si>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</si>
  <si>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</si>
  <si>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</si>
  <si>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</si>
  <si>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</si>
  <si>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</si>
  <si>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</si>
  <si>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</si>
  <si>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</si>
  <si>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</si>
  <si>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</si>
  <si>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</si>
  <si>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</si>
  <si>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</si>
  <si>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</si>
  <si>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</si>
  <si>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</si>
  <si>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</si>
  <si>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</si>
  <si>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</si>
  <si>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</si>
  <si>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</si>
  <si>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</si>
  <si>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</si>
  <si>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</si>
  <si>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</si>
  <si>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</si>
  <si>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</si>
  <si>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</si>
  <si>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</si>
  <si>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</si>
  <si>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</si>
  <si>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</si>
  <si>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</si>
  <si>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</si>
  <si>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</si>
  <si>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</si>
  <si>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</si>
  <si>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</si>
  <si>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</si>
  <si>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</si>
  <si>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</si>
  <si>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</si>
  <si>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</si>
  <si>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</si>
  <si>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</si>
  <si>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</si>
  <si>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</si>
  <si>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</si>
  <si>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</si>
  <si>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</si>
  <si>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</si>
  <si>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</si>
  <si>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</si>
  <si>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</si>
  <si>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</si>
  <si>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</si>
  <si>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</si>
  <si>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</si>
  <si>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</si>
  <si>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</si>
  <si>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</si>
  <si>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</si>
  <si>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</si>
  <si>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</si>
  <si>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</si>
  <si>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</si>
  <si>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</si>
  <si>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</si>
  <si>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</si>
  <si>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</si>
  <si>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</si>
  <si>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</si>
  <si>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</si>
  <si>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</si>
  <si>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</si>
  <si>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</si>
  <si>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</si>
  <si>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</si>
  <si>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</si>
  <si>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</si>
  <si>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</si>
  <si>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</si>
  <si>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</si>
  <si>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</si>
  <si>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</si>
  <si>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</si>
  <si>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</si>
  <si>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</si>
  <si>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</si>
  <si>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</si>
  <si>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</si>
  <si>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</si>
  <si>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</si>
  <si>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</si>
  <si>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</si>
  <si>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</si>
  <si>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</si>
  <si>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</si>
  <si>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</si>
  <si>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</si>
  <si>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</si>
  <si>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</si>
  <si>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</si>
  <si>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</si>
  <si>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</si>
  <si>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</si>
  <si>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</si>
  <si>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</si>
  <si>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</si>
  <si>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</si>
  <si>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</si>
  <si>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</si>
  <si>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</si>
  <si>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</si>
  <si>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</si>
  <si>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</si>
  <si>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</si>
  <si>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</si>
  <si>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</si>
  <si>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</si>
  <si>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</si>
  <si>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</si>
  <si>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</si>
  <si>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</si>
  <si>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</si>
  <si>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</si>
  <si>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</si>
  <si>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</si>
  <si>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</si>
  <si>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</si>
  <si>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</si>
  <si>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</si>
  <si>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varchar(10)</t>
  </si>
  <si>
    <t>int?</t>
  </si>
  <si>
    <t>long?</t>
  </si>
  <si>
    <t>DateTime?</t>
  </si>
  <si>
    <t>TimeSpan?</t>
  </si>
  <si>
    <t>decimal?</t>
  </si>
  <si>
    <t>byte?</t>
  </si>
  <si>
    <t>VEHICLE_TYPE</t>
  </si>
  <si>
    <t>MODEL</t>
  </si>
  <si>
    <t>MARKETING_CODE</t>
  </si>
  <si>
    <t>PRODUCTION_CODE</t>
  </si>
  <si>
    <t>DEALER</t>
  </si>
  <si>
    <t>VIN</t>
  </si>
  <si>
    <t>EXT_COLOR</t>
  </si>
  <si>
    <t>INT_COLOR</t>
  </si>
  <si>
    <t>DLR_DISPATCH_PLAN</t>
  </si>
  <si>
    <t>DLR_DISPATCH_DATE</t>
  </si>
  <si>
    <t>DateTime</t>
  </si>
  <si>
    <t>Date</t>
  </si>
  <si>
    <t>varchar(50)</t>
  </si>
  <si>
    <t>varchar(100)</t>
  </si>
  <si>
    <t>InvTmssDispatchPlan</t>
  </si>
  <si>
    <t>Inventory.Tmss</t>
  </si>
  <si>
    <t>TmssDispatchPlan</t>
  </si>
  <si>
    <t>Tmss Dispatch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</si>
</sst>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abSelected="1" topLeftCell="A61" zoomScaleNormal="100" workbookViewId="0">
      <selection activeCell="F68" sqref="F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prod.Inventory.Tmss
{
	[Table("InvTmssDispatchPlan")]
	public class InvTmssDispatchPlan: FullAuditedEntity&lt;long&gt;, IEntity&lt;long&gt;	
	{
		public const int MaxVehicleTypeLength = 10;
		public const int MaxModelLength = 50;
		public const int MaxMarketingCodeLength = 50;
		public const int MaxProductionCodeLength = 50;
		public const int MaxDealerLength = 50;
		public const int MaxVinLength = 100;
		public const int MaxExtColorLength = 50;
		public const int MaxIntColorLength = 50;
		[StringLength(MaxVehicleTypeLength)]
		public virtual string VehicleType { get; set; }
		[StringLength(MaxModelLength)]
		public virtual string Model { get; set; }
		[StringLength(MaxMarketingCodeLength)]
		public virtual string MarketingCode { get; set; }
		[StringLength(MaxProductionCodeLength)]
		public virtual string ProductionCode { get; set; }
		[StringLength(MaxDealerLength)]
		public virtual string Dealer { get; set; }
		[StringLength(MaxVinLength)]
		public virtual string Vin { get; set; }
		[StringLength(MaxExtColorLength)]
		public virtual string ExtColor { get; set; }
		[StringLength(MaxIntColorLength)]
		public virtual string IntColor { get; set; }
		[Column(TypeName="Date")]
		public virtual DateTime? DlrDispatchPlan { get; set; }
		[Column(TypeName="Date")]
		public virtual DateTime? DlrDispatchDate { get; set; }
	}
}
</v>
      </c>
      <c r="D68" s="48" t="str">
        <f>A.Backend!O7</f>
        <v xml:space="preserve">		public const string Pages_Inventory_Tmss_TmssDispatchPlan = "Pages.Inventory.Tmss.TmssDispatchPlan";
		public const string Pages_Inventory_Tmss_TmssDispatchPlan_CreateEdit = "Pages.Inventory.Tmss.TmssDispatchPlan.CreateEdit";
		public const string Pages_Inventory_Tmss_TmssDispatchPlan_Delete = "Pages.Inventory.Tmss.TmssDispatchPlan.Delete";
</v>
      </c>
      <c r="E68" s="48" t="str">
        <f>A.Backend!N7</f>
        <v xml:space="preserve">		var perInvTmssDispatchPlan = PARENTS.CreateChildPermission(AppPermissions.Pages_Inventory_Tmss_TmssDispatchPlan, L( "InventoryTmssTmssDispatchPlan"), multiTenancySides: MultiTenancySides.Tenant);
		perInvTmssDispatchPlan.CreateChildPermission(AppPermissions.Pages_Inventory_Tmss_TmssDispatchPlan_CreateEdit, L( "InventoryTmssTmssDispatchPlanCreateEdit"), multiTenancySides: MultiTenancySides.Tenant);
		perInvTmssDispatchPlan.CreateChildPermission(AppPermissions.Pages_Inventory_Tmss_TmssDispatchPlan_Delete, L( "InventoryTmssTmssDispatchPlanDelete"), multiTenancySides: MultiTenancySides.Tenant);</v>
      </c>
      <c r="F68" s="48" t="str">
        <f>A.Backend!K7</f>
        <v>public virtual DbSet&lt;InvTmssDispatchPlan&gt; InvTmssDispatchPlans { get; set; }</v>
      </c>
      <c r="G68" s="48" t="str">
        <f ca="1">A.Backend!L7</f>
        <v xml:space="preserve">namespace prod.Inventory.Tmss
{
	public class InvTmssDispatchPlanConsts	
	{
		public const int MaxVehicleTypeLength = 10;
		public const int MaxModelLength = 50;
		public const int MaxMarketingCodeLength = 50;
		public const int MaxProductionCodeLength = 50;
		public const int MaxDealerLength = 50;
		public const int MaxVinLength = 100;
		public const int MaxExtColorLength = 50;
		public const int MaxIntColorLength = 50;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prod.Inventory.Tmss.Dto
{
	public class InvTmssDispatchPlanDto : EntityDto&lt;long?&gt;	
	{
		public virtual string VehicleType { get; set; }
		public virtual string Model { get; set; }
		public virtual string MarketingCode { get; set; }
		public virtual string ProductionCode { get; set; }
		public virtual string Dealer { get; set; }
		public virtual string Vin { get; set; }
		public virtual string ExtColor { get; set; }
		public virtual string IntColor { get; set; }
		public virtual DateTime? DlrDispatchPlan { get; set; }
		public virtual DateTime? DlrDispatchDate { get; set; }
	}
	public class CreateOrEditInvTmssDispatchPlanDto : EntityDto&lt;long?&gt;	
	{
		[StringLength(InvTmssDispatchPlanConsts.MaxVehicleTypeLength)]
		public virtual string VehicleType { get; set; }
		[StringLength(InvTmssDispatchPlanConsts.MaxModelLength)]
		public virtual string Model { get; set; }
		[StringLength(InvTmssDispatchPlanConsts.MaxMarketingCodeLength)]
		public virtual string MarketingCode { get; set; }
		[StringLength(InvTmssDispatchPlanConsts.MaxProductionCodeLength)]
		public virtual string ProductionCode { get; set; }
		[StringLength(InvTmssDispatchPlanConsts.MaxDealerLength)]
		public virtual string Dealer { get; set; }
		[StringLength(InvTmssDispatchPlanConsts.MaxVinLength)]
		public virtual string Vin { get; set; }
		[StringLength(InvTmssDispatchPlanConsts.MaxExtColorLength)]
		public virtual string ExtColor { get; set; }
		[StringLength(InvTmssDispatchPlanConsts.MaxIntColorLength)]
		public virtual string IntColor { get; set; }
		public virtual DateTime? DlrDispatchPlan { get; set; }
		public virtual DateTime? DlrDispatchDate { get; set; }
	}
	public class GetInvTmssDispatchPlanInput : PagedAndSortedResultRequestDto	
	{
		public virtual string VehicleType { get; set; }
		public virtual string Model { get; set; }
		public virtual string MarketingCode { get; set; }
		public virtual string ProductionCode { get; set; }
		public virtual string Dealer { get; set; }
		public virtual string Vin { get; set; }
		public virtual string ExtColor { get; set; }
		public virtual string IntColor { get; set; }
	}
}
</v>
      </c>
      <c r="I68" s="48" t="str">
        <f ca="1">A.Backend!R7</f>
        <v xml:space="preserve">using Abp.Application.Services.Dto;
using System;
using System.ComponentModel.DataAnnotations;
namespace prod.Inventory.Tmss.Dto
{
	public class InvTmssDispatchPlanExportInput{
		public virtual string VehicleType { get; set; }
		public virtual string Model { get; set; }
		public virtual string MarketingCode { get; set; }
		public virtual string ProductionCode { get; set; }
		public virtual string Dealer { get; set; }
		public virtual string Vin { get; set; }
		public virtual string ExtColor { get; set; }
		public virtual string IntColor { get; set; }
		public virtual DateTime? DlrDispatchPlan { get; set; }
		public virtual DateTime? DlrDispatchDate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vovina.Inventory.Tmss.Dto;
namespace prod.Inventory.Tmss
{
	public interface IInvTmssDispatchPlanAppService : IApplicationService
	{
		Task&lt;PagedResultDto&lt;InvTmssDispatchPlanDto&gt;&gt; GetAll(GetInvTmssDispatchPlanInput input);
		Task CreateOrEdit(CreateOrEditInvTmssDispatchPlanDto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vovina.Inventory.Tmss.Dto;
namespace prod.Inventory.Tmss.Exporting
{
	public interface IInvTmssDispatchPlanExcelExporter : IApplicationService
	{
		FileDto ExportToFile(List&lt;InvTmssDispatchPlanDto&gt; invtmssdispatchplan);
	}
}
</v>
      </c>
      <c r="L68" s="48" t="str">
        <f ca="1">A.Backend!T7</f>
        <v>using System.Collections.Generic;
using vovina.DataExporting.Excel.NPOI;
using vovina.Dto;
using vovina.Inventory.Tmss.Exporting;
using vovina.Inventory.Tmss.Dto;
using vovina.Storage;
using vovina.Inventory.Tmss.Dto;
namespace vovina.Inventory.Tmss.Exporting
{
    public class InvTmssDispatchPlanExcelExporter : NpoiExcelExporterBase, IInvTmssDispatchPlanExcelExporter
    {
        public InvTmssDispatchPlanExcelExporter(ITempFileCacheManager tempFileCacheManager) : base(tempFileCacheManager) { }
        public FileDto ExportToFile(List&lt;InvTmssDispatchPlanDto&gt; tmssdispatchplan)
        {
            return CreateExcelPackage(
				"InventoryTmssTmssDispatchPlan.xlsx",
				excelPackage =&gt;
				 {
					var sheet = excelPackage.CreateSheet("TmssDispatchPlan");
					AddHeader(
								sheet,
								("VehicleType"),
								("Model"),
								("MarketingCode"),
								("ProductionCode"),
								("Dealer"),
								("Vin"),
								("ExtColor"),
								("IntColor"),
								("DlrDispatchPlan"),
								("DlrDispatchDate"),
							   );
					AddObjects(
						 sheet, 1, tmssdispatchplan,                                       
								_ =&gt; _.VehicleType,
								_ =&gt; _.Model,
								_ =&gt; _.MarketingCode,
								_ =&gt; _.ProductionCode,
								_ =&gt; _.Dealer,
								_ =&gt; _.Vin,
								_ =&gt; _.ExtColor,
								_ =&gt; _.IntColor,
								_ =&gt; _.DlrDispatchPlan,
								_ =&gt; _.DlrDispatchDate,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vovina.Inventory.Tmss.Dto;
using vovina.Inventory.Tmss.Exporting;
namespace vovina.Inventory.Tmss
{
    [AbpAuthorize(AppPermissions.Pages_Inventory_Tmss_TmssDispatchPlan)]
    public class InvTmssDispatchPlanAppService : vovinaAppServiceBase, IInvTmssDispatchPlanAppService
    {
        private readonly IDapperRepository&lt;InvTmssDispatchPlan, long&gt; _dapperRepo;
        private readonly IRepository&lt;InvTmssDispatchPlan, long&gt; _repo;
        private readonly IInvTmssDispatchPlanExcelExporter _calendarListExcelExporter;
        public InvTmssDispatchPlanAppService(IRepository&lt;InvTmssDispatchPlan,long&gt; repo, 
                                         IDapperRepository&lt;InvTmssDispatchPlan,long&gt; dapperRepo,
                                        IInvTmssDispatchPlanExcelExporter calendarListExcelExporter
            )
        {
            _repo = repo;
            _dapperRepo = dapperRepo;
            _calendarListExcelExporter = calendarListExcelExporter;
        }
        [AbpAuthorize(AppPermissions.Pages_Inventory_Tmss_TmssDispatchPlan_CreateEdit)]
        public async Task CreateOrEdit(CreateOrEditInvTmssDispatchPlanDto input)
        {
            if (input.Id == null) await Create(input);
            else await Update(input);
        }
        //CREATE
        private async Task Create(CreateOrEditInvTmssDispatchPlanDto input)
        {          
            var mainObj = ObjectMapper.Map&lt;InvTmssDispatchPlan&gt;(input);
            await CurrentUnitOfWork.GetDbContext&lt;vovinaDbContext&gt;().AddAsync(mainObj);
        }
        // EDIT
        private async Task Update(CreateOrEditInvTmssDispatchPlanDto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[AbpAuthorize(AppPermissions.Pages_Inventory_Tmss_TmssDispatchPlan_Delete)]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Task&lt;PagedResultDto&lt;InvTmssDispatchPlanDto&gt;&gt; GetAll(GetInvTmssDispatchPlanInput input)
        {
            var filtered = _repo.GetAll()
				.WhereIf(!string.IsNullOrWhiteSpace(input.VehicleType), e =&gt; e.VehicleType.Contains(input.VehicleType))
				.WhereIf(!string.IsNullOrWhiteSpace(input.Model), e =&gt; e.Model.Contains(input.Model))
				.WhereIf(!string.IsNullOrWhiteSpace(input.MarketingCode), e =&gt; e.MarketingCode.Contains(input.MarketingCode))
				.WhereIf(!string.IsNullOrWhiteSpace(input.ProductionCode), e =&gt; e.ProductionCode.Contains(input.ProductionCode))
				.WhereIf(!string.IsNullOrWhiteSpace(input.Dealer), e =&gt; e.Dealer.Contains(input.Dealer))
				.WhereIf(!string.IsNullOrWhiteSpace(input.Vin), e =&gt; e.Vin.Contains(input.Vin))
				.WhereIf(!string.IsNullOrWhiteSpace(input.ExtColor), e =&gt; e.ExtColor.Contains(input.ExtColor))
				.WhereIf(!string.IsNullOrWhiteSpace(input.IntColor), e =&gt; e.IntColor.Contains(input.IntColor))
				;
            var pageAndFiltered = filtered.OrderBy(s =&gt; s.Id);
            var system = from o in pageAndFiltered
                         select new InvTmssDispatchPlanDto
                        {
							Id = o.Id,
							VehicleType = o.VehicleType,
							Model = o.Model,
							MarketingCode = o.MarketingCode,
							ProductionCode = o.ProductionCode,
							Dealer = o.Dealer,
							Vin = o.Vin,
							ExtColor = o.ExtColor,
							IntColor = o.IntColor,
							DlrDispatchPlan = o.DlrDispatchPlan,
							DlrDispatchDate = o.DlrDispatchDate,
                        };
            var totalCount = await filtered.CountAsync();
			var paged = system.PageBy(input);
            return new PagedResultDto&lt;InvTmssDispatchPlanDto&gt;(
                totalCount,
                 await paged.ToListAsync()
            );
        }
        public async Task&lt;FileDto&gt; GetTmssDispatchPlanToExcel(InvTmssDispatchPlanExportInput input)
        {
            var query = from o in _repo.GetAll()
                        select new InvTmssDispatchPlanDto
                        {
							Id = o.Id,
							VehicleType = o.VehicleType,
							Model = o.Model,
							MarketingCode = o.MarketingCode,
							ProductionCode = o.ProductionCode,
							Dealer = o.Dealer,
							Vin = o.Vin,
							ExtColor = o.ExtColor,
							IntColor = o.IntColor,
							DlrDispatchPlan = o.DlrDispatchPlan,
							DlrDispatchDate = o.DlrDispatchDate,
                        };
            var exportToExcel = await query.ToListAsync();
            return _calendarListExcelExporter.ExportToFile(exportToExcel);
        }
       // public async Task GenerateAsync()
      //  {
        //    await _dapperRepo.ExecuteAsync(InvTmssDispatchPlanConsts.SP_MST_WPT_CALENDAR_GENERATE);
       // }
    }
}</v>
      </c>
      <c r="N68" s="58" t="str">
        <f>A.Backend!U7</f>
        <v xml:space="preserve">  configuration.CreateMap&lt;InvTmssDispatchPlanDto, InvTmssDispatchPlan&gt;();
  configuration.CreateMap&lt;InvTmssDispatchPlan, InvTmssDispatchPlanDto&gt;();
  configuration.CreateMap&lt;CreateOrEditInvTmssDispatchPlanDto, InvTmssDispatchPlan&gt;();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tmssdispatchplan</v>
      </c>
      <c r="C73" s="66" t="str">
        <f>"create folder " &amp;B73</f>
        <v>create folder tmssdispatchplan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tmssdispatchplan.component.ts</v>
      </c>
      <c r="D74" s="28" t="str">
        <f>B.Frontend!I14</f>
        <v>tmssdispatchplan.component.html</v>
      </c>
      <c r="E74" s="28" t="str">
        <f>B.Frontend!J14</f>
        <v>tmssdispatchplan.component.less</v>
      </c>
      <c r="F74" s="28" t="str">
        <f>B.Frontend!K14</f>
        <v>create-or-edit-tmssdispatchplan-modal.component.html</v>
      </c>
      <c r="G74" s="28" t="str">
        <f>B.Frontend!L14</f>
        <v>create-or-edit-tmssdispatchplan-modal.component.ts</v>
      </c>
      <c r="H74" s="28" t="str">
        <f>B.Frontend!M14</f>
        <v>create-or-edit-tmssdispatchplan-modal.component.less</v>
      </c>
      <c r="I74" s="28" t="str">
        <f>B.Frontend!N14</f>
        <v>tmssdispatchplan.module.ts</v>
      </c>
      <c r="J74" s="28" t="str">
        <f>B.Frontend!O14</f>
        <v>tmssdispatchplan-routing.module.ts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InvTmssDispatchPlanDto, InvTmssDispatchPlanServiceProxy } from '@shared/service-proxies/service-proxies';
import { finalize } from 'rxjs/internal/operators/finalize';
import { CreateOrEditTmssDispatchPlanModalComponent } from './create-or-edit-tmssdispatchplan-modal.component';
import { DatePipe } from '@angular/common';
import { FileDownloadService } from '@shared/utils/file-download.service';
import ceil from 'lodash-es/ceil';
import { Paginator } from 'primeng/paginator';
@Component({
    templateUrl: './tmssdispatchplan.component.html',
    styleUrls: ['./tmssdispatchplan.component.less'],
})
export class TmssDispatchPlanComponent extends AppComponentBase implements OnInit {
    @ViewChild('createOrEditModalTmssDispatchPlan', { static: true }) createOrEditModalTmssDispatchPlan:| CreateOrEditTmssDispatchPlanModalComponent|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InvTmssDispatchPlanDto = new InvTmssDispatchPlanDto();
    saveSelectedRow: InvTmssDispatchPlanDto = new InvTmssDispatchPlanDto();
    datas: InvTmssDispatchPlanDto = new InvTmssDispatchPlanDto();
    isLoading: boolean = false;
    dataParams: GridParams | undefined;
    rowData: any[] = [];
    gridApi!: GridApi;
    rowSelection = 'multiple';
    filter: string = '';
	pipe = new DatePipe('en-US');
	frameworkComponents: FrameworkComponent;
    	vehicleType : string = '' ; 
	model : string = '' ; 
marketingCode : string = '' ; 
	productionCode : string = '' ; 
	dealer : string = '' ; 
	vin : string = '' ; 
	extColor : string = '' ; 
intColor : string = '' ; 
	dlrDispatchPlan
	dlrDispatchDate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InvTmssDispatchPlanServiceProxy,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this.l('Vehicle Type'),headerTooltip: this.l('Vehicle Type'),field: 'vehicleType',flex: 1},
			{headerName: this.l('Model'),headerTooltip: this.l('Model'),field: 'model',flex: 1},
			{headerName: this.l('Marketing Code'),headerTooltip: this.l('Marketing Code'),field: 'marketingCode',flex: 1},
			{headerName: this.l('Production Code'),headerTooltip: this.l('Production Code'),field: 'productionCode',flex: 1},
			{headerName: this.l('Dealer'),headerTooltip: this.l('Dealer'),field: 'dealer',flex: 1},
			{headerName: this.l('Vin'),headerTooltip: this.l('Vin'),field: 'vin',flex: 1},
			{headerName: this.l('Ext Color'),headerTooltip: this.l('Ext Color'),field: 'extColor',flex: 1},
			{headerName: this.l('Int Color'),headerTooltip: this.l('Int Color'),field: 'intColor',flex: 1},
			{headerName: this.l('Dlr Dispatch Plan'),headerTooltip: this.l('Dlr Dispatch Plan'),field: 'dlrDispatchPlan',flex: 1},
			{headerName: this.l('Dlr Dispatch Date'),headerTooltip: this.l('Dlr Dispatch Date'),field: 'dlrDispatchDate',flex: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this.vehicleType,
			this.model,
			this.marketingCode,
			this.productionCode,
			this.dealer,
			this.vin,
			this.extColor,
			this.intColor,
			this.dlrDispatchPlan,
			this.dlrDispatchDate,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this.vehicleType = '',
		this.model = '',
this.marketingCode = '',
		this.productionCode = '',
		this.dealer = '',
		this.vin = '',
		this.extColor = '',
this.intColor = '',
		this.dlrDispatchPlan = '',
		this.dlrDispatchDate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this.vehicleType,
			this.model,
			this.marketingCode,
			this.productionCode,
			this.dealer,
			this.vin,
			this.extColor,
			this.intColor,
			this.dlrDispatchPlan,
			this.dlrDispatchDate,
			'',
            this.paginationParams.skipCount,
            this.paginationParams.pageSize
        );
    }
    onChangeRowSelection(params: { api: { getSelectedRows: () =&gt; InvTmssDispatchPlanDto[] } }) {
        this.saveSelectedRow = params.api.getSelectedRows()[0] ?? new InvTmssDispatchPlanDto();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InvTmssDispatchPlanDto):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this._service.getTmssDispatchPlanToExcel(
			this.vehicleType,
			this.model,
			this.marketingCode,
			this.productionCode,
			this.dealer,
			this.vin,
			this.extColor,
			this.intColor,
			this.dlrDispatchPlan,
			this.dlrDispatchDate,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Tmss Dispatch Plan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[(ngModel)]='vehicleType' name='vehicleType'
									class='form-control' [placeholder]="l('Vehicle Type')"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[(ngModel)]='marketingCode' name='marketingCode'
									class='form-control' [placeholder]="l('Marketing Code')"
									type='text' (keyup.enter)='searchDatas()'&gt;
								&lt;/div&gt;
								&lt;div class='input-search'&gt;
									&lt;input [(ngModel)]='productionCode' name='productionCode'
									class='form-control' [placeholder]="l('Production Code')"
									type='text' (keyup.enter)='searchDatas()'&gt;
								&lt;/div&gt;
								&lt;div class='input-search'&gt;
									&lt;input [(ngModel)]='dealer' name='dealer'
									class='form-control' [placeholder]="l('Dealer')"
									type='text' (keyup.enter)='searchDatas()'&gt;
								&lt;/div&gt;
								&lt;div class='input-search'&gt;
									&lt;input [(ngModel)]='vin' name='vin'
									class='form-control' [placeholder]="l('Vin')"
									type='text' (keyup.enter)='searchDatas()'&gt;
								&lt;/div&gt;
								&lt;div class='input-search'&gt;
									&lt;input [(ngModel)]='extColor' name='extColor'
									class='form-control' [placeholder]="l('Ext Color')"
									type='text' (keyup.enter)='searchDatas()'&gt;
								&lt;/div&gt;
								&lt;div class='input-search'&gt;
									&lt;input [(ngModel)]='intColor' name='intColor'
									class='form-control' [placeholder]="l('Int Color')"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(click)="createOrEditModalTmssDispatchPlan.show()"&gt;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(click)="createOrEditModalTmssDispatchPlan.show(selectedRow)"&gt;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&lt;create-or-edit-tmssdispatchplan-modal
    #createOrEditModalTmssDispatchPlan
    (modalSave)="callBackDataGrid(dataParams)"
    (modalClose)="onChangeRowSelection(dataParams)"
&gt;
&lt;/create-or-edit-tmssdispatchplan-modal&gt;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#createOrEditModalTmssDispatchPlan="bs-modal"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TmssDispatchPlan')}}&lt;/h3&gt;
                    &lt;h3 *ngIf="!rowdata.id"&gt;{{('Create New TmssDispatchPlan')}}&lt;/h3&gt;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title'&gt;Vehicle Type&lt;/label&gt;
						&lt;input type='text' class='col-md-10 form-control input-text' name='VehicleType' [(ngModel)]='rowdata.vehicleType'&gt;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title'&gt;Marketing Code&lt;/label&gt;
						&lt;input type='text' class='col-md-10 form-control input-text' name='MarketingCode' [(ngModel)]='rowdata.marketingCode'&gt;
					&lt;/div&gt;
					&lt;div class='col-md-12 form-group row'&gt;
						&lt;label class='col-md-2 form-control title'&gt;Production Code&lt;/label&gt;
						&lt;input type='text' class='col-md-10 form-control input-text' name='ProductionCode' [(ngModel)]='rowdata.productionCode'&gt;
					&lt;/div&gt;
					&lt;div class='col-md-12 form-group row'&gt;
						&lt;label class='col-md-2 form-control title'&gt;Dealer&lt;/label&gt;
						&lt;input type='text' class='col-md-10 form-control input-text' name='Dealer' [(ngModel)]='rowdata.dealer'&gt;
					&lt;/div&gt;
					&lt;div class='col-md-12 form-group row'&gt;
						&lt;label class='col-md-2 form-control title'&gt;Vin&lt;/label&gt;
						&lt;input type='text' class='col-md-10 form-control input-text' name='Vin' [(ngModel)]='rowdata.vin'&gt;
					&lt;/div&gt;
					&lt;div class='col-md-12 form-group row'&gt;
						&lt;label class='col-md-2 form-control title'&gt;Ext Color&lt;/label&gt;
						&lt;input type='text' class='col-md-10 form-control input-text' name='ExtColor' [(ngModel)]='rowdata.extColor'&gt;
					&lt;/div&gt;
					&lt;div class='col-md-12 form-group row'&gt;
						&lt;label class='col-md-2 form-control title'&gt;Int Color&lt;/label&gt;
						&lt;input type='text' class='col-md-10 form-control input-text' name='IntColor' [(ngModel)]='rowdata.intColor'&gt;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CreateOrEditInvTmssDispatchPlanDto, InvTmssDispatchPlanServiceProxy } from '@shared/service-proxies/service-proxies';
import { BsDatepickerDirective } from 'ngx-bootstrap/datepicker';
@Component({
    selector: 'create-or-edit-tmssdispatchplan-modal',
    templateUrl: './create-or-edit-tmssdispatchplan-modal.component.html',
    styleUrls: ['./create-or-edit-tmssdispatchplan-modal.component.less']
    })
export class CreateOrEditTmssDispatchPlanModalComponent extends AppComponentBase {
    @ViewChild('createOrEditModalTmssDispatchPlan',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CreateOrEditInvTmssDispatchPlanDto = new CreateOrEditInvTmssDispatchPlanDto();
    active: boolean = false;
    saving: boolean = false;
    _: boolean;
    constructor(
        injector: Injector,
        private _mstwptTmssDispatchPlanService: InvTmssDispatchPlanServiceProxy,
    ) 
    {
        super(injector);
    }
    show(rowdata?: CreateOrEditInvTmssDispatchPlanDto): void {
        if (!rowdata) this.rowdata = new CreateOrEditInvTmssDispatchPlanDto();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this._mstwptTmssDispatchPlanService.createOrEdit(this.rowdata)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TmssDispatchPlanRoutingModule } from './tmssdispatchplan-routing.module';
import { TmssDispatchPlanComponent } from './tmssdispatchplan.component';
import { CreateOrEditTmssDispatchPlanModalComponent } from './create-or-edit-tmssdispatchplan-modal.component';
@NgModule({
    declarations: [
       TmssDispatchPlanComponent, 
        CreateOrEditTmssDispatchPlanModalComponent
    ],
    imports: [
        AppSharedModule, TmssDispatchPlanRoutingModule]
})
export class TmssDispatchPlanModule {}</v>
      </c>
      <c r="J75" s="46" t="str">
        <f>B.Frontend!O10</f>
        <v>import {NgModule} from '@angular/core';
import {RouterModule, Routes} from '@angular/router';
import { TmssDispatchPlanComponent } from './tmssdispatchplan.component';
const routes: Routes = [{
    path: '',
    component: TmssDispatchPlanComponent,
    pathMatch: 'full'
}];
@NgModule({
    imports: [RouterModule.forChild(routes)],
    exports: [RouterModule],
})
export class TmssDispatchPlanRoutingModule {}</v>
      </c>
      <c r="K75" s="46" t="str">
        <f>B.Frontend!P10</f>
        <v xml:space="preserve"> new AppMenuItem("TmssDispatchPlan", "Pages.Inventory.Tmss.TmssDispatchPlan", "flaticon-book",   "/app/main/inventory/tmss/tmssdispatchplan"),</v>
      </c>
      <c r="L75" s="47" t="str">
        <f>B.Frontend!Q10</f>
        <v>{
    path: 'inventory/tmss/tmssdispatchplan',
    loadChildren: () =&gt; import('./inventory/tmss/tmssdispatchplan/tmssdispatchplan.module').then(m =&gt; m.TmssDispatchPlanModule),
    data: { permission: 'Pages.Inventory.Tmss.TmssDispatchPlan' }
},</v>
      </c>
      <c r="M75" s="45" t="str">
        <f>B.Frontend!R10</f>
        <v>ApiServiceProxies.InvTmssDispatchPlanServiceProxy,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20"/>
  <sheetViews>
    <sheetView workbookViewId="0">
      <pane xSplit="1" topLeftCell="B1" activePane="topRight" state="frozen"/>
      <selection pane="topRight" activeCell="B2" sqref="B2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6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vovina.Inventory.Tmss.Dto;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6" s="10" customFormat="1" x14ac:dyDescent="0.25">
      <c r="A2" s="1" t="s">
        <v>12</v>
      </c>
      <c r="B2" s="27" t="s">
        <v>370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6" s="10" customFormat="1" ht="33" customHeight="1" x14ac:dyDescent="0.25">
      <c r="A3" s="1" t="s">
        <v>5</v>
      </c>
      <c r="B3" s="27" t="s">
        <v>369</v>
      </c>
      <c r="C3" s="9" t="s">
        <v>41</v>
      </c>
      <c r="D3" s="9" t="s">
        <v>42</v>
      </c>
      <c r="E3" s="9" t="s">
        <v>37</v>
      </c>
      <c r="F3" s="10" t="str">
        <f>"J"&amp;COUNTA($A:$A)</f>
        <v>J18</v>
      </c>
      <c r="G3" s="4" t="s">
        <v>54</v>
      </c>
      <c r="H3" s="9" t="str">
        <f>"I"&amp;COUNTA($A:$A)</f>
        <v>I18</v>
      </c>
      <c r="I3" s="9" t="str">
        <f>REPT(CHAR(9),2)&amp;"[Required]"&amp;"
"</f>
        <v xml:space="preserve">		[Required]
</v>
      </c>
      <c r="J3" s="10" t="str">
        <f>"L"&amp;COUNTA($A:$A)</f>
        <v>L18</v>
      </c>
      <c r="K3" s="5" t="s">
        <v>53</v>
      </c>
      <c r="L3" s="10" t="str">
        <f>"M"&amp;COUNTA($A:$A)</f>
        <v>M18</v>
      </c>
      <c r="M3" s="10" t="str">
        <f>"N"&amp;COUNTA($A:$A)</f>
        <v>N18</v>
      </c>
      <c r="N3" s="10" t="str">
        <f>"O"&amp;COUNTA($A:$A)</f>
        <v>O18</v>
      </c>
      <c r="O3" s="10" t="str">
        <f>"P"&amp;COUNTA($A:$A)</f>
        <v>P18</v>
      </c>
      <c r="Q3" s="10" t="str">
        <f>RIGHT(B2,(LEN(B2)-FIND(".",B2,1)))</f>
        <v>Tmss</v>
      </c>
      <c r="R3" s="29" t="str">
        <f>REPT(CHAR(9),1)&amp;"public class "&amp;B3&amp;"ExportInput"&amp;C3</f>
        <v xml:space="preserve">	public class InvTmssDispatchPlanExportInput{
</v>
      </c>
      <c r="S3" s="10" t="str">
        <f>"namespace "&amp;$B$6&amp;".Exporting
"&amp;$C$3</f>
        <v xml:space="preserve">namespace prod.Inventory.Tmss.Exporting
{
</v>
      </c>
      <c r="T3" s="10" t="str">
        <f>"T"&amp;COUNTA($A:$A)</f>
        <v>T18</v>
      </c>
      <c r="V3" s="10" t="str">
        <f>"V"&amp;COUNTA($A:$A)</f>
        <v>V18</v>
      </c>
      <c r="W3" s="9" t="str">
        <f>"W"&amp;COUNTA($A:$A)</f>
        <v>W18</v>
      </c>
    </row>
    <row r="4" spans="1:26" s="10" customFormat="1" ht="33" customHeight="1" x14ac:dyDescent="0.25">
      <c r="A4" s="1" t="s">
        <v>233</v>
      </c>
      <c r="B4" s="60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6" s="10" customFormat="1" ht="33" customHeight="1" x14ac:dyDescent="0.25">
      <c r="A5" s="1" t="s">
        <v>234</v>
      </c>
      <c r="B5" s="60" t="s">
        <v>371</v>
      </c>
      <c r="C5" s="9"/>
      <c r="D5" s="9"/>
      <c r="E5" s="9"/>
      <c r="G5" s="4"/>
      <c r="H5" s="9"/>
      <c r="I5" s="9"/>
      <c r="K5" s="5"/>
      <c r="R5" s="29"/>
      <c r="W5" s="9"/>
    </row>
    <row r="6" spans="1:26" customFormat="1" ht="24.95" customHeight="1" x14ac:dyDescent="0.25">
      <c r="A6" s="1" t="s">
        <v>6</v>
      </c>
      <c r="B6" s="9" t="str">
        <f>"prod."&amp;B2</f>
        <v>prod.Inventory.Tmss</v>
      </c>
      <c r="C6" s="10" t="str">
        <f>"namespace "&amp;$B$6&amp;"
"&amp;$C$3</f>
        <v xml:space="preserve">namespace prod.Inventory.Tmss
{
</v>
      </c>
      <c r="D6" s="10" t="str">
        <f>REPT(CHAR(9),1)&amp;"public class "&amp;B3&amp;G3&amp;REPT(CHAR(9),1)&amp;"
"&amp;REPT(CHAR(9),1)&amp;C3</f>
        <v xml:space="preserve">	public class InvTmssDispatchPlan: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InvTmssDispatchPlanConsts	
	{
</v>
      </c>
      <c r="F6" s="10" t="str">
        <f>REPT(CHAR(9),1)&amp;"public class "&amp;B3&amp;"Dto"&amp;K3&amp;REPT(CHAR(9),1)&amp;"
"&amp;REPT(CHAR(9),1)&amp;C3</f>
        <v xml:space="preserve">	public class InvTmssDispatchPlanDto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CreateOrEditInvTmssDispatchPlanDto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GetInvTmssDispatchPlanInput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6" customFormat="1" ht="24.95" customHeight="1" x14ac:dyDescent="0.25">
      <c r="A7" s="1" t="s">
        <v>13</v>
      </c>
      <c r="B7" s="9" t="str">
        <f>B3</f>
        <v>InvTmssDispatchPlan</v>
      </c>
      <c r="C7" s="10" t="str">
        <f>REPT(CHAR(9),1)&amp;"[Table("""&amp;B7&amp;""")]"&amp;"
"</f>
        <v xml:space="preserve">	[Table("InvTmssDispatchPlan")]
</v>
      </c>
      <c r="D7" s="10"/>
      <c r="E7" s="10"/>
      <c r="F7" s="10"/>
      <c r="G7" s="10"/>
      <c r="H7" s="10"/>
      <c r="I7" s="10"/>
      <c r="J7" t="str">
        <f ca="1">SUBSTITUTE(SUBSTITUTE((B1&amp;C6&amp;C7&amp;K20&amp;D6&amp;I20&amp;E3&amp;J20&amp;""&amp;REPT(CHAR(9),1)&amp;D3&amp;D3),"WorkingPattern",$Q$3),"Master",$B$4)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prod.Inventory.Tmss
{
	[Table("InvTmssDispatchPlan")]
	public class InvTmssDispatchPlan: FullAuditedEntity&lt;long&gt;, IEntity&lt;long&gt;	
	{
		public const int MaxVehicleTypeLength = 10;
		public const int MaxModelLength = 50;
		public const int MaxMarketingCodeLength = 50;
		public const int MaxProductionCodeLength = 50;
		public const int MaxDealerLength = 50;
		public const int MaxVinLength = 100;
		public const int MaxExtColorLength = 50;
		public const int MaxIntColorLength = 50;
		[StringLength(MaxVehicleTypeLength)]
		public virtual string VehicleType { get; set; }
		[StringLength(MaxModelLength)]
		public virtual string Model { get; set; }
		[StringLength(MaxMarketingCodeLength)]
		public virtual string MarketingCode { get; set; }
		[StringLength(MaxProductionCodeLength)]
		public virtual string ProductionCode { get; set; }
		[StringLength(MaxDealerLength)]
		public virtual string Dealer { get; set; }
		[StringLength(MaxVinLength)]
		public virtual string Vin { get; set; }
		[StringLength(MaxExtColorLength)]
		public virtual string ExtColor { get; set; }
		[StringLength(MaxIntColorLength)]
		public virtual string IntColor { get; set; }
		[Column(TypeName="Date")]
		public virtual DateTime? DlrDispatchPlan { get; set; }
		[Column(TypeName="Date")]
		public virtual DateTime? DlrDispatchDate { get; set; }
	}
}
</v>
      </c>
      <c r="K7" t="str">
        <f>SUBSTITUTE(SUBSTITUTE(("public virtual DbSet&lt;"&amp;B3&amp;"&gt; "&amp;B3&amp;"s { get; set; }"),"WorkingPattern",$Q$3),"Master",$B$4)</f>
        <v>public virtual DbSet&lt;InvTmssDispatchPlan&gt; InvTmssDispatchPlans { get; set; }</v>
      </c>
      <c r="L7" t="str">
        <f ca="1">SUBSTITUTE(SUBSTITUTE((C6&amp;E6&amp;I20&amp;"
"&amp;REPT(CHAR(9),2)&amp;"// Define Store Name: Format SP_ + &lt;Store Name&gt; = &lt;Store Name&gt;
"&amp;E3&amp;REPT(CHAR(9),1)&amp;D3&amp;D3),"WorkingPattern",$Q$3),"Master",$B$4)</f>
        <v xml:space="preserve">namespace prod.Inventory.Tmss
{
	public class InvTmssDispatchPlanConsts	
	{
		public const int MaxVehicleTypeLength = 10;
		public const int MaxModelLength = 50;
		public const int MaxMarketingCodeLength = 50;
		public const int MaxProductionCodeLength = 50;
		public const int MaxDealerLength = 50;
		public const int MaxVinLength = 100;
		public const int MaxExtColorLength = 50;
		public const int MaxIntColorLength = 50;
		// Define Store Name: Format SP_ + &lt;Store Name&gt; = &lt;Store Name&gt;
	}
}
</v>
      </c>
      <c r="M7" t="str">
        <f ca="1">SUBSTITUTE(SUBSTITUTE((C1&amp;"namespace "&amp;B6&amp;".Dto"&amp;E3&amp;C3&amp;F6&amp;M20&amp;E3&amp;REPT(CHAR(9),1)&amp;D3&amp;G6&amp;N20&amp;REPT(CHAR(9),1)&amp;D3&amp;H6&amp;O20&amp;"
"&amp;REPT(CHAR(9),1)&amp;D3&amp;D3),"WorkingPattern",$Q$3),"Master",$B$4)</f>
        <v xml:space="preserve">using Abp.Application.Services.Dto;
using System;
using System.ComponentModel.DataAnnotations;
namespace prod.Inventory.Tmss.Dto
{
	public class InvTmssDispatchPlanDto : EntityDto&lt;long?&gt;	
	{
		public virtual string VehicleType { get; set; }
		public virtual string Model { get; set; }
		public virtual string MarketingCode { get; set; }
		public virtual string ProductionCode { get; set; }
		public virtual string Dealer { get; set; }
		public virtual string Vin { get; set; }
		public virtual string ExtColor { get; set; }
		public virtual string IntColor { get; set; }
		public virtual DateTime? DlrDispatchPlan { get; set; }
		public virtual DateTime? DlrDispatchDate { get; set; }
	}
	public class CreateOrEditInvTmssDispatchPlanDto : EntityDto&lt;long?&gt;	
	{
		[StringLength(InvTmssDispatchPlanConsts.MaxVehicleTypeLength)]
		public virtual string VehicleType { get; set; }
		[StringLength(InvTmssDispatchPlanConsts.MaxModelLength)]
		public virtual string Model { get; set; }
		[StringLength(InvTmssDispatchPlanConsts.MaxMarketingCodeLength)]
		public virtual string MarketingCode { get; set; }
		[StringLength(InvTmssDispatchPlanConsts.MaxProductionCodeLength)]
		public virtual string ProductionCode { get; set; }
		[StringLength(InvTmssDispatchPlanConsts.MaxDealerLength)]
		public virtual string Dealer { get; set; }
		[StringLength(InvTmssDispatchPlanConsts.MaxVinLength)]
		public virtual string Vin { get; set; }
		[StringLength(InvTmssDispatchPlanConsts.MaxExtColorLength)]
		public virtual string ExtColor { get; set; }
		[StringLength(InvTmssDispatchPlanConsts.MaxIntColorLength)]
		public virtual string IntColor { get; set; }
		public virtual DateTime? DlrDispatchPlan { get; set; }
		public virtual DateTime? DlrDispatchDate { get; set; }
	}
	public class GetInvTmssDispatchPlanInput : PagedAndSortedResultRequestDto	
	{
		public virtual string VehicleType { get; set; }
		public virtual string Model { get; set; }
		public virtual string MarketingCode { get; set; }
		public virtual string ProductionCode { get; set; }
		public virtual string Dealer { get; set; }
		public virtual string Vin { get; set; }
		public virtual string ExtColor { get; set; }
		public virtual string IntColor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perInvTmssDispatchPlan = PARENTS.CreateChildPermission(AppPermissions.Pages_Inventory_Tmss_TmssDispatchPlan, L( "InventoryTmssTmssDispatchPlan"), multiTenancySides: MultiTenancySides.Tenant);
		perInvTmssDispatchPlan.CreateChildPermission(AppPermissions.Pages_Inventory_Tmss_TmssDispatchPlan_CreateEdit, L( "InventoryTmssTmssDispatchPlanCreateEdit"), multiTenancySides: MultiTenancySides.Tenant);
		perInvTmssDispatchPlan.CreateChildPermission(AppPermissions.Pages_Inventory_Tmss_TmssDispatchPlan_Delete, L( "InventoryTmssTmssDispatchPlanDelete"),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Pages_Inventory_Tmss_TmssDispatchPlan = "Pages.Inventory.Tmss.TmssDispatchPlan";
		public const string Pages_Inventory_Tmss_TmssDispatchPlan_CreateEdit = "Pages.Inventory.Tmss.TmssDispatchPlan.CreateEdit";
		public const string Pages_Inventory_Tmss_TmssDispatchPlan_Delete = "Pages.Inventory.Tmss.TmssDispatchPlan.Delete";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vovina.Inventory.Tmss.Dto;
namespace prod.Inventory.Tmss
{
	public interface IInvTmssDispatchPlanAppService : IApplicationService
	{
		Task&lt;PagedResultDto&lt;InvTmssDispatchPlanDto&gt;&gt; GetAll(GetInvTmssDispatchPlanInput input);
		Task CreateOrEdit(CreateOrEditInvTmssDispatchPlanDto input);
		Task Delete(EntityDto input);
	}
}
</v>
      </c>
      <c r="Q7" t="str">
        <f ca="1">SUBSTITUTE(SUBSTITUTE(SUBSTITUTE(SUBSTITUTE(SUBSTITUTE(SUBSTITUTE(E1,"MstWptCalendar",$B$3),"&lt;PROPERTIES&gt;",P20),"Calendar",$B$5),"WorkingPattern",$Q$3),"Master",$B$4),"&lt;PARAMS_SEARCH&gt;",$W$20)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vovina.Inventory.Tmss.Dto;
using vovina.Inventory.Tmss.Exporting;
namespace vovina.Inventory.Tmss
{
    [AbpAuthorize(AppPermissions.Pages_Inventory_Tmss_TmssDispatchPlan)]
    public class InvTmssDispatchPlanAppService : vovinaAppServiceBase, IInvTmssDispatchPlanAppService
    {
        private readonly IDapperRepository&lt;InvTmssDispatchPlan, long&gt; _dapperRepo;
        private readonly IRepository&lt;InvTmssDispatchPlan, long&gt; _repo;
        private readonly IInvTmssDispatchPlanExcelExporter _calendarListExcelExporter;
        public InvTmssDispatchPlanAppService(IRepository&lt;InvTmssDispatchPlan,long&gt; repo, 
                                         IDapperRepository&lt;InvTmssDispatchPlan,long&gt; dapperRepo,
                                        IInvTmssDispatchPlanExcelExporter calendarListExcelExporter
            )
        {
            _repo = repo;
            _dapperRepo = dapperRepo;
            _calendarListExcelExporter = calendarListExcelExporter;
        }
        [AbpAuthorize(AppPermissions.Pages_Inventory_Tmss_TmssDispatchPlan_CreateEdit)]
        public async Task CreateOrEdit(CreateOrEditInvTmssDispatchPlanDto input)
        {
            if (input.Id == null) await Create(input);
            else await Update(input);
        }
        //CREATE
        private async Task Create(CreateOrEditInvTmssDispatchPlanDto input)
        {          
            var mainObj = ObjectMapper.Map&lt;InvTmssDispatchPlan&gt;(input);
            await CurrentUnitOfWork.GetDbContext&lt;vovinaDbContext&gt;().AddAsync(mainObj);
        }
        // EDIT
        private async Task Update(CreateOrEditInvTmssDispatchPlanDto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[AbpAuthorize(AppPermissions.Pages_Inventory_Tmss_TmssDispatchPlan_Delete)]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Task&lt;PagedResultDto&lt;InvTmssDispatchPlanDto&gt;&gt; GetAll(GetInvTmssDispatchPlanInput input)
        {
            var filtered = _repo.GetAll()
				.WhereIf(!string.IsNullOrWhiteSpace(input.VehicleType), e =&gt; e.VehicleType.Contains(input.VehicleType))
				.WhereIf(!string.IsNullOrWhiteSpace(input.Model), e =&gt; e.Model.Contains(input.Model))
				.WhereIf(!string.IsNullOrWhiteSpace(input.MarketingCode), e =&gt; e.MarketingCode.Contains(input.MarketingCode))
				.WhereIf(!string.IsNullOrWhiteSpace(input.ProductionCode), e =&gt; e.ProductionCode.Contains(input.ProductionCode))
				.WhereIf(!string.IsNullOrWhiteSpace(input.Dealer), e =&gt; e.Dealer.Contains(input.Dealer))
				.WhereIf(!string.IsNullOrWhiteSpace(input.Vin), e =&gt; e.Vin.Contains(input.Vin))
				.WhereIf(!string.IsNullOrWhiteSpace(input.ExtColor), e =&gt; e.ExtColor.Contains(input.ExtColor))
				.WhereIf(!string.IsNullOrWhiteSpace(input.IntColor), e =&gt; e.IntColor.Contains(input.IntColor))
				;
            var pageAndFiltered = filtered.OrderBy(s =&gt; s.Id);
            var system = from o in pageAndFiltered
                         select new InvTmssDispatchPlanDto
                        {
							Id = o.Id,
							VehicleType = o.VehicleType,
							Model = o.Model,
							MarketingCode = o.MarketingCode,
							ProductionCode = o.ProductionCode,
							Dealer = o.Dealer,
							Vin = o.Vin,
							ExtColor = o.ExtColor,
							IntColor = o.IntColor,
							DlrDispatchPlan = o.DlrDispatchPlan,
							DlrDispatchDate = o.DlrDispatchDate,
                        };
            var totalCount = await filtered.CountAsync();
			var paged = system.PageBy(input);
            return new PagedResultDto&lt;InvTmssDispatchPlanDto&gt;(
                totalCount,
                 await paged.ToListAsync()
            );
        }
        public async Task&lt;FileDto&gt; GetTmssDispatchPlanToExcel(InvTmssDispatchPlanExportInput input)
        {
            var query = from o in _repo.GetAll()
                        select new InvTmssDispatchPlanDto
                        {
							Id = o.Id,
							VehicleType = o.VehicleType,
							Model = o.Model,
							MarketingCode = o.MarketingCode,
							ProductionCode = o.ProductionCode,
							Dealer = o.Dealer,
							Vin = o.Vin,
							ExtColor = o.ExtColor,
							IntColor = o.IntColor,
							DlrDispatchPlan = o.DlrDispatchPlan,
							DlrDispatchDate = o.DlrDispatchDate,
                        };
            var exportToExcel = await query.ToListAsync();
            return _calendarListExcelExporter.ExportToFile(exportToExcel);
        }
       // public async Task GenerateAsync()
      //  {
        //    await _dapperRepo.ExecuteAsync(InvTmssDispatchPlanConsts.SP_MST_WPT_CALENDAR_GENERATE);
       // }
    }
}</v>
      </c>
      <c r="R7" t="str">
        <f ca="1">SUBSTITUTE(SUBSTITUTE((C1&amp;"namespace "&amp;B6&amp;".Dto"&amp;E3&amp;C3&amp;R3&amp;M20&amp;E3&amp;REPT(CHAR(9),1)&amp;D3&amp;D3),"WorkingPattern",$Q$3),"Master",$B$4)</f>
        <v xml:space="preserve">using Abp.Application.Services.Dto;
using System;
using System.ComponentModel.DataAnnotations;
namespace prod.Inventory.Tmss.Dto
{
	public class InvTmssDispatchPlanExportInput{
		public virtual string VehicleType { get; set; }
		public virtual string Model { get; set; }
		public virtual string MarketingCode { get; set; }
		public virtual string ProductionCode { get; set; }
		public virtual string Dealer { get; set; }
		public virtual string Vin { get; set; }
		public virtual string ExtColor { get; set; }
		public virtual string IntColor { get; set; }
		public virtual DateTime? DlrDispatchPlan { get; set; }
		public virtual DateTime? DlrDispatchDate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vovina.Inventory.Tmss.Dto;
namespace prod.Inventory.Tmss.Exporting
{
	public interface IInvTmssDispatchPlanExcelExporter : IApplicationService
	{
		FileDto ExportToFile(List&lt;InvTmssDispatchPlanDto&gt; invtmssdispatchplan);
	}
}
</v>
      </c>
      <c r="T7" s="26" t="str">
        <f ca="1">SUBSTITUTE(SUBSTITUTE(SUBSTITUTE(SUBSTITUTE(SUBSTITUTE(SUBSTITUTE(SUBSTITUTE(T1,"MstWptCalendar",$B$3),"&lt;PROPERTIES1&gt;",V20),"&lt;PROPERTIES&gt;",T20),"Calendar",$B$5),"calendar",LOWER(B5)),"WorkingPattern",$Q$3),"Master",$B$4)</f>
        <v>using System.Collections.Generic;
using vovina.DataExporting.Excel.NPOI;
using vovina.Dto;
using vovina.Inventory.Tmss.Exporting;
using vovina.Inventory.Tmss.Dto;
using vovina.Storage;
using vovina.Inventory.Tmss.Dto;
namespace vovina.Inventory.Tmss.Exporting
{
    public class InvTmssDispatchPlanExcelExporter : NpoiExcelExporterBase, IInvTmssDispatchPlanExcelExporter
    {
        public InvTmssDispatchPlanExcelExporter(ITempFileCacheManager tempFileCacheManager) : base(tempFileCacheManager) { }
        public FileDto ExportToFile(List&lt;InvTmssDispatchPlanDto&gt; tmssdispatchplan)
        {
            return CreateExcelPackage(
				"InventoryTmssTmssDispatchPlan.xlsx",
				excelPackage =&gt;
				 {
					var sheet = excelPackage.CreateSheet("TmssDispatchPlan");
					AddHeader(
								sheet,
								("VehicleType"),
								("Model"),
								("MarketingCode"),
								("ProductionCode"),
								("Dealer"),
								("Vin"),
								("ExtColor"),
								("IntColor"),
								("DlrDispatchPlan"),
								("DlrDispatchDate"),
							   );
					AddObjects(
						 sheet, 1, tmssdispatchplan,                                       
								_ =&gt; _.VehicleType,
								_ =&gt; _.Model,
								_ =&gt; _.MarketingCode,
								_ =&gt; _.ProductionCode,
								_ =&gt; _.Dealer,
								_ =&gt; _.Vin,
								_ =&gt; _.ExtColor,
								_ =&gt; _.IntColor,
								_ =&gt; _.DlrDispatchPlan,
								_ =&gt; _.DlrDispatchDate,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configuration.CreateMap&lt;InvTmssDispatchPlanDto, InvTmssDispatchPlan&gt;();
  configuration.CreateMap&lt;InvTmssDispatchPlan, InvTmssDispatchPlanDto&gt;();
  configuration.CreateMap&lt;CreateOrEditInvTmssDispatchPlanDto, InvTmssDispatchPlan&gt;();</v>
      </c>
      <c r="V7" s="26"/>
      <c r="W7" s="26"/>
    </row>
    <row r="8" spans="1:26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6" customFormat="1" ht="18.75" customHeight="1" x14ac:dyDescent="0.25">
      <c r="A9" t="s">
        <v>355</v>
      </c>
      <c r="B9" t="s">
        <v>348</v>
      </c>
      <c r="C9" t="s">
        <v>1</v>
      </c>
      <c r="D9" t="str">
        <f t="shared" ref="D9" si="0">SUBSTITUTE(PROPER(A9),"_","")</f>
        <v>VehicleType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10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MaxVehicleTypeLength = 10;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[StringLength(MaxVehicleTypeLength)]
		public virtual string VehicleType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VehicleType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[StringLength(InvTmssDispatchPlanConsts.MaxVehicleTypeLength)]
		public virtual string VehicleType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VehicleType { get; set; }
</v>
      </c>
      <c r="P9" t="str">
        <f t="shared" ref="P9" si="9">REPT(CHAR(9),7)&amp;D9&amp;" = o." &amp;D9 &amp;","</f>
        <v xml:space="preserve">							VehicleType = o.VehicleType,</v>
      </c>
      <c r="T9" s="64" t="str">
        <f t="shared" ref="T9" si="10">REPT(CHAR(9),8)&amp;"("""&amp;D9&amp;"""),"</f>
        <v xml:space="preserve">								("VehicleType"),</v>
      </c>
      <c r="V9" s="65" t="str">
        <f t="shared" ref="V9" si="11">REPT(CHAR(9),8)&amp;"_ =&gt; _."&amp;D9&amp;","</f>
        <v xml:space="preserve">								_ =&gt; _.VehicleType,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.WhereIf(!string.IsNullOrWhiteSpace(input.VehicleType), e =&gt; e.VehicleType.Contains(input.VehicleType))</v>
      </c>
      <c r="X9" t="str">
        <f>IF(E9="VARCHAR","Char",(IF(E9="DATE","Date","Number")))</f>
        <v>Char</v>
      </c>
      <c r="Y9" t="str">
        <f>IF(X9="Char","Left",IF(X9="Date","Center","Right"))</f>
        <v>Left</v>
      </c>
      <c r="Z9" t="str">
        <f>IF(X9="Char","",IF(X9="Date","DD/MM/YYYY",IF(H9="decimal?","#,###.####","#,###")))</f>
        <v/>
      </c>
    </row>
    <row r="10" spans="1:26" customFormat="1" ht="18.75" customHeight="1" x14ac:dyDescent="0.25">
      <c r="A10" t="s">
        <v>356</v>
      </c>
      <c r="B10" t="s">
        <v>367</v>
      </c>
      <c r="C10" t="s">
        <v>1</v>
      </c>
      <c r="D10" t="str">
        <f t="shared" ref="D10:D11" si="13">SUBSTITUTE(PROPER(A10),"_","")</f>
        <v>Model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MaxModelLength = 50;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[StringLength(MaxModelLength)]
		public virtual string Model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Model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[StringLength(InvTmssDispatchPlanConsts.MaxModelLength)]
		public virtual string Model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Model { get; set; }
</v>
      </c>
      <c r="P10" t="str">
        <f t="shared" ref="P10:P11" si="22">REPT(CHAR(9),7)&amp;D10&amp;" = o." &amp;D10 &amp;","</f>
        <v xml:space="preserve">							Model = o.Model,</v>
      </c>
      <c r="T10" s="64" t="str">
        <f t="shared" ref="T10:T11" si="23">REPT(CHAR(9),8)&amp;"("""&amp;D10&amp;"""),"</f>
        <v xml:space="preserve">								("Model"),</v>
      </c>
      <c r="V10" s="65" t="str">
        <f t="shared" ref="V10:V11" si="24">REPT(CHAR(9),8)&amp;"_ =&gt; _."&amp;D10&amp;","</f>
        <v xml:space="preserve">								_ =&gt; _.Model,</v>
      </c>
      <c r="W10" s="64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.WhereIf(!string.IsNullOrWhiteSpace(input.Model), e =&gt; e.Model.Contains(input.Model))</v>
      </c>
      <c r="X10" t="str">
        <f t="shared" ref="X10:X18" si="26">IF(E10="VARCHAR","Char",(IF(E10="DATE","Date","Number")))</f>
        <v>Char</v>
      </c>
      <c r="Y10" t="str">
        <f t="shared" ref="Y10:Y18" si="27">IF(X10="Char","Left",IF(X10="Date","Center","Right"))</f>
        <v>Left</v>
      </c>
      <c r="Z10" t="str">
        <f t="shared" ref="Z10:Z18" si="28">IF(X10="Char","",IF(X10="Date","DD/MM/YYYY",IF(H10="decimal?","#,###.####","#,###")))</f>
        <v/>
      </c>
    </row>
    <row r="11" spans="1:26" customFormat="1" ht="18.75" customHeight="1" x14ac:dyDescent="0.25">
      <c r="A11" t="s">
        <v>357</v>
      </c>
      <c r="B11" t="s">
        <v>367</v>
      </c>
      <c r="C11" t="s">
        <v>1</v>
      </c>
      <c r="D11" t="str">
        <f t="shared" si="13"/>
        <v>MarketingCode</v>
      </c>
      <c r="E11" t="str">
        <f t="shared" si="14"/>
        <v>varchar</v>
      </c>
      <c r="F11" s="6"/>
      <c r="G11" t="str">
        <f t="shared" si="15"/>
        <v>50</v>
      </c>
      <c r="H11" t="str">
        <f>+VLOOKUP(E11,'Data Type Mapping'!A:B,2,)</f>
        <v>string</v>
      </c>
      <c r="I11" t="str">
        <f t="shared" si="16"/>
        <v xml:space="preserve">		public const int MaxMarketingCodeLength = 50;
</v>
      </c>
      <c r="J11" t="str">
        <f t="shared" si="17"/>
        <v xml:space="preserve">		[StringLength(MaxMarketingCodeLength)]
		public virtual string MarketingCode { get; set; }
</v>
      </c>
      <c r="K11" s="6"/>
      <c r="L11" t="str">
        <f t="shared" si="18"/>
        <v/>
      </c>
      <c r="M11" t="str">
        <f t="shared" si="19"/>
        <v xml:space="preserve">		public virtual string MarketingCode { get; set; }
</v>
      </c>
      <c r="N11" t="str">
        <f t="shared" si="20"/>
        <v xml:space="preserve">		[StringLength(InvTmssDispatchPlanConsts.MaxMarketingCodeLength)]
		public virtual string MarketingCode { get; set; }
</v>
      </c>
      <c r="O11" t="str">
        <f t="shared" si="21"/>
        <v xml:space="preserve">		public virtual string MarketingCode { get; set; }
</v>
      </c>
      <c r="P11" t="str">
        <f t="shared" si="22"/>
        <v xml:space="preserve">							MarketingCode = o.MarketingCode,</v>
      </c>
      <c r="T11" s="64" t="str">
        <f t="shared" si="23"/>
        <v xml:space="preserve">								("MarketingCode"),</v>
      </c>
      <c r="V11" s="65" t="str">
        <f t="shared" si="24"/>
        <v xml:space="preserve">								_ =&gt; _.MarketingCode,</v>
      </c>
      <c r="W11" s="64" t="str">
        <f t="shared" si="25"/>
        <v xml:space="preserve">				.WhereIf(!string.IsNullOrWhiteSpace(input.MarketingCode), e =&gt; e.MarketingCode.Contains(input.MarketingCode))</v>
      </c>
      <c r="X11" t="str">
        <f t="shared" si="26"/>
        <v>Char</v>
      </c>
      <c r="Y11" t="str">
        <f t="shared" si="27"/>
        <v>Left</v>
      </c>
      <c r="Z11" t="str">
        <f t="shared" si="28"/>
        <v/>
      </c>
    </row>
    <row r="12" spans="1:26" customFormat="1" ht="18.75" customHeight="1" x14ac:dyDescent="0.25">
      <c r="A12" t="s">
        <v>358</v>
      </c>
      <c r="B12" t="s">
        <v>367</v>
      </c>
      <c r="C12" t="s">
        <v>1</v>
      </c>
      <c r="D12" t="str">
        <f t="shared" ref="D12:D15" si="29">SUBSTITUTE(PROPER(A12),"_","")</f>
        <v>ProductionCode</v>
      </c>
      <c r="E12" t="str">
        <f t="shared" ref="E12:E15" si="30">IFERROR(LEFT(B12, FIND("(",B12)-1),B12)</f>
        <v>varchar</v>
      </c>
      <c r="F12" s="6"/>
      <c r="G12" t="str">
        <f t="shared" ref="G12:G15" si="31">IFERROR(MID(B12,FIND("(",B12) +1, FIND(")",B12) - FIND("(",B12) - 1),"")</f>
        <v>50</v>
      </c>
      <c r="H12" t="str">
        <f>+VLOOKUP(E12,'Data Type Mapping'!A:B,2,)</f>
        <v>string</v>
      </c>
      <c r="I12" t="str">
        <f t="shared" ref="I12:I15" si="32">IF(H12="string",REPT(CHAR(9),2)&amp;"public const int Max"&amp;D12&amp;"Length = "&amp;G12&amp;";"&amp;$E$3,"" )</f>
        <v xml:space="preserve">		public const int MaxProductionCodeLength = 50;
</v>
      </c>
      <c r="J12" t="str">
        <f t="shared" ref="J12:J15" si="33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[StringLength(MaxProductionCodeLength)]
		public virtual string ProductionCode { get; set; }
</v>
      </c>
      <c r="K12" s="6"/>
      <c r="L12" t="str">
        <f t="shared" ref="L12:L15" si="34">IF(K12="","",REPT(CHAR(9),1)&amp;"[Index(nameof("&amp;IF(D12="","",""&amp;D12)&amp;")"&amp;", Name="&amp;"""IX_"&amp;$B$7&amp;"_"&amp;D12&amp;""")]")</f>
        <v/>
      </c>
      <c r="M12" t="str">
        <f t="shared" ref="M12:M15" si="35">REPT(CHAR(9),2)&amp;"public virtual "&amp;IF(OR(H12="DateTime",H12="TimeSpan"),H12&amp;"?",H12)&amp;IF(C12="?","? "," ")&amp;D12&amp;" { get; set; }" &amp; "
"</f>
        <v xml:space="preserve">		public virtual string ProductionCode { get; set; }
</v>
      </c>
      <c r="N12" t="str">
        <f t="shared" ref="N12:N15" si="36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[StringLength(InvTmssDispatchPlanConsts.MaxProductionCodeLength)]
		public virtual string ProductionCode { get; set; }
</v>
      </c>
      <c r="O12" t="str">
        <f t="shared" ref="O12:O15" si="37">IF(OR(H12="string",H12="DateTime",H12="int"),REPT(CHAR(9),2)&amp;"public virtual "&amp;IF(OR(H12="DateTime",H12="TimeSpan"),H12&amp;"?",H12)&amp;IF(C12="?","? "," ")&amp;D12&amp;" { get; set; }"&amp;$E$3,"")</f>
        <v xml:space="preserve">		public virtual string ProductionCode { get; set; }
</v>
      </c>
      <c r="P12" t="str">
        <f t="shared" ref="P12:P15" si="38">REPT(CHAR(9),7)&amp;D12&amp;" = o." &amp;D12 &amp;","</f>
        <v xml:space="preserve">							ProductionCode = o.ProductionCode,</v>
      </c>
      <c r="T12" s="64" t="str">
        <f t="shared" ref="T12:T15" si="39">REPT(CHAR(9),8)&amp;"("""&amp;D12&amp;"""),"</f>
        <v xml:space="preserve">								("ProductionCode"),</v>
      </c>
      <c r="V12" s="65" t="str">
        <f t="shared" ref="V12:V15" si="40">REPT(CHAR(9),8)&amp;"_ =&gt; _."&amp;D12&amp;","</f>
        <v xml:space="preserve">								_ =&gt; _.ProductionCode,</v>
      </c>
      <c r="W12" s="64" t="str">
        <f t="shared" ref="W12:W15" si="41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.WhereIf(!string.IsNullOrWhiteSpace(input.ProductionCode), e =&gt; e.ProductionCode.Contains(input.ProductionCode))</v>
      </c>
      <c r="X12" t="str">
        <f t="shared" si="26"/>
        <v>Char</v>
      </c>
      <c r="Y12" t="str">
        <f t="shared" si="27"/>
        <v>Left</v>
      </c>
      <c r="Z12" t="str">
        <f t="shared" si="28"/>
        <v/>
      </c>
    </row>
    <row r="13" spans="1:26" customFormat="1" ht="18.75" customHeight="1" x14ac:dyDescent="0.25">
      <c r="A13" t="s">
        <v>359</v>
      </c>
      <c r="B13" t="s">
        <v>367</v>
      </c>
      <c r="C13" t="s">
        <v>1</v>
      </c>
      <c r="D13" t="str">
        <f t="shared" si="29"/>
        <v>Dealer</v>
      </c>
      <c r="E13" t="str">
        <f t="shared" si="30"/>
        <v>varchar</v>
      </c>
      <c r="F13" s="6"/>
      <c r="G13" t="str">
        <f t="shared" si="31"/>
        <v>50</v>
      </c>
      <c r="H13" t="str">
        <f>+VLOOKUP(E13,'Data Type Mapping'!A:B,2,)</f>
        <v>string</v>
      </c>
      <c r="I13" t="str">
        <f t="shared" si="32"/>
        <v xml:space="preserve">		public const int MaxDealerLength = 50;
</v>
      </c>
      <c r="J13" t="str">
        <f t="shared" si="33"/>
        <v xml:space="preserve">		[StringLength(MaxDealerLength)]
		public virtual string Dealer { get; set; }
</v>
      </c>
      <c r="K13" s="6"/>
      <c r="L13" t="str">
        <f t="shared" si="34"/>
        <v/>
      </c>
      <c r="M13" t="str">
        <f t="shared" si="35"/>
        <v xml:space="preserve">		public virtual string Dealer { get; set; }
</v>
      </c>
      <c r="N13" t="str">
        <f t="shared" si="36"/>
        <v xml:space="preserve">		[StringLength(InvTmssDispatchPlanConsts.MaxDealerLength)]
		public virtual string Dealer { get; set; }
</v>
      </c>
      <c r="O13" t="str">
        <f t="shared" si="37"/>
        <v xml:space="preserve">		public virtual string Dealer { get; set; }
</v>
      </c>
      <c r="P13" t="str">
        <f t="shared" si="38"/>
        <v xml:space="preserve">							Dealer = o.Dealer,</v>
      </c>
      <c r="T13" s="64" t="str">
        <f t="shared" si="39"/>
        <v xml:space="preserve">								("Dealer"),</v>
      </c>
      <c r="V13" s="65" t="str">
        <f t="shared" si="40"/>
        <v xml:space="preserve">								_ =&gt; _.Dealer,</v>
      </c>
      <c r="W13" s="64" t="str">
        <f t="shared" si="41"/>
        <v xml:space="preserve">				.WhereIf(!string.IsNullOrWhiteSpace(input.Dealer), e =&gt; e.Dealer.Contains(input.Dealer))</v>
      </c>
      <c r="X13" t="str">
        <f t="shared" si="26"/>
        <v>Char</v>
      </c>
      <c r="Y13" t="str">
        <f t="shared" si="27"/>
        <v>Left</v>
      </c>
      <c r="Z13" t="str">
        <f t="shared" si="28"/>
        <v/>
      </c>
    </row>
    <row r="14" spans="1:26" customFormat="1" ht="18.75" customHeight="1" x14ac:dyDescent="0.25">
      <c r="A14" t="s">
        <v>360</v>
      </c>
      <c r="B14" t="s">
        <v>368</v>
      </c>
      <c r="C14" t="s">
        <v>1</v>
      </c>
      <c r="D14" t="str">
        <f t="shared" si="29"/>
        <v>Vin</v>
      </c>
      <c r="E14" t="str">
        <f t="shared" si="30"/>
        <v>varchar</v>
      </c>
      <c r="F14" s="6"/>
      <c r="G14" t="str">
        <f t="shared" si="31"/>
        <v>100</v>
      </c>
      <c r="H14" t="str">
        <f>+VLOOKUP(E14,'Data Type Mapping'!A:B,2,)</f>
        <v>string</v>
      </c>
      <c r="I14" t="str">
        <f t="shared" si="32"/>
        <v xml:space="preserve">		public const int MaxVinLength = 100;
</v>
      </c>
      <c r="J14" t="str">
        <f t="shared" si="33"/>
        <v xml:space="preserve">		[StringLength(MaxVinLength)]
		public virtual string Vin { get; set; }
</v>
      </c>
      <c r="K14" s="6"/>
      <c r="L14" t="str">
        <f t="shared" si="34"/>
        <v/>
      </c>
      <c r="M14" t="str">
        <f t="shared" si="35"/>
        <v xml:space="preserve">		public virtual string Vin { get; set; }
</v>
      </c>
      <c r="N14" t="str">
        <f t="shared" si="36"/>
        <v xml:space="preserve">		[StringLength(InvTmssDispatchPlanConsts.MaxVinLength)]
		public virtual string Vin { get; set; }
</v>
      </c>
      <c r="O14" t="str">
        <f t="shared" si="37"/>
        <v xml:space="preserve">		public virtual string Vin { get; set; }
</v>
      </c>
      <c r="P14" t="str">
        <f t="shared" si="38"/>
        <v xml:space="preserve">							Vin = o.Vin,</v>
      </c>
      <c r="T14" s="64" t="str">
        <f t="shared" si="39"/>
        <v xml:space="preserve">								("Vin"),</v>
      </c>
      <c r="V14" s="65" t="str">
        <f t="shared" si="40"/>
        <v xml:space="preserve">								_ =&gt; _.Vin,</v>
      </c>
      <c r="W14" s="64" t="str">
        <f t="shared" si="41"/>
        <v xml:space="preserve">				.WhereIf(!string.IsNullOrWhiteSpace(input.Vin), e =&gt; e.Vin.Contains(input.Vin))</v>
      </c>
      <c r="X14" t="str">
        <f t="shared" si="26"/>
        <v>Char</v>
      </c>
      <c r="Y14" t="str">
        <f t="shared" si="27"/>
        <v>Left</v>
      </c>
      <c r="Z14" t="str">
        <f t="shared" si="28"/>
        <v/>
      </c>
    </row>
    <row r="15" spans="1:26" customFormat="1" ht="18.75" customHeight="1" x14ac:dyDescent="0.25">
      <c r="A15" t="s">
        <v>361</v>
      </c>
      <c r="B15" t="s">
        <v>367</v>
      </c>
      <c r="C15" t="s">
        <v>1</v>
      </c>
      <c r="D15" t="str">
        <f t="shared" si="29"/>
        <v>ExtColor</v>
      </c>
      <c r="E15" t="str">
        <f t="shared" si="30"/>
        <v>varchar</v>
      </c>
      <c r="F15" s="6"/>
      <c r="G15" t="str">
        <f t="shared" si="31"/>
        <v>50</v>
      </c>
      <c r="H15" t="str">
        <f>+VLOOKUP(E15,'Data Type Mapping'!A:B,2,)</f>
        <v>string</v>
      </c>
      <c r="I15" t="str">
        <f t="shared" si="32"/>
        <v xml:space="preserve">		public const int MaxExtColorLength = 50;
</v>
      </c>
      <c r="J15" t="str">
        <f t="shared" si="33"/>
        <v xml:space="preserve">		[StringLength(MaxExtColorLength)]
		public virtual string ExtColor { get; set; }
</v>
      </c>
      <c r="K15" s="6"/>
      <c r="L15" t="str">
        <f t="shared" si="34"/>
        <v/>
      </c>
      <c r="M15" t="str">
        <f t="shared" si="35"/>
        <v xml:space="preserve">		public virtual string ExtColor { get; set; }
</v>
      </c>
      <c r="N15" t="str">
        <f t="shared" si="36"/>
        <v xml:space="preserve">		[StringLength(InvTmssDispatchPlanConsts.MaxExtColorLength)]
		public virtual string ExtColor { get; set; }
</v>
      </c>
      <c r="O15" t="str">
        <f t="shared" si="37"/>
        <v xml:space="preserve">		public virtual string ExtColor { get; set; }
</v>
      </c>
      <c r="P15" t="str">
        <f t="shared" si="38"/>
        <v xml:space="preserve">							ExtColor = o.ExtColor,</v>
      </c>
      <c r="T15" s="64" t="str">
        <f t="shared" si="39"/>
        <v xml:space="preserve">								("ExtColor"),</v>
      </c>
      <c r="V15" s="65" t="str">
        <f t="shared" si="40"/>
        <v xml:space="preserve">								_ =&gt; _.ExtColor,</v>
      </c>
      <c r="W15" s="64" t="str">
        <f t="shared" si="41"/>
        <v xml:space="preserve">				.WhereIf(!string.IsNullOrWhiteSpace(input.ExtColor), e =&gt; e.ExtColor.Contains(input.ExtColor))</v>
      </c>
      <c r="X15" t="str">
        <f t="shared" si="26"/>
        <v>Char</v>
      </c>
      <c r="Y15" t="str">
        <f t="shared" si="27"/>
        <v>Left</v>
      </c>
      <c r="Z15" t="str">
        <f t="shared" si="28"/>
        <v/>
      </c>
    </row>
    <row r="16" spans="1:26" customFormat="1" ht="18.75" customHeight="1" x14ac:dyDescent="0.25">
      <c r="A16" t="s">
        <v>362</v>
      </c>
      <c r="B16" t="s">
        <v>367</v>
      </c>
      <c r="C16" t="s">
        <v>1</v>
      </c>
      <c r="D16" t="str">
        <f t="shared" ref="D16:D18" si="42">SUBSTITUTE(PROPER(A16),"_","")</f>
        <v>IntColor</v>
      </c>
      <c r="E16" t="str">
        <f t="shared" ref="E16:E17" si="43">IFERROR(LEFT(B16, FIND("(",B16)-1),B16)</f>
        <v>varchar</v>
      </c>
      <c r="F16" s="6"/>
      <c r="G16" t="str">
        <f t="shared" ref="G16:G17" si="44">IFERROR(MID(B16,FIND("(",B16) +1, FIND(")",B16) - FIND("(",B16) - 1),"")</f>
        <v>50</v>
      </c>
      <c r="H16" t="str">
        <f>+VLOOKUP(E16,'Data Type Mapping'!A:B,2,)</f>
        <v>string</v>
      </c>
      <c r="I16" t="str">
        <f t="shared" ref="I16:I18" si="45">IF(H16="string",REPT(CHAR(9),2)&amp;"public const int Max"&amp;D16&amp;"Length = "&amp;G16&amp;";"&amp;$E$3,"" )</f>
        <v xml:space="preserve">		public const int MaxIntColorLength = 50;
</v>
      </c>
      <c r="J16" t="str">
        <f t="shared" ref="J16:J18" si="46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[StringLength(MaxIntColorLength)]
		public virtual string IntColor { get; set; }
</v>
      </c>
      <c r="K16" s="6"/>
      <c r="L16" t="str">
        <f t="shared" ref="L16:L18" si="47">IF(K16="","",REPT(CHAR(9),1)&amp;"[Index(nameof("&amp;IF(D16="","",""&amp;D16)&amp;")"&amp;", Name="&amp;"""IX_"&amp;$B$7&amp;"_"&amp;D16&amp;""")]")</f>
        <v/>
      </c>
      <c r="M16" t="str">
        <f t="shared" ref="M16:M18" si="48">REPT(CHAR(9),2)&amp;"public virtual "&amp;IF(OR(H16="DateTime",H16="TimeSpan"),H16&amp;"?",H16)&amp;IF(C16="?","? "," ")&amp;D16&amp;" { get; set; }" &amp; "
"</f>
        <v xml:space="preserve">		public virtual string IntColor { get; set; }
</v>
      </c>
      <c r="N16" t="str">
        <f t="shared" ref="N16:N18" si="49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[StringLength(InvTmssDispatchPlanConsts.MaxIntColorLength)]
		public virtual string IntColor { get; set; }
</v>
      </c>
      <c r="O16" t="str">
        <f t="shared" ref="O16:O18" si="50">IF(OR(H16="string",H16="DateTime",H16="int"),REPT(CHAR(9),2)&amp;"public virtual "&amp;IF(OR(H16="DateTime",H16="TimeSpan"),H16&amp;"?",H16)&amp;IF(C16="?","? "," ")&amp;D16&amp;" { get; set; }"&amp;$E$3,"")</f>
        <v xml:space="preserve">		public virtual string IntColor { get; set; }
</v>
      </c>
      <c r="P16" t="str">
        <f t="shared" ref="P16:P18" si="51">REPT(CHAR(9),7)&amp;D16&amp;" = o." &amp;D16 &amp;","</f>
        <v xml:space="preserve">							IntColor = o.IntColor,</v>
      </c>
      <c r="T16" s="64" t="str">
        <f t="shared" ref="T16:T18" si="52">REPT(CHAR(9),8)&amp;"("""&amp;D16&amp;"""),"</f>
        <v xml:space="preserve">								("IntColor"),</v>
      </c>
      <c r="V16" s="65" t="str">
        <f t="shared" ref="V16:V18" si="53">REPT(CHAR(9),8)&amp;"_ =&gt; _."&amp;D16&amp;","</f>
        <v xml:space="preserve">								_ =&gt; _.IntColor,</v>
      </c>
      <c r="W16" s="64" t="str">
        <f t="shared" ref="W16:W18" si="54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.WhereIf(!string.IsNullOrWhiteSpace(input.IntColor), e =&gt; e.IntColor.Contains(input.IntColor))</v>
      </c>
      <c r="X16" t="str">
        <f t="shared" si="26"/>
        <v>Char</v>
      </c>
      <c r="Y16" t="str">
        <f t="shared" si="27"/>
        <v>Left</v>
      </c>
      <c r="Z16" t="str">
        <f t="shared" si="28"/>
        <v/>
      </c>
    </row>
    <row r="17" spans="1:26" customFormat="1" ht="18.75" customHeight="1" x14ac:dyDescent="0.25">
      <c r="A17" t="s">
        <v>363</v>
      </c>
      <c r="B17" t="s">
        <v>365</v>
      </c>
      <c r="C17" t="s">
        <v>1</v>
      </c>
      <c r="D17" t="str">
        <f t="shared" si="42"/>
        <v>DlrDispatchPlan</v>
      </c>
      <c r="E17" t="str">
        <f t="shared" si="43"/>
        <v>DateTime</v>
      </c>
      <c r="F17" s="6" t="s">
        <v>366</v>
      </c>
      <c r="G17" t="str">
        <f t="shared" si="44"/>
        <v/>
      </c>
      <c r="H17" t="str">
        <f>+VLOOKUP(E17,'Data Type Mapping'!A:B,2,)</f>
        <v>DateTime?</v>
      </c>
      <c r="I17" t="str">
        <f t="shared" si="45"/>
        <v/>
      </c>
      <c r="J17" t="str">
        <f t="shared" si="46"/>
        <v xml:space="preserve">		[Column(TypeName="Date")]
		public virtual DateTime? DlrDispatchPlan { get; set; }
</v>
      </c>
      <c r="K17" s="6"/>
      <c r="L17" t="str">
        <f t="shared" si="47"/>
        <v/>
      </c>
      <c r="M17" t="str">
        <f t="shared" si="48"/>
        <v xml:space="preserve">		public virtual DateTime? DlrDispatchPlan { get; set; }
</v>
      </c>
      <c r="N17" t="str">
        <f t="shared" si="49"/>
        <v xml:space="preserve">		public virtual DateTime? DlrDispatchPlan { get; set; }
</v>
      </c>
      <c r="O17" t="str">
        <f t="shared" si="50"/>
        <v/>
      </c>
      <c r="P17" t="str">
        <f t="shared" si="51"/>
        <v xml:space="preserve">							DlrDispatchPlan = o.DlrDispatchPlan,</v>
      </c>
      <c r="T17" s="64" t="str">
        <f t="shared" si="52"/>
        <v xml:space="preserve">								("DlrDispatchPlan"),</v>
      </c>
      <c r="V17" s="65" t="str">
        <f t="shared" si="53"/>
        <v xml:space="preserve">								_ =&gt; _.DlrDispatchPlan,</v>
      </c>
      <c r="W17" s="64" t="str">
        <f t="shared" si="54"/>
        <v/>
      </c>
      <c r="X17" t="str">
        <f t="shared" si="26"/>
        <v>Number</v>
      </c>
      <c r="Y17" t="str">
        <f t="shared" si="27"/>
        <v>Right</v>
      </c>
      <c r="Z17" t="str">
        <f t="shared" si="28"/>
        <v>#,###</v>
      </c>
    </row>
    <row r="18" spans="1:26" customFormat="1" ht="18.75" customHeight="1" x14ac:dyDescent="0.25">
      <c r="A18" t="s">
        <v>364</v>
      </c>
      <c r="B18" t="s">
        <v>365</v>
      </c>
      <c r="C18" t="s">
        <v>1</v>
      </c>
      <c r="D18" t="str">
        <f t="shared" si="42"/>
        <v>DlrDispatchDate</v>
      </c>
      <c r="E18" t="str">
        <f>IFERROR(LEFT(B18, FIND("(",B18)-1),B18)</f>
        <v>DateTime</v>
      </c>
      <c r="F18" s="6" t="s">
        <v>366</v>
      </c>
      <c r="G18" t="str">
        <f>IFERROR(MID(B18,FIND("(",B18) +1, FIND(")",B18) - FIND("(",B18) - 1),"")</f>
        <v/>
      </c>
      <c r="H18" t="str">
        <f>+VLOOKUP(E18,'Data Type Mapping'!A:B,2,)</f>
        <v>DateTime?</v>
      </c>
      <c r="I18" t="str">
        <f t="shared" si="45"/>
        <v/>
      </c>
      <c r="J18" t="str">
        <f t="shared" si="46"/>
        <v xml:space="preserve">		[Column(TypeName="Date")]
		public virtual DateTime? DlrDispatchDate { get; set; }
</v>
      </c>
      <c r="K18" s="6"/>
      <c r="L18" t="str">
        <f t="shared" si="47"/>
        <v/>
      </c>
      <c r="M18" t="str">
        <f t="shared" si="48"/>
        <v xml:space="preserve">		public virtual DateTime? DlrDispatchDate { get; set; }
</v>
      </c>
      <c r="N18" t="str">
        <f t="shared" si="49"/>
        <v xml:space="preserve">		public virtual DateTime? DlrDispatchDate { get; set; }
</v>
      </c>
      <c r="O18" t="str">
        <f t="shared" si="50"/>
        <v/>
      </c>
      <c r="P18" t="str">
        <f t="shared" si="51"/>
        <v xml:space="preserve">							DlrDispatchDate = o.DlrDispatchDate,</v>
      </c>
      <c r="T18" s="64" t="str">
        <f t="shared" si="52"/>
        <v xml:space="preserve">								("DlrDispatchDate"),</v>
      </c>
      <c r="V18" s="65" t="str">
        <f t="shared" si="53"/>
        <v xml:space="preserve">								_ =&gt; _.DlrDispatchDate,</v>
      </c>
      <c r="W18" s="64" t="str">
        <f t="shared" si="54"/>
        <v/>
      </c>
      <c r="X18" t="str">
        <f t="shared" si="26"/>
        <v>Number</v>
      </c>
      <c r="Y18" t="str">
        <f t="shared" si="27"/>
        <v>Right</v>
      </c>
      <c r="Z18" t="str">
        <f t="shared" si="28"/>
        <v>#,###</v>
      </c>
    </row>
    <row r="20" spans="1:26" ht="45.75" customHeight="1" x14ac:dyDescent="0.25">
      <c r="H20" s="11"/>
      <c r="I20" s="31" t="str">
        <f ca="1">TEXTJOIN2("
", TRUE,INDIRECT( $H$1):INDIRECT( $H$3))</f>
        <v xml:space="preserve">		public const int MaxVehicleTypeLength = 10;
		public const int MaxModelLength = 50;
		public const int MaxMarketingCodeLength = 50;
		public const int MaxProductionCodeLength = 50;
		public const int MaxDealerLength = 50;
		public const int MaxVinLength = 100;
		public const int MaxExtColorLength = 50;
		public const int MaxIntColorLength = 50;
</v>
      </c>
      <c r="J20" s="30" t="str">
        <f ca="1">TEXTJOIN2("
", TRUE,INDIRECT( $F$1):INDIRECT( $F$3))</f>
        <v xml:space="preserve">		[StringLength(MaxVehicleTypeLength)]
		public virtual string VehicleType { get; set; }
		[StringLength(MaxModelLength)]
		public virtual string Model { get; set; }
		[StringLength(MaxMarketingCodeLength)]
		public virtual string MarketingCode { get; set; }
		[StringLength(MaxProductionCodeLength)]
		public virtual string ProductionCode { get; set; }
		[StringLength(MaxDealerLength)]
		public virtual string Dealer { get; set; }
		[StringLength(MaxVinLength)]
		public virtual string Vin { get; set; }
		[StringLength(MaxExtColorLength)]
		public virtual string ExtColor { get; set; }
		[StringLength(MaxIntColorLength)]
		public virtual string IntColor { get; set; }
		[Column(TypeName="Date")]
		public virtual DateTime? DlrDispatchPlan { get; set; }
		[Column(TypeName="Date")]
		public virtual DateTime? DlrDispatchDate { get; set; }
</v>
      </c>
      <c r="K20" s="32" t="str">
        <f ca="1">TEXTJOIN2("
", TRUE,INDIRECT( $J$1):INDIRECT( $J$3))</f>
        <v/>
      </c>
      <c r="L20" s="12" t="s">
        <v>57</v>
      </c>
      <c r="M20" s="33" t="str">
        <f ca="1">TEXTJOIN2("
",TRUE,INDIRECT( $L$1):INDIRECT($L$3))</f>
        <v xml:space="preserve">		public virtual string VehicleType { get; set; }
		public virtual string Model { get; set; }
		public virtual string MarketingCode { get; set; }
		public virtual string ProductionCode { get; set; }
		public virtual string Dealer { get; set; }
		public virtual string Vin { get; set; }
		public virtual string ExtColor { get; set; }
		public virtual string IntColor { get; set; }
		public virtual DateTime? DlrDispatchPlan { get; set; }
		public virtual DateTime? DlrDispatchDate { get; set; }
</v>
      </c>
      <c r="N20" s="30" t="str">
        <f ca="1">TEXTJOIN2("
",TRUE,INDIRECT( $M$1):INDIRECT($M$3))</f>
        <v xml:space="preserve">		[StringLength(InvTmssDispatchPlanConsts.MaxVehicleTypeLength)]
		public virtual string VehicleType { get; set; }
		[StringLength(InvTmssDispatchPlanConsts.MaxModelLength)]
		public virtual string Model { get; set; }
		[StringLength(InvTmssDispatchPlanConsts.MaxMarketingCodeLength)]
		public virtual string MarketingCode { get; set; }
		[StringLength(InvTmssDispatchPlanConsts.MaxProductionCodeLength)]
		public virtual string ProductionCode { get; set; }
		[StringLength(InvTmssDispatchPlanConsts.MaxDealerLength)]
		public virtual string Dealer { get; set; }
		[StringLength(InvTmssDispatchPlanConsts.MaxVinLength)]
		public virtual string Vin { get; set; }
		[StringLength(InvTmssDispatchPlanConsts.MaxExtColorLength)]
		public virtual string ExtColor { get; set; }
		[StringLength(InvTmssDispatchPlanConsts.MaxIntColorLength)]
		public virtual string IntColor { get; set; }
		public virtual DateTime? DlrDispatchPlan { get; set; }
		public virtual DateTime? DlrDispatchDate { get; set; }
</v>
      </c>
      <c r="O20" s="30" t="str">
        <f ca="1">TEXTJOIN2("
",TRUE,INDIRECT( $N$1):INDIRECT($N$3))</f>
        <v xml:space="preserve">		public virtual string VehicleType { get; set; }
		public virtual string Model { get; set; }
		public virtual string MarketingCode { get; set; }
		public virtual string ProductionCode { get; set; }
		public virtual string Dealer { get; set; }
		public virtual string Vin { get; set; }
		public virtual string ExtColor { get; set; }
		public virtual string IntColor { get; set; }
</v>
      </c>
      <c r="P20" s="8" t="str">
        <f ca="1">TEXTJOIN2("
",TRUE,INDIRECT( $O$1):INDIRECT($O$3))</f>
        <v xml:space="preserve">							VehicleType = o.VehicleType,
							Model = o.Model,
							MarketingCode = o.MarketingCode,
							ProductionCode = o.ProductionCode,
							Dealer = o.Dealer,
							Vin = o.Vin,
							ExtColor = o.ExtColor,
							IntColor = o.IntColor,
							DlrDispatchPlan = o.DlrDispatchPlan,
							DlrDispatchDate = o.DlrDispatchDate,</v>
      </c>
      <c r="T20" s="8" t="str">
        <f ca="1">TEXTJOIN2("
",TRUE,INDIRECT( $T$2):INDIRECT($T$3))</f>
        <v xml:space="preserve">								("VehicleType"),
								("Model"),
								("MarketingCode"),
								("ProductionCode"),
								("Dealer"),
								("Vin"),
								("ExtColor"),
								("IntColor"),
								("DlrDispatchPlan"),
								("DlrDispatchDate"),</v>
      </c>
      <c r="V20" s="8" t="str">
        <f ca="1">TEXTJOIN2("
",TRUE,INDIRECT( $V$2):INDIRECT($V$3))</f>
        <v xml:space="preserve">								_ =&gt; _.VehicleType,
								_ =&gt; _.Model,
								_ =&gt; _.MarketingCode,
								_ =&gt; _.ProductionCode,
								_ =&gt; _.Dealer,
								_ =&gt; _.Vin,
								_ =&gt; _.ExtColor,
								_ =&gt; _.IntColor,
								_ =&gt; _.DlrDispatchPlan,
								_ =&gt; _.DlrDispatchDate,</v>
      </c>
      <c r="W20" s="8" t="str">
        <f ca="1">TEXTJOIN2("
",TRUE,INDIRECT( $W$2):INDIRECT($W$3))</f>
        <v xml:space="preserve">				.WhereIf(!string.IsNullOrWhiteSpace(input.VehicleType), e =&gt; e.VehicleType.Contains(input.VehicleType))
				.WhereIf(!string.IsNullOrWhiteSpace(input.Model), e =&gt; e.Model.Contains(input.Model))
				.WhereIf(!string.IsNullOrWhiteSpace(input.MarketingCode), e =&gt; e.MarketingCode.Contains(input.MarketingCode))
				.WhereIf(!string.IsNullOrWhiteSpace(input.ProductionCode), e =&gt; e.ProductionCode.Contains(input.ProductionCode))
				.WhereIf(!string.IsNullOrWhiteSpace(input.Dealer), e =&gt; e.Dealer.Contains(input.Dealer))
				.WhereIf(!string.IsNullOrWhiteSpace(input.Vin), e =&gt; e.Vin.Contains(input.Vin))
				.WhereIf(!string.IsNullOrWhiteSpace(input.ExtColor), e =&gt; e.ExtColor.Contains(input.ExtColor))
				.WhereIf(!string.IsNullOrWhiteSpace(input.IntColor), e =&gt; e.IntColor.Contains(input.IntColor))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6"/>
  <sheetViews>
    <sheetView topLeftCell="A11" workbookViewId="0">
      <selection activeCell="C8" sqref="C7:C8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208</v>
      </c>
      <c r="B1" s="39" t="s">
        <v>372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Tmss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tmss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InvTmssDispatchPlan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TmssDispatchPlan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tmssdispatchplan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InvTmssDispatchPlanDto, InvTmssDispatchPlanServiceProxy } from '@shared/service-proxies/service-proxies';
import { finalize } from 'rxjs/internal/operators/finalize';
import { CreateOrEditTmssDispatchPlanModalComponent } from './create-or-edit-tmssdispatchplan-modal.component';
import { DatePipe } from '@angular/common';
import { FileDownloadService } from '@shared/utils/file-download.service';
import ceil from 'lodash-es/ceil';
import { Paginator } from 'primeng/paginator';
@Component({
    templateUrl: './tmssdispatchplan.component.html',
    styleUrls: ['./tmssdispatchplan.component.less'],
})
export class TmssDispatchPlanComponent extends AppComponentBase implements OnInit {
    @ViewChild('createOrEditModalTmssDispatchPlan', { static: true }) createOrEditModalTmssDispatchPlan:| CreateOrEditTmssDispatchPlanModalComponent|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InvTmssDispatchPlanDto = new InvTmssDispatchPlanDto();
    saveSelectedRow: InvTmssDispatchPlanDto = new InvTmssDispatchPlanDto();
    datas: InvTmssDispatchPlanDto = new InvTmssDispatchPlanDto();
    isLoading: boolean = false;
    dataParams: GridParams | undefined;
    rowData: any[] = [];
    gridApi!: GridApi;
    rowSelection = 'multiple';
    filter: string = '';
	pipe = new DatePipe('en-US');
	frameworkComponents: FrameworkComponent;
    	vehicleType : string = '' ; 
	model : string = '' ; 
marketingCode : string = '' ; 
	productionCode : string = '' ; 
	dealer : string = '' ; 
	vin : string = '' ; 
	extColor : string = '' ; 
intColor : string = '' ; 
	dlrDispatchPlan
	dlrDispatchDate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InvTmssDispatchPlanServiceProxy,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this.l('Vehicle Type'),headerTooltip: this.l('Vehicle Type'),field: 'vehicleType',flex: 1},
			{headerName: this.l('Model'),headerTooltip: this.l('Model'),field: 'model',flex: 1},
			{headerName: this.l('Marketing Code'),headerTooltip: this.l('Marketing Code'),field: 'marketingCode',flex: 1},
			{headerName: this.l('Production Code'),headerTooltip: this.l('Production Code'),field: 'productionCode',flex: 1},
			{headerName: this.l('Dealer'),headerTooltip: this.l('Dealer'),field: 'dealer',flex: 1},
			{headerName: this.l('Vin'),headerTooltip: this.l('Vin'),field: 'vin',flex: 1},
			{headerName: this.l('Ext Color'),headerTooltip: this.l('Ext Color'),field: 'extColor',flex: 1},
			{headerName: this.l('Int Color'),headerTooltip: this.l('Int Color'),field: 'intColor',flex: 1},
			{headerName: this.l('Dlr Dispatch Plan'),headerTooltip: this.l('Dlr Dispatch Plan'),field: 'dlrDispatchPlan',flex: 1},
			{headerName: this.l('Dlr Dispatch Date'),headerTooltip: this.l('Dlr Dispatch Date'),field: 'dlrDispatchDate',flex: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this.vehicleType,
			this.model,
			this.marketingCode,
			this.productionCode,
			this.dealer,
			this.vin,
			this.extColor,
			this.intColor,
			this.dlrDispatchPlan,
			this.dlrDispatchDate,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this.vehicleType = '',
		this.model = '',
this.marketingCode = '',
		this.productionCode = '',
		this.dealer = '',
		this.vin = '',
		this.extColor = '',
this.intColor = '',
		this.dlrDispatchPlan = '',
		this.dlrDispatchDate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this.vehicleType,
			this.model,
			this.marketingCode,
			this.productionCode,
			this.dealer,
			this.vin,
			this.extColor,
			this.intColor,
			this.dlrDispatchPlan,
			this.dlrDispatchDate,
			'',
            this.paginationParams.skipCount,
            this.paginationParams.pageSize
        );
    }
    onChangeRowSelection(params: { api: { getSelectedRows: () =&gt; InvTmssDispatchPlanDto[] } }) {
        this.saveSelectedRow = params.api.getSelectedRows()[0] ?? new InvTmssDispatchPlanDto();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InvTmssDispatchPlanDto):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this._service.getTmssDispatchPlanToExcel(
			this.vehicleType,
			this.model,
			this.marketingCode,
			this.productionCode,
			this.dealer,
			this.vin,
			this.extColor,
			this.intColor,
			this.dlrDispatchPlan,
			this.dlrDispatchDate,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Tmss Dispatch Plan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[(ngModel)]='vehicleType' name='vehicleType'
									class='form-control' [placeholder]="l('Vehicle Type')"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[(ngModel)]='marketingCode' name='marketingCode'
									class='form-control' [placeholder]="l('Marketing Code')"
									type='text' (keyup.enter)='searchDatas()'&gt;
								&lt;/div&gt;
								&lt;div class='input-search'&gt;
									&lt;input [(ngModel)]='productionCode' name='productionCode'
									class='form-control' [placeholder]="l('Production Code')"
									type='text' (keyup.enter)='searchDatas()'&gt;
								&lt;/div&gt;
								&lt;div class='input-search'&gt;
									&lt;input [(ngModel)]='dealer' name='dealer'
									class='form-control' [placeholder]="l('Dealer')"
									type='text' (keyup.enter)='searchDatas()'&gt;
								&lt;/div&gt;
								&lt;div class='input-search'&gt;
									&lt;input [(ngModel)]='vin' name='vin'
									class='form-control' [placeholder]="l('Vin')"
									type='text' (keyup.enter)='searchDatas()'&gt;
								&lt;/div&gt;
								&lt;div class='input-search'&gt;
									&lt;input [(ngModel)]='extColor' name='extColor'
									class='form-control' [placeholder]="l('Ext Color')"
									type='text' (keyup.enter)='searchDatas()'&gt;
								&lt;/div&gt;
								&lt;div class='input-search'&gt;
									&lt;input [(ngModel)]='intColor' name='intColor'
									class='form-control' [placeholder]="l('Int Color')"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(click)="createOrEditModalTmssDispatchPlan.show()"&gt;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(click)="createOrEditModalTmssDispatchPlan.show(selectedRow)"&gt;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&lt;create-or-edit-tmssdispatchplan-modal
    #createOrEditModalTmssDispatchPlan
    (modalSave)="callBackDataGrid(dataParams)"
    (modalClose)="onChangeRowSelection(dataParams)"
&gt;
&lt;/create-or-edit-tmssdispatchplan-modal&gt;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#createOrEditModalTmssDispatchPlan="bs-modal"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TmssDispatchPlan')}}&lt;/h3&gt;
                    &lt;h3 *ngIf="!rowdata.id"&gt;{{('Create New TmssDispatchPlan')}}&lt;/h3&gt;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title'&gt;Vehicle Type&lt;/label&gt;
						&lt;input type='text' class='col-md-10 form-control input-text' name='VehicleType' [(ngModel)]='rowdata.vehicleType'&gt;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title'&gt;Marketing Code&lt;/label&gt;
						&lt;input type='text' class='col-md-10 form-control input-text' name='MarketingCode' [(ngModel)]='rowdata.marketingCode'&gt;
					&lt;/div&gt;
					&lt;div class='col-md-12 form-group row'&gt;
						&lt;label class='col-md-2 form-control title'&gt;Production Code&lt;/label&gt;
						&lt;input type='text' class='col-md-10 form-control input-text' name='ProductionCode' [(ngModel)]='rowdata.productionCode'&gt;
					&lt;/div&gt;
					&lt;div class='col-md-12 form-group row'&gt;
						&lt;label class='col-md-2 form-control title'&gt;Dealer&lt;/label&gt;
						&lt;input type='text' class='col-md-10 form-control input-text' name='Dealer' [(ngModel)]='rowdata.dealer'&gt;
					&lt;/div&gt;
					&lt;div class='col-md-12 form-group row'&gt;
						&lt;label class='col-md-2 form-control title'&gt;Vin&lt;/label&gt;
						&lt;input type='text' class='col-md-10 form-control input-text' name='Vin' [(ngModel)]='rowdata.vin'&gt;
					&lt;/div&gt;
					&lt;div class='col-md-12 form-group row'&gt;
						&lt;label class='col-md-2 form-control title'&gt;Ext Color&lt;/label&gt;
						&lt;input type='text' class='col-md-10 form-control input-text' name='ExtColor' [(ngModel)]='rowdata.extColor'&gt;
					&lt;/div&gt;
					&lt;div class='col-md-12 form-group row'&gt;
						&lt;label class='col-md-2 form-control title'&gt;Int Color&lt;/label&gt;
						&lt;input type='text' class='col-md-10 form-control input-text' name='IntColor' [(ngModel)]='rowdata.intColor'&gt;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CreateOrEditInvTmssDispatchPlanDto, InvTmssDispatchPlanServiceProxy } from '@shared/service-proxies/service-proxies';
import { BsDatepickerDirective } from 'ngx-bootstrap/datepicker';
@Component({
    selector: 'create-or-edit-tmssdispatchplan-modal',
    templateUrl: './create-or-edit-tmssdispatchplan-modal.component.html',
    styleUrls: ['./create-or-edit-tmssdispatchplan-modal.component.less']
    })
export class CreateOrEditTmssDispatchPlanModalComponent extends AppComponentBase {
    @ViewChild('createOrEditModalTmssDispatchPlan',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CreateOrEditInvTmssDispatchPlanDto = new CreateOrEditInvTmssDispatchPlanDto();
    active: boolean = false;
    saving: boolean = false;
    _: boolean;
    constructor(
        injector: Injector,
        private _mstwptTmssDispatchPlanService: InvTmssDispatchPlanServiceProxy,
    ) 
    {
        super(injector);
    }
    show(rowdata?: CreateOrEditInvTmssDispatchPlanDto): void {
        if (!rowdata) this.rowdata = new CreateOrEditInvTmssDispatchPlanDto();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this._mstwptTmssDispatchPlanService.createOrEdit(this.rowdata)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TmssDispatchPlanRoutingModule } from './tmssdispatchplan-routing.module';
import { TmssDispatchPlanComponent } from './tmssdispatchplan.component';
import { CreateOrEditTmssDispatchPlanModalComponent } from './create-or-edit-tmssdispatchplan-modal.component';
@NgModule({
    declarations: [
       TmssDispatchPlanComponent, 
        CreateOrEditTmssDispatchPlanModalComponent
    ],
    imports: [
        AppSharedModule, TmssDispatchPlanRoutingModule]
})
export class TmssDispatchPlanModule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TmssDispatchPlanComponent } from './tmssdispatchplan.component';
const routes: Routes = [{
    path: '',
    component: TmssDispatchPlanComponent,
    pathMatch: 'full'
}];
@NgModule({
    imports: [RouterModule.forChild(routes)],
    exports: [RouterModule],
})
export class TmssDispatchPlanRoutingModule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AppMenuItem("TmssDispatchPlan", "Pages.Inventory.Tmss.TmssDispatchPlan", "flaticon-book",   "/app/main/inventory/tmss/tmssdispatchplan"),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'inventory/tmss/tmssdispatchplan',
    loadChildren: () =&gt; import('./inventory/tmss/tmssdispatchplan/tmssdispatchplan.module').then(m =&gt; m.TmssDispatchPlanModule),
    data: { permission: 'Pages.Inventory.Tmss.TmssDispatchPlan' }
},</v>
      </c>
      <c r="R10" s="47" t="str">
        <f>SUBSTITUTE(R9,"MstWptCalendar",$B$6)</f>
        <v>ApiServiceProxies.InvTmssDispatchPlanServiceProxy,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H24</v>
      </c>
      <c r="I12" s="28" t="str">
        <f>"I"&amp;COUNTA($A:$A)</f>
        <v>I24</v>
      </c>
      <c r="J12" s="28"/>
      <c r="K12" s="28" t="str">
        <f>"K"&amp;COUNTA($A:$A)</f>
        <v>K24</v>
      </c>
      <c r="L12" s="28" t="str">
        <f>"L"&amp;COUNTA($A:$A)</f>
        <v>L24</v>
      </c>
      <c r="M12" s="28"/>
      <c r="N12" s="28"/>
      <c r="O12" s="28"/>
      <c r="P12" s="28"/>
      <c r="Q12" s="28"/>
      <c r="R12" s="28"/>
      <c r="S12" s="28" t="str">
        <f>"S"&amp;COUNTA($A:$A)</f>
        <v>S24</v>
      </c>
      <c r="T12" s="28" t="str">
        <f>"T"&amp;COUNTA($A:$A)</f>
        <v>T24</v>
      </c>
      <c r="U12" s="28" t="str">
        <f>"U"&amp;COUNTA($A:$A)</f>
        <v>U24</v>
      </c>
      <c r="V12" s="28" t="str">
        <f>"V"&amp;COUNTA($A:$A)</f>
        <v>V24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this.l('Vehicle Type'),headerTooltip: this.l('Vehicle Type'),field: 'vehicleType',flex: 1},
			{headerName: this.l('Model'),headerTooltip: this.l('Model'),field: 'model',flex: 1},
			{headerName: this.l('Marketing Code'),headerTooltip: this.l('Marketing Code'),field: 'marketingCode',flex: 1},
			{headerName: this.l('Production Code'),headerTooltip: this.l('Production Code'),field: 'productionCode',flex: 1},
			{headerName: this.l('Dealer'),headerTooltip: this.l('Dealer'),field: 'dealer',flex: 1},
			{headerName: this.l('Vin'),headerTooltip: this.l('Vin'),field: 'vin',flex: 1},
			{headerName: this.l('Ext Color'),headerTooltip: this.l('Ext Color'),field: 'extColor',flex: 1},
			{headerName: this.l('Int Color'),headerTooltip: this.l('Int Color'),field: 'intColor',flex: 1},
			{headerName: this.l('Dlr Dispatch Plan'),headerTooltip: this.l('Dlr Dispatch Plan'),field: 'dlrDispatchPlan',flex: 1},
			{headerName: this.l('Dlr Dispatch Date'),headerTooltip: this.l('Dlr Dispatch Date'),field: 'dlrDispatchDate',flex: 1},</v>
      </c>
      <c r="I13" s="35" t="str">
        <f ca="1">TEXTJOIN2("
",TRUE,INDIRECT(I11):INDIRECT(I12))</f>
        <v xml:space="preserve">								&lt;div class='input-search'&gt;
									&lt;input [(ngModel)]='vehicleType' name='vehicleType'
									class='form-control' [placeholder]="l('Vehicle Type')"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[(ngModel)]='marketingCode' name='marketingCode'
									class='form-control' [placeholder]="l('Marketing Code')"
									type='text' (keyup.enter)='searchDatas()'&gt;
								&lt;/div&gt;
								&lt;div class='input-search'&gt;
									&lt;input [(ngModel)]='productionCode' name='productionCode'
									class='form-control' [placeholder]="l('Production Code')"
									type='text' (keyup.enter)='searchDatas()'&gt;
								&lt;/div&gt;
								&lt;div class='input-search'&gt;
									&lt;input [(ngModel)]='dealer' name='dealer'
									class='form-control' [placeholder]="l('Dealer')"
									type='text' (keyup.enter)='searchDatas()'&gt;
								&lt;/div&gt;
								&lt;div class='input-search'&gt;
									&lt;input [(ngModel)]='vin' name='vin'
									class='form-control' [placeholder]="l('Vin')"
									type='text' (keyup.enter)='searchDatas()'&gt;
								&lt;/div&gt;
								&lt;div class='input-search'&gt;
									&lt;input [(ngModel)]='extColor' name='extColor'
									class='form-control' [placeholder]="l('Ext Color')"
									type='text' (keyup.enter)='searchDatas()'&gt;
								&lt;/div&gt;
								&lt;div class='input-search'&gt;
									&lt;input [(ngModel)]='intColor' name='intColor'
									class='form-control' [placeholder]="l('Int Color')"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title'&gt;Vehicle Type&lt;/label&gt;
						&lt;input type='text' class='col-md-10 form-control input-text' name='VehicleType' [(ngModel)]='rowdata.vehicleType'&gt;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title'&gt;Marketing Code&lt;/label&gt;
						&lt;input type='text' class='col-md-10 form-control input-text' name='MarketingCode' [(ngModel)]='rowdata.marketingCode'&gt;
					&lt;/div&gt;
					&lt;div class='col-md-12 form-group row'&gt;
						&lt;label class='col-md-2 form-control title'&gt;Production Code&lt;/label&gt;
						&lt;input type='text' class='col-md-10 form-control input-text' name='ProductionCode' [(ngModel)]='rowdata.productionCode'&gt;
					&lt;/div&gt;
					&lt;div class='col-md-12 form-group row'&gt;
						&lt;label class='col-md-2 form-control title'&gt;Dealer&lt;/label&gt;
						&lt;input type='text' class='col-md-10 form-control input-text' name='Dealer' [(ngModel)]='rowdata.dealer'&gt;
					&lt;/div&gt;
					&lt;div class='col-md-12 form-group row'&gt;
						&lt;label class='col-md-2 form-control title'&gt;Vin&lt;/label&gt;
						&lt;input type='text' class='col-md-10 form-control input-text' name='Vin' [(ngModel)]='rowdata.vin'&gt;
					&lt;/div&gt;
					&lt;div class='col-md-12 form-group row'&gt;
						&lt;label class='col-md-2 form-control title'&gt;Ext Color&lt;/label&gt;
						&lt;input type='text' class='col-md-10 form-control input-text' name='ExtColor' [(ngModel)]='rowdata.extColor'&gt;
					&lt;/div&gt;
					&lt;div class='col-md-12 form-group row'&gt;
						&lt;label class='col-md-2 form-control title'&gt;Int Color&lt;/label&gt;
						&lt;input type='text' class='col-md-10 form-control input-text' name='IntColor' [(ngModel)]='rowdata.intColor'&gt;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vehicleType : string = '' ; 
	model : string = '' ; 
marketingCode : string = '' ; 
	productionCode : string = '' ; 
	dealer : string = '' ; 
	vin : string = '' ; 
	extColor : string = '' ; 
intColor : string = '' ; 
	dlrDispatchPlan
	dlrDispatchDate</v>
      </c>
      <c r="T13" s="63" t="str">
        <f ca="1">TEXTJOIN2("
",TRUE,INDIRECT(T11):INDIRECT(T12))</f>
        <v xml:space="preserve">			this.vehicleType,
			this.model,
			this.marketingCode,
			this.productionCode,
			this.dealer,
			this.vin,
			this.extColor,
			this.intColor,
			this.dlrDispatchPlan,
			this.dlrDispatchDate,</v>
      </c>
      <c r="U13" s="63" t="str">
        <f ca="1">TEXTJOIN2("
",TRUE,INDIRECT(U11):INDIRECT(U12))</f>
        <v xml:space="preserve">		this.vehicleType = '',
		this.model = '',
this.marketingCode = '',
		this.productionCode = '',
		this.dealer = '',
		this.vin = '',
		this.extColor = '',
this.intColor = '',
		this.dlrDispatchPlan = '',
		this.dlrDispatchDate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tmssdispatchplan.component.ts</v>
      </c>
      <c r="I14" s="37" t="str">
        <f>B8&amp;".component.html"</f>
        <v>tmssdispatchplan.component.html</v>
      </c>
      <c r="J14" s="36" t="str">
        <f>B8&amp;".component.less"</f>
        <v>tmssdispatchplan.component.less</v>
      </c>
      <c r="K14" s="37" t="str">
        <f>"create-or-edit-"&amp;B8&amp;"-modal.component.html"</f>
        <v>create-or-edit-tmssdispatchplan-modal.component.html</v>
      </c>
      <c r="L14" s="37" t="str">
        <f>"create-or-edit-"&amp;B8&amp;"-modal.component.ts"</f>
        <v>create-or-edit-tmssdispatchplan-modal.component.ts</v>
      </c>
      <c r="M14" s="37" t="str">
        <f>"create-or-edit-"&amp;B8&amp;"-modal.component.less"</f>
        <v>create-or-edit-tmssdispatchplan-modal.component.less</v>
      </c>
      <c r="N14" s="37" t="str">
        <f>B8&amp;".module.ts"</f>
        <v>tmssdispatchplan.module.ts</v>
      </c>
      <c r="O14" s="37" t="str">
        <f>B8&amp;"-routing.module.ts"</f>
        <v>tmssdispatchplan-routing.module.ts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355</v>
      </c>
      <c r="B15" s="28" t="str">
        <f t="shared" ref="B15:B19" si="0">SUBSTITUTE(PROPER(A15),"_","")</f>
        <v>VehicleType</v>
      </c>
      <c r="C15" s="28" t="str">
        <f t="shared" ref="C15:C19" si="1">SUBSTITUTE(PROPER(A15),"_"," ")</f>
        <v>Vehicle Type</v>
      </c>
      <c r="D15" s="28" t="str">
        <f t="shared" ref="D15:D19" si="2">LOWER(LEFT(B15,1))&amp;RIGHT(B15,LEN(B15) - 1)</f>
        <v>vehicleType</v>
      </c>
      <c r="E15" s="28" t="str">
        <f>A.Backend!H9</f>
        <v>string</v>
      </c>
      <c r="F15" s="28" t="str">
        <f>A.Backend!G9</f>
        <v>10</v>
      </c>
      <c r="G15" s="28" t="str">
        <f t="shared" ref="G15:G19" si="3">IF(E15="string"," : string = '' ; ",IF(OR(E15="DateTime",E15="TimeSpan")," : any ;",IF(E15="int"," : number = 0 ;","")))</f>
        <v xml:space="preserve"> : string = '' ; </v>
      </c>
      <c r="H15" s="35" t="str">
        <f t="shared" ref="H15:H19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this.l('Vehicle Type'),headerTooltip: this.l('Vehicle Type'),field: 'vehicleType',flex: 1},</v>
      </c>
      <c r="I15" s="35" t="str">
        <f t="shared" ref="I15:I1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[(ngModel)]='vehicleType' name='vehicleType'
									class='form-control' [placeholder]="l('Vehicle Type')"
									type='text' (keyup.enter)='searchDatas()'&gt;
								&lt;/div&gt;</v>
      </c>
      <c r="J15" s="28"/>
      <c r="K15" s="35" t="str">
        <f t="shared" ref="K15:K19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title'&gt;Vehicle Type&lt;/label&gt;
						&lt;input type='text' class='col-md-10 form-control input-text' name='VehicleType' [(ngModel)]='rowdata.vehicleType'&gt;
					&lt;/div&gt;</v>
      </c>
      <c r="L15" s="56" t="str">
        <f t="shared" ref="L15:L19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vehicleType : string = '' ; </v>
      </c>
      <c r="T15" s="28" t="str">
        <f>REPT(CHAR(9),3)&amp;"this."&amp;D15&amp;","</f>
        <v xml:space="preserve">			this.vehicleType,</v>
      </c>
      <c r="U15" s="28" t="str">
        <f>IF(E15="int",REPT(CHAR(9),2)&amp;"this."&amp;D15&amp;" = 0,",REPT(CHAR(9),2)&amp;"this."&amp;D15&amp;" = '',")</f>
        <v xml:space="preserve">		this.vehicleType = '',</v>
      </c>
      <c r="V15" s="28" t="str">
        <f t="shared" ref="V15:V19" si="8">IF(AND(E15="string",F15="1"),D15,"")</f>
        <v/>
      </c>
    </row>
    <row r="16" spans="1:22" ht="18" customHeight="1" x14ac:dyDescent="0.25">
      <c r="A16" t="s">
        <v>356</v>
      </c>
      <c r="B16" s="28" t="str">
        <f t="shared" ref="B16" si="9">SUBSTITUTE(PROPER(A16),"_","")</f>
        <v>Model</v>
      </c>
      <c r="C16" s="28" t="str">
        <f t="shared" ref="C16" si="10">SUBSTITUTE(PROPER(A16),"_"," ")</f>
        <v>Model</v>
      </c>
      <c r="D16" s="28" t="str">
        <f t="shared" ref="D16" si="11">LOWER(LEFT(B16,1))&amp;RIGHT(B16,LEN(B16) - 1)</f>
        <v>model</v>
      </c>
      <c r="E16" s="28" t="str">
        <f>A.Backend!H10</f>
        <v>string</v>
      </c>
      <c r="F16" s="28" t="str">
        <f>A.Backend!G10</f>
        <v>50</v>
      </c>
      <c r="G16" s="28" t="str">
        <f t="shared" ref="G16" si="12">IF(E16="string"," : string = '' ; ",IF(OR(E16="DateTime",E16="TimeSpan")," : any ;",IF(E16="int"," : number = 0 ;","")))</f>
        <v xml:space="preserve"> : string = '' ; </v>
      </c>
      <c r="H16" s="35" t="str">
        <f t="shared" ref="H16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this.l('Model'),headerTooltip: this.l('Model'),field: 'model',flex: 1},</v>
      </c>
      <c r="I16" s="35" t="str">
        <f t="shared" ref="I16" si="1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6" s="28"/>
      <c r="K16" s="35" t="str">
        <f t="shared" ref="K16" si="1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6" s="56" t="str">
        <f t="shared" ref="L16" si="1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7">REPT(CHAR(9),1)&amp;D16&amp;G16</f>
        <v xml:space="preserve">	model : string = '' ; </v>
      </c>
      <c r="T16" s="28" t="str">
        <f t="shared" ref="T16" si="18">REPT(CHAR(9),3)&amp;"this."&amp;D16&amp;","</f>
        <v xml:space="preserve">			this.model,</v>
      </c>
      <c r="U16" s="28" t="str">
        <f t="shared" ref="U16" si="19">IF(E16="int",REPT(CHAR(9),2)&amp;"this."&amp;D16&amp;" = 0,",REPT(CHAR(9),2)&amp;"this."&amp;D16&amp;" = '',")</f>
        <v xml:space="preserve">		this.model = '',</v>
      </c>
      <c r="V16" s="28" t="str">
        <f t="shared" ref="V16" si="20">IF(AND(E16="string",F16="1"),D16,"")</f>
        <v/>
      </c>
    </row>
    <row r="17" spans="1:22" ht="18" customHeight="1" x14ac:dyDescent="0.25">
      <c r="A17" t="s">
        <v>357</v>
      </c>
      <c r="B17" s="28" t="str">
        <f>SUBSTITUTE(PROPER(A17),"_","")</f>
        <v>MarketingCode</v>
      </c>
      <c r="C17" s="28" t="str">
        <f>SUBSTITUTE(PROPER(A17),"_"," ")</f>
        <v>Marketing Code</v>
      </c>
      <c r="D17" s="28" t="str">
        <f>LOWER(LEFT(B17,1))&amp;RIGHT(B17,LEN(B17) - 1)</f>
        <v>marketingCode</v>
      </c>
      <c r="E17" s="28" t="str">
        <f>A.Backend!H11</f>
        <v>string</v>
      </c>
      <c r="F17" s="28" t="str">
        <f>A.Backend!G11</f>
        <v>50</v>
      </c>
      <c r="G17" s="28" t="str">
        <f>IF(E17="string"," : string = '' ; ",IF(OR(E17="DateTime",E17="TimeSpan")," : any ;",IF(E17="int"," : number = 0 ;","")))</f>
        <v xml:space="preserve"> : string = '' ; </v>
      </c>
      <c r="H17" s="35" t="str">
        <f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this.l('Marketing Code'),headerTooltip: this.l('Marketing Code'),field: 'marketingCode',flex: 1},</v>
      </c>
      <c r="I17" s="35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[(ngModel)]='marketingCode' name='marketingCode'
									class='form-control' [placeholder]="l('Marketing Code')"
									type='text' (keyup.enter)='searchDatas()'&gt;
								&lt;/div&gt;</v>
      </c>
      <c r="J17" s="28"/>
      <c r="K17" s="35" t="str">
        <f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title'&gt;Marketing Code&lt;/label&gt;
						&lt;input type='text' class='col-md-10 form-control input-text' name='MarketingCode' [(ngModel)]='rowdata.marketingCode'&gt;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>D17&amp;G17</f>
        <v xml:space="preserve">marketingCode : string = '' ; </v>
      </c>
      <c r="T17" s="28" t="str">
        <f>REPT(CHAR(9),3)&amp;"this."&amp;D17&amp;","</f>
        <v xml:space="preserve">			this.marketingCode,</v>
      </c>
      <c r="U17" s="28" t="str">
        <f>IF(E17="int","this."&amp;D17&amp;" = 0,","this."&amp;D17&amp;" = '',")</f>
        <v>this.marketingCode = '',</v>
      </c>
      <c r="V17" s="28" t="str">
        <f>IF(AND(E17="string",F17="1"),D17,"")</f>
        <v/>
      </c>
    </row>
    <row r="18" spans="1:22" ht="15" customHeight="1" x14ac:dyDescent="0.25">
      <c r="A18" t="s">
        <v>358</v>
      </c>
      <c r="B18" s="28" t="str">
        <f t="shared" ref="B18" si="21">SUBSTITUTE(PROPER(A18),"_","")</f>
        <v>ProductionCode</v>
      </c>
      <c r="C18" s="28" t="str">
        <f t="shared" ref="C18" si="22">SUBSTITUTE(PROPER(A18),"_"," ")</f>
        <v>Production Code</v>
      </c>
      <c r="D18" s="28" t="str">
        <f t="shared" ref="D18" si="23">LOWER(LEFT(B18,1))&amp;RIGHT(B18,LEN(B18) - 1)</f>
        <v>productionCode</v>
      </c>
      <c r="E18" s="28" t="str">
        <f>A.Backend!H12</f>
        <v>string</v>
      </c>
      <c r="F18" s="28" t="str">
        <f>A.Backend!G12</f>
        <v>50</v>
      </c>
      <c r="G18" s="28" t="str">
        <f t="shared" ref="G18" si="24">IF(E18="string"," : string = '' ; ",IF(OR(E18="DateTime",E18="TimeSpan")," : any ;",IF(E18="int"," : number = 0 ;","")))</f>
        <v xml:space="preserve"> : string = '' ; </v>
      </c>
      <c r="H18" s="35" t="str">
        <f t="shared" ref="H18" si="25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this.l('Production Code'),headerTooltip: this.l('Production Code'),field: 'productionCode',flex: 1},</v>
      </c>
      <c r="I18" s="35" t="str">
        <f t="shared" ref="I18" si="26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[(ngModel)]='productionCode' name='productionCode'
									class='form-control' [placeholder]="l('Production Code')"
									type='text' (keyup.enter)='searchDatas()'&gt;
								&lt;/div&gt;</v>
      </c>
      <c r="J18" s="28"/>
      <c r="K18" s="35" t="str">
        <f t="shared" ref="K18" si="27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title'&gt;Production Code&lt;/label&gt;
						&lt;input type='text' class='col-md-10 form-control input-text' name='ProductionCode' [(ngModel)]='rowdata.productionCode'&gt;
					&lt;/div&gt;</v>
      </c>
      <c r="L18" s="56" t="str">
        <f t="shared" ref="L18" si="28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>REPT(CHAR(9),1)&amp;D18&amp;G18</f>
        <v xml:space="preserve">	productionCode : string = '' ; </v>
      </c>
      <c r="T18" s="28" t="str">
        <f>REPT(CHAR(9),3)&amp;"this."&amp;D18&amp;","</f>
        <v xml:space="preserve">			this.productionCode,</v>
      </c>
      <c r="U18" s="28" t="str">
        <f>IF(E18="int",REPT(CHAR(9),2)&amp;"this."&amp;D18&amp;" = 0,",REPT(CHAR(9),2)&amp;"this."&amp;D18&amp;" = '',")</f>
        <v xml:space="preserve">		this.productionCode = '',</v>
      </c>
      <c r="V18" s="28" t="str">
        <f t="shared" ref="V18" si="29">IF(AND(E18="string",F18="1"),D18,"")</f>
        <v/>
      </c>
    </row>
    <row r="19" spans="1:22" ht="18" customHeight="1" x14ac:dyDescent="0.25">
      <c r="A19" t="s">
        <v>359</v>
      </c>
      <c r="B19" s="28" t="str">
        <f t="shared" si="0"/>
        <v>Dealer</v>
      </c>
      <c r="C19" s="28" t="str">
        <f t="shared" si="1"/>
        <v>Dealer</v>
      </c>
      <c r="D19" s="28" t="str">
        <f t="shared" si="2"/>
        <v>dealer</v>
      </c>
      <c r="E19" s="28" t="str">
        <f>A.Backend!H13</f>
        <v>string</v>
      </c>
      <c r="F19" s="28" t="str">
        <f>A.Backend!G13</f>
        <v>50</v>
      </c>
      <c r="G19" s="28" t="str">
        <f t="shared" si="3"/>
        <v xml:space="preserve"> : string = '' ; </v>
      </c>
      <c r="H19" s="35" t="str">
        <f t="shared" si="4"/>
        <v xml:space="preserve">			{headerName: this.l('Dealer'),headerTooltip: this.l('Dealer'),field: 'dealer',flex: 1},</v>
      </c>
      <c r="I19" s="35" t="str">
        <f t="shared" si="5"/>
        <v xml:space="preserve">								&lt;div class='input-search'&gt;
									&lt;input [(ngModel)]='dealer' name='dealer'
									class='form-control' [placeholder]="l('Dealer')"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title'&gt;Dealer&lt;/label&gt;
						&lt;input type='text' class='col-md-10 form-control input-text' name='Dealer' [(ngModel)]='rowdata.dealer'&gt;
					&lt;/div&gt;</v>
      </c>
      <c r="L19" s="56" t="str">
        <f t="shared" si="7"/>
        <v/>
      </c>
      <c r="M19" s="28"/>
      <c r="N19" s="28"/>
      <c r="O19" s="28"/>
      <c r="P19" s="28"/>
      <c r="Q19" s="28"/>
      <c r="R19" s="28"/>
      <c r="S19" s="28" t="str">
        <f t="shared" ref="S19" si="30">REPT(CHAR(9),1)&amp;D19&amp;G19</f>
        <v xml:space="preserve">	dealer : string = '' ; </v>
      </c>
      <c r="T19" s="28" t="str">
        <f t="shared" ref="T19" si="31">REPT(CHAR(9),3)&amp;"this."&amp;D19&amp;","</f>
        <v xml:space="preserve">			this.dealer,</v>
      </c>
      <c r="U19" s="28" t="str">
        <f t="shared" ref="U19" si="32">IF(E19="int",REPT(CHAR(9),2)&amp;"this."&amp;D19&amp;" = 0,",REPT(CHAR(9),2)&amp;"this."&amp;D19&amp;" = '',")</f>
        <v xml:space="preserve">		this.dealer = '',</v>
      </c>
      <c r="V19" s="28" t="str">
        <f t="shared" si="8"/>
        <v/>
      </c>
    </row>
    <row r="20" spans="1:22" ht="15" customHeight="1" x14ac:dyDescent="0.25">
      <c r="A20" t="s">
        <v>360</v>
      </c>
      <c r="B20" s="28" t="str">
        <f t="shared" ref="B20:B21" si="33">SUBSTITUTE(PROPER(A20),"_","")</f>
        <v>Vin</v>
      </c>
      <c r="C20" s="28" t="str">
        <f t="shared" ref="C20:C21" si="34">SUBSTITUTE(PROPER(A20),"_"," ")</f>
        <v>Vin</v>
      </c>
      <c r="D20" s="28" t="str">
        <f t="shared" ref="D20:D21" si="35">LOWER(LEFT(B20,1))&amp;RIGHT(B20,LEN(B20) - 1)</f>
        <v>vin</v>
      </c>
      <c r="E20" s="28" t="str">
        <f>A.Backend!H14</f>
        <v>string</v>
      </c>
      <c r="F20" s="28" t="str">
        <f>A.Backend!G14</f>
        <v>100</v>
      </c>
      <c r="G20" s="28" t="str">
        <f t="shared" ref="G20:G21" si="36">IF(E20="string"," : string = '' ; ",IF(OR(E20="DateTime",E20="TimeSpan")," : any ;",IF(E20="int"," : number = 0 ;","")))</f>
        <v xml:space="preserve"> : string = '' ; </v>
      </c>
      <c r="H20" s="35" t="str">
        <f t="shared" ref="H20:H21" si="37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this.l('Vin'),headerTooltip: this.l('Vin'),field: 'vin',flex: 1},</v>
      </c>
      <c r="I20" s="35" t="str">
        <f t="shared" ref="I20:I21" si="38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[(ngModel)]='vin' name='vin'
									class='form-control' [placeholder]="l('Vin')"
									type='text' (keyup.enter)='searchDatas()'&gt;
								&lt;/div&gt;</v>
      </c>
      <c r="J20" s="28"/>
      <c r="K20" s="35" t="str">
        <f t="shared" ref="K20:K21" si="39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title'&gt;Vin&lt;/label&gt;
						&lt;input type='text' class='col-md-10 form-control input-text' name='Vin' [(ngModel)]='rowdata.vin'&gt;
					&lt;/div&gt;</v>
      </c>
      <c r="L20" s="56" t="str">
        <f t="shared" ref="L20:L21" si="40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>REPT(CHAR(9),1)&amp;D20&amp;G20</f>
        <v xml:space="preserve">	vin : string = '' ; </v>
      </c>
      <c r="T20" s="28" t="str">
        <f>REPT(CHAR(9),3)&amp;"this."&amp;D20&amp;","</f>
        <v xml:space="preserve">			this.vin,</v>
      </c>
      <c r="U20" s="28" t="str">
        <f>IF(E20="int",REPT(CHAR(9),2)&amp;"this."&amp;D20&amp;" = 0,",REPT(CHAR(9),2)&amp;"this."&amp;D20&amp;" = '',")</f>
        <v xml:space="preserve">		this.vin = '',</v>
      </c>
      <c r="V20" s="28" t="str">
        <f t="shared" ref="V20:V21" si="41">IF(AND(E20="string",F20="1"),D20,"")</f>
        <v/>
      </c>
    </row>
    <row r="21" spans="1:22" ht="18" customHeight="1" x14ac:dyDescent="0.25">
      <c r="A21" t="s">
        <v>361</v>
      </c>
      <c r="B21" s="28" t="str">
        <f t="shared" si="33"/>
        <v>ExtColor</v>
      </c>
      <c r="C21" s="28" t="str">
        <f t="shared" si="34"/>
        <v>Ext Color</v>
      </c>
      <c r="D21" s="28" t="str">
        <f t="shared" si="35"/>
        <v>extColor</v>
      </c>
      <c r="E21" s="28" t="str">
        <f>A.Backend!H15</f>
        <v>string</v>
      </c>
      <c r="F21" s="28" t="str">
        <f>A.Backend!G15</f>
        <v>50</v>
      </c>
      <c r="G21" s="28" t="str">
        <f t="shared" si="36"/>
        <v xml:space="preserve"> : string = '' ; </v>
      </c>
      <c r="H21" s="35" t="str">
        <f t="shared" si="37"/>
        <v xml:space="preserve">			{headerName: this.l('Ext Color'),headerTooltip: this.l('Ext Color'),field: 'extColor',flex: 1},</v>
      </c>
      <c r="I21" s="35" t="str">
        <f t="shared" si="38"/>
        <v xml:space="preserve">								&lt;div class='input-search'&gt;
									&lt;input [(ngModel)]='extColor' name='extColor'
									class='form-control' [placeholder]="l('Ext Color')"
									type='text' (keyup.enter)='searchDatas()'&gt;
								&lt;/div&gt;</v>
      </c>
      <c r="J21" s="28"/>
      <c r="K21" s="35" t="str">
        <f t="shared" si="39"/>
        <v xml:space="preserve">					&lt;div class='col-md-12 form-group row'&gt;
						&lt;label class='col-md-2 form-control title'&gt;Ext Color&lt;/label&gt;
						&lt;input type='text' class='col-md-10 form-control input-text' name='ExtColor' [(ngModel)]='rowdata.extColor'&gt;
					&lt;/div&gt;</v>
      </c>
      <c r="L21" s="56" t="str">
        <f t="shared" si="40"/>
        <v/>
      </c>
      <c r="M21" s="28"/>
      <c r="N21" s="28"/>
      <c r="O21" s="28"/>
      <c r="P21" s="28"/>
      <c r="Q21" s="28"/>
      <c r="R21" s="28"/>
      <c r="S21" s="28" t="str">
        <f t="shared" ref="S21" si="42">REPT(CHAR(9),1)&amp;D21&amp;G21</f>
        <v xml:space="preserve">	extColor : string = '' ; </v>
      </c>
      <c r="T21" s="28" t="str">
        <f t="shared" ref="T21" si="43">REPT(CHAR(9),3)&amp;"this."&amp;D21&amp;","</f>
        <v xml:space="preserve">			this.extColor,</v>
      </c>
      <c r="U21" s="28" t="str">
        <f t="shared" ref="U21" si="44">IF(E21="int",REPT(CHAR(9),2)&amp;"this."&amp;D21&amp;" = 0,",REPT(CHAR(9),2)&amp;"this."&amp;D21&amp;" = '',")</f>
        <v xml:space="preserve">		this.extColor = '',</v>
      </c>
      <c r="V21" s="28" t="str">
        <f t="shared" si="41"/>
        <v/>
      </c>
    </row>
    <row r="22" spans="1:22" ht="18" customHeight="1" x14ac:dyDescent="0.25">
      <c r="A22" t="s">
        <v>362</v>
      </c>
      <c r="B22" s="28" t="str">
        <f>SUBSTITUTE(PROPER(A22),"_","")</f>
        <v>IntColor</v>
      </c>
      <c r="C22" s="28" t="str">
        <f>SUBSTITUTE(PROPER(A22),"_"," ")</f>
        <v>Int Color</v>
      </c>
      <c r="D22" s="28" t="str">
        <f>LOWER(LEFT(B22,1))&amp;RIGHT(B22,LEN(B22) - 1)</f>
        <v>intColor</v>
      </c>
      <c r="E22" s="28" t="str">
        <f>A.Backend!H16</f>
        <v>string</v>
      </c>
      <c r="F22" s="28" t="str">
        <f>A.Backend!G16</f>
        <v>50</v>
      </c>
      <c r="G22" s="28" t="str">
        <f>IF(E22="string"," : string = '' ; ",IF(OR(E22="DateTime",E22="TimeSpan")," : any ;",IF(E22="int"," : number = 0 ;","")))</f>
        <v xml:space="preserve"> : string = '' ; </v>
      </c>
      <c r="H22" s="35" t="str">
        <f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this.l('Int Color'),headerTooltip: this.l('Int Color'),field: 'intColor',flex: 1},</v>
      </c>
      <c r="I22" s="35" t="str">
        <f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[(ngModel)]='intColor' name='intColor'
									class='form-control' [placeholder]="l('Int Color')"
									type='text' (keyup.enter)='searchDatas()'&gt;
								&lt;/div&gt;</v>
      </c>
      <c r="J22" s="28"/>
      <c r="K22" s="35" t="str">
        <f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title'&gt;Int Color&lt;/label&gt;
						&lt;input type='text' class='col-md-10 form-control input-text' name='IntColor' [(ngModel)]='rowdata.intColor'&gt;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>D22&amp;G22</f>
        <v xml:space="preserve">intColor : string = '' ; </v>
      </c>
      <c r="T22" s="28" t="str">
        <f>REPT(CHAR(9),3)&amp;"this."&amp;D22&amp;","</f>
        <v xml:space="preserve">			this.intColor,</v>
      </c>
      <c r="U22" s="28" t="str">
        <f>IF(E22="int","this."&amp;D22&amp;" = 0,","this."&amp;D22&amp;" = '',")</f>
        <v>this.intColor = '',</v>
      </c>
      <c r="V22" s="28" t="str">
        <f>IF(AND(E22="string",F22="1"),D22,"")</f>
        <v/>
      </c>
    </row>
    <row r="23" spans="1:22" ht="15" customHeight="1" x14ac:dyDescent="0.25">
      <c r="A23" t="s">
        <v>363</v>
      </c>
      <c r="B23" s="28" t="str">
        <f t="shared" ref="B23:B24" si="45">SUBSTITUTE(PROPER(A23),"_","")</f>
        <v>DlrDispatchPlan</v>
      </c>
      <c r="C23" s="28" t="str">
        <f t="shared" ref="C23:C24" si="46">SUBSTITUTE(PROPER(A23),"_"," ")</f>
        <v>Dlr Dispatch Plan</v>
      </c>
      <c r="D23" s="28" t="str">
        <f t="shared" ref="D23:D24" si="47">LOWER(LEFT(B23,1))&amp;RIGHT(B23,LEN(B23) - 1)</f>
        <v>dlrDispatchPlan</v>
      </c>
      <c r="E23" s="28" t="str">
        <f>A.Backend!H17</f>
        <v>DateTime?</v>
      </c>
      <c r="F23" s="28" t="str">
        <f>A.Backend!G17</f>
        <v/>
      </c>
      <c r="G23" s="28" t="str">
        <f t="shared" ref="G23:G24" si="48">IF(E23="string"," : string = '' ; ",IF(OR(E23="DateTime",E23="TimeSpan")," : any ;",IF(E23="int"," : number = 0 ;","")))</f>
        <v/>
      </c>
      <c r="H23" s="35" t="str">
        <f t="shared" ref="H23:H24" si="49"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this.l('Dlr Dispatch Plan'),headerTooltip: this.l('Dlr Dispatch Plan'),field: 'dlrDispatchPlan',flex: 1},</v>
      </c>
      <c r="I23" s="35" t="str">
        <f t="shared" ref="I23:I24" si="50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/>
      </c>
      <c r="J23" s="28"/>
      <c r="K23" s="35" t="str">
        <f t="shared" ref="K23:K24" si="51"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/>
      </c>
      <c r="L23" s="56" t="str">
        <f t="shared" ref="L23:L24" si="52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>REPT(CHAR(9),1)&amp;D23&amp;G23</f>
        <v xml:space="preserve">	dlrDispatchPlan</v>
      </c>
      <c r="T23" s="28" t="str">
        <f>REPT(CHAR(9),3)&amp;"this."&amp;D23&amp;","</f>
        <v xml:space="preserve">			this.dlrDispatchPlan,</v>
      </c>
      <c r="U23" s="28" t="str">
        <f>IF(E23="int",REPT(CHAR(9),2)&amp;"this."&amp;D23&amp;" = 0,",REPT(CHAR(9),2)&amp;"this."&amp;D23&amp;" = '',")</f>
        <v xml:space="preserve">		this.dlrDispatchPlan = '',</v>
      </c>
      <c r="V23" s="28" t="str">
        <f t="shared" ref="V23:V24" si="53">IF(AND(E23="string",F23="1"),D23,"")</f>
        <v/>
      </c>
    </row>
    <row r="24" spans="1:22" ht="18" customHeight="1" x14ac:dyDescent="0.25">
      <c r="A24" t="s">
        <v>364</v>
      </c>
      <c r="B24" s="28" t="str">
        <f t="shared" si="45"/>
        <v>DlrDispatchDate</v>
      </c>
      <c r="C24" s="28" t="str">
        <f t="shared" si="46"/>
        <v>Dlr Dispatch Date</v>
      </c>
      <c r="D24" s="28" t="str">
        <f t="shared" si="47"/>
        <v>dlrDispatchDate</v>
      </c>
      <c r="E24" s="28" t="str">
        <f>A.Backend!H18</f>
        <v>DateTime?</v>
      </c>
      <c r="F24" s="28" t="str">
        <f>A.Backend!G18</f>
        <v/>
      </c>
      <c r="G24" s="28" t="str">
        <f t="shared" si="48"/>
        <v/>
      </c>
      <c r="H24" s="35" t="str">
        <f t="shared" si="49"/>
        <v xml:space="preserve">			{headerName: this.l('Dlr Dispatch Date'),headerTooltip: this.l('Dlr Dispatch Date'),field: 'dlrDispatchDate',flex: 1},</v>
      </c>
      <c r="I24" s="35" t="str">
        <f t="shared" si="50"/>
        <v/>
      </c>
      <c r="J24" s="28"/>
      <c r="K24" s="35" t="str">
        <f t="shared" si="51"/>
        <v/>
      </c>
      <c r="L24" s="56" t="str">
        <f t="shared" si="52"/>
        <v/>
      </c>
      <c r="M24" s="28"/>
      <c r="N24" s="28"/>
      <c r="O24" s="28"/>
      <c r="P24" s="28"/>
      <c r="Q24" s="28"/>
      <c r="R24" s="28"/>
      <c r="S24" s="28" t="str">
        <f t="shared" ref="S24" si="54">REPT(CHAR(9),1)&amp;D24&amp;G24</f>
        <v xml:space="preserve">	dlrDispatchDate</v>
      </c>
      <c r="T24" s="28" t="str">
        <f t="shared" ref="T24" si="55">REPT(CHAR(9),3)&amp;"this."&amp;D24&amp;","</f>
        <v xml:space="preserve">			this.dlrDispatchDate,</v>
      </c>
      <c r="U24" s="28" t="str">
        <f t="shared" ref="U24" si="56">IF(E24="int",REPT(CHAR(9),2)&amp;"this."&amp;D24&amp;" = 0,",REPT(CHAR(9),2)&amp;"this."&amp;D24&amp;" = '',")</f>
        <v xml:space="preserve">		this.dlrDispatchDate = '',</v>
      </c>
      <c r="V24" s="28" t="str">
        <f t="shared" si="53"/>
        <v/>
      </c>
    </row>
    <row r="26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354</v>
      </c>
    </row>
    <row r="7" spans="1:2" x14ac:dyDescent="0.25">
      <c r="A7" t="s">
        <v>24</v>
      </c>
      <c r="B7" t="s">
        <v>349</v>
      </c>
    </row>
    <row r="8" spans="1:2" x14ac:dyDescent="0.25">
      <c r="A8" t="s">
        <v>4</v>
      </c>
      <c r="B8" t="s">
        <v>349</v>
      </c>
    </row>
    <row r="9" spans="1:2" x14ac:dyDescent="0.25">
      <c r="A9" t="s">
        <v>0</v>
      </c>
      <c r="B9" t="s">
        <v>350</v>
      </c>
    </row>
    <row r="10" spans="1:2" x14ac:dyDescent="0.25">
      <c r="A10" t="s">
        <v>25</v>
      </c>
      <c r="B10" t="s">
        <v>353</v>
      </c>
    </row>
    <row r="11" spans="1:2" x14ac:dyDescent="0.25">
      <c r="A11" t="s">
        <v>26</v>
      </c>
      <c r="B11" t="s">
        <v>353</v>
      </c>
    </row>
    <row r="12" spans="1:2" x14ac:dyDescent="0.25">
      <c r="A12" t="s">
        <v>27</v>
      </c>
      <c r="B12" t="s">
        <v>353</v>
      </c>
    </row>
    <row r="13" spans="1:2" x14ac:dyDescent="0.25">
      <c r="A13" t="s">
        <v>28</v>
      </c>
      <c r="B13" t="s">
        <v>353</v>
      </c>
    </row>
    <row r="14" spans="1:2" x14ac:dyDescent="0.25">
      <c r="A14" t="s">
        <v>29</v>
      </c>
      <c r="B14" t="s">
        <v>353</v>
      </c>
    </row>
    <row r="15" spans="1:2" x14ac:dyDescent="0.25">
      <c r="A15" t="s">
        <v>30</v>
      </c>
      <c r="B15" t="s">
        <v>353</v>
      </c>
    </row>
    <row r="16" spans="1:2" x14ac:dyDescent="0.25">
      <c r="A16" t="s">
        <v>31</v>
      </c>
      <c r="B16" t="s">
        <v>351</v>
      </c>
    </row>
    <row r="17" spans="1:2" x14ac:dyDescent="0.25">
      <c r="A17" t="s">
        <v>3</v>
      </c>
      <c r="B17" t="s">
        <v>351</v>
      </c>
    </row>
    <row r="18" spans="1:2" x14ac:dyDescent="0.25">
      <c r="A18" t="s">
        <v>33</v>
      </c>
      <c r="B18" t="s">
        <v>351</v>
      </c>
    </row>
    <row r="19" spans="1:2" x14ac:dyDescent="0.25">
      <c r="A19" t="s">
        <v>2</v>
      </c>
      <c r="B19" t="s">
        <v>351</v>
      </c>
    </row>
    <row r="20" spans="1:2" x14ac:dyDescent="0.25">
      <c r="A20" t="s">
        <v>263</v>
      </c>
      <c r="B20" t="s">
        <v>352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admin</cp:lastModifiedBy>
  <dcterms:created xsi:type="dcterms:W3CDTF">2022-04-01T07:31:40Z</dcterms:created>
  <dcterms:modified xsi:type="dcterms:W3CDTF">2023-08-15T12:17:07Z</dcterms:modified>
</cp:coreProperties>
</file>
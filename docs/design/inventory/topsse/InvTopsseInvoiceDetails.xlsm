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inventory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5" l="1"/>
  <c r="E25" i="5"/>
  <c r="T25" i="5" s="1"/>
  <c r="C25" i="5"/>
  <c r="B25" i="5"/>
  <c r="D25" i="5" s="1"/>
  <c r="F24" i="5"/>
  <c r="E24" i="5"/>
  <c r="V24" i="5" s="1"/>
  <c r="C24" i="5"/>
  <c r="B24" i="5"/>
  <c r="D24" i="5" s="1"/>
  <c r="F23" i="5"/>
  <c r="E23" i="5"/>
  <c r="C23" i="5"/>
  <c r="B23" i="5"/>
  <c r="D23" i="5" s="1"/>
  <c r="G22" i="5"/>
  <c r="F22" i="5"/>
  <c r="V22" i="5" s="1"/>
  <c r="E22" i="5"/>
  <c r="C22" i="5"/>
  <c r="B22" i="5"/>
  <c r="D22" i="5" s="1"/>
  <c r="F21" i="5"/>
  <c r="E21" i="5"/>
  <c r="T21" i="5" s="1"/>
  <c r="C21" i="5"/>
  <c r="B21" i="5"/>
  <c r="D21" i="5" s="1"/>
  <c r="F20" i="5"/>
  <c r="E20" i="5"/>
  <c r="U20" i="5" s="1"/>
  <c r="C20" i="5"/>
  <c r="B20" i="5"/>
  <c r="D20" i="5" s="1"/>
  <c r="L19" i="1"/>
  <c r="G19" i="1"/>
  <c r="E19" i="1"/>
  <c r="H19" i="1" s="1"/>
  <c r="D19" i="1"/>
  <c r="V19" i="1" s="1"/>
  <c r="T18" i="1"/>
  <c r="L18" i="1"/>
  <c r="G18" i="1"/>
  <c r="E18" i="1"/>
  <c r="H18" i="1" s="1"/>
  <c r="W18" i="1" s="1"/>
  <c r="D18" i="1"/>
  <c r="V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T15" i="1" s="1"/>
  <c r="L14" i="1"/>
  <c r="G14" i="1"/>
  <c r="E14" i="1"/>
  <c r="H14" i="1" s="1"/>
  <c r="W14" i="1" s="1"/>
  <c r="D14" i="1"/>
  <c r="V14" i="1" s="1"/>
  <c r="H24" i="5" l="1"/>
  <c r="G25" i="5"/>
  <c r="H20" i="5"/>
  <c r="L20" i="5"/>
  <c r="L25" i="5"/>
  <c r="S25" i="5"/>
  <c r="U25" i="5"/>
  <c r="V25" i="5"/>
  <c r="H22" i="5"/>
  <c r="T23" i="5"/>
  <c r="H25" i="5"/>
  <c r="S20" i="5"/>
  <c r="V20" i="5"/>
  <c r="U21" i="5"/>
  <c r="K23" i="5"/>
  <c r="I25" i="5"/>
  <c r="S22" i="5"/>
  <c r="G20" i="5"/>
  <c r="K21" i="5"/>
  <c r="U22" i="5"/>
  <c r="L22" i="5"/>
  <c r="K25" i="5"/>
  <c r="I20" i="5"/>
  <c r="T20" i="5"/>
  <c r="G21" i="5"/>
  <c r="L21" i="5"/>
  <c r="V21" i="5"/>
  <c r="I22" i="5"/>
  <c r="T22" i="5"/>
  <c r="G23" i="5"/>
  <c r="U23" i="5" s="1"/>
  <c r="L23" i="5"/>
  <c r="V23" i="5"/>
  <c r="I24" i="5"/>
  <c r="T24" i="5"/>
  <c r="K20" i="5"/>
  <c r="H21" i="5"/>
  <c r="S21" i="5"/>
  <c r="K22" i="5"/>
  <c r="H23" i="5"/>
  <c r="K24" i="5"/>
  <c r="I21" i="5"/>
  <c r="I23" i="5"/>
  <c r="G24" i="5"/>
  <c r="S24" i="5" s="1"/>
  <c r="L24" i="5"/>
  <c r="T14" i="1"/>
  <c r="P14" i="1"/>
  <c r="P18" i="1"/>
  <c r="N19" i="1"/>
  <c r="I19" i="1"/>
  <c r="M19" i="1"/>
  <c r="W19" i="1"/>
  <c r="O19" i="1"/>
  <c r="J19" i="1"/>
  <c r="W17" i="1"/>
  <c r="O17" i="1"/>
  <c r="J17" i="1"/>
  <c r="N17" i="1"/>
  <c r="I17" i="1"/>
  <c r="M17" i="1"/>
  <c r="M18" i="1"/>
  <c r="P17" i="1"/>
  <c r="I18" i="1"/>
  <c r="N18" i="1"/>
  <c r="P19" i="1"/>
  <c r="T17" i="1"/>
  <c r="J18" i="1"/>
  <c r="O18" i="1"/>
  <c r="T19" i="1"/>
  <c r="M16" i="1"/>
  <c r="W16" i="1"/>
  <c r="O16" i="1"/>
  <c r="J16" i="1"/>
  <c r="N16" i="1"/>
  <c r="I16" i="1"/>
  <c r="V16" i="1"/>
  <c r="P16" i="1"/>
  <c r="W15" i="1"/>
  <c r="O15" i="1"/>
  <c r="J15" i="1"/>
  <c r="M15" i="1"/>
  <c r="N15" i="1"/>
  <c r="I15" i="1"/>
  <c r="V15" i="1"/>
  <c r="P15" i="1"/>
  <c r="M14" i="1"/>
  <c r="I14" i="1"/>
  <c r="N14" i="1"/>
  <c r="J14" i="1"/>
  <c r="O14" i="1"/>
  <c r="F19" i="5"/>
  <c r="C19" i="5"/>
  <c r="B19" i="5"/>
  <c r="D19" i="5" s="1"/>
  <c r="C18" i="5"/>
  <c r="B18" i="5"/>
  <c r="D18" i="5" s="1"/>
  <c r="F17" i="5"/>
  <c r="C17" i="5"/>
  <c r="B17" i="5"/>
  <c r="D17" i="5" s="1"/>
  <c r="L13" i="1"/>
  <c r="G13" i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L11" i="1"/>
  <c r="G11" i="1"/>
  <c r="E11" i="1"/>
  <c r="H11" i="1" s="1"/>
  <c r="E17" i="5" s="1"/>
  <c r="D11" i="1"/>
  <c r="V11" i="1" s="1"/>
  <c r="U24" i="5" l="1"/>
  <c r="S23" i="5"/>
  <c r="M13" i="1"/>
  <c r="T19" i="5"/>
  <c r="K19" i="5"/>
  <c r="I17" i="5"/>
  <c r="T18" i="5"/>
  <c r="V18" i="5"/>
  <c r="G19" i="5"/>
  <c r="U19" i="5" s="1"/>
  <c r="L19" i="5"/>
  <c r="V19" i="5"/>
  <c r="K18" i="5"/>
  <c r="G18" i="5"/>
  <c r="U18" i="5" s="1"/>
  <c r="H19" i="5"/>
  <c r="S19" i="5"/>
  <c r="L18" i="5"/>
  <c r="I19" i="5"/>
  <c r="H17" i="5"/>
  <c r="K17" i="5"/>
  <c r="H18" i="5"/>
  <c r="S18" i="5"/>
  <c r="G17" i="5"/>
  <c r="S17" i="5" s="1"/>
  <c r="L17" i="5"/>
  <c r="V17" i="5"/>
  <c r="I18" i="5"/>
  <c r="W12" i="1"/>
  <c r="O12" i="1"/>
  <c r="J12" i="1"/>
  <c r="N12" i="1"/>
  <c r="M12" i="1"/>
  <c r="I12" i="1"/>
  <c r="P12" i="1"/>
  <c r="I13" i="1"/>
  <c r="N13" i="1"/>
  <c r="V13" i="1"/>
  <c r="T12" i="1"/>
  <c r="J13" i="1"/>
  <c r="O13" i="1"/>
  <c r="W13" i="1"/>
  <c r="P13" i="1"/>
  <c r="W11" i="1"/>
  <c r="O11" i="1"/>
  <c r="J11" i="1"/>
  <c r="M11" i="1"/>
  <c r="N11" i="1"/>
  <c r="I11" i="1"/>
  <c r="P11" i="1"/>
  <c r="T11" i="1"/>
  <c r="B16" i="5"/>
  <c r="D16" i="5" s="1"/>
  <c r="T17" i="5" s="1"/>
  <c r="C16" i="5"/>
  <c r="U17" i="5" l="1"/>
  <c r="B7" i="5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K15" i="5"/>
  <c r="I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G16" i="5"/>
  <c r="S16" i="5" s="1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1" i="1"/>
  <c r="T13" i="5"/>
  <c r="T7" i="1" l="1"/>
  <c r="W21" i="1"/>
  <c r="G6" i="1" l="1"/>
  <c r="I13" i="5"/>
  <c r="U13" i="5"/>
  <c r="L13" i="5"/>
  <c r="H13" i="5"/>
  <c r="S13" i="5"/>
  <c r="K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I21" i="1"/>
  <c r="O21" i="1"/>
  <c r="P21" i="1"/>
  <c r="J21" i="1"/>
  <c r="N21" i="1"/>
  <c r="Q7" i="1" l="1"/>
  <c r="M69" i="3" s="1"/>
  <c r="L7" i="1"/>
  <c r="G69" i="3" s="1"/>
  <c r="K69" i="3"/>
  <c r="J69" i="3"/>
  <c r="K21" i="1"/>
  <c r="M21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<sst xmlns="http://schemas.openxmlformats.org/spreadsheetml/2006/main" count="479" uniqueCount="380">
  <si>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</si>
  <si>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</si>
  <si>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</si>
  <si>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</si>
  <si>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</si>
  <si>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</si>
  <si>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</si>
  <si>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</si>
  <si>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</si>
  <si>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</si>
  <si>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</si>
  <si>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</si>
  <si>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</si>
  <si>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</si>
  <si>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</si>
  <si>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</si>
  <si>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</si>
  <si>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</si>
  <si>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</si>
  <si>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</si>
  <si>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</si>
  <si>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</si>
  <si>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</si>
  <si>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</si>
  <si>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</si>
  <si>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</si>
  <si>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</si>
  <si>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</si>
  <si>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</si>
  <si>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</si>
  <si>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</si>
  <si>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</si>
  <si>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</si>
  <si>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</si>
  <si>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</si>
  <si>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</si>
  <si>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</si>
  <si>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</si>
  <si>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</si>
  <si>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</si>
  <si>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</si>
  <si>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</si>
  <si>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</si>
  <si>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</si>
  <si>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</si>
  <si>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</si>
  <si>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</si>
  <si>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</si>
  <si>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</si>
  <si>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</si>
  <si>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</si>
  <si>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</si>
  <si>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</si>
  <si>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</si>
  <si>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</si>
  <si>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</si>
  <si>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</si>
  <si>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</si>
  <si>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</si>
  <si>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</si>
  <si>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</si>
  <si>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</si>
  <si>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</si>
  <si>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</si>
  <si>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</si>
  <si>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</si>
  <si>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</si>
  <si>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</si>
  <si>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</si>
  <si>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</si>
  <si>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</si>
  <si>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</si>
  <si>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</si>
  <si>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</si>
  <si>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</si>
  <si>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</si>
  <si>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</si>
  <si>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</si>
  <si>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</si>
  <si>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</si>
  <si>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</si>
  <si>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</si>
  <si>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</si>
  <si>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</si>
  <si>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</si>
  <si>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</si>
  <si>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</si>
  <si>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</si>
  <si>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</si>
  <si>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</si>
  <si>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</si>
  <si>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</si>
  <si>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</si>
  <si>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</si>
  <si>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</si>
  <si>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</si>
  <si>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</si>
  <si>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</si>
  <si>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</si>
  <si>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</si>
  <si>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</si>
  <si>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</si>
  <si>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</si>
  <si>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</si>
  <si>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</si>
  <si>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</si>
  <si>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</si>
  <si>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</si>
  <si>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</si>
  <si>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</si>
  <si>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</si>
  <si>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</si>
  <si>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</si>
  <si>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</si>
  <si>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</si>
  <si>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</si>
  <si>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</si>
  <si>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</si>
  <si>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</si>
  <si>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</si>
  <si>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</si>
  <si>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</si>
  <si>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</si>
  <si>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</si>
  <si>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</si>
  <si>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</si>
  <si>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</si>
  <si>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</si>
  <si>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</si>
  <si>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</si>
  <si>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</si>
  <si>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</si>
  <si>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</si>
  <si>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</si>
  <si>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</si>
  <si>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</si>
  <si>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</si>
  <si>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</si>
  <si>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</si>
  <si>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</si>
  <si>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</si>
  <si>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</si>
  <si>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</si>
  <si>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</si>
  <si>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</si>
  <si>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</si>
  <si>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</si>
  <si>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</si>
  <si>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</si>
  <si>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</si>
  <si>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</si>
  <si>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</si>
  <si>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</si>
  <si>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</si>
  <si>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</si>
  <si>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</si>
  <si>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</si>
  <si>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</si>
  <si>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</si>
  <si>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</si>
  <si>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</si>
  <si>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</si>
  <si>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</si>
  <si>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</si>
  <si>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</si>
  <si>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</si>
  <si>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</si>
  <si>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</si>
  <si>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</si>
  <si>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</si>
  <si>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</si>
  <si>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</si>
  <si>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</si>
  <si>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</si>
  <si>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</si>
  <si>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</si>
  <si>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</si>
  <si>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</si>
  <si>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</si>
  <si>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</si>
  <si>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</si>
  <si>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</si>
  <si>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</si>
  <si>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</si>
  <si>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</si>
  <si>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</si>
  <si>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</si>
  <si>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</si>
  <si>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</si>
  <si>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</si>
  <si>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</si>
  <si>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</si>
  <si>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</si>
  <si>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</si>
  <si>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</si>
  <si>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</si>
  <si>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</si>
  <si>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</si>
  <si>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</si>
  <si>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</si>
  <si>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</si>
  <si>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</si>
  <si>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</si>
  <si>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</si>
  <si>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</si>
  <si>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</si>
  <si>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</si>
  <si>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</si>
  <si>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</si>
  <si>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</si>
  <si>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</si>
  <si>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</si>
  <si>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</si>
  <si>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</si>
  <si>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</si>
  <si>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</si>
  <si>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</si>
  <si>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</si>
  <si>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</si>
  <si>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</si>
  <si>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</si>
  <si>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</si>
  <si>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</si>
  <si>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</si>
  <si>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</si>
  <si>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</si>
  <si>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</si>
  <si>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</si>
  <si>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</si>
  <si>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</si>
  <si>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</si>
  <si>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</si>
  <si>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</si>
  <si>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</si>
  <si>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</si>
  <si>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</si>
  <si>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</si>
  <si>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</si>
  <si>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</si>
  <si>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</si>
  <si>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</si>
  <si>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</si>
  <si>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</si>
  <si>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</si>
  <si>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</si>
  <si>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</si>
  <si>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</si>
  <si>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</si>
  <si>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</si>
  <si>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</si>
  <si>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</si>
  <si>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</si>
  <si>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</si>
  <si>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</si>
  <si>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</si>
  <si>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</si>
  <si>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</si>
  <si>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</si>
  <si>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</si>
  <si>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</si>
  <si>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</si>
  <si>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</si>
  <si>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</si>
  <si>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</si>
  <si>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</si>
  <si>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</si>
  <si>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</si>
  <si>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</si>
  <si>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</si>
  <si>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</si>
  <si>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</si>
  <si>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</si>
  <si>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</si>
  <si>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</si>
  <si>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</si>
  <si>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</si>
  <si>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</si>
  <si>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</si>
  <si>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</si>
  <si>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</si>
  <si>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</si>
  <si>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</si>
  <si>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</si>
  <si>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</si>
  <si>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</si>
  <si>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</si>
  <si>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</si>
  <si>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</si>
  <si>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</si>
  <si>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</si>
  <si>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</si>
  <si>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</si>
  <si>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</si>
  <si>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</si>
  <si>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</si>
  <si>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</si>
  <si>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</si>
  <si>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</si>
  <si>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</si>
  <si>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</si>
  <si>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</si>
  <si>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</si>
  <si>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</si>
  <si>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</si>
  <si>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</si>
  <si>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</si>
  <si>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</si>
  <si>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</si>
  <si>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</si>
  <si>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</si>
  <si>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</si>
  <si>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</si>
  <si>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</si>
  <si>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</si>
  <si>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</si>
  <si>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</si>
  <si>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</si>
  <si>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</si>
  <si>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</si>
  <si>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</si>
  <si>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</si>
  <si>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</si>
  <si>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</si>
  <si>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</si>
  <si>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</si>
  <si>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</si>
  <si>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</si>
  <si>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</si>
  <si>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</si>
  <si>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</si>
  <si>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</si>
  <si>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</si>
  <si>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</si>
  <si>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</si>
  <si>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</si>
  <si>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</si>
  <si>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</si>
  <si>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</si>
  <si>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</si>
  <si>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</si>
  <si>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</si>
  <si>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</si>
  <si>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</si>
  <si>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</si>
  <si>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</si>
  <si>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</si>
  <si>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</si>
  <si>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</si>
  <si>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</si>
  <si>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</si>
  <si>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</si>
  <si>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</si>
  <si>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</si>
  <si>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</si>
  <si>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</si>
  <si>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</si>
  <si>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</si>
  <si>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</si>
  <si>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CASE_NO</t>
  </si>
  <si>
    <t>ORDER_NO</t>
  </si>
  <si>
    <t>ITEM_NO</t>
  </si>
  <si>
    <t>PART_NO</t>
  </si>
  <si>
    <t>PART_NAME</t>
  </si>
  <si>
    <t>nvarchar(8)</t>
  </si>
  <si>
    <t>nvarchar(4)</t>
  </si>
  <si>
    <t>nvarchar(15)</t>
  </si>
  <si>
    <t>nvarchar(100)</t>
  </si>
  <si>
    <t>PART_QTY</t>
  </si>
  <si>
    <t>UNIT_FOB</t>
  </si>
  <si>
    <t>decimal(16,3)</t>
  </si>
  <si>
    <t>AMOUNT</t>
  </si>
  <si>
    <t>decimal(18,3)</t>
  </si>
  <si>
    <t>TARIFF_CD</t>
  </si>
  <si>
    <t>nvarchar(3)</t>
  </si>
  <si>
    <t>HS_CD</t>
  </si>
  <si>
    <t>INVOICE_ID</t>
  </si>
  <si>
    <t>Inventory.TOPSSE</t>
  </si>
  <si>
    <t>InvTopsseInvoiceDetails</t>
  </si>
  <si>
    <t>InvoiceDetails</t>
  </si>
  <si>
    <t>Topsse Invoice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</si>
</sst>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58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prod.Inventory.TOPSSE
{
	[Table("InvTopsseInvoiceDetails")]
	public class InvTopsseInvoiceDetails: FullAuditedEntity&lt;long&gt;, IEntity&lt;long&gt;	
	{
		public const int MaxCaseNoLength = 8;
		public const int MaxOrderNoLength = 8;
		public const int MaxItemNoLength = 4;
		public const int MaxPartNoLength = 15;
		public const int MaxPartNameLength = 100;
		public const int MaxTariffCdLength = 3;
		public const int MaxHsCdLength = 15;
		[StringLength(MaxCaseNoLength)]
		public virtual string CaseNo { get; set; }
		[StringLength(MaxOrderNoLength)]
		public virtual string OrderNo { get; set; }
		[StringLength(MaxItemNoLength)]
		public virtual string ItemNo { get; set; }
		[StringLength(MaxPartNoLength)]
		public virtual string PartNo { get; set; }
		[StringLength(MaxPartNameLength)]
		public virtual string PartName { get; set; }
		public virtual int? PartQty { get; set; }
		public virtual decimal? UnitFob { get; set; }
		public virtual decimal? Amount { get; set; }
		[StringLength(MaxTariffCdLength)]
		public virtual string TariffCd { get; set; }
		[StringLength(MaxHsCdLength)]
		public virtual string HsCd { get; set; }
		public virtual long? InvoiceId { get; set; }
	}
}
</v>
      </c>
      <c r="D69" s="48" t="str">
        <f>A.Backend!O7</f>
        <v xml:space="preserve">		public const string Pages_Inventory_TOPSSE_InvoiceDetails = "Pages.Inventory.TOPSSE.InvoiceDetails";
		public const string Pages_Inventory_TOPSSE_InvoiceDetails_CreateEdit = "Pages.Inventory.TOPSSE.InvoiceDetails.CreateEdit";
		public const string Pages_Inventory_TOPSSE_InvoiceDetails_Delete = "Pages.Inventory.TOPSSE.InvoiceDetails.Delete";
</v>
      </c>
      <c r="E69" s="48" t="str">
        <f>A.Backend!N7</f>
        <v xml:space="preserve">		var perInvTopsseInvoiceDetails = PARENTS.CreateChildPermission(AppPermissions.Pages_Inventory_TOPSSE_InvoiceDetails, L( "InventoryTOPSSEInvoiceDetails"), multiTenancySides: MultiTenancySides.Tenant);
		perInvTopsseInvoiceDetails.CreateChildPermission(AppPermissions.Pages_Inventory_TOPSSE_InvoiceDetails_CreateEdit, L( "InventoryTOPSSEInvoiceDetailsCreateEdit"), multiTenancySides: MultiTenancySides.Tenant);
		perInvTopsseInvoiceDetails.CreateChildPermission(AppPermissions.Pages_Inventory_TOPSSE_InvoiceDetails_Delete, L( "InventoryTOPSSEInvoiceDetailsDelete"), multiTenancySides: MultiTenancySides.Tenant);</v>
      </c>
      <c r="F69" s="48" t="str">
        <f>A.Backend!K7</f>
        <v>public virtual DbSet&lt;InvTopsseInvoiceDetails&gt; InvTopsseInvoiceDetailss { get; set; }</v>
      </c>
      <c r="G69" s="48" t="str">
        <f ca="1">A.Backend!L7</f>
        <v xml:space="preserve">namespace prod.Inventory.TOPSSE
{
	public class InvTopsseInvoiceDetailsConsts	
	{
		public const int MaxCaseNoLength = 8;
		public const int MaxOrderNoLength = 8;
		public const int MaxItemNoLength = 4;
		public const int MaxPartNoLength = 15;
		public const int MaxPartNameLength = 100;
		public const int MaxTariffCdLength = 3;
		public const int MaxHsCdLength = 15;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prod.Inventory.TOPSSE.Dto
{
	public class InvTopsseInvoiceDetailsDto : EntityDto&lt;long?&gt;	
	{
		public virtual string CaseNo { get; set; }
		public virtual string OrderNo { get; set; }
		public virtual string ItemNo { get; set; }
		public virtual string PartNo { get; set; }
		public virtual string PartName { get; set; }
		public virtual int? PartQty { get; set; }
		public virtual decimal? UnitFob { get; set; }
		public virtual decimal? Amount { get; set; }
		public virtual string TariffCd { get; set; }
		public virtual string HsCd { get; set; }
		public virtual long? InvoiceId { get; set; }
	}
	public class CreateOrEditInvTopsseInvoiceDetailsDto : EntityDto&lt;long?&gt;	
	{
		[StringLength(InvTopsseInvoiceDetailsConsts.MaxCaseNoLength)]
		public virtual string CaseNo { get; set; }
		[StringLength(InvTopsseInvoiceDetailsConsts.MaxOrderNoLength)]
		public virtual string OrderNo { get; set; }
		[StringLength(InvTopsseInvoiceDetailsConsts.MaxItemNoLength)]
		public virtual string ItemNo { get; set; }
		[StringLength(InvTopsseInvoiceDetailsConsts.MaxPartNoLength)]
		public virtual string PartNo { get; set; }
		[StringLength(InvTopsseInvoiceDetailsConsts.MaxPartNameLength)]
		public virtual string PartName { get; set; }
		public virtual int? PartQty { get; set; }
		public virtual decimal? UnitFob { get; set; }
		public virtual decimal? Amount { get; set; }
		[StringLength(InvTopsseInvoiceDetailsConsts.MaxTariffCdLength)]
		public virtual string TariffCd { get; set; }
		[StringLength(InvTopsseInvoiceDetailsConsts.MaxHsCdLength)]
		public virtual string HsCd { get; set; }
		public virtual long? InvoiceId { get; set; }
	}
	public class GetInvTopsseInvoiceDetailsInput : PagedAndSortedResultRequestDto	
	{
		public virtual string CaseNo { get; set; }
		public virtual string OrderNo { get; set; }
		public virtual string ItemNo { get; set; }
		public virtual string PartNo { get; set; }
		public virtual string PartName { get; set; }
		public virtual string TariffCd { get; set; }
		public virtual string HsCd { get; set; }
	}
}
</v>
      </c>
      <c r="I69" s="48" t="str">
        <f ca="1">A.Backend!R7</f>
        <v xml:space="preserve">using Abp.Application.Services.Dto;
using System;
using System.ComponentModel.DataAnnotations;
namespace prod.Inventory.TOPSSE.Dto
{
	public class InvTopsseInvoiceDetailsExportInput{
		public virtual string CaseNo { get; set; }
		public virtual string OrderNo { get; set; }
		public virtual string ItemNo { get; set; }
		public virtual string PartNo { get; set; }
		public virtual string PartName { get; set; }
		public virtual int? PartQty { get; set; }
		public virtual decimal? UnitFob { get; set; }
		public virtual decimal? Amount { get; set; }
		public virtual string TariffCd { get; set; }
		public virtual string HsCd { get; set; }
		public virtual long? InvoiceId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vovina.Inventory.TOPSSE.Dto;
namespace prod.Inventory.TOPSSE
{
	public interface IInvTopsseInvoiceDetailsAppService : IApplicationService
	{
		Task&lt;PagedResultDto&lt;InvTopsseInvoiceDetailsDto&gt;&gt; GetAll(GetInvTopsseInvoiceDetailsInput input);
		Task CreateOrEdit(CreateOrEditInvTopsseInvoiceDetailsDto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vovina.Inventory.TOPSSE.Dto;
namespace prod.Inventory.TOPSSE.Exporting
{
	public interface IInvTopsseInvoiceDetailsExcelExporter : IApplicationService
	{
		FileDto ExportToFile(List&lt;InvTopsseInvoiceDetailsDto&gt; invtopsseinvoicedetails);
	}
}
</v>
      </c>
      <c r="L69" s="48" t="str">
        <f ca="1">A.Backend!T7</f>
        <v>using System.Collections.Generic;
using vovina.DataExporting.Excel.NPOI;
using vovina.Dto;
using vovina.Inventory.TOPSSE.Exporting;
using vovina.Inventory.TOPSSE.Dto;
using vovina.Storage;
using vovina.Inventory.TOPSSE.Dto;
namespace vovina.Inventory.TOPSSE.Exporting
{
    public class InvTopsseInvoiceDetailsExcelExporter : NpoiExcelExporterBase, IInvTopsseInvoiceDetailsExcelExporter
    {
        public InvTopsseInvoiceDetailsExcelExporter(ITempFileCacheManager tempFileCacheManager) : base(tempFileCacheManager) { }
        public FileDto ExportToFile(List&lt;InvTopsseInvoiceDetailsDto&gt; invoicedetails)
        {
            return CreateExcelPackage(
				"InventoryTOPSSEInvoiceDetails.xlsx",
				excelPackage =&gt;
				 {
					var sheet = excelPackage.CreateSheet("InvoiceDetails");
					AddHeader(
								sheet,
								("CaseNo"),
								("OrderNo"),
								("ItemNo"),
								("PartNo"),
								("PartName"),
								("PartQty"),
								("UnitFob"),
								("Amount"),
								("TariffCd"),
								("HsCd"),
								("InvoiceId"),
							   );
					AddObjects(
						 sheet, 1, invoicedetails,                                       
								_ =&gt; _.CaseNo,
								_ =&gt; _.OrderNo,
								_ =&gt; _.ItemNo,
								_ =&gt; _.PartNo,
								_ =&gt; _.PartName,
								_ =&gt; _.PartQty,
								_ =&gt; _.UnitFob,
								_ =&gt; _.Amount,
								_ =&gt; _.TariffCd,
								_ =&gt; _.HsCd,
								_ =&gt; _.InvoiceId,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vovina.Inventory.TOPSSE.Dto;
using vovina.Inventory.TOPSSE.Exporting;
namespace vovina.Inventory.TOPSSE
{
    [AbpAuthorize(AppPermissions.Pages_Inventory_TOPSSE_InvoiceDetails)]
    public class InvTopsseInvoiceDetailsAppService : vovinaAppServiceBase, IInvTopsseInvoiceDetailsAppService
    {
        private readonly IDapperRepository&lt;InvTopsseInvoiceDetails, long&gt; _dapperRepo;
        private readonly IRepository&lt;InvTopsseInvoiceDetails, long&gt; _repo;
        private readonly IInvTopsseInvoiceDetailsExcelExporter _calendarListExcelExporter;
        public InvTopsseInvoiceDetailsAppService(IRepository&lt;InvTopsseInvoiceDetails,long&gt; repo, 
                                         IDapperRepository&lt;InvTopsseInvoiceDetails,long&gt; dapperRepo,
                                        IInvTopsseInvoiceDetailsExcelExporter calendarListExcelExporter
            )
        {
            _repo = repo;
            _dapperRepo = dapperRepo;
            _calendarListExcelExporter = calendarListExcelExporter;
        }
        [AbpAuthorize(AppPermissions.Pages_Inventory_TOPSSE_InvoiceDetails_CreateEdit)]
        public async Task CreateOrEdit(CreateOrEditInvTopsseInvoiceDetailsDto input)
        {
            if (input.Id == null) await Create(input);
            else await Update(input);
        }
        //CREATE
        private async Task Create(CreateOrEditInvTopsseInvoiceDetailsDto input)
        {          
            var mainObj = ObjectMapper.Map&lt;InvTopsseInvoiceDetails&gt;(input);
            await CurrentUnitOfWork.GetDbContext&lt;vovinaDbContext&gt;().AddAsync(mainObj);
        }
        // EDIT
        private async Task Update(CreateOrEditInvTopsseInvoiceDetailsDto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[AbpAuthorize(AppPermissions.Pages_Inventory_TOPSSE_InvoiceDetails_Delete)]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Task&lt;PagedResultDto&lt;InvTopsseInvoiceDetailsDto&gt;&gt; GetAll(GetInvTopsseInvoiceDetailsInput input)
        {
            var filtered = _repo.GetAll()
				.WhereIf(!string.IsNullOrWhiteSpace(input.CaseNo), e =&gt; e.CaseNo.Contains(input.CaseNo))
				.WhereIf(!string.IsNullOrWhiteSpace(input.OrderNo), e =&gt; e.OrderNo.Contains(input.OrderNo))
				.WhereIf(!string.IsNullOrWhiteSpace(input.ItemNo), e =&gt; e.ItemNo.Contains(input.ItemNo))
				.WhereIf(!string.IsNullOrWhiteSpace(input.PartNo), e =&gt; e.PartNo.Contains(input.PartNo))
				.WhereIf(!string.IsNullOrWhiteSpace(input.PartName), e =&gt; e.PartName.Contains(input.PartName))
				.WhereIf(!string.IsNullOrWhiteSpace(input.TariffCd), e =&gt; e.TariffCd.Contains(input.TariffCd))
				.WhereIf(!string.IsNullOrWhiteSpace(input.HsCd), e =&gt; e.HsCd.Contains(input.HsCd))
				;
            var pageAndFiltered = filtered.OrderBy(s =&gt; s.Id);
            var system = from o in pageAndFiltered
                         select new InvTopsseInvoiceDetailsDto
                        {
							Id = o.Id,
							CaseNo = o.CaseNo,
							OrderNo = o.OrderNo,
							ItemNo = o.ItemNo,
							PartNo = o.PartNo,
							PartName = o.PartName,
							PartQty = o.PartQty,
							UnitFob = o.UnitFob,
							Amount = o.Amount,
							TariffCd = o.TariffCd,
							HsCd = o.HsCd,
							InvoiceId = o.InvoiceId,
                        };
            var totalCount = await filtered.CountAsync();
			var paged = system.PageBy(input);
            return new PagedResultDto&lt;InvTopsseInvoiceDetailsDto&gt;(
                totalCount,
                 await paged.ToListAsync()
            );
        }
        public async Task&lt;FileDto&gt; GetInvoiceDetailsToExcel(InvTopsseInvoiceDetailsExportInput input)
        {
            var query = from o in _repo.GetAll()
                        select new InvTopsseInvoiceDetailsDto
                        {
							Id = o.Id,
							CaseNo = o.CaseNo,
							OrderNo = o.OrderNo,
							ItemNo = o.ItemNo,
							PartNo = o.PartNo,
							PartName = o.PartName,
							PartQty = o.PartQty,
							UnitFob = o.UnitFob,
							Amount = o.Amount,
							TariffCd = o.TariffCd,
							HsCd = o.HsCd,
							InvoiceId = o.InvoiceId,
                        };
            var exportToExcel = await query.ToListAsync();
            return _calendarListExcelExporter.ExportToFile(exportToExcel);
        }
       // public async Task GenerateAsync()
      //  {
        //    await _dapperRepo.ExecuteAsync(InvTopsseInvoiceDetailsConsts.SP_MST_WPT_CALENDAR_GENERATE);
       // }
    }
}</v>
      </c>
      <c r="N69" s="58" t="str">
        <f>A.Backend!U7</f>
        <v xml:space="preserve">  configuration.CreateMap&lt;InvTopsseInvoiceDetailsDto, InvTopsseInvoiceDetails&gt;();
  configuration.CreateMap&lt;InvTopsseInvoiceDetails, InvTopsseInvoiceDetailsDto&gt;();
  configuration.CreateMap&lt;CreateOrEditInvTopsseInvoiceDetailsDto, InvTopsseInvoiceDetails&gt;();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invoicedetails</v>
      </c>
      <c r="C74" s="66" t="str">
        <f>"create folder " &amp;B74</f>
        <v>create folder invoicedetails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invoicedetails.component.ts</v>
      </c>
      <c r="D75" s="28" t="str">
        <f>B.Frontend!I14</f>
        <v>invoicedetails.component.html</v>
      </c>
      <c r="E75" s="28" t="str">
        <f>B.Frontend!J14</f>
        <v>invoicedetails.component.less</v>
      </c>
      <c r="F75" s="28" t="str">
        <f>B.Frontend!K14</f>
        <v>create-or-edit-invoicedetails-modal.component.html</v>
      </c>
      <c r="G75" s="28" t="str">
        <f>B.Frontend!L14</f>
        <v>create-or-edit-invoicedetails-modal.component.ts</v>
      </c>
      <c r="H75" s="28" t="str">
        <f>B.Frontend!M14</f>
        <v>create-or-edit-invoicedetails-modal.component.less</v>
      </c>
      <c r="I75" s="28" t="str">
        <f>B.Frontend!N14</f>
        <v>invoicedetails.module.ts</v>
      </c>
      <c r="J75" s="28" t="str">
        <f>B.Frontend!O14</f>
        <v>invoicedetails-routing.module.ts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InvTopsseInvoiceDetailsDto, InvTopsseInvoiceDetailsServiceProxy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InvTopsseInvoiceDetailsDto = new InvTopsseInvoiceDetailsDto();
    saveSelectedRow: InvTopsseInvoiceDetailsDto = new InvTopsseInvoiceDetailsDto();
    datas: InvTopsseInvoiceDetailsDto = new InvTopsseInvoiceDetailsDto();
    isLoading: boolean = false;
    dataParams: GridParams | undefined;
    rowData: any[] = [];
    gridApi!: GridApi;
    rowSelection = 'multiple';
    filter: string = '';
	pipe = new DatePipe('en-US');
	frameworkComponents: FrameworkComponent;
    	caseNo : string = '' ; 
	orderNo : string = '' ; 
	itemNo : string = '' ; 
	partNo : string = '' ; 
	partName : string = '' ; 
	tariffCd : string = '' ; 
	hsCd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InvTopsseInvoiceDetailsServiceProxy,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this.l('Order No'),headerTooltip: this.l('Order No'),field: 'orderNo',flex: 1},
			{headerName: this.l('Item No'),headerTooltip: this.l('Item No'),field: 'itemNo',flex: 1},
			{headerName: this.l('Part No'),headerTooltip: this.l('Part No'),field: 'partNo',flex: 1},
			{headerName: this.l('Part Name'),headerTooltip: this.l('Part Name'),field: 'partName',flex: 1},
			{headerName: this.l('Part Qty'),headerTooltip: this.l('Part Qty'),field: 'partQty',flex: 1},
			{headerName: this.l('Unit Fob'),headerTooltip: this.l('Unit Fob'),field: 'unitFob',flex: 1},
			{headerName: this.l('Amount'),headerTooltip: this.l('Amount'),field: 'amount',flex: 1},
			{headerName: this.l('Tariff Cd'),headerTooltip: this.l('Tariff Cd'),field: 'tariffCd',flex: 1},
			{headerName: this.l('Hs Cd'),headerTooltip: this.l('Hs Cd'),field: 'hsCd',flex: 1},
			{headerName: this.l('Invoice Id'),headerTooltip: this.l('Invoice Id'),field: 'invoiceId',flex: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this.caseNo,
			this.orderNo,
			this.itemNo,
			this.partNo,
			this.amount,
			this.tariffCd,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caseNo : string = '' ; 
	orderNo : string = '' ; 
	itemNo : string = '' ; 
	partNo : string = '' ; 
	partName : string = '' ; 
	tariffCd : string = '' ; 
	hsCd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this.caseNo,
			this.orderNo,
			this.itemNo,
			this.partNo,
			this.amount,
			this.tariffCd,
			'',
            this.paginationParams.skipCount,
            this.paginationParams.pageSize
        );
    }
    onChangeRowSelection(params: { api: { getSelectedRows: () =&gt; InvTopsseInvoiceDetailsDto[] } }) {
        this.saveSelectedRow = params.api.getSelectedRows()[0] ?? new InvTopsseInvoiceDetailsDto();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InvTopsseInvoiceDetailsDto):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this.,
			this.caseNo,
			this.orderNo,
			this.itemNo,
			this.partNo,
			this.amount,
			this.tariffCd,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Topsse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[(ngModel)]='itemNo' name='itemNo'
									class='form-control' [placeholder]="l('Item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[(ngModel)]='tariffCd' name='tariffCd'
									class='form-control' [placeholder]="l('Tariff Cd')"
									type='text' (keyup.enter)='searchDatas()'&gt;
								&lt;/div&gt;
								&lt;div class='input-search'&gt;
									&lt;input [(ngModel)]='hsCd' name='hsCd'
									class='form-control' [placeholder]="l('Hs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title'&gt;Item No&lt;/label&gt;
						&lt;input type='text' class='col-md-10 form-control input-text' name='ItemNo' [(ngModel)]='rowdata.itemNo'&gt;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Qty&lt;/label&gt;
						&lt;input type='number' class='col-md-10 form-control input-text' name='PartQty' [(ngModel)]='rowdata.partQty'&gt;
					&lt;/div&gt;
					&lt;div class='col-md-12 form-group row'&gt;
						&lt;label class='col-md-2 form-control title'&gt;Tariff Cd&lt;/label&gt;
						&lt;input type='text' class='col-md-10 form-control input-text' name='TariffCd' [(ngModel)]='rowdata.tariffCd'&gt;
					&lt;/div&gt;
					&lt;div class='col-md-12 form-group row'&gt;
						&lt;label class='col-md-2 form-control title'&gt;Hs Cd&lt;/label&gt;
						&lt;input type='text' class='col-md-10 form-control input-text' name='HsCd' [(ngModel)]='rowdata.hsCd'&gt;
					&lt;/div&gt;
					&lt;div class='col-md-12 form-group row'&gt;
						&lt;label class='col-md-2 form-control title'&gt;Invoice Id&lt;/label&gt;
						&lt;input type='number' class='col-md-10 form-control input-text' name='InvoiceId' [(ngModel)]='rowdata.invoiceId'&gt;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CreateOrEditInvTopsseInvoiceDetailsDto, InvTopsseInvoiceDetailsServiceProxy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CreateOrEditInvTopsseInvoiceDetailsDto = new CreateOrEditInvTopsseInvoiceDetailsDto();
    active: boolean = false;
    saving: boolean = false;
    _: boolean;
    constructor(
        injector: Injector,
        private _mstwptInvoiceDetailsService: InvTopsseInvoiceDetailsServiceProxy,
    ) 
    {
        super(injector);
    }
    show(rowdata?: CreateOrEditInvTopsseInvoiceDetailsDto): void {
        if (!rowdata) this.rowdata = new CreateOrEditInvTopsseInvoiceDetailsDto();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J76" s="46" t="str">
        <f>B.Frontend!O10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K76" s="46" t="str">
        <f>B.Frontend!P10</f>
        <v xml:space="preserve"> new AppMenuItem("InvoiceDetails", "Pages.Inventory.TOPSSE.InvoiceDetails", "flaticon-book",   "/app/main/inventory/topsse/invoicedetails"),</v>
      </c>
      <c r="L76" s="47" t="str">
        <f>B.Frontend!Q10</f>
        <v>{
    path: 'inventory/topsse/invoicedetails',
    loadChildren: () =&gt; import('./inventory/topsse/invoicedetails/invoicedetails.module').then(m =&gt; m.InvoiceDetailsModule),
    data: { permission: 'Pages.Inventory.TOPSSE.InvoiceDetails' }
},</v>
      </c>
      <c r="M76" s="45" t="str">
        <f>B.Frontend!R10</f>
        <v>ApiServiceProxies.InvTopsseInvoiceDetailsServiceProxy,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C22" sqref="C2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vovina.Inventory.TOPSSE.Dto;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377</v>
      </c>
      <c r="C3" s="9" t="s">
        <v>40</v>
      </c>
      <c r="D3" s="9" t="s">
        <v>41</v>
      </c>
      <c r="E3" s="9" t="s">
        <v>36</v>
      </c>
      <c r="F3" s="10" t="str">
        <f>"J"&amp;COUNTA($A:$A)</f>
        <v>J19</v>
      </c>
      <c r="G3" s="4" t="s">
        <v>53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52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TOPSSE</v>
      </c>
      <c r="R3" s="29" t="str">
        <f>REPT(CHAR(9),1)&amp;"public class "&amp;B3&amp;"ExportInput"&amp;C3</f>
        <v xml:space="preserve">	public class InvTopsseInvoiceDetailsExportInput{
</v>
      </c>
      <c r="S3" s="10" t="str">
        <f>"namespace "&amp;$B$6&amp;".Exporting
"&amp;$C$3</f>
        <v xml:space="preserve">namespace prod.Inventory.TOPSSE.Exporting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25">
      <c r="A4" s="1" t="s">
        <v>232</v>
      </c>
      <c r="B4" s="65" t="s">
        <v>318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prod.Inventory.TOPSSE</v>
      </c>
      <c r="C6" s="10" t="str">
        <f>"namespace "&amp;$B$6&amp;"
"&amp;$C$3</f>
        <v xml:space="preserve">namespace prod.Inventory.TOPSSE
{
</v>
      </c>
      <c r="D6" s="10" t="str">
        <f>REPT(CHAR(9),1)&amp;"public class "&amp;B3&amp;G3&amp;REPT(CHAR(9),1)&amp;"
"&amp;REPT(CHAR(9),1)&amp;C3</f>
        <v xml:space="preserve">	public class InvTopsseInvoiceDetails: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InvTopsseInvoiceDetailsConsts	
	{
</v>
      </c>
      <c r="F6" s="10" t="str">
        <f>REPT(CHAR(9),1)&amp;"public class "&amp;B3&amp;"Dto"&amp;K3&amp;REPT(CHAR(9),1)&amp;"
"&amp;REPT(CHAR(9),1)&amp;C3</f>
        <v xml:space="preserve">	public class InvTopsseInvoiceDetailsDto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CreateOrEditInvTopsseInvoiceDetailsDto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GetInvTopsseInvoiceDetailsInput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InvTopsseInvoiceDetails</v>
      </c>
      <c r="C7" s="10" t="str">
        <f>REPT(CHAR(9),1)&amp;"[Table("""&amp;B7&amp;""")]"&amp;"
"</f>
        <v xml:space="preserve">	[Table("InvTopsseInvoiceDetails")]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prod.Inventory.TOPSSE
{
	[Table("InvTopsseInvoiceDetails")]
	public class InvTopsseInvoiceDetails: FullAuditedEntity&lt;long&gt;, IEntity&lt;long&gt;	
	{
		public const int MaxCaseNoLength = 8;
		public const int MaxOrderNoLength = 8;
		public const int MaxItemNoLength = 4;
		public const int MaxPartNoLength = 15;
		public const int MaxPartNameLength = 100;
		public const int MaxTariffCdLength = 3;
		public const int MaxHsCdLength = 15;
		[StringLength(MaxCaseNoLength)]
		public virtual string CaseNo { get; set; }
		[StringLength(MaxOrderNoLength)]
		public virtual string OrderNo { get; set; }
		[StringLength(MaxItemNoLength)]
		public virtual string ItemNo { get; set; }
		[StringLength(MaxPartNoLength)]
		public virtual string PartNo { get; set; }
		[StringLength(MaxPartNameLength)]
		public virtual string PartName { get; set; }
		public virtual int? PartQty { get; set; }
		public virtual decimal? UnitFob { get; set; }
		public virtual decimal? Amount { get; set; }
		[StringLength(MaxTariffCdLength)]
		public virtual string TariffCd { get; set; }
		[StringLength(MaxHsCdLength)]
		public virtual string HsCd { get; set; }
		public virtual long? InvoiceId { get; set; }
	}
}
</v>
      </c>
      <c r="K7" t="str">
        <f>SUBSTITUTE(SUBSTITUTE(("public virtual DbSet&lt;"&amp;B3&amp;"&gt; "&amp;B3&amp;"s { get; set; }"),"WorkingPattern",$Q$3),"Master",$B$4)</f>
        <v>public virtual DbSet&lt;InvTopsseInvoiceDetails&gt; InvTopsseInvoiceDetailss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prod.Inventory.TOPSSE
{
	public class InvTopsseInvoiceDetailsConsts	
	{
		public const int MaxCaseNoLength = 8;
		public const int MaxOrderNoLength = 8;
		public const int MaxItemNoLength = 4;
		public const int MaxPartNoLength = 15;
		public const int MaxPartNameLength = 100;
		public const int MaxTariffCdLength = 3;
		public const int MaxHsCdLength = 15;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prod.Inventory.TOPSSE.Dto
{
	public class InvTopsseInvoiceDetailsDto : EntityDto&lt;long?&gt;	
	{
		public virtual string CaseNo { get; set; }
		public virtual string OrderNo { get; set; }
		public virtual string ItemNo { get; set; }
		public virtual string PartNo { get; set; }
		public virtual string PartName { get; set; }
		public virtual int? PartQty { get; set; }
		public virtual decimal? UnitFob { get; set; }
		public virtual decimal? Amount { get; set; }
		public virtual string TariffCd { get; set; }
		public virtual string HsCd { get; set; }
		public virtual long? InvoiceId { get; set; }
	}
	public class CreateOrEditInvTopsseInvoiceDetailsDto : EntityDto&lt;long?&gt;	
	{
		[StringLength(InvTopsseInvoiceDetailsConsts.MaxCaseNoLength)]
		public virtual string CaseNo { get; set; }
		[StringLength(InvTopsseInvoiceDetailsConsts.MaxOrderNoLength)]
		public virtual string OrderNo { get; set; }
		[StringLength(InvTopsseInvoiceDetailsConsts.MaxItemNoLength)]
		public virtual string ItemNo { get; set; }
		[StringLength(InvTopsseInvoiceDetailsConsts.MaxPartNoLength)]
		public virtual string PartNo { get; set; }
		[StringLength(InvTopsseInvoiceDetailsConsts.MaxPartNameLength)]
		public virtual string PartName { get; set; }
		public virtual int? PartQty { get; set; }
		public virtual decimal? UnitFob { get; set; }
		public virtual decimal? Amount { get; set; }
		[StringLength(InvTopsseInvoiceDetailsConsts.MaxTariffCdLength)]
		public virtual string TariffCd { get; set; }
		[StringLength(InvTopsseInvoiceDetailsConsts.MaxHsCdLength)]
		public virtual string HsCd { get; set; }
		public virtual long? InvoiceId { get; set; }
	}
	public class GetInvTopsseInvoiceDetailsInput : PagedAndSortedResultRequestDto	
	{
		public virtual string CaseNo { get; set; }
		public virtual string OrderNo { get; set; }
		public virtual string ItemNo { get; set; }
		public virtual string PartNo { get; set; }
		public virtual string PartName { get; set; }
		public virtual string TariffCd { get; set; }
		public virtual string HsCd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perInvTopsseInvoiceDetails = PARENTS.CreateChildPermission(AppPermissions.Pages_Inventory_TOPSSE_InvoiceDetails, L( "InventoryTOPSSEInvoiceDetails"), multiTenancySides: MultiTenancySides.Tenant);
		perInvTopsseInvoiceDetails.CreateChildPermission(AppPermissions.Pages_Inventory_TOPSSE_InvoiceDetails_CreateEdit, L( "InventoryTOPSSEInvoiceDetailsCreateEdit"), multiTenancySides: MultiTenancySides.Tenant);
		perInvTopsseInvoiceDetails.CreateChildPermission(AppPermissions.Pages_Inventory_TOPSSE_InvoiceDetails_Delete, L( "InventoryTOPSSEInvoiceDetailsDelete"),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Pages_Inventory_TOPSSE_InvoiceDetails = "Pages.Inventory.TOPSSE.InvoiceDetails";
		public const string Pages_Inventory_TOPSSE_InvoiceDetails_CreateEdit = "Pages.Inventory.TOPSSE.InvoiceDetails.CreateEdit";
		public const string Pages_Inventory_TOPSSE_InvoiceDetails_Delete = "Pages.Inventory.TOPSSE.InvoiceDetails.Delete";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vovina.Inventory.TOPSSE.Dto;
namespace prod.Inventory.TOPSSE
{
	public interface IInvTopsseInvoiceDetailsAppService : IApplicationService
	{
		Task&lt;PagedResultDto&lt;InvTopsseInvoiceDetailsDto&gt;&gt; GetAll(GetInvTopsseInvoiceDetailsInput input);
		Task CreateOrEdit(CreateOrEditInvTopsseInvoiceDetailsDto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vovina.Inventory.TOPSSE.Dto;
using vovina.Inventory.TOPSSE.Exporting;
namespace vovina.Inventory.TOPSSE
{
    [AbpAuthorize(AppPermissions.Pages_Inventory_TOPSSE_InvoiceDetails)]
    public class InvTopsseInvoiceDetailsAppService : vovinaAppServiceBase, IInvTopsseInvoiceDetailsAppService
    {
        private readonly IDapperRepository&lt;InvTopsseInvoiceDetails, long&gt; _dapperRepo;
        private readonly IRepository&lt;InvTopsseInvoiceDetails, long&gt; _repo;
        private readonly IInvTopsseInvoiceDetailsExcelExporter _calendarListExcelExporter;
        public InvTopsseInvoiceDetailsAppService(IRepository&lt;InvTopsseInvoiceDetails,long&gt; repo, 
                                         IDapperRepository&lt;InvTopsseInvoiceDetails,long&gt; dapperRepo,
                                        IInvTopsseInvoiceDetailsExcelExporter calendarListExcelExporter
            )
        {
            _repo = repo;
            _dapperRepo = dapperRepo;
            _calendarListExcelExporter = calendarListExcelExporter;
        }
        [AbpAuthorize(AppPermissions.Pages_Inventory_TOPSSE_InvoiceDetails_CreateEdit)]
        public async Task CreateOrEdit(CreateOrEditInvTopsseInvoiceDetailsDto input)
        {
            if (input.Id == null) await Create(input);
            else await Update(input);
        }
        //CREATE
        private async Task Create(CreateOrEditInvTopsseInvoiceDetailsDto input)
        {          
            var mainObj = ObjectMapper.Map&lt;InvTopsseInvoiceDetails&gt;(input);
            await CurrentUnitOfWork.GetDbContext&lt;vovinaDbContext&gt;().AddAsync(mainObj);
        }
        // EDIT
        private async Task Update(CreateOrEditInvTopsseInvoiceDetailsDto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[AbpAuthorize(AppPermissions.Pages_Inventory_TOPSSE_InvoiceDetails_Delete)]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Task&lt;PagedResultDto&lt;InvTopsseInvoiceDetailsDto&gt;&gt; GetAll(GetInvTopsseInvoiceDetailsInput input)
        {
            var filtered = _repo.GetAll()
				.WhereIf(!string.IsNullOrWhiteSpace(input.CaseNo), e =&gt; e.CaseNo.Contains(input.CaseNo))
				.WhereIf(!string.IsNullOrWhiteSpace(input.OrderNo), e =&gt; e.OrderNo.Contains(input.OrderNo))
				.WhereIf(!string.IsNullOrWhiteSpace(input.ItemNo), e =&gt; e.ItemNo.Contains(input.ItemNo))
				.WhereIf(!string.IsNullOrWhiteSpace(input.PartNo), e =&gt; e.PartNo.Contains(input.PartNo))
				.WhereIf(!string.IsNullOrWhiteSpace(input.PartName), e =&gt; e.PartName.Contains(input.PartName))
				.WhereIf(!string.IsNullOrWhiteSpace(input.TariffCd), e =&gt; e.TariffCd.Contains(input.TariffCd))
				.WhereIf(!string.IsNullOrWhiteSpace(input.HsCd), e =&gt; e.HsCd.Contains(input.HsCd))
				;
            var pageAndFiltered = filtered.OrderBy(s =&gt; s.Id);
            var system = from o in pageAndFiltered
                         select new InvTopsseInvoiceDetailsDto
                        {
							Id = o.Id,
							CaseNo = o.CaseNo,
							OrderNo = o.OrderNo,
							ItemNo = o.ItemNo,
							PartNo = o.PartNo,
							PartName = o.PartName,
							PartQty = o.PartQty,
							UnitFob = o.UnitFob,
							Amount = o.Amount,
							TariffCd = o.TariffCd,
							HsCd = o.HsCd,
							InvoiceId = o.InvoiceId,
                        };
            var totalCount = await filtered.CountAsync();
			var paged = system.PageBy(input);
            return new PagedResultDto&lt;InvTopsseInvoiceDetailsDto&gt;(
                totalCount,
                 await paged.ToListAsync()
            );
        }
        public async Task&lt;FileDto&gt; GetInvoiceDetailsToExcel(InvTopsseInvoiceDetailsExportInput input)
        {
            var query = from o in _repo.GetAll()
                        select new InvTopsseInvoiceDetailsDto
                        {
							Id = o.Id,
							CaseNo = o.CaseNo,
							OrderNo = o.OrderNo,
							ItemNo = o.ItemNo,
							PartNo = o.PartNo,
							PartName = o.PartName,
							PartQty = o.PartQty,
							UnitFob = o.UnitFob,
							Amount = o.Amount,
							TariffCd = o.TariffCd,
							HsCd = o.HsCd,
							InvoiceId = o.InvoiceId,
                        };
            var exportToExcel = await query.ToListAsync();
            return _calendarListExcelExporter.ExportToFile(exportToExcel);
        }
       // public async Task GenerateAsync()
      //  {
        //    await _dapperRepo.ExecuteAsync(InvTopsseInvoiceDetailsConsts.SP_MST_WPT_CALENDAR_GENERATE);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prod.Inventory.TOPSSE.Dto
{
	public class InvTopsseInvoiceDetailsExportInput{
		public virtual string CaseNo { get; set; }
		public virtual string OrderNo { get; set; }
		public virtual string ItemNo { get; set; }
		public virtual string PartNo { get; set; }
		public virtual string PartName { get; set; }
		public virtual int? PartQty { get; set; }
		public virtual decimal? UnitFob { get; set; }
		public virtual decimal? Amount { get; set; }
		public virtual string TariffCd { get; set; }
		public virtual string HsCd { get; set; }
		public virtual long? InvoiceId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vovina.Inventory.TOPSSE.Dto;
namespace prod.Inventory.TOPSSE.Exporting
{
	public interface IInvTopsseInvoiceDetailsExcelExporter : IApplicationService
	{
		FileDto ExportToFile(List&lt;InvTopsseInvoiceDetailsDto&gt; invtopsseinvoicedetails);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vovina.Inventory.TOPSSE.Exporting;
using vovina.Inventory.TOPSSE.Dto;
using vovina.Storage;
using vovina.Inventory.TOPSSE.Dto;
namespace vovina.Inventory.TOPSSE.Exporting
{
    public class InvTopsseInvoiceDetailsExcelExporter : NpoiExcelExporterBase, IInvTopsseInvoiceDetailsExcelExporter
    {
        public InvTopsseInvoiceDetailsExcelExporter(ITempFileCacheManager tempFileCacheManager) : base(tempFileCacheManager) { }
        public FileDto ExportToFile(List&lt;InvTopsseInvoiceDetailsDto&gt; invoicedetails)
        {
            return CreateExcelPackage(
				"InventoryTOPSSEInvoiceDetails.xlsx",
				excelPackage =&gt;
				 {
					var sheet = excelPackage.CreateSheet("InvoiceDetails");
					AddHeader(
								sheet,
								("CaseNo"),
								("OrderNo"),
								("ItemNo"),
								("PartNo"),
								("PartName"),
								("PartQty"),
								("UnitFob"),
								("Amount"),
								("TariffCd"),
								("HsCd"),
								("InvoiceId"),
							   );
					AddObjects(
						 sheet, 1, invoicedetails,                                       
								_ =&gt; _.CaseNo,
								_ =&gt; _.OrderNo,
								_ =&gt; _.ItemNo,
								_ =&gt; _.PartNo,
								_ =&gt; _.PartName,
								_ =&gt; _.PartQty,
								_ =&gt; _.UnitFob,
								_ =&gt; _.Amount,
								_ =&gt; _.TariffCd,
								_ =&gt; _.HsCd,
								_ =&gt; _.InvoiceId,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configuration.CreateMap&lt;InvTopsseInvoiceDetailsDto, InvTopsseInvoiceDetails&gt;();
  configuration.CreateMap&lt;InvTopsseInvoiceDetails, InvTopsseInvoiceDetailsDto&gt;();
  configuration.CreateMap&lt;CreateOrEditInvTopsseInvoiceDetailsDto, InvTopsseInvoiceDetails&gt;();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358</v>
      </c>
      <c r="B9" s="28" t="s">
        <v>363</v>
      </c>
      <c r="C9" t="s">
        <v>1</v>
      </c>
      <c r="D9" t="str">
        <f t="shared" ref="D9" si="0">SUBSTITUTE(PROPER(A9),"_","")</f>
        <v>CaseNo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8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MaxCaseNoLength = 8;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[StringLength(MaxCaseNoLength)]
		public virtual string CaseNo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CaseNo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[StringLength(InvTopsseInvoiceDetailsConsts.MaxCaseNoLength)]
		public virtual string CaseNo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CaseNo { get; set; }
</v>
      </c>
      <c r="P9" t="str">
        <f t="shared" ref="P9" si="9">REPT(CHAR(9),7)&amp;D9&amp;" = o." &amp;D9 &amp;","</f>
        <v xml:space="preserve">							CaseNo = o.CaseNo,</v>
      </c>
      <c r="T9" s="63" t="str">
        <f t="shared" ref="T9" si="10">REPT(CHAR(9),8)&amp;"("""&amp;D9&amp;"""),"</f>
        <v xml:space="preserve">								("CaseNo"),</v>
      </c>
      <c r="V9" s="64" t="str">
        <f t="shared" ref="V9" si="11">REPT(CHAR(9),8)&amp;"_ =&gt; _."&amp;D9&amp;","</f>
        <v xml:space="preserve">								_ =&gt; _.CaseNo,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.WhereIf(!string.IsNullOrWhiteSpace(input.CaseNo), e =&gt; e.CaseNo.Contains(input.CaseNo))</v>
      </c>
    </row>
    <row r="10" spans="1:23" customFormat="1" ht="18.75" customHeight="1" x14ac:dyDescent="0.25">
      <c r="A10" s="28" t="s">
        <v>359</v>
      </c>
      <c r="B10" s="28" t="s">
        <v>363</v>
      </c>
      <c r="C10" t="s">
        <v>1</v>
      </c>
      <c r="D10" t="str">
        <f t="shared" ref="D10" si="13">SUBSTITUTE(PROPER(A10),"_","")</f>
        <v>OrderNo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8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MaxOrderNoLength = 8;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[StringLength(MaxOrderNoLength)]
		public virtual string OrderNo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OrderNo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[StringLength(InvTopsseInvoiceDetailsConsts.MaxOrderNoLength)]
		public virtual string OrderNo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OrderNo { get; set; }
</v>
      </c>
      <c r="P10" t="str">
        <f t="shared" ref="P10" si="22">REPT(CHAR(9),7)&amp;D10&amp;" = o." &amp;D10 &amp;","</f>
        <v xml:space="preserve">							OrderNo = o.OrderNo,</v>
      </c>
      <c r="T10" s="63" t="str">
        <f t="shared" ref="T10" si="23">REPT(CHAR(9),8)&amp;"("""&amp;D10&amp;"""),"</f>
        <v xml:space="preserve">								("OrderNo"),</v>
      </c>
      <c r="V10" s="64" t="str">
        <f t="shared" ref="V10" si="24">REPT(CHAR(9),8)&amp;"_ =&gt; _."&amp;D10&amp;","</f>
        <v xml:space="preserve">								_ =&gt; _.OrderNo,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.WhereIf(!string.IsNullOrWhiteSpace(input.OrderNo), e =&gt; e.OrderNo.Contains(input.OrderNo))</v>
      </c>
    </row>
    <row r="11" spans="1:23" customFormat="1" ht="18.75" customHeight="1" x14ac:dyDescent="0.25">
      <c r="A11" s="28" t="s">
        <v>360</v>
      </c>
      <c r="B11" s="28" t="s">
        <v>364</v>
      </c>
      <c r="C11" t="s">
        <v>1</v>
      </c>
      <c r="D11" t="str">
        <f t="shared" ref="D11:D13" si="26">SUBSTITUTE(PROPER(A11),"_","")</f>
        <v>ItemNo</v>
      </c>
      <c r="E11" t="str">
        <f t="shared" ref="E11:E13" si="27">IFERROR(LEFT(B11, FIND("(",B11)-1),B11)</f>
        <v>nvarchar</v>
      </c>
      <c r="F11" s="6"/>
      <c r="G11" t="str">
        <f t="shared" ref="G11:G13" si="28">IFERROR(MID(B11,FIND("(",B11) +1, FIND(")",B11) - FIND("(",B11) - 1),"")</f>
        <v>4</v>
      </c>
      <c r="H11" t="str">
        <f>+VLOOKUP(E11,'Data Type Mapping'!A:B,2,)</f>
        <v>string</v>
      </c>
      <c r="I11" t="str">
        <f t="shared" ref="I11:I13" si="29">IF(H11="string",REPT(CHAR(9),2)&amp;"public const int Max"&amp;D11&amp;"Length = "&amp;G11&amp;";"&amp;$E$3,"" )</f>
        <v xml:space="preserve">		public const int MaxItemNoLength = 4;
</v>
      </c>
      <c r="J11" t="str">
        <f t="shared" ref="J11:J13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[StringLength(MaxItemNoLength)]
		public virtual string ItemNo { get; set; }
</v>
      </c>
      <c r="K11" s="6"/>
      <c r="L11" t="str">
        <f t="shared" ref="L11:L13" si="31">IF(K11="","",REPT(CHAR(9),1)&amp;"[Index(nameof("&amp;IF(D11="","",""&amp;D11)&amp;")"&amp;", Name="&amp;"""IX_"&amp;$B$7&amp;"_"&amp;D11&amp;""")]")</f>
        <v/>
      </c>
      <c r="M11" t="str">
        <f t="shared" ref="M11:M13" si="32">REPT(CHAR(9),2)&amp;"public virtual "&amp;IF(OR(H11="DateTime",H11="TimeSpan"),H11&amp;"?",H11)&amp;IF(C11="?","? "," ")&amp;D11&amp;" { get; set; }" &amp; "
"</f>
        <v xml:space="preserve">		public virtual string ItemNo { get; set; }
</v>
      </c>
      <c r="N11" t="str">
        <f t="shared" ref="N11:N13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[StringLength(InvTopsseInvoiceDetailsConsts.MaxItemNoLength)]
		public virtual string ItemNo { get; set; }
</v>
      </c>
      <c r="O11" t="str">
        <f t="shared" ref="O11:O13" si="34">IF(OR(H11="string",H11="DateTime",H11="int"),REPT(CHAR(9),2)&amp;"public virtual "&amp;IF(OR(H11="DateTime",H11="TimeSpan"),H11&amp;"?",H11)&amp;IF(C11="?","? "," ")&amp;D11&amp;" { get; set; }"&amp;$E$3,"")</f>
        <v xml:space="preserve">		public virtual string ItemNo { get; set; }
</v>
      </c>
      <c r="P11" t="str">
        <f t="shared" ref="P11:P13" si="35">REPT(CHAR(9),7)&amp;D11&amp;" = o." &amp;D11 &amp;","</f>
        <v xml:space="preserve">							ItemNo = o.ItemNo,</v>
      </c>
      <c r="T11" s="63" t="str">
        <f t="shared" ref="T11:T13" si="36">REPT(CHAR(9),8)&amp;"("""&amp;D11&amp;"""),"</f>
        <v xml:space="preserve">								("ItemNo"),</v>
      </c>
      <c r="V11" s="64" t="str">
        <f t="shared" ref="V11:V13" si="37">REPT(CHAR(9),8)&amp;"_ =&gt; _."&amp;D11&amp;","</f>
        <v xml:space="preserve">								_ =&gt; _.ItemNo,</v>
      </c>
      <c r="W11" s="63" t="str">
        <f t="shared" ref="W11:W13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.WhereIf(!string.IsNullOrWhiteSpace(input.ItemNo), e =&gt; e.ItemNo.Contains(input.ItemNo))</v>
      </c>
    </row>
    <row r="12" spans="1:23" customFormat="1" ht="18.75" customHeight="1" x14ac:dyDescent="0.25">
      <c r="A12" s="28" t="s">
        <v>361</v>
      </c>
      <c r="B12" s="28" t="s">
        <v>365</v>
      </c>
      <c r="C12" t="s">
        <v>1</v>
      </c>
      <c r="D12" t="str">
        <f t="shared" si="26"/>
        <v>PartNo</v>
      </c>
      <c r="E12" t="str">
        <f t="shared" si="27"/>
        <v>nvarchar</v>
      </c>
      <c r="F12" s="6"/>
      <c r="G12" t="str">
        <f t="shared" si="28"/>
        <v>15</v>
      </c>
      <c r="H12" t="str">
        <f>+VLOOKUP(E12,'Data Type Mapping'!A:B,2,)</f>
        <v>string</v>
      </c>
      <c r="I12" t="str">
        <f t="shared" si="29"/>
        <v xml:space="preserve">		public const int MaxPartNoLength = 15;
</v>
      </c>
      <c r="J12" t="str">
        <f t="shared" si="30"/>
        <v xml:space="preserve">		[StringLength(MaxPartNoLength)]
		public virtual string PartNo { get; set; }
</v>
      </c>
      <c r="K12" s="6"/>
      <c r="L12" t="str">
        <f t="shared" si="31"/>
        <v/>
      </c>
      <c r="M12" t="str">
        <f t="shared" si="32"/>
        <v xml:space="preserve">		public virtual string PartNo { get; set; }
</v>
      </c>
      <c r="N12" t="str">
        <f t="shared" si="33"/>
        <v xml:space="preserve">		[StringLength(InvTopsseInvoiceDetailsConsts.MaxPartNoLength)]
		public virtual string PartNo { get; set; }
</v>
      </c>
      <c r="O12" t="str">
        <f t="shared" si="34"/>
        <v xml:space="preserve">		public virtual string PartNo { get; set; }
</v>
      </c>
      <c r="P12" t="str">
        <f t="shared" si="35"/>
        <v xml:space="preserve">							PartNo = o.PartNo,</v>
      </c>
      <c r="T12" s="63" t="str">
        <f t="shared" si="36"/>
        <v xml:space="preserve">								("PartNo"),</v>
      </c>
      <c r="V12" s="64" t="str">
        <f t="shared" si="37"/>
        <v xml:space="preserve">								_ =&gt; _.PartNo,</v>
      </c>
      <c r="W12" s="63" t="str">
        <f t="shared" si="38"/>
        <v xml:space="preserve">				.WhereIf(!string.IsNullOrWhiteSpace(input.PartNo), e =&gt; e.PartNo.Contains(input.PartNo))</v>
      </c>
    </row>
    <row r="13" spans="1:23" customFormat="1" ht="18.75" customHeight="1" x14ac:dyDescent="0.25">
      <c r="A13" s="28" t="s">
        <v>362</v>
      </c>
      <c r="B13" s="28" t="s">
        <v>366</v>
      </c>
      <c r="C13" t="s">
        <v>1</v>
      </c>
      <c r="D13" t="str">
        <f t="shared" si="26"/>
        <v>PartName</v>
      </c>
      <c r="E13" t="str">
        <f t="shared" si="27"/>
        <v>nvarchar</v>
      </c>
      <c r="F13" s="6"/>
      <c r="G13" t="str">
        <f t="shared" si="28"/>
        <v>100</v>
      </c>
      <c r="H13" t="str">
        <f>+VLOOKUP(E13,'Data Type Mapping'!A:B,2,)</f>
        <v>string</v>
      </c>
      <c r="I13" t="str">
        <f t="shared" si="29"/>
        <v xml:space="preserve">		public const int MaxPartNameLength = 100;
</v>
      </c>
      <c r="J13" t="str">
        <f t="shared" si="30"/>
        <v xml:space="preserve">		[StringLength(MaxPartNameLength)]
		public virtual string PartName { get; set; }
</v>
      </c>
      <c r="K13" s="6"/>
      <c r="L13" t="str">
        <f t="shared" si="31"/>
        <v/>
      </c>
      <c r="M13" t="str">
        <f t="shared" si="32"/>
        <v xml:space="preserve">		public virtual string PartName { get; set; }
</v>
      </c>
      <c r="N13" t="str">
        <f t="shared" si="33"/>
        <v xml:space="preserve">		[StringLength(InvTopsseInvoiceDetailsConsts.MaxPartNameLength)]
		public virtual string PartName { get; set; }
</v>
      </c>
      <c r="O13" t="str">
        <f t="shared" si="34"/>
        <v xml:space="preserve">		public virtual string PartName { get; set; }
</v>
      </c>
      <c r="P13" t="str">
        <f t="shared" si="35"/>
        <v xml:space="preserve">							PartName = o.PartName,</v>
      </c>
      <c r="T13" s="63" t="str">
        <f t="shared" si="36"/>
        <v xml:space="preserve">								("PartName"),</v>
      </c>
      <c r="V13" s="64" t="str">
        <f t="shared" si="37"/>
        <v xml:space="preserve">								_ =&gt; _.PartName,</v>
      </c>
      <c r="W13" s="63" t="str">
        <f t="shared" si="38"/>
        <v xml:space="preserve">				.WhereIf(!string.IsNullOrWhiteSpace(input.PartName), e =&gt; e.PartName.Contains(input.PartName))</v>
      </c>
    </row>
    <row r="14" spans="1:23" customFormat="1" ht="18.75" customHeight="1" x14ac:dyDescent="0.25">
      <c r="A14" s="28" t="s">
        <v>367</v>
      </c>
      <c r="B14" s="28" t="s">
        <v>4</v>
      </c>
      <c r="C14" t="s">
        <v>1</v>
      </c>
      <c r="D14" t="str">
        <f t="shared" ref="D14" si="39">SUBSTITUTE(PROPER(A14),"_","")</f>
        <v>PartQty</v>
      </c>
      <c r="E14" t="str">
        <f t="shared" ref="E14" si="40">IFERROR(LEFT(B14, FIND("(",B14)-1),B14)</f>
        <v>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int?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int? PartQty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int? PartQty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int? PartQty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PartQty = o.PartQty,</v>
      </c>
      <c r="T14" s="63" t="str">
        <f t="shared" ref="T14" si="49">REPT(CHAR(9),8)&amp;"("""&amp;D14&amp;"""),"</f>
        <v xml:space="preserve">								("PartQty"),</v>
      </c>
      <c r="V14" s="64" t="str">
        <f t="shared" ref="V14" si="50">REPT(CHAR(9),8)&amp;"_ =&gt; _."&amp;D14&amp;","</f>
        <v xml:space="preserve">								_ =&gt; _.PartQty,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368</v>
      </c>
      <c r="B15" s="28" t="s">
        <v>369</v>
      </c>
      <c r="C15" t="s">
        <v>1</v>
      </c>
      <c r="D15" t="str">
        <f t="shared" ref="D15" si="52">SUBSTITUTE(PROPER(A15),"_","")</f>
        <v>UnitFob</v>
      </c>
      <c r="E15" t="str">
        <f t="shared" ref="E15" si="53">IFERROR(LEFT(B15, FIND("(",B15)-1),B15)</f>
        <v>decimal</v>
      </c>
      <c r="F15" s="6"/>
      <c r="G15" t="str">
        <f t="shared" ref="G15" si="54">IFERROR(MID(B15,FIND("(",B15) +1, FIND(")",B15) - FIND("(",B15) - 1),"")</f>
        <v>16,3</v>
      </c>
      <c r="H15" t="str">
        <f>+VLOOKUP(E15,'Data Type Mapping'!A:B,2,)</f>
        <v>decimal?</v>
      </c>
      <c r="I15" t="str">
        <f t="shared" ref="I15" si="55">IF(H15="string",REPT(CHAR(9),2)&amp;"public const int Max"&amp;D15&amp;"Length = "&amp;G15&amp;";"&amp;$E$3,"" )</f>
        <v/>
      </c>
      <c r="J15" t="str">
        <f t="shared" ref="J15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decimal? UnitFob { get; set; }
</v>
      </c>
      <c r="K15" s="6"/>
      <c r="L15" t="str">
        <f t="shared" ref="L15" si="57">IF(K15="","",REPT(CHAR(9),1)&amp;"[Index(nameof("&amp;IF(D15="","",""&amp;D15)&amp;")"&amp;", Name="&amp;"""IX_"&amp;$B$7&amp;"_"&amp;D15&amp;""")]")</f>
        <v/>
      </c>
      <c r="M15" t="str">
        <f t="shared" ref="M15" si="58">REPT(CHAR(9),2)&amp;"public virtual "&amp;IF(OR(H15="DateTime",H15="TimeSpan"),H15&amp;"?",H15)&amp;IF(C15="?","? "," ")&amp;D15&amp;" { get; set; }" &amp; "
"</f>
        <v xml:space="preserve">		public virtual decimal? UnitFob { get; set; }
</v>
      </c>
      <c r="N15" t="str">
        <f t="shared" ref="N15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decimal? UnitFob { get; set; }
</v>
      </c>
      <c r="O15" t="str">
        <f t="shared" ref="O15" si="60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" si="61">REPT(CHAR(9),7)&amp;D15&amp;" = o." &amp;D15 &amp;","</f>
        <v xml:space="preserve">							UnitFob = o.UnitFob,</v>
      </c>
      <c r="T15" s="63" t="str">
        <f t="shared" ref="T15" si="62">REPT(CHAR(9),8)&amp;"("""&amp;D15&amp;"""),"</f>
        <v xml:space="preserve">								("UnitFob"),</v>
      </c>
      <c r="V15" s="64" t="str">
        <f t="shared" ref="V15" si="63">REPT(CHAR(9),8)&amp;"_ =&gt; _."&amp;D15&amp;","</f>
        <v xml:space="preserve">								_ =&gt; _.UnitFob,</v>
      </c>
      <c r="W15" s="63" t="str">
        <f t="shared" ref="W15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370</v>
      </c>
      <c r="B16" s="28" t="s">
        <v>371</v>
      </c>
      <c r="C16" t="s">
        <v>1</v>
      </c>
      <c r="D16" t="str">
        <f t="shared" ref="D16:D19" si="65">SUBSTITUTE(PROPER(A16),"_","")</f>
        <v>Amount</v>
      </c>
      <c r="E16" t="str">
        <f t="shared" ref="E16:E19" si="66">IFERROR(LEFT(B16, FIND("(",B16)-1),B16)</f>
        <v>decimal</v>
      </c>
      <c r="F16" s="6"/>
      <c r="G16" t="str">
        <f t="shared" ref="G16:G19" si="67">IFERROR(MID(B16,FIND("(",B16) +1, FIND(")",B16) - FIND("(",B16) - 1),"")</f>
        <v>18,3</v>
      </c>
      <c r="H16" t="str">
        <f>+VLOOKUP(E16,'Data Type Mapping'!A:B,2,)</f>
        <v>decimal?</v>
      </c>
      <c r="I16" t="str">
        <f t="shared" ref="I16:I19" si="68">IF(H16="string",REPT(CHAR(9),2)&amp;"public const int Max"&amp;D16&amp;"Length = "&amp;G16&amp;";"&amp;$E$3,"" )</f>
        <v/>
      </c>
      <c r="J16" t="str">
        <f t="shared" ref="J16:J19" si="6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decimal? Amount { get; set; }
</v>
      </c>
      <c r="K16" s="6"/>
      <c r="L16" t="str">
        <f t="shared" ref="L16:L19" si="70">IF(K16="","",REPT(CHAR(9),1)&amp;"[Index(nameof("&amp;IF(D16="","",""&amp;D16)&amp;")"&amp;", Name="&amp;"""IX_"&amp;$B$7&amp;"_"&amp;D16&amp;""")]")</f>
        <v/>
      </c>
      <c r="M16" t="str">
        <f t="shared" ref="M16:M19" si="71">REPT(CHAR(9),2)&amp;"public virtual "&amp;IF(OR(H16="DateTime",H16="TimeSpan"),H16&amp;"?",H16)&amp;IF(C16="?","? "," ")&amp;D16&amp;" { get; set; }" &amp; "
"</f>
        <v xml:space="preserve">		public virtual decimal? Amount { get; set; }
</v>
      </c>
      <c r="N16" t="str">
        <f t="shared" ref="N16:N19" si="72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decimal? Amount { get; set; }
</v>
      </c>
      <c r="O16" t="str">
        <f t="shared" ref="O16:O19" si="73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19" si="74">REPT(CHAR(9),7)&amp;D16&amp;" = o." &amp;D16 &amp;","</f>
        <v xml:space="preserve">							Amount = o.Amount,</v>
      </c>
      <c r="T16" s="63" t="str">
        <f t="shared" ref="T16:T19" si="75">REPT(CHAR(9),8)&amp;"("""&amp;D16&amp;"""),"</f>
        <v xml:space="preserve">								("Amount"),</v>
      </c>
      <c r="V16" s="64" t="str">
        <f t="shared" ref="V16:V19" si="76">REPT(CHAR(9),8)&amp;"_ =&gt; _."&amp;D16&amp;","</f>
        <v xml:space="preserve">								_ =&gt; _.Amount,</v>
      </c>
      <c r="W16" s="63" t="str">
        <f t="shared" ref="W16:W19" si="77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s="28" t="s">
        <v>372</v>
      </c>
      <c r="B17" s="28" t="s">
        <v>373</v>
      </c>
      <c r="C17" t="s">
        <v>1</v>
      </c>
      <c r="D17" t="str">
        <f t="shared" si="65"/>
        <v>TariffCd</v>
      </c>
      <c r="E17" t="str">
        <f t="shared" si="66"/>
        <v>nvarchar</v>
      </c>
      <c r="F17" s="6"/>
      <c r="G17" t="str">
        <f t="shared" si="67"/>
        <v>3</v>
      </c>
      <c r="H17" t="str">
        <f>+VLOOKUP(E17,'Data Type Mapping'!A:B,2,)</f>
        <v>string</v>
      </c>
      <c r="I17" t="str">
        <f t="shared" si="68"/>
        <v xml:space="preserve">		public const int MaxTariffCdLength = 3;
</v>
      </c>
      <c r="J17" t="str">
        <f t="shared" si="69"/>
        <v xml:space="preserve">		[StringLength(MaxTariffCdLength)]
		public virtual string TariffCd { get; set; }
</v>
      </c>
      <c r="K17" s="6"/>
      <c r="L17" t="str">
        <f t="shared" si="70"/>
        <v/>
      </c>
      <c r="M17" t="str">
        <f t="shared" si="71"/>
        <v xml:space="preserve">		public virtual string TariffCd { get; set; }
</v>
      </c>
      <c r="N17" t="str">
        <f t="shared" si="72"/>
        <v xml:space="preserve">		[StringLength(InvTopsseInvoiceDetailsConsts.MaxTariffCdLength)]
		public virtual string TariffCd { get; set; }
</v>
      </c>
      <c r="O17" t="str">
        <f t="shared" si="73"/>
        <v xml:space="preserve">		public virtual string TariffCd { get; set; }
</v>
      </c>
      <c r="P17" t="str">
        <f t="shared" si="74"/>
        <v xml:space="preserve">							TariffCd = o.TariffCd,</v>
      </c>
      <c r="T17" s="63" t="str">
        <f t="shared" si="75"/>
        <v xml:space="preserve">								("TariffCd"),</v>
      </c>
      <c r="V17" s="64" t="str">
        <f t="shared" si="76"/>
        <v xml:space="preserve">								_ =&gt; _.TariffCd,</v>
      </c>
      <c r="W17" s="63" t="str">
        <f t="shared" si="77"/>
        <v xml:space="preserve">				.WhereIf(!string.IsNullOrWhiteSpace(input.TariffCd), e =&gt; e.TariffCd.Contains(input.TariffCd))</v>
      </c>
    </row>
    <row r="18" spans="1:23" customFormat="1" ht="18.75" customHeight="1" x14ac:dyDescent="0.25">
      <c r="A18" s="28" t="s">
        <v>374</v>
      </c>
      <c r="B18" s="28" t="s">
        <v>365</v>
      </c>
      <c r="C18" t="s">
        <v>1</v>
      </c>
      <c r="D18" t="str">
        <f t="shared" si="65"/>
        <v>HsCd</v>
      </c>
      <c r="E18" t="str">
        <f t="shared" si="66"/>
        <v>nvarchar</v>
      </c>
      <c r="F18" s="6"/>
      <c r="G18" t="str">
        <f t="shared" si="67"/>
        <v>15</v>
      </c>
      <c r="H18" t="str">
        <f>+VLOOKUP(E18,'Data Type Mapping'!A:B,2,)</f>
        <v>string</v>
      </c>
      <c r="I18" t="str">
        <f t="shared" si="68"/>
        <v xml:space="preserve">		public const int MaxHsCdLength = 15;
</v>
      </c>
      <c r="J18" t="str">
        <f t="shared" si="69"/>
        <v xml:space="preserve">		[StringLength(MaxHsCdLength)]
		public virtual string HsCd { get; set; }
</v>
      </c>
      <c r="K18" s="6"/>
      <c r="L18" t="str">
        <f t="shared" si="70"/>
        <v/>
      </c>
      <c r="M18" t="str">
        <f t="shared" si="71"/>
        <v xml:space="preserve">		public virtual string HsCd { get; set; }
</v>
      </c>
      <c r="N18" t="str">
        <f t="shared" si="72"/>
        <v xml:space="preserve">		[StringLength(InvTopsseInvoiceDetailsConsts.MaxHsCdLength)]
		public virtual string HsCd { get; set; }
</v>
      </c>
      <c r="O18" t="str">
        <f t="shared" si="73"/>
        <v xml:space="preserve">		public virtual string HsCd { get; set; }
</v>
      </c>
      <c r="P18" t="str">
        <f t="shared" si="74"/>
        <v xml:space="preserve">							HsCd = o.HsCd,</v>
      </c>
      <c r="T18" s="63" t="str">
        <f t="shared" si="75"/>
        <v xml:space="preserve">								("HsCd"),</v>
      </c>
      <c r="V18" s="64" t="str">
        <f t="shared" si="76"/>
        <v xml:space="preserve">								_ =&gt; _.HsCd,</v>
      </c>
      <c r="W18" s="63" t="str">
        <f t="shared" si="77"/>
        <v xml:space="preserve">				.WhereIf(!string.IsNullOrWhiteSpace(input.HsCd), e =&gt; e.HsCd.Contains(input.HsCd))</v>
      </c>
    </row>
    <row r="19" spans="1:23" customFormat="1" ht="18.75" customHeight="1" x14ac:dyDescent="0.25">
      <c r="A19" s="28" t="s">
        <v>375</v>
      </c>
      <c r="B19" s="28" t="s">
        <v>0</v>
      </c>
      <c r="C19" t="s">
        <v>1</v>
      </c>
      <c r="D19" t="str">
        <f t="shared" si="65"/>
        <v>InvoiceId</v>
      </c>
      <c r="E19" t="str">
        <f t="shared" si="66"/>
        <v>bigint</v>
      </c>
      <c r="F19" s="6"/>
      <c r="G19" t="str">
        <f t="shared" si="67"/>
        <v/>
      </c>
      <c r="H19" t="str">
        <f>+VLOOKUP(E19,'Data Type Mapping'!A:B,2,)</f>
        <v>long?</v>
      </c>
      <c r="I19" t="str">
        <f t="shared" si="68"/>
        <v/>
      </c>
      <c r="J19" t="str">
        <f t="shared" si="69"/>
        <v xml:space="preserve">		public virtual long? InvoiceId { get; set; }
</v>
      </c>
      <c r="K19" s="6"/>
      <c r="L19" t="str">
        <f t="shared" si="70"/>
        <v/>
      </c>
      <c r="M19" t="str">
        <f t="shared" si="71"/>
        <v xml:space="preserve">		public virtual long? InvoiceId { get; set; }
</v>
      </c>
      <c r="N19" t="str">
        <f t="shared" si="72"/>
        <v xml:space="preserve">		public virtual long? InvoiceId { get; set; }
</v>
      </c>
      <c r="O19" t="str">
        <f t="shared" si="73"/>
        <v/>
      </c>
      <c r="P19" t="str">
        <f t="shared" si="74"/>
        <v xml:space="preserve">							InvoiceId = o.InvoiceId,</v>
      </c>
      <c r="T19" s="63" t="str">
        <f t="shared" si="75"/>
        <v xml:space="preserve">								("InvoiceId"),</v>
      </c>
      <c r="V19" s="64" t="str">
        <f t="shared" si="76"/>
        <v xml:space="preserve">								_ =&gt; _.InvoiceId,</v>
      </c>
      <c r="W19" s="63" t="str">
        <f t="shared" si="77"/>
        <v/>
      </c>
    </row>
    <row r="21" spans="1:23" ht="45.75" customHeight="1" x14ac:dyDescent="0.25">
      <c r="H21" s="11"/>
      <c r="I21" s="31" t="str">
        <f ca="1">TEXTJOIN2("
", TRUE,INDIRECT( $H$1):INDIRECT( $H$3))</f>
        <v xml:space="preserve">		public const int MaxCaseNoLength = 8;
		public const int MaxOrderNoLength = 8;
		public const int MaxItemNoLength = 4;
		public const int MaxPartNoLength = 15;
		public const int MaxPartNameLength = 100;
		public const int MaxTariffCdLength = 3;
		public const int MaxHsCdLength = 15;
</v>
      </c>
      <c r="J21" s="30" t="str">
        <f ca="1">TEXTJOIN2("
", TRUE,INDIRECT( $F$1):INDIRECT( $F$3))</f>
        <v xml:space="preserve">		[StringLength(MaxCaseNoLength)]
		public virtual string CaseNo { get; set; }
		[StringLength(MaxOrderNoLength)]
		public virtual string OrderNo { get; set; }
		[StringLength(MaxItemNoLength)]
		public virtual string ItemNo { get; set; }
		[StringLength(MaxPartNoLength)]
		public virtual string PartNo { get; set; }
		[StringLength(MaxPartNameLength)]
		public virtual string PartName { get; set; }
		public virtual int? PartQty { get; set; }
		public virtual decimal? UnitFob { get; set; }
		public virtual decimal? Amount { get; set; }
		[StringLength(MaxTariffCdLength)]
		public virtual string TariffCd { get; set; }
		[StringLength(MaxHsCdLength)]
		public virtual string HsCd { get; set; }
		public virtual long? InvoiceId { get; set; }
</v>
      </c>
      <c r="K21" s="32" t="str">
        <f ca="1">TEXTJOIN2("
", TRUE,INDIRECT( $J$1):INDIRECT( $J$3))</f>
        <v/>
      </c>
      <c r="L21" s="12" t="s">
        <v>56</v>
      </c>
      <c r="M21" s="33" t="str">
        <f ca="1">TEXTJOIN2("
",TRUE,INDIRECT( $L$1):INDIRECT($L$3))</f>
        <v xml:space="preserve">		public virtual string CaseNo { get; set; }
		public virtual string OrderNo { get; set; }
		public virtual string ItemNo { get; set; }
		public virtual string PartNo { get; set; }
		public virtual string PartName { get; set; }
		public virtual int? PartQty { get; set; }
		public virtual decimal? UnitFob { get; set; }
		public virtual decimal? Amount { get; set; }
		public virtual string TariffCd { get; set; }
		public virtual string HsCd { get; set; }
		public virtual long? InvoiceId { get; set; }
</v>
      </c>
      <c r="N21" s="30" t="str">
        <f ca="1">TEXTJOIN2("
",TRUE,INDIRECT( $M$1):INDIRECT($M$3))</f>
        <v xml:space="preserve">		[StringLength(InvTopsseInvoiceDetailsConsts.MaxCaseNoLength)]
		public virtual string CaseNo { get; set; }
		[StringLength(InvTopsseInvoiceDetailsConsts.MaxOrderNoLength)]
		public virtual string OrderNo { get; set; }
		[StringLength(InvTopsseInvoiceDetailsConsts.MaxItemNoLength)]
		public virtual string ItemNo { get; set; }
		[StringLength(InvTopsseInvoiceDetailsConsts.MaxPartNoLength)]
		public virtual string PartNo { get; set; }
		[StringLength(InvTopsseInvoiceDetailsConsts.MaxPartNameLength)]
		public virtual string PartName { get; set; }
		public virtual int? PartQty { get; set; }
		public virtual decimal? UnitFob { get; set; }
		public virtual decimal? Amount { get; set; }
		[StringLength(InvTopsseInvoiceDetailsConsts.MaxTariffCdLength)]
		public virtual string TariffCd { get; set; }
		[StringLength(InvTopsseInvoiceDetailsConsts.MaxHsCdLength)]
		public virtual string HsCd { get; set; }
		public virtual long? InvoiceId { get; set; }
</v>
      </c>
      <c r="O21" s="30" t="str">
        <f ca="1">TEXTJOIN2("
",TRUE,INDIRECT( $N$1):INDIRECT($N$3))</f>
        <v xml:space="preserve">		public virtual string CaseNo { get; set; }
		public virtual string OrderNo { get; set; }
		public virtual string ItemNo { get; set; }
		public virtual string PartNo { get; set; }
		public virtual string PartName { get; set; }
		public virtual string TariffCd { get; set; }
		public virtual string HsCd { get; set; }
</v>
      </c>
      <c r="P21" s="8" t="str">
        <f ca="1">TEXTJOIN2("
",TRUE,INDIRECT( $O$1):INDIRECT($O$3))</f>
        <v xml:space="preserve">							CaseNo = o.CaseNo,
							OrderNo = o.OrderNo,
							ItemNo = o.ItemNo,
							PartNo = o.PartNo,
							PartName = o.PartName,
							PartQty = o.PartQty,
							UnitFob = o.UnitFob,
							Amount = o.Amount,
							TariffCd = o.TariffCd,
							HsCd = o.HsCd,
							InvoiceId = o.InvoiceId,</v>
      </c>
      <c r="T21" s="8" t="str">
        <f ca="1">TEXTJOIN2("
",TRUE,INDIRECT( $T$2):INDIRECT($T$3))</f>
        <v xml:space="preserve">								("CaseNo"),
								("OrderNo"),
								("ItemNo"),
								("PartNo"),
								("PartName"),
								("PartQty"),
								("UnitFob"),
								("Amount"),
								("TariffCd"),
								("HsCd"),
								("InvoiceId"),</v>
      </c>
      <c r="V21" s="8" t="str">
        <f ca="1">TEXTJOIN2("
",TRUE,INDIRECT( $V$2):INDIRECT($V$3))</f>
        <v xml:space="preserve">								_ =&gt; _.CaseNo,
								_ =&gt; _.OrderNo,
								_ =&gt; _.ItemNo,
								_ =&gt; _.PartNo,
								_ =&gt; _.PartName,
								_ =&gt; _.PartQty,
								_ =&gt; _.UnitFob,
								_ =&gt; _.Amount,
								_ =&gt; _.TariffCd,
								_ =&gt; _.HsCd,
								_ =&gt; _.InvoiceId,</v>
      </c>
      <c r="W21" s="8" t="str">
        <f ca="1">TEXTJOIN2("
",TRUE,INDIRECT( $W$2):INDIRECT($W$3))</f>
        <v xml:space="preserve">				.WhereIf(!string.IsNullOrWhiteSpace(input.CaseNo), e =&gt; e.CaseNo.Contains(input.CaseNo))
				.WhereIf(!string.IsNullOrWhiteSpace(input.OrderNo), e =&gt; e.OrderNo.Contains(input.OrderNo))
				.WhereIf(!string.IsNullOrWhiteSpace(input.ItemNo), e =&gt; e.ItemNo.Contains(input.ItemNo))
				.WhereIf(!string.IsNullOrWhiteSpace(input.PartNo), e =&gt; e.PartNo.Contains(input.PartNo))
				.WhereIf(!string.IsNullOrWhiteSpace(input.PartName), e =&gt; e.PartName.Contains(input.PartName))
				.WhereIf(!string.IsNullOrWhiteSpace(input.TariffCd), e =&gt; e.TariffCd.Contains(input.TariffCd))
				.WhereIf(!string.IsNullOrWhiteSpace(input.HsCd), e =&gt; e.HsCd.Contains(input.HsCd))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C27" sqref="C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379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TOPSSE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topsse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InvTopsseInvoiceDetails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InvoiceDetails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invoicedetails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InvTopsseInvoiceDetailsDto, InvTopsseInvoiceDetailsServiceProxy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InvTopsseInvoiceDetailsDto = new InvTopsseInvoiceDetailsDto();
    saveSelectedRow: InvTopsseInvoiceDetailsDto = new InvTopsseInvoiceDetailsDto();
    datas: InvTopsseInvoiceDetailsDto = new InvTopsseInvoiceDetailsDto();
    isLoading: boolean = false;
    dataParams: GridParams | undefined;
    rowData: any[] = [];
    gridApi!: GridApi;
    rowSelection = 'multiple';
    filter: string = '';
	pipe = new DatePipe('en-US');
	frameworkComponents: FrameworkComponent;
    	caseNo : string = '' ; 
	orderNo : string = '' ; 
	itemNo : string = '' ; 
	partNo : string = '' ; 
	partName : string = '' ; 
	tariffCd : string = '' ; 
	hsCd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InvTopsseInvoiceDetailsServiceProxy,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this.l('Order No'),headerTooltip: this.l('Order No'),field: 'orderNo',flex: 1},
			{headerName: this.l('Item No'),headerTooltip: this.l('Item No'),field: 'itemNo',flex: 1},
			{headerName: this.l('Part No'),headerTooltip: this.l('Part No'),field: 'partNo',flex: 1},
			{headerName: this.l('Part Name'),headerTooltip: this.l('Part Name'),field: 'partName',flex: 1},
			{headerName: this.l('Part Qty'),headerTooltip: this.l('Part Qty'),field: 'partQty',flex: 1},
			{headerName: this.l('Unit Fob'),headerTooltip: this.l('Unit Fob'),field: 'unitFob',flex: 1},
			{headerName: this.l('Amount'),headerTooltip: this.l('Amount'),field: 'amount',flex: 1},
			{headerName: this.l('Tariff Cd'),headerTooltip: this.l('Tariff Cd'),field: 'tariffCd',flex: 1},
			{headerName: this.l('Hs Cd'),headerTooltip: this.l('Hs Cd'),field: 'hsCd',flex: 1},
			{headerName: this.l('Invoice Id'),headerTooltip: this.l('Invoice Id'),field: 'invoiceId',flex: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this.caseNo,
			this.orderNo,
			this.itemNo,
			this.partNo,
			this.amount,
			this.tariffCd,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caseNo : string = '' ; 
	orderNo : string = '' ; 
	itemNo : string = '' ; 
	partNo : string = '' ; 
	partName : string = '' ; 
	tariffCd : string = '' ; 
	hsCd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this.caseNo,
			this.orderNo,
			this.itemNo,
			this.partNo,
			this.amount,
			this.tariffCd,
			'',
            this.paginationParams.skipCount,
            this.paginationParams.pageSize
        );
    }
    onChangeRowSelection(params: { api: { getSelectedRows: () =&gt; InvTopsseInvoiceDetailsDto[] } }) {
        this.saveSelectedRow = params.api.getSelectedRows()[0] ?? new InvTopsseInvoiceDetailsDto();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InvTopsseInvoiceDetailsDto):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this.,
			this.caseNo,
			this.orderNo,
			this.itemNo,
			this.partNo,
			this.amount,
			this.tariffCd,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Topsse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[(ngModel)]='itemNo' name='itemNo'
									class='form-control' [placeholder]="l('Item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[(ngModel)]='tariffCd' name='tariffCd'
									class='form-control' [placeholder]="l('Tariff Cd')"
									type='text' (keyup.enter)='searchDatas()'&gt;
								&lt;/div&gt;
								&lt;div class='input-search'&gt;
									&lt;input [(ngModel)]='hsCd' name='hsCd'
									class='form-control' [placeholder]="l('Hs Cd')"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title'&gt;Item No&lt;/label&gt;
						&lt;input type='text' class='col-md-10 form-control input-text' name='ItemNo' [(ngModel)]='rowdata.itemNo'&gt;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Qty&lt;/label&gt;
						&lt;input type='number' class='col-md-10 form-control input-text' name='PartQty' [(ngModel)]='rowdata.partQty'&gt;
					&lt;/div&gt;
					&lt;div class='col-md-12 form-group row'&gt;
						&lt;label class='col-md-2 form-control title'&gt;Tariff Cd&lt;/label&gt;
						&lt;input type='text' class='col-md-10 form-control input-text' name='TariffCd' [(ngModel)]='rowdata.tariffCd'&gt;
					&lt;/div&gt;
					&lt;div class='col-md-12 form-group row'&gt;
						&lt;label class='col-md-2 form-control title'&gt;Hs Cd&lt;/label&gt;
						&lt;input type='text' class='col-md-10 form-control input-text' name='HsCd' [(ngModel)]='rowdata.hsCd'&gt;
					&lt;/div&gt;
					&lt;div class='col-md-12 form-group row'&gt;
						&lt;label class='col-md-2 form-control title'&gt;Invoice Id&lt;/label&gt;
						&lt;input type='number' class='col-md-10 form-control input-text' name='InvoiceId' [(ngModel)]='rowdata.invoiceId'&gt;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CreateOrEditInvTopsseInvoiceDetailsDto, InvTopsseInvoiceDetailsServiceProxy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CreateOrEditInvTopsseInvoiceDetailsDto = new CreateOrEditInvTopsseInvoiceDetailsDto();
    active: boolean = false;
    saving: boolean = false;
    _: boolean;
    constructor(
        injector: Injector,
        private _mstwptInvoiceDetailsService: InvTopsseInvoiceDetailsServiceProxy,
    ) 
    {
        super(injector);
    }
    show(rowdata?: CreateOrEditInvTopsseInvoiceDetailsDto): void {
        if (!rowdata) this.rowdata = new CreateOrEditInvTopsseInvoiceDetailsDto();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AppMenuItem("InvoiceDetails", "Pages.Inventory.TOPSSE.InvoiceDetails", "flaticon-book",   "/app/main/inventory/topsse/invoicedetails"),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'inventory/topsse/invoicedetails',
    loadChildren: () =&gt; import('./inventory/topsse/invoicedetails/invoicedetails.module').then(m =&gt; m.InvoiceDetailsModule),
    data: { permission: 'Pages.Inventory.TOPSSE.InvoiceDetails' }
},</v>
      </c>
      <c r="R10" s="47" t="str">
        <f>SUBSTITUTE(R9,"MstWptCalendar",$B$6)</f>
        <v>ApiServiceProxies.InvTopsseInvoiceDetailsServiceProxy,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this.l('Case No'),headerTooltip: this.l('Case No'),field: 'caseNo',flex: 1},
			{headerName: this.l('Order No'),headerTooltip: this.l('Order No'),field: 'orderNo',flex: 1},
			{headerName: this.l('Item No'),headerTooltip: this.l('Item No'),field: 'itemNo',flex: 1},
			{headerName: this.l('Part No'),headerTooltip: this.l('Part No'),field: 'partNo',flex: 1},
			{headerName: this.l('Part Name'),headerTooltip: this.l('Part Name'),field: 'partName',flex: 1},
			{headerName: this.l('Part Qty'),headerTooltip: this.l('Part Qty'),field: 'partQty',flex: 1},
			{headerName: this.l('Unit Fob'),headerTooltip: this.l('Unit Fob'),field: 'unitFob',flex: 1},
			{headerName: this.l('Amount'),headerTooltip: this.l('Amount'),field: 'amount',flex: 1},
			{headerName: this.l('Tariff Cd'),headerTooltip: this.l('Tariff Cd'),field: 'tariffCd',flex: 1},
			{headerName: this.l('Hs Cd'),headerTooltip: this.l('Hs Cd'),field: 'hsCd',flex: 1},
			{headerName: this.l('Invoice Id'),headerTooltip: this.l('Invoice Id'),field: 'invoiceId',flex: 1},</v>
      </c>
      <c r="I13" s="35" t="str">
        <f ca="1">TEXTJOIN2("
",TRUE,INDIRECT(I11):INDIRECT(I12))</f>
        <v xml:space="preserve">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[(ngModel)]='itemNo' name='itemNo'
									class='form-control' [placeholder]="l('Item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[(ngModel)]='tariffCd' name='tariffCd'
									class='form-control' [placeholder]="l('Tariff Cd')"
									type='text' (keyup.enter)='searchDatas()'&gt;
								&lt;/div&gt;
								&lt;div class='input-search'&gt;
									&lt;input [(ngModel)]='hsCd' name='hsCd'
									class='form-control' [placeholder]="l('Hs Cd')"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title'&gt;Item No&lt;/label&gt;
						&lt;input type='text' class='col-md-10 form-control input-text' name='ItemNo' [(ngModel)]='rowdata.itemNo'&gt;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Qty&lt;/label&gt;
						&lt;input type='number' class='col-md-10 form-control input-text' name='PartQty' [(ngModel)]='rowdata.partQty'&gt;
					&lt;/div&gt;
					&lt;div class='col-md-12 form-group row'&gt;
						&lt;label class='col-md-2 form-control title'&gt;Tariff Cd&lt;/label&gt;
						&lt;input type='text' class='col-md-10 form-control input-text' name='TariffCd' [(ngModel)]='rowdata.tariffCd'&gt;
					&lt;/div&gt;
					&lt;div class='col-md-12 form-group row'&gt;
						&lt;label class='col-md-2 form-control title'&gt;Hs Cd&lt;/label&gt;
						&lt;input type='text' class='col-md-10 form-control input-text' name='HsCd' [(ngModel)]='rowdata.hsCd'&gt;
					&lt;/div&gt;
					&lt;div class='col-md-12 form-group row'&gt;
						&lt;label class='col-md-2 form-control title'&gt;Invoice Id&lt;/label&gt;
						&lt;input type='number' class='col-md-10 form-control input-text' name='InvoiceId' [(ngModel)]='rowdata.invoiceId'&gt;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caseNo : string = '' ; 
	orderNo : string = '' ; 
	itemNo : string = '' ; 
	partNo : string = '' ; 
	partName : string = '' ; 
	tariffCd : string = '' ; 
	hsCd : string = '' ; 
</v>
      </c>
      <c r="T13" s="62" t="str">
        <f ca="1">TEXTJOIN2("
",TRUE,INDIRECT(T11):INDIRECT(T12))</f>
        <v xml:space="preserve">			this.,
			this.caseNo,
			this.orderNo,
			this.itemNo,
			this.partNo,
			this.amount,
			this.tariffCd,
</v>
      </c>
      <c r="U13" s="62" t="str">
        <f ca="1">TEXTJOIN2("
",TRUE,INDIRECT(U11):INDIRECT(U12))</f>
        <v xml:space="preserve">	caseNo : string = '' ; 
	orderNo : string = '' ; 
	itemNo : string = '' ; 
	partNo : string = '' ; 
	partName : string = '' ; 
	tariffCd : string = '' ; 
	hsCd : string = '' ; 
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invoicedetails.component.ts</v>
      </c>
      <c r="I14" s="37" t="str">
        <f>B8&amp;".component.html"</f>
        <v>invoicedetails.component.html</v>
      </c>
      <c r="J14" s="36" t="str">
        <f>B8&amp;".component.less"</f>
        <v>invoicedetails.component.less</v>
      </c>
      <c r="K14" s="37" t="str">
        <f>"create-or-edit-"&amp;B8&amp;"-modal.component.html"</f>
        <v>create-or-edit-invoicedetails-modal.component.html</v>
      </c>
      <c r="L14" s="37" t="str">
        <f>"create-or-edit-"&amp;B8&amp;"-modal.component.ts"</f>
        <v>create-or-edit-invoicedetails-modal.component.ts</v>
      </c>
      <c r="M14" s="37" t="str">
        <f>"create-or-edit-"&amp;B8&amp;"-modal.component.less"</f>
        <v>create-or-edit-invoicedetails-modal.component.less</v>
      </c>
      <c r="N14" s="37" t="str">
        <f>B8&amp;".module.ts"</f>
        <v>invoicedetails.module.ts</v>
      </c>
      <c r="O14" s="37" t="str">
        <f>B8&amp;"-routing.module.ts"</f>
        <v>invoicedetails-routing.module.ts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358</v>
      </c>
      <c r="B15" s="28" t="str">
        <f t="shared" ref="B15" si="0">SUBSTITUTE(PROPER(A15),"_","")</f>
        <v>CaseNo</v>
      </c>
      <c r="C15" s="28" t="str">
        <f t="shared" ref="C15" si="1">SUBSTITUTE(PROPER(A15),"_"," ")</f>
        <v>Case No</v>
      </c>
      <c r="D15" s="28" t="str">
        <f t="shared" ref="D15" si="2">LOWER(LEFT(B15,1))&amp;RIGHT(B15,LEN(B15) - 1)</f>
        <v>caseNo</v>
      </c>
      <c r="E15" s="28" t="str">
        <f>A.Backend!H9</f>
        <v>string</v>
      </c>
      <c r="F15" s="28" t="str">
        <f>A.Backend!G9</f>
        <v>8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this.l('Case No'),headerTooltip: this.l('Case No'),field: 'caseNo',flex: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caseNo : string = '' ; </v>
      </c>
      <c r="T15" s="28" t="str">
        <f t="shared" ref="T15:T19" si="7"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caseNo : string = '' ; </v>
      </c>
      <c r="V15" s="28" t="str">
        <f t="shared" ref="V15" si="8">IF(AND(E15="string",F15="1"),D15,"")</f>
        <v/>
      </c>
    </row>
    <row r="16" spans="1:22" ht="18" customHeight="1" x14ac:dyDescent="0.25">
      <c r="A16" s="28" t="s">
        <v>359</v>
      </c>
      <c r="B16" s="28" t="str">
        <f t="shared" ref="B16:B17" si="9">SUBSTITUTE(PROPER(A16),"_","")</f>
        <v>OrderNo</v>
      </c>
      <c r="C16" s="28" t="str">
        <f t="shared" ref="C16:C17" si="10">SUBSTITUTE(PROPER(A16),"_"," ")</f>
        <v>Order No</v>
      </c>
      <c r="D16" s="28" t="str">
        <f t="shared" ref="D16:D17" si="11">LOWER(LEFT(B16,1))&amp;RIGHT(B16,LEN(B16) - 1)</f>
        <v>orderNo</v>
      </c>
      <c r="E16" s="28" t="str">
        <f>A.Backend!H10</f>
        <v>string</v>
      </c>
      <c r="F16" s="28" t="str">
        <f>A.Backend!G10</f>
        <v>8</v>
      </c>
      <c r="G16" s="28" t="str">
        <f t="shared" ref="G16:G17" si="12">IF(E16="string"," : string = '' ; ",IF(OR(E16="DateTime",E16="TimeSpan")," : any ;",IF(E16="int"," : number = 0 ;","")))</f>
        <v xml:space="preserve"> : string = '' ; </v>
      </c>
      <c r="H16" s="35" t="str">
        <f t="shared" ref="H16:H17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this.l('Order No'),headerTooltip: this.l('Order No'),field: 'orderNo',flex: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[(ngModel)]='orderNo' name='orderNo'
									class='form-control' [placeholder]="l('Order No')"
									type='text' (keyup.enter)='searchDatas()'&gt;
								&lt;/div&gt;</v>
      </c>
      <c r="J16" s="28"/>
      <c r="K16" s="35" t="str">
        <f t="shared" ref="K16" si="14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title'&gt;Order No&lt;/label&gt;
						&lt;input type='text' class='col-md-10 form-control input-text' name='OrderNo' [(ngModel)]='rowdata.orderNo'&gt;
					&lt;/div&gt;</v>
      </c>
      <c r="L16" s="56" t="str">
        <f t="shared" ref="L16:L17" si="15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6">IF(AND(E16="string",F16 &lt;&gt;"1"),(REPT(CHAR(9),1)&amp;D16&amp;G16),"")</f>
        <v xml:space="preserve">	orderNo : string = '' ; </v>
      </c>
      <c r="T16" s="28" t="str">
        <f t="shared" si="7"/>
        <v xml:space="preserve">			this.caseNo,</v>
      </c>
      <c r="U16" s="28" t="str">
        <f t="shared" ref="U16" si="17">IF(AND(E16="string",F16 &lt;&gt;"1"),(REPT(CHAR(9),1)&amp;D16&amp;G16),"")</f>
        <v xml:space="preserve">	orderNo : string = '' ; </v>
      </c>
      <c r="V16" s="28" t="str">
        <f t="shared" ref="V16:V17" si="18">IF(AND(E16="string",F16="1"),D16,"")</f>
        <v/>
      </c>
    </row>
    <row r="17" spans="1:22" ht="15" customHeight="1" x14ac:dyDescent="0.25">
      <c r="A17" s="28" t="s">
        <v>360</v>
      </c>
      <c r="B17" s="28" t="str">
        <f t="shared" si="9"/>
        <v>ItemNo</v>
      </c>
      <c r="C17" s="28" t="str">
        <f t="shared" si="10"/>
        <v>Item No</v>
      </c>
      <c r="D17" s="28" t="str">
        <f t="shared" si="11"/>
        <v>itemNo</v>
      </c>
      <c r="E17" s="28" t="str">
        <f>A.Backend!H11</f>
        <v>string</v>
      </c>
      <c r="F17" s="28" t="str">
        <f>A.Backend!G11</f>
        <v>4</v>
      </c>
      <c r="G17" s="28" t="str">
        <f t="shared" si="12"/>
        <v xml:space="preserve"> : string = '' ; </v>
      </c>
      <c r="H17" s="35" t="str">
        <f t="shared" si="13"/>
        <v xml:space="preserve">			{headerName: this.l('Item No'),headerTooltip: this.l('Item No'),field: 'itemNo',flex: 1},</v>
      </c>
      <c r="I17" s="35" t="str">
        <f t="shared" ref="I17" si="19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IF(AND(E17="string",F17 &lt;&gt;"1"),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[(ngModel)]='itemNo' name='itemNo'
									class='form-control' [placeholder]="l('Item No')"
									type='text' (keyup.enter)='searchDatas()'&gt;
								&lt;/div&gt;</v>
      </c>
      <c r="J17" s="28"/>
      <c r="K17" s="35" t="str">
        <f>IF(OR(E17="DateTime?",E17="TimeSpan?"),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IF(OR(E17="int?",E17="long?"),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title'&gt;Item No&lt;/label&gt;
						&lt;input type='text' class='col-md-10 form-control input-text' name='ItemNo' [(ngModel)]='rowdata.itemNo'&gt;
					&lt;/div&gt;</v>
      </c>
      <c r="L17" s="56" t="str">
        <f t="shared" si="15"/>
        <v/>
      </c>
      <c r="M17" s="28"/>
      <c r="N17" s="28"/>
      <c r="O17" s="28"/>
      <c r="P17" s="28"/>
      <c r="Q17" s="28"/>
      <c r="R17" s="28"/>
      <c r="S17" s="28" t="str">
        <f>IF(AND(E17="string",F17 &lt;&gt;"1"),(REPT(CHAR(9),1)&amp;D17&amp;G17),"")</f>
        <v xml:space="preserve">	itemNo : string = '' ; </v>
      </c>
      <c r="T17" s="28" t="str">
        <f t="shared" si="7"/>
        <v xml:space="preserve">			this.orderNo,</v>
      </c>
      <c r="U17" s="28" t="str">
        <f>IF(AND(E17="string",F17 &lt;&gt;"1"),(REPT(CHAR(9),1)&amp;D17&amp;G17),"")</f>
        <v xml:space="preserve">	itemNo : string = '' ; </v>
      </c>
      <c r="V17" s="28" t="str">
        <f t="shared" si="18"/>
        <v/>
      </c>
    </row>
    <row r="18" spans="1:22" ht="18" customHeight="1" x14ac:dyDescent="0.25">
      <c r="A18" s="28" t="s">
        <v>361</v>
      </c>
      <c r="B18" s="28" t="str">
        <f t="shared" ref="B18:B22" si="20">SUBSTITUTE(PROPER(A18),"_","")</f>
        <v>PartNo</v>
      </c>
      <c r="C18" s="28" t="str">
        <f t="shared" ref="C18:C22" si="21">SUBSTITUTE(PROPER(A18),"_"," ")</f>
        <v>Part No</v>
      </c>
      <c r="D18" s="28" t="str">
        <f t="shared" ref="D18:D22" si="22">LOWER(LEFT(B18,1))&amp;RIGHT(B18,LEN(B18) - 1)</f>
        <v>partNo</v>
      </c>
      <c r="E18" s="28" t="str">
        <f>A.Backend!H12</f>
        <v>string</v>
      </c>
      <c r="F18" s="28" t="str">
        <f>A.Backend!G12</f>
        <v>15</v>
      </c>
      <c r="G18" s="28" t="str">
        <f t="shared" ref="G18:G22" si="23">IF(E18="string"," : string = '' ; ",IF(OR(E18="DateTime",E18="TimeSpan")," : any ;",IF(E18="int"," : number = 0 ;","")))</f>
        <v xml:space="preserve"> : string = '' ; </v>
      </c>
      <c r="H18" s="35" t="str">
        <f t="shared" ref="H18:H22" si="24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No'),headerTooltip: this.l('Part No'),field: 'partNo',flex: 1},</v>
      </c>
      <c r="I18" s="35" t="str">
        <f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IF(AND(E18="string",F18 &lt;&gt;"1"),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ref="K18" si="25">IF(OR(E18="DateTime?",E18="TimeSpan?"),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IF(OR(E18="int?",E18="long?"),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2" si="2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" si="27">IF(AND(E18="string",F18 &lt;&gt;"1"),(REPT(CHAR(9),1)&amp;D18&amp;G18),"")</f>
        <v xml:space="preserve">	partNo : string = '' ; </v>
      </c>
      <c r="T18" s="28" t="str">
        <f t="shared" si="7"/>
        <v xml:space="preserve">			this.itemNo,</v>
      </c>
      <c r="U18" s="28" t="str">
        <f t="shared" ref="U18" si="28">IF(AND(E18="string",F18 &lt;&gt;"1"),(REPT(CHAR(9),1)&amp;D18&amp;G18),"")</f>
        <v xml:space="preserve">	partNo : string = '' ; </v>
      </c>
      <c r="V18" s="28" t="str">
        <f t="shared" ref="V18:V22" si="29">IF(AND(E18="string",F18="1"),D18,"")</f>
        <v/>
      </c>
    </row>
    <row r="19" spans="1:22" ht="15" customHeight="1" x14ac:dyDescent="0.25">
      <c r="A19" s="28" t="s">
        <v>362</v>
      </c>
      <c r="B19" s="28" t="str">
        <f t="shared" si="20"/>
        <v>PartName</v>
      </c>
      <c r="C19" s="28" t="str">
        <f t="shared" si="21"/>
        <v>Part Name</v>
      </c>
      <c r="D19" s="28" t="str">
        <f t="shared" si="22"/>
        <v>partName</v>
      </c>
      <c r="E19" s="28" t="str">
        <f>A.Backend!H13</f>
        <v>string</v>
      </c>
      <c r="F19" s="28" t="str">
        <f>A.Backend!G13</f>
        <v>100</v>
      </c>
      <c r="G19" s="28" t="str">
        <f t="shared" si="23"/>
        <v xml:space="preserve"> : string = '' ; </v>
      </c>
      <c r="H19" s="35" t="str">
        <f t="shared" si="24"/>
        <v xml:space="preserve">			{headerName: this.l('Part Name'),headerTooltip: this.l('Part Name'),field: 'partName',flex: 1},</v>
      </c>
      <c r="I19" s="35" t="str">
        <f t="shared" ref="I19:I20" si="30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26"/>
        <v/>
      </c>
      <c r="M19" s="28"/>
      <c r="N19" s="28"/>
      <c r="O19" s="28"/>
      <c r="P19" s="28"/>
      <c r="Q19" s="28"/>
      <c r="R19" s="28"/>
      <c r="S19" s="28" t="str">
        <f>IF(AND(E19="string",F19 &lt;&gt;"1"),(REPT(CHAR(9),1)&amp;D19&amp;G19),"")</f>
        <v xml:space="preserve">	partName : string = '' ; </v>
      </c>
      <c r="T19" s="28" t="str">
        <f t="shared" si="7"/>
        <v xml:space="preserve">			this.partNo,</v>
      </c>
      <c r="U19" s="28" t="str">
        <f>IF(AND(E19="string",F19 &lt;&gt;"1"),(REPT(CHAR(9),1)&amp;D19&amp;G19),"")</f>
        <v xml:space="preserve">	partName : string = '' ; </v>
      </c>
      <c r="V19" s="28" t="str">
        <f t="shared" si="29"/>
        <v/>
      </c>
    </row>
    <row r="20" spans="1:22" ht="15" customHeight="1" x14ac:dyDescent="0.25">
      <c r="A20" s="28" t="s">
        <v>367</v>
      </c>
      <c r="B20" s="28" t="str">
        <f t="shared" si="20"/>
        <v>PartQty</v>
      </c>
      <c r="C20" s="28" t="str">
        <f t="shared" si="21"/>
        <v>Part Qty</v>
      </c>
      <c r="D20" s="28" t="str">
        <f t="shared" si="22"/>
        <v>partQty</v>
      </c>
      <c r="E20" s="28" t="str">
        <f>A.Backend!H14</f>
        <v>int?</v>
      </c>
      <c r="F20" s="28" t="str">
        <f>A.Backend!G14</f>
        <v/>
      </c>
      <c r="G20" s="28" t="str">
        <f t="shared" si="23"/>
        <v/>
      </c>
      <c r="H20" s="35" t="str">
        <f t="shared" si="24"/>
        <v xml:space="preserve">			{headerName: this.l('Part Qty'),headerTooltip: this.l('Part Qty'),field: 'partQty',flex: 1},</v>
      </c>
      <c r="I20" s="35" t="str">
        <f t="shared" si="30"/>
        <v/>
      </c>
      <c r="J20" s="28"/>
      <c r="K20" s="35" t="str">
        <f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title'&gt;Part Qty&lt;/label&gt;
						&lt;input type='number' class='col-md-10 form-control input-text' name='PartQty' [(ngModel)]='rowdata.partQty'&gt;
					&lt;/div&gt;</v>
      </c>
      <c r="L20" s="56" t="str">
        <f t="shared" si="26"/>
        <v/>
      </c>
      <c r="M20" s="28"/>
      <c r="N20" s="28"/>
      <c r="O20" s="28"/>
      <c r="P20" s="28"/>
      <c r="Q20" s="28"/>
      <c r="R20" s="28"/>
      <c r="S20" s="28" t="str">
        <f>IF(AND(E20="string",F20 &lt;&gt;"1"),(REPT(CHAR(9),1)&amp;D20&amp;G20),"")</f>
        <v/>
      </c>
      <c r="T20" s="28" t="str">
        <f t="shared" ref="T20:T24" si="31">IF(AND(E20="string",F20 &lt;&gt;"1"),(REPT(CHAR(9),3)&amp;"this."&amp;D19&amp;","),"")</f>
        <v/>
      </c>
      <c r="U20" s="28" t="str">
        <f>IF(AND(E20="string",F20 &lt;&gt;"1"),(REPT(CHAR(9),1)&amp;D20&amp;G20),"")</f>
        <v/>
      </c>
      <c r="V20" s="28" t="str">
        <f t="shared" si="29"/>
        <v/>
      </c>
    </row>
    <row r="21" spans="1:22" ht="18" customHeight="1" x14ac:dyDescent="0.25">
      <c r="A21" s="28" t="s">
        <v>368</v>
      </c>
      <c r="B21" s="28" t="str">
        <f t="shared" si="20"/>
        <v>UnitFob</v>
      </c>
      <c r="C21" s="28" t="str">
        <f t="shared" si="21"/>
        <v>Unit Fob</v>
      </c>
      <c r="D21" s="28" t="str">
        <f t="shared" si="22"/>
        <v>unitFob</v>
      </c>
      <c r="E21" s="28" t="str">
        <f>A.Backend!H15</f>
        <v>decimal?</v>
      </c>
      <c r="F21" s="28" t="str">
        <f>A.Backend!G15</f>
        <v>16,3</v>
      </c>
      <c r="G21" s="28" t="str">
        <f t="shared" si="23"/>
        <v/>
      </c>
      <c r="H21" s="35" t="str">
        <f t="shared" si="24"/>
        <v xml:space="preserve">			{headerName: this.l('Unit Fob'),headerTooltip: this.l('Unit Fob'),field: 'unitFob',flex: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3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56" t="str">
        <f t="shared" si="26"/>
        <v/>
      </c>
      <c r="M21" s="28"/>
      <c r="N21" s="28"/>
      <c r="O21" s="28"/>
      <c r="P21" s="28"/>
      <c r="Q21" s="28"/>
      <c r="R21" s="28"/>
      <c r="S21" s="28" t="str">
        <f t="shared" ref="S21" si="33">IF(AND(E21="string",F21 &lt;&gt;"1"),(REPT(CHAR(9),1)&amp;D21&amp;G21),"")</f>
        <v/>
      </c>
      <c r="T21" s="28" t="str">
        <f t="shared" si="31"/>
        <v/>
      </c>
      <c r="U21" s="28" t="str">
        <f t="shared" ref="U21" si="34">IF(AND(E21="string",F21 &lt;&gt;"1"),(REPT(CHAR(9),1)&amp;D21&amp;G21),"")</f>
        <v/>
      </c>
      <c r="V21" s="28" t="str">
        <f t="shared" si="29"/>
        <v/>
      </c>
    </row>
    <row r="22" spans="1:22" ht="15" customHeight="1" x14ac:dyDescent="0.25">
      <c r="A22" s="28" t="s">
        <v>370</v>
      </c>
      <c r="B22" s="28" t="str">
        <f t="shared" si="20"/>
        <v>Amount</v>
      </c>
      <c r="C22" s="28" t="str">
        <f t="shared" si="21"/>
        <v>Amount</v>
      </c>
      <c r="D22" s="28" t="str">
        <f t="shared" si="22"/>
        <v>amount</v>
      </c>
      <c r="E22" s="28" t="str">
        <f>A.Backend!H16</f>
        <v>decimal?</v>
      </c>
      <c r="F22" s="28" t="str">
        <f>A.Backend!G16</f>
        <v>18,3</v>
      </c>
      <c r="G22" s="28" t="str">
        <f t="shared" si="23"/>
        <v/>
      </c>
      <c r="H22" s="35" t="str">
        <f t="shared" si="24"/>
        <v xml:space="preserve">			{headerName: this.l('Amount'),headerTooltip: this.l('Amount'),field: 'amount',flex: 1},</v>
      </c>
      <c r="I22" s="35" t="str">
        <f t="shared" ref="I22" si="35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 t="shared" si="26"/>
        <v/>
      </c>
      <c r="M22" s="28"/>
      <c r="N22" s="28"/>
      <c r="O22" s="28"/>
      <c r="P22" s="28"/>
      <c r="Q22" s="28"/>
      <c r="R22" s="28"/>
      <c r="S22" s="28" t="str">
        <f>IF(AND(E22="string",F22 &lt;&gt;"1"),(REPT(CHAR(9),1)&amp;D22&amp;G22),"")</f>
        <v/>
      </c>
      <c r="T22" s="28" t="str">
        <f t="shared" si="31"/>
        <v/>
      </c>
      <c r="U22" s="28" t="str">
        <f>IF(AND(E22="string",F22 &lt;&gt;"1"),(REPT(CHAR(9),1)&amp;D22&amp;G22),"")</f>
        <v/>
      </c>
      <c r="V22" s="28" t="str">
        <f t="shared" si="29"/>
        <v/>
      </c>
    </row>
    <row r="23" spans="1:22" ht="18" customHeight="1" x14ac:dyDescent="0.25">
      <c r="A23" s="28" t="s">
        <v>372</v>
      </c>
      <c r="B23" s="28" t="str">
        <f t="shared" ref="B23:B25" si="36">SUBSTITUTE(PROPER(A23),"_","")</f>
        <v>TariffCd</v>
      </c>
      <c r="C23" s="28" t="str">
        <f t="shared" ref="C23:C25" si="37">SUBSTITUTE(PROPER(A23),"_"," ")</f>
        <v>Tariff Cd</v>
      </c>
      <c r="D23" s="28" t="str">
        <f t="shared" ref="D23:D25" si="38">LOWER(LEFT(B23,1))&amp;RIGHT(B23,LEN(B23) - 1)</f>
        <v>tariffCd</v>
      </c>
      <c r="E23" s="28" t="str">
        <f>A.Backend!H17</f>
        <v>string</v>
      </c>
      <c r="F23" s="28" t="str">
        <f>A.Backend!G17</f>
        <v>3</v>
      </c>
      <c r="G23" s="28" t="str">
        <f t="shared" ref="G23:G25" si="39">IF(E23="string"," : string = '' ; ",IF(OR(E23="DateTime",E23="TimeSpan")," : any ;",IF(E23="int"," : number = 0 ;","")))</f>
        <v xml:space="preserve"> : string = '' ; </v>
      </c>
      <c r="H23" s="35" t="str">
        <f t="shared" ref="H23:H25" si="40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this.l('Tariff Cd'),headerTooltip: this.l('Tariff Cd'),field: 'tariffCd',flex: 1},</v>
      </c>
      <c r="I23" s="35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IF(AND(E23="string",F23 &lt;&gt;"1"),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[(ngModel)]='tariffCd' name='tariffCd'
									class='form-control' [placeholder]="l('Tariff Cd')"
									type='text' (keyup.enter)='searchDatas()'&gt;
								&lt;/div&gt;</v>
      </c>
      <c r="J23" s="28"/>
      <c r="K23" s="35" t="str">
        <f t="shared" ref="K23" si="41">IF(OR(E23="DateTime?",E23="TimeSpan?"),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IF(OR(E23="int?",E23="long?"),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title'&gt;Tariff Cd&lt;/label&gt;
						&lt;input type='text' class='col-md-10 form-control input-text' name='TariffCd' [(ngModel)]='rowdata.tariffCd'&gt;
					&lt;/div&gt;</v>
      </c>
      <c r="L23" s="56" t="str">
        <f t="shared" ref="L23:L25" si="4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ref="S23" si="43">IF(AND(E23="string",F23 &lt;&gt;"1"),(REPT(CHAR(9),1)&amp;D23&amp;G23),"")</f>
        <v xml:space="preserve">	tariffCd : string = '' ; </v>
      </c>
      <c r="T23" s="28" t="str">
        <f t="shared" si="31"/>
        <v xml:space="preserve">			this.amount,</v>
      </c>
      <c r="U23" s="28" t="str">
        <f t="shared" ref="U23" si="44">IF(AND(E23="string",F23 &lt;&gt;"1"),(REPT(CHAR(9),1)&amp;D23&amp;G23),"")</f>
        <v xml:space="preserve">	tariffCd : string = '' ; </v>
      </c>
      <c r="V23" s="28" t="str">
        <f t="shared" ref="V23:V25" si="45">IF(AND(E23="string",F23="1"),D23,"")</f>
        <v/>
      </c>
    </row>
    <row r="24" spans="1:22" ht="15" customHeight="1" x14ac:dyDescent="0.25">
      <c r="A24" s="28" t="s">
        <v>374</v>
      </c>
      <c r="B24" s="28" t="str">
        <f t="shared" si="36"/>
        <v>HsCd</v>
      </c>
      <c r="C24" s="28" t="str">
        <f t="shared" si="37"/>
        <v>Hs Cd</v>
      </c>
      <c r="D24" s="28" t="str">
        <f t="shared" si="38"/>
        <v>hsCd</v>
      </c>
      <c r="E24" s="28" t="str">
        <f>A.Backend!H18</f>
        <v>string</v>
      </c>
      <c r="F24" s="28" t="str">
        <f>A.Backend!G18</f>
        <v>15</v>
      </c>
      <c r="G24" s="28" t="str">
        <f t="shared" si="39"/>
        <v xml:space="preserve"> : string = '' ; </v>
      </c>
      <c r="H24" s="35" t="str">
        <f t="shared" si="40"/>
        <v xml:space="preserve">			{headerName: this.l('Hs Cd'),headerTooltip: this.l('Hs Cd'),field: 'hsCd',flex: 1},</v>
      </c>
      <c r="I24" s="35" t="str">
        <f t="shared" ref="I24:I25" si="46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[(ngModel)]='hsCd' name='hsCd'
									class='form-control' [placeholder]="l('Hs Cd')"
									type='text' (keyup.enter)='searchDatas()'&gt;
								&lt;/div&gt;</v>
      </c>
      <c r="J24" s="28"/>
      <c r="K24" s="35" t="str">
        <f>IF(OR(E24="DateTime?",E24="TimeSpan?"),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IF(OR(E24="int?",E24="long?"),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title'&gt;Hs Cd&lt;/label&gt;
						&lt;input type='text' class='col-md-10 form-control input-text' name='HsCd' [(ngModel)]='rowdata.hsCd'&gt;
					&lt;/div&gt;</v>
      </c>
      <c r="L24" s="56" t="str">
        <f t="shared" si="42"/>
        <v/>
      </c>
      <c r="M24" s="28"/>
      <c r="N24" s="28"/>
      <c r="O24" s="28"/>
      <c r="P24" s="28"/>
      <c r="Q24" s="28"/>
      <c r="R24" s="28"/>
      <c r="S24" s="28" t="str">
        <f>IF(AND(E24="string",F24 &lt;&gt;"1"),(REPT(CHAR(9),1)&amp;D24&amp;G24),"")</f>
        <v xml:space="preserve">	hsCd : string = '' ; </v>
      </c>
      <c r="T24" s="28" t="str">
        <f t="shared" si="31"/>
        <v xml:space="preserve">			this.tariffCd,</v>
      </c>
      <c r="U24" s="28" t="str">
        <f>IF(AND(E24="string",F24 &lt;&gt;"1"),(REPT(CHAR(9),1)&amp;D24&amp;G24),"")</f>
        <v xml:space="preserve">	hsCd : string = '' ; </v>
      </c>
      <c r="V24" s="28" t="str">
        <f t="shared" si="45"/>
        <v/>
      </c>
    </row>
    <row r="25" spans="1:22" ht="15" customHeight="1" x14ac:dyDescent="0.25">
      <c r="A25" s="28" t="s">
        <v>375</v>
      </c>
      <c r="B25" s="28" t="str">
        <f t="shared" si="36"/>
        <v>InvoiceId</v>
      </c>
      <c r="C25" s="28" t="str">
        <f t="shared" si="37"/>
        <v>Invoice Id</v>
      </c>
      <c r="D25" s="28" t="str">
        <f t="shared" si="38"/>
        <v>invoiceId</v>
      </c>
      <c r="E25" s="28" t="str">
        <f>A.Backend!H19</f>
        <v>long?</v>
      </c>
      <c r="F25" s="28" t="str">
        <f>A.Backend!G19</f>
        <v/>
      </c>
      <c r="G25" s="28" t="str">
        <f t="shared" si="39"/>
        <v/>
      </c>
      <c r="H25" s="35" t="str">
        <f t="shared" si="40"/>
        <v xml:space="preserve">			{headerName: this.l('Invoice Id'),headerTooltip: this.l('Invoice Id'),field: 'invoiceId',flex: 1},</v>
      </c>
      <c r="I25" s="35" t="str">
        <f t="shared" si="46"/>
        <v/>
      </c>
      <c r="J25" s="28"/>
      <c r="K25" s="35" t="str">
        <f>IF(OR(E25="DateTime?",E25="TimeSpan?"),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IF(OR(E25="int?",E25="long?"),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title'&gt;Invoice Id&lt;/label&gt;
						&lt;input type='number' class='col-md-10 form-control input-text' name='InvoiceId' [(ngModel)]='rowdata.invoiceId'&gt;
					&lt;/div&gt;</v>
      </c>
      <c r="L25" s="56" t="str">
        <f t="shared" si="42"/>
        <v/>
      </c>
      <c r="M25" s="28"/>
      <c r="N25" s="28"/>
      <c r="O25" s="28"/>
      <c r="P25" s="28"/>
      <c r="Q25" s="28"/>
      <c r="R25" s="28"/>
      <c r="S25" s="28" t="str">
        <f>IF(AND(E25="string",F25 &lt;&gt;"1"),(REPT(CHAR(9),1)&amp;D25&amp;G25),"")</f>
        <v/>
      </c>
      <c r="T25" s="28" t="str">
        <f t="shared" ref="T25" si="47">IF(AND(E25="string",F25 &lt;&gt;"1"),(REPT(CHAR(9),3)&amp;"this."&amp;D24&amp;","),"")</f>
        <v/>
      </c>
      <c r="U25" s="28" t="str">
        <f>IF(AND(E25="string",F25 &lt;&gt;"1"),(REPT(CHAR(9),1)&amp;D25&amp;G25),"")</f>
        <v/>
      </c>
      <c r="V25" s="28" t="str">
        <f t="shared" si="45"/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2023-08-21T08:32:27Z</dcterms:modified>
</cp:coreProperties>
</file>
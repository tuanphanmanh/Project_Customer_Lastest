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gps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5" l="1"/>
  <c r="E21" i="5"/>
  <c r="I21" i="5" s="1"/>
  <c r="C21" i="5"/>
  <c r="B21" i="5"/>
  <c r="D21" i="5" s="1"/>
  <c r="F20" i="5"/>
  <c r="E20" i="5"/>
  <c r="C20" i="5"/>
  <c r="B20" i="5"/>
  <c r="D20" i="5" s="1"/>
  <c r="L15" i="1"/>
  <c r="G15" i="1"/>
  <c r="E15" i="1"/>
  <c r="H15" i="1" s="1"/>
  <c r="D15" i="1"/>
  <c r="V15" i="1" s="1"/>
  <c r="L14" i="1"/>
  <c r="G14" i="1"/>
  <c r="E14" i="1"/>
  <c r="H14" i="1" s="1"/>
  <c r="M14" i="1" s="1"/>
  <c r="D14" i="1"/>
  <c r="T14" i="1" s="1"/>
  <c r="H20" i="5" l="1"/>
  <c r="V21" i="5"/>
  <c r="G21" i="5"/>
  <c r="S21" i="5" s="1"/>
  <c r="V20" i="5"/>
  <c r="L21" i="5"/>
  <c r="U21" i="5"/>
  <c r="T21" i="5"/>
  <c r="I20" i="5"/>
  <c r="T20" i="5"/>
  <c r="K20" i="5"/>
  <c r="U20" i="5"/>
  <c r="H21" i="5"/>
  <c r="G20" i="5"/>
  <c r="S20" i="5" s="1"/>
  <c r="L20" i="5"/>
  <c r="K21" i="5"/>
  <c r="W15" i="1"/>
  <c r="O15" i="1"/>
  <c r="J15" i="1"/>
  <c r="N15" i="1"/>
  <c r="I15" i="1"/>
  <c r="M15" i="1"/>
  <c r="I14" i="1"/>
  <c r="N14" i="1"/>
  <c r="V14" i="1"/>
  <c r="P15" i="1"/>
  <c r="J14" i="1"/>
  <c r="O14" i="1"/>
  <c r="W14" i="1"/>
  <c r="T15" i="1"/>
  <c r="P14" i="1"/>
  <c r="C19" i="5" l="1"/>
  <c r="B19" i="5"/>
  <c r="D19" i="5" s="1"/>
  <c r="T19" i="5" s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s="1"/>
  <c r="C15" i="5"/>
  <c r="B15" i="5"/>
  <c r="D15" i="5" s="1"/>
  <c r="T15" i="5" s="1"/>
  <c r="B7" i="5" l="1"/>
  <c r="B6" i="5"/>
  <c r="B2" i="5"/>
  <c r="B8" i="5" l="1"/>
  <c r="B3" i="5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L11" i="1"/>
  <c r="G11" i="1"/>
  <c r="F17" i="5" s="1"/>
  <c r="E11" i="1"/>
  <c r="H11" i="1" s="1"/>
  <c r="E17" i="5" s="1"/>
  <c r="D11" i="1"/>
  <c r="V11" i="1" s="1"/>
  <c r="L10" i="1"/>
  <c r="G10" i="1"/>
  <c r="F16" i="5" s="1"/>
  <c r="E10" i="1"/>
  <c r="H10" i="1" s="1"/>
  <c r="E16" i="5" s="1"/>
  <c r="D10" i="1"/>
  <c r="T10" i="1" s="1"/>
  <c r="L9" i="1"/>
  <c r="G9" i="1"/>
  <c r="F15" i="5" s="1"/>
  <c r="E9" i="1"/>
  <c r="H9" i="1" s="1"/>
  <c r="E15" i="5" s="1"/>
  <c r="D9" i="1"/>
  <c r="V9" i="1" s="1"/>
  <c r="H16" i="5" l="1"/>
  <c r="G16" i="5"/>
  <c r="S16" i="5" s="1"/>
  <c r="U16" i="5"/>
  <c r="K16" i="5"/>
  <c r="I16" i="5"/>
  <c r="H19" i="5"/>
  <c r="G19" i="5"/>
  <c r="S19" i="5" s="1"/>
  <c r="U19" i="5"/>
  <c r="K19" i="5"/>
  <c r="I19" i="5"/>
  <c r="G15" i="5"/>
  <c r="S15" i="5" s="1"/>
  <c r="U15" i="5"/>
  <c r="K15" i="5"/>
  <c r="I15" i="5"/>
  <c r="H15" i="5"/>
  <c r="I17" i="5"/>
  <c r="H17" i="5"/>
  <c r="G17" i="5"/>
  <c r="S17" i="5" s="1"/>
  <c r="U17" i="5"/>
  <c r="K17" i="5"/>
  <c r="G18" i="5"/>
  <c r="S18" i="5" s="1"/>
  <c r="U18" i="5"/>
  <c r="K18" i="5"/>
  <c r="I18" i="5"/>
  <c r="H18" i="5"/>
  <c r="L18" i="5"/>
  <c r="V18" i="5"/>
  <c r="L17" i="5"/>
  <c r="V17" i="5"/>
  <c r="V19" i="5"/>
  <c r="L19" i="5"/>
  <c r="M13" i="1"/>
  <c r="I13" i="1"/>
  <c r="P9" i="1"/>
  <c r="P12" i="1"/>
  <c r="W9" i="1"/>
  <c r="W12" i="1"/>
  <c r="O12" i="1"/>
  <c r="J12" i="1"/>
  <c r="N12" i="1"/>
  <c r="I12" i="1"/>
  <c r="M12" i="1"/>
  <c r="N13" i="1"/>
  <c r="V13" i="1"/>
  <c r="T12" i="1"/>
  <c r="J13" i="1"/>
  <c r="O13" i="1"/>
  <c r="W13" i="1"/>
  <c r="P13" i="1"/>
  <c r="P11" i="1"/>
  <c r="W11" i="1"/>
  <c r="O11" i="1"/>
  <c r="J11" i="1"/>
  <c r="N11" i="1"/>
  <c r="I11" i="1"/>
  <c r="M11" i="1"/>
  <c r="M10" i="1"/>
  <c r="N10" i="1"/>
  <c r="I10" i="1"/>
  <c r="W10" i="1"/>
  <c r="O10" i="1"/>
  <c r="J10" i="1"/>
  <c r="M9" i="1"/>
  <c r="T9" i="1"/>
  <c r="T11" i="1"/>
  <c r="V10" i="1"/>
  <c r="I9" i="1"/>
  <c r="N9" i="1"/>
  <c r="P10" i="1"/>
  <c r="J9" i="1"/>
  <c r="O9" i="1"/>
  <c r="B6" i="1" l="1"/>
  <c r="V16" i="5" l="1"/>
  <c r="L16" i="5"/>
  <c r="V15" i="5" l="1"/>
  <c r="L15" i="5"/>
  <c r="Q3" i="1" l="1"/>
  <c r="B4" i="5" s="1"/>
  <c r="B5" i="5" s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7" i="1"/>
  <c r="T7" i="1" l="1"/>
  <c r="W17" i="1"/>
  <c r="G6" i="1" l="1"/>
  <c r="K13" i="5"/>
  <c r="H13" i="5"/>
  <c r="I13" i="5"/>
  <c r="V13" i="5"/>
  <c r="S13" i="5"/>
  <c r="L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3" i="1" l="1"/>
  <c r="C7" i="1"/>
  <c r="O17" i="1"/>
  <c r="N17" i="1"/>
  <c r="P17" i="1"/>
  <c r="I17" i="1"/>
  <c r="J17" i="1"/>
  <c r="Q7" i="1" l="1"/>
  <c r="M68" i="3" s="1"/>
  <c r="L7" i="1"/>
  <c r="G68" i="3" s="1"/>
  <c r="K68" i="3"/>
  <c r="J68" i="3"/>
  <c r="M17" i="1"/>
  <c r="K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<sst xmlns="http://schemas.openxmlformats.org/spreadsheetml/2006/main" count="459" uniqueCount="370">
  <si>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</si>
  <si>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</si>
  <si>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</si>
  <si>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</si>
  <si>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</si>
  <si>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</si>
  <si>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</si>
  <si>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</si>
  <si>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</si>
  <si>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</si>
  <si>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</si>
  <si>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</si>
  <si>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</si>
  <si>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</si>
  <si>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</si>
  <si>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</si>
  <si>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</si>
  <si>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</si>
  <si>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</si>
  <si>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</si>
  <si>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</si>
  <si>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</si>
  <si>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</si>
  <si>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</si>
  <si>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</si>
  <si>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</si>
  <si>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</si>
  <si>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</si>
  <si>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</si>
  <si>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</si>
  <si>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</si>
  <si>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</si>
  <si>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</si>
  <si>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</si>
  <si>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</si>
  <si>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</si>
  <si>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</si>
  <si>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</si>
  <si>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</si>
  <si>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</si>
  <si>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</si>
  <si>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</si>
  <si>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</si>
  <si>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</si>
  <si>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</si>
  <si>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</si>
  <si>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</si>
  <si>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</si>
  <si>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</si>
  <si>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</si>
  <si>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</si>
  <si>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</si>
  <si>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</si>
  <si>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</si>
  <si>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</si>
  <si>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</si>
  <si>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</si>
  <si>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</si>
  <si>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</si>
  <si>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</si>
  <si>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</si>
  <si>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</si>
  <si>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</si>
  <si>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</si>
  <si>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</si>
  <si>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</si>
  <si>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</si>
  <si>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</si>
  <si>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</si>
  <si>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</si>
  <si>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</si>
  <si>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</si>
  <si>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</si>
  <si>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</si>
  <si>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</si>
  <si>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</si>
  <si>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</si>
  <si>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</si>
  <si>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</si>
  <si>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</si>
  <si>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</si>
  <si>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</si>
  <si>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</si>
  <si>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</si>
  <si>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</si>
  <si>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</si>
  <si>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</si>
  <si>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</si>
  <si>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</si>
  <si>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</si>
  <si>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</si>
  <si>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</si>
  <si>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</si>
  <si>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</si>
  <si>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</si>
  <si>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</si>
  <si>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</si>
  <si>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</si>
  <si>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</si>
  <si>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</si>
  <si>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</si>
  <si>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</si>
  <si>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</si>
  <si>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</si>
  <si>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</si>
  <si>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</si>
  <si>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</si>
  <si>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</si>
  <si>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</si>
  <si>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</si>
  <si>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</si>
  <si>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</si>
  <si>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</si>
  <si>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</si>
  <si>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</si>
  <si>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</si>
  <si>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</si>
  <si>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</si>
  <si>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</si>
  <si>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</si>
  <si>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</si>
  <si>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</si>
  <si>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</si>
  <si>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</si>
  <si>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</si>
  <si>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</si>
  <si>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</si>
  <si>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</si>
  <si>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</si>
  <si>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</si>
  <si>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</si>
  <si>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</si>
  <si>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</si>
  <si>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</si>
  <si>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</si>
  <si>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</si>
  <si>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</si>
  <si>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</si>
  <si>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</si>
  <si>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</si>
  <si>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</si>
  <si>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</si>
  <si>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</si>
  <si>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</si>
  <si>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</si>
  <si>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</si>
  <si>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</si>
  <si>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</si>
  <si>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</si>
  <si>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</si>
  <si>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</si>
  <si>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</si>
  <si>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</si>
  <si>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</si>
  <si>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</si>
  <si>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</si>
  <si>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</si>
  <si>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</si>
  <si>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</si>
  <si>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</si>
  <si>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</si>
  <si>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</si>
  <si>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</si>
  <si>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</si>
  <si>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</si>
  <si>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</si>
  <si>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</si>
  <si>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</si>
  <si>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</si>
  <si>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</si>
  <si>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</si>
  <si>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</si>
  <si>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</si>
  <si>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</si>
  <si>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</si>
  <si>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</si>
  <si>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</si>
  <si>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</si>
  <si>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</si>
  <si>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</si>
  <si>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</si>
  <si>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</si>
  <si>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</si>
  <si>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</si>
  <si>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</si>
  <si>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</si>
  <si>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</si>
  <si>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</si>
  <si>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</si>
  <si>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</si>
  <si>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</si>
  <si>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</si>
  <si>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</si>
  <si>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</si>
  <si>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</si>
  <si>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</si>
  <si>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</si>
  <si>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</si>
  <si>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</si>
  <si>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</si>
  <si>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</si>
  <si>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</si>
  <si>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</si>
  <si>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</si>
  <si>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</si>
  <si>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</si>
  <si>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</si>
  <si>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</si>
  <si>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</si>
  <si>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</si>
  <si>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</si>
  <si>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</si>
  <si>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</si>
  <si>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</si>
  <si>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</si>
  <si>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</si>
  <si>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</si>
  <si>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</si>
  <si>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</si>
  <si>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</si>
  <si>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</si>
  <si>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</si>
  <si>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</si>
  <si>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</si>
  <si>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</si>
  <si>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</si>
  <si>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</si>
  <si>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</si>
  <si>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</si>
  <si>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</si>
  <si>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</si>
  <si>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</si>
  <si>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</si>
  <si>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</si>
  <si>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</si>
  <si>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</si>
  <si>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</si>
  <si>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</si>
  <si>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</si>
  <si>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</si>
  <si>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</si>
  <si>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</si>
  <si>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</si>
  <si>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</si>
  <si>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</si>
  <si>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</si>
  <si>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</si>
  <si>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</si>
  <si>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</si>
  <si>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</si>
  <si>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</si>
  <si>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</si>
  <si>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</si>
  <si>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</si>
  <si>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</si>
  <si>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</si>
  <si>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</si>
  <si>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</si>
  <si>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</si>
  <si>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</si>
  <si>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</si>
  <si>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</si>
  <si>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</si>
  <si>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</si>
  <si>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</si>
  <si>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</si>
  <si>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</si>
  <si>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</si>
  <si>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</si>
  <si>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</si>
  <si>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</si>
  <si>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</si>
  <si>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</si>
  <si>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</si>
  <si>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</si>
  <si>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</si>
  <si>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</si>
  <si>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</si>
  <si>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</si>
  <si>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</si>
  <si>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</si>
  <si>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</si>
  <si>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</si>
  <si>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</si>
  <si>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</si>
  <si>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</si>
  <si>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</si>
  <si>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</si>
  <si>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</si>
  <si>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</si>
  <si>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</si>
  <si>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</si>
  <si>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</si>
  <si>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</si>
  <si>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</si>
  <si>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</si>
  <si>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</si>
  <si>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</si>
  <si>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</si>
  <si>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</si>
  <si>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</si>
  <si>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</si>
  <si>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</si>
  <si>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</si>
  <si>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</si>
  <si>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</si>
  <si>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</si>
  <si>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</si>
  <si>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</si>
  <si>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</si>
  <si>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</si>
  <si>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</si>
  <si>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</si>
  <si>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</si>
  <si>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</si>
  <si>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</si>
  <si>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</si>
  <si>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</si>
  <si>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</si>
  <si>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</si>
  <si>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</si>
  <si>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</si>
  <si>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</si>
  <si>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</si>
  <si>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</si>
  <si>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</si>
  <si>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</si>
  <si>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</si>
  <si>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</si>
  <si>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</si>
  <si>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</si>
  <si>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</si>
  <si>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</si>
  <si>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</si>
  <si>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</si>
  <si>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</si>
  <si>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</si>
  <si>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</si>
  <si>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</si>
  <si>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</si>
  <si>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</si>
  <si>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</si>
  <si>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</si>
  <si>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</si>
  <si>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</si>
  <si>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</si>
  <si>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</si>
  <si>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</si>
  <si>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</si>
  <si>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</si>
  <si>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</si>
  <si>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</si>
  <si>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</si>
  <si>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</si>
  <si>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</si>
  <si>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VARCHAR(200)</t>
  </si>
  <si>
    <t>PART_NO</t>
  </si>
  <si>
    <t>PART_NAME</t>
  </si>
  <si>
    <t>PART_ID</t>
  </si>
  <si>
    <t>QTY</t>
  </si>
  <si>
    <t>WORKING_DATE</t>
  </si>
  <si>
    <t>BIGINT</t>
  </si>
  <si>
    <t>DATETIME</t>
  </si>
  <si>
    <t>TRANSACTION_DATE</t>
  </si>
  <si>
    <t>TRANSACTION_ID</t>
  </si>
  <si>
    <t>Inventory.GPS</t>
  </si>
  <si>
    <t>InvGpsStockTransaction</t>
  </si>
  <si>
    <t>GpsStockTransaction</t>
  </si>
  <si>
    <t>DECIMAL(18,5)</t>
  </si>
  <si>
    <t>Drm Stock Transaction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</si>
</sst>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msPublish/docs/design/inventory/drm/InvDrmStockPartTrans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8">
          <cell r="G18" t="str">
            <v/>
          </cell>
          <cell r="H18" t="str">
            <v>DateTime?</v>
          </cell>
        </row>
        <row r="19">
          <cell r="G19" t="str">
            <v/>
          </cell>
          <cell r="H19" t="str">
            <v>long?</v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[Table("InvGpsStockTransaction")]
	public class InvGpsStockTransaction: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}
</v>
      </c>
      <c r="D68" s="48" t="str">
        <f>A.Backend!O7</f>
        <v xml:space="preserve">		public const string Pages_Inventory_GPS_GpsStockTransaction = "Pages.Inventory.GPS.GpsStockTransaction";
		public const string Pages_Inventory_GPS_GpsStockTransaction_CreateEdit = "Pages.Inventory.GPS.GpsStockTransaction.CreateEdit";
		public const string Pages_Inventory_GPS_GpsStockTransaction_Delete = "Pages.Inventory.GPS.GpsStockTransaction.Delete";
</v>
      </c>
      <c r="E68" s="48" t="str">
        <f>A.Backend!N7</f>
        <v xml:space="preserve">		var perInvGpsStockTransaction = PARENTS.CreateChildPermission(AppPermissions.Pages_Inventory_GPS_GpsStockTransaction, L( "InventoryGPSGpsStockTransaction"), multiTenancySides: MultiTenancySides.Tenant);
		perInvGpsStockTransaction.CreateChildPermission(AppPermissions.Pages_Inventory_GPS_GpsStockTransaction_CreateEdit, L( "InventoryGPSGpsStockTransactionCreateEdit"), multiTenancySides: MultiTenancySides.Tenant);
		perInvGpsStockTransaction.CreateChildPermission(AppPermissions.Pages_Inventory_GPS_GpsStockTransaction_Delete, L( "InventoryGPSGpsStockTransactionDelete"), multiTenancySides: MultiTenancySides.Tenant);</v>
      </c>
      <c r="F68" s="48" t="str">
        <f>A.Backend!K7</f>
        <v>public virtual DbSet&lt;InvGpsStockTransaction&gt; InvGpsStockTransactions { get; set; }</v>
      </c>
      <c r="G68" s="48" t="str">
        <f ca="1">A.Backend!L7</f>
        <v xml:space="preserve">namespace prod.Inventory.GPS
{
	public class InvGpsStockTransactionConsts	
	{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InvGpsStockTransactionDto : EntityDto&lt;long?&gt;	
	{
		public virtual string PartNo { get; set; }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	public class CreateOrEditInvGpsStockTransactionDto : EntityDto&lt;long?&gt;	
	{
		[StringLength(InvGpsStockTransactionConsts.MaxPartNoLength)]
		public virtual string PartNo { get; set; }
		[StringLength(InvGpsStockTransactionConsts.MaxPartNameLength)]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	public class GetInvGpsStockTransactionInput : PagedAndSortedResultRequestDto	
	{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InvGpsStockTransactionExportInput{
		public virtual string PartNo { get; set; }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IInvGpsStockTransactionAppService : IApplicationService
	{
		Task&lt;PagedResultDto&lt;InvGpsStockTransactionDto&gt;&gt; GetAll(GetInvGpsStockTransactionInput input);
		Task CreateOrEdit(CreateOrEditInvGpsStockTransactionDto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IInvGpsStockTransactionExcelExporter : IApplicationService
	{
		FileDto ExportToFile(List&lt;InvGpsStockTransactionDto&gt; invgpsstocktransaction);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InvGpsStockTransactionExcelExporter : NpoiExcelExporterBase, IInvGpsStockTransactionExcelExporter
    {
        public InvGpsStockTransactionExcelExporter(ITempFileCacheManager tempFileCacheManager) : base(tempFileCacheManager) { }
        public FileDto ExportToFile(List&lt;InvGpsStockTransactionDto&gt; gpsstocktransaction)
        {
            return CreateExcelPackage(
				"InventoryGPSGpsStockTransaction.xlsx",
				excelPackage =&gt;
				 {
					var sheet = excelPackage.CreateSheet("GpsStockTransaction");
					AddHeader(
								sheet,
								("PartNo"),
								("PartName"),
								("PartId"),
								("Qty"),
								("WorkingDate"),
								("TransactionDate"),
								("TransactionId"),
							   );
					AddObjects(
						 sheet, 1, gpsstocktransaction,                                       
								_ =&gt; _.PartNo,
								_ =&gt; _.PartName,
								_ =&gt; _.PartId,
								_ =&gt; _.Qty,
								_ =&gt; _.WorkingDate,
								_ =&gt; _.TransactionDate,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[AbpAuthorize(AppPermissions.Pages_Inventory_GPS_GpsStockTransaction)]
    public class InvGpsStockTransactionAppService : vovinaAppServiceBase, IInvGpsStockTransactionAppService
    {
        private readonly IDapperRepository&lt;InvGpsStockTransaction, long&gt; _dapperRepo;
        private readonly IRepository&lt;InvGpsStockTransaction, long&gt; _repo;
        private readonly IInvGpsStockTransactionExcelExporter _calendarListExcelExporter;
        public InvGpsStockTransactionAppService(IRepository&lt;InvGpsStockTransaction,long&gt; repo, 
                                         IDapperRepository&lt;InvGpsStockTransaction,long&gt; dapperRepo,
                                        IInvGpsStockTransactionExcelExporter calendarListExcelExporter
            )
        {
            _repo = repo;
            _dapperRepo = dapperRepo;
            _calendarListExcelExporter = calendarListExcelExporter;
        }
        [AbpAuthorize(AppPermissions.Pages_Inventory_GPS_GpsStockTransaction_CreateEdit)]
        public async Task CreateOrEdit(CreateOrEditInvGpsStockTransactionDto input)
        {
            if (input.Id == null) await Create(input);
            else await Update(input);
        }
        //CREATE
        private async Task Create(CreateOrEditInvGpsStockTransactionDto input)
        {          
            var mainObj = ObjectMapper.Map&lt;InvGpsStockTransaction&gt;(input);
            await CurrentUnitOfWork.GetDbContext&lt;vovinaDbContext&gt;().AddAsync(mainObj);
        }
        // EDIT
        private async Task Update(CreateOrEditInvGpsStockTransactionDto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Task&lt;PagedResultDto&lt;InvGpsStockTransactionDto&gt;&gt; GetAll(GetInvGpsStockTransactionInput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InvGpsStockTransactionDto
                        {
							Id = o.Id,
							PartNo = o.PartNo,
							PartName = o.PartName,
							PartId = o.PartId,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PagedResultDto&lt;InvGpsStockTransactionDto&gt;(
                totalCount,
                 await paged.ToListAsync()
            );
        }
        public async Task&lt;FileDto&gt; GetGpsStockTransactionToExcel(InvGpsStockTransactionExportInput input)
        {
            var query = from o in _repo.GetAll()
                        select new InvGpsStockTransactionDto
                        {
							Id = o.Id,
							PartNo = o.PartNo,
							PartName = o.PartName,
							PartId = o.PartId,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_dapperRepo.ExecuteAsync(InvGpsStockTransactionConsts.SP_MST_WPT_CALENDAR_GENERATE);
       // }
    }
}</v>
      </c>
      <c r="N68" s="58" t="str">
        <f>A.Backend!U7</f>
        <v xml:space="preserve">  configuration.CreateMap&lt;InvGpsStockTransactionDto, InvGpsStockTransaction&gt;();
  configuration.CreateMap&lt;InvGpsStockTransaction, InvGpsStockTransactionDto&gt;();
  configuration.CreateMap&lt;CreateOrEditInvGpsStockTransactionDto, InvGpsStockTransaction&gt;();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gpsstocktransaction</v>
      </c>
      <c r="C73" s="66" t="str">
        <f>"create folder " &amp;B73</f>
        <v>create folder gpsstocktransaction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gpsstocktransaction.component.ts</v>
      </c>
      <c r="D74" s="28" t="str">
        <f>B.Frontend!I14</f>
        <v>gpsstocktransaction.component.html</v>
      </c>
      <c r="E74" s="28" t="str">
        <f>B.Frontend!J14</f>
        <v>gpsstocktransaction.component.less</v>
      </c>
      <c r="F74" s="28" t="str">
        <f>B.Frontend!K14</f>
        <v>create-or-edit-gpsstocktransaction-modal.component.html</v>
      </c>
      <c r="G74" s="28" t="str">
        <f>B.Frontend!L14</f>
        <v>create-or-edit-gpsstocktransaction-modal.component.ts</v>
      </c>
      <c r="H74" s="28" t="str">
        <f>B.Frontend!M14</f>
        <v>create-or-edit-gpsstocktransaction-modal.component.less</v>
      </c>
      <c r="I74" s="28" t="str">
        <f>B.Frontend!N14</f>
        <v>gpsstocktransaction.module.ts</v>
      </c>
      <c r="J74" s="28" t="str">
        <f>B.Frontend!O14</f>
        <v>gpsstocktransaction-routing.module.ts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InvGpsStockTransactionDto, InvGpsStockTransactionServiceProxy } from '@shared/service-proxies/service-proxies';
import { finalize } from 'rxjs/internal/operators/finalize';
import { CreateOrEditGpsStockTransactionModalComponent } from './create-or-edit-gpsstocktransaction-modal.component';
import { DatePipe } from '@angular/common';
import { FileDownloadService } from '@shared/utils/file-download.service';
import ceil from 'lodash-es/ceil';
import { Paginator } from 'primeng/paginator';
@Component({
    templateUrl: './gpsstocktransaction.component.html',
    styleUrls: ['./gpsstocktransaction.component.less'],
})
export class GpsStockTransactionComponent extends AppComponentBase implements OnInit {
    @ViewChild('createOrEditModalGpsStockTransaction', { static: true }) createOrEditModalGpsStockTransaction:| CreateOrEditGpsStockTransactionModalComponent|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InvGpsStockTransactionDto = new InvGpsStockTransactionDto();
    saveSelectedRow: InvGpsStockTransactionDto = new InvGpsStockTransactionDto();
    datas: InvGpsStockTransactionDto = new InvGpsStockTransactionDto();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this.qty,
			this.workingDate,
			this.transactionDate,
			this.transactionId,
			'',
            this.paginationParams.skipCount,
            this.paginationParams.pageSize
        );
    }
    onChangeRowSelection(params: { api: { getSelectedRows: () =&gt; InvGpsStockTransactionDto[] } }) {
        this.saveSelectedRow = params.api.getSelectedRows()[0] ?? new InvGpsStockTransactionDto();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this._service.getGpsStockTransactionToExcel(
			this.partNo,
			this.partName,
			this.partId,
			this.qty,
			this.workingDate,
			this.transactionDate,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&lt;create-or-edit-gpsstocktransaction-modal
    #createOrEditModalGpsStockTransaction
    (modalSave)="callBackDataGrid(dataParams)"
    (modalClose)="onChangeRowSelection(dataParams)"
&gt;
&lt;/create-or-edit-gpsstocktransaction-modal&gt;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GpsStockTransaction')}}&lt;/h3&gt;
                    &lt;h3 *ngIf="!rowdata.id"&gt;{{('Create New GpsStockTransaction')}}&lt;/h3&gt;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CreateOrEditInvGpsStockTransactionDto, InvGpsStockTransactionServiceProxy } from '@shared/service-proxies/service-proxies';
import { BsDatepickerDirective } from 'ngx-bootstrap/datepicker';
@Component({
    selector: 'create-or-edit-gpsstocktransaction-modal',
    templateUrl: './create-or-edit-gpsstocktransaction-modal.component.html',
    styleUrls: ['./create-or-edit-gpsstocktransaction-modal.component.less']
    })
export class CreateOrEditGpsStockTransactionModalComponent extends AppComponentBase {
    @ViewChild('createOrEditModalGpsStockTransaction',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CreateOrEditInvGpsStockTransactionDto = new CreateOrEditInvGpsStockTransactionDto();
    active: boolean = false;
    saving: boolean = false;
    _: boolean;
    constructor(
        injector: Injector,
        private _mstwptGpsStockTransactionService: InvGpsStockTransactionServiceProxy,
    ) 
    {
        super(injector);
    }
    show(rowdata?: CreateOrEditInvGpsStockTransactionDto): void {
        if (!rowdata) this.rowdata = new CreateOrEditInvGpsStockTransactionDto();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GpsStockTransactionRoutingModule } from './gpsstocktransaction-routing.module';
import { GpsStockTransactionComponent } from './gpsstocktransaction.component';
import { CreateOrEditGpsStockTransactionModalComponent } from './create-or-edit-gpsstocktransaction-modal.component';
@NgModule({
    declarations: [
       GpsStockTransactionComponent, 
        CreateOrEditGpsStockTransactionModalComponent
    ],
    imports: [
        AppSharedModule, GpsStockTransactionRoutingModule]
})
export class GpsStockTransactionModule {}</v>
      </c>
      <c r="J75" s="46" t="str">
        <f>B.Frontend!O10</f>
        <v>import {NgModule} from '@angular/core';
import {RouterModule, Routes} from '@angular/router';
import { GpsStockTransactionComponent } from './gpsstocktransaction.component';
const routes: Routes = [{
    path: '',
    component: GpsStockTransactionComponent,
    pathMatch: 'full'
}];
@NgModule({
    imports: [RouterModule.forChild(routes)],
    exports: [RouterModule],
})
export class GpsStockTransactionRoutingModule {}</v>
      </c>
      <c r="K75" s="46" t="str">
        <f>B.Frontend!P10</f>
        <v xml:space="preserve"> new AppMenuItem("GpsStockTransaction", "Pages.Inventory.GPS.GpsStockTransaction", "flaticon-book",   "/app/main/inventory/gps/gpsstocktransaction"),</v>
      </c>
      <c r="L75" s="47" t="str">
        <f>B.Frontend!Q10</f>
        <v>{
    path: 'inventory/gps/gpsstocktransaction',
    loadChildren: () =&gt; import('./inventory/gps/gpsstocktransaction/gpsstocktransaction.module').then(m =&gt; m.GpsStockTransactionModule),
    data: { permission: 'Pages.Inventory.GPS.GpsStockTransaction' }
},</v>
      </c>
      <c r="M75" s="45" t="str">
        <f>B.Frontend!R10</f>
        <v>ApiServiceProxies.InvGpsStockTransactionServiceProxy,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B14" sqref="B14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365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41</v>
      </c>
      <c r="D3" s="9" t="s">
        <v>42</v>
      </c>
      <c r="E3" s="9" t="s">
        <v>37</v>
      </c>
      <c r="F3" s="10" t="str">
        <f>"J"&amp;COUNTA($A:$A)</f>
        <v>J15</v>
      </c>
      <c r="G3" s="4" t="s">
        <v>54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53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InvGpsStockTransactionExportInput{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InvGpsStockTransaction: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InvGpsStockTransactionConsts	
	{
</v>
      </c>
      <c r="F6" s="10" t="str">
        <f>REPT(CHAR(9),1)&amp;"public class "&amp;B3&amp;"Dto"&amp;K3&amp;REPT(CHAR(9),1)&amp;"
"&amp;REPT(CHAR(9),1)&amp;C3</f>
        <v xml:space="preserve">	public class InvGpsStockTransactionDto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CreateOrEditInvGpsStockTransactionDto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GetInvGpsStockTransactionInput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InvGpsStockTransaction</v>
      </c>
      <c r="C7" s="10" t="str">
        <f>REPT(CHAR(9),1)&amp;"[Table("""&amp;B7&amp;""")]"&amp;"
"</f>
        <v xml:space="preserve">	[Table("InvGpsStockTransaction")]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[Table("InvGpsStockTransaction")]
	public class InvGpsStockTransaction: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DbSet&lt;InvGpsStockTransaction&gt; InvGpsStockTransactions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prod.Inventory.GPS
{
	public class InvGpsStockTransactionConsts	
	{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prod.Inventory.GPS.Dto
{
	public class InvGpsStockTransactionDto : EntityDto&lt;long?&gt;	
	{
		public virtual string PartNo { get; set; }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	public class CreateOrEditInvGpsStockTransactionDto : EntityDto&lt;long?&gt;	
	{
		[StringLength(InvGpsStockTransactionConsts.MaxPartNoLength)]
		public virtual string PartNo { get; set; }
		[StringLength(InvGpsStockTransactionConsts.MaxPartNameLength)]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	public class GetInvGpsStockTransactionInput : PagedAndSortedResultRequestDto	
	{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perInvGpsStockTransaction = PARENTS.CreateChildPermission(AppPermissions.Pages_Inventory_GPS_GpsStockTransaction, L( "InventoryGPSGpsStockTransaction"), multiTenancySides: MultiTenancySides.Tenant);
		perInvGpsStockTransaction.CreateChildPermission(AppPermissions.Pages_Inventory_GPS_GpsStockTransaction_CreateEdit, L( "InventoryGPSGpsStockTransactionCreateEdit"), multiTenancySides: MultiTenancySides.Tenant);
		perInvGpsStockTransaction.CreateChildPermission(AppPermissions.Pages_Inventory_GPS_GpsStockTransaction_Delete, L( "InventoryGPSGpsStockTransactionDelete"),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Pages_Inventory_GPS_GpsStockTransaction = "Pages.Inventory.GPS.GpsStockTransaction";
		public const string Pages_Inventory_GPS_GpsStockTransaction_CreateEdit = "Pages.Inventory.GPS.GpsStockTransaction.CreateEdit";
		public const string Pages_Inventory_GPS_GpsStockTransaction_Delete = "Pages.Inventory.GPS.GpsStockTransaction.Delete";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IInvGpsStockTransactionAppService : IApplicationService
	{
		Task&lt;PagedResultDto&lt;InvGpsStockTransactionDto&gt;&gt; GetAll(GetInvGpsStockTransactionInput input);
		Task CreateOrEdit(CreateOrEditInvGpsStockTransactionDto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[AbpAuthorize(AppPermissions.Pages_Inventory_GPS_GpsStockTransaction)]
    public class InvGpsStockTransactionAppService : vovinaAppServiceBase, IInvGpsStockTransactionAppService
    {
        private readonly IDapperRepository&lt;InvGpsStockTransaction, long&gt; _dapperRepo;
        private readonly IRepository&lt;InvGpsStockTransaction, long&gt; _repo;
        private readonly IInvGpsStockTransactionExcelExporter _calendarListExcelExporter;
        public InvGpsStockTransactionAppService(IRepository&lt;InvGpsStockTransaction,long&gt; repo, 
                                         IDapperRepository&lt;InvGpsStockTransaction,long&gt; dapperRepo,
                                        IInvGpsStockTransactionExcelExporter calendarListExcelExporter
            )
        {
            _repo = repo;
            _dapperRepo = dapperRepo;
            _calendarListExcelExporter = calendarListExcelExporter;
        }
        [AbpAuthorize(AppPermissions.Pages_Inventory_GPS_GpsStockTransaction_CreateEdit)]
        public async Task CreateOrEdit(CreateOrEditInvGpsStockTransactionDto input)
        {
            if (input.Id == null) await Create(input);
            else await Update(input);
        }
        //CREATE
        private async Task Create(CreateOrEditInvGpsStockTransactionDto input)
        {          
            var mainObj = ObjectMapper.Map&lt;InvGpsStockTransaction&gt;(input);
            await CurrentUnitOfWork.GetDbContext&lt;vovinaDbContext&gt;().AddAsync(mainObj);
        }
        // EDIT
        private async Task Update(CreateOrEditInvGpsStockTransactionDto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[AbpAuthorize(AppPermissions.Pages_Inventory_GPS_GpsStockTransaction_Delete)]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Task&lt;PagedResultDto&lt;InvGpsStockTransactionDto&gt;&gt; GetAll(GetInvGpsStockTransactionInput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InvGpsStockTransactionDto
                        {
							Id = o.Id,
							PartNo = o.PartNo,
							PartName = o.PartName,
							PartId = o.PartId,
							Qty = o.Qty,
							WorkingDate = o.WorkingDate,
							TransactionDate = o.TransactionDate,
							TransactionId = o.TransactionId,
                        };
            var totalCount = await filtered.CountAsync();
			var paged = system.PageBy(input);
            return new PagedResultDto&lt;InvGpsStockTransactionDto&gt;(
                totalCount,
                 await paged.ToListAsync()
            );
        }
        public async Task&lt;FileDto&gt; GetGpsStockTransactionToExcel(InvGpsStockTransactionExportInput input)
        {
            var query = from o in _repo.GetAll()
                        select new InvGpsStockTransactionDto
                        {
							Id = o.Id,
							PartNo = o.PartNo,
							PartName = o.PartName,
							PartId = o.PartId,
							Qty = o.Qty,
							WorkingDate = o.WorkingDate,
							TransactionDate = o.TransactionDate,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_dapperRepo.ExecuteAsync(InvGpsStockTransactionConsts.SP_MST_WPT_CALENDAR_GENERATE);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prod.Inventory.GPS.Dto
{
	public class InvGpsStockTransactionExportInput{
		public virtual string PartNo { get; set; }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IInvGpsStockTransactionExcelExporter : IApplicationService
	{
		FileDto ExportToFile(List&lt;InvGpsStockTransactionDto&gt; invgpsstocktransaction);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InvGpsStockTransactionExcelExporter : NpoiExcelExporterBase, IInvGpsStockTransactionExcelExporter
    {
        public InvGpsStockTransactionExcelExporter(ITempFileCacheManager tempFileCacheManager) : base(tempFileCacheManager) { }
        public FileDto ExportToFile(List&lt;InvGpsStockTransactionDto&gt; gpsstocktransaction)
        {
            return CreateExcelPackage(
				"InventoryGPSGpsStockTransaction.xlsx",
				excelPackage =&gt;
				 {
					var sheet = excelPackage.CreateSheet("GpsStockTransaction");
					AddHeader(
								sheet,
								("PartNo"),
								("PartName"),
								("PartId"),
								("Qty"),
								("WorkingDate"),
								("TransactionDate"),
								("TransactionId"),
							   );
					AddObjects(
						 sheet, 1, gpsstocktransaction,                                       
								_ =&gt; _.PartNo,
								_ =&gt; _.PartName,
								_ =&gt; _.PartId,
								_ =&gt; _.Qty,
								_ =&gt; _.WorkingDate,
								_ =&gt; _.TransactionDate,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configuration.CreateMap&lt;InvGpsStockTransactionDto, InvGpsStockTransaction&gt;();
  configuration.CreateMap&lt;InvGpsStockTransaction, InvGpsStockTransactionDto&gt;();
  configuration.CreateMap&lt;CreateOrEditInvGpsStockTransactionDto, InvGpsStockTransaction&gt;();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354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[StringLength(InvGpsStockTransactionConsts.MaxPartNoLength)]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t="s">
        <v>357</v>
      </c>
      <c r="B10" t="s">
        <v>355</v>
      </c>
      <c r="C10" t="s">
        <v>1</v>
      </c>
      <c r="D10" t="str">
        <f t="shared" ref="D10:D13" si="13">SUBSTITUTE(PROPER(A10),"_","")</f>
        <v>PartName</v>
      </c>
      <c r="E10" t="str">
        <f t="shared" ref="E10:E13" si="14">IFERROR(LEFT(B10, FIND("(",B10)-1),B10)</f>
        <v>VARCHAR</v>
      </c>
      <c r="F10" s="6"/>
      <c r="G10" t="str">
        <f t="shared" ref="G10:G13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3" si="16">IF(H10="string",REPT(CHAR(9),2)&amp;"public const int Max"&amp;D10&amp;"Length = "&amp;G10&amp;";"&amp;$E$3,"" )</f>
        <v xml:space="preserve">		public const int MaxPartNameLength = 200;
</v>
      </c>
      <c r="J10" t="str">
        <f t="shared" ref="J10:J13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3" si="18">IF(K10="","",REPT(CHAR(9),1)&amp;"[Index(nameof("&amp;IF(D10="","",""&amp;D10)&amp;")"&amp;", Name="&amp;"""IX_"&amp;$B$7&amp;"_"&amp;D10&amp;""")]")</f>
        <v/>
      </c>
      <c r="M10" t="str">
        <f t="shared" ref="M10:M13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3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[StringLength(InvGpsStockTransactionConsts.MaxPartNameLength)]
		public virtual string PartName { get; set; }
</v>
      </c>
      <c r="O10" t="str">
        <f t="shared" ref="O10:O13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3" si="22">REPT(CHAR(9),7)&amp;D10&amp;" = o." &amp;D10 &amp;","</f>
        <v xml:space="preserve">							PartName = o.PartName,</v>
      </c>
      <c r="T10" s="63" t="str">
        <f t="shared" ref="T10:T13" si="23">REPT(CHAR(9),8)&amp;"("""&amp;D10&amp;"""),"</f>
        <v xml:space="preserve">								("PartName"),</v>
      </c>
      <c r="V10" s="64" t="str">
        <f t="shared" ref="V10:V13" si="24">REPT(CHAR(9),8)&amp;"_ =&gt; _."&amp;D10&amp;","</f>
        <v xml:space="preserve">								_ =&gt; _.PartName,</v>
      </c>
      <c r="W10" s="63" t="str">
        <f t="shared" ref="W10:W13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t="s">
        <v>358</v>
      </c>
      <c r="B11" t="s">
        <v>361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t="s">
        <v>359</v>
      </c>
      <c r="B12" t="s">
        <v>368</v>
      </c>
      <c r="C12" t="s">
        <v>1</v>
      </c>
      <c r="D12" t="str">
        <f t="shared" si="13"/>
        <v>Qty</v>
      </c>
      <c r="E12" t="str">
        <f t="shared" si="14"/>
        <v>DECIMAL</v>
      </c>
      <c r="F12" s="6"/>
      <c r="G12" t="str">
        <f t="shared" si="15"/>
        <v>18,5</v>
      </c>
      <c r="H12" t="str">
        <f>+VLOOKUP(E12,'Data Type Mapping'!A:B,2,)</f>
        <v>decimal?</v>
      </c>
      <c r="I12" t="str">
        <f t="shared" si="16"/>
        <v/>
      </c>
      <c r="J12" t="str">
        <f t="shared" si="17"/>
        <v xml:space="preserve">		public virtual decimal? Qty { get; set; }
</v>
      </c>
      <c r="K12" s="6"/>
      <c r="L12" t="str">
        <f t="shared" si="18"/>
        <v/>
      </c>
      <c r="M12" t="str">
        <f t="shared" si="19"/>
        <v xml:space="preserve">		public virtual decimal? Qty { get; set; }
</v>
      </c>
      <c r="N12" t="str">
        <f t="shared" si="20"/>
        <v xml:space="preserve">		public virtual decimal? Qty { get; set; }
</v>
      </c>
      <c r="O12" t="str">
        <f t="shared" si="21"/>
        <v/>
      </c>
      <c r="P12" t="str">
        <f t="shared" si="22"/>
        <v xml:space="preserve">							Qty = o.Qty,</v>
      </c>
      <c r="T12" s="63" t="str">
        <f t="shared" si="23"/>
        <v xml:space="preserve">								("Qty"),</v>
      </c>
      <c r="V12" s="64" t="str">
        <f t="shared" si="24"/>
        <v xml:space="preserve">								_ =&gt; _.Qty,</v>
      </c>
      <c r="W12" s="63" t="str">
        <f t="shared" si="25"/>
        <v/>
      </c>
    </row>
    <row r="13" spans="1:23" customFormat="1" ht="18.75" customHeight="1" x14ac:dyDescent="0.25">
      <c r="A13" t="s">
        <v>360</v>
      </c>
      <c r="B13" t="s">
        <v>362</v>
      </c>
      <c r="C13" t="s">
        <v>1</v>
      </c>
      <c r="D13" t="str">
        <f t="shared" si="13"/>
        <v>WorkingDate</v>
      </c>
      <c r="E13" t="str">
        <f t="shared" si="14"/>
        <v>DATETIME</v>
      </c>
      <c r="F13" s="6"/>
      <c r="G13" t="str">
        <f t="shared" si="15"/>
        <v/>
      </c>
      <c r="H13" t="str">
        <f>+VLOOKUP(E13,'Data Type Mapping'!A:B,2,)</f>
        <v>DateTime?</v>
      </c>
      <c r="I13" t="str">
        <f t="shared" si="16"/>
        <v/>
      </c>
      <c r="J13" t="str">
        <f t="shared" si="17"/>
        <v xml:space="preserve">		public virtual DateTime? WorkingDate { get; set; }
</v>
      </c>
      <c r="K13" s="6"/>
      <c r="L13" t="str">
        <f t="shared" si="18"/>
        <v/>
      </c>
      <c r="M13" t="str">
        <f t="shared" si="19"/>
        <v xml:space="preserve">		public virtual DateTime? WorkingDate { get; set; }
</v>
      </c>
      <c r="N13" t="str">
        <f t="shared" si="20"/>
        <v xml:space="preserve">		public virtual DateTime? WorkingDate { get; set; }
</v>
      </c>
      <c r="O13" t="str">
        <f t="shared" si="21"/>
        <v/>
      </c>
      <c r="P13" t="str">
        <f t="shared" si="22"/>
        <v xml:space="preserve">							WorkingDate = o.WorkingDate,</v>
      </c>
      <c r="T13" s="63" t="str">
        <f t="shared" si="23"/>
        <v xml:space="preserve">								("WorkingDate"),</v>
      </c>
      <c r="V13" s="64" t="str">
        <f t="shared" si="24"/>
        <v xml:space="preserve">								_ =&gt; _.WorkingDate,</v>
      </c>
      <c r="W13" s="63" t="str">
        <f t="shared" si="25"/>
        <v/>
      </c>
    </row>
    <row r="14" spans="1:23" customFormat="1" ht="18.75" customHeight="1" x14ac:dyDescent="0.25">
      <c r="A14" t="s">
        <v>363</v>
      </c>
      <c r="B14" t="s">
        <v>362</v>
      </c>
      <c r="C14" t="s">
        <v>1</v>
      </c>
      <c r="D14" t="str">
        <f>SUBSTITUTE(PROPER(A14),"_","")</f>
        <v>TransactionDate</v>
      </c>
      <c r="E14" t="str">
        <f>IFERROR(LEFT(B14, FIND("(",B14)-1),B14)</f>
        <v>DATETIME</v>
      </c>
      <c r="F14" s="6"/>
      <c r="G14" t="str">
        <f>IFERROR(MID(B14,FIND("(",B14) +1, FIND(")",B14) - FIND("(",B14) - 1),"")</f>
        <v/>
      </c>
      <c r="H14" t="str">
        <f>+VLOOKUP(E14,'[1]Data Type Mapping'!A:B,2,)</f>
        <v>DateTime?</v>
      </c>
      <c r="I14" t="str">
        <f>IF(H14="string",REPT(CHAR(9),2)&amp;"public const int Max"&amp;D14&amp;"Length = "&amp;G14&amp;";"&amp;$E$3,"" )</f>
        <v/>
      </c>
      <c r="J14" t="str">
        <f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DateTime? TransactionDate { get; set; }
</v>
      </c>
      <c r="K14" s="6"/>
      <c r="L14" t="str">
        <f>IF(K14="","",REPT(CHAR(9),1)&amp;"[Index(nameof("&amp;IF(D14="","",""&amp;D14)&amp;")"&amp;", Name="&amp;"""IX_"&amp;$B$7&amp;"_"&amp;D14&amp;""")]")</f>
        <v/>
      </c>
      <c r="M14" t="str">
        <f>REPT(CHAR(9),2)&amp;"public virtual "&amp;IF(OR(H14="DateTime",H14="TimeSpan"),H14&amp;"?",H14)&amp;IF(C14="?","? "," ")&amp;D14&amp;" { get; set; }" &amp; "
"</f>
        <v xml:space="preserve">		public virtual DateTime? TransactionDate { get; set; }
</v>
      </c>
      <c r="N14" t="str">
        <f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DateTime? TransactionDate { get; set; }
</v>
      </c>
      <c r="O14" t="str">
        <f>IF(OR(H14="string",H14="DateTime",H14="int"),REPT(CHAR(9),2)&amp;"public virtual "&amp;IF(OR(H14="DateTime",H14="TimeSpan"),H14&amp;"?",H14)&amp;IF(C14="?","? "," ")&amp;D14&amp;" { get; set; }"&amp;$E$3,"")</f>
        <v/>
      </c>
      <c r="P14" t="str">
        <f>REPT(CHAR(9),7)&amp;D14&amp;" = o." &amp;D14 &amp;","</f>
        <v xml:space="preserve">							TransactionDate = o.TransactionDate,</v>
      </c>
      <c r="T14" s="63" t="str">
        <f>REPT(CHAR(9),8)&amp;"("""&amp;D14&amp;"""),"</f>
        <v xml:space="preserve">								("TransactionDate"),</v>
      </c>
      <c r="V14" s="64" t="str">
        <f>REPT(CHAR(9),8)&amp;"_ =&gt; _."&amp;D14&amp;","</f>
        <v xml:space="preserve">								_ =&gt; _.TransactionDate,</v>
      </c>
      <c r="W14" s="63" t="str">
        <f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5">
      <c r="A15" t="s">
        <v>364</v>
      </c>
      <c r="B15" t="s">
        <v>361</v>
      </c>
      <c r="C15" t="s">
        <v>1</v>
      </c>
      <c r="D15" t="str">
        <f t="shared" ref="D15" si="26">SUBSTITUTE(PROPER(A15),"_","")</f>
        <v>TransactionId</v>
      </c>
      <c r="E15" t="str">
        <f t="shared" ref="E15" si="27">IFERROR(LEFT(B15, FIND("(",B15)-1),B15)</f>
        <v>BIGINT</v>
      </c>
      <c r="F15" s="6"/>
      <c r="G15" t="str">
        <f t="shared" ref="G15" si="28">IFERROR(MID(B15,FIND("(",B15) +1, FIND(")",B15) - FIND("(",B15) - 1),"")</f>
        <v/>
      </c>
      <c r="H15" t="str">
        <f>+VLOOKUP(E15,'[1]Data Type Mapping'!A:B,2,)</f>
        <v>long?</v>
      </c>
      <c r="I15" t="str">
        <f t="shared" ref="I15" si="29">IF(H15="string",REPT(CHAR(9),2)&amp;"public const int Max"&amp;D15&amp;"Length = "&amp;G15&amp;";"&amp;$E$3,"" )</f>
        <v/>
      </c>
      <c r="J15" t="str">
        <f t="shared" ref="J15" si="30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long? TransactionId { get; set; }
</v>
      </c>
      <c r="K15" s="6"/>
      <c r="L15" t="str">
        <f t="shared" ref="L15" si="31">IF(K15="","",REPT(CHAR(9),1)&amp;"[Index(nameof("&amp;IF(D15="","",""&amp;D15)&amp;")"&amp;", Name="&amp;"""IX_"&amp;$B$7&amp;"_"&amp;D15&amp;""")]")</f>
        <v/>
      </c>
      <c r="M15" t="str">
        <f t="shared" ref="M15" si="32">REPT(CHAR(9),2)&amp;"public virtual "&amp;IF(OR(H15="DateTime",H15="TimeSpan"),H15&amp;"?",H15)&amp;IF(C15="?","? "," ")&amp;D15&amp;" { get; set; }" &amp; "
"</f>
        <v xml:space="preserve">		public virtual long? TransactionId { get; set; }
</v>
      </c>
      <c r="N15" t="str">
        <f t="shared" ref="N15" si="33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long? TransactionId { get; set; }
</v>
      </c>
      <c r="O15" t="str">
        <f t="shared" ref="O15" si="34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" si="35">REPT(CHAR(9),7)&amp;D15&amp;" = o." &amp;D15 &amp;","</f>
        <v xml:space="preserve">							TransactionId = o.TransactionId,</v>
      </c>
      <c r="T15" s="63" t="str">
        <f t="shared" ref="T15" si="36">REPT(CHAR(9),8)&amp;"("""&amp;D15&amp;"""),"</f>
        <v xml:space="preserve">								("TransactionId"),</v>
      </c>
      <c r="V15" s="64" t="str">
        <f t="shared" ref="V15" si="37">REPT(CHAR(9),8)&amp;"_ =&gt; _."&amp;D15&amp;","</f>
        <v xml:space="preserve">								_ =&gt; _.TransactionId,</v>
      </c>
      <c r="W15" s="63" t="str">
        <f t="shared" ref="W15" si="38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MaxPartNoLength = 20;
		public const int MaxPartNameLength = 200;
</v>
      </c>
      <c r="J17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</v>
      </c>
      <c r="K17" s="32" t="str">
        <f ca="1">TEXTJOIN2("
", TRUE,INDIRECT( $J$1):INDIRECT( $J$3))</f>
        <v/>
      </c>
      <c r="L17" s="12" t="s">
        <v>57</v>
      </c>
      <c r="M17" s="33" t="str">
        <f ca="1">TEXTJOIN2("
",TRUE,INDIRECT( $L$1):INDIRECT($L$3))</f>
        <v xml:space="preserve">		public virtual string PartNo { get; set; }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</v>
      </c>
      <c r="N17" s="30" t="str">
        <f ca="1">TEXTJOIN2("
",TRUE,INDIRECT( $M$1):INDIRECT($M$3))</f>
        <v xml:space="preserve">		[StringLength(InvGpsStockTransactionConsts.MaxPartNoLength)]
		public virtual string PartNo { get; set; }
		[StringLength(InvGpsStockTransactionConsts.MaxPartNameLength)]
		public virtual string PartName { get; set; }
		public virtual long? PartId { get; set; }
		public virtual decimal? Qty { get; set; }
		public virtual DateTime? WorkingDate { get; set; }
		public virtual DateTime? TransactionDate { get; set; }
		public virtual long? TransactionId { get; set; }
</v>
      </c>
      <c r="O17" s="30" t="str">
        <f ca="1">TEXTJOIN2("
",TRUE,INDIRECT( $N$1):INDIRECT($N$3))</f>
        <v xml:space="preserve">		public virtual string PartNo { get; set; }
		public virtual string PartName { get; set; }
</v>
      </c>
      <c r="P17" s="8" t="str">
        <f ca="1">TEXTJOIN2("
",TRUE,INDIRECT( $O$1):INDIRECT($O$3))</f>
        <v xml:space="preserve">							PartNo = o.PartNo,
							PartName = o.PartName,
							PartId = o.PartId,
							Qty = o.Qty,
							WorkingDate = o.WorkingDate,
							TransactionDate = o.TransactionDate,
							TransactionId = o.TransactionId,</v>
      </c>
      <c r="T17" s="8" t="str">
        <f ca="1">TEXTJOIN2("
",TRUE,INDIRECT( $T$2):INDIRECT($T$3))</f>
        <v xml:space="preserve">								("PartNo"),
								("PartName"),
								("PartId"),
								("Qty"),
								("WorkingDate"),
								("TransactionDate"),
								("TransactionId"),</v>
      </c>
      <c r="V17" s="8" t="str">
        <f ca="1">TEXTJOIN2("
",TRUE,INDIRECT( $V$2):INDIRECT($V$3))</f>
        <v xml:space="preserve">								_ =&gt; _.PartNo,
								_ =&gt; _.PartName,
								_ =&gt; _.PartId,
								_ =&gt; _.Qty,
								_ =&gt; _.WorkingDate,
								_ =&gt; _.TransactionDate,
								_ =&gt; _.TransactionId,</v>
      </c>
      <c r="W17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tabSelected="1" workbookViewId="0">
      <selection activeCell="B1" sqref="B1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ht="30" x14ac:dyDescent="0.25">
      <c r="A1" s="38" t="s">
        <v>208</v>
      </c>
      <c r="B1" s="65" t="s">
        <v>369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InvGpsStockTransaction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GpsStockTransaction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gpsstocktransaction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InvGpsStockTransactionDto, InvGpsStockTransactionServiceProxy } from '@shared/service-proxies/service-proxies';
import { finalize } from 'rxjs/internal/operators/finalize';
import { CreateOrEditGpsStockTransactionModalComponent } from './create-or-edit-gpsstocktransaction-modal.component';
import { DatePipe } from '@angular/common';
import { FileDownloadService } from '@shared/utils/file-download.service';
import ceil from 'lodash-es/ceil';
import { Paginator } from 'primeng/paginator';
@Component({
    templateUrl: './gpsstocktransaction.component.html',
    styleUrls: ['./gpsstocktransaction.component.less'],
})
export class GpsStockTransactionComponent extends AppComponentBase implements OnInit {
    @ViewChild('createOrEditModalGpsStockTransaction', { static: true }) createOrEditModalGpsStockTransaction:| CreateOrEditGpsStockTransactionModalComponent|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InvGpsStockTransactionDto = new InvGpsStockTransactionDto();
    saveSelectedRow: InvGpsStockTransactionDto = new InvGpsStockTransactionDto();
    datas: InvGpsStockTransactionDto = new InvGpsStockTransactionDto();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qty
	workingDate
	transactionDate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InvGpsStockTransactionServiceProxy,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this.qty,
			this.workingDate,
			this.transactionDate,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this.qty = '',
		this.workingDate = '',
		this.transactionDate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this.qty,
			this.workingDate,
			this.transactionDate,
			this.transactionId,
			'',
            this.paginationParams.skipCount,
            this.paginationParams.pageSize
        );
    }
    onChangeRowSelection(params: { api: { getSelectedRows: () =&gt; InvGpsStockTransactionDto[] } }) {
        this.saveSelectedRow = params.api.getSelectedRows()[0] ?? new InvGpsStockTransactionDto();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InvGpsStockTransactionDto):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this._service.getGpsStockTransactionToExcel(
			this.partNo,
			this.partName,
			this.partId,
			this.qty,
			this.workingDate,
			this.transactionDate,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Transaction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(click)="createOrEditModalGpsStockTransaction.show()"&gt;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(click)="createOrEditModalGpsStockTransaction.show(selectedRow)"&gt;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&lt;create-or-edit-gpsstocktransaction-modal
    #createOrEditModalGpsStockTransaction
    (modalSave)="callBackDataGrid(dataParams)"
    (modalClose)="onChangeRowSelection(dataParams)"
&gt;
&lt;/create-or-edit-gpsstocktransaction-modal&gt;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#createOrEditModalGpsStockTransaction="bs-modal"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GpsStockTransaction')}}&lt;/h3&gt;
                    &lt;h3 *ngIf="!rowdata.id"&gt;{{('Create New GpsStockTransaction')}}&lt;/h3&gt;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CreateOrEditInvGpsStockTransactionDto, InvGpsStockTransactionServiceProxy } from '@shared/service-proxies/service-proxies';
import { BsDatepickerDirective } from 'ngx-bootstrap/datepicker';
@Component({
    selector: 'create-or-edit-gpsstocktransaction-modal',
    templateUrl: './create-or-edit-gpsstocktransaction-modal.component.html',
    styleUrls: ['./create-or-edit-gpsstocktransaction-modal.component.less']
    })
export class CreateOrEditGpsStockTransactionModalComponent extends AppComponentBase {
    @ViewChild('createOrEditModalGpsStockTransaction',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CreateOrEditInvGpsStockTransactionDto = new CreateOrEditInvGpsStockTransactionDto();
    active: boolean = false;
    saving: boolean = false;
    _: boolean;
    constructor(
        injector: Injector,
        private _mstwptGpsStockTransactionService: InvGpsStockTransactionServiceProxy,
    ) 
    {
        super(injector);
    }
    show(rowdata?: CreateOrEditInvGpsStockTransactionDto): void {
        if (!rowdata) this.rowdata = new CreateOrEditInvGpsStockTransactionDto();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this._mstwptGpsStockTransactionService.createOrEdit(this.rowdata)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GpsStockTransactionRoutingModule } from './gpsstocktransaction-routing.module';
import { GpsStockTransactionComponent } from './gpsstocktransaction.component';
import { CreateOrEditGpsStockTransactionModalComponent } from './create-or-edit-gpsstocktransaction-modal.component';
@NgModule({
    declarations: [
       GpsStockTransactionComponent, 
        CreateOrEditGpsStockTransactionModalComponent
    ],
    imports: [
        AppSharedModule, GpsStockTransactionRoutingModule]
})
export class GpsStockTransactionModule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GpsStockTransactionComponent } from './gpsstocktransaction.component';
const routes: Routes = [{
    path: '',
    component: GpsStockTransactionComponent,
    pathMatch: 'full'
}];
@NgModule({
    imports: [RouterModule.forChild(routes)],
    exports: [RouterModule],
})
export class GpsStockTransactionRoutingModule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AppMenuItem("GpsStockTransaction", "Pages.Inventory.GPS.GpsStockTransaction", "flaticon-book",   "/app/main/inventory/gps/gpsstocktransaction"),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'inventory/gps/gpsstocktransaction',
    loadChildren: () =&gt; import('./inventory/gps/gpsstocktransaction/gpsstocktransaction.module').then(m =&gt; m.GpsStockTransactionModule),
    data: { permission: 'Pages.Inventory.GPS.GpsStockTransaction' }
},</v>
      </c>
      <c r="R10" s="47" t="str">
        <f>SUBSTITUTE(R9,"MstWptCalendar",$B$6)</f>
        <v>ApiServiceProxies.InvGpsStockTransactionServiceProxy,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Date'),headerTooltip: this.l('Transaction Date'),field: 'transactionDate',flex: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partId
	qty
	workingDate
	transactionDate
	transactionId</v>
      </c>
      <c r="T13" s="62" t="str">
        <f ca="1">TEXTJOIN2("
",TRUE,INDIRECT(T11):INDIRECT(T12))</f>
        <v xml:space="preserve">			this.partNo,
			this.partName,
			this.partId,
			this.qty,
			this.workingDate,
			this.transactionDate,
			this.transactionId,</v>
      </c>
      <c r="U13" s="62" t="str">
        <f ca="1">TEXTJOIN2("
",TRUE,INDIRECT(U11):INDIRECT(U12))</f>
        <v xml:space="preserve">		this.partNo = '',
		this.partName = '',
		this.partId = '',
		this.qty = '',
		this.workingDate = '',
		this.transactionDate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gpsstocktransaction.component.ts</v>
      </c>
      <c r="I14" s="37" t="str">
        <f>B8&amp;".component.html"</f>
        <v>gpsstocktransaction.component.html</v>
      </c>
      <c r="J14" s="36" t="str">
        <f>B8&amp;".component.less"</f>
        <v>gpsstocktransaction.component.less</v>
      </c>
      <c r="K14" s="37" t="str">
        <f>"create-or-edit-"&amp;B8&amp;"-modal.component.html"</f>
        <v>create-or-edit-gpsstocktransaction-modal.component.html</v>
      </c>
      <c r="L14" s="37" t="str">
        <f>"create-or-edit-"&amp;B8&amp;"-modal.component.ts"</f>
        <v>create-or-edit-gpsstocktransaction-modal.component.ts</v>
      </c>
      <c r="M14" s="37" t="str">
        <f>"create-or-edit-"&amp;B8&amp;"-modal.component.less"</f>
        <v>create-or-edit-gpsstocktransaction-modal.component.less</v>
      </c>
      <c r="N14" s="37" t="str">
        <f>B8&amp;".module.ts"</f>
        <v>gpsstocktransaction.module.ts</v>
      </c>
      <c r="O14" s="37" t="str">
        <f>B8&amp;"-routing.module.ts"</f>
        <v>gpsstocktransaction-routing.module.ts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:B17" si="0">SUBSTITUTE(PROPER(A15),"_","")</f>
        <v>PartNo</v>
      </c>
      <c r="C15" s="28" t="str">
        <f t="shared" ref="C15:C17" si="1">SUBSTITUTE(PROPER(A15),"_"," ")</f>
        <v>Part No</v>
      </c>
      <c r="D15" s="28" t="str">
        <f t="shared" ref="D15:D17" si="2">LOWER(LEFT(B15,1))&amp;RIGHT(B15,LEN(B15) - 1)</f>
        <v>partNo</v>
      </c>
      <c r="E15" s="28" t="str">
        <f>A.Backend!H9</f>
        <v>string</v>
      </c>
      <c r="F15" s="28" t="str">
        <f>A.Backend!G9</f>
        <v>20</v>
      </c>
      <c r="G15" s="28" t="str">
        <f t="shared" ref="G15:G21" si="3">IF(E15="string"," : string = '' ; ",IF(OR(E15="DateTime",E15="TimeSpan")," : any ;",IF(E15="int"," : number = 0 ;","")))</f>
        <v xml:space="preserve"> : string = '' ; </v>
      </c>
      <c r="H15" s="35" t="str">
        <f t="shared" ref="H15:H20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20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 t="shared" ref="S15:S20" si="8">REPT(CHAR(9),1)&amp;D15&amp;G15</f>
        <v xml:space="preserve">	partNo : string = '' ; </v>
      </c>
      <c r="T15" s="28" t="str">
        <f t="shared" ref="T15:T20" si="9">REPT(CHAR(9),3)&amp;"this."&amp;D15&amp;","</f>
        <v xml:space="preserve">			this.partNo,</v>
      </c>
      <c r="U15" s="28" t="str">
        <f t="shared" ref="U15:U20" si="10">IF(E15="int",REPT(CHAR(9),2)&amp;"this."&amp;D15&amp;" = 0,",REPT(CHAR(9),2)&amp;"this."&amp;D15&amp;" = '',")</f>
        <v xml:space="preserve">		this.partNo = '',</v>
      </c>
      <c r="V15" s="28" t="str">
        <f t="shared" ref="V15:V20" si="11">IF(AND(E15="string",F15="1"),D15,"")</f>
        <v/>
      </c>
    </row>
    <row r="16" spans="1:22" ht="18" customHeight="1" x14ac:dyDescent="0.25">
      <c r="A16" t="s">
        <v>357</v>
      </c>
      <c r="B16" s="28" t="str">
        <f t="shared" si="0"/>
        <v>PartName</v>
      </c>
      <c r="C16" s="28" t="str">
        <f t="shared" si="1"/>
        <v>Part Name</v>
      </c>
      <c r="D16" s="28" t="str">
        <f t="shared" si="2"/>
        <v>partName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this.l('Part Name'),headerTooltip: this.l('Part Name'),field: 'partName',flex: 1},</v>
      </c>
      <c r="I16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si="8"/>
        <v xml:space="preserve">	partName : string = '' ; </v>
      </c>
      <c r="T16" s="28" t="str">
        <f t="shared" si="9"/>
        <v xml:space="preserve">			this.partName,</v>
      </c>
      <c r="U16" s="28" t="str">
        <f t="shared" si="10"/>
        <v xml:space="preserve">		this.partName = '',</v>
      </c>
      <c r="V16" s="28" t="str">
        <f t="shared" si="11"/>
        <v/>
      </c>
    </row>
    <row r="17" spans="1:22" ht="15" customHeight="1" x14ac:dyDescent="0.25">
      <c r="A17" t="s">
        <v>358</v>
      </c>
      <c r="B17" s="28" t="str">
        <f t="shared" si="0"/>
        <v>PartId</v>
      </c>
      <c r="C17" s="28" t="str">
        <f t="shared" si="1"/>
        <v>Part Id</v>
      </c>
      <c r="D17" s="28" t="str">
        <f t="shared" si="2"/>
        <v>partId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6"/>
        <v/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si="8"/>
        <v xml:space="preserve">	partId</v>
      </c>
      <c r="T17" s="28" t="str">
        <f t="shared" si="9"/>
        <v xml:space="preserve">			this.partId,</v>
      </c>
      <c r="U17" s="28" t="str">
        <f t="shared" si="10"/>
        <v xml:space="preserve">		this.partId = '',</v>
      </c>
      <c r="V17" s="28" t="str">
        <f t="shared" si="11"/>
        <v/>
      </c>
    </row>
    <row r="18" spans="1:22" ht="18" customHeight="1" x14ac:dyDescent="0.25">
      <c r="A18" t="s">
        <v>359</v>
      </c>
      <c r="B18" s="28" t="str">
        <f>SUBSTITUTE(PROPER(A18),"_","")</f>
        <v>Qty</v>
      </c>
      <c r="C18" s="28" t="str">
        <f>SUBSTITUTE(PROPER(A18),"_"," ")</f>
        <v>Qty</v>
      </c>
      <c r="D18" s="28" t="str">
        <f>LOWER(LEFT(B18,1))&amp;RIGHT(B18,LEN(B18) - 1)</f>
        <v>qty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this.l('Qty'),headerTooltip: this.l('Qty'),field: 'qty',flex: 1},</v>
      </c>
      <c r="I18" s="35" t="str">
        <f t="shared" si="5"/>
        <v/>
      </c>
      <c r="J18" s="28"/>
      <c r="K18" s="35" t="str">
        <f t="shared" si="6"/>
        <v/>
      </c>
      <c r="L18" s="56" t="str">
        <f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8"/>
        <v xml:space="preserve">	qty</v>
      </c>
      <c r="T18" s="28" t="str">
        <f t="shared" si="9"/>
        <v xml:space="preserve">			this.qty,</v>
      </c>
      <c r="U18" s="28" t="str">
        <f t="shared" si="10"/>
        <v xml:space="preserve">		this.qty = '',</v>
      </c>
      <c r="V18" s="28" t="str">
        <f t="shared" si="11"/>
        <v/>
      </c>
    </row>
    <row r="19" spans="1:22" ht="15" customHeight="1" x14ac:dyDescent="0.25">
      <c r="A19" t="s">
        <v>360</v>
      </c>
      <c r="B19" s="28" t="str">
        <f t="shared" ref="B19:B20" si="12">SUBSTITUTE(PROPER(A19),"_","")</f>
        <v>WorkingDate</v>
      </c>
      <c r="C19" s="28" t="str">
        <f t="shared" ref="C19:C20" si="13">SUBSTITUTE(PROPER(A19),"_"," ")</f>
        <v>Working Date</v>
      </c>
      <c r="D19" s="28" t="str">
        <f t="shared" ref="D19:D20" si="14">LOWER(LEFT(B19,1))&amp;RIGHT(B19,LEN(B19) - 1)</f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this.l('Working Date'),headerTooltip: this.l('Working Date'),field: 'workingDate',flex: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ref="L19:L20" si="15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8"/>
        <v xml:space="preserve">	workingDate</v>
      </c>
      <c r="T19" s="28" t="str">
        <f t="shared" si="9"/>
        <v xml:space="preserve">			this.workingDate,</v>
      </c>
      <c r="U19" s="28" t="str">
        <f t="shared" si="10"/>
        <v xml:space="preserve">		this.workingDate = '',</v>
      </c>
      <c r="V19" s="28" t="str">
        <f t="shared" si="11"/>
        <v/>
      </c>
    </row>
    <row r="20" spans="1:22" ht="15" customHeight="1" x14ac:dyDescent="0.25">
      <c r="A20" t="s">
        <v>363</v>
      </c>
      <c r="B20" s="28" t="str">
        <f t="shared" si="12"/>
        <v>TransactionDate</v>
      </c>
      <c r="C20" s="28" t="str">
        <f t="shared" si="13"/>
        <v>Transaction Date</v>
      </c>
      <c r="D20" s="28" t="str">
        <f t="shared" si="14"/>
        <v>transactionDate</v>
      </c>
      <c r="E20" s="28" t="str">
        <f>[1]A.Backend!H18</f>
        <v>DateTime?</v>
      </c>
      <c r="F20" s="28" t="str">
        <f>[1]A.Backend!G18</f>
        <v/>
      </c>
      <c r="G20" s="28" t="str">
        <f t="shared" si="3"/>
        <v/>
      </c>
      <c r="H20" s="35" t="str">
        <f t="shared" si="4"/>
        <v xml:space="preserve">			{headerName: this.l('Transaction Date'),headerTooltip: this.l('Transaction Date'),field: 'transactionDate',flex: 1},</v>
      </c>
      <c r="I20" s="35" t="str">
        <f t="shared" si="5"/>
        <v/>
      </c>
      <c r="J20" s="28"/>
      <c r="K20" s="35" t="str">
        <f t="shared" si="6"/>
        <v/>
      </c>
      <c r="L20" s="56" t="str">
        <f t="shared" si="15"/>
        <v/>
      </c>
      <c r="M20" s="28"/>
      <c r="N20" s="28"/>
      <c r="O20" s="28"/>
      <c r="P20" s="28"/>
      <c r="Q20" s="28"/>
      <c r="R20" s="28"/>
      <c r="S20" s="28" t="str">
        <f t="shared" si="8"/>
        <v xml:space="preserve">	transactionDate</v>
      </c>
      <c r="T20" s="28" t="str">
        <f t="shared" si="9"/>
        <v xml:space="preserve">			this.transactionDate,</v>
      </c>
      <c r="U20" s="28" t="str">
        <f t="shared" si="10"/>
        <v xml:space="preserve">		this.transactionDate = '',</v>
      </c>
      <c r="V20" s="28" t="str">
        <f t="shared" si="11"/>
        <v/>
      </c>
    </row>
    <row r="21" spans="1:22" ht="18" customHeight="1" x14ac:dyDescent="0.25">
      <c r="A21" t="s">
        <v>364</v>
      </c>
      <c r="B21" s="28" t="str">
        <f>SUBSTITUTE(PROPER(A21),"_","")</f>
        <v>TransactionId</v>
      </c>
      <c r="C21" s="28" t="str">
        <f>SUBSTITUTE(PROPER(A21),"_"," ")</f>
        <v>Transaction Id</v>
      </c>
      <c r="D21" s="28" t="str">
        <f>LOWER(LEFT(B21,1))&amp;RIGHT(B21,LEN(B21) - 1)</f>
        <v>transactionId</v>
      </c>
      <c r="E21" s="28" t="str">
        <f>[1]A.Backend!H19</f>
        <v>long?</v>
      </c>
      <c r="F21" s="28" t="str">
        <f>[1]A.Backend!G19</f>
        <v/>
      </c>
      <c r="G21" s="28" t="str">
        <f t="shared" si="3"/>
        <v/>
      </c>
      <c r="H21" s="35" t="str">
        <f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this.l('Transaction Id'),headerTooltip: this.l('Transaction Id'),field: 'transactionId',flex: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/>
      </c>
      <c r="L21" s="56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>REPT(CHAR(9),1)&amp;D21&amp;G21</f>
        <v xml:space="preserve">	transactionId</v>
      </c>
      <c r="T21" s="28" t="str">
        <f>REPT(CHAR(9),3)&amp;"this."&amp;D21&amp;","</f>
        <v xml:space="preserve">			this.transactionId,</v>
      </c>
      <c r="U21" s="28" t="str">
        <f>IF(E21="int",REPT(CHAR(9),2)&amp;"this."&amp;D21&amp;" = 0,",REPT(CHAR(9),2)&amp;"this."&amp;D21&amp;" = '',")</f>
        <v xml:space="preserve">		this.transactionId = '',</v>
      </c>
      <c r="V21" s="28" t="str">
        <f>IF(AND(E21="string",F21="1"),D21,"")</f>
        <v/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2023-07-31T07:20:51Z</dcterms:modified>
</cp:coreProperties>
</file>
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ProdNew\docs\design\inventory\gps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7" i="5" l="1"/>
  <c r="F27" i="5"/>
  <c r="G27" i="5"/>
  <c r="E28" i="5"/>
  <c r="F28" i="5"/>
  <c r="V28" i="5"/>
  <c r="C28" i="5"/>
  <c r="B28" i="5"/>
  <c r="D28" i="5" s="1"/>
  <c r="L21" i="1"/>
  <c r="G21" i="1"/>
  <c r="E21" i="1"/>
  <c r="H21" i="1" s="1"/>
  <c r="D21" i="1"/>
  <c r="T21" i="1" s="1"/>
  <c r="G28" i="5" l="1"/>
  <c r="S28" i="5" s="1"/>
  <c r="H28" i="5"/>
  <c r="I28" i="5"/>
  <c r="T28" i="5"/>
  <c r="K28" i="5"/>
  <c r="U28" i="5"/>
  <c r="L28" i="5"/>
  <c r="M21" i="1"/>
  <c r="W21" i="1"/>
  <c r="O21" i="1"/>
  <c r="J21" i="1"/>
  <c r="N21" i="1"/>
  <c r="I21" i="1"/>
  <c r="V21" i="1"/>
  <c r="P21" i="1"/>
  <c r="F26" i="5"/>
  <c r="C26" i="5"/>
  <c r="B26" i="5"/>
  <c r="D26" i="5" s="1"/>
  <c r="F25" i="5"/>
  <c r="C25" i="5"/>
  <c r="B25" i="5"/>
  <c r="D25" i="5" s="1"/>
  <c r="C24" i="5"/>
  <c r="B24" i="5"/>
  <c r="D24" i="5" s="1"/>
  <c r="C23" i="5"/>
  <c r="B23" i="5"/>
  <c r="D23" i="5" s="1"/>
  <c r="F22" i="5"/>
  <c r="C22" i="5"/>
  <c r="B22" i="5"/>
  <c r="D22" i="5" s="1"/>
  <c r="F21" i="5"/>
  <c r="C21" i="5"/>
  <c r="B21" i="5"/>
  <c r="D21" i="5" s="1"/>
  <c r="L20" i="1"/>
  <c r="G20" i="1"/>
  <c r="E20" i="1"/>
  <c r="H20" i="1" s="1"/>
  <c r="W20" i="1" s="1"/>
  <c r="D20" i="1"/>
  <c r="V20" i="1" s="1"/>
  <c r="L19" i="1"/>
  <c r="G19" i="1"/>
  <c r="E19" i="1"/>
  <c r="H19" i="1" s="1"/>
  <c r="E25" i="5" s="1"/>
  <c r="D19" i="1"/>
  <c r="T19" i="1" s="1"/>
  <c r="L18" i="1"/>
  <c r="G18" i="1"/>
  <c r="F24" i="5" s="1"/>
  <c r="E18" i="1"/>
  <c r="H18" i="1" s="1"/>
  <c r="W18" i="1" s="1"/>
  <c r="D18" i="1"/>
  <c r="V18" i="1" s="1"/>
  <c r="L17" i="1"/>
  <c r="G17" i="1"/>
  <c r="F23" i="5" s="1"/>
  <c r="E17" i="1"/>
  <c r="H17" i="1" s="1"/>
  <c r="E23" i="5" s="1"/>
  <c r="D17" i="1"/>
  <c r="T17" i="1" s="1"/>
  <c r="L16" i="1"/>
  <c r="G16" i="1"/>
  <c r="E16" i="1"/>
  <c r="H16" i="1" s="1"/>
  <c r="W16" i="1" s="1"/>
  <c r="D16" i="1"/>
  <c r="V16" i="1" s="1"/>
  <c r="L15" i="1"/>
  <c r="G15" i="1"/>
  <c r="E15" i="1"/>
  <c r="H15" i="1" s="1"/>
  <c r="E21" i="5" s="1"/>
  <c r="D15" i="1"/>
  <c r="T15" i="1" s="1"/>
  <c r="T21" i="5" l="1"/>
  <c r="L21" i="5"/>
  <c r="G21" i="5"/>
  <c r="L23" i="5"/>
  <c r="G23" i="5"/>
  <c r="L25" i="5"/>
  <c r="G25" i="5"/>
  <c r="E24" i="5"/>
  <c r="V24" i="5" s="1"/>
  <c r="S21" i="5"/>
  <c r="V25" i="5"/>
  <c r="E22" i="5"/>
  <c r="V22" i="5" s="1"/>
  <c r="E26" i="5"/>
  <c r="V26" i="5" s="1"/>
  <c r="T23" i="5"/>
  <c r="S23" i="5"/>
  <c r="T25" i="5"/>
  <c r="H25" i="5"/>
  <c r="S25" i="5"/>
  <c r="K21" i="5"/>
  <c r="U21" i="5"/>
  <c r="H22" i="5"/>
  <c r="K23" i="5"/>
  <c r="U23" i="5"/>
  <c r="K25" i="5"/>
  <c r="U25" i="5"/>
  <c r="V21" i="5"/>
  <c r="I22" i="5"/>
  <c r="T22" i="5"/>
  <c r="V23" i="5"/>
  <c r="H21" i="5"/>
  <c r="K22" i="5"/>
  <c r="H23" i="5"/>
  <c r="I21" i="5"/>
  <c r="G22" i="5"/>
  <c r="U22" i="5" s="1"/>
  <c r="L22" i="5"/>
  <c r="I23" i="5"/>
  <c r="I25" i="5"/>
  <c r="P16" i="1"/>
  <c r="P20" i="1"/>
  <c r="T18" i="1"/>
  <c r="T16" i="1"/>
  <c r="P18" i="1"/>
  <c r="T20" i="1"/>
  <c r="M19" i="1"/>
  <c r="W19" i="1"/>
  <c r="O19" i="1"/>
  <c r="J19" i="1"/>
  <c r="N19" i="1"/>
  <c r="I19" i="1"/>
  <c r="M15" i="1"/>
  <c r="W15" i="1"/>
  <c r="O15" i="1"/>
  <c r="J15" i="1"/>
  <c r="N15" i="1"/>
  <c r="I15" i="1"/>
  <c r="M17" i="1"/>
  <c r="W17" i="1"/>
  <c r="O17" i="1"/>
  <c r="J17" i="1"/>
  <c r="N17" i="1"/>
  <c r="I17" i="1"/>
  <c r="M16" i="1"/>
  <c r="V15" i="1"/>
  <c r="V17" i="1"/>
  <c r="V19" i="1"/>
  <c r="M18" i="1"/>
  <c r="M20" i="1"/>
  <c r="N16" i="1"/>
  <c r="P17" i="1"/>
  <c r="I18" i="1"/>
  <c r="P19" i="1"/>
  <c r="I20" i="1"/>
  <c r="N20" i="1"/>
  <c r="P15" i="1"/>
  <c r="I16" i="1"/>
  <c r="N18" i="1"/>
  <c r="J16" i="1"/>
  <c r="O16" i="1"/>
  <c r="J18" i="1"/>
  <c r="O18" i="1"/>
  <c r="J20" i="1"/>
  <c r="O20" i="1"/>
  <c r="B16" i="5"/>
  <c r="D16" i="5" s="1"/>
  <c r="C16" i="5"/>
  <c r="B17" i="5"/>
  <c r="D17" i="5" s="1"/>
  <c r="C17" i="5"/>
  <c r="B18" i="5"/>
  <c r="D18" i="5" s="1"/>
  <c r="C18" i="5"/>
  <c r="B19" i="5"/>
  <c r="D19" i="5" s="1"/>
  <c r="C19" i="5"/>
  <c r="B20" i="5"/>
  <c r="D20" i="5" s="1"/>
  <c r="C20" i="5"/>
  <c r="B27" i="5"/>
  <c r="D27" i="5" s="1"/>
  <c r="C27" i="5"/>
  <c r="L24" i="5" l="1"/>
  <c r="G24" i="5"/>
  <c r="S24" i="5" s="1"/>
  <c r="T24" i="5"/>
  <c r="S22" i="5"/>
  <c r="L26" i="5"/>
  <c r="I24" i="5"/>
  <c r="K24" i="5"/>
  <c r="G26" i="5"/>
  <c r="U26" i="5" s="1"/>
  <c r="T26" i="5"/>
  <c r="H26" i="5"/>
  <c r="K26" i="5"/>
  <c r="S26" i="5"/>
  <c r="I26" i="5"/>
  <c r="H24" i="5"/>
  <c r="U24" i="5"/>
  <c r="L22" i="1"/>
  <c r="G22" i="1"/>
  <c r="E22" i="1"/>
  <c r="H22" i="1" s="1"/>
  <c r="D22" i="1"/>
  <c r="V22" i="1" s="1"/>
  <c r="W22" i="1" l="1"/>
  <c r="P22" i="1"/>
  <c r="T22" i="1"/>
  <c r="I22" i="1"/>
  <c r="N22" i="1"/>
  <c r="M22" i="1"/>
  <c r="J22" i="1"/>
  <c r="O22" i="1"/>
  <c r="B7" i="5"/>
  <c r="B6" i="5"/>
  <c r="B2" i="5"/>
  <c r="S27" i="5" l="1"/>
  <c r="K27" i="5"/>
  <c r="T27" i="5"/>
  <c r="I27" i="5"/>
  <c r="U27" i="5"/>
  <c r="V27" i="5"/>
  <c r="H27" i="5"/>
  <c r="B8" i="5"/>
  <c r="B3" i="5"/>
  <c r="L14" i="1"/>
  <c r="G14" i="1"/>
  <c r="F20" i="5" s="1"/>
  <c r="E14" i="1"/>
  <c r="H14" i="1" s="1"/>
  <c r="E20" i="5" s="1"/>
  <c r="D14" i="1"/>
  <c r="T14" i="1" s="1"/>
  <c r="G20" i="5" l="1"/>
  <c r="T20" i="5"/>
  <c r="I20" i="5"/>
  <c r="U20" i="5"/>
  <c r="V20" i="5"/>
  <c r="S20" i="5"/>
  <c r="K20" i="5"/>
  <c r="H20" i="5"/>
  <c r="L27" i="5"/>
  <c r="L20" i="5"/>
  <c r="M14" i="1"/>
  <c r="I14" i="1"/>
  <c r="N14" i="1"/>
  <c r="V14" i="1"/>
  <c r="J14" i="1"/>
  <c r="O14" i="1"/>
  <c r="W14" i="1"/>
  <c r="P14" i="1"/>
  <c r="B6" i="1" l="1"/>
  <c r="G13" i="1"/>
  <c r="F19" i="5" s="1"/>
  <c r="E13" i="1"/>
  <c r="H13" i="1" s="1"/>
  <c r="E19" i="5" s="1"/>
  <c r="D13" i="1"/>
  <c r="V13" i="1" s="1"/>
  <c r="G19" i="5" l="1"/>
  <c r="S19" i="5"/>
  <c r="K19" i="5"/>
  <c r="U19" i="5"/>
  <c r="I19" i="5"/>
  <c r="V19" i="5"/>
  <c r="T19" i="5"/>
  <c r="H19" i="5"/>
  <c r="L19" i="5"/>
  <c r="W13" i="1"/>
  <c r="N13" i="1"/>
  <c r="I13" i="1"/>
  <c r="M13" i="1"/>
  <c r="O13" i="1"/>
  <c r="J13" i="1"/>
  <c r="L13" i="1"/>
  <c r="P13" i="1"/>
  <c r="T13" i="1"/>
  <c r="C15" i="5"/>
  <c r="B15" i="5"/>
  <c r="D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G18" i="5" l="1"/>
  <c r="U18" i="5" s="1"/>
  <c r="I18" i="5"/>
  <c r="V18" i="5"/>
  <c r="T18" i="5"/>
  <c r="K18" i="5"/>
  <c r="H18" i="5"/>
  <c r="G17" i="5"/>
  <c r="S17" i="5" s="1"/>
  <c r="K17" i="5"/>
  <c r="T17" i="5"/>
  <c r="U17" i="5"/>
  <c r="I17" i="5"/>
  <c r="V17" i="5"/>
  <c r="H17" i="5"/>
  <c r="L18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S18" i="5" l="1"/>
  <c r="G9" i="1"/>
  <c r="F15" i="5" s="1"/>
  <c r="E9" i="1"/>
  <c r="H9" i="1" s="1"/>
  <c r="E15" i="5" s="1"/>
  <c r="D9" i="1"/>
  <c r="V9" i="1" s="1"/>
  <c r="T15" i="5" l="1"/>
  <c r="I15" i="5"/>
  <c r="K15" i="5"/>
  <c r="H15" i="5"/>
  <c r="G15" i="5"/>
  <c r="U15" i="5" s="1"/>
  <c r="V15" i="5"/>
  <c r="L15" i="5"/>
  <c r="W9" i="1"/>
  <c r="P9" i="1"/>
  <c r="T9" i="1"/>
  <c r="I9" i="1"/>
  <c r="N9" i="1"/>
  <c r="M9" i="1"/>
  <c r="J9" i="1"/>
  <c r="O9" i="1"/>
  <c r="S15" i="5" l="1"/>
  <c r="Q3" i="1"/>
  <c r="B4" i="5" s="1"/>
  <c r="B5" i="5" s="1"/>
  <c r="G10" i="1" l="1"/>
  <c r="F16" i="5" s="1"/>
  <c r="E10" i="1"/>
  <c r="H10" i="1" s="1"/>
  <c r="E16" i="5" s="1"/>
  <c r="D10" i="1"/>
  <c r="T10" i="1" s="1"/>
  <c r="H16" i="5" l="1"/>
  <c r="G16" i="5"/>
  <c r="U16" i="5"/>
  <c r="V16" i="5"/>
  <c r="S16" i="5"/>
  <c r="T16" i="5"/>
  <c r="K16" i="5"/>
  <c r="I16" i="5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V24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T24" i="1"/>
  <c r="T7" i="1" l="1"/>
  <c r="W24" i="1"/>
  <c r="G6" i="1" l="1"/>
  <c r="U13" i="5"/>
  <c r="H13" i="5"/>
  <c r="I13" i="5"/>
  <c r="S13" i="5"/>
  <c r="L13" i="5"/>
  <c r="K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C6" i="1" l="1"/>
  <c r="P7" i="1" s="1"/>
  <c r="S3" i="1"/>
  <c r="S7" i="1" s="1"/>
  <c r="E6" i="1"/>
  <c r="F69" i="3"/>
  <c r="I3" i="1" l="1"/>
  <c r="B7" i="1"/>
  <c r="L9" i="1" l="1"/>
  <c r="L10" i="1"/>
  <c r="C7" i="1"/>
  <c r="P24" i="1"/>
  <c r="O24" i="1"/>
  <c r="I24" i="1"/>
  <c r="N24" i="1"/>
  <c r="J24" i="1"/>
  <c r="Q7" i="1" l="1"/>
  <c r="M69" i="3" s="1"/>
  <c r="L7" i="1"/>
  <c r="G69" i="3" s="1"/>
  <c r="K69" i="3"/>
  <c r="J69" i="3"/>
  <c r="K24" i="1"/>
  <c r="M24" i="1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<sst xmlns="http://schemas.openxmlformats.org/spreadsheetml/2006/main" count="491" uniqueCount="381">
  <si>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</si>
  <si>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</si>
  <si>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</si>
  <si>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</si>
  <si>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</si>
  <si>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</si>
  <si>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</si>
  <si>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</si>
  <si>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</si>
  <si>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</si>
  <si>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</si>
  <si>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</si>
  <si>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</si>
  <si>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</si>
  <si>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</si>
  <si>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</si>
  <si>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</si>
  <si>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</si>
  <si>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</si>
  <si>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</si>
  <si>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</si>
  <si>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</si>
  <si>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</si>
  <si>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</si>
  <si>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</si>
  <si>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</si>
  <si>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</si>
  <si>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</si>
  <si>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</si>
  <si>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</si>
  <si>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</si>
  <si>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</si>
  <si>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</si>
  <si>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</si>
  <si>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</si>
  <si>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</si>
  <si>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</si>
  <si>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</si>
  <si>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</si>
  <si>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</si>
  <si>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</si>
  <si>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</si>
  <si>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</si>
  <si>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</si>
  <si>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</si>
  <si>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</si>
  <si>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</si>
  <si>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</si>
  <si>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</si>
  <si>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</si>
  <si>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</si>
  <si>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</si>
  <si>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</si>
  <si>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</si>
  <si>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</si>
  <si>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</si>
  <si>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</si>
  <si>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</si>
  <si>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</si>
  <si>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</si>
  <si>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</si>
  <si>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</si>
  <si>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</si>
  <si>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</si>
  <si>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</si>
  <si>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</si>
  <si>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</si>
  <si>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</si>
  <si>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</si>
  <si>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</si>
  <si>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</si>
  <si>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</si>
  <si>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</si>
  <si>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</si>
  <si>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</si>
  <si>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</si>
  <si>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</si>
  <si>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</si>
  <si>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</si>
  <si>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</si>
  <si>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</si>
  <si>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</si>
  <si>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</si>
  <si>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</si>
  <si>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</si>
  <si>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</si>
  <si>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</si>
  <si>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</si>
  <si>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</si>
  <si>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</si>
  <si>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</si>
  <si>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</si>
  <si>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</si>
  <si>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</si>
  <si>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</si>
  <si>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</si>
  <si>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</si>
  <si>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</si>
  <si>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</si>
  <si>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</si>
  <si>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</si>
  <si>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</si>
  <si>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</si>
  <si>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</si>
  <si>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</si>
  <si>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</si>
  <si>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</si>
  <si>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</si>
  <si>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</si>
  <si>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</si>
  <si>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</si>
  <si>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</si>
  <si>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</si>
  <si>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</si>
  <si>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</si>
  <si>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</si>
  <si>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</si>
  <si>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</si>
  <si>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</si>
  <si>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</si>
  <si>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</si>
  <si>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</si>
  <si>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</si>
  <si>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</si>
  <si>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</si>
  <si>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</si>
  <si>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</si>
  <si>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</si>
  <si>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</si>
  <si>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</si>
  <si>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</si>
  <si>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</si>
  <si>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</si>
  <si>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</si>
  <si>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</si>
  <si>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</si>
  <si>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</si>
  <si>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</si>
  <si>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</si>
  <si>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</si>
  <si>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</si>
  <si>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</si>
  <si>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</si>
  <si>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</si>
  <si>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</si>
  <si>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</si>
  <si>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</si>
  <si>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</si>
  <si>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</si>
  <si>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</si>
  <si>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</si>
  <si>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</si>
  <si>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</si>
  <si>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</si>
  <si>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</si>
  <si>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</si>
  <si>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</si>
  <si>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</si>
  <si>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</si>
  <si>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</si>
  <si>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</si>
  <si>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</si>
  <si>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</si>
  <si>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</si>
  <si>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</si>
  <si>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</si>
  <si>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</si>
  <si>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</si>
  <si>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</si>
  <si>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</si>
  <si>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</si>
  <si>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</si>
  <si>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</si>
  <si>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</si>
  <si>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</si>
  <si>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</si>
  <si>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</si>
  <si>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</si>
  <si>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</si>
  <si>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</si>
  <si>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</si>
  <si>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</si>
  <si>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</si>
  <si>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</si>
  <si>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</si>
  <si>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</si>
  <si>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</si>
  <si>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</si>
  <si>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</si>
  <si>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</si>
  <si>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</si>
  <si>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</si>
  <si>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</si>
  <si>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</si>
  <si>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</si>
  <si>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</si>
  <si>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</si>
  <si>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</si>
  <si>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</si>
  <si>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</si>
  <si>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</si>
  <si>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</si>
  <si>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</si>
  <si>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</si>
  <si>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</si>
  <si>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</si>
  <si>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</si>
  <si>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</si>
  <si>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</si>
  <si>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</si>
  <si>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</si>
  <si>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</si>
  <si>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</si>
  <si>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</si>
  <si>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</si>
  <si>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</si>
  <si>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</si>
  <si>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</si>
  <si>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</si>
  <si>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</si>
  <si>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</si>
  <si>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</si>
  <si>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</si>
  <si>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</si>
  <si>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</si>
  <si>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</si>
  <si>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</si>
  <si>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</si>
  <si>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</si>
  <si>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</si>
  <si>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</si>
  <si>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</si>
  <si>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</si>
  <si>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</si>
  <si>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</si>
  <si>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</si>
  <si>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</si>
  <si>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</si>
  <si>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</si>
  <si>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</si>
  <si>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</si>
  <si>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</si>
  <si>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</si>
  <si>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</si>
  <si>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</si>
  <si>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</si>
  <si>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</si>
  <si>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</si>
  <si>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</si>
  <si>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</si>
  <si>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</si>
  <si>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</si>
  <si>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</si>
  <si>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</si>
  <si>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</si>
  <si>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</si>
  <si>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</si>
  <si>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</si>
  <si>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</si>
  <si>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</si>
  <si>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</si>
  <si>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</si>
  <si>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</si>
  <si>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</si>
  <si>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</si>
  <si>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</si>
  <si>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</si>
  <si>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</si>
  <si>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</si>
  <si>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</si>
  <si>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</si>
  <si>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</si>
  <si>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</si>
  <si>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</si>
  <si>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</si>
  <si>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</si>
  <si>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</si>
  <si>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</si>
  <si>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</si>
  <si>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</si>
  <si>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</si>
  <si>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</si>
  <si>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</si>
  <si>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</si>
  <si>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</si>
  <si>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</si>
  <si>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</si>
  <si>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</si>
  <si>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</si>
  <si>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</si>
  <si>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</si>
  <si>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</si>
  <si>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</si>
  <si>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</si>
  <si>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</si>
  <si>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</si>
  <si>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</si>
  <si>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</si>
  <si>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</si>
  <si>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</si>
  <si>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</si>
  <si>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</si>
  <si>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</si>
  <si>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</si>
  <si>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</si>
  <si>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</si>
  <si>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</si>
  <si>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</si>
  <si>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</si>
  <si>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</si>
  <si>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</si>
  <si>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</si>
  <si>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</si>
  <si>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</si>
  <si>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</si>
  <si>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</si>
  <si>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</si>
  <si>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</si>
  <si>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</si>
  <si>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</si>
  <si>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</si>
  <si>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</si>
  <si>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</si>
  <si>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</si>
  <si>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</si>
  <si>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</si>
  <si>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</si>
  <si>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</si>
  <si>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</si>
  <si>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</si>
  <si>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</si>
  <si>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</si>
  <si>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</si>
  <si>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</si>
  <si>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</si>
  <si>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</si>
  <si>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</si>
  <si>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</si>
  <si>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</si>
  <si>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</si>
  <si>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</si>
  <si>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</si>
  <si>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</si>
  <si>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</si>
  <si>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</si>
  <si>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</si>
  <si>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</si>
  <si>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</si>
  <si>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</si>
  <si>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</si>
  <si>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Frame Enginer</t>
  </si>
  <si>
    <t>bool?</t>
  </si>
  <si>
    <t>varchar(50)</t>
  </si>
  <si>
    <t>CPS</t>
  </si>
  <si>
    <t>Cps</t>
  </si>
  <si>
    <t>InvCps</t>
  </si>
  <si>
    <t>IHP</t>
  </si>
  <si>
    <t>Ihp</t>
  </si>
  <si>
    <t>InvIhp</t>
  </si>
  <si>
    <t>Inhouse Part</t>
  </si>
  <si>
    <t>PART_NO</t>
  </si>
  <si>
    <t>PART_NO_NORMALIZED</t>
  </si>
  <si>
    <t>varchar(100)</t>
  </si>
  <si>
    <t>PART_NAME</t>
  </si>
  <si>
    <t>SUPPLIER_NO</t>
  </si>
  <si>
    <t>UOM</t>
  </si>
  <si>
    <t>TYPE</t>
  </si>
  <si>
    <t>BOX_QTY</t>
  </si>
  <si>
    <t>COLOR</t>
  </si>
  <si>
    <t>varchar(3)</t>
  </si>
  <si>
    <t>SUMMER_RADIO</t>
  </si>
  <si>
    <t>WINTER_RATIO</t>
  </si>
  <si>
    <t>DIFF_RATIO</t>
  </si>
  <si>
    <t>SEASON_TYPE</t>
  </si>
  <si>
    <t>REMARK</t>
  </si>
  <si>
    <t>InvGpsPartList</t>
  </si>
  <si>
    <t>GpsPartList</t>
  </si>
  <si>
    <t>Inventory.GPS</t>
  </si>
  <si>
    <t>REMARK1</t>
  </si>
  <si>
    <t>decimal(18, 2)</t>
  </si>
  <si>
    <t>nvarchar(5000)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</si>
</sst>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topLeftCell="A16" zoomScaleNormal="100" workbookViewId="0">
      <selection activeCell="H46" sqref="H46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341</v>
      </c>
      <c r="F18" s="1" t="s">
        <v>343</v>
      </c>
      <c r="G18" t="s">
        <v>342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318</v>
      </c>
      <c r="F42" s="1" t="s">
        <v>329</v>
      </c>
      <c r="G42" t="s">
        <v>329</v>
      </c>
    </row>
    <row r="43" spans="1:8" x14ac:dyDescent="0.25">
      <c r="A43" s="1"/>
      <c r="D43" t="s">
        <v>319</v>
      </c>
      <c r="F43" s="1" t="s">
        <v>324</v>
      </c>
      <c r="G43" t="s">
        <v>330</v>
      </c>
    </row>
    <row r="44" spans="1:8" x14ac:dyDescent="0.25">
      <c r="A44" s="1"/>
      <c r="D44" t="s">
        <v>321</v>
      </c>
      <c r="F44" s="1" t="s">
        <v>325</v>
      </c>
      <c r="G44" t="s">
        <v>331</v>
      </c>
    </row>
    <row r="45" spans="1:8" x14ac:dyDescent="0.25">
      <c r="A45" s="1"/>
      <c r="D45" t="s">
        <v>320</v>
      </c>
      <c r="F45" s="1" t="s">
        <v>326</v>
      </c>
      <c r="G45" t="s">
        <v>332</v>
      </c>
    </row>
    <row r="46" spans="1:8" x14ac:dyDescent="0.25">
      <c r="A46" s="1"/>
      <c r="D46" t="s">
        <v>356</v>
      </c>
      <c r="F46" s="1" t="s">
        <v>357</v>
      </c>
      <c r="G46" t="s">
        <v>358</v>
      </c>
      <c r="H46" t="s">
        <v>359</v>
      </c>
    </row>
    <row r="47" spans="1:8" x14ac:dyDescent="0.25">
      <c r="A47" s="1"/>
      <c r="D47" t="s">
        <v>338</v>
      </c>
      <c r="F47" s="1" t="s">
        <v>339</v>
      </c>
      <c r="G47" t="s">
        <v>340</v>
      </c>
    </row>
    <row r="48" spans="1:8" x14ac:dyDescent="0.25">
      <c r="A48" s="1"/>
      <c r="D48" t="s">
        <v>323</v>
      </c>
      <c r="F48" s="1" t="s">
        <v>327</v>
      </c>
      <c r="G48" t="s">
        <v>333</v>
      </c>
    </row>
    <row r="49" spans="1:7" x14ac:dyDescent="0.25">
      <c r="A49" s="1"/>
      <c r="D49" t="s">
        <v>322</v>
      </c>
      <c r="F49" s="1" t="s">
        <v>328</v>
      </c>
      <c r="G49" t="s">
        <v>334</v>
      </c>
    </row>
    <row r="50" spans="1:7" x14ac:dyDescent="0.25">
      <c r="A50" s="1"/>
      <c r="D50" t="s">
        <v>335</v>
      </c>
      <c r="F50" s="1" t="s">
        <v>336</v>
      </c>
      <c r="G50" t="s">
        <v>337</v>
      </c>
    </row>
    <row r="51" spans="1:7" x14ac:dyDescent="0.25">
      <c r="A51" s="1"/>
      <c r="D51" t="s">
        <v>353</v>
      </c>
      <c r="F51" s="1" t="s">
        <v>354</v>
      </c>
      <c r="G51" t="s">
        <v>355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prod.Inventory.GPS
{
	[Table("InvGpsPartList")]
	public class InvGpsPartList: FullAuditedEntity&lt;long&gt;, IEntity&lt;long&gt;	
	{
		public const int MaxPartNoLength = 50;
		public const int MaxPartNoNormalizedLength = 100;
		public const int MaxPartNameLength = 100;
		public const int MaxSupplierNoLength = 50;
		public const int MaxUomLength = 50;
		public const int MaxTypeLength = 50;
		public const int MaxColorLength = 3;
		public const int MaxSeasonTypeLength = 50;
		public const int MaxRemarkLength = 5000;
		public const int MaxRemark1Length = 5000;
		[StringLength(MaxPartNoLength)]
		public virtual string PartNo { get; set; }
		[StringLength(MaxPartNoNormalizedLength)]
		public virtual string PartNoNormalized { get; set; }
		[StringLength(MaxPartNameLength)]
		public virtual string PartName { get; set; }
		[StringLength(MaxSupplierNoLength)]
		public virtual string SupplierNo { get; set; }
		[StringLength(MaxUomLength)]
		public virtual string Uom { get; set; }
		[StringLength(MaxTypeLength)]
		public virtual string Type { get; set; }
		public virtual int? BoxQty { get; set; }
		[StringLength(MaxColorLength)]
		public virtual string Color { get; set; }
		public virtual decimal? SummerRadio { get; set; }
		public virtual decimal? WinterRatio { get; set; }
		public virtual decimal? DiffRatio { get; set; }
		[StringLength(MaxSeasonTypeLength)]
		public virtual string SeasonType { get; set; }
		[StringLength(MaxRemarkLength)]
		public virtual string Remark { get; set; }
		[StringLength(MaxRemark1Length)]
		public virtual string Remark1 { get; set; }
	}
}
</v>
      </c>
      <c r="D69" s="48" t="str">
        <f>A.Backend!O7</f>
        <v xml:space="preserve">		public const string Pages_Inventory_GPS_GpsPartList = "Pages.Inventory.GPS.GpsPartList";
		public const string Pages_Inventory_GPS_GpsPartList_CreateEdit = "Pages.Inventory.GPS.GpsPartList.CreateEdit";
		public const string Pages_Inventory_GPS_GpsPartList_Delete = "Pages.Inventory.GPS.GpsPartList.Delete";
</v>
      </c>
      <c r="E69" s="48" t="str">
        <f>A.Backend!N7</f>
        <v xml:space="preserve">		var perInvGpsPartList = PARENTS.CreateChildPermission(AppPermissions.Pages_Inventory_GPS_GpsPartList, L( "InventoryGPSGpsPartList"), multiTenancySides: MultiTenancySides.Tenant);
		perInvGpsPartList.CreateChildPermission(AppPermissions.Pages_Inventory_GPS_GpsPartList_CreateEdit, L( "InventoryGPSGpsPartListCreateEdit"), multiTenancySides: MultiTenancySides.Tenant);
		perInvGpsPartList.CreateChildPermission(AppPermissions.Pages_Inventory_GPS_GpsPartList_Delete, L( "InventoryGPSGpsPartListDelete"), multiTenancySides: MultiTenancySides.Tenant);</v>
      </c>
      <c r="F69" s="48" t="str">
        <f>A.Backend!K7</f>
        <v>public virtual DbSet&lt;InvGpsPartList&gt; InvGpsPartLists { get; set; }</v>
      </c>
      <c r="G69" s="48" t="str">
        <f ca="1">A.Backend!L7</f>
        <v xml:space="preserve">namespace prod.Inventory.GPS
{
	public class InvGpsPartListConsts	
	{
		public const int MaxPartNoLength = 50;
		public const int MaxPartNoNormalizedLength = 100;
		public const int MaxPartNameLength = 100;
		public const int MaxSupplierNoLength = 50;
		public const int MaxUomLength = 50;
		public const int MaxTypeLength = 50;
		public const int MaxColorLength = 3;
		public const int MaxSeasonTypeLength = 50;
		public const int MaxRemarkLength = 5000;
		public const int MaxRemark1Length = 5000;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prod.Inventory.GPS.Dto
{
	public class InvGpsPartListDto : EntityDto&lt;long?&gt;	
	{
		public virtual string PartNo { get; set; }
		public virtual string PartNoNormalized { get; set; }
		public virtual string PartName { get; set; }
		public virtual string SupplierNo { get; set; }
		public virtual string Uom { get; set; }
		public virtual string Type { get; set; }
		public virtual int? BoxQty { get; set; }
		public virtual string Color { get; set; }
		public virtual decimal? SummerRadio { get; set; }
		public virtual decimal? WinterRatio { get; set; }
		public virtual decimal? DiffRatio { get; set; }
		public virtual string SeasonType { get; set; }
		public virtual string Remark { get; set; }
		public virtual string Remark1 { get; set; }
	}
	public class CreateOrEditInvGpsPartListDto : EntityDto&lt;long?&gt;	
	{
		[StringLength(InvGpsPartListConsts.MaxPartNoLength)]
		public virtual string PartNo { get; set; }
		[StringLength(InvGpsPartListConsts.MaxPartNoNormalizedLength)]
		public virtual string PartNoNormalized { get; set; }
		[StringLength(InvGpsPartListConsts.MaxPartNameLength)]
		public virtual string PartName { get; set; }
		[StringLength(InvGpsPartListConsts.MaxSupplierNoLength)]
		public virtual string SupplierNo { get; set; }
		[StringLength(InvGpsPartListConsts.MaxUomLength)]
		public virtual string Uom { get; set; }
		[StringLength(InvGpsPartListConsts.MaxTypeLength)]
		public virtual string Type { get; set; }
		public virtual int? BoxQty { get; set; }
		[StringLength(InvGpsPartListConsts.MaxColorLength)]
		public virtual string Color { get; set; }
		public virtual decimal? SummerRadio { get; set; }
		public virtual decimal? WinterRatio { get; set; }
		public virtual decimal? DiffRatio { get; set; }
		[StringLength(InvGpsPartListConsts.MaxSeasonTypeLength)]
		public virtual string SeasonType { get; set; }
		[StringLength(InvGpsPartListConsts.MaxRemarkLength)]
		public virtual string Remark { get; set; }
		[StringLength(InvGpsPartListConsts.MaxRemark1Length)]
		public virtual string Remark1 { get; set; }
	}
	public class GetInvGpsPartListInput : PagedAndSortedResultRequestDto	
	{
		public virtual string PartNo { get; set; }
		public virtual string PartNoNormalized { get; set; }
		public virtual string PartName { get; set; }
		public virtual string SupplierNo { get; set; }
		public virtual string Uom { get; set; }
		public virtual string Type { get; set; }
		public virtual string Color { get; set; }
		public virtual string SeasonType { get; set; }
		public virtual string Remark { get; set; }
		public virtual string Remark1 { get; set; }
	}
}
</v>
      </c>
      <c r="I69" s="48" t="str">
        <f ca="1">A.Backend!R7</f>
        <v xml:space="preserve">using Abp.Application.Services.Dto;
using System;
using System.ComponentModel.DataAnnotations;
namespace prod.Inventory.GPS.Dto
{
	public class InvGpsPartListExportInput{
		public virtual string PartNo { get; set; }
		public virtual string PartNoNormalized { get; set; }
		public virtual string PartName { get; set; }
		public virtual string SupplierNo { get; set; }
		public virtual string Uom { get; set; }
		public virtual string Type { get; set; }
		public virtual int? BoxQty { get; set; }
		public virtual string Color { get; set; }
		public virtual decimal? SummerRadio { get; set; }
		public virtual decimal? WinterRatio { get; set; }
		public virtual decimal? DiffRatio { get; set; }
		public virtual string SeasonType { get; set; }
		public virtual string Remark { get; set; }
		public virtual string Remark1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vovina.Inventory.GPS.Dto;
namespace prod.Inventory.GPS
{
	public interface IInvGpsPartListAppService : IApplicationService
	{
		Task&lt;PagedResultDto&lt;InvGpsPartListDto&gt;&gt; GetAll(GetInvGpsPartListInput input);
		Task CreateOrEdit(CreateOrEditInvGpsPartListDto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vovina.Inventory.GPS.Dto;
namespace prod.Inventory.GPS.Exporting
{
	public interface IInvGpsPartListExcelExporter : IApplicationService
	{
		FileDto ExportToFile(List&lt;InvGpsPartListDto&gt; invgpspartlist);
	}
}
</v>
      </c>
      <c r="L69" s="48" t="str">
        <f ca="1">A.Backend!T7</f>
        <v>using System.Collections.Generic;
using vovina.DataExporting.Excel.NPOI;
using vovina.Dto;
using vovina.Inventory.GPS.Exporting;
using vovina.Inventory.GPS.Dto;
using vovina.Storage;
using vovina.Inventory.GPS.Dto;
namespace vovina.Inventory.GPS.Exporting
{
    public class InvGpsPartListExcelExporter : NpoiExcelExporterBase, IInvGpsPartListExcelExporter
    {
        public InvGpsPartListExcelExporter(ITempFileCacheManager tempFileCacheManager) : base(tempFileCacheManager) { }
        public FileDto ExportToFile(List&lt;InvGpsPartListDto&gt; gpspartlist)
        {
            return CreateExcelPackage(
				"InventoryGPSGpsPartList.xlsx",
				excelPackage =&gt;
				 {
					var sheet = excelPackage.CreateSheet("GpsPartList");
					AddHeader(
								sheet,
								("PartNo"),
								("PartNoNormalized"),
								("PartName"),
								("SupplierNo"),
								("Uom"),
								("Type"),
								("BoxQty"),
								("Color"),
								("SummerRadio"),
								("WinterRatio"),
								("DiffRatio"),
								("SeasonType"),
								("Remark"),
								("Remark1"),
							   );
					AddObjects(
						 sheet, 1, gpspartlist,                                       
								_ =&gt; _.PartNo,
								_ =&gt; _.PartNoNormalized,
								_ =&gt; _.PartName,
								_ =&gt; _.SupplierNo,
								_ =&gt; _.Uom,
								_ =&gt; _.Type,
								_ =&gt; _.BoxQty,
								_ =&gt; _.Color,
								_ =&gt; _.SummerRadio,
								_ =&gt; _.WinterRatio,
								_ =&gt; _.DiffRatio,
								_ =&gt; _.SeasonType,
								_ =&gt; _.Remark,
								_ =&gt; _.Remark1,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vovina.Inventory.GPS.Dto;
using vovina.Inventory.GPS.Exporting;
namespace vovina.Inventory.GPS
{
    [AbpAuthorize(AppPermissions.Pages_Inventory_GPS_GpsPartList)]
    public class InvGpsPartListAppService : vovinaAppServiceBase, IInvGpsPartListAppService
    {
        private readonly IDapperRepository&lt;InvGpsPartList, long&gt; _dapperRepo;
        private readonly IRepository&lt;InvGpsPartList, long&gt; _repo;
        private readonly IInvGpsPartListExcelExporter _calendarListExcelExporter;
        public InvGpsPartListAppService(IRepository&lt;InvGpsPartList,long&gt; repo, 
                                         IDapperRepository&lt;InvGpsPartList,long&gt; dapperRepo,
                                        IInvGpsPartListExcelExporter calendarListExcelExporter
            )
        {
            _repo = repo;
            _dapperRepo = dapperRepo;
            _calendarListExcelExporter = calendarListExcelExporter;
        }
        [AbpAuthorize(AppPermissions.Pages_Inventory_GPS_GpsPartList_CreateEdit)]
        public async Task CreateOrEdit(CreateOrEditInvGpsPartListDto input)
        {
            if (input.Id == null) await Create(input);
            else await Update(input);
        }
        //CREATE
        private async Task Create(CreateOrEditInvGpsPartListDto input)
        {          
            var mainObj = ObjectMapper.Map&lt;InvGpsPartList&gt;(input);
            await CurrentUnitOfWork.GetDbContext&lt;vovinaDbContext&gt;().AddAsync(mainObj);
        }
        // EDIT
        private async Task Update(CreateOrEditInvGpsPartListDto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[AbpAuthorize(AppPermissions.Pages_Inventory_GPS_GpsPartList_Delete)]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Task&lt;PagedResultDto&lt;InvGpsPartListDto&gt;&gt; GetAll(GetInvGpsPartListInput input)
        {
            var filtered = _repo.GetAll()
				.WhereIf(!string.IsNullOrWhiteSpace(input.PartNo), e =&gt; e.PartNo.Contains(input.PartNo))
				.WhereIf(!string.IsNullOrWhiteSpace(input.PartNoNormalized), e =&gt; e.PartNoNormalized.Contains(input.PartNoNormalized))
				.WhereIf(!string.IsNullOrWhiteSpace(input.PartName), e =&gt; e.PartName.Contains(input.PartName))
				.WhereIf(!string.IsNullOrWhiteSpace(input.SupplierNo), e =&gt; e.SupplierNo.Contains(input.SupplierNo))
				.WhereIf(!string.IsNullOrWhiteSpace(input.Uom), e =&gt; e.Uom.Contains(input.Uom))
				.WhereIf(!string.IsNullOrWhiteSpace(input.Type), e =&gt; e.Type.Contains(input.Type))
				.WhereIf(!string.IsNullOrWhiteSpace(input.Color), e =&gt; e.Color.Contains(input.Color))
				.WhereIf(!string.IsNullOrWhiteSpace(input.SeasonType), e =&gt; e.SeasonType.Contains(input.SeasonType))
				.WhereIf(!string.IsNullOrWhiteSpace(input.Remark), e =&gt; e.Remark.Contains(input.Remark))
				.WhereIf(!string.IsNullOrWhiteSpace(input.Remark1), e =&gt; e.Remark1.Contains(input.Remark1))                   
				;
            var pageAndFiltered = filtered.OrderBy(s =&gt; s.Id);
            var system = from o in pageAndFiltered
                         select new InvGpsPartListDto
                        {
							Id = o.Id,
							PartNo = o.PartNo,
							PartNoNormalized = o.PartNoNormalized,
							PartName = o.PartName,
							SupplierNo = o.SupplierNo,
							Uom = o.Uom,
							Type = o.Type,
							BoxQty = o.BoxQty,
							Color = o.Color,
							SummerRadio = o.SummerRadio,
							WinterRatio = o.WinterRatio,
							DiffRatio = o.DiffRatio,
							SeasonType = o.SeasonType,
							Remark = o.Remark,
							Remark1 = o.Remark1,
                        };
            var totalCount = await filtered.CountAsync();
			var paged = system.PageBy(input);
            return new PagedResultDto&lt;InvGpsPartListDto&gt;(
                totalCount,
                 await paged.ToListAsync()
            );
        }
        public async Task&lt;FileDto&gt; GetGpsPartListToExcel(InvGpsPartListExportInput input)
        {
            var query = from o in _repo.GetAll()
                        select new InvGpsPartListDto
                        {
							Id = o.Id,
							PartNo = o.PartNo,
							PartNoNormalized = o.PartNoNormalized,
							PartName = o.PartName,
							SupplierNo = o.SupplierNo,
							Uom = o.Uom,
							Type = o.Type,
							BoxQty = o.BoxQty,
							Color = o.Color,
							SummerRadio = o.SummerRadio,
							WinterRatio = o.WinterRatio,
							DiffRatio = o.DiffRatio,
							SeasonType = o.SeasonType,
							Remark = o.Remark,
							Remark1 = o.Remark1,
                        };
            var exportToExcel = await query.ToListAsync();
            return _calendarListExcelExporter.ExportToFile(exportToExcel);
        }
       // public async Task GenerateAsync()
      //  {
        //    await _dapperRepo.ExecuteAsync(InvGpsPartListConsts.SP_MST_WPT_CALENDAR_GENERATE);
       // }
    }
}</v>
      </c>
      <c r="N69" s="58" t="str">
        <f>A.Backend!U7</f>
        <v xml:space="preserve">  configuration.CreateMap&lt;InvGpsPartListDto, InvGpsPartList&gt;();
  configuration.CreateMap&lt;InvGpsPartList, InvGpsPartListDto&gt;();
  configuration.CreateMap&lt;CreateOrEditInvGpsPartListDto, InvGpsPartList&gt;();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gpspartlist</v>
      </c>
      <c r="C74" s="66" t="str">
        <f>"create folder " &amp;B74</f>
        <v>create folder gpspartlist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gpspartlist.component.ts</v>
      </c>
      <c r="D75" s="28" t="str">
        <f>B.Frontend!I14</f>
        <v>gpspartlist.component.html</v>
      </c>
      <c r="E75" s="28" t="str">
        <f>B.Frontend!J14</f>
        <v>gpspartlist.component.less</v>
      </c>
      <c r="F75" s="28" t="str">
        <f>B.Frontend!K14</f>
        <v>create-or-edit-gpspartlist-modal.component.html</v>
      </c>
      <c r="G75" s="28" t="str">
        <f>B.Frontend!L14</f>
        <v>create-or-edit-gpspartlist-modal.component.ts</v>
      </c>
      <c r="H75" s="28" t="str">
        <f>B.Frontend!M14</f>
        <v>create-or-edit-gpspartlist-modal.component.less</v>
      </c>
      <c r="I75" s="28" t="str">
        <f>B.Frontend!N14</f>
        <v>gpspartlist.module.ts</v>
      </c>
      <c r="J75" s="28" t="str">
        <f>B.Frontend!O14</f>
        <v>gpspartlist-routing.module.ts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InvGpsPartListDto, InvGpsPartListServiceProxy } from '@shared/service-proxies/service-proxies';
import { finalize } from 'rxjs/internal/operators/finalize';
import { CreateOrEditGpsPartListModalComponent } from './create-or-edit-gpspartlist-modal.component';
import { DatePipe } from '@angular/common';
import { FileDownloadService } from '@shared/utils/file-download.service';
import ceil from 'lodash-es/ceil';
import { Paginator } from 'primeng/paginator';
@Component({
    templateUrl: './gpspartlist.component.html',
    styleUrls: ['./gpspartlist.component.less'],
})
export class GpsPartListComponent extends AppComponentBase implements OnInit {
    @ViewChild('createOrEditModalGpsPartList', { static: true }) createOrEditModalGpsPartList:| CreateOrEditGpsPartListModalComponent|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InvGpsPartListDto = new InvGpsPartListDto();
    saveSelectedRow: InvGpsPartListDto = new InvGpsPartListDto();
    datas: InvGpsPartListDto = new InvGpsPartListDto();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partNoNormalized : string = '' ; 
	partName : string = '' ; 
	supplierNo : string = '' ; 
	uom : string = '' ; 
	type : string = '' ; 
	color : string = '' ; 
	seasonType : string = '' ; 
	remark : string = '' ; 
	remark1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InvGpsPartListServiceProxy,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No Normalized'),headerTooltip: this.l('Part No Normalized'),field: 'partNoNormalized',flex: 1},
			{headerName: this.l('Part Name'),headerTooltip: this.l('Part Name'),field: 'partName',flex: 1},
			{headerName: this.l('Supplier No'),headerTooltip: this.l('Supplier No'),field: 'supplierNo',flex: 1},
			{headerName: this.l('Uom'),headerTooltip: this.l('Uom'),field: 'uom',flex: 1},
			{headerName: this.l('Type'),headerTooltip: this.l('Type'),field: 'type',flex: 1},
			{headerName: this.l('Box Qty'),headerTooltip: this.l('Box Qty'),field: 'boxQty',flex: 1},
			{headerName: this.l('Color'),headerTooltip: this.l('Color'),field: 'color',flex: 1},
			{headerName: this.l('Summer Radio'),headerTooltip: this.l('Summer Radio'),field: 'summerRadio',flex: 1},
			{headerName: this.l('Winter Ratio'),headerTooltip: this.l('Winter Ratio'),field: 'winterRatio',flex: 1},
			{headerName: this.l('Diff Ratio'),headerTooltip: this.l('Diff Ratio'),field: 'diffRatio',flex: 1},
			{headerName: this.l('Season Type'),headerTooltip: this.l('Season Type'),field: 'seasonType',flex: 1},
			{headerName: this.l('Remark'),headerTooltip: this.l('Remark'),field: 'remark',flex: 1},
			{headerName: this.l('Remark1'),headerTooltip: this.l('Remark1'),field: 'remark1',flex: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this.partNo,
			this.partNoNormalized,
			this.partName,
			this.supplierNo,
			this.uom,
			this.boxQty,
			this.diffRatio,
			this.type,
			this.boxQty,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partNo : string = '' ; 
	partNoNormalized : string = '' ; 
	partName : string = '' ; 
	supplierNo : string = '' ; 
	uom : string = '' ; 
	type : string = '' ; 
	color : string = '' ; 
	seasonType : string = '' ; 
	remark : string = '' ; 
	remark1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this.partNo,
			this.partNoNormalized,
			this.partName,
			this.supplierNo,
			this.uom,
			this.boxQty,
			this.diffRatio,
			this.type,
			this.boxQty,
			'',
            this.paginationParams.skipCount,
            this.paginationParams.pageSize
        );
    }
    onChangeRowSelection(params: { api: { getSelectedRows: () =&gt; InvGpsPartListDto[] } }) {
        this.saveSelectedRow = params.api.getSelectedRows()[0] ?? new InvGpsPartListDto();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InvGpsPartListDto):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this._service.getGpsPartListToExcel(
			this.,
			this.partNo,
			this.partNoNormalized,
			this.partName,
			this.supplierNo,
			this.uom,
			this.boxQty,
			this.diffRatio,
			this.type,
			this.boxQty,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Frame Enginer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[(ngModel)]='uom' name='uom'
									class='form-control' [placeholder]="l('Uom')"
									type='text' (keyup.enter)='searchDatas()'&gt;
								&lt;/div&gt;
								&lt;div class='input-search'&gt;
									&lt;input [(ngModel)]='type' name='type'
									class='form-control' [placeholder]="l('Type')"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[(ngModel)]='seasonType' name='seasonType'
									class='form-control' [placeholder]="l('Season Type')"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								&lt;div class='input-search'&gt;
									&lt;input [(ngModel)]='remark1' name='remark1'
									class='form-control' [placeholder]="l('Remark1')"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(click)="createOrEditModalGpsPartList.show()"&gt;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(click)="createOrEditModalGpsPartList.show(selectedRow)"&gt;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&lt;create-or-edit-gpspartlist-modal
    #createOrEditModalGpsPartList
    (modalSave)="callBackDataGrid(dataParams)"
    (modalClose)="onChangeRowSelection(dataParams)"
&gt;
&lt;/create-or-edit-gpspartlist-modal&gt;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#createOrEditModalGpsPartList="bs-modal"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GpsPartList')}}&lt;/h3&gt;
                    &lt;h3 *ngIf="!rowdata.id"&gt;{{('Create New GpsPartList')}}&lt;/h3&gt;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title'&gt;Uom&lt;/label&gt;
						&lt;input type='text' class='col-md-10 form-control input-text' name='Uom' [(ngModel)]='rowdata.uom'&gt;
					&lt;/div&gt;
					&lt;div class='col-md-12 form-group row'&gt;
						&lt;label class='col-md-2 form-control title'&gt;Type&lt;/label&gt;
						&lt;input type='text' class='col-md-10 form-control input-text' name='Type' [(ngModel)]='rowdata.type'&gt;
					&lt;/div&gt;
					&lt;div class='col-md-12 form-group row'&gt;
						&lt;label class='col-md-2 form-control title'&gt;Box Qty&lt;/label&gt;
						&lt;input type='number' class='col-md-10 form-control input-text' name='BoxQty' [(ngModel)]='rowdata.boxQty'&gt;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title'&gt;Season Type&lt;/label&gt;
						&lt;input type='text' class='col-md-10 form-control input-text' name='SeasonType' [(ngModel)]='rowdata.seasonType'&gt;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title'&gt;Remark1&lt;/label&gt;
						&lt;input type='text' class='col-md-10 form-control input-text' name='Remark1' [(ngModel)]='rowdata.remark1'&gt;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CreateOrEditInvGpsPartListDto, InvGpsPartListServiceProxy } from '@shared/service-proxies/service-proxies';
import { BsDatepickerDirective } from 'ngx-bootstrap/datepicker';
@Component({
    selector: 'create-or-edit-gpspartlist-modal',
    templateUrl: './create-or-edit-gpspartlist-modal.component.html',
    styleUrls: ['./create-or-edit-gpspartlist-modal.component.less']
    })
export class CreateOrEditGpsPartListModalComponent extends AppComponentBase {
    @ViewChild('createOrEditModalGpsPartList',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CreateOrEditInvGpsPartListDto = new CreateOrEditInvGpsPartListDto();
    active: boolean = false;
    saving: boolean = false;
    _: boolean;
    constructor(
        injector: Injector,
        private _mstwptGpsPartListService: InvGpsPartListServiceProxy,
    ) 
    {
        super(injector);
    }
    show(rowdata?: CreateOrEditInvGpsPartListDto): void {
        if (!rowdata) this.rowdata = new CreateOrEditInvGpsPartListDto();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this._mstwptGpsPartListService.createOrEdit(this.rowdata)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GpsPartListRoutingModule } from './gpspartlist-routing.module';
import { GpsPartListComponent } from './gpspartlist.component';
import { CreateOrEditGpsPartListModalComponent } from './create-or-edit-gpspartlist-modal.component';
@NgModule({
    declarations: [
       GpsPartListComponent, 
        CreateOrEditGpsPartListModalComponent
    ],
    imports: [
        AppSharedModule, GpsPartListRoutingModule]
})
export class GpsPartListModule {}</v>
      </c>
      <c r="J76" s="46" t="str">
        <f>B.Frontend!O10</f>
        <v>import {NgModule} from '@angular/core';
import {RouterModule, Routes} from '@angular/router';
import { GpsPartListComponent } from './gpspartlist.component';
const routes: Routes = [{
    path: '',
    component: GpsPartListComponent,
    pathMatch: 'full'
}];
@NgModule({
    imports: [RouterModule.forChild(routes)],
    exports: [RouterModule],
})
export class GpsPartListRoutingModule {}</v>
      </c>
      <c r="K76" s="46" t="str">
        <f>B.Frontend!P10</f>
        <v xml:space="preserve"> new AppMenuItem("GpsPartList", "Pages.Inventory.GPS.GpsPartList", "flaticon-book",   "/app/main/inventory/gps/gpspartlist"),</v>
      </c>
      <c r="L76" s="47" t="str">
        <f>B.Frontend!Q10</f>
        <v>{
    path: 'inventory/gps/gpspartlist',
    loadChildren: () =&gt; import('./inventory/gps/gpspartlist/gpspartlist.module').then(m =&gt; m.GpsPartListModule),
    data: { permission: 'Pages.Inventory.GPS.GpsPartList' }
},</v>
      </c>
      <c r="M76" s="45" t="str">
        <f>B.Frontend!R10</f>
        <v>ApiServiceProxies.InvGpsPartListServiceProxy,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4"/>
  <sheetViews>
    <sheetView tabSelected="1" workbookViewId="0">
      <pane xSplit="1" topLeftCell="B1" activePane="topRight" state="frozen"/>
      <selection pane="topRight" activeCell="B19" sqref="B19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vovina.Inventory.GPS.Dto;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377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375</v>
      </c>
      <c r="C3" s="9" t="s">
        <v>40</v>
      </c>
      <c r="D3" s="9" t="s">
        <v>41</v>
      </c>
      <c r="E3" s="9" t="s">
        <v>36</v>
      </c>
      <c r="F3" s="10" t="str">
        <f>"J"&amp;COUNTA($A:$A)</f>
        <v>J22</v>
      </c>
      <c r="G3" s="4" t="s">
        <v>53</v>
      </c>
      <c r="H3" s="9" t="str">
        <f>"I"&amp;COUNTA($A:$A)</f>
        <v>I22</v>
      </c>
      <c r="I3" s="9" t="str">
        <f>REPT(CHAR(9),2)&amp;"[Required]"&amp;"
"</f>
        <v xml:space="preserve">		[Required]
</v>
      </c>
      <c r="J3" s="10" t="str">
        <f>"L"&amp;COUNTA($A:$A)</f>
        <v>L22</v>
      </c>
      <c r="K3" s="5" t="s">
        <v>52</v>
      </c>
      <c r="L3" s="10" t="str">
        <f>"M"&amp;COUNTA($A:$A)</f>
        <v>M22</v>
      </c>
      <c r="M3" s="10" t="str">
        <f>"N"&amp;COUNTA($A:$A)</f>
        <v>N22</v>
      </c>
      <c r="N3" s="10" t="str">
        <f>"O"&amp;COUNTA($A:$A)</f>
        <v>O22</v>
      </c>
      <c r="O3" s="10" t="str">
        <f>"P"&amp;COUNTA($A:$A)</f>
        <v>P22</v>
      </c>
      <c r="Q3" s="10" t="str">
        <f>RIGHT(B2,(LEN(B2)-FIND(".",B2,1)))</f>
        <v>GPS</v>
      </c>
      <c r="R3" s="29" t="str">
        <f>REPT(CHAR(9),1)&amp;"public class "&amp;B3&amp;"ExportInput"&amp;C3</f>
        <v xml:space="preserve">	public class InvGpsPartListExportInput{
</v>
      </c>
      <c r="S3" s="10" t="str">
        <f>"namespace "&amp;$B$6&amp;".Exporting
"&amp;$C$3</f>
        <v xml:space="preserve">namespace prod.Inventory.GPS.Exporting
{
</v>
      </c>
      <c r="T3" s="10" t="str">
        <f>"T"&amp;COUNTA($A:$A)</f>
        <v>T22</v>
      </c>
      <c r="V3" s="10" t="str">
        <f>"V"&amp;COUNTA($A:$A)</f>
        <v>V22</v>
      </c>
      <c r="W3" s="9" t="str">
        <f>"W"&amp;COUNTA($A:$A)</f>
        <v>W22</v>
      </c>
    </row>
    <row r="4" spans="1:23" s="10" customFormat="1" ht="33" customHeight="1" x14ac:dyDescent="0.25">
      <c r="A4" s="1" t="s">
        <v>232</v>
      </c>
      <c r="B4" s="65" t="s">
        <v>318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376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prod.Inventory.GPS</v>
      </c>
      <c r="C6" s="10" t="str">
        <f>"namespace "&amp;$B$6&amp;"
"&amp;$C$3</f>
        <v xml:space="preserve">namespace prod.Inventory.GPS
{
</v>
      </c>
      <c r="D6" s="10" t="str">
        <f>REPT(CHAR(9),1)&amp;"public class "&amp;B3&amp;G3&amp;REPT(CHAR(9),1)&amp;"
"&amp;REPT(CHAR(9),1)&amp;C3</f>
        <v xml:space="preserve">	public class InvGpsPartList: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InvGpsPartListConsts	
	{
</v>
      </c>
      <c r="F6" s="10" t="str">
        <f>REPT(CHAR(9),1)&amp;"public class "&amp;B3&amp;"Dto"&amp;K3&amp;REPT(CHAR(9),1)&amp;"
"&amp;REPT(CHAR(9),1)&amp;C3</f>
        <v xml:space="preserve">	public class InvGpsPartListDto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CreateOrEditInvGpsPartListDto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GetInvGpsPartListInput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InvGpsPartList</v>
      </c>
      <c r="C7" s="10" t="str">
        <f>REPT(CHAR(9),1)&amp;"[Table("""&amp;B7&amp;""")]"&amp;"
"</f>
        <v xml:space="preserve">	[Table("InvGpsPartList")]
</v>
      </c>
      <c r="D7" s="10"/>
      <c r="E7" s="10"/>
      <c r="F7" s="10"/>
      <c r="G7" s="10"/>
      <c r="H7" s="10"/>
      <c r="I7" s="10"/>
      <c r="J7" t="str">
        <f ca="1">SUBSTITUTE(SUBSTITUTE((B1&amp;C6&amp;C7&amp;K24&amp;D6&amp;I24&amp;E3&amp;J24&amp;""&amp;REPT(CHAR(9),1)&amp;D3&amp;D3),"WorkingPattern",$Q$3),"Master",$B$4)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prod.Inventory.GPS
{
	[Table("InvGpsPartList")]
	public class InvGpsPartList: FullAuditedEntity&lt;long&gt;, IEntity&lt;long&gt;	
	{
		public const int MaxPartNoLength = 50;
		public const int MaxPartNoNormalizedLength = 100;
		public const int MaxPartNameLength = 100;
		public const int MaxSupplierNoLength = 50;
		public const int MaxUomLength = 50;
		public const int MaxTypeLength = 50;
		public const int MaxColorLength = 3;
		public const int MaxSeasonTypeLength = 50;
		public const int MaxRemarkLength = 5000;
		public const int MaxRemark1Length = 5000;
		[StringLength(MaxPartNoLength)]
		public virtual string PartNo { get; set; }
		[StringLength(MaxPartNoNormalizedLength)]
		public virtual string PartNoNormalized { get; set; }
		[StringLength(MaxPartNameLength)]
		public virtual string PartName { get; set; }
		[StringLength(MaxSupplierNoLength)]
		public virtual string SupplierNo { get; set; }
		[StringLength(MaxUomLength)]
		public virtual string Uom { get; set; }
		[StringLength(MaxTypeLength)]
		public virtual string Type { get; set; }
		public virtual int? BoxQty { get; set; }
		[StringLength(MaxColorLength)]
		public virtual string Color { get; set; }
		public virtual decimal? SummerRadio { get; set; }
		public virtual decimal? WinterRatio { get; set; }
		public virtual decimal? DiffRatio { get; set; }
		[StringLength(MaxSeasonTypeLength)]
		public virtual string SeasonType { get; set; }
		[StringLength(MaxRemarkLength)]
		public virtual string Remark { get; set; }
		[StringLength(MaxRemark1Length)]
		public virtual string Remark1 { get; set; }
	}
}
</v>
      </c>
      <c r="K7" t="str">
        <f>SUBSTITUTE(SUBSTITUTE(("public virtual DbSet&lt;"&amp;B3&amp;"&gt; "&amp;B3&amp;"s { get; set; }"),"WorkingPattern",$Q$3),"Master",$B$4)</f>
        <v>public virtual DbSet&lt;InvGpsPartList&gt; InvGpsPartLists { get; set; }</v>
      </c>
      <c r="L7" t="str">
        <f ca="1">SUBSTITUTE(SUBSTITUTE((C6&amp;E6&amp;I24&amp;"
"&amp;REPT(CHAR(9),2)&amp;"// Define Store Name: Format SP_ + &lt;Store Name&gt; = &lt;Store Name&gt;
"&amp;E3&amp;REPT(CHAR(9),1)&amp;D3&amp;D3),"WorkingPattern",$Q$3),"Master",$B$4)</f>
        <v xml:space="preserve">namespace prod.Inventory.GPS
{
	public class InvGpsPartListConsts	
	{
		public const int MaxPartNoLength = 50;
		public const int MaxPartNoNormalizedLength = 100;
		public const int MaxPartNameLength = 100;
		public const int MaxSupplierNoLength = 50;
		public const int MaxUomLength = 50;
		public const int MaxTypeLength = 50;
		public const int MaxColorLength = 3;
		public const int MaxSeasonTypeLength = 50;
		public const int MaxRemarkLength = 5000;
		public const int MaxRemark1Length = 5000;
		// Define Store Name: Format SP_ + &lt;Store Name&gt; = &lt;Store Name&gt;
	}
}
</v>
      </c>
      <c r="M7" t="str">
        <f ca="1">SUBSTITUTE(SUBSTITUTE((C1&amp;"namespace "&amp;B6&amp;".Dto"&amp;E3&amp;C3&amp;F6&amp;M24&amp;E3&amp;REPT(CHAR(9),1)&amp;D3&amp;G6&amp;N24&amp;REPT(CHAR(9),1)&amp;D3&amp;H6&amp;O24&amp;"
"&amp;REPT(CHAR(9),1)&amp;D3&amp;D3),"WorkingPattern",$Q$3),"Master",$B$4)</f>
        <v xml:space="preserve">using Abp.Application.Services.Dto;
using System;
using System.ComponentModel.DataAnnotations;
namespace prod.Inventory.GPS.Dto
{
	public class InvGpsPartListDto : EntityDto&lt;long?&gt;	
	{
		public virtual string PartNo { get; set; }
		public virtual string PartNoNormalized { get; set; }
		public virtual string PartName { get; set; }
		public virtual string SupplierNo { get; set; }
		public virtual string Uom { get; set; }
		public virtual string Type { get; set; }
		public virtual int? BoxQty { get; set; }
		public virtual string Color { get; set; }
		public virtual decimal? SummerRadio { get; set; }
		public virtual decimal? WinterRatio { get; set; }
		public virtual decimal? DiffRatio { get; set; }
		public virtual string SeasonType { get; set; }
		public virtual string Remark { get; set; }
		public virtual string Remark1 { get; set; }
	}
	public class CreateOrEditInvGpsPartListDto : EntityDto&lt;long?&gt;	
	{
		[StringLength(InvGpsPartListConsts.MaxPartNoLength)]
		public virtual string PartNo { get; set; }
		[StringLength(InvGpsPartListConsts.MaxPartNoNormalizedLength)]
		public virtual string PartNoNormalized { get; set; }
		[StringLength(InvGpsPartListConsts.MaxPartNameLength)]
		public virtual string PartName { get; set; }
		[StringLength(InvGpsPartListConsts.MaxSupplierNoLength)]
		public virtual string SupplierNo { get; set; }
		[StringLength(InvGpsPartListConsts.MaxUomLength)]
		public virtual string Uom { get; set; }
		[StringLength(InvGpsPartListConsts.MaxTypeLength)]
		public virtual string Type { get; set; }
		public virtual int? BoxQty { get; set; }
		[StringLength(InvGpsPartListConsts.MaxColorLength)]
		public virtual string Color { get; set; }
		public virtual decimal? SummerRadio { get; set; }
		public virtual decimal? WinterRatio { get; set; }
		public virtual decimal? DiffRatio { get; set; }
		[StringLength(InvGpsPartListConsts.MaxSeasonTypeLength)]
		public virtual string SeasonType { get; set; }
		[StringLength(InvGpsPartListConsts.MaxRemarkLength)]
		public virtual string Remark { get; set; }
		[StringLength(InvGpsPartListConsts.MaxRemark1Length)]
		public virtual string Remark1 { get; set; }
	}
	public class GetInvGpsPartListInput : PagedAndSortedResultRequestDto	
	{
		public virtual string PartNo { get; set; }
		public virtual string PartNoNormalized { get; set; }
		public virtual string PartName { get; set; }
		public virtual string SupplierNo { get; set; }
		public virtual string Uom { get; set; }
		public virtual string Type { get; set; }
		public virtual string Color { get; set; }
		public virtual string SeasonType { get; set; }
		public virtual string Remark { get; set; }
		public virtual string Remark1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perInvGpsPartList = PARENTS.CreateChildPermission(AppPermissions.Pages_Inventory_GPS_GpsPartList, L( "InventoryGPSGpsPartList"), multiTenancySides: MultiTenancySides.Tenant);
		perInvGpsPartList.CreateChildPermission(AppPermissions.Pages_Inventory_GPS_GpsPartList_CreateEdit, L( "InventoryGPSGpsPartListCreateEdit"), multiTenancySides: MultiTenancySides.Tenant);
		perInvGpsPartList.CreateChildPermission(AppPermissions.Pages_Inventory_GPS_GpsPartList_Delete, L( "InventoryGPSGpsPartListDelete"),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Pages_Inventory_GPS_GpsPartList = "Pages.Inventory.GPS.GpsPartList";
		public const string Pages_Inventory_GPS_GpsPartList_CreateEdit = "Pages.Inventory.GPS.GpsPartList.CreateEdit";
		public const string Pages_Inventory_GPS_GpsPartList_Delete = "Pages.Inventory.GPS.GpsPartList.Delete";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vovina.Inventory.GPS.Dto;
namespace prod.Inventory.GPS
{
	public interface IInvGpsPartListAppService : IApplicationService
	{
		Task&lt;PagedResultDto&lt;InvGpsPartListDto&gt;&gt; GetAll(GetInvGpsPartListInput input);
		Task CreateOrEdit(CreateOrEditInvGpsPartListDto input);
		Task Delete(EntityDto input);
	}
}
</v>
      </c>
      <c r="Q7" t="str">
        <f ca="1">SUBSTITUTE(SUBSTITUTE(SUBSTITUTE(SUBSTITUTE(SUBSTITUTE(SUBSTITUTE(E1,"MstWptCalendar",$B$3),"&lt;PROPERTIES&gt;",P24),"Calendar",$B$5),"WorkingPattern",$Q$3),"Master",$B$4),"&lt;PARAMS_SEARCH&gt;",$W$24)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vovina.Inventory.GPS.Dto;
using vovina.Inventory.GPS.Exporting;
namespace vovina.Inventory.GPS
{
    [AbpAuthorize(AppPermissions.Pages_Inventory_GPS_GpsPartList)]
    public class InvGpsPartListAppService : vovinaAppServiceBase, IInvGpsPartListAppService
    {
        private readonly IDapperRepository&lt;InvGpsPartList, long&gt; _dapperRepo;
        private readonly IRepository&lt;InvGpsPartList, long&gt; _repo;
        private readonly IInvGpsPartListExcelExporter _calendarListExcelExporter;
        public InvGpsPartListAppService(IRepository&lt;InvGpsPartList,long&gt; repo, 
                                         IDapperRepository&lt;InvGpsPartList,long&gt; dapperRepo,
                                        IInvGpsPartListExcelExporter calendarListExcelExporter
            )
        {
            _repo = repo;
            _dapperRepo = dapperRepo;
            _calendarListExcelExporter = calendarListExcelExporter;
        }
        [AbpAuthorize(AppPermissions.Pages_Inventory_GPS_GpsPartList_CreateEdit)]
        public async Task CreateOrEdit(CreateOrEditInvGpsPartListDto input)
        {
            if (input.Id == null) await Create(input);
            else await Update(input);
        }
        //CREATE
        private async Task Create(CreateOrEditInvGpsPartListDto input)
        {          
            var mainObj = ObjectMapper.Map&lt;InvGpsPartList&gt;(input);
            await CurrentUnitOfWork.GetDbContext&lt;vovinaDbContext&gt;().AddAsync(mainObj);
        }
        // EDIT
        private async Task Update(CreateOrEditInvGpsPartListDto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[AbpAuthorize(AppPermissions.Pages_Inventory_GPS_GpsPartList_Delete)]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Task&lt;PagedResultDto&lt;InvGpsPartListDto&gt;&gt; GetAll(GetInvGpsPartListInput input)
        {
            var filtered = _repo.GetAll()
				.WhereIf(!string.IsNullOrWhiteSpace(input.PartNo), e =&gt; e.PartNo.Contains(input.PartNo))
				.WhereIf(!string.IsNullOrWhiteSpace(input.PartNoNormalized), e =&gt; e.PartNoNormalized.Contains(input.PartNoNormalized))
				.WhereIf(!string.IsNullOrWhiteSpace(input.PartName), e =&gt; e.PartName.Contains(input.PartName))
				.WhereIf(!string.IsNullOrWhiteSpace(input.SupplierNo), e =&gt; e.SupplierNo.Contains(input.SupplierNo))
				.WhereIf(!string.IsNullOrWhiteSpace(input.Uom), e =&gt; e.Uom.Contains(input.Uom))
				.WhereIf(!string.IsNullOrWhiteSpace(input.Type), e =&gt; e.Type.Contains(input.Type))
				.WhereIf(!string.IsNullOrWhiteSpace(input.Color), e =&gt; e.Color.Contains(input.Color))
				.WhereIf(!string.IsNullOrWhiteSpace(input.SeasonType), e =&gt; e.SeasonType.Contains(input.SeasonType))
				.WhereIf(!string.IsNullOrWhiteSpace(input.Remark), e =&gt; e.Remark.Contains(input.Remark))
				.WhereIf(!string.IsNullOrWhiteSpace(input.Remark1), e =&gt; e.Remark1.Contains(input.Remark1))                   
				;
            var pageAndFiltered = filtered.OrderBy(s =&gt; s.Id);
            var system = from o in pageAndFiltered
                         select new InvGpsPartListDto
                        {
							Id = o.Id,
							PartNo = o.PartNo,
							PartNoNormalized = o.PartNoNormalized,
							PartName = o.PartName,
							SupplierNo = o.SupplierNo,
							Uom = o.Uom,
							Type = o.Type,
							BoxQty = o.BoxQty,
							Color = o.Color,
							SummerRadio = o.SummerRadio,
							WinterRatio = o.WinterRatio,
							DiffRatio = o.DiffRatio,
							SeasonType = o.SeasonType,
							Remark = o.Remark,
							Remark1 = o.Remark1,
                        };
            var totalCount = await filtered.CountAsync();
			var paged = system.PageBy(input);
            return new PagedResultDto&lt;InvGpsPartListDto&gt;(
                totalCount,
                 await paged.ToListAsync()
            );
        }
        public async Task&lt;FileDto&gt; GetGpsPartListToExcel(InvGpsPartListExportInput input)
        {
            var query = from o in _repo.GetAll()
                        select new InvGpsPartListDto
                        {
							Id = o.Id,
							PartNo = o.PartNo,
							PartNoNormalized = o.PartNoNormalized,
							PartName = o.PartName,
							SupplierNo = o.SupplierNo,
							Uom = o.Uom,
							Type = o.Type,
							BoxQty = o.BoxQty,
							Color = o.Color,
							SummerRadio = o.SummerRadio,
							WinterRatio = o.WinterRatio,
							DiffRatio = o.DiffRatio,
							SeasonType = o.SeasonType,
							Remark = o.Remark,
							Remark1 = o.Remark1,
                        };
            var exportToExcel = await query.ToListAsync();
            return _calendarListExcelExporter.ExportToFile(exportToExcel);
        }
       // public async Task GenerateAsync()
      //  {
        //    await _dapperRepo.ExecuteAsync(InvGpsPartListConsts.SP_MST_WPT_CALENDAR_GENERATE);
       // }
    }
}</v>
      </c>
      <c r="R7" t="str">
        <f ca="1">SUBSTITUTE(SUBSTITUTE((C1&amp;"namespace "&amp;B6&amp;".Dto"&amp;E3&amp;C3&amp;R3&amp;M24&amp;E3&amp;REPT(CHAR(9),1)&amp;D3&amp;D3),"WorkingPattern",$Q$3),"Master",$B$4)</f>
        <v xml:space="preserve">using Abp.Application.Services.Dto;
using System;
using System.ComponentModel.DataAnnotations;
namespace prod.Inventory.GPS.Dto
{
	public class InvGpsPartListExportInput{
		public virtual string PartNo { get; set; }
		public virtual string PartNoNormalized { get; set; }
		public virtual string PartName { get; set; }
		public virtual string SupplierNo { get; set; }
		public virtual string Uom { get; set; }
		public virtual string Type { get; set; }
		public virtual int? BoxQty { get; set; }
		public virtual string Color { get; set; }
		public virtual decimal? SummerRadio { get; set; }
		public virtual decimal? WinterRatio { get; set; }
		public virtual decimal? DiffRatio { get; set; }
		public virtual string SeasonType { get; set; }
		public virtual string Remark { get; set; }
		public virtual string Remark1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vovina.Inventory.GPS.Dto;
namespace prod.Inventory.GPS.Exporting
{
	public interface IInvGpsPartListExcelExporter : IApplicationService
	{
		FileDto ExportToFile(List&lt;InvGpsPartListDto&gt; invgpspartlist);
	}
}
</v>
      </c>
      <c r="T7" s="26" t="str">
        <f ca="1">SUBSTITUTE(SUBSTITUTE(SUBSTITUTE(SUBSTITUTE(SUBSTITUTE(SUBSTITUTE(SUBSTITUTE(T1,"MstWptCalendar",$B$3),"&lt;PROPERTIES1&gt;",V24),"&lt;PROPERTIES&gt;",T24),"Calendar",$B$5),"calendar",LOWER(B5)),"WorkingPattern",$Q$3),"Master",$B$4)</f>
        <v>using System.Collections.Generic;
using vovina.DataExporting.Excel.NPOI;
using vovina.Dto;
using vovina.Inventory.GPS.Exporting;
using vovina.Inventory.GPS.Dto;
using vovina.Storage;
using vovina.Inventory.GPS.Dto;
namespace vovina.Inventory.GPS.Exporting
{
    public class InvGpsPartListExcelExporter : NpoiExcelExporterBase, IInvGpsPartListExcelExporter
    {
        public InvGpsPartListExcelExporter(ITempFileCacheManager tempFileCacheManager) : base(tempFileCacheManager) { }
        public FileDto ExportToFile(List&lt;InvGpsPartListDto&gt; gpspartlist)
        {
            return CreateExcelPackage(
				"InventoryGPSGpsPartList.xlsx",
				excelPackage =&gt;
				 {
					var sheet = excelPackage.CreateSheet("GpsPartList");
					AddHeader(
								sheet,
								("PartNo"),
								("PartNoNormalized"),
								("PartName"),
								("SupplierNo"),
								("Uom"),
								("Type"),
								("BoxQty"),
								("Color"),
								("SummerRadio"),
								("WinterRatio"),
								("DiffRatio"),
								("SeasonType"),
								("Remark"),
								("Remark1"),
							   );
					AddObjects(
						 sheet, 1, gpspartlist,                                       
								_ =&gt; _.PartNo,
								_ =&gt; _.PartNoNormalized,
								_ =&gt; _.PartName,
								_ =&gt; _.SupplierNo,
								_ =&gt; _.Uom,
								_ =&gt; _.Type,
								_ =&gt; _.BoxQty,
								_ =&gt; _.Color,
								_ =&gt; _.SummerRadio,
								_ =&gt; _.WinterRatio,
								_ =&gt; _.DiffRatio,
								_ =&gt; _.SeasonType,
								_ =&gt; _.Remark,
								_ =&gt; _.Remark1,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configuration.CreateMap&lt;InvGpsPartListDto, InvGpsPartList&gt;();
  configuration.CreateMap&lt;InvGpsPartList, InvGpsPartListDto&gt;();
  configuration.CreateMap&lt;CreateOrEditInvGpsPartListDto, InvGpsPartList&gt;();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360</v>
      </c>
      <c r="B9" s="28" t="s">
        <v>352</v>
      </c>
      <c r="C9" t="s">
        <v>1</v>
      </c>
      <c r="D9" t="str">
        <f t="shared" ref="D9" si="0">SUBSTITUTE(PROPER(A9),"_","")</f>
        <v>PartNo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MaxPartNoLength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[StringLength(InvGpsPartListConsts.MaxPartNoLength)]
		public virtual string PartNo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" si="9">REPT(CHAR(9),7)&amp;D9&amp;" = o." &amp;D9 &amp;","</f>
        <v xml:space="preserve">							PartNo = o.PartNo,</v>
      </c>
      <c r="T9" s="63" t="str">
        <f t="shared" ref="T9" si="10">REPT(CHAR(9),8)&amp;"("""&amp;D9&amp;"""),"</f>
        <v xml:space="preserve">								("PartNo"),</v>
      </c>
      <c r="V9" s="64" t="str">
        <f t="shared" ref="V9" si="11">REPT(CHAR(9),8)&amp;"_ =&gt; _."&amp;D9&amp;","</f>
        <v xml:space="preserve">								_ =&gt; _.PartNo,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</row>
    <row r="10" spans="1:23" customFormat="1" ht="18.75" customHeight="1" x14ac:dyDescent="0.25">
      <c r="A10" s="28" t="s">
        <v>361</v>
      </c>
      <c r="B10" s="28" t="s">
        <v>362</v>
      </c>
      <c r="C10" t="s">
        <v>1</v>
      </c>
      <c r="D10" t="str">
        <f t="shared" ref="D10:D11" si="13">SUBSTITUTE(PROPER(A10),"_","")</f>
        <v>PartNoNormalized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100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MaxPartNoNormalizedLength = 100;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[StringLength(MaxPartNoNormalizedLength)]
		public virtual string PartNoNormalized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PartNoNormalized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[StringLength(InvGpsPartListConsts.MaxPartNoNormalizedLength)]
		public virtual string PartNoNormalized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PartNoNormalized { get; set; }
</v>
      </c>
      <c r="P10" t="str">
        <f t="shared" ref="P10:P11" si="22">REPT(CHAR(9),7)&amp;D10&amp;" = o." &amp;D10 &amp;","</f>
        <v xml:space="preserve">							PartNoNormalized = o.PartNoNormalized,</v>
      </c>
      <c r="T10" s="63" t="str">
        <f t="shared" ref="T10:T11" si="23">REPT(CHAR(9),8)&amp;"("""&amp;D10&amp;"""),"</f>
        <v xml:space="preserve">								("PartNoNormalized"),</v>
      </c>
      <c r="V10" s="64" t="str">
        <f t="shared" ref="V10:V11" si="24">REPT(CHAR(9),8)&amp;"_ =&gt; _."&amp;D10&amp;","</f>
        <v xml:space="preserve">								_ =&gt; _.PartNoNormalized,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.WhereIf(!string.IsNullOrWhiteSpace(input.PartNoNormalized), e =&gt; e.PartNoNormalized.Contains(input.PartNoNormalized))</v>
      </c>
    </row>
    <row r="11" spans="1:23" customFormat="1" ht="18.75" customHeight="1" x14ac:dyDescent="0.25">
      <c r="A11" s="28" t="s">
        <v>363</v>
      </c>
      <c r="B11" s="28" t="s">
        <v>362</v>
      </c>
      <c r="C11" t="s">
        <v>1</v>
      </c>
      <c r="D11" t="str">
        <f t="shared" si="13"/>
        <v>PartName</v>
      </c>
      <c r="E11" t="str">
        <f t="shared" si="14"/>
        <v>varchar</v>
      </c>
      <c r="F11" s="6"/>
      <c r="G11" t="str">
        <f t="shared" si="15"/>
        <v>100</v>
      </c>
      <c r="H11" t="str">
        <f>+VLOOKUP(E11,'Data Type Mapping'!A:B,2,)</f>
        <v>string</v>
      </c>
      <c r="I11" t="str">
        <f t="shared" si="16"/>
        <v xml:space="preserve">		public const int MaxPartNameLength = 100;
</v>
      </c>
      <c r="J11" t="str">
        <f t="shared" si="17"/>
        <v xml:space="preserve">		[StringLength(MaxPartNameLength)]
		public virtual string PartName { get; set; }
</v>
      </c>
      <c r="K11" s="6"/>
      <c r="L11" t="str">
        <f t="shared" si="18"/>
        <v/>
      </c>
      <c r="M11" t="str">
        <f t="shared" si="19"/>
        <v xml:space="preserve">		public virtual string PartName { get; set; }
</v>
      </c>
      <c r="N11" t="str">
        <f t="shared" si="20"/>
        <v xml:space="preserve">		[StringLength(InvGpsPartListConsts.MaxPartNameLength)]
		public virtual string PartName { get; set; }
</v>
      </c>
      <c r="O11" t="str">
        <f t="shared" si="21"/>
        <v xml:space="preserve">		public virtual string PartName { get; set; }
</v>
      </c>
      <c r="P11" t="str">
        <f t="shared" si="22"/>
        <v xml:space="preserve">							PartName = o.PartName,</v>
      </c>
      <c r="T11" s="63" t="str">
        <f t="shared" si="23"/>
        <v xml:space="preserve">								("PartName"),</v>
      </c>
      <c r="V11" s="64" t="str">
        <f t="shared" si="24"/>
        <v xml:space="preserve">								_ =&gt; _.PartName,</v>
      </c>
      <c r="W11" s="63" t="str">
        <f t="shared" si="25"/>
        <v xml:space="preserve">				.WhereIf(!string.IsNullOrWhiteSpace(input.PartName), e =&gt; e.PartName.Contains(input.PartName))</v>
      </c>
    </row>
    <row r="12" spans="1:23" customFormat="1" ht="18.75" customHeight="1" x14ac:dyDescent="0.25">
      <c r="A12" s="28" t="s">
        <v>364</v>
      </c>
      <c r="B12" s="28" t="s">
        <v>352</v>
      </c>
      <c r="C12" t="s">
        <v>1</v>
      </c>
      <c r="D12" t="str">
        <f t="shared" ref="D12:D13" si="26">SUBSTITUTE(PROPER(A12),"_","")</f>
        <v>SupplierNo</v>
      </c>
      <c r="E12" t="str">
        <f t="shared" ref="E12:E13" si="27">IFERROR(LEFT(B12, FIND("(",B12)-1),B12)</f>
        <v>varchar</v>
      </c>
      <c r="F12" s="6"/>
      <c r="G12" t="str">
        <f t="shared" ref="G12:G13" si="28">IFERROR(MID(B12,FIND("(",B12) +1, FIND(")",B12) - FIND("(",B12) - 1),"")</f>
        <v>50</v>
      </c>
      <c r="H12" t="str">
        <f>+VLOOKUP(E12,'Data Type Mapping'!A:B,2,)</f>
        <v>string</v>
      </c>
      <c r="I12" t="str">
        <f t="shared" ref="I12:I13" si="29">IF(H12="string",REPT(CHAR(9),2)&amp;"public const int Max"&amp;D12&amp;"Length = "&amp;G12&amp;";"&amp;$E$3,"" )</f>
        <v xml:space="preserve">		public const int MaxSupplierNoLength = 50;
</v>
      </c>
      <c r="J12" t="str">
        <f t="shared" ref="J12:J13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[StringLength(MaxSupplierNoLength)]
		public virtual string SupplierNo { get; set; }
</v>
      </c>
      <c r="K12" s="6"/>
      <c r="L12" t="str">
        <f t="shared" ref="L12:L13" si="31">IF(K12="","",REPT(CHAR(9),1)&amp;"[Index(nameof("&amp;IF(D12="","",""&amp;D12)&amp;")"&amp;", Name="&amp;"""IX_"&amp;$B$7&amp;"_"&amp;D12&amp;""")]")</f>
        <v/>
      </c>
      <c r="M12" t="str">
        <f t="shared" ref="M12:M13" si="32">REPT(CHAR(9),2)&amp;"public virtual "&amp;IF(OR(H12="DateTime",H12="TimeSpan"),H12&amp;"?",H12)&amp;IF(C12="?","? "," ")&amp;D12&amp;" { get; set; }" &amp; "
"</f>
        <v xml:space="preserve">		public virtual string SupplierNo { get; set; }
</v>
      </c>
      <c r="N12" t="str">
        <f t="shared" ref="N12:N13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[StringLength(InvGpsPartListConsts.MaxSupplierNoLength)]
		public virtual string SupplierNo { get; set; }
</v>
      </c>
      <c r="O12" t="str">
        <f t="shared" ref="O12:O13" si="34">IF(OR(H12="string",H12="DateTime",H12="int"),REPT(CHAR(9),2)&amp;"public virtual "&amp;IF(OR(H12="DateTime",H12="TimeSpan"),H12&amp;"?",H12)&amp;IF(C12="?","? "," ")&amp;D12&amp;" { get; set; }"&amp;$E$3,"")</f>
        <v xml:space="preserve">		public virtual string SupplierNo { get; set; }
</v>
      </c>
      <c r="P12" t="str">
        <f t="shared" ref="P12:P13" si="35">REPT(CHAR(9),7)&amp;D12&amp;" = o." &amp;D12 &amp;","</f>
        <v xml:space="preserve">							SupplierNo = o.SupplierNo,</v>
      </c>
      <c r="T12" s="63" t="str">
        <f t="shared" ref="T12:T13" si="36">REPT(CHAR(9),8)&amp;"("""&amp;D12&amp;"""),"</f>
        <v xml:space="preserve">								("SupplierNo"),</v>
      </c>
      <c r="V12" s="64" t="str">
        <f t="shared" ref="V12:V13" si="37">REPT(CHAR(9),8)&amp;"_ =&gt; _."&amp;D12&amp;","</f>
        <v xml:space="preserve">								_ =&gt; _.SupplierNo,</v>
      </c>
      <c r="W12" s="63" t="str">
        <f t="shared" ref="W12:W13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.WhereIf(!string.IsNullOrWhiteSpace(input.SupplierNo), e =&gt; e.SupplierNo.Contains(input.SupplierNo))</v>
      </c>
    </row>
    <row r="13" spans="1:23" customFormat="1" ht="18.75" customHeight="1" x14ac:dyDescent="0.25">
      <c r="A13" s="28" t="s">
        <v>365</v>
      </c>
      <c r="B13" s="28" t="s">
        <v>352</v>
      </c>
      <c r="C13" t="s">
        <v>1</v>
      </c>
      <c r="D13" t="str">
        <f t="shared" si="26"/>
        <v>Uom</v>
      </c>
      <c r="E13" t="str">
        <f t="shared" si="27"/>
        <v>varchar</v>
      </c>
      <c r="F13" s="6"/>
      <c r="G13" t="str">
        <f t="shared" si="28"/>
        <v>50</v>
      </c>
      <c r="H13" t="str">
        <f>+VLOOKUP(E13,'Data Type Mapping'!A:B,2,)</f>
        <v>string</v>
      </c>
      <c r="I13" t="str">
        <f t="shared" si="29"/>
        <v xml:space="preserve">		public const int MaxUomLength = 50;
</v>
      </c>
      <c r="J13" t="str">
        <f t="shared" si="30"/>
        <v xml:space="preserve">		[StringLength(MaxUomLength)]
		public virtual string Uom { get; set; }
</v>
      </c>
      <c r="K13" s="6"/>
      <c r="L13" t="str">
        <f t="shared" si="31"/>
        <v/>
      </c>
      <c r="M13" t="str">
        <f t="shared" si="32"/>
        <v xml:space="preserve">		public virtual string Uom { get; set; }
</v>
      </c>
      <c r="N13" t="str">
        <f t="shared" si="33"/>
        <v xml:space="preserve">		[StringLength(InvGpsPartListConsts.MaxUomLength)]
		public virtual string Uom { get; set; }
</v>
      </c>
      <c r="O13" t="str">
        <f t="shared" si="34"/>
        <v xml:space="preserve">		public virtual string Uom { get; set; }
</v>
      </c>
      <c r="P13" t="str">
        <f t="shared" si="35"/>
        <v xml:space="preserve">							Uom = o.Uom,</v>
      </c>
      <c r="T13" s="63" t="str">
        <f t="shared" si="36"/>
        <v xml:space="preserve">								("Uom"),</v>
      </c>
      <c r="V13" s="64" t="str">
        <f t="shared" si="37"/>
        <v xml:space="preserve">								_ =&gt; _.Uom,</v>
      </c>
      <c r="W13" s="63" t="str">
        <f t="shared" si="38"/>
        <v xml:space="preserve">				.WhereIf(!string.IsNullOrWhiteSpace(input.Uom), e =&gt; e.Uom.Contains(input.Uom))</v>
      </c>
    </row>
    <row r="14" spans="1:23" customFormat="1" ht="18.75" customHeight="1" x14ac:dyDescent="0.25">
      <c r="A14" s="28" t="s">
        <v>366</v>
      </c>
      <c r="B14" s="28" t="s">
        <v>352</v>
      </c>
      <c r="C14" t="s">
        <v>1</v>
      </c>
      <c r="D14" t="str">
        <f t="shared" ref="D14:D19" si="39">SUBSTITUTE(PROPER(A14),"_","")</f>
        <v>Type</v>
      </c>
      <c r="E14" t="str">
        <f t="shared" ref="E14:E19" si="40">IFERROR(LEFT(B14, FIND("(",B14)-1),B14)</f>
        <v>varchar</v>
      </c>
      <c r="F14" s="6"/>
      <c r="G14" t="str">
        <f t="shared" ref="G14:G19" si="41">IFERROR(MID(B14,FIND("(",B14) +1, FIND(")",B14) - FIND("(",B14) - 1),"")</f>
        <v>50</v>
      </c>
      <c r="H14" t="str">
        <f>+VLOOKUP(E14,'Data Type Mapping'!A:B,2,)</f>
        <v>string</v>
      </c>
      <c r="I14" t="str">
        <f t="shared" ref="I14:I19" si="42">IF(H14="string",REPT(CHAR(9),2)&amp;"public const int Max"&amp;D14&amp;"Length = "&amp;G14&amp;";"&amp;$E$3,"" )</f>
        <v xml:space="preserve">		public const int MaxTypeLength = 50;
</v>
      </c>
      <c r="J14" t="str">
        <f t="shared" ref="J14:J19" si="4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[StringLength(MaxTypeLength)]
		public virtual string Type { get; set; }
</v>
      </c>
      <c r="K14" s="6"/>
      <c r="L14" t="str">
        <f t="shared" ref="L14:L19" si="44">IF(K14="","",REPT(CHAR(9),1)&amp;"[Index(nameof("&amp;IF(D14="","",""&amp;D14)&amp;")"&amp;", Name="&amp;"""IX_"&amp;$B$7&amp;"_"&amp;D14&amp;""")]")</f>
        <v/>
      </c>
      <c r="M14" t="str">
        <f t="shared" ref="M14:M19" si="45">REPT(CHAR(9),2)&amp;"public virtual "&amp;IF(OR(H14="DateTime",H14="TimeSpan"),H14&amp;"?",H14)&amp;IF(C14="?","? "," ")&amp;D14&amp;" { get; set; }" &amp; "
"</f>
        <v xml:space="preserve">		public virtual string Type { get; set; }
</v>
      </c>
      <c r="N14" t="str">
        <f t="shared" ref="N14:N19" si="46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[StringLength(InvGpsPartListConsts.MaxTypeLength)]
		public virtual string Type { get; set; }
</v>
      </c>
      <c r="O14" t="str">
        <f t="shared" ref="O14:O19" si="47">IF(OR(H14="string",H14="DateTime",H14="int"),REPT(CHAR(9),2)&amp;"public virtual "&amp;IF(OR(H14="DateTime",H14="TimeSpan"),H14&amp;"?",H14)&amp;IF(C14="?","? "," ")&amp;D14&amp;" { get; set; }"&amp;$E$3,"")</f>
        <v xml:space="preserve">		public virtual string Type { get; set; }
</v>
      </c>
      <c r="P14" t="str">
        <f t="shared" ref="P14:P19" si="48">REPT(CHAR(9),7)&amp;D14&amp;" = o." &amp;D14 &amp;","</f>
        <v xml:space="preserve">							Type = o.Type,</v>
      </c>
      <c r="T14" s="63" t="str">
        <f t="shared" ref="T14:T19" si="49">REPT(CHAR(9),8)&amp;"("""&amp;D14&amp;"""),"</f>
        <v xml:space="preserve">								("Type"),</v>
      </c>
      <c r="V14" s="64" t="str">
        <f t="shared" ref="V14:V19" si="50">REPT(CHAR(9),8)&amp;"_ =&gt; _."&amp;D14&amp;","</f>
        <v xml:space="preserve">								_ =&gt; _.Type,</v>
      </c>
      <c r="W14" s="63" t="str">
        <f t="shared" ref="W14:W19" si="51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.WhereIf(!string.IsNullOrWhiteSpace(input.Type), e =&gt; e.Type.Contains(input.Type))</v>
      </c>
    </row>
    <row r="15" spans="1:23" customFormat="1" ht="18.75" customHeight="1" x14ac:dyDescent="0.25">
      <c r="A15" s="28" t="s">
        <v>367</v>
      </c>
      <c r="B15" s="28" t="s">
        <v>4</v>
      </c>
      <c r="C15" t="s">
        <v>1</v>
      </c>
      <c r="D15" t="str">
        <f t="shared" si="39"/>
        <v>BoxQty</v>
      </c>
      <c r="E15" t="str">
        <f t="shared" si="40"/>
        <v>int</v>
      </c>
      <c r="F15" s="6"/>
      <c r="G15" t="str">
        <f t="shared" si="41"/>
        <v/>
      </c>
      <c r="H15" t="str">
        <f>+VLOOKUP(E15,'Data Type Mapping'!A:B,2,)</f>
        <v>int?</v>
      </c>
      <c r="I15" t="str">
        <f t="shared" si="42"/>
        <v/>
      </c>
      <c r="J15" t="str">
        <f t="shared" si="43"/>
        <v xml:space="preserve">		public virtual int? BoxQty { get; set; }
</v>
      </c>
      <c r="K15" s="6"/>
      <c r="L15" t="str">
        <f t="shared" si="44"/>
        <v/>
      </c>
      <c r="M15" t="str">
        <f t="shared" si="45"/>
        <v xml:space="preserve">		public virtual int? BoxQty { get; set; }
</v>
      </c>
      <c r="N15" t="str">
        <f t="shared" si="46"/>
        <v xml:space="preserve">		public virtual int? BoxQty { get; set; }
</v>
      </c>
      <c r="O15" t="str">
        <f t="shared" si="47"/>
        <v/>
      </c>
      <c r="P15" t="str">
        <f t="shared" si="48"/>
        <v xml:space="preserve">							BoxQty = o.BoxQty,</v>
      </c>
      <c r="T15" s="63" t="str">
        <f t="shared" si="49"/>
        <v xml:space="preserve">								("BoxQty"),</v>
      </c>
      <c r="V15" s="64" t="str">
        <f t="shared" si="50"/>
        <v xml:space="preserve">								_ =&gt; _.BoxQty,</v>
      </c>
      <c r="W15" s="63" t="str">
        <f t="shared" si="51"/>
        <v/>
      </c>
    </row>
    <row r="16" spans="1:23" customFormat="1" ht="18.75" customHeight="1" x14ac:dyDescent="0.25">
      <c r="A16" s="28" t="s">
        <v>368</v>
      </c>
      <c r="B16" s="28" t="s">
        <v>369</v>
      </c>
      <c r="C16" t="s">
        <v>1</v>
      </c>
      <c r="D16" t="str">
        <f t="shared" si="39"/>
        <v>Color</v>
      </c>
      <c r="E16" t="str">
        <f t="shared" si="40"/>
        <v>varchar</v>
      </c>
      <c r="F16" s="6"/>
      <c r="G16" t="str">
        <f t="shared" si="41"/>
        <v>3</v>
      </c>
      <c r="H16" t="str">
        <f>+VLOOKUP(E16,'Data Type Mapping'!A:B,2,)</f>
        <v>string</v>
      </c>
      <c r="I16" t="str">
        <f t="shared" si="42"/>
        <v xml:space="preserve">		public const int MaxColorLength = 3;
</v>
      </c>
      <c r="J16" t="str">
        <f t="shared" si="43"/>
        <v xml:space="preserve">		[StringLength(MaxColorLength)]
		public virtual string Color { get; set; }
</v>
      </c>
      <c r="K16" s="6"/>
      <c r="L16" t="str">
        <f t="shared" si="44"/>
        <v/>
      </c>
      <c r="M16" t="str">
        <f t="shared" si="45"/>
        <v xml:space="preserve">		public virtual string Color { get; set; }
</v>
      </c>
      <c r="N16" t="str">
        <f t="shared" si="46"/>
        <v xml:space="preserve">		[StringLength(InvGpsPartListConsts.MaxColorLength)]
		public virtual string Color { get; set; }
</v>
      </c>
      <c r="O16" t="str">
        <f t="shared" si="47"/>
        <v xml:space="preserve">		public virtual string Color { get; set; }
</v>
      </c>
      <c r="P16" t="str">
        <f t="shared" si="48"/>
        <v xml:space="preserve">							Color = o.Color,</v>
      </c>
      <c r="T16" s="63" t="str">
        <f t="shared" si="49"/>
        <v xml:space="preserve">								("Color"),</v>
      </c>
      <c r="V16" s="64" t="str">
        <f t="shared" si="50"/>
        <v xml:space="preserve">								_ =&gt; _.Color,</v>
      </c>
      <c r="W16" s="63" t="str">
        <f t="shared" si="51"/>
        <v xml:space="preserve">				.WhereIf(!string.IsNullOrWhiteSpace(input.Color), e =&gt; e.Color.Contains(input.Color))</v>
      </c>
    </row>
    <row r="17" spans="1:23" customFormat="1" ht="18.75" customHeight="1" x14ac:dyDescent="0.25">
      <c r="A17" s="28" t="s">
        <v>370</v>
      </c>
      <c r="B17" s="28" t="s">
        <v>379</v>
      </c>
      <c r="C17" t="s">
        <v>1</v>
      </c>
      <c r="D17" t="str">
        <f t="shared" si="39"/>
        <v>SummerRadio</v>
      </c>
      <c r="E17" t="str">
        <f t="shared" si="40"/>
        <v>decimal</v>
      </c>
      <c r="F17" s="6"/>
      <c r="G17" t="str">
        <f t="shared" si="41"/>
        <v>18, 2</v>
      </c>
      <c r="H17" t="str">
        <f>+VLOOKUP(E17,'Data Type Mapping'!A:B,2,)</f>
        <v>decimal?</v>
      </c>
      <c r="I17" t="str">
        <f t="shared" si="42"/>
        <v/>
      </c>
      <c r="J17" t="str">
        <f t="shared" si="43"/>
        <v xml:space="preserve">		public virtual decimal? SummerRadio { get; set; }
</v>
      </c>
      <c r="K17" s="6"/>
      <c r="L17" t="str">
        <f t="shared" si="44"/>
        <v/>
      </c>
      <c r="M17" t="str">
        <f t="shared" si="45"/>
        <v xml:space="preserve">		public virtual decimal? SummerRadio { get; set; }
</v>
      </c>
      <c r="N17" t="str">
        <f t="shared" si="46"/>
        <v xml:space="preserve">		public virtual decimal? SummerRadio { get; set; }
</v>
      </c>
      <c r="O17" t="str">
        <f t="shared" si="47"/>
        <v/>
      </c>
      <c r="P17" t="str">
        <f t="shared" si="48"/>
        <v xml:space="preserve">							SummerRadio = o.SummerRadio,</v>
      </c>
      <c r="T17" s="63" t="str">
        <f t="shared" si="49"/>
        <v xml:space="preserve">								("SummerRadio"),</v>
      </c>
      <c r="V17" s="64" t="str">
        <f t="shared" si="50"/>
        <v xml:space="preserve">								_ =&gt; _.SummerRadio,</v>
      </c>
      <c r="W17" s="63" t="str">
        <f t="shared" si="51"/>
        <v/>
      </c>
    </row>
    <row r="18" spans="1:23" customFormat="1" ht="18.75" customHeight="1" x14ac:dyDescent="0.25">
      <c r="A18" s="28" t="s">
        <v>371</v>
      </c>
      <c r="B18" s="28" t="s">
        <v>379</v>
      </c>
      <c r="C18" t="s">
        <v>1</v>
      </c>
      <c r="D18" t="str">
        <f t="shared" si="39"/>
        <v>WinterRatio</v>
      </c>
      <c r="E18" t="str">
        <f t="shared" si="40"/>
        <v>decimal</v>
      </c>
      <c r="F18" s="6"/>
      <c r="G18" t="str">
        <f t="shared" si="41"/>
        <v>18, 2</v>
      </c>
      <c r="H18" t="str">
        <f>+VLOOKUP(E18,'Data Type Mapping'!A:B,2,)</f>
        <v>decimal?</v>
      </c>
      <c r="I18" t="str">
        <f t="shared" si="42"/>
        <v/>
      </c>
      <c r="J18" t="str">
        <f t="shared" si="43"/>
        <v xml:space="preserve">		public virtual decimal? WinterRatio { get; set; }
</v>
      </c>
      <c r="K18" s="6"/>
      <c r="L18" t="str">
        <f t="shared" si="44"/>
        <v/>
      </c>
      <c r="M18" t="str">
        <f t="shared" si="45"/>
        <v xml:space="preserve">		public virtual decimal? WinterRatio { get; set; }
</v>
      </c>
      <c r="N18" t="str">
        <f t="shared" si="46"/>
        <v xml:space="preserve">		public virtual decimal? WinterRatio { get; set; }
</v>
      </c>
      <c r="O18" t="str">
        <f t="shared" si="47"/>
        <v/>
      </c>
      <c r="P18" t="str">
        <f t="shared" si="48"/>
        <v xml:space="preserve">							WinterRatio = o.WinterRatio,</v>
      </c>
      <c r="T18" s="63" t="str">
        <f t="shared" si="49"/>
        <v xml:space="preserve">								("WinterRatio"),</v>
      </c>
      <c r="V18" s="64" t="str">
        <f t="shared" si="50"/>
        <v xml:space="preserve">								_ =&gt; _.WinterRatio,</v>
      </c>
      <c r="W18" s="63" t="str">
        <f t="shared" si="51"/>
        <v/>
      </c>
    </row>
    <row r="19" spans="1:23" customFormat="1" ht="18.75" customHeight="1" x14ac:dyDescent="0.25">
      <c r="A19" s="28" t="s">
        <v>372</v>
      </c>
      <c r="B19" s="28" t="s">
        <v>379</v>
      </c>
      <c r="C19" t="s">
        <v>1</v>
      </c>
      <c r="D19" t="str">
        <f t="shared" si="39"/>
        <v>DiffRatio</v>
      </c>
      <c r="E19" t="str">
        <f t="shared" si="40"/>
        <v>decimal</v>
      </c>
      <c r="F19" s="6"/>
      <c r="G19" t="str">
        <f t="shared" si="41"/>
        <v>18, 2</v>
      </c>
      <c r="H19" t="str">
        <f>+VLOOKUP(E19,'Data Type Mapping'!A:B,2,)</f>
        <v>decimal?</v>
      </c>
      <c r="I19" t="str">
        <f t="shared" si="42"/>
        <v/>
      </c>
      <c r="J19" t="str">
        <f t="shared" si="43"/>
        <v xml:space="preserve">		public virtual decimal? DiffRatio { get; set; }
</v>
      </c>
      <c r="K19" s="6"/>
      <c r="L19" t="str">
        <f t="shared" si="44"/>
        <v/>
      </c>
      <c r="M19" t="str">
        <f t="shared" si="45"/>
        <v xml:space="preserve">		public virtual decimal? DiffRatio { get; set; }
</v>
      </c>
      <c r="N19" t="str">
        <f t="shared" si="46"/>
        <v xml:space="preserve">		public virtual decimal? DiffRatio { get; set; }
</v>
      </c>
      <c r="O19" t="str">
        <f t="shared" si="47"/>
        <v/>
      </c>
      <c r="P19" t="str">
        <f t="shared" si="48"/>
        <v xml:space="preserve">							DiffRatio = o.DiffRatio,</v>
      </c>
      <c r="T19" s="63" t="str">
        <f t="shared" si="49"/>
        <v xml:space="preserve">								("DiffRatio"),</v>
      </c>
      <c r="V19" s="64" t="str">
        <f t="shared" si="50"/>
        <v xml:space="preserve">								_ =&gt; _.DiffRatio,</v>
      </c>
      <c r="W19" s="63" t="str">
        <f t="shared" si="51"/>
        <v/>
      </c>
    </row>
    <row r="20" spans="1:23" customFormat="1" ht="18.75" customHeight="1" x14ac:dyDescent="0.25">
      <c r="A20" s="28" t="s">
        <v>373</v>
      </c>
      <c r="B20" s="28" t="s">
        <v>352</v>
      </c>
      <c r="C20" t="s">
        <v>1</v>
      </c>
      <c r="D20" t="str">
        <f t="shared" ref="D20:D21" si="52">SUBSTITUTE(PROPER(A20),"_","")</f>
        <v>SeasonType</v>
      </c>
      <c r="E20" t="str">
        <f t="shared" ref="E20:E21" si="53">IFERROR(LEFT(B20, FIND("(",B20)-1),B20)</f>
        <v>varchar</v>
      </c>
      <c r="F20" s="6"/>
      <c r="G20" t="str">
        <f t="shared" ref="G20:G21" si="54">IFERROR(MID(B20,FIND("(",B20) +1, FIND(")",B20) - FIND("(",B20) - 1),"")</f>
        <v>50</v>
      </c>
      <c r="H20" t="str">
        <f>+VLOOKUP(E20,'Data Type Mapping'!A:B,2,)</f>
        <v>string</v>
      </c>
      <c r="I20" t="str">
        <f t="shared" ref="I20:I21" si="55">IF(H20="string",REPT(CHAR(9),2)&amp;"public const int Max"&amp;D20&amp;"Length = "&amp;G20&amp;";"&amp;$E$3,"" )</f>
        <v xml:space="preserve">		public const int MaxSeasonTypeLength = 50;
</v>
      </c>
      <c r="J20" t="str">
        <f t="shared" ref="J20:J21" si="56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[StringLength(MaxSeasonTypeLength)]
		public virtual string SeasonType { get; set; }
</v>
      </c>
      <c r="K20" s="6"/>
      <c r="L20" t="str">
        <f t="shared" ref="L20:L21" si="57">IF(K20="","",REPT(CHAR(9),1)&amp;"[Index(nameof("&amp;IF(D20="","",""&amp;D20)&amp;")"&amp;", Name="&amp;"""IX_"&amp;$B$7&amp;"_"&amp;D20&amp;""")]")</f>
        <v/>
      </c>
      <c r="M20" t="str">
        <f t="shared" ref="M20:M21" si="58">REPT(CHAR(9),2)&amp;"public virtual "&amp;IF(OR(H20="DateTime",H20="TimeSpan"),H20&amp;"?",H20)&amp;IF(C20="?","? "," ")&amp;D20&amp;" { get; set; }" &amp; "
"</f>
        <v xml:space="preserve">		public virtual string SeasonType { get; set; }
</v>
      </c>
      <c r="N20" t="str">
        <f t="shared" ref="N20:N21" si="59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[StringLength(InvGpsPartListConsts.MaxSeasonTypeLength)]
		public virtual string SeasonType { get; set; }
</v>
      </c>
      <c r="O20" t="str">
        <f t="shared" ref="O20:O21" si="60">IF(OR(H20="string",H20="DateTime",H20="int"),REPT(CHAR(9),2)&amp;"public virtual "&amp;IF(OR(H20="DateTime",H20="TimeSpan"),H20&amp;"?",H20)&amp;IF(C20="?","? "," ")&amp;D20&amp;" { get; set; }"&amp;$E$3,"")</f>
        <v xml:space="preserve">		public virtual string SeasonType { get; set; }
</v>
      </c>
      <c r="P20" t="str">
        <f t="shared" ref="P20:P21" si="61">REPT(CHAR(9),7)&amp;D20&amp;" = o." &amp;D20 &amp;","</f>
        <v xml:space="preserve">							SeasonType = o.SeasonType,</v>
      </c>
      <c r="T20" s="63" t="str">
        <f t="shared" ref="T20:T21" si="62">REPT(CHAR(9),8)&amp;"("""&amp;D20&amp;"""),"</f>
        <v xml:space="preserve">								("SeasonType"),</v>
      </c>
      <c r="V20" s="64" t="str">
        <f t="shared" ref="V20:V21" si="63">REPT(CHAR(9),8)&amp;"_ =&gt; _."&amp;D20&amp;","</f>
        <v xml:space="preserve">								_ =&gt; _.SeasonType,</v>
      </c>
      <c r="W20" s="63" t="str">
        <f t="shared" ref="W20:W21" si="64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 xml:space="preserve">				.WhereIf(!string.IsNullOrWhiteSpace(input.SeasonType), e =&gt; e.SeasonType.Contains(input.SeasonType))</v>
      </c>
    </row>
    <row r="21" spans="1:23" customFormat="1" ht="18.75" customHeight="1" x14ac:dyDescent="0.25">
      <c r="A21" s="28" t="s">
        <v>374</v>
      </c>
      <c r="B21" s="28" t="s">
        <v>380</v>
      </c>
      <c r="C21" t="s">
        <v>1</v>
      </c>
      <c r="D21" t="str">
        <f t="shared" si="52"/>
        <v>Remark</v>
      </c>
      <c r="E21" t="str">
        <f t="shared" si="53"/>
        <v>nvarchar</v>
      </c>
      <c r="F21" s="6"/>
      <c r="G21" t="str">
        <f t="shared" si="54"/>
        <v>5000</v>
      </c>
      <c r="H21" t="str">
        <f>+VLOOKUP(E21,'Data Type Mapping'!A:B,2,)</f>
        <v>string</v>
      </c>
      <c r="I21" t="str">
        <f t="shared" si="55"/>
        <v xml:space="preserve">		public const int MaxRemarkLength = 5000;
</v>
      </c>
      <c r="J21" t="str">
        <f t="shared" si="56"/>
        <v xml:space="preserve">		[StringLength(MaxRemarkLength)]
		public virtual string Remark { get; set; }
</v>
      </c>
      <c r="K21" s="6"/>
      <c r="L21" t="str">
        <f t="shared" si="57"/>
        <v/>
      </c>
      <c r="M21" t="str">
        <f t="shared" si="58"/>
        <v xml:space="preserve">		public virtual string Remark { get; set; }
</v>
      </c>
      <c r="N21" t="str">
        <f t="shared" si="59"/>
        <v xml:space="preserve">		[StringLength(InvGpsPartListConsts.MaxRemarkLength)]
		public virtual string Remark { get; set; }
</v>
      </c>
      <c r="O21" t="str">
        <f t="shared" si="60"/>
        <v xml:space="preserve">		public virtual string Remark { get; set; }
</v>
      </c>
      <c r="P21" t="str">
        <f t="shared" si="61"/>
        <v xml:space="preserve">							Remark = o.Remark,</v>
      </c>
      <c r="T21" s="63" t="str">
        <f t="shared" si="62"/>
        <v xml:space="preserve">								("Remark"),</v>
      </c>
      <c r="V21" s="64" t="str">
        <f t="shared" si="63"/>
        <v xml:space="preserve">								_ =&gt; _.Remark,</v>
      </c>
      <c r="W21" s="63" t="str">
        <f t="shared" si="64"/>
        <v xml:space="preserve">				.WhereIf(!string.IsNullOrWhiteSpace(input.Remark), e =&gt; e.Remark.Contains(input.Remark))</v>
      </c>
    </row>
    <row r="22" spans="1:23" customFormat="1" ht="18.75" customHeight="1" x14ac:dyDescent="0.25">
      <c r="A22" s="28" t="s">
        <v>378</v>
      </c>
      <c r="B22" s="28" t="s">
        <v>380</v>
      </c>
      <c r="C22" t="s">
        <v>1</v>
      </c>
      <c r="D22" t="str">
        <f t="shared" ref="D22" si="65">SUBSTITUTE(PROPER(A22),"_","")</f>
        <v>Remark1</v>
      </c>
      <c r="E22" t="str">
        <f t="shared" ref="E22" si="66">IFERROR(LEFT(B22, FIND("(",B22)-1),B22)</f>
        <v>nvarchar</v>
      </c>
      <c r="F22" s="6"/>
      <c r="G22" t="str">
        <f t="shared" ref="G22" si="67">IFERROR(MID(B22,FIND("(",B22) +1, FIND(")",B22) - FIND("(",B22) - 1),"")</f>
        <v>5000</v>
      </c>
      <c r="H22" t="str">
        <f>+VLOOKUP(E22,'Data Type Mapping'!A:B,2,)</f>
        <v>string</v>
      </c>
      <c r="I22" t="str">
        <f t="shared" ref="I22" si="68">IF(H22="string",REPT(CHAR(9),2)&amp;"public const int Max"&amp;D22&amp;"Length = "&amp;G22&amp;";"&amp;$E$3,"" )</f>
        <v xml:space="preserve">		public const int MaxRemark1Length = 5000;
</v>
      </c>
      <c r="J22" t="str">
        <f t="shared" ref="J22" si="69"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[StringLength(MaxRemark1Length)]
		public virtual string Remark1 { get; set; }
</v>
      </c>
      <c r="K22" s="6"/>
      <c r="L22" t="str">
        <f t="shared" ref="L22" si="70">IF(K22="","",REPT(CHAR(9),1)&amp;"[Index(nameof("&amp;IF(D22="","",""&amp;D22)&amp;")"&amp;", Name="&amp;"""IX_"&amp;$B$7&amp;"_"&amp;D22&amp;""")]")</f>
        <v/>
      </c>
      <c r="M22" t="str">
        <f t="shared" ref="M22" si="71">REPT(CHAR(9),2)&amp;"public virtual "&amp;IF(OR(H22="DateTime",H22="TimeSpan"),H22&amp;"?",H22)&amp;IF(C22="?","? "," ")&amp;D22&amp;" { get; set; }" &amp; "
"</f>
        <v xml:space="preserve">		public virtual string Remark1 { get; set; }
</v>
      </c>
      <c r="N22" t="str">
        <f t="shared" ref="N22" si="72"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[StringLength(InvGpsPartListConsts.MaxRemark1Length)]
		public virtual string Remark1 { get; set; }
</v>
      </c>
      <c r="O22" t="str">
        <f t="shared" ref="O22" si="73">IF(OR(H22="string",H22="DateTime",H22="int"),REPT(CHAR(9),2)&amp;"public virtual "&amp;IF(OR(H22="DateTime",H22="TimeSpan"),H22&amp;"?",H22)&amp;IF(C22="?","? "," ")&amp;D22&amp;" { get; set; }"&amp;$E$3,"")</f>
        <v xml:space="preserve">		public virtual string Remark1 { get; set; }
</v>
      </c>
      <c r="P22" t="str">
        <f t="shared" ref="P22" si="74">REPT(CHAR(9),7)&amp;D22&amp;" = o." &amp;D22 &amp;","</f>
        <v xml:space="preserve">							Remark1 = o.Remark1,</v>
      </c>
      <c r="T22" s="63" t="str">
        <f t="shared" ref="T22" si="75">REPT(CHAR(9),8)&amp;"("""&amp;D22&amp;"""),"</f>
        <v xml:space="preserve">								("Remark1"),</v>
      </c>
      <c r="V22" s="64" t="str">
        <f t="shared" ref="V22" si="76">REPT(CHAR(9),8)&amp;"_ =&gt; _."&amp;D22&amp;","</f>
        <v xml:space="preserve">								_ =&gt; _.Remark1,</v>
      </c>
      <c r="W22" s="63" t="str">
        <f t="shared" ref="W22" si="77"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 xml:space="preserve">				.WhereIf(!string.IsNullOrWhiteSpace(input.Remark1), e =&gt; e.Remark1.Contains(input.Remark1))</v>
      </c>
    </row>
    <row r="24" spans="1:23" ht="45.75" customHeight="1" x14ac:dyDescent="0.25">
      <c r="H24" s="11"/>
      <c r="I24" s="31" t="str">
        <f ca="1">TEXTJOIN2("
", TRUE,INDIRECT( $H$1):INDIRECT( $H$3))</f>
        <v xml:space="preserve">		public const int MaxPartNoLength = 50;
		public const int MaxPartNoNormalizedLength = 100;
		public const int MaxPartNameLength = 100;
		public const int MaxSupplierNoLength = 50;
		public const int MaxUomLength = 50;
		public const int MaxTypeLength = 50;
		public const int MaxColorLength = 3;
		public const int MaxSeasonTypeLength = 50;
		public const int MaxRemarkLength = 5000;
		public const int MaxRemark1Length = 5000;
</v>
      </c>
      <c r="J24" s="30" t="str">
        <f ca="1">TEXTJOIN2("
", TRUE,INDIRECT( $F$1):INDIRECT( $F$3))</f>
        <v xml:space="preserve">		[StringLength(MaxPartNoLength)]
		public virtual string PartNo { get; set; }
		[StringLength(MaxPartNoNormalizedLength)]
		public virtual string PartNoNormalized { get; set; }
		[StringLength(MaxPartNameLength)]
		public virtual string PartName { get; set; }
		[StringLength(MaxSupplierNoLength)]
		public virtual string SupplierNo { get; set; }
		[StringLength(MaxUomLength)]
		public virtual string Uom { get; set; }
		[StringLength(MaxTypeLength)]
		public virtual string Type { get; set; }
		public virtual int? BoxQty { get; set; }
		[StringLength(MaxColorLength)]
		public virtual string Color { get; set; }
		public virtual decimal? SummerRadio { get; set; }
		public virtual decimal? WinterRatio { get; set; }
		public virtual decimal? DiffRatio { get; set; }
		[StringLength(MaxSeasonTypeLength)]
		public virtual string SeasonType { get; set; }
		[StringLength(MaxRemarkLength)]
		public virtual string Remark { get; set; }
		[StringLength(MaxRemark1Length)]
		public virtual string Remark1 { get; set; }
</v>
      </c>
      <c r="K24" s="32" t="str">
        <f ca="1">TEXTJOIN2("
", TRUE,INDIRECT( $J$1):INDIRECT( $J$3))</f>
        <v/>
      </c>
      <c r="L24" s="12" t="s">
        <v>56</v>
      </c>
      <c r="M24" s="33" t="str">
        <f ca="1">TEXTJOIN2("
",TRUE,INDIRECT( $L$1):INDIRECT($L$3))</f>
        <v xml:space="preserve">		public virtual string PartNo { get; set; }
		public virtual string PartNoNormalized { get; set; }
		public virtual string PartName { get; set; }
		public virtual string SupplierNo { get; set; }
		public virtual string Uom { get; set; }
		public virtual string Type { get; set; }
		public virtual int? BoxQty { get; set; }
		public virtual string Color { get; set; }
		public virtual decimal? SummerRadio { get; set; }
		public virtual decimal? WinterRatio { get; set; }
		public virtual decimal? DiffRatio { get; set; }
		public virtual string SeasonType { get; set; }
		public virtual string Remark { get; set; }
		public virtual string Remark1 { get; set; }
</v>
      </c>
      <c r="N24" s="30" t="str">
        <f ca="1">TEXTJOIN2("
",TRUE,INDIRECT( $M$1):INDIRECT($M$3))</f>
        <v xml:space="preserve">		[StringLength(InvGpsPartListConsts.MaxPartNoLength)]
		public virtual string PartNo { get; set; }
		[StringLength(InvGpsPartListConsts.MaxPartNoNormalizedLength)]
		public virtual string PartNoNormalized { get; set; }
		[StringLength(InvGpsPartListConsts.MaxPartNameLength)]
		public virtual string PartName { get; set; }
		[StringLength(InvGpsPartListConsts.MaxSupplierNoLength)]
		public virtual string SupplierNo { get; set; }
		[StringLength(InvGpsPartListConsts.MaxUomLength)]
		public virtual string Uom { get; set; }
		[StringLength(InvGpsPartListConsts.MaxTypeLength)]
		public virtual string Type { get; set; }
		public virtual int? BoxQty { get; set; }
		[StringLength(InvGpsPartListConsts.MaxColorLength)]
		public virtual string Color { get; set; }
		public virtual decimal? SummerRadio { get; set; }
		public virtual decimal? WinterRatio { get; set; }
		public virtual decimal? DiffRatio { get; set; }
		[StringLength(InvGpsPartListConsts.MaxSeasonTypeLength)]
		public virtual string SeasonType { get; set; }
		[StringLength(InvGpsPartListConsts.MaxRemarkLength)]
		public virtual string Remark { get; set; }
		[StringLength(InvGpsPartListConsts.MaxRemark1Length)]
		public virtual string Remark1 { get; set; }
</v>
      </c>
      <c r="O24" s="30" t="str">
        <f ca="1">TEXTJOIN2("
",TRUE,INDIRECT( $N$1):INDIRECT($N$3))</f>
        <v xml:space="preserve">		public virtual string PartNo { get; set; }
		public virtual string PartNoNormalized { get; set; }
		public virtual string PartName { get; set; }
		public virtual string SupplierNo { get; set; }
		public virtual string Uom { get; set; }
		public virtual string Type { get; set; }
		public virtual string Color { get; set; }
		public virtual string SeasonType { get; set; }
		public virtual string Remark { get; set; }
		public virtual string Remark1 { get; set; }
</v>
      </c>
      <c r="P24" s="8" t="str">
        <f ca="1">TEXTJOIN2("
",TRUE,INDIRECT( $O$1):INDIRECT($O$3))</f>
        <v xml:space="preserve">							PartNo = o.PartNo,
							PartNoNormalized = o.PartNoNormalized,
							PartName = o.PartName,
							SupplierNo = o.SupplierNo,
							Uom = o.Uom,
							Type = o.Type,
							BoxQty = o.BoxQty,
							Color = o.Color,
							SummerRadio = o.SummerRadio,
							WinterRatio = o.WinterRatio,
							DiffRatio = o.DiffRatio,
							SeasonType = o.SeasonType,
							Remark = o.Remark,
							Remark1 = o.Remark1,</v>
      </c>
      <c r="T24" s="8" t="str">
        <f ca="1">TEXTJOIN2("
",TRUE,INDIRECT( $T$2):INDIRECT($T$3))</f>
        <v xml:space="preserve">								("PartNo"),
								("PartNoNormalized"),
								("PartName"),
								("SupplierNo"),
								("Uom"),
								("Type"),
								("BoxQty"),
								("Color"),
								("SummerRadio"),
								("WinterRatio"),
								("DiffRatio"),
								("SeasonType"),
								("Remark"),
								("Remark1"),</v>
      </c>
      <c r="V24" s="8" t="str">
        <f ca="1">TEXTJOIN2("
",TRUE,INDIRECT( $V$2):INDIRECT($V$3))</f>
        <v xml:space="preserve">								_ =&gt; _.PartNo,
								_ =&gt; _.PartNoNormalized,
								_ =&gt; _.PartName,
								_ =&gt; _.SupplierNo,
								_ =&gt; _.Uom,
								_ =&gt; _.Type,
								_ =&gt; _.BoxQty,
								_ =&gt; _.Color,
								_ =&gt; _.SummerRadio,
								_ =&gt; _.WinterRatio,
								_ =&gt; _.DiffRatio,
								_ =&gt; _.SeasonType,
								_ =&gt; _.Remark,
								_ =&gt; _.Remark1,</v>
      </c>
      <c r="W24" s="8" t="str">
        <f ca="1">TEXTJOIN2("
",TRUE,INDIRECT( $W$2):INDIRECT($W$3))</f>
        <v xml:space="preserve">				.WhereIf(!string.IsNullOrWhiteSpace(input.PartNo), e =&gt; e.PartNo.Contains(input.PartNo))
				.WhereIf(!string.IsNullOrWhiteSpace(input.PartNoNormalized), e =&gt; e.PartNoNormalized.Contains(input.PartNoNormalized))
				.WhereIf(!string.IsNullOrWhiteSpace(input.PartName), e =&gt; e.PartName.Contains(input.PartName))
				.WhereIf(!string.IsNullOrWhiteSpace(input.SupplierNo), e =&gt; e.SupplierNo.Contains(input.SupplierNo))
				.WhereIf(!string.IsNullOrWhiteSpace(input.Uom), e =&gt; e.Uom.Contains(input.Uom))
				.WhereIf(!string.IsNullOrWhiteSpace(input.Type), e =&gt; e.Type.Contains(input.Type))
				.WhereIf(!string.IsNullOrWhiteSpace(input.Color), e =&gt; e.Color.Contains(input.Color))
				.WhereIf(!string.IsNullOrWhiteSpace(input.SeasonType), e =&gt; e.SeasonType.Contains(input.SeasonType))
				.WhereIf(!string.IsNullOrWhiteSpace(input.Remark), e =&gt; e.Remark.Contains(input.Remark))
				.WhereIf(!string.IsNullOrWhiteSpace(input.Remark1), e =&gt; e.Remark1.Contains(input.Remark1))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"/>
  <sheetViews>
    <sheetView workbookViewId="0">
      <selection activeCell="G33" sqref="G33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207</v>
      </c>
      <c r="B1" s="39" t="s">
        <v>350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GPS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gps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InvGpsPartList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GpsPartList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gpspartlist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InvGpsPartListDto, InvGpsPartListServiceProxy } from '@shared/service-proxies/service-proxies';
import { finalize } from 'rxjs/internal/operators/finalize';
import { CreateOrEditGpsPartListModalComponent } from './create-or-edit-gpspartlist-modal.component';
import { DatePipe } from '@angular/common';
import { FileDownloadService } from '@shared/utils/file-download.service';
import ceil from 'lodash-es/ceil';
import { Paginator } from 'primeng/paginator';
@Component({
    templateUrl: './gpspartlist.component.html',
    styleUrls: ['./gpspartlist.component.less'],
})
export class GpsPartListComponent extends AppComponentBase implements OnInit {
    @ViewChild('createOrEditModalGpsPartList', { static: true }) createOrEditModalGpsPartList:| CreateOrEditGpsPartListModalComponent|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InvGpsPartListDto = new InvGpsPartListDto();
    saveSelectedRow: InvGpsPartListDto = new InvGpsPartListDto();
    datas: InvGpsPartListDto = new InvGpsPartListDto();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partNoNormalized : string = '' ; 
	partName : string = '' ; 
	supplierNo : string = '' ; 
	uom : string = '' ; 
	type : string = '' ; 
	color : string = '' ; 
	seasonType : string = '' ; 
	remark : string = '' ; 
	remark1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InvGpsPartListServiceProxy,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No Normalized'),headerTooltip: this.l('Part No Normalized'),field: 'partNoNormalized',flex: 1},
			{headerName: this.l('Part Name'),headerTooltip: this.l('Part Name'),field: 'partName',flex: 1},
			{headerName: this.l('Supplier No'),headerTooltip: this.l('Supplier No'),field: 'supplierNo',flex: 1},
			{headerName: this.l('Uom'),headerTooltip: this.l('Uom'),field: 'uom',flex: 1},
			{headerName: this.l('Type'),headerTooltip: this.l('Type'),field: 'type',flex: 1},
			{headerName: this.l('Box Qty'),headerTooltip: this.l('Box Qty'),field: 'boxQty',flex: 1},
			{headerName: this.l('Color'),headerTooltip: this.l('Color'),field: 'color',flex: 1},
			{headerName: this.l('Summer Radio'),headerTooltip: this.l('Summer Radio'),field: 'summerRadio',flex: 1},
			{headerName: this.l('Winter Ratio'),headerTooltip: this.l('Winter Ratio'),field: 'winterRatio',flex: 1},
			{headerName: this.l('Diff Ratio'),headerTooltip: this.l('Diff Ratio'),field: 'diffRatio',flex: 1},
			{headerName: this.l('Season Type'),headerTooltip: this.l('Season Type'),field: 'seasonType',flex: 1},
			{headerName: this.l('Remark'),headerTooltip: this.l('Remark'),field: 'remark',flex: 1},
			{headerName: this.l('Remark1'),headerTooltip: this.l('Remark1'),field: 'remark1',flex: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this.partNo,
			this.partNoNormalized,
			this.partName,
			this.supplierNo,
			this.uom,
			this.boxQty,
			this.diffRatio,
			this.type,
			this.boxQty,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partNo : string = '' ; 
	partNoNormalized : string = '' ; 
	partName : string = '' ; 
	supplierNo : string = '' ; 
	uom : string = '' ; 
	type : string = '' ; 
	color : string = '' ; 
	seasonType : string = '' ; 
	remark : string = '' ; 
	remark1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this.partNo,
			this.partNoNormalized,
			this.partName,
			this.supplierNo,
			this.uom,
			this.boxQty,
			this.diffRatio,
			this.type,
			this.boxQty,
			'',
            this.paginationParams.skipCount,
            this.paginationParams.pageSize
        );
    }
    onChangeRowSelection(params: { api: { getSelectedRows: () =&gt; InvGpsPartListDto[] } }) {
        this.saveSelectedRow = params.api.getSelectedRows()[0] ?? new InvGpsPartListDto();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InvGpsPartListDto):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this._service.getGpsPartListToExcel(
			this.,
			this.partNo,
			this.partNoNormalized,
			this.partName,
			this.supplierNo,
			this.uom,
			this.boxQty,
			this.diffRatio,
			this.type,
			this.boxQty,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Frame Enginer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[(ngModel)]='uom' name='uom'
									class='form-control' [placeholder]="l('Uom')"
									type='text' (keyup.enter)='searchDatas()'&gt;
								&lt;/div&gt;
								&lt;div class='input-search'&gt;
									&lt;input [(ngModel)]='type' name='type'
									class='form-control' [placeholder]="l('Type')"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[(ngModel)]='seasonType' name='seasonType'
									class='form-control' [placeholder]="l('Season Type')"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								&lt;div class='input-search'&gt;
									&lt;input [(ngModel)]='remark1' name='remark1'
									class='form-control' [placeholder]="l('Remark1')"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(click)="createOrEditModalGpsPartList.show()"&gt;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(click)="createOrEditModalGpsPartList.show(selectedRow)"&gt;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&lt;create-or-edit-gpspartlist-modal
    #createOrEditModalGpsPartList
    (modalSave)="callBackDataGrid(dataParams)"
    (modalClose)="onChangeRowSelection(dataParams)"
&gt;
&lt;/create-or-edit-gpspartlist-modal&gt;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#createOrEditModalGpsPartList="bs-modal"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GpsPartList')}}&lt;/h3&gt;
                    &lt;h3 *ngIf="!rowdata.id"&gt;{{('Create New GpsPartList')}}&lt;/h3&gt;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title'&gt;Uom&lt;/label&gt;
						&lt;input type='text' class='col-md-10 form-control input-text' name='Uom' [(ngModel)]='rowdata.uom'&gt;
					&lt;/div&gt;
					&lt;div class='col-md-12 form-group row'&gt;
						&lt;label class='col-md-2 form-control title'&gt;Type&lt;/label&gt;
						&lt;input type='text' class='col-md-10 form-control input-text' name='Type' [(ngModel)]='rowdata.type'&gt;
					&lt;/div&gt;
					&lt;div class='col-md-12 form-group row'&gt;
						&lt;label class='col-md-2 form-control title'&gt;Box Qty&lt;/label&gt;
						&lt;input type='number' class='col-md-10 form-control input-text' name='BoxQty' [(ngModel)]='rowdata.boxQty'&gt;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title'&gt;Season Type&lt;/label&gt;
						&lt;input type='text' class='col-md-10 form-control input-text' name='SeasonType' [(ngModel)]='rowdata.seasonType'&gt;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title'&gt;Remark1&lt;/label&gt;
						&lt;input type='text' class='col-md-10 form-control input-text' name='Remark1' [(ngModel)]='rowdata.remark1'&gt;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CreateOrEditInvGpsPartListDto, InvGpsPartListServiceProxy } from '@shared/service-proxies/service-proxies';
import { BsDatepickerDirective } from 'ngx-bootstrap/datepicker';
@Component({
    selector: 'create-or-edit-gpspartlist-modal',
    templateUrl: './create-or-edit-gpspartlist-modal.component.html',
    styleUrls: ['./create-or-edit-gpspartlist-modal.component.less']
    })
export class CreateOrEditGpsPartListModalComponent extends AppComponentBase {
    @ViewChild('createOrEditModalGpsPartList',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CreateOrEditInvGpsPartListDto = new CreateOrEditInvGpsPartListDto();
    active: boolean = false;
    saving: boolean = false;
    _: boolean;
    constructor(
        injector: Injector,
        private _mstwptGpsPartListService: InvGpsPartListServiceProxy,
    ) 
    {
        super(injector);
    }
    show(rowdata?: CreateOrEditInvGpsPartListDto): void {
        if (!rowdata) this.rowdata = new CreateOrEditInvGpsPartListDto();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this._mstwptGpsPartListService.createOrEdit(this.rowdata)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GpsPartListRoutingModule } from './gpspartlist-routing.module';
import { GpsPartListComponent } from './gpspartlist.component';
import { CreateOrEditGpsPartListModalComponent } from './create-or-edit-gpspartlist-modal.component';
@NgModule({
    declarations: [
       GpsPartListComponent, 
        CreateOrEditGpsPartListModalComponent
    ],
    imports: [
        AppSharedModule, GpsPartListRoutingModule]
})
export class GpsPartListModule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GpsPartListComponent } from './gpspartlist.component';
const routes: Routes = [{
    path: '',
    component: GpsPartListComponent,
    pathMatch: 'full'
}];
@NgModule({
    imports: [RouterModule.forChild(routes)],
    exports: [RouterModule],
})
export class GpsPartListRoutingModule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AppMenuItem("GpsPartList", "Pages.Inventory.GPS.GpsPartList", "flaticon-book",   "/app/main/inventory/gps/gpspartlist"),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'inventory/gps/gpspartlist',
    loadChildren: () =&gt; import('./inventory/gps/gpspartlist/gpspartlist.module').then(m =&gt; m.GpsPartListModule),
    data: { permission: 'Pages.Inventory.GPS.GpsPartList' }
},</v>
      </c>
      <c r="R10" s="47" t="str">
        <f>SUBSTITUTE(R9,"MstWptCalendar",$B$6)</f>
        <v>ApiServiceProxies.InvGpsPartListServiceProxy,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H28</v>
      </c>
      <c r="I12" s="28" t="str">
        <f>"I"&amp;COUNTA($A:$A)</f>
        <v>I28</v>
      </c>
      <c r="J12" s="28"/>
      <c r="K12" s="28" t="str">
        <f>"K"&amp;COUNTA($A:$A)</f>
        <v>K28</v>
      </c>
      <c r="L12" s="28" t="str">
        <f>"L"&amp;COUNTA($A:$A)</f>
        <v>L28</v>
      </c>
      <c r="M12" s="28"/>
      <c r="N12" s="28"/>
      <c r="O12" s="28"/>
      <c r="P12" s="28"/>
      <c r="Q12" s="28"/>
      <c r="R12" s="28"/>
      <c r="S12" s="28" t="str">
        <f>"S"&amp;COUNTA($A:$A)</f>
        <v>S28</v>
      </c>
      <c r="T12" s="28" t="str">
        <f>"T"&amp;COUNTA($A:$A)</f>
        <v>T28</v>
      </c>
      <c r="U12" s="28" t="str">
        <f>"U"&amp;COUNTA($A:$A)</f>
        <v>U28</v>
      </c>
      <c r="V12" s="28" t="str">
        <f>"V"&amp;COUNTA($A:$A)</f>
        <v>V28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this.l('Part No'),headerTooltip: this.l('Part No'),field: 'partNo',flex: 1},
			{headerName: this.l('Part No Normalized'),headerTooltip: this.l('Part No Normalized'),field: 'partNoNormalized',flex: 1},
			{headerName: this.l('Part Name'),headerTooltip: this.l('Part Name'),field: 'partName',flex: 1},
			{headerName: this.l('Supplier No'),headerTooltip: this.l('Supplier No'),field: 'supplierNo',flex: 1},
			{headerName: this.l('Uom'),headerTooltip: this.l('Uom'),field: 'uom',flex: 1},
			{headerName: this.l('Type'),headerTooltip: this.l('Type'),field: 'type',flex: 1},
			{headerName: this.l('Box Qty'),headerTooltip: this.l('Box Qty'),field: 'boxQty',flex: 1},
			{headerName: this.l('Color'),headerTooltip: this.l('Color'),field: 'color',flex: 1},
			{headerName: this.l('Summer Radio'),headerTooltip: this.l('Summer Radio'),field: 'summerRadio',flex: 1},
			{headerName: this.l('Winter Ratio'),headerTooltip: this.l('Winter Ratio'),field: 'winterRatio',flex: 1},
			{headerName: this.l('Diff Ratio'),headerTooltip: this.l('Diff Ratio'),field: 'diffRatio',flex: 1},
			{headerName: this.l('Season Type'),headerTooltip: this.l('Season Type'),field: 'seasonType',flex: 1},
			{headerName: this.l('Remark'),headerTooltip: this.l('Remark'),field: 'remark',flex: 1},
			{headerName: this.l('Remark1'),headerTooltip: this.l('Remark1'),field: 'remark1',flex: 1},</v>
      </c>
      <c r="I13" s="35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[(ngModel)]='uom' name='uom'
									class='form-control' [placeholder]="l('Uom')"
									type='text' (keyup.enter)='searchDatas()'&gt;
								&lt;/div&gt;
								&lt;div class='input-search'&gt;
									&lt;input [(ngModel)]='type' name='type'
									class='form-control' [placeholder]="l('Type')"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[(ngModel)]='seasonType' name='seasonType'
									class='form-control' [placeholder]="l('Season Type')"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								&lt;div class='input-search'&gt;
									&lt;input [(ngModel)]='remark1' name='remark1'
									class='form-control' [placeholder]="l('Remark1')"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title'&gt;Uom&lt;/label&gt;
						&lt;input type='text' class='col-md-10 form-control input-text' name='Uom' [(ngModel)]='rowdata.uom'&gt;
					&lt;/div&gt;
					&lt;div class='col-md-12 form-group row'&gt;
						&lt;label class='col-md-2 form-control title'&gt;Type&lt;/label&gt;
						&lt;input type='text' class='col-md-10 form-control input-text' name='Type' [(ngModel)]='rowdata.type'&gt;
					&lt;/div&gt;
					&lt;div class='col-md-12 form-group row'&gt;
						&lt;label class='col-md-2 form-control title'&gt;Box Qty&lt;/label&gt;
						&lt;input type='number' class='col-md-10 form-control input-text' name='BoxQty' [(ngModel)]='rowdata.boxQty'&gt;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title'&gt;Season Type&lt;/label&gt;
						&lt;input type='text' class='col-md-10 form-control input-text' name='SeasonType' [(ngModel)]='rowdata.seasonType'&gt;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title'&gt;Remark1&lt;/label&gt;
						&lt;input type='text' class='col-md-10 form-control input-text' name='Remark1' [(ngModel)]='rowdata.remark1'&gt;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partNo : string = '' ; 
	partNoNormalized : string = '' ; 
	partName : string = '' ; 
	supplierNo : string = '' ; 
	uom : string = '' ; 
	type : string = '' ; 
	color : string = '' ; 
	seasonType : string = '' ; 
	remark : string = '' ; 
	remark1 : string = '' ; </v>
      </c>
      <c r="T13" s="62" t="str">
        <f ca="1">TEXTJOIN2("
",TRUE,INDIRECT(T11):INDIRECT(T12))</f>
        <v xml:space="preserve">			this.,
			this.partNo,
			this.partNoNormalized,
			this.partName,
			this.supplierNo,
			this.uom,
			this.boxQty,
			this.diffRatio,
			this.type,
			this.boxQty,</v>
      </c>
      <c r="U13" s="62" t="str">
        <f ca="1">TEXTJOIN2("
",TRUE,INDIRECT(U11):INDIRECT(U12))</f>
        <v xml:space="preserve">	partNo : string = '' ; 
	partNoNormalized : string = '' ; 
	partName : string = '' ; 
	supplierNo : string = '' ; 
	uom : string = '' ; 
	type : string = '' ; 
	color : string = '' ; 
	seasonType : string = '' ; 
	remark : string = '' ; 
	remark1 : string = '' ; </v>
      </c>
      <c r="V13" s="28" t="str">
        <f ca="1">TEXTJOIN2("
",TRUE,INDIRECT(V11):INDIRECT(V12))</f>
        <v/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gpspartlist.component.ts</v>
      </c>
      <c r="I14" s="37" t="str">
        <f>B8&amp;".component.html"</f>
        <v>gpspartlist.component.html</v>
      </c>
      <c r="J14" s="36" t="str">
        <f>B8&amp;".component.less"</f>
        <v>gpspartlist.component.less</v>
      </c>
      <c r="K14" s="37" t="str">
        <f>"create-or-edit-"&amp;B8&amp;"-modal.component.html"</f>
        <v>create-or-edit-gpspartlist-modal.component.html</v>
      </c>
      <c r="L14" s="37" t="str">
        <f>"create-or-edit-"&amp;B8&amp;"-modal.component.ts"</f>
        <v>create-or-edit-gpspartlist-modal.component.ts</v>
      </c>
      <c r="M14" s="37" t="str">
        <f>"create-or-edit-"&amp;B8&amp;"-modal.component.less"</f>
        <v>create-or-edit-gpspartlist-modal.component.less</v>
      </c>
      <c r="N14" s="37" t="str">
        <f>B8&amp;".module.ts"</f>
        <v>gpspartlist.module.ts</v>
      </c>
      <c r="O14" s="37" t="str">
        <f>B8&amp;"-routing.module.ts"</f>
        <v>gpspartlist-routing.module.ts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t="s">
        <v>360</v>
      </c>
      <c r="B15" s="28" t="str">
        <f t="shared" ref="B15" si="0">SUBSTITUTE(PROPER(A15),"_","")</f>
        <v>PartNo</v>
      </c>
      <c r="C15" s="28" t="str">
        <f t="shared" ref="C15" si="1">SUBSTITUTE(PROPER(A15),"_"," ")</f>
        <v>Part No</v>
      </c>
      <c r="D15" s="28" t="str">
        <f t="shared" ref="D15" si="2">LOWER(LEFT(B15,1))&amp;RIGHT(B15,LEN(B15) - 1)</f>
        <v>partNo</v>
      </c>
      <c r="E15" s="28" t="str">
        <f>A.Backend!H9</f>
        <v>string</v>
      </c>
      <c r="F15" s="28" t="str">
        <f>A.Backend!G9</f>
        <v>50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5" t="str">
        <f t="shared" ref="I15:I27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partNo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partNo : string = '' ; </v>
      </c>
      <c r="V15" s="28" t="str">
        <f t="shared" ref="V15" si="7">IF(AND(E15="string",F15="1"),D15,"")</f>
        <v/>
      </c>
    </row>
    <row r="16" spans="1:22" ht="18" customHeight="1" x14ac:dyDescent="0.25">
      <c r="A16" t="s">
        <v>361</v>
      </c>
      <c r="B16" s="28" t="str">
        <f t="shared" ref="B16:B27" si="8">SUBSTITUTE(PROPER(A16),"_","")</f>
        <v>PartNoNormalized</v>
      </c>
      <c r="C16" s="28" t="str">
        <f t="shared" ref="C16:C27" si="9">SUBSTITUTE(PROPER(A16),"_"," ")</f>
        <v>Part No Normalized</v>
      </c>
      <c r="D16" s="28" t="str">
        <f t="shared" ref="D16:D27" si="10">LOWER(LEFT(B16,1))&amp;RIGHT(B16,LEN(B16) - 1)</f>
        <v>partNoNormalized</v>
      </c>
      <c r="E16" s="28" t="str">
        <f>A.Backend!H10</f>
        <v>string</v>
      </c>
      <c r="F16" s="28" t="str">
        <f>A.Backend!G10</f>
        <v>100</v>
      </c>
      <c r="G16" s="28" t="str">
        <f t="shared" ref="G16:G27" si="11">IF(E16="string"," : string = '' ; ",IF(OR(E16="DateTime",E16="TimeSpan")," : any ;",IF(E16="int"," : number = 0 ;","")))</f>
        <v xml:space="preserve"> : string = '' ; </v>
      </c>
      <c r="H16" s="35" t="str">
        <f t="shared" ref="H16:H27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this.l('Part No Normalized'),headerTooltip: this.l('Part No Normalized'),field: 'partNoNormalized',flex: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[(ngModel)]='partNoNormalized' name='partNoNormalized'
									class='form-control' [placeholder]="l('Part No Normalized')"
									type='text' (keyup.enter)='searchDatas()'&gt;
								&lt;/div&gt;</v>
      </c>
      <c r="J16" s="28"/>
      <c r="K16" s="35" t="str">
        <f t="shared" ref="K16:K27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7" si="15">IF(AND(E16="string",F16 &lt;&gt;"1"),(REPT(CHAR(9),1)&amp;D16&amp;G16),"")</f>
        <v xml:space="preserve">	partNoNormalized : string = '' ; </v>
      </c>
      <c r="T16" s="28" t="str">
        <f>IF(AND(E16="string",F16 &lt;&gt;"1"),(REPT(CHAR(9),3)&amp;"this."&amp;D15&amp;","),"")</f>
        <v xml:space="preserve">			this.partNo,</v>
      </c>
      <c r="U16" s="28" t="str">
        <f t="shared" ref="U16:U27" si="16">IF(AND(E16="string",F16 &lt;&gt;"1"),(REPT(CHAR(9),1)&amp;D16&amp;G16),"")</f>
        <v xml:space="preserve">	partNoNormalized : string = '' ; </v>
      </c>
      <c r="V16" s="28" t="str">
        <f t="shared" ref="V16:V27" si="17">IF(AND(E16="string",F16="1"),D16,"")</f>
        <v/>
      </c>
    </row>
    <row r="17" spans="1:22" ht="18" customHeight="1" x14ac:dyDescent="0.25">
      <c r="A17" t="s">
        <v>363</v>
      </c>
      <c r="B17" s="28" t="str">
        <f t="shared" si="8"/>
        <v>PartName</v>
      </c>
      <c r="C17" s="28" t="str">
        <f t="shared" si="9"/>
        <v>Part Name</v>
      </c>
      <c r="D17" s="28" t="str">
        <f t="shared" si="10"/>
        <v>partName</v>
      </c>
      <c r="E17" s="28" t="str">
        <f>A.Backend!H11</f>
        <v>string</v>
      </c>
      <c r="F17" s="28" t="str">
        <f>A.Backend!G11</f>
        <v>100</v>
      </c>
      <c r="G17" s="28" t="str">
        <f t="shared" si="11"/>
        <v xml:space="preserve"> : string = '' ; </v>
      </c>
      <c r="H17" s="35" t="str">
        <f t="shared" si="12"/>
        <v xml:space="preserve">			{headerName: this.l('Part Name'),headerTooltip: this.l('Part Name'),field: 'partName',flex: 1},</v>
      </c>
      <c r="I17" s="35" t="str">
        <f t="shared" si="5"/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7" s="28"/>
      <c r="K17" s="35" t="str">
        <f t="shared" si="13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5"/>
        <v xml:space="preserve">	partName : string = '' ; </v>
      </c>
      <c r="T17" s="28" t="str">
        <f t="shared" ref="T17:T20" si="18">IF(AND(E17="string",F17 &lt;&gt;"1"),(REPT(CHAR(9),3)&amp;"this."&amp;D16&amp;","),"")</f>
        <v xml:space="preserve">			this.partNoNormalized,</v>
      </c>
      <c r="U17" s="28" t="str">
        <f t="shared" si="16"/>
        <v xml:space="preserve">	partName : string = '' ; </v>
      </c>
      <c r="V17" s="28" t="str">
        <f t="shared" si="17"/>
        <v/>
      </c>
    </row>
    <row r="18" spans="1:22" ht="15" customHeight="1" x14ac:dyDescent="0.25">
      <c r="A18" t="s">
        <v>364</v>
      </c>
      <c r="B18" s="28" t="str">
        <f t="shared" si="8"/>
        <v>SupplierNo</v>
      </c>
      <c r="C18" s="28" t="str">
        <f t="shared" si="9"/>
        <v>Supplier No</v>
      </c>
      <c r="D18" s="28" t="str">
        <f t="shared" si="10"/>
        <v>supplierNo</v>
      </c>
      <c r="E18" s="28" t="str">
        <f>A.Backend!H12</f>
        <v>string</v>
      </c>
      <c r="F18" s="28" t="str">
        <f>A.Backend!G12</f>
        <v>50</v>
      </c>
      <c r="G18" s="28" t="str">
        <f t="shared" si="11"/>
        <v xml:space="preserve"> : string = '' ; </v>
      </c>
      <c r="H18" s="35" t="str">
        <f t="shared" si="12"/>
        <v xml:space="preserve">			{headerName: this.l('Supplier No'),headerTooltip: this.l('Supplier No'),field: 'supplierNo',flex: 1},</v>
      </c>
      <c r="I18" s="35" t="str">
        <f t="shared" si="5"/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8" s="28"/>
      <c r="K18" s="35" t="str">
        <f t="shared" si="13"/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8" s="56" t="str">
        <f t="shared" ref="L18:L27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5"/>
        <v xml:space="preserve">	supplierNo : string = '' ; </v>
      </c>
      <c r="T18" s="28" t="str">
        <f t="shared" si="18"/>
        <v xml:space="preserve">			this.partName,</v>
      </c>
      <c r="U18" s="28" t="str">
        <f t="shared" si="16"/>
        <v xml:space="preserve">	supplierNo : string = '' ; </v>
      </c>
      <c r="V18" s="28" t="str">
        <f t="shared" si="17"/>
        <v/>
      </c>
    </row>
    <row r="19" spans="1:22" ht="18" customHeight="1" x14ac:dyDescent="0.25">
      <c r="A19" t="s">
        <v>365</v>
      </c>
      <c r="B19" s="28" t="str">
        <f t="shared" si="8"/>
        <v>Uom</v>
      </c>
      <c r="C19" s="28" t="str">
        <f t="shared" si="9"/>
        <v>Uom</v>
      </c>
      <c r="D19" s="28" t="str">
        <f t="shared" si="10"/>
        <v>uom</v>
      </c>
      <c r="E19" s="28" t="str">
        <f>A.Backend!H13</f>
        <v>string</v>
      </c>
      <c r="F19" s="28" t="str">
        <f>A.Backend!G13</f>
        <v>50</v>
      </c>
      <c r="G19" s="28" t="str">
        <f t="shared" si="11"/>
        <v xml:space="preserve"> : string = '' ; </v>
      </c>
      <c r="H19" s="35" t="str">
        <f t="shared" si="12"/>
        <v xml:space="preserve">			{headerName: this.l('Uom'),headerTooltip: this.l('Uom'),field: 'uom',flex: 1},</v>
      </c>
      <c r="I19" s="35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[(ngModel)]='uom' name='uom'
									class='form-control' [placeholder]="l('Uom')"
									type='text' (keyup.enter)='searchDatas()'&gt;
								&lt;/div&gt;</v>
      </c>
      <c r="J19" s="28"/>
      <c r="K19" s="35" t="str">
        <f t="shared" si="13"/>
        <v xml:space="preserve">					&lt;div class='col-md-12 form-group row'&gt;
						&lt;label class='col-md-2 form-control title'&gt;Uom&lt;/label&gt;
						&lt;input type='text' class='col-md-10 form-control input-text' name='Uom' [(ngModel)]='rowdata.uom'&gt;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5"/>
        <v xml:space="preserve">	uom : string = '' ; </v>
      </c>
      <c r="T19" s="28" t="str">
        <f t="shared" si="18"/>
        <v xml:space="preserve">			this.supplierNo,</v>
      </c>
      <c r="U19" s="28" t="str">
        <f t="shared" si="16"/>
        <v xml:space="preserve">	uom : string = '' ; </v>
      </c>
      <c r="V19" s="28" t="str">
        <f t="shared" si="17"/>
        <v/>
      </c>
    </row>
    <row r="20" spans="1:22" ht="15" customHeight="1" x14ac:dyDescent="0.25">
      <c r="A20" t="s">
        <v>366</v>
      </c>
      <c r="B20" s="28" t="str">
        <f t="shared" si="8"/>
        <v>Type</v>
      </c>
      <c r="C20" s="28" t="str">
        <f t="shared" si="9"/>
        <v>Type</v>
      </c>
      <c r="D20" s="28" t="str">
        <f t="shared" si="10"/>
        <v>type</v>
      </c>
      <c r="E20" s="28" t="str">
        <f>A.Backend!H14</f>
        <v>string</v>
      </c>
      <c r="F20" s="28" t="str">
        <f>A.Backend!G14</f>
        <v>50</v>
      </c>
      <c r="G20" s="28" t="str">
        <f t="shared" si="11"/>
        <v xml:space="preserve"> : string = '' ; </v>
      </c>
      <c r="H20" s="35" t="str">
        <f t="shared" si="12"/>
        <v xml:space="preserve">			{headerName: this.l('Type'),headerTooltip: this.l('Type'),field: 'type',flex: 1},</v>
      </c>
      <c r="I20" s="35" t="str">
        <f t="shared" si="5"/>
        <v xml:space="preserve">								&lt;div class='input-search'&gt;
									&lt;input [(ngModel)]='type' name='type'
									class='form-control' [placeholder]="l('Type')"
									type='text' (keyup.enter)='searchDatas()'&gt;
								&lt;/div&gt;</v>
      </c>
      <c r="J20" s="28"/>
      <c r="K20" s="35" t="str">
        <f t="shared" si="13"/>
        <v xml:space="preserve">					&lt;div class='col-md-12 form-group row'&gt;
						&lt;label class='col-md-2 form-control title'&gt;Type&lt;/label&gt;
						&lt;input type='text' class='col-md-10 form-control input-text' name='Type' [(ngModel)]='rowdata.type'&gt;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5"/>
        <v xml:space="preserve">	type : string = '' ; </v>
      </c>
      <c r="T20" s="28" t="str">
        <f t="shared" si="18"/>
        <v xml:space="preserve">			this.uom,</v>
      </c>
      <c r="U20" s="28" t="str">
        <f t="shared" si="16"/>
        <v xml:space="preserve">	type : string = '' ; </v>
      </c>
      <c r="V20" s="28" t="str">
        <f t="shared" si="17"/>
        <v/>
      </c>
    </row>
    <row r="21" spans="1:22" ht="15" customHeight="1" x14ac:dyDescent="0.25">
      <c r="A21" t="s">
        <v>367</v>
      </c>
      <c r="B21" s="28" t="str">
        <f t="shared" si="8"/>
        <v>BoxQty</v>
      </c>
      <c r="C21" s="28" t="str">
        <f t="shared" si="9"/>
        <v>Box Qty</v>
      </c>
      <c r="D21" s="28" t="str">
        <f t="shared" si="10"/>
        <v>boxQty</v>
      </c>
      <c r="E21" s="28" t="str">
        <f>A.Backend!H15</f>
        <v>int?</v>
      </c>
      <c r="F21" s="28" t="str">
        <f>A.Backend!G15</f>
        <v/>
      </c>
      <c r="G21" s="28" t="str">
        <f t="shared" si="11"/>
        <v/>
      </c>
      <c r="H21" s="35" t="str">
        <f t="shared" si="12"/>
        <v xml:space="preserve">			{headerName: this.l('Box Qty'),headerTooltip: this.l('Box Qty'),field: 'boxQty',flex: 1},</v>
      </c>
      <c r="I21" s="35" t="str">
        <f t="shared" ref="I21" si="20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IF(AND(E21="string",F21 &lt;&gt;"1"),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/>
      </c>
      <c r="J21" s="28"/>
      <c r="K21" s="35" t="str">
        <f>IF(OR(E21="DateTime?",E21="TimeSpan?"),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IF(OR(E21="int?",E21="long?"),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title'&gt;Box Qty&lt;/label&gt;
						&lt;input type='number' class='col-md-10 form-control input-text' name='BoxQty' [(ngModel)]='rowdata.boxQty'&gt;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>IF(AND(E21="string",F21 &lt;&gt;"1"),(REPT(CHAR(9),1)&amp;D21&amp;G21),"")</f>
        <v/>
      </c>
      <c r="T21" s="28" t="str">
        <f>IF(AND(E21="string",F21 &lt;&gt;"1"),(REPT(CHAR(9),3)&amp;"this."&amp;D20&amp;","),"")</f>
        <v/>
      </c>
      <c r="U21" s="28" t="str">
        <f>IF(AND(E21="string",F21 &lt;&gt;"1"),(REPT(CHAR(9),1)&amp;D21&amp;G21),"")</f>
        <v/>
      </c>
      <c r="V21" s="28" t="str">
        <f t="shared" si="17"/>
        <v/>
      </c>
    </row>
    <row r="22" spans="1:22" ht="18" customHeight="1" x14ac:dyDescent="0.25">
      <c r="A22" t="s">
        <v>368</v>
      </c>
      <c r="B22" s="28" t="str">
        <f t="shared" ref="B22:B26" si="21">SUBSTITUTE(PROPER(A22),"_","")</f>
        <v>Color</v>
      </c>
      <c r="C22" s="28" t="str">
        <f t="shared" ref="C22:C26" si="22">SUBSTITUTE(PROPER(A22),"_"," ")</f>
        <v>Color</v>
      </c>
      <c r="D22" s="28" t="str">
        <f t="shared" ref="D22:D26" si="23">LOWER(LEFT(B22,1))&amp;RIGHT(B22,LEN(B22) - 1)</f>
        <v>color</v>
      </c>
      <c r="E22" s="28" t="str">
        <f>A.Backend!H16</f>
        <v>string</v>
      </c>
      <c r="F22" s="28" t="str">
        <f>A.Backend!G16</f>
        <v>3</v>
      </c>
      <c r="G22" s="28" t="str">
        <f t="shared" ref="G22:G26" si="24">IF(E22="string"," : string = '' ; ",IF(OR(E22="DateTime",E22="TimeSpan")," : any ;",IF(E22="int"," : number = 0 ;","")))</f>
        <v xml:space="preserve"> : string = '' ; </v>
      </c>
      <c r="H22" s="35" t="str">
        <f t="shared" ref="H22:H26" si="25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this.l('Color'),headerTooltip: this.l('Color'),field: 'color',flex: 1},</v>
      </c>
      <c r="I22" s="35" t="str">
        <f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IF(AND(E22="string",F22 &lt;&gt;"1"),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[(ngModel)]='color' name='color'
									class='form-control' [placeholder]="l('Color')"
									type='text' (keyup.enter)='searchDatas()'&gt;
								&lt;/div&gt;</v>
      </c>
      <c r="J22" s="28"/>
      <c r="K22" s="35" t="str">
        <f t="shared" ref="K22:K26" si="26">IF(OR(E22="DateTime?",E22="TimeSpan?"),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IF(OR(E22="int?",E22="long?"),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title'&gt;Color&lt;/label&gt;
						&lt;input type='text' class='col-md-10 form-control input-text' name='Color' [(ngModel)]='rowdata.color'&gt;
					&lt;/div&gt;</v>
      </c>
      <c r="L22" s="56" t="str">
        <f t="shared" si="19"/>
        <v/>
      </c>
      <c r="M22" s="28"/>
      <c r="N22" s="28"/>
      <c r="O22" s="28"/>
      <c r="P22" s="28"/>
      <c r="Q22" s="28"/>
      <c r="R22" s="28"/>
      <c r="S22" s="28" t="str">
        <f t="shared" ref="S22:S26" si="27">IF(AND(E22="string",F22 &lt;&gt;"1"),(REPT(CHAR(9),1)&amp;D22&amp;G22),"")</f>
        <v xml:space="preserve">	color : string = '' ; </v>
      </c>
      <c r="T22" s="28" t="str">
        <f>IF(AND(E22="string",F22 &lt;&gt;"1"),(REPT(CHAR(9),3)&amp;"this."&amp;D21&amp;","),"")</f>
        <v xml:space="preserve">			this.boxQty,</v>
      </c>
      <c r="U22" s="28" t="str">
        <f t="shared" ref="U22:U26" si="28">IF(AND(E22="string",F22 &lt;&gt;"1"),(REPT(CHAR(9),1)&amp;D22&amp;G22),"")</f>
        <v xml:space="preserve">	color : string = '' ; </v>
      </c>
      <c r="V22" s="28" t="str">
        <f t="shared" ref="V22:V26" si="29">IF(AND(E22="string",F22="1"),D22,"")</f>
        <v/>
      </c>
    </row>
    <row r="23" spans="1:22" ht="18" customHeight="1" x14ac:dyDescent="0.25">
      <c r="A23" t="s">
        <v>370</v>
      </c>
      <c r="B23" s="28" t="str">
        <f t="shared" si="21"/>
        <v>SummerRadio</v>
      </c>
      <c r="C23" s="28" t="str">
        <f t="shared" si="22"/>
        <v>Summer Radio</v>
      </c>
      <c r="D23" s="28" t="str">
        <f t="shared" si="23"/>
        <v>summerRadio</v>
      </c>
      <c r="E23" s="28" t="str">
        <f>A.Backend!H17</f>
        <v>decimal?</v>
      </c>
      <c r="F23" s="28" t="str">
        <f>A.Backend!G17</f>
        <v>18, 2</v>
      </c>
      <c r="G23" s="28" t="str">
        <f t="shared" si="24"/>
        <v/>
      </c>
      <c r="H23" s="35" t="str">
        <f t="shared" si="25"/>
        <v xml:space="preserve">			{headerName: this.l('Summer Radio'),headerTooltip: this.l('Summer Radio'),field: 'summerRadio',flex: 1},</v>
      </c>
      <c r="I23" s="35" t="str">
        <f t="shared" ref="I23:I24" si="30"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IF(AND(E23="string",F23 &lt;&gt;"1"),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/>
      </c>
      <c r="J23" s="28"/>
      <c r="K23" s="35" t="str">
        <f t="shared" si="26"/>
        <v/>
      </c>
      <c r="L23" s="56" t="str">
        <f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27"/>
        <v/>
      </c>
      <c r="T23" s="28" t="str">
        <f t="shared" ref="T23:T26" si="31">IF(AND(E23="string",F23 &lt;&gt;"1"),(REPT(CHAR(9),3)&amp;"this."&amp;D22&amp;","),"")</f>
        <v/>
      </c>
      <c r="U23" s="28" t="str">
        <f t="shared" si="28"/>
        <v/>
      </c>
      <c r="V23" s="28" t="str">
        <f t="shared" si="29"/>
        <v/>
      </c>
    </row>
    <row r="24" spans="1:22" ht="15" customHeight="1" x14ac:dyDescent="0.25">
      <c r="A24" t="s">
        <v>371</v>
      </c>
      <c r="B24" s="28" t="str">
        <f t="shared" si="21"/>
        <v>WinterRatio</v>
      </c>
      <c r="C24" s="28" t="str">
        <f t="shared" si="22"/>
        <v>Winter Ratio</v>
      </c>
      <c r="D24" s="28" t="str">
        <f t="shared" si="23"/>
        <v>winterRatio</v>
      </c>
      <c r="E24" s="28" t="str">
        <f>A.Backend!H18</f>
        <v>decimal?</v>
      </c>
      <c r="F24" s="28" t="str">
        <f>A.Backend!G18</f>
        <v>18, 2</v>
      </c>
      <c r="G24" s="28" t="str">
        <f t="shared" si="24"/>
        <v/>
      </c>
      <c r="H24" s="35" t="str">
        <f t="shared" si="25"/>
        <v xml:space="preserve">			{headerName: this.l('Winter Ratio'),headerTooltip: this.l('Winter Ratio'),field: 'winterRatio',flex: 1},</v>
      </c>
      <c r="I24" s="35" t="str">
        <f t="shared" si="30"/>
        <v/>
      </c>
      <c r="J24" s="28"/>
      <c r="K24" s="35" t="str">
        <f t="shared" si="26"/>
        <v/>
      </c>
      <c r="L24" s="56" t="str">
        <f t="shared" ref="L24:L26" si="32">IF(E24="DateTime",
REPT(CHAR(9),2)&amp;"const dateValue =  this.rowdata."&amp;D24&amp;" ? new Date(this.rowdata."&amp;D24&amp;"?.toString()) : new Date();
"&amp;REPT(CHAR(9),2)&amp;"this.datepicker?.bsValueChange.emit(dateValue);","")</f>
        <v/>
      </c>
      <c r="M24" s="28"/>
      <c r="N24" s="28"/>
      <c r="O24" s="28"/>
      <c r="P24" s="28"/>
      <c r="Q24" s="28"/>
      <c r="R24" s="28"/>
      <c r="S24" s="28" t="str">
        <f t="shared" si="27"/>
        <v/>
      </c>
      <c r="T24" s="28" t="str">
        <f t="shared" si="31"/>
        <v/>
      </c>
      <c r="U24" s="28" t="str">
        <f t="shared" si="28"/>
        <v/>
      </c>
      <c r="V24" s="28" t="str">
        <f t="shared" si="29"/>
        <v/>
      </c>
    </row>
    <row r="25" spans="1:22" ht="18" customHeight="1" x14ac:dyDescent="0.25">
      <c r="A25" t="s">
        <v>372</v>
      </c>
      <c r="B25" s="28" t="str">
        <f t="shared" si="21"/>
        <v>DiffRatio</v>
      </c>
      <c r="C25" s="28" t="str">
        <f t="shared" si="22"/>
        <v>Diff Ratio</v>
      </c>
      <c r="D25" s="28" t="str">
        <f t="shared" si="23"/>
        <v>diffRatio</v>
      </c>
      <c r="E25" s="28" t="str">
        <f>A.Backend!H19</f>
        <v>decimal?</v>
      </c>
      <c r="F25" s="28" t="str">
        <f>A.Backend!G19</f>
        <v>18, 2</v>
      </c>
      <c r="G25" s="28" t="str">
        <f t="shared" si="24"/>
        <v/>
      </c>
      <c r="H25" s="35" t="str">
        <f t="shared" si="25"/>
        <v xml:space="preserve">			{headerName: this.l('Diff Ratio'),headerTooltip: this.l('Diff Ratio'),field: 'diffRatio',flex: 1},</v>
      </c>
      <c r="I25" s="35" t="str">
        <f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IF(AND(E25="string",F25 &lt;&gt;"1"),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/>
      </c>
      <c r="J25" s="28"/>
      <c r="K25" s="35" t="str">
        <f t="shared" si="26"/>
        <v/>
      </c>
      <c r="L25" s="56" t="str">
        <f t="shared" si="32"/>
        <v/>
      </c>
      <c r="M25" s="28"/>
      <c r="N25" s="28"/>
      <c r="O25" s="28"/>
      <c r="P25" s="28"/>
      <c r="Q25" s="28"/>
      <c r="R25" s="28"/>
      <c r="S25" s="28" t="str">
        <f t="shared" si="27"/>
        <v/>
      </c>
      <c r="T25" s="28" t="str">
        <f t="shared" si="31"/>
        <v/>
      </c>
      <c r="U25" s="28" t="str">
        <f t="shared" si="28"/>
        <v/>
      </c>
      <c r="V25" s="28" t="str">
        <f t="shared" si="29"/>
        <v/>
      </c>
    </row>
    <row r="26" spans="1:22" ht="15" customHeight="1" x14ac:dyDescent="0.25">
      <c r="A26" t="s">
        <v>373</v>
      </c>
      <c r="B26" s="28" t="str">
        <f t="shared" si="21"/>
        <v>SeasonType</v>
      </c>
      <c r="C26" s="28" t="str">
        <f t="shared" si="22"/>
        <v>Season Type</v>
      </c>
      <c r="D26" s="28" t="str">
        <f t="shared" si="23"/>
        <v>seasonType</v>
      </c>
      <c r="E26" s="28" t="str">
        <f>A.Backend!H20</f>
        <v>string</v>
      </c>
      <c r="F26" s="28" t="str">
        <f>A.Backend!G20</f>
        <v>50</v>
      </c>
      <c r="G26" s="28" t="str">
        <f t="shared" si="24"/>
        <v xml:space="preserve"> : string = '' ; </v>
      </c>
      <c r="H26" s="35" t="str">
        <f t="shared" si="25"/>
        <v xml:space="preserve">			{headerName: this.l('Season Type'),headerTooltip: this.l('Season Type'),field: 'seasonType',flex: 1},</v>
      </c>
      <c r="I26" s="35" t="str">
        <f t="shared" ref="I26" si="33">IF(E26="DateTime",
REPT(CHAR(9),8)&amp;"&lt;div class='input-search'&gt;
"&amp;REPT(CHAR(9),9)&amp;"&lt;input type='text' [placeholder]=""l('"&amp;C26&amp;"')"" [(ngModel)]='"&amp;D26&amp;"' 
"&amp;REPT(CHAR(9),9)&amp;"name='"&amp;D26&amp;"'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IF(AND(E26="string",F26 &lt;&gt;"1"),
REPT(CHAR(9),8)&amp;"&lt;div class='input-search'&gt;
"&amp;REPT(CHAR(9),9)&amp;"&lt;input [(ngModel)]='"&amp;D26&amp;"' name='"&amp;D26&amp;"'
"&amp;REPT(CHAR(9),9)&amp;"class='form-control' [placeholder]=""l('"&amp;C26&amp;"')""
"&amp;REPT(CHAR(9),9)&amp;"type='text' (keyup.enter)='searchDatas()'&gt;
"&amp;REPT(CHAR(9),8)&amp;"&lt;/div&gt;",""))</f>
        <v xml:space="preserve">								&lt;div class='input-search'&gt;
									&lt;input [(ngModel)]='seasonType' name='seasonType'
									class='form-control' [placeholder]="l('Season Type')"
									type='text' (keyup.enter)='searchDatas()'&gt;
								&lt;/div&gt;</v>
      </c>
      <c r="J26" s="28"/>
      <c r="K26" s="35" t="str">
        <f t="shared" si="26"/>
        <v xml:space="preserve">					&lt;div class='col-md-12 form-group row'&gt;
						&lt;label class='col-md-2 form-control title'&gt;Season Type&lt;/label&gt;
						&lt;input type='text' class='col-md-10 form-control input-text' name='SeasonType' [(ngModel)]='rowdata.seasonType'&gt;
					&lt;/div&gt;</v>
      </c>
      <c r="L26" s="56" t="str">
        <f t="shared" si="32"/>
        <v/>
      </c>
      <c r="M26" s="28"/>
      <c r="N26" s="28"/>
      <c r="O26" s="28"/>
      <c r="P26" s="28"/>
      <c r="Q26" s="28"/>
      <c r="R26" s="28"/>
      <c r="S26" s="28" t="str">
        <f t="shared" si="27"/>
        <v xml:space="preserve">	seasonType : string = '' ; </v>
      </c>
      <c r="T26" s="28" t="str">
        <f t="shared" si="31"/>
        <v xml:space="preserve">			this.diffRatio,</v>
      </c>
      <c r="U26" s="28" t="str">
        <f t="shared" si="28"/>
        <v xml:space="preserve">	seasonType : string = '' ; </v>
      </c>
      <c r="V26" s="28" t="str">
        <f t="shared" si="29"/>
        <v/>
      </c>
    </row>
    <row r="27" spans="1:22" ht="18" customHeight="1" x14ac:dyDescent="0.25">
      <c r="A27" t="s">
        <v>374</v>
      </c>
      <c r="B27" s="28" t="str">
        <f t="shared" si="8"/>
        <v>Remark</v>
      </c>
      <c r="C27" s="28" t="str">
        <f t="shared" si="9"/>
        <v>Remark</v>
      </c>
      <c r="D27" s="28" t="str">
        <f t="shared" si="10"/>
        <v>remark</v>
      </c>
      <c r="E27" s="28" t="str">
        <f>A.Backend!H21</f>
        <v>string</v>
      </c>
      <c r="F27" s="28" t="str">
        <f>A.Backend!G21</f>
        <v>5000</v>
      </c>
      <c r="G27" s="28" t="str">
        <f t="shared" ref="G27:G28" si="34">IF(E27="string"," : string = '' ; ",IF(OR(E27="DateTime",E27="TimeSpan")," : any ;",IF(E27="int"," : number = 0 ;","")))</f>
        <v xml:space="preserve"> : string = '' ; </v>
      </c>
      <c r="H27" s="35" t="str">
        <f t="shared" si="12"/>
        <v xml:space="preserve">			{headerName: this.l('Remark'),headerTooltip: this.l('Remark'),field: 'remark',flex: 1},</v>
      </c>
      <c r="I27" s="35" t="str">
        <f t="shared" si="5"/>
        <v xml:space="preserve">								&lt;div class='input-search'&gt;
									&lt;input [(ngModel)]='remark' name='remark'
									class='form-control' [placeholder]="l('Remark')"
									type='text' (keyup.enter)='searchDatas()'&gt;
								&lt;/div&gt;</v>
      </c>
      <c r="J27" s="28"/>
      <c r="K27" s="35" t="str">
        <f t="shared" si="13"/>
        <v xml:space="preserve">					&lt;div class='col-md-12 form-group row'&gt;
						&lt;label class='col-md-2 form-control title'&gt;Remark&lt;/label&gt;
						&lt;input type='text' class='col-md-10 form-control input-text' name='Remark' [(ngModel)]='rowdata.remark'&gt;
					&lt;/div&gt;</v>
      </c>
      <c r="L27" s="56" t="str">
        <f t="shared" si="19"/>
        <v/>
      </c>
      <c r="M27" s="28"/>
      <c r="N27" s="28"/>
      <c r="O27" s="28"/>
      <c r="P27" s="28"/>
      <c r="Q27" s="28"/>
      <c r="R27" s="28"/>
      <c r="S27" s="28" t="str">
        <f t="shared" si="15"/>
        <v xml:space="preserve">	remark : string = '' ; </v>
      </c>
      <c r="T27" s="28" t="str">
        <f>IF(AND(E27="string",F27 &lt;&gt;"1"),(REPT(CHAR(9),3)&amp;"this."&amp;D20&amp;","),"")</f>
        <v xml:space="preserve">			this.type,</v>
      </c>
      <c r="U27" s="28" t="str">
        <f t="shared" si="16"/>
        <v xml:space="preserve">	remark : string = '' ; </v>
      </c>
      <c r="V27" s="28" t="str">
        <f t="shared" si="17"/>
        <v/>
      </c>
    </row>
    <row r="28" spans="1:22" ht="18" customHeight="1" x14ac:dyDescent="0.25">
      <c r="A28" t="s">
        <v>378</v>
      </c>
      <c r="B28" s="28" t="str">
        <f t="shared" ref="B28" si="35">SUBSTITUTE(PROPER(A28),"_","")</f>
        <v>Remark1</v>
      </c>
      <c r="C28" s="28" t="str">
        <f t="shared" ref="C28" si="36">SUBSTITUTE(PROPER(A28),"_"," ")</f>
        <v>Remark1</v>
      </c>
      <c r="D28" s="28" t="str">
        <f t="shared" ref="D28" si="37">LOWER(LEFT(B28,1))&amp;RIGHT(B28,LEN(B28) - 1)</f>
        <v>remark1</v>
      </c>
      <c r="E28" s="28" t="str">
        <f>A.Backend!H22</f>
        <v>string</v>
      </c>
      <c r="F28" s="28" t="str">
        <f>A.Backend!G22</f>
        <v>5000</v>
      </c>
      <c r="G28" s="28" t="str">
        <f t="shared" si="34"/>
        <v xml:space="preserve"> : string = '' ; </v>
      </c>
      <c r="H28" s="35" t="str">
        <f t="shared" ref="H28" si="38">IF(E28="DateTime",
REPT(CHAR(9),3)&amp;"{headerName: this.l('"&amp;C28&amp;"'),headerTooltip: this.l('"&amp;C28&amp;"'),field: '"&amp;D28&amp;"',valueGetter: (params) =&gt; this.pipe.transform(params.data?."&amp;D28&amp;", 'dd/MM/yyyy'),flex: 1},",
IF(AND(E28="string",F28="1"),
REPT(CHAR(9),3)&amp;"{headerName: this.l('"&amp;C28&amp;"'),headerTooltip: this.l('"&amp;C28&amp;"'),field:  '"&amp;D28&amp;"', cellClass: ['text-center'], width: 120, cellRenderer: 'agCellButtonComponent',
buttonDefTwo: { text: params =&gt; (params.data?.'"&amp;D28&amp;"' == 'Y') ? 'Active' : 'Inactive',iconName: 'fa fa-circle',className: params =&gt; (params.data?.'"&amp;D28&amp;"' == 'Y') ? 'btnActive' : 'btnInActive',},}",
REPT(CHAR(9),3)&amp;"{headerName: this.l('"&amp;C28&amp;"'),headerTooltip: this.l('"&amp;C28&amp;"'),field: '"&amp;D28&amp;"',flex: 1},"))</f>
        <v xml:space="preserve">			{headerName: this.l('Remark1'),headerTooltip: this.l('Remark1'),field: 'remark1',flex: 1},</v>
      </c>
      <c r="I28" s="35" t="str">
        <f t="shared" ref="I28" si="39">IF(E28="DateTime",
REPT(CHAR(9),8)&amp;"&lt;div class='input-search'&gt;
"&amp;REPT(CHAR(9),9)&amp;"&lt;input type='text' [placeholder]=""l('"&amp;C28&amp;"')"" [(ngModel)]='"&amp;D28&amp;"' 
"&amp;REPT(CHAR(9),9)&amp;"name='"&amp;D28&amp;"'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IF(AND(E28="string",F28 &lt;&gt;"1"),
REPT(CHAR(9),8)&amp;"&lt;div class='input-search'&gt;
"&amp;REPT(CHAR(9),9)&amp;"&lt;input [(ngModel)]='"&amp;D28&amp;"' name='"&amp;D28&amp;"'
"&amp;REPT(CHAR(9),9)&amp;"class='form-control' [placeholder]=""l('"&amp;C28&amp;"')""
"&amp;REPT(CHAR(9),9)&amp;"type='text' (keyup.enter)='searchDatas()'&gt;
"&amp;REPT(CHAR(9),8)&amp;"&lt;/div&gt;",""))</f>
        <v xml:space="preserve">								&lt;div class='input-search'&gt;
									&lt;input [(ngModel)]='remark1' name='remark1'
									class='form-control' [placeholder]="l('Remark1')"
									type='text' (keyup.enter)='searchDatas()'&gt;
								&lt;/div&gt;</v>
      </c>
      <c r="J28" s="28"/>
      <c r="K28" s="35" t="str">
        <f t="shared" ref="K28" si="40">IF(OR(E28="DateTime?",E28="TimeSpan?"),
REPT(CHAR(9),5)&amp;"&lt;div class='col-md-12 form-group row'&gt;
"&amp;REPT(CHAR(9),6)&amp;"&lt;label class='col-md-2 form-control title'&gt;"&amp;C28&amp;"&lt;/label&gt;
"&amp;REPT(CHAR(9),6)&amp;"&lt;input type='text' class='col-md-10 form-control input-text' name='"&amp;D28&amp;"' 
"&amp;REPT(CHAR(9),6)&amp;"#datepicker='bsDatepicker' [(ngModel)]='rowdata."&amp;D28&amp;"'  bsDatepicker &gt;
"&amp;REPT(CHAR(9),5)&amp;"&lt;/div&gt;",
IF(AND(E28="string",F28="1"),
REPT(CHAR(9),5)&amp;"&lt;div class='col-md-12 form-group row'&gt;
"&amp;REPT(CHAR(9),6)&amp;"&lt;label class='col-md-2 form-control title'&gt;"&amp;C28&amp;"&lt;/label&gt;
"&amp;REPT(CHAR(9),6)&amp;"&lt;new-checkbox [(ngModel)]='_"&amp;D28&amp;"' name='"&amp;D28&amp;"' className='col-md-10' &gt; &lt;/new-checkbox&gt;
"&amp;REPT(CHAR(9),5)&amp;"&lt;/div&gt;",
IF(E28="string",
REPT(CHAR(9),5)&amp;"&lt;div class='col-md-12 form-group row'&gt;
"&amp;REPT(CHAR(9),6)&amp;"&lt;label class='col-md-2 form-control title'&gt;"&amp;C28&amp;"&lt;/label&gt;
"&amp;REPT(CHAR(9),6)&amp;"&lt;input type='text' class='col-md-10 form-control input-text' name='"&amp;B28&amp;"' [(ngModel)]='rowdata."&amp;D28&amp;"'&gt;
"&amp;REPT(CHAR(9),5)&amp;"&lt;/div&gt;",
IF(OR(E28="int?",E28="long?"),
REPT(CHAR(9),5)&amp;"&lt;div class='col-md-12 form-group row'&gt;
"&amp;REPT(CHAR(9),6)&amp;"&lt;label class='col-md-2 form-control title'&gt;"&amp;C28&amp;"&lt;/label&gt;
"&amp;REPT(CHAR(9),6)&amp;"&lt;input type='number' class='col-md-10 form-control input-text' name='"&amp;B28&amp;"' [(ngModel)]='rowdata."&amp;D28&amp;"'&gt;
"&amp;REPT(CHAR(9),5)&amp;"&lt;/div&gt;",""))))</f>
        <v xml:space="preserve">					&lt;div class='col-md-12 form-group row'&gt;
						&lt;label class='col-md-2 form-control title'&gt;Remark1&lt;/label&gt;
						&lt;input type='text' class='col-md-10 form-control input-text' name='Remark1' [(ngModel)]='rowdata.remark1'&gt;
					&lt;/div&gt;</v>
      </c>
      <c r="L28" s="56" t="str">
        <f t="shared" ref="L28" si="41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ref="S28" si="42">IF(AND(E28="string",F28 &lt;&gt;"1"),(REPT(CHAR(9),1)&amp;D28&amp;G28),"")</f>
        <v xml:space="preserve">	remark1 : string = '' ; </v>
      </c>
      <c r="T28" s="28" t="str">
        <f>IF(AND(E28="string",F28 &lt;&gt;"1"),(REPT(CHAR(9),3)&amp;"this."&amp;D21&amp;","),"")</f>
        <v xml:space="preserve">			this.boxQty,</v>
      </c>
      <c r="U28" s="28" t="str">
        <f t="shared" ref="U28" si="43">IF(AND(E28="string",F28 &lt;&gt;"1"),(REPT(CHAR(9),1)&amp;D28&amp;G28),"")</f>
        <v xml:space="preserve">	remark1 : string = '' ; </v>
      </c>
      <c r="V28" s="28" t="str">
        <f t="shared" ref="V28" si="44">IF(AND(E28="string",F28="1"),D28,"")</f>
        <v/>
      </c>
    </row>
    <row r="2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351</v>
      </c>
    </row>
    <row r="6" spans="1:2" x14ac:dyDescent="0.25">
      <c r="A6" t="s">
        <v>23</v>
      </c>
      <c r="B6" t="s">
        <v>349</v>
      </c>
    </row>
    <row r="7" spans="1:2" x14ac:dyDescent="0.25">
      <c r="A7" t="s">
        <v>24</v>
      </c>
      <c r="B7" t="s">
        <v>344</v>
      </c>
    </row>
    <row r="8" spans="1:2" x14ac:dyDescent="0.25">
      <c r="A8" t="s">
        <v>4</v>
      </c>
      <c r="B8" t="s">
        <v>344</v>
      </c>
    </row>
    <row r="9" spans="1:2" x14ac:dyDescent="0.25">
      <c r="A9" t="s">
        <v>0</v>
      </c>
      <c r="B9" t="s">
        <v>345</v>
      </c>
    </row>
    <row r="10" spans="1:2" x14ac:dyDescent="0.25">
      <c r="A10" t="s">
        <v>25</v>
      </c>
      <c r="B10" t="s">
        <v>348</v>
      </c>
    </row>
    <row r="11" spans="1:2" x14ac:dyDescent="0.25">
      <c r="A11" t="s">
        <v>26</v>
      </c>
      <c r="B11" t="s">
        <v>348</v>
      </c>
    </row>
    <row r="12" spans="1:2" x14ac:dyDescent="0.25">
      <c r="A12" t="s">
        <v>27</v>
      </c>
      <c r="B12" t="s">
        <v>348</v>
      </c>
    </row>
    <row r="13" spans="1:2" x14ac:dyDescent="0.25">
      <c r="A13" t="s">
        <v>28</v>
      </c>
      <c r="B13" t="s">
        <v>348</v>
      </c>
    </row>
    <row r="14" spans="1:2" x14ac:dyDescent="0.25">
      <c r="A14" t="s">
        <v>29</v>
      </c>
      <c r="B14" t="s">
        <v>348</v>
      </c>
    </row>
    <row r="15" spans="1:2" x14ac:dyDescent="0.25">
      <c r="A15" t="s">
        <v>30</v>
      </c>
      <c r="B15" t="s">
        <v>348</v>
      </c>
    </row>
    <row r="16" spans="1:2" x14ac:dyDescent="0.25">
      <c r="A16" t="s">
        <v>31</v>
      </c>
      <c r="B16" t="s">
        <v>346</v>
      </c>
    </row>
    <row r="17" spans="1:2" x14ac:dyDescent="0.25">
      <c r="A17" t="s">
        <v>3</v>
      </c>
      <c r="B17" t="s">
        <v>346</v>
      </c>
    </row>
    <row r="18" spans="1:2" x14ac:dyDescent="0.25">
      <c r="A18" t="s">
        <v>33</v>
      </c>
      <c r="B18" t="s">
        <v>346</v>
      </c>
    </row>
    <row r="19" spans="1:2" x14ac:dyDescent="0.25">
      <c r="A19" t="s">
        <v>2</v>
      </c>
      <c r="B19" t="s">
        <v>346</v>
      </c>
    </row>
    <row r="20" spans="1:2" x14ac:dyDescent="0.25">
      <c r="A20" t="s">
        <v>262</v>
      </c>
      <c r="B20" t="s">
        <v>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2023-05-30T03:18:54Z</dcterms:modified>
</cp:coreProperties>
</file>
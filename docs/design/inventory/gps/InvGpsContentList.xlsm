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gps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6" i="5" l="1"/>
  <c r="T16" i="5"/>
  <c r="U16" i="5"/>
  <c r="V16" i="5"/>
  <c r="S17" i="5"/>
  <c r="T17" i="5"/>
  <c r="U17" i="5"/>
  <c r="V17" i="5"/>
  <c r="S18" i="5"/>
  <c r="T18" i="5"/>
  <c r="U18" i="5"/>
  <c r="V18" i="5"/>
  <c r="S19" i="5"/>
  <c r="T19" i="5"/>
  <c r="U19" i="5"/>
  <c r="V19" i="5"/>
  <c r="S20" i="5"/>
  <c r="T20" i="5"/>
  <c r="U20" i="5"/>
  <c r="V20" i="5"/>
  <c r="S21" i="5"/>
  <c r="T21" i="5"/>
  <c r="U21" i="5"/>
  <c r="V21" i="5"/>
  <c r="S22" i="5"/>
  <c r="T22" i="5"/>
  <c r="U22" i="5"/>
  <c r="V22" i="5"/>
  <c r="S23" i="5"/>
  <c r="T23" i="5"/>
  <c r="U23" i="5"/>
  <c r="V23" i="5"/>
  <c r="S24" i="5"/>
  <c r="T24" i="5"/>
  <c r="U24" i="5"/>
  <c r="V24" i="5"/>
  <c r="S25" i="5"/>
  <c r="T25" i="5"/>
  <c r="U25" i="5"/>
  <c r="V25" i="5"/>
  <c r="S26" i="5"/>
  <c r="T26" i="5"/>
  <c r="U26" i="5"/>
  <c r="V26" i="5"/>
  <c r="S27" i="5"/>
  <c r="T27" i="5"/>
  <c r="U27" i="5"/>
  <c r="V27" i="5"/>
  <c r="S28" i="5"/>
  <c r="T28" i="5"/>
  <c r="U28" i="5"/>
  <c r="V28" i="5"/>
  <c r="S29" i="5"/>
  <c r="T29" i="5"/>
  <c r="U29" i="5"/>
  <c r="V29" i="5"/>
  <c r="S30" i="5"/>
  <c r="T30" i="5"/>
  <c r="U30" i="5"/>
  <c r="V30" i="5"/>
  <c r="S31" i="5"/>
  <c r="T31" i="5"/>
  <c r="U31" i="5"/>
  <c r="V31" i="5"/>
  <c r="S32" i="5"/>
  <c r="T32" i="5"/>
  <c r="U32" i="5"/>
  <c r="V32" i="5"/>
  <c r="S33" i="5"/>
  <c r="T33" i="5"/>
  <c r="U33" i="5"/>
  <c r="V33" i="5"/>
  <c r="S34" i="5"/>
  <c r="T34" i="5"/>
  <c r="U34" i="5"/>
  <c r="V34" i="5"/>
  <c r="S35" i="5"/>
  <c r="T35" i="5"/>
  <c r="U35" i="5"/>
  <c r="V35" i="5"/>
  <c r="S36" i="5"/>
  <c r="T36" i="5"/>
  <c r="U36" i="5"/>
  <c r="V36" i="5"/>
  <c r="S37" i="5"/>
  <c r="T37" i="5"/>
  <c r="U37" i="5"/>
  <c r="V37" i="5"/>
  <c r="S38" i="5"/>
  <c r="T38" i="5"/>
  <c r="U38" i="5"/>
  <c r="V38" i="5"/>
  <c r="S39" i="5"/>
  <c r="T39" i="5"/>
  <c r="U39" i="5"/>
  <c r="V39" i="5"/>
  <c r="S40" i="5"/>
  <c r="T40" i="5"/>
  <c r="U40" i="5"/>
  <c r="V40" i="5"/>
  <c r="S41" i="5"/>
  <c r="T41" i="5"/>
  <c r="U41" i="5"/>
  <c r="V41" i="5"/>
  <c r="S42" i="5"/>
  <c r="T42" i="5"/>
  <c r="U42" i="5"/>
  <c r="V42" i="5"/>
  <c r="B29" i="5"/>
  <c r="D29" i="5" s="1"/>
  <c r="C29" i="5"/>
  <c r="E29" i="5"/>
  <c r="F29" i="5"/>
  <c r="I29" i="5"/>
  <c r="B30" i="5"/>
  <c r="C30" i="5"/>
  <c r="H30" i="5" s="1"/>
  <c r="D30" i="5"/>
  <c r="E30" i="5"/>
  <c r="K30" i="5" s="1"/>
  <c r="F30" i="5"/>
  <c r="G30" i="5"/>
  <c r="I30" i="5"/>
  <c r="L30" i="5"/>
  <c r="B31" i="5"/>
  <c r="D31" i="5" s="1"/>
  <c r="C31" i="5"/>
  <c r="E31" i="5"/>
  <c r="K31" i="5" s="1"/>
  <c r="F31" i="5"/>
  <c r="I31" i="5"/>
  <c r="B32" i="5"/>
  <c r="C32" i="5"/>
  <c r="H32" i="5" s="1"/>
  <c r="D32" i="5"/>
  <c r="I32" i="5" s="1"/>
  <c r="E32" i="5"/>
  <c r="K32" i="5" s="1"/>
  <c r="F32" i="5"/>
  <c r="G32" i="5"/>
  <c r="L32" i="5"/>
  <c r="B33" i="5"/>
  <c r="D33" i="5" s="1"/>
  <c r="C33" i="5"/>
  <c r="E33" i="5"/>
  <c r="F33" i="5"/>
  <c r="I33" i="5"/>
  <c r="B34" i="5"/>
  <c r="C34" i="5"/>
  <c r="H34" i="5" s="1"/>
  <c r="D34" i="5"/>
  <c r="I34" i="5" s="1"/>
  <c r="E34" i="5"/>
  <c r="K34" i="5" s="1"/>
  <c r="F34" i="5"/>
  <c r="G34" i="5"/>
  <c r="L34" i="5"/>
  <c r="B35" i="5"/>
  <c r="D35" i="5" s="1"/>
  <c r="C35" i="5"/>
  <c r="E35" i="5"/>
  <c r="K35" i="5" s="1"/>
  <c r="F35" i="5"/>
  <c r="I35" i="5"/>
  <c r="B36" i="5"/>
  <c r="C36" i="5"/>
  <c r="H36" i="5" s="1"/>
  <c r="D36" i="5"/>
  <c r="I36" i="5" s="1"/>
  <c r="E36" i="5"/>
  <c r="K36" i="5" s="1"/>
  <c r="F36" i="5"/>
  <c r="G36" i="5"/>
  <c r="L36" i="5"/>
  <c r="B37" i="5"/>
  <c r="D37" i="5" s="1"/>
  <c r="C37" i="5"/>
  <c r="E37" i="5"/>
  <c r="F37" i="5"/>
  <c r="I37" i="5"/>
  <c r="B38" i="5"/>
  <c r="C38" i="5"/>
  <c r="H38" i="5" s="1"/>
  <c r="D38" i="5"/>
  <c r="E38" i="5"/>
  <c r="K38" i="5" s="1"/>
  <c r="F38" i="5"/>
  <c r="G38" i="5"/>
  <c r="I38" i="5"/>
  <c r="L38" i="5"/>
  <c r="B39" i="5"/>
  <c r="D39" i="5" s="1"/>
  <c r="C39" i="5"/>
  <c r="E39" i="5"/>
  <c r="F39" i="5"/>
  <c r="B40" i="5"/>
  <c r="C40" i="5"/>
  <c r="H40" i="5" s="1"/>
  <c r="D40" i="5"/>
  <c r="E40" i="5"/>
  <c r="K40" i="5" s="1"/>
  <c r="F40" i="5"/>
  <c r="G40" i="5"/>
  <c r="I40" i="5"/>
  <c r="L40" i="5"/>
  <c r="B41" i="5"/>
  <c r="D41" i="5" s="1"/>
  <c r="I41" i="5" s="1"/>
  <c r="C41" i="5"/>
  <c r="E41" i="5"/>
  <c r="F41" i="5"/>
  <c r="B42" i="5"/>
  <c r="C42" i="5"/>
  <c r="H42" i="5" s="1"/>
  <c r="D42" i="5"/>
  <c r="E42" i="5"/>
  <c r="K42" i="5" s="1"/>
  <c r="F42" i="5"/>
  <c r="G42" i="5"/>
  <c r="I42" i="5"/>
  <c r="L42" i="5"/>
  <c r="K39" i="5" l="1"/>
  <c r="K41" i="5"/>
  <c r="K37" i="5"/>
  <c r="K33" i="5"/>
  <c r="K29" i="5"/>
  <c r="I39" i="5"/>
  <c r="H41" i="5"/>
  <c r="H39" i="5"/>
  <c r="H37" i="5"/>
  <c r="H35" i="5"/>
  <c r="H33" i="5"/>
  <c r="H31" i="5"/>
  <c r="H29" i="5"/>
  <c r="L41" i="5"/>
  <c r="G41" i="5"/>
  <c r="L39" i="5"/>
  <c r="G39" i="5"/>
  <c r="L37" i="5"/>
  <c r="G37" i="5"/>
  <c r="L35" i="5"/>
  <c r="G35" i="5"/>
  <c r="L33" i="5"/>
  <c r="G33" i="5"/>
  <c r="L31" i="5"/>
  <c r="G31" i="5"/>
  <c r="L29" i="5"/>
  <c r="G29" i="5"/>
  <c r="G35" i="1"/>
  <c r="E35" i="1"/>
  <c r="H35" i="1" s="1"/>
  <c r="D35" i="1"/>
  <c r="V35" i="1" s="1"/>
  <c r="G34" i="1"/>
  <c r="E34" i="1"/>
  <c r="H34" i="1" s="1"/>
  <c r="D34" i="1"/>
  <c r="V34" i="1" s="1"/>
  <c r="G33" i="1"/>
  <c r="E33" i="1"/>
  <c r="H33" i="1" s="1"/>
  <c r="D33" i="1"/>
  <c r="V33" i="1" s="1"/>
  <c r="L32" i="1"/>
  <c r="G32" i="1"/>
  <c r="E32" i="1"/>
  <c r="H32" i="1" s="1"/>
  <c r="D32" i="1"/>
  <c r="T32" i="1" s="1"/>
  <c r="L31" i="1"/>
  <c r="G31" i="1"/>
  <c r="E31" i="1"/>
  <c r="H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D29" i="1"/>
  <c r="V29" i="1" s="1"/>
  <c r="L28" i="1"/>
  <c r="G28" i="1"/>
  <c r="E28" i="1"/>
  <c r="H28" i="1" s="1"/>
  <c r="D28" i="1"/>
  <c r="T28" i="1" s="1"/>
  <c r="L27" i="1"/>
  <c r="G27" i="1"/>
  <c r="E27" i="1"/>
  <c r="H27" i="1" s="1"/>
  <c r="D27" i="1"/>
  <c r="V27" i="1" s="1"/>
  <c r="L26" i="1"/>
  <c r="G26" i="1"/>
  <c r="E26" i="1"/>
  <c r="H26" i="1" s="1"/>
  <c r="D26" i="1"/>
  <c r="T26" i="1" s="1"/>
  <c r="L25" i="1"/>
  <c r="G25" i="1"/>
  <c r="E25" i="1"/>
  <c r="H25" i="1" s="1"/>
  <c r="D25" i="1"/>
  <c r="V25" i="1" s="1"/>
  <c r="L24" i="1"/>
  <c r="G24" i="1"/>
  <c r="E24" i="1"/>
  <c r="H24" i="1" s="1"/>
  <c r="D24" i="1"/>
  <c r="T24" i="1" s="1"/>
  <c r="G23" i="1"/>
  <c r="E23" i="1"/>
  <c r="H23" i="1" s="1"/>
  <c r="D23" i="1"/>
  <c r="V23" i="1" s="1"/>
  <c r="L22" i="1"/>
  <c r="G22" i="1"/>
  <c r="F28" i="5" s="1"/>
  <c r="E22" i="1"/>
  <c r="H22" i="1" s="1"/>
  <c r="E28" i="5" s="1"/>
  <c r="D22" i="1"/>
  <c r="T22" i="1" s="1"/>
  <c r="H28" i="5" l="1"/>
  <c r="I28" i="5"/>
  <c r="P35" i="1"/>
  <c r="M22" i="1"/>
  <c r="M28" i="1"/>
  <c r="W35" i="1"/>
  <c r="O35" i="1"/>
  <c r="J35" i="1"/>
  <c r="N35" i="1"/>
  <c r="I35" i="1"/>
  <c r="M35" i="1"/>
  <c r="T35" i="1"/>
  <c r="M26" i="1"/>
  <c r="W34" i="1"/>
  <c r="O34" i="1"/>
  <c r="J34" i="1"/>
  <c r="N34" i="1"/>
  <c r="I34" i="1"/>
  <c r="M34" i="1"/>
  <c r="P34" i="1"/>
  <c r="T34" i="1"/>
  <c r="M30" i="1"/>
  <c r="M32" i="1"/>
  <c r="M24" i="1"/>
  <c r="I24" i="1"/>
  <c r="P25" i="1"/>
  <c r="P27" i="1"/>
  <c r="I28" i="1"/>
  <c r="P31" i="1"/>
  <c r="P23" i="1"/>
  <c r="P29" i="1"/>
  <c r="P33" i="1"/>
  <c r="W29" i="1"/>
  <c r="O29" i="1"/>
  <c r="J29" i="1"/>
  <c r="N29" i="1"/>
  <c r="I29" i="1"/>
  <c r="M29" i="1"/>
  <c r="W31" i="1"/>
  <c r="O31" i="1"/>
  <c r="J31" i="1"/>
  <c r="N31" i="1"/>
  <c r="I31" i="1"/>
  <c r="M31" i="1"/>
  <c r="W23" i="1"/>
  <c r="O23" i="1"/>
  <c r="J23" i="1"/>
  <c r="N23" i="1"/>
  <c r="I23" i="1"/>
  <c r="M23" i="1"/>
  <c r="W33" i="1"/>
  <c r="O33" i="1"/>
  <c r="J33" i="1"/>
  <c r="N33" i="1"/>
  <c r="I33" i="1"/>
  <c r="M33" i="1"/>
  <c r="W27" i="1"/>
  <c r="O27" i="1"/>
  <c r="J27" i="1"/>
  <c r="N27" i="1"/>
  <c r="I27" i="1"/>
  <c r="M27" i="1"/>
  <c r="W25" i="1"/>
  <c r="O25" i="1"/>
  <c r="J25" i="1"/>
  <c r="N25" i="1"/>
  <c r="I25" i="1"/>
  <c r="M25" i="1"/>
  <c r="I22" i="1"/>
  <c r="N22" i="1"/>
  <c r="V22" i="1"/>
  <c r="I26" i="1"/>
  <c r="N26" i="1"/>
  <c r="V26" i="1"/>
  <c r="I30" i="1"/>
  <c r="N30" i="1"/>
  <c r="V30" i="1"/>
  <c r="I32" i="1"/>
  <c r="N32" i="1"/>
  <c r="V32" i="1"/>
  <c r="J22" i="1"/>
  <c r="O22" i="1"/>
  <c r="W22" i="1"/>
  <c r="T23" i="1"/>
  <c r="J24" i="1"/>
  <c r="O24" i="1"/>
  <c r="W24" i="1"/>
  <c r="T25" i="1"/>
  <c r="J26" i="1"/>
  <c r="O26" i="1"/>
  <c r="W26" i="1"/>
  <c r="T27" i="1"/>
  <c r="J28" i="1"/>
  <c r="O28" i="1"/>
  <c r="W28" i="1"/>
  <c r="T29" i="1"/>
  <c r="J30" i="1"/>
  <c r="O30" i="1"/>
  <c r="W30" i="1"/>
  <c r="T31" i="1"/>
  <c r="J32" i="1"/>
  <c r="O32" i="1"/>
  <c r="W32" i="1"/>
  <c r="T33" i="1"/>
  <c r="N28" i="1"/>
  <c r="P22" i="1"/>
  <c r="P24" i="1"/>
  <c r="P26" i="1"/>
  <c r="P28" i="1"/>
  <c r="P30" i="1"/>
  <c r="P32" i="1"/>
  <c r="N24" i="1"/>
  <c r="V24" i="1"/>
  <c r="V28" i="1"/>
  <c r="C28" i="5"/>
  <c r="K28" i="5" s="1"/>
  <c r="B28" i="5"/>
  <c r="D28" i="5" s="1"/>
  <c r="C27" i="5"/>
  <c r="B27" i="5"/>
  <c r="D27" i="5" s="1"/>
  <c r="L18" i="1"/>
  <c r="G18" i="1"/>
  <c r="F24" i="5" s="1"/>
  <c r="E18" i="1"/>
  <c r="H18" i="1" s="1"/>
  <c r="E24" i="5" s="1"/>
  <c r="D18" i="1"/>
  <c r="V18" i="1" s="1"/>
  <c r="L21" i="1"/>
  <c r="G21" i="1"/>
  <c r="F27" i="5" s="1"/>
  <c r="E21" i="1"/>
  <c r="H21" i="1" s="1"/>
  <c r="E27" i="5" s="1"/>
  <c r="D21" i="1"/>
  <c r="T21" i="1" s="1"/>
  <c r="L20" i="1"/>
  <c r="G20" i="1"/>
  <c r="F26" i="5" s="1"/>
  <c r="E20" i="1"/>
  <c r="H20" i="1" s="1"/>
  <c r="E26" i="5" s="1"/>
  <c r="D20" i="1"/>
  <c r="T20" i="1" s="1"/>
  <c r="L19" i="1"/>
  <c r="G19" i="1"/>
  <c r="F25" i="5" s="1"/>
  <c r="E19" i="1"/>
  <c r="H19" i="1" s="1"/>
  <c r="E25" i="5" s="1"/>
  <c r="D19" i="1"/>
  <c r="V19" i="1" s="1"/>
  <c r="L28" i="5" l="1"/>
  <c r="H27" i="5"/>
  <c r="G27" i="5"/>
  <c r="G28" i="5"/>
  <c r="L27" i="5"/>
  <c r="I27" i="5"/>
  <c r="K27" i="5"/>
  <c r="P18" i="1"/>
  <c r="W18" i="1"/>
  <c r="O18" i="1"/>
  <c r="J18" i="1"/>
  <c r="N18" i="1"/>
  <c r="I18" i="1"/>
  <c r="M18" i="1"/>
  <c r="T18" i="1"/>
  <c r="M21" i="1"/>
  <c r="M20" i="1"/>
  <c r="P21" i="1"/>
  <c r="W19" i="1"/>
  <c r="O19" i="1"/>
  <c r="J19" i="1"/>
  <c r="N19" i="1"/>
  <c r="I19" i="1"/>
  <c r="M19" i="1"/>
  <c r="P19" i="1"/>
  <c r="I20" i="1"/>
  <c r="N20" i="1"/>
  <c r="V20" i="1"/>
  <c r="I21" i="1"/>
  <c r="N21" i="1"/>
  <c r="V21" i="1"/>
  <c r="T19" i="1"/>
  <c r="J20" i="1"/>
  <c r="O20" i="1"/>
  <c r="W20" i="1"/>
  <c r="J21" i="1"/>
  <c r="O21" i="1"/>
  <c r="W21" i="1"/>
  <c r="P20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B22" i="5"/>
  <c r="D22" i="5" s="1"/>
  <c r="C22" i="5"/>
  <c r="B23" i="5"/>
  <c r="D23" i="5" s="1"/>
  <c r="C23" i="5"/>
  <c r="B24" i="5"/>
  <c r="D24" i="5" s="1"/>
  <c r="C24" i="5"/>
  <c r="B25" i="5"/>
  <c r="D25" i="5" s="1"/>
  <c r="C25" i="5"/>
  <c r="B26" i="5"/>
  <c r="D26" i="5" s="1"/>
  <c r="C26" i="5"/>
  <c r="C15" i="5"/>
  <c r="B15" i="5"/>
  <c r="L26" i="5" l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V13" i="1" s="1"/>
  <c r="G12" i="1"/>
  <c r="F18" i="5" s="1"/>
  <c r="E12" i="1"/>
  <c r="H12" i="1" s="1"/>
  <c r="E18" i="5" s="1"/>
  <c r="D12" i="1"/>
  <c r="T12" i="1" s="1"/>
  <c r="G11" i="1"/>
  <c r="F17" i="5" s="1"/>
  <c r="E11" i="1"/>
  <c r="H11" i="1" s="1"/>
  <c r="E17" i="5" s="1"/>
  <c r="D11" i="1"/>
  <c r="V11" i="1" s="1"/>
  <c r="G10" i="1"/>
  <c r="F16" i="5" s="1"/>
  <c r="E10" i="1"/>
  <c r="H10" i="1" s="1"/>
  <c r="E16" i="5" s="1"/>
  <c r="D10" i="1"/>
  <c r="V10" i="1" s="1"/>
  <c r="H24" i="5" l="1"/>
  <c r="H26" i="5"/>
  <c r="L24" i="5"/>
  <c r="G24" i="5"/>
  <c r="K25" i="5"/>
  <c r="G26" i="5"/>
  <c r="I24" i="5"/>
  <c r="G25" i="5"/>
  <c r="L25" i="5"/>
  <c r="I26" i="5"/>
  <c r="K24" i="5"/>
  <c r="H25" i="5"/>
  <c r="K26" i="5"/>
  <c r="I25" i="5"/>
  <c r="P13" i="1"/>
  <c r="W13" i="1"/>
  <c r="M11" i="1"/>
  <c r="P11" i="1"/>
  <c r="T13" i="1"/>
  <c r="T11" i="1"/>
  <c r="W14" i="1"/>
  <c r="O14" i="1"/>
  <c r="J14" i="1"/>
  <c r="N14" i="1"/>
  <c r="I14" i="1"/>
  <c r="M14" i="1"/>
  <c r="W12" i="1"/>
  <c r="O12" i="1"/>
  <c r="J12" i="1"/>
  <c r="I12" i="1"/>
  <c r="M12" i="1"/>
  <c r="N12" i="1"/>
  <c r="N10" i="1"/>
  <c r="I10" i="1"/>
  <c r="M10" i="1"/>
  <c r="W10" i="1"/>
  <c r="O10" i="1"/>
  <c r="J10" i="1"/>
  <c r="V12" i="1"/>
  <c r="M13" i="1"/>
  <c r="P10" i="1"/>
  <c r="I11" i="1"/>
  <c r="N11" i="1"/>
  <c r="P12" i="1"/>
  <c r="I13" i="1"/>
  <c r="N13" i="1"/>
  <c r="P14" i="1"/>
  <c r="T10" i="1"/>
  <c r="J11" i="1"/>
  <c r="O11" i="1"/>
  <c r="W11" i="1"/>
  <c r="J13" i="1"/>
  <c r="O13" i="1"/>
  <c r="T14" i="1"/>
  <c r="G36" i="1" l="1"/>
  <c r="E36" i="1"/>
  <c r="H36" i="1" s="1"/>
  <c r="D36" i="1"/>
  <c r="V36" i="1" s="1"/>
  <c r="W36" i="1" l="1"/>
  <c r="P36" i="1"/>
  <c r="T36" i="1"/>
  <c r="I36" i="1"/>
  <c r="N36" i="1"/>
  <c r="M36" i="1"/>
  <c r="J36" i="1"/>
  <c r="O36" i="1"/>
  <c r="B7" i="5"/>
  <c r="B6" i="5"/>
  <c r="B2" i="5"/>
  <c r="B8" i="5" l="1"/>
  <c r="B3" i="5"/>
  <c r="G20" i="5" l="1"/>
  <c r="K20" i="5"/>
  <c r="I20" i="5"/>
  <c r="H20" i="5"/>
  <c r="L20" i="5"/>
  <c r="B6" i="1" l="1"/>
  <c r="G19" i="5" l="1"/>
  <c r="I19" i="5"/>
  <c r="K19" i="5"/>
  <c r="H19" i="5"/>
  <c r="L19" i="5"/>
  <c r="D15" i="5"/>
  <c r="L17" i="1"/>
  <c r="G17" i="1"/>
  <c r="F23" i="5" s="1"/>
  <c r="E17" i="1"/>
  <c r="H17" i="1" s="1"/>
  <c r="E23" i="5" s="1"/>
  <c r="D17" i="1"/>
  <c r="V17" i="1" s="1"/>
  <c r="G16" i="1"/>
  <c r="F22" i="5" s="1"/>
  <c r="E16" i="1"/>
  <c r="H16" i="1" s="1"/>
  <c r="E22" i="5" s="1"/>
  <c r="D16" i="1"/>
  <c r="T16" i="1" s="1"/>
  <c r="G23" i="5" l="1"/>
  <c r="K23" i="5"/>
  <c r="I23" i="5"/>
  <c r="L23" i="5"/>
  <c r="H23" i="5"/>
  <c r="K22" i="5"/>
  <c r="G22" i="5"/>
  <c r="H22" i="5"/>
  <c r="I22" i="5"/>
  <c r="L22" i="5"/>
  <c r="G18" i="5"/>
  <c r="K18" i="5"/>
  <c r="I18" i="5"/>
  <c r="H18" i="5"/>
  <c r="G17" i="5"/>
  <c r="I17" i="5"/>
  <c r="K17" i="5"/>
  <c r="H17" i="5"/>
  <c r="L18" i="5"/>
  <c r="L17" i="5"/>
  <c r="M16" i="1"/>
  <c r="P16" i="1"/>
  <c r="W17" i="1"/>
  <c r="O17" i="1"/>
  <c r="J17" i="1"/>
  <c r="I17" i="1"/>
  <c r="N17" i="1"/>
  <c r="M17" i="1"/>
  <c r="I16" i="1"/>
  <c r="N16" i="1"/>
  <c r="V16" i="1"/>
  <c r="P17" i="1"/>
  <c r="J16" i="1"/>
  <c r="O16" i="1"/>
  <c r="W16" i="1"/>
  <c r="T17" i="1"/>
  <c r="G9" i="1" l="1"/>
  <c r="F15" i="5" s="1"/>
  <c r="E9" i="1"/>
  <c r="H9" i="1" s="1"/>
  <c r="E15" i="5" s="1"/>
  <c r="D9" i="1"/>
  <c r="V9" i="1" s="1"/>
  <c r="K15" i="5" l="1"/>
  <c r="I15" i="5"/>
  <c r="S15" i="5"/>
  <c r="U15" i="5"/>
  <c r="T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5" i="1" l="1"/>
  <c r="F21" i="5" s="1"/>
  <c r="E15" i="1"/>
  <c r="H15" i="1" s="1"/>
  <c r="E21" i="5" s="1"/>
  <c r="D15" i="1"/>
  <c r="T15" i="1" s="1"/>
  <c r="K21" i="5" l="1"/>
  <c r="L21" i="5"/>
  <c r="G21" i="5"/>
  <c r="H21" i="5"/>
  <c r="I21" i="5"/>
  <c r="H16" i="5"/>
  <c r="K16" i="5"/>
  <c r="I16" i="5"/>
  <c r="G16" i="5"/>
  <c r="L16" i="5"/>
  <c r="P15" i="1"/>
  <c r="V15" i="1"/>
  <c r="W15" i="1"/>
  <c r="J15" i="1"/>
  <c r="I15" i="1"/>
  <c r="O15" i="1"/>
  <c r="N15" i="1"/>
  <c r="M15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8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38" i="1"/>
  <c r="T13" i="5"/>
  <c r="T7" i="1" l="1"/>
  <c r="W38" i="1"/>
  <c r="G6" i="1" l="1"/>
  <c r="L13" i="5"/>
  <c r="S13" i="5"/>
  <c r="H13" i="5"/>
  <c r="U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3" i="1" l="1"/>
  <c r="L35" i="1"/>
  <c r="L10" i="1"/>
  <c r="L16" i="1"/>
  <c r="L33" i="1"/>
  <c r="L34" i="1"/>
  <c r="L11" i="1"/>
  <c r="L12" i="1"/>
  <c r="L36" i="1"/>
  <c r="L9" i="1"/>
  <c r="L15" i="1"/>
  <c r="C7" i="1"/>
  <c r="J38" i="1"/>
  <c r="P38" i="1"/>
  <c r="O38" i="1"/>
  <c r="I38" i="1"/>
  <c r="N38" i="1"/>
  <c r="Q7" i="1" l="1"/>
  <c r="M68" i="3" s="1"/>
  <c r="L7" i="1"/>
  <c r="G68" i="3" s="1"/>
  <c r="K68" i="3"/>
  <c r="J68" i="3"/>
  <c r="M38" i="1"/>
  <c r="K3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<sst xmlns="http://schemas.openxmlformats.org/spreadsheetml/2006/main" count="557" uniqueCount="395">
  <si>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</si>
  <si>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</si>
  <si>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</si>
  <si>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</si>
  <si>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</si>
  <si>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</si>
  <si>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</si>
  <si>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</si>
  <si>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</si>
  <si>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</si>
  <si>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</si>
  <si>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</si>
  <si>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</si>
  <si>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</si>
  <si>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</si>
  <si>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</si>
  <si>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</si>
  <si>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</si>
  <si>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</si>
  <si>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</si>
  <si>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</si>
  <si>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</si>
  <si>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</si>
  <si>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</si>
  <si>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</si>
  <si>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</si>
  <si>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</si>
  <si>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</si>
  <si>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</si>
  <si>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</si>
  <si>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</si>
  <si>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</si>
  <si>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</si>
  <si>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</si>
  <si>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</si>
  <si>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</si>
  <si>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</si>
  <si>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</si>
  <si>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</si>
  <si>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</si>
  <si>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</si>
  <si>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</si>
  <si>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</si>
  <si>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</si>
  <si>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</si>
  <si>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</si>
  <si>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</si>
  <si>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</si>
  <si>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</si>
  <si>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</si>
  <si>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</si>
  <si>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</si>
  <si>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</si>
  <si>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</si>
  <si>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</si>
  <si>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</si>
  <si>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</si>
  <si>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</si>
  <si>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</si>
  <si>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</si>
  <si>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</si>
  <si>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</si>
  <si>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</si>
  <si>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</si>
  <si>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</si>
  <si>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</si>
  <si>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</si>
  <si>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</si>
  <si>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</si>
  <si>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</si>
  <si>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</si>
  <si>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</si>
  <si>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</si>
  <si>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</si>
  <si>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</si>
  <si>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</si>
  <si>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</si>
  <si>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</si>
  <si>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</si>
  <si>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</si>
  <si>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</si>
  <si>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</si>
  <si>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</si>
  <si>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</si>
  <si>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</si>
  <si>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</si>
  <si>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</si>
  <si>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</si>
  <si>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</si>
  <si>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</si>
  <si>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</si>
  <si>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</si>
  <si>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</si>
  <si>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</si>
  <si>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</si>
  <si>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</si>
  <si>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</si>
  <si>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</si>
  <si>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</si>
  <si>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</si>
  <si>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</si>
  <si>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</si>
  <si>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</si>
  <si>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</si>
  <si>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</si>
  <si>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</si>
  <si>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</si>
  <si>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</si>
  <si>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</si>
  <si>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</si>
  <si>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</si>
  <si>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</si>
  <si>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</si>
  <si>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</si>
  <si>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</si>
  <si>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</si>
  <si>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</si>
  <si>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</si>
  <si>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</si>
  <si>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</si>
  <si>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</si>
  <si>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</si>
  <si>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</si>
  <si>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</si>
  <si>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</si>
  <si>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</si>
  <si>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</si>
  <si>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</si>
  <si>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</si>
  <si>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</si>
  <si>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</si>
  <si>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</si>
  <si>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</si>
  <si>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</si>
  <si>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</si>
  <si>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</si>
  <si>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</si>
  <si>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</si>
  <si>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</si>
  <si>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</si>
  <si>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</si>
  <si>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</si>
  <si>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</si>
  <si>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</si>
  <si>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</si>
  <si>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</si>
  <si>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</si>
  <si>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</si>
  <si>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</si>
  <si>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</si>
  <si>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</si>
  <si>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</si>
  <si>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</si>
  <si>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</si>
  <si>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</si>
  <si>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</si>
  <si>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</si>
  <si>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</si>
  <si>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</si>
  <si>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</si>
  <si>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</si>
  <si>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</si>
  <si>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</si>
  <si>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</si>
  <si>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</si>
  <si>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</si>
  <si>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</si>
  <si>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</si>
  <si>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</si>
  <si>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</si>
  <si>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</si>
  <si>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</si>
  <si>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</si>
  <si>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</si>
  <si>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</si>
  <si>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</si>
  <si>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</si>
  <si>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</si>
  <si>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</si>
  <si>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</si>
  <si>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</si>
  <si>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</si>
  <si>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</si>
  <si>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</si>
  <si>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</si>
  <si>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</si>
  <si>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</si>
  <si>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</si>
  <si>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</si>
  <si>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</si>
  <si>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</si>
  <si>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</si>
  <si>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</si>
  <si>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</si>
  <si>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</si>
  <si>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</si>
  <si>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</si>
  <si>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</si>
  <si>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</si>
  <si>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</si>
  <si>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</si>
  <si>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</si>
  <si>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</si>
  <si>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</si>
  <si>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</si>
  <si>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</si>
  <si>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</si>
  <si>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</si>
  <si>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</si>
  <si>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</si>
  <si>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</si>
  <si>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</si>
  <si>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</si>
  <si>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</si>
  <si>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</si>
  <si>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</si>
  <si>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</si>
  <si>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</si>
  <si>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</si>
  <si>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</si>
  <si>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</si>
  <si>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</si>
  <si>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</si>
  <si>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</si>
  <si>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</si>
  <si>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</si>
  <si>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</si>
  <si>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</si>
  <si>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</si>
  <si>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</si>
  <si>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</si>
  <si>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</si>
  <si>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</si>
  <si>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</si>
  <si>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</si>
  <si>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</si>
  <si>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</si>
  <si>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</si>
  <si>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</si>
  <si>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</si>
  <si>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</si>
  <si>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</si>
  <si>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</si>
  <si>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</si>
  <si>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</si>
  <si>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</si>
  <si>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</si>
  <si>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</si>
  <si>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</si>
  <si>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</si>
  <si>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</si>
  <si>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</si>
  <si>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</si>
  <si>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</si>
  <si>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</si>
  <si>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</si>
  <si>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</si>
  <si>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</si>
  <si>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</si>
  <si>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</si>
  <si>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</si>
  <si>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</si>
  <si>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</si>
  <si>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</si>
  <si>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</si>
  <si>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</si>
  <si>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</si>
  <si>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</si>
  <si>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</si>
  <si>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</si>
  <si>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</si>
  <si>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</si>
  <si>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</si>
  <si>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</si>
  <si>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</si>
  <si>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</si>
  <si>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</si>
  <si>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</si>
  <si>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</si>
  <si>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</si>
  <si>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</si>
  <si>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</si>
  <si>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</si>
  <si>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</si>
  <si>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</si>
  <si>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</si>
  <si>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</si>
  <si>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</si>
  <si>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</si>
  <si>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</si>
  <si>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</si>
  <si>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</si>
  <si>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</si>
  <si>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</si>
  <si>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</si>
  <si>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</si>
  <si>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</si>
  <si>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</si>
  <si>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</si>
  <si>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</si>
  <si>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</si>
  <si>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</si>
  <si>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</si>
  <si>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</si>
  <si>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</si>
  <si>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</si>
  <si>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</si>
  <si>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</si>
  <si>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</si>
  <si>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</si>
  <si>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</si>
  <si>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</si>
  <si>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</si>
  <si>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</si>
  <si>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</si>
  <si>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</si>
  <si>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</si>
  <si>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</si>
  <si>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</si>
  <si>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</si>
  <si>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</si>
  <si>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</si>
  <si>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</si>
  <si>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</si>
  <si>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</si>
  <si>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</si>
  <si>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</si>
  <si>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</si>
  <si>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</si>
  <si>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</si>
  <si>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</si>
  <si>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</si>
  <si>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</si>
  <si>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</si>
  <si>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</si>
  <si>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</si>
  <si>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</si>
  <si>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</si>
  <si>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</si>
  <si>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</si>
  <si>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</si>
  <si>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</si>
  <si>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</si>
  <si>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</si>
  <si>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</si>
  <si>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</si>
  <si>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</si>
  <si>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</si>
  <si>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</si>
  <si>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</si>
  <si>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</si>
  <si>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</si>
  <si>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</si>
  <si>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</si>
  <si>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</si>
  <si>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</si>
  <si>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varchar(40)</t>
  </si>
  <si>
    <t>STATUS</t>
  </si>
  <si>
    <t>Inventory.GPS</t>
  </si>
  <si>
    <t>GENERATED_BY</t>
  </si>
  <si>
    <t>Y</t>
  </si>
  <si>
    <t>varchar(20)</t>
  </si>
  <si>
    <t>PC_ADDRESS</t>
  </si>
  <si>
    <t>RENBAN_NO</t>
  </si>
  <si>
    <t>PACKAGING_TYPE</t>
  </si>
  <si>
    <t>nvarchar(50)</t>
  </si>
  <si>
    <t>InvGpsContentList</t>
  </si>
  <si>
    <t>WORKING_DATE</t>
  </si>
  <si>
    <t>SHIFT</t>
  </si>
  <si>
    <t>SUPPLIER_NAME</t>
  </si>
  <si>
    <t>nvarchar(40)</t>
  </si>
  <si>
    <t>SUPPLIER_CODE</t>
  </si>
  <si>
    <t>varchar(10)</t>
  </si>
  <si>
    <t>DOCK_NO</t>
  </si>
  <si>
    <t>ORDER_NO</t>
  </si>
  <si>
    <t>varchar(50)</t>
  </si>
  <si>
    <t>ORDER_DATETIME</t>
  </si>
  <si>
    <t>TRIP_NO</t>
  </si>
  <si>
    <t>PALLET_BOX_QTY</t>
  </si>
  <si>
    <t>EST_PACKING_DATETIME</t>
  </si>
  <si>
    <t>EST_ARRIVAL_DATETIME</t>
  </si>
  <si>
    <t>CONTENT_NO</t>
  </si>
  <si>
    <t>varchar(60)</t>
  </si>
  <si>
    <t>ORDER_ID</t>
  </si>
  <si>
    <t>PALLET_SIZE</t>
  </si>
  <si>
    <t>IS_PALLET_ONLY</t>
  </si>
  <si>
    <t>IS_ADHOC_RECEIVING</t>
  </si>
  <si>
    <t>UNPACK_STATUS</t>
  </si>
  <si>
    <t>MODULE_CD</t>
  </si>
  <si>
    <t>MODULE_RUN_NO</t>
  </si>
  <si>
    <t>UP_START_ACT</t>
  </si>
  <si>
    <t>UP_FINISH_ACT</t>
  </si>
  <si>
    <t>UP_SCAN_USER_ID</t>
  </si>
  <si>
    <t>datetime2(7)</t>
  </si>
  <si>
    <t>Content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</si>
</sst>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4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[Table("InvGpsContentList")]
	[Index(nameof(WorkingDate), Name="IX_InvGpsContentList_WorkingDate")]
	[Index(nameof(Shift), Name="IX_InvGpsContentList_Shift")]
	[Index(nameof(SupplierCode), Name="IX_InvGpsContentList_SupplierCode")]
	[Index(nameof(OrderNo), Name="IX_InvGpsContentList_OrderNo")]
	[Index(nameof(OrderId), Name="IX_InvGpsContentList_OrderId")]
	[Index(nameof(UpScanUserId), Name="IX_InvGpsContentList_UpScanUserId")]
	[Index(nameof(Status), Name="IX_InvGpsContentList_Status")]
	[Index(nameof(IsActive), Name="IX_InvGpsContentList_IsActive")]	public class InvGpsContentList: FullAuditedEntity&lt;long&gt;, IEntity&lt;long&gt;	
	{
		public const int MaxShiftLength = 40;
		public const int MaxSupplierNameLength = 40;
		public const int MaxSupplierCodeLength = 10;
		public const int MaxPcAddressLength = 40;
		public const int MaxDockNoLength = 20;
		public const int MaxOrderNoLength = 50;
		public const int MaxContentNoLength = 60;
		public const int MaxIsPalletOnlyLength = 1;
		public const int MaxPackagingTypeLength = 20;
		public const int MaxIsAdhocReceivingLength = 1;
		public const int MaxGeneratedByLength = 50;
		public const int MaxUnpackStatusLength = 1;
		public const int MaxModuleCdLength = 10;
		public const int MaxStatusLength = 50;
		public const int MaxIsActiveLength = 1;
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public virtual int? RenbanNo { get; set; }
		[StringLength(MaxPcAddressLength)]
		public virtual string PcAddress { get; set; }
		[StringLength(MaxDockNoLength)]
		public virtual string DockNo { get; set; }
		[StringLength(MaxOrderNoLength)]
		public virtual string OrderNo { get; set; }
		[Column(TypeName="datetime2(7)")]
		public virtual DateTime? OrderDatetime { get; set; }
		public virtual int? TripNo { get; set; }
		public virtual int? PalletBoxQty { get; set; }
		[Column(TypeName="datetime2(7)")]
		public virtual DateTime? EstPackingDatetime { get; set; }
		[Column(TypeName="datetime2(7)")]
		public virtual DateTime? EstArrivalDatetime { get; set; }
		[StringLength(MaxContentNoLength)]
		public virtual string ContentNo { get; set; }
		public virtual long? OrderId { get; set; }
		public virtual int? PalletSize { get; set; }
		[StringLength(MaxIsPalletOnlyLength)]
		public virtual string IsPalletOnly { get; set; }
		[StringLength(MaxPackagingTypeLength)]
		public virtual string PackagingType { get; set; }
		[StringLength(MaxIsAdhocReceivingLength)]
		public virtual string IsAdhocReceiving { get; set; }
		[StringLength(MaxGeneratedByLength)]
		public virtual string GeneratedBy { get; set; }
		[StringLength(MaxUnpackStatusLength)]
		public virtual string UnpackStatus { get; set; }
		[StringLength(MaxModuleCdLength)]
		public virtual string ModuleCd { get; set; }
		public virtual int? ModuleRunNo { get; set; }
		[Column(TypeName="datetime2(7)")]
		public virtual DateTime? UpStartAct { get; set; }
		[Column(TypeName="datetime2(7)")]
		public virtual DateTime? UpFinishAct { get; set; }
		public virtual int? UpScanUserId { get; set; }
		[StringLength(MaxStatusLength)]
		public virtual string Status { get; set; }
		[StringLength(MaxIsActiveLength)]
		public virtual string IsActive { get; set; }
	}
}
</v>
      </c>
      <c r="D68" s="48" t="str">
        <f>A.Backend!O7</f>
        <v xml:space="preserve">		public const string Pages_Inventory_GPS_InvGpsContentList = "Pages.Inventory.GPS.InvGpsContentList";
		public const string Pages_Inventory_GPS_InvGpsContentList_CreateEdit = "Pages.Inventory.GPS.InvGpsContentList.CreateEdit";
		public const string Pages_Inventory_GPS_InvGpsContentList_Delete = "Pages.Inventory.GPS.InvGpsContentList.Delete";
</v>
      </c>
      <c r="E68" s="48" t="str">
        <f>A.Backend!N7</f>
        <v xml:space="preserve">		var perInvGpsContentList = PARENTS.CreateChildPermission(AppPermissions.Pages_Inventory_GPS_InvGpsContentList, L( "InventoryGPSInvGpsContentList"), multiTenancySides: MultiTenancySides.Tenant);
		perInvGpsContentList.CreateChildPermission(AppPermissions.Pages_Inventory_GPS_InvGpsContentList_CreateEdit, L( "InventoryGPSInvGpsContentListCreateEdit"), multiTenancySides: MultiTenancySides.Tenant);
		perInvGpsContentList.CreateChildPermission(AppPermissions.Pages_Inventory_GPS_InvGpsContentList_Delete, L( "InventoryGPSInvGpsContentListDelete"), multiTenancySides: MultiTenancySides.Tenant);</v>
      </c>
      <c r="F68" s="48" t="str">
        <f>A.Backend!K7</f>
        <v>public virtual DbSet&lt;InvGpsContentList&gt; InvGpsContentLists { get; set; }</v>
      </c>
      <c r="G68" s="48" t="str">
        <f ca="1">A.Backend!L7</f>
        <v xml:space="preserve">namespace prod.Inventory.GPS
{
	public class InvGpsContentListConsts	
	{
		public const int MaxShiftLength = 40;
		public const int MaxSupplierNameLength = 40;
		public const int MaxSupplierCodeLength = 10;
		public const int MaxPcAddressLength = 40;
		public const int MaxDockNoLength = 20;
		public const int MaxOrderNoLength = 50;
		public const int MaxContentNoLength = 60;
		public const int MaxIsPalletOnlyLength = 1;
		public const int MaxPackagingTypeLength = 20;
		public const int MaxIsAdhocReceivingLength = 1;
		public const int MaxGeneratedByLength = 50;
		public const int MaxUnpackStatusLength = 1;
		public const int MaxModuleCdLength = 10;
		public const int MaxStatusLength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InvGpsContentListDto : EntityDto&lt;long?&gt;	
	{
		public virtual DateTime? WorkingDate { get; set; }
		public virtual string Shift { get; set; }
		public virtual string SupplierName { get; set; }
		public virtual string SupplierCode { get; set; }
		public virtual int? RenbanNo { get; set; }
		public virtual string PcAddress { get; set; }
		public virtual string DockNo { get; set; }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public virtual string ContentNo { get; set; }
		public virtual long? OrderId { get; set; }
		public virtual int? PalletSize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int? ModuleRunNo { get; set; }
		public virtual DateTime? UpStartAct { get; set; }
		public virtual DateTime? UpFinishAct { get; set; }
		public virtual int? UpScanUserId { get; set; }
		public virtual string Status { get; set; }
		public virtual string IsActive { get; set; }
	}
	public class CreateOrEditInvGpsContentListDto : EntityDto&lt;long?&gt;	
	{
		public virtual DateTime? WorkingDate { get; set; }
		[StringLength(InvGpsContentListConsts.MaxShiftLength)]
		public virtual string Shift { get; set; }
		[StringLength(InvGpsContentListConsts.MaxSupplierNameLength)]
		public virtual string SupplierName { get; set; }
		[StringLength(InvGpsContentListConsts.MaxSupplierCodeLength)]
		public virtual string SupplierCode { get; set; }
		public virtual int? RenbanNo { get; set; }
		[StringLength(InvGpsContentListConsts.MaxPcAddressLength)]
		public virtual string PcAddress { get; set; }
		[StringLength(InvGpsContentListConsts.MaxDockNoLength)]
		public virtual string DockNo { get; set; }
		[StringLength(InvGpsContentListConsts.MaxOrderNoLength)]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[StringLength(InvGpsContentListConsts.MaxContentNoLength)]
		public virtual string ContentNo { get; set; }
		public virtual long? OrderId { get; set; }
		public virtual int? PalletSize { get; set; }
		[StringLength(InvGpsContentListConsts.MaxIsPalletOnlyLength)]
		public virtual string IsPalletOnly { get; set; }
		[StringLength(InvGpsContentListConsts.MaxPackagingTypeLength)]
		public virtual string PackagingType { get; set; }
		[StringLength(InvGpsContentListConsts.MaxIsAdhocReceivingLength)]
		public virtual string IsAdhocReceiving { get; set; }
		[StringLength(InvGpsContentListConsts.MaxGeneratedByLength)]
		public virtual string GeneratedBy { get; set; }
		[StringLength(InvGpsContentListConsts.MaxUnpackStatusLength)]
		public virtual string UnpackStatus { get; set; }
		[StringLength(InvGpsContentListConsts.MaxModuleCdLength)]
		public virtual string ModuleCd { get; set; }
		public virtual int? ModuleRunNo { get; set; }
		public virtual DateTime? UpStartAct { get; set; }
		public virtual DateTime? UpFinishAct { get; set; }
		public virtual int? UpScanUserId { get; set; }
		[StringLength(InvGpsContentListConsts.MaxStatusLength)]
		public virtual string Status { get; set; }
		[StringLength(InvGpsContentListConsts.MaxIsActiveLength)]
		public virtual string IsActive { get; set; }
	}
	public class GetInvGpsContentListInput : PagedAndSortedResultRequestDto	
	{
		public virtual string Shift { get; set; }
		public virtual string SupplierName { get; set; }
		public virtual string SupplierCode { get; set; }
		public virtual string PcAddress { get; set; }
		public virtual string DockNo { get; set; }
		public virtual string OrderNo { get; set; }
		public virtual string ContentNo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string Status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InvGpsContentListExportInput{
		public virtual DateTime? WorkingDate { get; set; }
		public virtual string Shift { get; set; }
		public virtual string SupplierName { get; set; }
		public virtual string SupplierCode { get; set; }
		public virtual int? RenbanNo { get; set; }
		public virtual string PcAddress { get; set; }
		public virtual string DockNo { get; set; }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public virtual string ContentNo { get; set; }
		public virtual long? OrderId { get; set; }
		public virtual int? PalletSize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int? ModuleRunNo { get; set; }
		public virtual DateTime? UpStartAct { get; set; }
		public virtual DateTime? UpFinishAct { get; set; }
		public virtual int? UpScanUserId { get; set; }
		public virtual string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IInvGpsContentListAppService : IApplicationService
	{
		Task&lt;PagedResultDto&lt;InvGpsContentListDto&gt;&gt; GetAll(GetInvGpsContentListInput input);
		Task CreateOrEdit(CreateOrEditInvGpsContentListDto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IInvGpsContentListExcelExporter : IApplicationService
	{
		FileDto ExportToFile(List&lt;InvGpsContentListDto&gt; invgpscontentlist);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InvGpsContentListExcelExporter : NpoiExcelExporterBase, IInvGpsContentListExcelExporter
    {
        public InvGpsContentListExcelExporter(ITempFileCacheManager tempFileCacheManager) : base(tempFileCacheManager) { }
        public FileDto ExportToFile(List&lt;InvGpsContentListDto&gt; invgpscontentlist)
        {
            return CreateExcelPackage(
				"InventoryGPSInvGpsContentList.xlsx",
				excelPackage =&gt;
				 {
					var sheet = excelPackage.CreateSheet("InvGpsContentList");
					AddHeader(
								sheet,
								("WorkingDate"),
								("Shift"),
								("SupplierName"),
								("SupplierCode"),
								("RenbanNo"),
								("PcAddress"),
								("DockNo"),
								("OrderNo"),
								("OrderDatetime"),
								("TripNo"),
								("PalletBoxQty"),
								("EstPackingDatetime"),
								("EstArrivalDatetime"),
								("ContentNo"),
								("OrderId"),
								("PalletSize"),
								("IsPalletOnly"),
								("PackagingType"),
								("IsAdhocReceiving"),
								("GeneratedBy"),
								("UnpackStatus"),
								("ModuleCd"),
								("ModuleRunNo"),
								("UpStartAct"),
								("UpFinishAct"),
								("UpScanUserId"),
								("Status"),
								("IsActive"),
							   );
					AddObjects(
						 sheet, 1, invgpscontentlist,                                       
								_ =&gt; _.WorkingDate,
								_ =&gt; _.Shift,
								_ =&gt; _.SupplierName,
								_ =&gt; _.SupplierCode,
								_ =&gt; _.RenbanNo,
								_ =&gt; _.PcAddress,
								_ =&gt; _.DockNo,
								_ =&gt; _.OrderNo,
								_ =&gt; _.OrderDatetime,
								_ =&gt; _.TripNo,
								_ =&gt; _.PalletBoxQty,
								_ =&gt; _.EstPackingDatetime,
								_ =&gt; _.EstArrivalDatetime,
								_ =&gt; _.ContentNo,
								_ =&gt; _.OrderId,
								_ =&gt; _.PalletSize,
								_ =&gt; _.IsPalletOnly,
								_ =&gt; _.PackagingType,
								_ =&gt; _.IsAdhocReceiving,
								_ =&gt; _.GeneratedBy,
								_ =&gt; _.UnpackStatus,
								_ =&gt; _.ModuleCd,
								_ =&gt; _.ModuleRunNo,
								_ =&gt; _.UpStartAct,
								_ =&gt; _.UpFinishAct,
								_ =&gt; _.UpScanUserId,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[AbpAuthorize(AppPermissions.Pages_Inventory_GPS_InvGpsContentList)]
    public class InvGpsContentListAppService : vovinaAppServiceBase, IInvGpsContentListAppService
    {
        private readonly IDapperRepository&lt;InvGpsContentList, long&gt; _dapperRepo;
        private readonly IRepository&lt;InvGpsContentList, long&gt; _repo;
        private readonly IInvGpsContentListExcelExporter _calendarListExcelExporter;
        public InvGpsContentListAppService(IRepository&lt;InvGpsContentList,long&gt; repo, 
                                         IDapperRepository&lt;InvGpsContentList,long&gt; dapperRepo,
                                        IInvGpsContentListExcelExporter calendarListExcelExporter
            )
        {
            _repo = repo;
            _dapperRepo = dapperRepo;
            _calendarListExcelExporter = calendarListExcelExporter;
        }
        [AbpAuthorize(AppPermissions.Pages_Inventory_GPS_InvGpsContentList_CreateEdit)]
        public async Task CreateOrEdit(CreateOrEditInvGpsContentListDto input)
        {
            if (input.Id == null) await Create(input);
            else await Update(input);
        }
        //CREATE
        private async Task Create(CreateOrEditInvGpsContentListDto input)
        {          
            var mainObj = ObjectMapper.Map&lt;InvGpsContentList&gt;(input);
            await CurrentUnitOfWork.GetDbContext&lt;vovinaDbContext&gt;().AddAsync(mainObj);
        }
        // EDIT
        private async Task Update(CreateOrEditInvGpsContentListDto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[AbpAuthorize(AppPermissions.Pages_Inventory_GPS_InvGpsContentList_Delete)]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Task&lt;PagedResultDto&lt;InvGpsContentListDto&gt;&gt; GetAll(GetInvGpsContentListInput input)
        {
            var filtered = _repo.GetAll()
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.WhereIf(!string.IsNullOrWhiteSpace(input.PcAddress), e =&gt; e.PcAddress.Contains(input.PcAddress))
				.WhereIf(!string.IsNullOrWhiteSpace(input.DockNo), e =&gt; e.DockNo.Contains(input.DockNo))
				.WhereIf(!string.IsNullOrWhiteSpace(input.OrderNo), e =&gt; e.OrderNo.Contains(input.OrderNo))
				.WhereIf(!string.IsNullOrWhiteSpace(input.ContentNo), e =&gt; e.ContentNo.Contains(input.ContentNo))
				.WhereIf(!string.IsNullOrWhiteSpace(input.IsPalletOnly), e =&gt; e.IsPalletOnly.Contains(input.IsPalletOnly))
				.WhereIf(!string.IsNullOrWhiteSpace(input.PackagingType), e =&gt; e.PackagingType.Contains(input.PackagingType))
				.WhereIf(!string.IsNullOrWhiteSpace(input.IsAdhocReceiving), e =&gt; e.IsAdhocReceiving.Contains(input.IsAdhocReceiving))
				.WhereIf(!string.IsNullOrWhiteSpace(input.GeneratedBy), e =&gt; e.GeneratedBy.Contains(input.GeneratedBy))
				.WhereIf(!string.IsNullOrWhiteSpace(input.UnpackStatus), e =&gt; e.UnpackStatus.Contains(input.UnpackStatus))
				.WhereIf(!string.IsNullOrWhiteSpace(input.ModuleCd), e =&gt; e.ModuleCd.Contains(input.ModuleCd))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InvGpsContentListDto
                        {
							Id = o.Id,
							WorkingDate = o.WorkingDate,
							Shift = o.Shift,
							SupplierName = o.SupplierName,
							SupplierCode = o.SupplierCode,
							RenbanNo = o.RenbanNo,
							PcAddress = o.PcAddress,
							DockNo = o.DockNo,
							OrderNo = o.OrderNo,
							OrderDatetime = o.OrderDatetime,
							TripNo = o.TripNo,
							PalletBoxQty = o.PalletBoxQty,
							EstPackingDatetime = o.EstPackingDatetime,
							EstArrivalDatetime = o.EstArrivalDatetime,
							ContentNo = o.ContentNo,
							OrderId = o.OrderId,
							PalletSize = o.PalletSize,
							IsPalletOnly = o.IsPalletOnly,
							PackagingType = o.PackagingType,
							IsAdhocReceiving = o.IsAdhocReceiving,
							GeneratedBy = o.GeneratedBy,
							UnpackStatus = o.UnpackStatus,
							ModuleCd = o.ModuleCd,
							ModuleRunNo = o.ModuleRunNo,
							UpStartAct = o.UpStartAct,
							UpFinishAct = o.UpFinishAct,
							UpScanUserId = o.UpScanUserId,
							Status = o.Status,
							IsActive = o.IsActive,
                        };
            var totalCount = await filtered.CountAsync();
			var paged = system.PageBy(input);
            return new PagedResultDto&lt;InvGpsContentListDto&gt;(
                totalCount,
                 await paged.ToListAsync()
            );
        }
        public async Task&lt;FileDto&gt; GetInvGpsContentListToExcel(InvGpsContentListExportInput input)
        {
            var query = from o in _repo.GetAll()
                        select new InvGpsContentListDto
                        {
							Id = o.Id,
							WorkingDate = o.WorkingDate,
							Shift = o.Shift,
							SupplierName = o.SupplierName,
							SupplierCode = o.SupplierCode,
							RenbanNo = o.RenbanNo,
							PcAddress = o.PcAddress,
							DockNo = o.DockNo,
							OrderNo = o.OrderNo,
							OrderDatetime = o.OrderDatetime,
							TripNo = o.TripNo,
							PalletBoxQty = o.PalletBoxQty,
							EstPackingDatetime = o.EstPackingDatetime,
							EstArrivalDatetime = o.EstArrivalDatetime,
							ContentNo = o.ContentNo,
							OrderId = o.OrderId,
							PalletSize = o.PalletSize,
							IsPalletOnly = o.IsPalletOnly,
							PackagingType = o.PackagingType,
							IsAdhocReceiving = o.IsAdhocReceiving,
							GeneratedBy = o.GeneratedBy,
							UnpackStatus = o.UnpackStatus,
							ModuleCd = o.ModuleCd,
							ModuleRunNo = o.ModuleRunNo,
							UpStartAct = o.UpStartAct,
							UpFinishAct = o.UpFinishAct,
							UpScanUserId = o.UpScanUserId,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_dapperRepo.ExecuteAsync(InvGpsContentListConsts.SP_MST_WPT_CALENDAR_GENERATE);
       // }
    }
}</v>
      </c>
      <c r="N68" s="58" t="str">
        <f>A.Backend!U7</f>
        <v xml:space="preserve">  configuration.CreateMap&lt;InvGpsContentListDto, InvGpsContentList&gt;();
  configuration.CreateMap&lt;InvGpsContentList, InvGpsContentListDto&gt;();
  configuration.CreateMap&lt;CreateOrEditInvGpsContentListDto, InvGpsContentList&gt;();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invgpscontentlist</v>
      </c>
      <c r="C73" s="66" t="str">
        <f>"create folder " &amp;B73</f>
        <v>create folder invgpscontentlist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invgpscontentlist.component.ts</v>
      </c>
      <c r="D74" s="28" t="str">
        <f>B.Frontend!I14</f>
        <v>invgpscontentlist.component.html</v>
      </c>
      <c r="E74" s="28" t="str">
        <f>B.Frontend!J14</f>
        <v>invgpscontentlist.component.less</v>
      </c>
      <c r="F74" s="28" t="str">
        <f>B.Frontend!K14</f>
        <v>create-or-edit-invgpscontentlist-modal.component.html</v>
      </c>
      <c r="G74" s="28" t="str">
        <f>B.Frontend!L14</f>
        <v>create-or-edit-invgpscontentlist-modal.component.ts</v>
      </c>
      <c r="H74" s="28" t="str">
        <f>B.Frontend!M14</f>
        <v>create-or-edit-invgpscontentlist-modal.component.less</v>
      </c>
      <c r="I74" s="28" t="str">
        <f>B.Frontend!N14</f>
        <v>invgpscontentlist.module.ts</v>
      </c>
      <c r="J74" s="28" t="str">
        <f>B.Frontend!O14</f>
        <v>invgpscontentlist-routing.module.ts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InvGpsContentListDto, InvGpsContentListServiceProxy } from '@shared/service-proxies/service-proxies';
import { finalize } from 'rxjs/internal/operators/finalize';
import { CreateOrEditInvGpsContentListModalComponent } from './create-or-edit-invgpscontentlist-modal.component';
import { DatePipe } from '@angular/common';
import { FileDownloadService } from '@shared/utils/file-download.service';
import ceil from 'lodash-es/ceil';
import { Paginator } from 'primeng/paginator';
@Component({
    templateUrl: './invgpscontentlist.component.html',
    styleUrls: ['./invgpscontentlist.component.less'],
})
export class InvGpsContentListComponent extends AppComponentBase implements OnInit {
    @ViewChild('createOrEditModalInvGpsContentList', { static: true }) createOrEditModalInvGpsContentList:| CreateOrEditInvGpsContentListModalComponent|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InvGpsContentListDto = new InvGpsContentListDto();
    saveSelectedRow: InvGpsContentListDto = new InvGpsContentListDto();
    datas: InvGpsContentListDto = new InvGpsContentListDto();
    isLoading: boolean = false;
    dataParams: GridParams | undefined;
    rowData: any[] = [];
    gridApi!: GridApi;
    rowSelection = 'multiple';
    filter: string = '';
	pipe = new DatePipe('en-US');
	frameworkComponents: FrameworkComponent;
    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InvGpsContentListServiceProxy,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this.l('Renban No'),headerTooltip: this.l('Renban No'),field: 'renbanNo',flex: 1},
			{headerName: this.l('Pc Address'),headerTooltip: this.l('Pc Address'),field: 'pcAddress',flex: 1},
			{headerName: this.l('Dock No'),headerTooltip: this.l('Dock No'),field: 'dockNo',flex: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this.l('Pallet Box Qty'),headerTooltip: this.l('Pallet Box Qty'),field: 'palletBoxQty',flex: 1},
			{headerName: this.l('Est Packing Datetime'),headerTooltip: this.l('Est Packing Datetime'),field: 'estPackingDatetime',flex: 1},
			{headerName: this.l('Est Arrival Datetime'),headerTooltip: this.l('Est Arrival Datetime'),field: 'estArrivalDatetime',flex: 1},
			{headerName: this.l('Content No'),headerTooltip: this.l('Content No'),field: 'contentNo',flex: 1},
			{headerName: this.l('Order Id'),headerTooltip: this.l('Order Id'),field: 'orderId',flex: 1},
			{headerName: this.l('Pallet Size'),headerTooltip: this.l('Pallet Size'),field: 'palletSize',flex: 1},
			{headerName: this.l('Is Pallet Only'),headerTooltip: this.l('Is Pallet Only'),field:  'isPalletOnly', cellClass: ['text-center'], width: 120, cellRenderer: 'agCellButtonComponent',
buttonDefTwo: { text: params =&gt; (params.data?.'isPalletOnly' == 'Y') ? 'Active' : 'Inactive',iconName: 'fa fa-circle',className: params =&gt; (params.data?.'isPalletOnly' == 'Y') ? 'btnActive' : 'btnInActive',},}
			{headerName: this.l('Packaging Type'),headerTooltip: this.l('Packaging Type'),field: 'packagingType',flex: 1},
			{headerName: this.l('Is Adhoc Receiving'),headerTooltip: this.l('Is Adhoc Receiving'),field:  'isAdhocReceiving', cellClass: ['text-center'], width: 120, cellRenderer: 'agCellButtonComponent',
buttonDefTwo: { text: params =&gt; (params.data?.'isAdhocReceiving' == 'Y') ? 'Active' : 'Inactive',iconName: 'fa fa-circle',className: params =&gt; (params.data?.'isAdhocReceiving' == 'Y') ? 'btnActive' : 'btnInActive',},}
			{headerName: this.l('Generated By'),headerTooltip: this.l('Generated By'),field: 'generatedBy',flex: 1},
			{headerName: this.l('Unpack Status'),headerTooltip: this.l('Unpack Status'),field:  'unpackStatus', cellClass: ['text-center'], width: 120, cellRenderer: 'agCellButtonComponent',
buttonDefTwo: { text: params =&gt; (params.data?.'unpackStatus' == 'Y') ? 'Active' : 'Inactive',iconName: 'fa fa-circle',className: params =&gt; (params.data?.'unpackStatus' == 'Y') ? 'btnActive' : 'btnInActive',},}
			{headerName: this.l('Module Cd'),headerTooltip: this.l('Module Cd'),field: 'moduleCd',flex: 1},
			{headerName: this.l('Module Run No'),headerTooltip: this.l('Module Run No'),field: 'moduleRunNo',flex: 1},
			{headerName: this.l('Up Start Act'),headerTooltip: this.l('Up Start Act'),field: 'upStartAct',flex: 1},
			{headerName: this.l('Up Finish Act'),headerTooltip: this.l('Up Finish Act'),field: 'upFinishAct',flex: 1},
			{headerName: this.l('Up Scan User Id'),headerTooltip: this.l('Up Scan User Id'),field: 'upScanUserId',flex: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this.shift,
			this.supplierName,
			this.renbanNo,
			this.pcAddress,
			this.dockNo,
			this.estArrivalDatetime,
			this.isPalletOnly,
			this.isAdhocReceiving,
			this.unpackStatus,
			this.upScanUserId,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this.shift,
			this.supplierName,
			this.renbanNo,
			this.pcAddress,
			this.dockNo,
			this.estArrivalDatetime,
			this.isPalletOnly,
			this.isAdhocReceiving,
			this.unpackStatus,
			this.upScanUserId,
			'',
            this.paginationParams.skipCount,
            this.paginationParams.pageSize
        );
    }
    onChangeRowSelection(params: { api: { getSelectedRows: () =&gt; InvGpsContentListDto[] } }) {
        this.saveSelectedRow = params.api.getSelectedRows()[0] ?? new InvGpsContentListDto();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InvGpsContentListDto):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this._service.getInvGpsContentListToExcel(
			this.workingDate,
			this.shift,
			this.supplierName,
			this.renbanNo,
			this.pcAddress,
			this.dockNo,
			this.estArrivalDatetime,
			this.isPalletOnly,
			this.isAdhocReceiving,
			this.unpackStatus,
			this.upScanUserId,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Content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[(ngModel)]='dockNo' name='dockNo'
									class='form-control' [placeholder]="l('Dock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[(ngModel)]='contentNo' name='contentNo'
									class='form-control' [placeholder]="l('Content No')"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[(ngModel)]='moduleCd' name='moduleCd'
									class='form-control' [placeholder]="l('Module Cd')"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(click)="createOrEditModalInvGpsContentList.show()"&gt;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(click)="createOrEditModalInvGpsContentList.show(selectedRow)"&gt;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&lt;create-or-edit-invgpscontentlist-modal
    #createOrEditModalInvGpsContentList
    (modalSave)="callBackDataGrid(dataParams)"
    (modalClose)="onChangeRowSelection(dataParams)"
&gt;
&lt;/create-or-edit-invgpscontentlist-modal&gt;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#createOrEditModalInvGpsContentList="bs-modal"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InvGpsContentList')}}&lt;/h3&gt;
                    &lt;h3 *ngIf="!rowdata.id"&gt;{{('Create New InvGpsContentList')}}&lt;/h3&gt;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title'&gt;Dock No&lt;/label&gt;
						&lt;input type='text' class='col-md-10 form-control input-text' name='DockNo' [(ngModel)]='rowdata.dockNo'&gt;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title'&gt;Pallet Box Qty&lt;/label&gt;
						&lt;input type='number' class='col-md-10 form-control input-text' name='PalletBoxQty' [(ngModel)]='rowdata.palletBoxQty'&gt;
					&lt;/div&gt;
					&lt;div class='col-md-12 form-group row'&gt;
						&lt;label class='col-md-2 form-control title'&gt;Est Packing Datetime&lt;/label&gt;
						&lt;input type='text' class='col-md-10 form-control input-text' name='estPackingDatetime' 
						#datepicker='bsDatepicker' [(ngModel)]='rowdata.estPackingDatetime'  bsDatepicker 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title'&gt;Content No&lt;/label&gt;
						&lt;input type='text' class='col-md-10 form-control input-text' name='ContentNo' [(ngModel)]='rowdata.contentNo'&gt;
					&lt;/div&gt;
					&lt;div class='col-md-12 form-group row'&gt;
						&lt;label class='col-md-2 form-control title'&gt;Order Id&lt;/label&gt;
						&lt;input type='number' class='col-md-10 form-control input-text' name='OrderId' [(ngModel)]='rowdata.orderId'&gt;
					&lt;/div&gt;
					&lt;div class='col-md-12 form-group row'&gt;
						&lt;label class='col-md-2 form-control title'&gt;Pallet Size&lt;/label&gt;
						&lt;input type='number' class='col-md-10 form-control input-text' name='PalletSize' [(ngModel)]='rowdata.palletSize'&gt;
					&lt;/div&gt;
					&lt;div class='col-md-12 form-group row'&gt;
						&lt;label class='col-md-2 form-control title'&gt;Is Pallet Only&lt;/label&gt;
						&lt;new-checkbox [(ngModel)]='_isPalletOnly' name='isPalletOnly' className='col-md-10' &gt; &lt;/new-checkbox&gt;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title'&gt;Is Adhoc Receiving&lt;/label&gt;
						&lt;new-checkbox [(ngModel)]='_isAdhocReceiving' name='isAdhocReceiving' className='col-md-10' &gt; &lt;/new-checkbox&gt;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title'&gt;Unpack Status&lt;/label&gt;
						&lt;new-checkbox [(ngModel)]='_unpackStatus' name='unpackStatus' className='col-md-10' &gt; &lt;/new-checkbox&gt;
					&lt;/div&gt;
					&lt;div class='col-md-12 form-group row'&gt;
						&lt;label class='col-md-2 form-control title'&gt;Module Cd&lt;/label&gt;
						&lt;input type='text' class='col-md-10 form-control input-text' name='ModuleCd' [(ngModel)]='rowdata.moduleCd'&gt;
					&lt;/div&gt;
					&lt;div class='col-md-12 form-group row'&gt;
						&lt;label class='col-md-2 form-control title'&gt;Module Run No&lt;/label&gt;
						&lt;input type='number' class='col-md-10 form-control input-text' name='ModuleRunNo' [(ngModel)]='rowdata.moduleRunNo'&gt;
					&lt;/div&gt;
					&lt;div class='col-md-12 form-group row'&gt;
						&lt;label class='col-md-2 form-control title'&gt;Up Start Act&lt;/label&gt;
						&lt;input type='text' class='col-md-10 form-control input-text' name='upStartAct' 
						#datepicker='bsDatepicker' [(ngModel)]='rowdata.upStartAct'  bsDatepicker &gt;
					&lt;/div&gt;
					&lt;div class='col-md-12 form-group row'&gt;
						&lt;label class='col-md-2 form-control title'&gt;Up Finish Act&lt;/label&gt;
						&lt;input type='text' class='col-md-10 form-control input-text' name='upFinishAct' 
						#datepicker='bsDatepicker' [(ngModel)]='rowdata.upFinishAct'  bsDatepicker &gt;
					&lt;/div&gt;
					&lt;div class='col-md-12 form-group row'&gt;
						&lt;label class='col-md-2 form-control title'&gt;Up Scan User Id&lt;/label&gt;
						&lt;input type='number' class='col-md-10 form-control input-text' name='UpScanUserId' [(ngModel)]='rowdata.upScanUserId'&gt;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CreateOrEditInvGpsContentListDto, InvGpsContentListServiceProxy } from '@shared/service-proxies/service-proxies';
import { BsDatepickerDirective } from 'ngx-bootstrap/datepicker';
@Component({
    selector: 'create-or-edit-invgpscontentlist-modal',
    templateUrl: './create-or-edit-invgpscontentlist-modal.component.html',
    styleUrls: ['./create-or-edit-invgpscontentlist-modal.component.less']
    })
export class CreateOrEditInvGpsContentListModalComponent extends AppComponentBase {
    @ViewChild('createOrEditModalInvGpsContentList',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CreateOrEditInvGpsContentListDto = new CreateOrEditInvGpsContentListDto();
    active: boolean = false;
    saving: boolean = false;
    _isPalletOnly
isAdhocReceiving
unpackStatus
isActive: boolean;
    constructor(
        injector: Injector,
        private _mstwptInvGpsContentListService: InvGpsContentListServiceProxy,
    ) 
    {
        super(injector);
    }
    show(rowdata?: CreateOrEditInvGpsContentListDto): void {
        if (!rowdata) this.rowdata = new CreateOrEditInvGpsContentListDto();
        else this.rowdata = rowdata;
        this._isPalletOnly
isAdhocReceiving
unpackStatus
isActive = (this.rowdata.isPalletOnly
isAdhocReceiving
unpackStatus
isActive == "N")? false: true;
        this.active = true;
        this.modal.show();
    } 
    changeActive(event){
        this._isPalletOnly
isAdhocReceiving
unpackStatus
isActive = event.target.checked;
    }
    save(): void {
    this.saving = true; 
    this.rowdata.isPalletOnly
isAdhocReceiving
unpackStatus
isActive = (this._isPalletOnly
isAdhocReceiving
unpackStatus
isActive == true) ? 'Y' : 'N'
    this._mstwptInvGpsContentListService.createOrEdit(this.rowdata)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InvGpsContentListRoutingModule } from './invgpscontentlist-routing.module';
import { InvGpsContentListComponent } from './invgpscontentlist.component';
import { CreateOrEditInvGpsContentListModalComponent } from './create-or-edit-invgpscontentlist-modal.component';
@NgModule({
    declarations: [
       InvGpsContentListComponent, 
        CreateOrEditInvGpsContentListModalComponent
    ],
    imports: [
        AppSharedModule, InvGpsContentListRoutingModule]
})
export class InvGpsContentListModule {}</v>
      </c>
      <c r="J75" s="46" t="str">
        <f>B.Frontend!O10</f>
        <v>import {NgModule} from '@angular/core';
import {RouterModule, Routes} from '@angular/router';
import { InvGpsContentListComponent } from './invgpscontentlist.component';
const routes: Routes = [{
    path: '',
    component: InvGpsContentListComponent,
    pathMatch: 'full'
}];
@NgModule({
    imports: [RouterModule.forChild(routes)],
    exports: [RouterModule],
})
export class InvGpsContentListRoutingModule {}</v>
      </c>
      <c r="K75" s="46" t="str">
        <f>B.Frontend!P10</f>
        <v xml:space="preserve"> new AppMenuItem("InvGpsContentList", "Pages.Inventory.GPS.InvGpsContentList", "flaticon-book",   "/app/main/inventory/gps/invgpscontentlist"),</v>
      </c>
      <c r="L75" s="47" t="str">
        <f>B.Frontend!Q10</f>
        <v>{
    path: 'inventory/gps/invgpscontentlist',
    loadChildren: () =&gt; import('./inventory/gps/invgpscontentlist/invgpscontentlist.module').then(m =&gt; m.InvGpsContentListModule),
    data: { permission: 'Pages.Inventory.GPS.InvGpsContentList' }
},</v>
      </c>
      <c r="M75" s="45" t="str">
        <f>B.Frontend!R10</f>
        <v>ApiServiceProxies.InvGpsContentListServiceProxy,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8"/>
  <sheetViews>
    <sheetView topLeftCell="A10" workbookViewId="0">
      <pane xSplit="1" topLeftCell="B1" activePane="topRight" state="frozen"/>
      <selection pane="topRight" activeCell="A38" sqref="A38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40</v>
      </c>
      <c r="D3" s="9" t="s">
        <v>41</v>
      </c>
      <c r="E3" s="9" t="s">
        <v>36</v>
      </c>
      <c r="F3" s="10" t="str">
        <f>"J"&amp;COUNTA($A:$A)</f>
        <v>J36</v>
      </c>
      <c r="G3" s="4" t="s">
        <v>53</v>
      </c>
      <c r="H3" s="9" t="str">
        <f>"I"&amp;COUNTA($A:$A)</f>
        <v>I36</v>
      </c>
      <c r="I3" s="9" t="str">
        <f>REPT(CHAR(9),2)&amp;"[Required]"&amp;"
"</f>
        <v xml:space="preserve">		[Required]
</v>
      </c>
      <c r="J3" s="10" t="str">
        <f>"L"&amp;COUNTA($A:$A)</f>
        <v>L36</v>
      </c>
      <c r="K3" s="5" t="s">
        <v>52</v>
      </c>
      <c r="L3" s="10" t="str">
        <f>"M"&amp;COUNTA($A:$A)</f>
        <v>M36</v>
      </c>
      <c r="M3" s="10" t="str">
        <f>"N"&amp;COUNTA($A:$A)</f>
        <v>N36</v>
      </c>
      <c r="N3" s="10" t="str">
        <f>"O"&amp;COUNTA($A:$A)</f>
        <v>O36</v>
      </c>
      <c r="O3" s="10" t="str">
        <f>"P"&amp;COUNTA($A:$A)</f>
        <v>P36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InvGpsContentListExportInput{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T36</v>
      </c>
      <c r="V3" s="10" t="str">
        <f>"V"&amp;COUNTA($A:$A)</f>
        <v>V36</v>
      </c>
      <c r="W3" s="9" t="str">
        <f>"W"&amp;COUNTA($A:$A)</f>
        <v>W36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InvGpsContentList: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InvGpsContentListConsts	
	{
</v>
      </c>
      <c r="F6" s="10" t="str">
        <f>REPT(CHAR(9),1)&amp;"public class "&amp;B3&amp;"Dto"&amp;K3&amp;REPT(CHAR(9),1)&amp;"
"&amp;REPT(CHAR(9),1)&amp;C3</f>
        <v xml:space="preserve">	public class InvGpsContentListDto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CreateOrEditInvGpsContentListDto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GetInvGpsContentListInput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InvGpsContentList</v>
      </c>
      <c r="C7" s="10" t="str">
        <f>REPT(CHAR(9),1)&amp;"[Table("""&amp;B7&amp;""")]"&amp;"
"</f>
        <v xml:space="preserve">	[Table("InvGpsContentList")]
</v>
      </c>
      <c r="D7" s="10"/>
      <c r="E7" s="10"/>
      <c r="F7" s="10"/>
      <c r="G7" s="10"/>
      <c r="H7" s="10"/>
      <c r="I7" s="10"/>
      <c r="J7" t="str">
        <f ca="1">SUBSTITUTE(SUBSTITUTE((B1&amp;C6&amp;C7&amp;K38&amp;D6&amp;I38&amp;E3&amp;J38&amp;""&amp;REPT(CHAR(9),1)&amp;D3&amp;D3),"WorkingPattern",$Q$3),"Master",$B$4)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[Table("InvGpsContentList")]
	[Index(nameof(WorkingDate), Name="IX_InvGpsContentList_WorkingDate")]
	[Index(nameof(Shift), Name="IX_InvGpsContentList_Shift")]
	[Index(nameof(SupplierCode), Name="IX_InvGpsContentList_SupplierCode")]
	[Index(nameof(OrderNo), Name="IX_InvGpsContentList_OrderNo")]
	[Index(nameof(OrderId), Name="IX_InvGpsContentList_OrderId")]
	[Index(nameof(UpScanUserId), Name="IX_InvGpsContentList_UpScanUserId")]
	[Index(nameof(Status), Name="IX_InvGpsContentList_Status")]
	[Index(nameof(IsActive), Name="IX_InvGpsContentList_IsActive")]	public class InvGpsContentList: FullAuditedEntity&lt;long&gt;, IEntity&lt;long&gt;	
	{
		public const int MaxShiftLength = 40;
		public const int MaxSupplierNameLength = 40;
		public const int MaxSupplierCodeLength = 10;
		public const int MaxPcAddressLength = 40;
		public const int MaxDockNoLength = 20;
		public const int MaxOrderNoLength = 50;
		public const int MaxContentNoLength = 60;
		public const int MaxIsPalletOnlyLength = 1;
		public const int MaxPackagingTypeLength = 20;
		public const int MaxIsAdhocReceivingLength = 1;
		public const int MaxGeneratedByLength = 50;
		public const int MaxUnpackStatusLength = 1;
		public const int MaxModuleCdLength = 10;
		public const int MaxStatusLength = 50;
		public const int MaxIsActiveLength = 1;
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public virtual int? RenbanNo { get; set; }
		[StringLength(MaxPcAddressLength)]
		public virtual string PcAddress { get; set; }
		[StringLength(MaxDockNoLength)]
		public virtual string DockNo { get; set; }
		[StringLength(MaxOrderNoLength)]
		public virtual string OrderNo { get; set; }
		[Column(TypeName="datetime2(7)")]
		public virtual DateTime? OrderDatetime { get; set; }
		public virtual int? TripNo { get; set; }
		public virtual int? PalletBoxQty { get; set; }
		[Column(TypeName="datetime2(7)")]
		public virtual DateTime? EstPackingDatetime { get; set; }
		[Column(TypeName="datetime2(7)")]
		public virtual DateTime? EstArrivalDatetime { get; set; }
		[StringLength(MaxContentNoLength)]
		public virtual string ContentNo { get; set; }
		public virtual long? OrderId { get; set; }
		public virtual int? PalletSize { get; set; }
		[StringLength(MaxIsPalletOnlyLength)]
		public virtual string IsPalletOnly { get; set; }
		[StringLength(MaxPackagingTypeLength)]
		public virtual string PackagingType { get; set; }
		[StringLength(MaxIsAdhocReceivingLength)]
		public virtual string IsAdhocReceiving { get; set; }
		[StringLength(MaxGeneratedByLength)]
		public virtual string GeneratedBy { get; set; }
		[StringLength(MaxUnpackStatusLength)]
		public virtual string UnpackStatus { get; set; }
		[StringLength(MaxModuleCdLength)]
		public virtual string ModuleCd { get; set; }
		public virtual int? ModuleRunNo { get; set; }
		[Column(TypeName="datetime2(7)")]
		public virtual DateTime? UpStartAct { get; set; }
		[Column(TypeName="datetime2(7)")]
		public virtual DateTime? UpFinishAct { get; set; }
		public virtual int? UpScanUserId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DbSet&lt;InvGpsContentList&gt; InvGpsContentLists { get; set; }</v>
      </c>
      <c r="L7" t="str">
        <f ca="1">SUBSTITUTE(SUBSTITUTE((C6&amp;E6&amp;I38&amp;"
"&amp;REPT(CHAR(9),2)&amp;"// Define Store Name: Format SP_ + &lt;Store Name&gt; = &lt;Store Name&gt;
"&amp;E3&amp;REPT(CHAR(9),1)&amp;D3&amp;D3),"WorkingPattern",$Q$3),"Master",$B$4)</f>
        <v xml:space="preserve">namespace prod.Inventory.GPS
{
	public class InvGpsContentListConsts	
	{
		public const int MaxShiftLength = 40;
		public const int MaxSupplierNameLength = 40;
		public const int MaxSupplierCodeLength = 10;
		public const int MaxPcAddressLength = 40;
		public const int MaxDockNoLength = 20;
		public const int MaxOrderNoLength = 50;
		public const int MaxContentNoLength = 60;
		public const int MaxIsPalletOnlyLength = 1;
		public const int MaxPackagingTypeLength = 20;
		public const int MaxIsAdhocReceivingLength = 1;
		public const int MaxGeneratedByLength = 50;
		public const int MaxUnpackStatusLength = 1;
		public const int MaxModuleCdLength = 10;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"&amp;B6&amp;".Dto"&amp;E3&amp;C3&amp;F6&amp;M38&amp;E3&amp;REPT(CHAR(9),1)&amp;D3&amp;G6&amp;N38&amp;REPT(CHAR(9),1)&amp;D3&amp;H6&amp;O38&amp;"
"&amp;REPT(CHAR(9),1)&amp;D3&amp;D3),"WorkingPattern",$Q$3),"Master",$B$4)</f>
        <v xml:space="preserve">using Abp.Application.Services.Dto;
using System;
using System.ComponentModel.DataAnnotations;
namespace prod.Inventory.GPS.Dto
{
	public class InvGpsContentListDto : EntityDto&lt;long?&gt;	
	{
		public virtual DateTime? WorkingDate { get; set; }
		public virtual string Shift { get; set; }
		public virtual string SupplierName { get; set; }
		public virtual string SupplierCode { get; set; }
		public virtual int? RenbanNo { get; set; }
		public virtual string PcAddress { get; set; }
		public virtual string DockNo { get; set; }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public virtual string ContentNo { get; set; }
		public virtual long? OrderId { get; set; }
		public virtual int? PalletSize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int? ModuleRunNo { get; set; }
		public virtual DateTime? UpStartAct { get; set; }
		public virtual DateTime? UpFinishAct { get; set; }
		public virtual int? UpScanUserId { get; set; }
		public virtual string Status { get; set; }
		public virtual string IsActive { get; set; }
	}
	public class CreateOrEditInvGpsContentListDto : EntityDto&lt;long?&gt;	
	{
		public virtual DateTime? WorkingDate { get; set; }
		[StringLength(InvGpsContentListConsts.MaxShiftLength)]
		public virtual string Shift { get; set; }
		[StringLength(InvGpsContentListConsts.MaxSupplierNameLength)]
		public virtual string SupplierName { get; set; }
		[StringLength(InvGpsContentListConsts.MaxSupplierCodeLength)]
		public virtual string SupplierCode { get; set; }
		public virtual int? RenbanNo { get; set; }
		[StringLength(InvGpsContentListConsts.MaxPcAddressLength)]
		public virtual string PcAddress { get; set; }
		[StringLength(InvGpsContentListConsts.MaxDockNoLength)]
		public virtual string DockNo { get; set; }
		[StringLength(InvGpsContentListConsts.MaxOrderNoLength)]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[StringLength(InvGpsContentListConsts.MaxContentNoLength)]
		public virtual string ContentNo { get; set; }
		public virtual long? OrderId { get; set; }
		public virtual int? PalletSize { get; set; }
		[StringLength(InvGpsContentListConsts.MaxIsPalletOnlyLength)]
		public virtual string IsPalletOnly { get; set; }
		[StringLength(InvGpsContentListConsts.MaxPackagingTypeLength)]
		public virtual string PackagingType { get; set; }
		[StringLength(InvGpsContentListConsts.MaxIsAdhocReceivingLength)]
		public virtual string IsAdhocReceiving { get; set; }
		[StringLength(InvGpsContentListConsts.MaxGeneratedByLength)]
		public virtual string GeneratedBy { get; set; }
		[StringLength(InvGpsContentListConsts.MaxUnpackStatusLength)]
		public virtual string UnpackStatus { get; set; }
		[StringLength(InvGpsContentListConsts.MaxModuleCdLength)]
		public virtual string ModuleCd { get; set; }
		public virtual int? ModuleRunNo { get; set; }
		public virtual DateTime? UpStartAct { get; set; }
		public virtual DateTime? UpFinishAct { get; set; }
		public virtual int? UpScanUserId { get; set; }
		[StringLength(InvGpsContentListConsts.MaxStatusLength)]
		public virtual string Status { get; set; }
		[StringLength(InvGpsContentListConsts.MaxIsActiveLength)]
		public virtual string IsActive { get; set; }
	}
	public class GetInvGpsContentListInput : PagedAndSortedResultRequestDto	
	{
		public virtual string Shift { get; set; }
		public virtual string SupplierName { get; set; }
		public virtual string SupplierCode { get; set; }
		public virtual string PcAddress { get; set; }
		public virtual string DockNo { get; set; }
		public virtual string OrderNo { get; set; }
		public virtual string ContentNo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perInvGpsContentList = PARENTS.CreateChildPermission(AppPermissions.Pages_Inventory_GPS_InvGpsContentList, L( "InventoryGPSInvGpsContentList"), multiTenancySides: MultiTenancySides.Tenant);
		perInvGpsContentList.CreateChildPermission(AppPermissions.Pages_Inventory_GPS_InvGpsContentList_CreateEdit, L( "InventoryGPSInvGpsContentListCreateEdit"), multiTenancySides: MultiTenancySides.Tenant);
		perInvGpsContentList.CreateChildPermission(AppPermissions.Pages_Inventory_GPS_InvGpsContentList_Delete, L( "InventoryGPSInvGpsContentListDelete"),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Pages_Inventory_GPS_InvGpsContentList = "Pages.Inventory.GPS.InvGpsContentList";
		public const string Pages_Inventory_GPS_InvGpsContentList_CreateEdit = "Pages.Inventory.GPS.InvGpsContentList.CreateEdit";
		public const string Pages_Inventory_GPS_InvGpsContentList_Delete = "Pages.Inventory.GPS.InvGpsContentList.Delete";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IInvGpsContentListAppService : IApplicationService
	{
		Task&lt;PagedResultDto&lt;InvGpsContentListDto&gt;&gt; GetAll(GetInvGpsContentListInput input);
		Task CreateOrEdit(CreateOrEditInvGpsContentListDto input);
		Task Delete(EntityDto input);
	}
}
</v>
      </c>
      <c r="Q7" t="str">
        <f ca="1">SUBSTITUTE(SUBSTITUTE(SUBSTITUTE(SUBSTITUTE(SUBSTITUTE(SUBSTITUTE(E1,"MstWptCalendar",$B$3),"&lt;PROPERTIES&gt;",P38),"Calendar",$B$5),"WorkingPattern",$Q$3),"Master",$B$4),"&lt;PARAMS_SEARCH&gt;",$W$38)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[AbpAuthorize(AppPermissions.Pages_Inventory_GPS_InvGpsContentList)]
    public class InvGpsContentListAppService : vovinaAppServiceBase, IInvGpsContentListAppService
    {
        private readonly IDapperRepository&lt;InvGpsContentList, long&gt; _dapperRepo;
        private readonly IRepository&lt;InvGpsContentList, long&gt; _repo;
        private readonly IInvGpsContentListExcelExporter _calendarListExcelExporter;
        public InvGpsContentListAppService(IRepository&lt;InvGpsContentList,long&gt; repo, 
                                         IDapperRepository&lt;InvGpsContentList,long&gt; dapperRepo,
                                        IInvGpsContentListExcelExporter calendarListExcelExporter
            )
        {
            _repo = repo;
            _dapperRepo = dapperRepo;
            _calendarListExcelExporter = calendarListExcelExporter;
        }
        [AbpAuthorize(AppPermissions.Pages_Inventory_GPS_InvGpsContentList_CreateEdit)]
        public async Task CreateOrEdit(CreateOrEditInvGpsContentListDto input)
        {
            if (input.Id == null) await Create(input);
            else await Update(input);
        }
        //CREATE
        private async Task Create(CreateOrEditInvGpsContentListDto input)
        {          
            var mainObj = ObjectMapper.Map&lt;InvGpsContentList&gt;(input);
            await CurrentUnitOfWork.GetDbContext&lt;vovinaDbContext&gt;().AddAsync(mainObj);
        }
        // EDIT
        private async Task Update(CreateOrEditInvGpsContentListDto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[AbpAuthorize(AppPermissions.Pages_Inventory_GPS_InvGpsContentList_Delete)]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Task&lt;PagedResultDto&lt;InvGpsContentListDto&gt;&gt; GetAll(GetInvGpsContentListInput input)
        {
            var filtered = _repo.GetAll()
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.WhereIf(!string.IsNullOrWhiteSpace(input.PcAddress), e =&gt; e.PcAddress.Contains(input.PcAddress))
				.WhereIf(!string.IsNullOrWhiteSpace(input.DockNo), e =&gt; e.DockNo.Contains(input.DockNo))
				.WhereIf(!string.IsNullOrWhiteSpace(input.OrderNo), e =&gt; e.OrderNo.Contains(input.OrderNo))
				.WhereIf(!string.IsNullOrWhiteSpace(input.ContentNo), e =&gt; e.ContentNo.Contains(input.ContentNo))
				.WhereIf(!string.IsNullOrWhiteSpace(input.IsPalletOnly), e =&gt; e.IsPalletOnly.Contains(input.IsPalletOnly))
				.WhereIf(!string.IsNullOrWhiteSpace(input.PackagingType), e =&gt; e.PackagingType.Contains(input.PackagingType))
				.WhereIf(!string.IsNullOrWhiteSpace(input.IsAdhocReceiving), e =&gt; e.IsAdhocReceiving.Contains(input.IsAdhocReceiving))
				.WhereIf(!string.IsNullOrWhiteSpace(input.GeneratedBy), e =&gt; e.GeneratedBy.Contains(input.GeneratedBy))
				.WhereIf(!string.IsNullOrWhiteSpace(input.UnpackStatus), e =&gt; e.UnpackStatus.Contains(input.UnpackStatus))
				.WhereIf(!string.IsNullOrWhiteSpace(input.ModuleCd), e =&gt; e.ModuleCd.Contains(input.ModuleCd))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InvGpsContentListDto
                        {
							Id = o.Id,
							WorkingDate = o.WorkingDate,
							Shift = o.Shift,
							SupplierName = o.SupplierName,
							SupplierCode = o.SupplierCode,
							RenbanNo = o.RenbanNo,
							PcAddress = o.PcAddress,
							DockNo = o.DockNo,
							OrderNo = o.OrderNo,
							OrderDatetime = o.OrderDatetime,
							TripNo = o.TripNo,
							PalletBoxQty = o.PalletBoxQty,
							EstPackingDatetime = o.EstPackingDatetime,
							EstArrivalDatetime = o.EstArrivalDatetime,
							ContentNo = o.ContentNo,
							OrderId = o.OrderId,
							PalletSize = o.PalletSize,
							IsPalletOnly = o.IsPalletOnly,
							PackagingType = o.PackagingType,
							IsAdhocReceiving = o.IsAdhocReceiving,
							GeneratedBy = o.GeneratedBy,
							UnpackStatus = o.UnpackStatus,
							ModuleCd = o.ModuleCd,
							ModuleRunNo = o.ModuleRunNo,
							UpStartAct = o.UpStartAct,
							UpFinishAct = o.UpFinishAct,
							UpScanUserId = o.UpScanUserId,
							Status = o.Status,
							IsActive = o.IsActive,
                        };
            var totalCount = await filtered.CountAsync();
			var paged = system.PageBy(input);
            return new PagedResultDto&lt;InvGpsContentListDto&gt;(
                totalCount,
                 await paged.ToListAsync()
            );
        }
        public async Task&lt;FileDto&gt; GetInvGpsContentListToExcel(InvGpsContentListExportInput input)
        {
            var query = from o in _repo.GetAll()
                        select new InvGpsContentListDto
                        {
							Id = o.Id,
							WorkingDate = o.WorkingDate,
							Shift = o.Shift,
							SupplierName = o.SupplierName,
							SupplierCode = o.SupplierCode,
							RenbanNo = o.RenbanNo,
							PcAddress = o.PcAddress,
							DockNo = o.DockNo,
							OrderNo = o.OrderNo,
							OrderDatetime = o.OrderDatetime,
							TripNo = o.TripNo,
							PalletBoxQty = o.PalletBoxQty,
							EstPackingDatetime = o.EstPackingDatetime,
							EstArrivalDatetime = o.EstArrivalDatetime,
							ContentNo = o.ContentNo,
							OrderId = o.OrderId,
							PalletSize = o.PalletSize,
							IsPalletOnly = o.IsPalletOnly,
							PackagingType = o.PackagingType,
							IsAdhocReceiving = o.IsAdhocReceiving,
							GeneratedBy = o.GeneratedBy,
							UnpackStatus = o.UnpackStatus,
							ModuleCd = o.ModuleCd,
							ModuleRunNo = o.ModuleRunNo,
							UpStartAct = o.UpStartAct,
							UpFinishAct = o.UpFinishAct,
							UpScanUserId = o.UpScanUserId,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_dapperRepo.ExecuteAsync(InvGpsContentListConsts.SP_MST_WPT_CALENDAR_GENERATE);
       // }
    }
}</v>
      </c>
      <c r="R7" t="str">
        <f ca="1">SUBSTITUTE(SUBSTITUTE((C1&amp;"namespace "&amp;B6&amp;".Dto"&amp;E3&amp;C3&amp;R3&amp;M38&amp;E3&amp;REPT(CHAR(9),1)&amp;D3&amp;D3),"WorkingPattern",$Q$3),"Master",$B$4)</f>
        <v xml:space="preserve">using Abp.Application.Services.Dto;
using System;
using System.ComponentModel.DataAnnotations;
namespace prod.Inventory.GPS.Dto
{
	public class InvGpsContentListExportInput{
		public virtual DateTime? WorkingDate { get; set; }
		public virtual string Shift { get; set; }
		public virtual string SupplierName { get; set; }
		public virtual string SupplierCode { get; set; }
		public virtual int? RenbanNo { get; set; }
		public virtual string PcAddress { get; set; }
		public virtual string DockNo { get; set; }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public virtual string ContentNo { get; set; }
		public virtual long? OrderId { get; set; }
		public virtual int? PalletSize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int? ModuleRunNo { get; set; }
		public virtual DateTime? UpStartAct { get; set; }
		public virtual DateTime? UpFinishAct { get; set; }
		public virtual int? UpScanUserId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IInvGpsContentListExcelExporter : IApplicationService
	{
		FileDto ExportToFile(List&lt;InvGpsContentListDto&gt; invgpscontentlist);
	}
}
</v>
      </c>
      <c r="T7" s="26" t="str">
        <f ca="1">SUBSTITUTE(SUBSTITUTE(SUBSTITUTE(SUBSTITUTE(SUBSTITUTE(SUBSTITUTE(SUBSTITUTE(T1,"MstWptCalendar",$B$3),"&lt;PROPERTIES1&gt;",V38),"&lt;PROPERTIES&gt;",T38),"Calendar",$B$5),"calendar",LOWER(B5)),"WorkingPattern",$Q$3),"Master",$B$4)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InvGpsContentListExcelExporter : NpoiExcelExporterBase, IInvGpsContentListExcelExporter
    {
        public InvGpsContentListExcelExporter(ITempFileCacheManager tempFileCacheManager) : base(tempFileCacheManager) { }
        public FileDto ExportToFile(List&lt;InvGpsContentListDto&gt; invgpscontentlist)
        {
            return CreateExcelPackage(
				"InventoryGPSInvGpsContentList.xlsx",
				excelPackage =&gt;
				 {
					var sheet = excelPackage.CreateSheet("InvGpsContentList");
					AddHeader(
								sheet,
								("WorkingDate"),
								("Shift"),
								("SupplierName"),
								("SupplierCode"),
								("RenbanNo"),
								("PcAddress"),
								("DockNo"),
								("OrderNo"),
								("OrderDatetime"),
								("TripNo"),
								("PalletBoxQty"),
								("EstPackingDatetime"),
								("EstArrivalDatetime"),
								("ContentNo"),
								("OrderId"),
								("PalletSize"),
								("IsPalletOnly"),
								("PackagingType"),
								("IsAdhocReceiving"),
								("GeneratedBy"),
								("UnpackStatus"),
								("ModuleCd"),
								("ModuleRunNo"),
								("UpStartAct"),
								("UpFinishAct"),
								("UpScanUserId"),
								("Status"),
								("IsActive"),
							   );
					AddObjects(
						 sheet, 1, invgpscontentlist,                                       
								_ =&gt; _.WorkingDate,
								_ =&gt; _.Shift,
								_ =&gt; _.SupplierName,
								_ =&gt; _.SupplierCode,
								_ =&gt; _.RenbanNo,
								_ =&gt; _.PcAddress,
								_ =&gt; _.DockNo,
								_ =&gt; _.OrderNo,
								_ =&gt; _.OrderDatetime,
								_ =&gt; _.TripNo,
								_ =&gt; _.PalletBoxQty,
								_ =&gt; _.EstPackingDatetime,
								_ =&gt; _.EstArrivalDatetime,
								_ =&gt; _.ContentNo,
								_ =&gt; _.OrderId,
								_ =&gt; _.PalletSize,
								_ =&gt; _.IsPalletOnly,
								_ =&gt; _.PackagingType,
								_ =&gt; _.IsAdhocReceiving,
								_ =&gt; _.GeneratedBy,
								_ =&gt; _.UnpackStatus,
								_ =&gt; _.ModuleCd,
								_ =&gt; _.ModuleRunNo,
								_ =&gt; _.UpStartAct,
								_ =&gt; _.UpFinishAct,
								_ =&gt; _.UpScanUserId,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configuration.CreateMap&lt;InvGpsContentListDto, InvGpsContentList&gt;();
  configuration.CreateMap&lt;InvGpsContentList, InvGpsContentListDto&gt;();
  configuration.CreateMap&lt;CreateOrEditInvGpsContentListDto, InvGpsContentList&gt;();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367</v>
      </c>
      <c r="B9" s="28" t="s">
        <v>2</v>
      </c>
      <c r="C9" t="s">
        <v>1</v>
      </c>
      <c r="D9" t="str">
        <f t="shared" ref="D9:D14" si="0">SUBSTITUTE(PROPER(A9),"_","")</f>
        <v>WorkingDate</v>
      </c>
      <c r="E9" t="str">
        <f t="shared" ref="E9:E14" si="1">IFERROR(LEFT(B9, FIND("(",B9)-1),B9)</f>
        <v>date</v>
      </c>
      <c r="F9" s="6" t="s">
        <v>2</v>
      </c>
      <c r="G9" t="str">
        <f t="shared" ref="G9:G14" si="2">IFERROR(MID(B9,FIND("(",B9) +1, FIND(")",B9) - FIND("(",B9) - 1),"")</f>
        <v/>
      </c>
      <c r="H9" t="str">
        <f>+VLOOKUP(E9,'Data Type Mapping'!A:B,2,)</f>
        <v>DateTime?</v>
      </c>
      <c r="I9" t="str">
        <f t="shared" ref="I9:I14" si="3">IF(H9="string",REPT(CHAR(9),2)&amp;"public const int Max"&amp;D9&amp;"Length = "&amp;G9&amp;";"&amp;$E$3,"" )</f>
        <v/>
      </c>
      <c r="J9" t="str">
        <f t="shared" ref="J9:J1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[Column(TypeName="date")]
		public virtual DateTime? WorkingDate { get; set; }
</v>
      </c>
      <c r="K9" s="6" t="s">
        <v>360</v>
      </c>
      <c r="L9" t="str">
        <f t="shared" ref="L9:L14" si="5">IF(K9="","",REPT(CHAR(9),1)&amp;"[Index(nameof("&amp;IF(D9="","",""&amp;D9)&amp;")"&amp;", Name="&amp;"""IX_"&amp;$B$7&amp;"_"&amp;D9&amp;""")]")</f>
        <v xml:space="preserve">	[Index(nameof(WorkingDate), Name="IX_InvGpsContentList_WorkingDate")]</v>
      </c>
      <c r="M9" t="str">
        <f t="shared" ref="M9:M14" si="6">REPT(CHAR(9),2)&amp;"public virtual "&amp;IF(OR(H9="DateTime",H9="TimeSpan"),H9&amp;"?",H9)&amp;IF(C9="?","? "," ")&amp;D9&amp;" { get; set; }" &amp; "
"</f>
        <v xml:space="preserve">		public virtual DateTime? WorkingDate { get; set; }
</v>
      </c>
      <c r="N9" t="str">
        <f t="shared" ref="N9:N1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DateTime? WorkingDate { get; set; }
</v>
      </c>
      <c r="O9" t="str">
        <f t="shared" ref="O9:O14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4" si="9">REPT(CHAR(9),7)&amp;D9&amp;" = o." &amp;D9 &amp;","</f>
        <v xml:space="preserve">							WorkingDate = o.WorkingDate,</v>
      </c>
      <c r="T9" s="63" t="str">
        <f t="shared" ref="T9:T14" si="10">REPT(CHAR(9),8)&amp;"("""&amp;D9&amp;"""),"</f>
        <v xml:space="preserve">								("WorkingDate"),</v>
      </c>
      <c r="V9" s="64" t="str">
        <f t="shared" ref="V9:V14" si="11">REPT(CHAR(9),8)&amp;"_ =&gt; _."&amp;D9&amp;","</f>
        <v xml:space="preserve">								_ =&gt; _.WorkingDate,</v>
      </c>
      <c r="W9" s="63" t="str">
        <f t="shared" ref="W9:W1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368</v>
      </c>
      <c r="B10" s="28" t="s">
        <v>356</v>
      </c>
      <c r="C10" t="s">
        <v>1</v>
      </c>
      <c r="D10" t="str">
        <f t="shared" si="0"/>
        <v>Shift</v>
      </c>
      <c r="E10" t="str">
        <f t="shared" si="1"/>
        <v>varchar</v>
      </c>
      <c r="F10" s="6"/>
      <c r="G10" t="str">
        <f t="shared" si="2"/>
        <v>40</v>
      </c>
      <c r="H10" t="str">
        <f>+VLOOKUP(E10,'Data Type Mapping'!A:B,2,)</f>
        <v>string</v>
      </c>
      <c r="I10" t="str">
        <f t="shared" si="3"/>
        <v xml:space="preserve">		public const int MaxShiftLength = 40;
</v>
      </c>
      <c r="J10" t="str">
        <f t="shared" si="4"/>
        <v xml:space="preserve">		[StringLength(MaxShiftLength)]
		public virtual string Shift { get; set; }
</v>
      </c>
      <c r="K10" s="6" t="s">
        <v>360</v>
      </c>
      <c r="L10" t="str">
        <f t="shared" si="5"/>
        <v xml:space="preserve">	[Index(nameof(Shift), Name="IX_InvGpsContentList_Shift")]</v>
      </c>
      <c r="M10" t="str">
        <f t="shared" si="6"/>
        <v xml:space="preserve">		public virtual string Shift { get; set; }
</v>
      </c>
      <c r="N10" t="str">
        <f t="shared" si="7"/>
        <v xml:space="preserve">		[StringLength(InvGpsContentListConsts.MaxShiftLength)]
		public virtual string Shift { get; set; }
</v>
      </c>
      <c r="O10" t="str">
        <f t="shared" si="8"/>
        <v xml:space="preserve">		public virtual string Shift { get; set; }
</v>
      </c>
      <c r="P10" t="str">
        <f t="shared" si="9"/>
        <v xml:space="preserve">							Shift = o.Shift,</v>
      </c>
      <c r="T10" s="63" t="str">
        <f t="shared" si="10"/>
        <v xml:space="preserve">								("Shift"),</v>
      </c>
      <c r="V10" s="64" t="str">
        <f t="shared" si="11"/>
        <v xml:space="preserve">								_ =&gt; _.Shift,</v>
      </c>
      <c r="W10" s="63" t="str">
        <f t="shared" si="12"/>
        <v xml:space="preserve">				.WhereIf(!string.IsNullOrWhiteSpace(input.Shift), e =&gt; e.Shift.Contains(input.Shift))</v>
      </c>
    </row>
    <row r="11" spans="1:23" customFormat="1" ht="18.75" customHeight="1" x14ac:dyDescent="0.25">
      <c r="A11" s="28" t="s">
        <v>369</v>
      </c>
      <c r="B11" s="28" t="s">
        <v>370</v>
      </c>
      <c r="C11" t="s">
        <v>1</v>
      </c>
      <c r="D11" t="str">
        <f t="shared" si="0"/>
        <v>SupplierName</v>
      </c>
      <c r="E11" t="str">
        <f t="shared" si="1"/>
        <v>nvarchar</v>
      </c>
      <c r="F11" s="6"/>
      <c r="G11" t="str">
        <f t="shared" si="2"/>
        <v>40</v>
      </c>
      <c r="H11" t="str">
        <f>+VLOOKUP(E11,'Data Type Mapping'!A:B,2,)</f>
        <v>string</v>
      </c>
      <c r="I11" t="str">
        <f t="shared" si="3"/>
        <v xml:space="preserve">		public const int MaxSupplierNameLength = 40;
</v>
      </c>
      <c r="J11" t="str">
        <f t="shared" si="4"/>
        <v xml:space="preserve">		[StringLength(MaxSupplierNameLength)]
		public virtual string SupplierName { get; set; }
</v>
      </c>
      <c r="K11" s="6"/>
      <c r="L11" t="str">
        <f t="shared" si="5"/>
        <v/>
      </c>
      <c r="M11" t="str">
        <f t="shared" si="6"/>
        <v xml:space="preserve">		public virtual string SupplierName { get; set; }
</v>
      </c>
      <c r="N11" t="str">
        <f t="shared" si="7"/>
        <v xml:space="preserve">		[StringLength(InvGpsContentListConsts.MaxSupplierNameLength)]
		public virtual string SupplierName { get; set; }
</v>
      </c>
      <c r="O11" t="str">
        <f t="shared" si="8"/>
        <v xml:space="preserve">		public virtual string SupplierName { get; set; }
</v>
      </c>
      <c r="P11" t="str">
        <f t="shared" si="9"/>
        <v xml:space="preserve">							SupplierName = o.SupplierName,</v>
      </c>
      <c r="T11" s="63" t="str">
        <f t="shared" si="10"/>
        <v xml:space="preserve">								("SupplierName"),</v>
      </c>
      <c r="V11" s="64" t="str">
        <f t="shared" si="11"/>
        <v xml:space="preserve">								_ =&gt; _.SupplierName,</v>
      </c>
      <c r="W11" s="63" t="str">
        <f t="shared" si="12"/>
        <v xml:space="preserve">				.WhereIf(!string.IsNullOrWhiteSpace(input.SupplierName), e =&gt; e.SupplierName.Contains(input.SupplierName))</v>
      </c>
    </row>
    <row r="12" spans="1:23" customFormat="1" ht="18.75" customHeight="1" x14ac:dyDescent="0.25">
      <c r="A12" s="28" t="s">
        <v>371</v>
      </c>
      <c r="B12" s="28" t="s">
        <v>372</v>
      </c>
      <c r="C12" t="s">
        <v>1</v>
      </c>
      <c r="D12" t="str">
        <f t="shared" si="0"/>
        <v>SupplierCode</v>
      </c>
      <c r="E12" t="str">
        <f t="shared" si="1"/>
        <v>varchar</v>
      </c>
      <c r="F12" s="6"/>
      <c r="G12" t="str">
        <f t="shared" si="2"/>
        <v>10</v>
      </c>
      <c r="H12" t="str">
        <f>+VLOOKUP(E12,'Data Type Mapping'!A:B,2,)</f>
        <v>string</v>
      </c>
      <c r="I12" t="str">
        <f t="shared" si="3"/>
        <v xml:space="preserve">		public const int MaxSupplierCodeLength = 10;
</v>
      </c>
      <c r="J12" t="str">
        <f t="shared" si="4"/>
        <v xml:space="preserve">		[StringLength(MaxSupplierCodeLength)]
		public virtual string SupplierCode { get; set; }
</v>
      </c>
      <c r="K12" s="6" t="s">
        <v>360</v>
      </c>
      <c r="L12" t="str">
        <f t="shared" si="5"/>
        <v xml:space="preserve">	[Index(nameof(SupplierCode), Name="IX_InvGpsContentList_SupplierCode")]</v>
      </c>
      <c r="M12" t="str">
        <f t="shared" si="6"/>
        <v xml:space="preserve">		public virtual string SupplierCode { get; set; }
</v>
      </c>
      <c r="N12" t="str">
        <f t="shared" si="7"/>
        <v xml:space="preserve">		[StringLength(InvGpsContentListConsts.MaxSupplierCodeLength)]
		public virtual string SupplierCode { get; set; }
</v>
      </c>
      <c r="O12" t="str">
        <f t="shared" si="8"/>
        <v xml:space="preserve">		public virtual string SupplierCode { get; set; }
</v>
      </c>
      <c r="P12" t="str">
        <f t="shared" si="9"/>
        <v xml:space="preserve">							SupplierCode = o.SupplierCode,</v>
      </c>
      <c r="T12" s="63" t="str">
        <f t="shared" si="10"/>
        <v xml:space="preserve">								("SupplierCode"),</v>
      </c>
      <c r="V12" s="64" t="str">
        <f t="shared" si="11"/>
        <v xml:space="preserve">								_ =&gt; _.SupplierCode,</v>
      </c>
      <c r="W12" s="63" t="str">
        <f t="shared" si="12"/>
        <v xml:space="preserve">				.WhereIf(!string.IsNullOrWhiteSpace(input.SupplierCode), e =&gt; e.SupplierCode.Contains(input.SupplierCode))</v>
      </c>
    </row>
    <row r="13" spans="1:23" customFormat="1" ht="18.75" customHeight="1" x14ac:dyDescent="0.25">
      <c r="A13" s="28" t="s">
        <v>363</v>
      </c>
      <c r="B13" s="28" t="s">
        <v>4</v>
      </c>
      <c r="C13" t="s">
        <v>1</v>
      </c>
      <c r="D13" t="str">
        <f t="shared" si="0"/>
        <v>RenbanNo</v>
      </c>
      <c r="E13" t="str">
        <f t="shared" si="1"/>
        <v>int</v>
      </c>
      <c r="F13" s="6"/>
      <c r="G13" t="str">
        <f t="shared" si="2"/>
        <v/>
      </c>
      <c r="H13" t="str">
        <f>+VLOOKUP(E13,'Data Type Mapping'!A:B,2,)</f>
        <v>int?</v>
      </c>
      <c r="I13" t="str">
        <f t="shared" si="3"/>
        <v/>
      </c>
      <c r="J13" t="str">
        <f t="shared" si="4"/>
        <v xml:space="preserve">		public virtual int? RenbanNo { get; set; }
</v>
      </c>
      <c r="K13" s="6"/>
      <c r="L13" t="str">
        <f t="shared" si="5"/>
        <v/>
      </c>
      <c r="M13" t="str">
        <f t="shared" si="6"/>
        <v xml:space="preserve">		public virtual int? RenbanNo { get; set; }
</v>
      </c>
      <c r="N13" t="str">
        <f t="shared" si="7"/>
        <v xml:space="preserve">		public virtual int? RenbanNo { get; set; }
</v>
      </c>
      <c r="O13" t="str">
        <f t="shared" si="8"/>
        <v/>
      </c>
      <c r="P13" t="str">
        <f t="shared" si="9"/>
        <v xml:space="preserve">							RenbanNo = o.RenbanNo,</v>
      </c>
      <c r="T13" s="63" t="str">
        <f t="shared" si="10"/>
        <v xml:space="preserve">								("RenbanNo"),</v>
      </c>
      <c r="V13" s="64" t="str">
        <f t="shared" si="11"/>
        <v xml:space="preserve">								_ =&gt; _.RenbanNo,</v>
      </c>
      <c r="W13" s="63" t="str">
        <f t="shared" si="12"/>
        <v/>
      </c>
    </row>
    <row r="14" spans="1:23" customFormat="1" ht="18.75" customHeight="1" x14ac:dyDescent="0.25">
      <c r="A14" s="28" t="s">
        <v>362</v>
      </c>
      <c r="B14" s="28" t="s">
        <v>356</v>
      </c>
      <c r="C14" t="s">
        <v>1</v>
      </c>
      <c r="D14" t="str">
        <f t="shared" si="0"/>
        <v>PcAddress</v>
      </c>
      <c r="E14" t="str">
        <f t="shared" si="1"/>
        <v>varchar</v>
      </c>
      <c r="F14" s="6"/>
      <c r="G14" t="str">
        <f t="shared" si="2"/>
        <v>40</v>
      </c>
      <c r="H14" t="str">
        <f>+VLOOKUP(E14,'Data Type Mapping'!A:B,2,)</f>
        <v>string</v>
      </c>
      <c r="I14" t="str">
        <f t="shared" si="3"/>
        <v xml:space="preserve">		public const int MaxPcAddressLength = 40;
</v>
      </c>
      <c r="J14" t="str">
        <f t="shared" si="4"/>
        <v xml:space="preserve">		[StringLength(MaxPcAddressLength)]
		public virtual string PcAddress { get; set; }
</v>
      </c>
      <c r="K14" s="6"/>
      <c r="L14" t="str">
        <f t="shared" si="5"/>
        <v/>
      </c>
      <c r="M14" t="str">
        <f t="shared" si="6"/>
        <v xml:space="preserve">		public virtual string PcAddress { get; set; }
</v>
      </c>
      <c r="N14" t="str">
        <f t="shared" si="7"/>
        <v xml:space="preserve">		[StringLength(InvGpsContentListConsts.MaxPcAddressLength)]
		public virtual string PcAddress { get; set; }
</v>
      </c>
      <c r="O14" t="str">
        <f t="shared" si="8"/>
        <v xml:space="preserve">		public virtual string PcAddress { get; set; }
</v>
      </c>
      <c r="P14" t="str">
        <f t="shared" si="9"/>
        <v xml:space="preserve">							PcAddress = o.PcAddress,</v>
      </c>
      <c r="T14" s="63" t="str">
        <f t="shared" si="10"/>
        <v xml:space="preserve">								("PcAddress"),</v>
      </c>
      <c r="V14" s="64" t="str">
        <f t="shared" si="11"/>
        <v xml:space="preserve">								_ =&gt; _.PcAddress,</v>
      </c>
      <c r="W14" s="63" t="str">
        <f t="shared" si="12"/>
        <v xml:space="preserve">				.WhereIf(!string.IsNullOrWhiteSpace(input.PcAddress), e =&gt; e.PcAddress.Contains(input.PcAddress))</v>
      </c>
    </row>
    <row r="15" spans="1:23" customFormat="1" ht="18.75" customHeight="1" x14ac:dyDescent="0.25">
      <c r="A15" s="28" t="s">
        <v>373</v>
      </c>
      <c r="B15" s="28" t="s">
        <v>361</v>
      </c>
      <c r="C15" t="s">
        <v>1</v>
      </c>
      <c r="D15" t="str">
        <f t="shared" ref="D15:D16" si="13">SUBSTITUTE(PROPER(A15),"_","")</f>
        <v>DockNo</v>
      </c>
      <c r="E15" t="str">
        <f t="shared" ref="E15:E16" si="14">IFERROR(LEFT(B15, FIND("(",B15)-1),B15)</f>
        <v>varchar</v>
      </c>
      <c r="F15" s="6"/>
      <c r="G15" t="str">
        <f t="shared" ref="G15:G16" si="15">IFERROR(MID(B15,FIND("(",B15) +1, FIND(")",B15) - FIND("(",B15) - 1),"")</f>
        <v>20</v>
      </c>
      <c r="H15" t="str">
        <f>+VLOOKUP(E15,'Data Type Mapping'!A:B,2,)</f>
        <v>string</v>
      </c>
      <c r="I15" t="str">
        <f t="shared" ref="I15:I16" si="16">IF(H15="string",REPT(CHAR(9),2)&amp;"public const int Max"&amp;D15&amp;"Length = "&amp;G15&amp;";"&amp;$E$3,"" )</f>
        <v xml:space="preserve">		public const int MaxDockNoLength = 20;
</v>
      </c>
      <c r="J15" t="str">
        <f t="shared" ref="J15:J16" si="1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[StringLength(MaxDockNoLength)]
		public virtual string DockNo { get; set; }
</v>
      </c>
      <c r="K15" s="6"/>
      <c r="L15" t="str">
        <f t="shared" ref="L15:L16" si="18">IF(K15="","",REPT(CHAR(9),1)&amp;"[Index(nameof("&amp;IF(D15="","",""&amp;D15)&amp;")"&amp;", Name="&amp;"""IX_"&amp;$B$7&amp;"_"&amp;D15&amp;""")]")</f>
        <v/>
      </c>
      <c r="M15" t="str">
        <f t="shared" ref="M15:M16" si="19">REPT(CHAR(9),2)&amp;"public virtual "&amp;IF(OR(H15="DateTime",H15="TimeSpan"),H15&amp;"?",H15)&amp;IF(C15="?","? "," ")&amp;D15&amp;" { get; set; }" &amp; "
"</f>
        <v xml:space="preserve">		public virtual string DockNo { get; set; }
</v>
      </c>
      <c r="N15" t="str">
        <f t="shared" ref="N15:N16" si="2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[StringLength(InvGpsContentListConsts.MaxDockNoLength)]
		public virtual string DockNo { get; set; }
</v>
      </c>
      <c r="O15" t="str">
        <f t="shared" ref="O15:O16" si="21">IF(OR(H15="string",H15="DateTime",H15="int"),REPT(CHAR(9),2)&amp;"public virtual "&amp;IF(OR(H15="DateTime",H15="TimeSpan"),H15&amp;"?",H15)&amp;IF(C15="?","? "," ")&amp;D15&amp;" { get; set; }"&amp;$E$3,"")</f>
        <v xml:space="preserve">		public virtual string DockNo { get; set; }
</v>
      </c>
      <c r="P15" t="str">
        <f t="shared" ref="P15:P16" si="22">REPT(CHAR(9),7)&amp;D15&amp;" = o." &amp;D15 &amp;","</f>
        <v xml:space="preserve">							DockNo = o.DockNo,</v>
      </c>
      <c r="T15" s="63" t="str">
        <f t="shared" ref="T15:T16" si="23">REPT(CHAR(9),8)&amp;"("""&amp;D15&amp;"""),"</f>
        <v xml:space="preserve">								("DockNo"),</v>
      </c>
      <c r="V15" s="64" t="str">
        <f t="shared" ref="V15:V16" si="24">REPT(CHAR(9),8)&amp;"_ =&gt; _."&amp;D15&amp;","</f>
        <v xml:space="preserve">								_ =&gt; _.DockNo,</v>
      </c>
      <c r="W15" s="63" t="str">
        <f t="shared" ref="W15:W16" si="2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.WhereIf(!string.IsNullOrWhiteSpace(input.DockNo), e =&gt; e.DockNo.Contains(input.DockNo))</v>
      </c>
    </row>
    <row r="16" spans="1:23" customFormat="1" ht="18.75" customHeight="1" x14ac:dyDescent="0.25">
      <c r="A16" s="28" t="s">
        <v>374</v>
      </c>
      <c r="B16" s="28" t="s">
        <v>375</v>
      </c>
      <c r="C16" t="s">
        <v>1</v>
      </c>
      <c r="D16" t="str">
        <f t="shared" si="13"/>
        <v>OrderNo</v>
      </c>
      <c r="E16" t="str">
        <f t="shared" si="14"/>
        <v>varchar</v>
      </c>
      <c r="F16" s="6"/>
      <c r="G16" t="str">
        <f t="shared" si="15"/>
        <v>50</v>
      </c>
      <c r="H16" t="str">
        <f>+VLOOKUP(E16,'Data Type Mapping'!A:B,2,)</f>
        <v>string</v>
      </c>
      <c r="I16" t="str">
        <f t="shared" si="16"/>
        <v xml:space="preserve">		public const int MaxOrderNoLength = 50;
</v>
      </c>
      <c r="J16" t="str">
        <f t="shared" si="17"/>
        <v xml:space="preserve">		[StringLength(MaxOrderNoLength)]
		public virtual string OrderNo { get; set; }
</v>
      </c>
      <c r="K16" s="6" t="s">
        <v>360</v>
      </c>
      <c r="L16" t="str">
        <f t="shared" si="18"/>
        <v xml:space="preserve">	[Index(nameof(OrderNo), Name="IX_InvGpsContentList_OrderNo")]</v>
      </c>
      <c r="M16" t="str">
        <f t="shared" si="19"/>
        <v xml:space="preserve">		public virtual string OrderNo { get; set; }
</v>
      </c>
      <c r="N16" t="str">
        <f t="shared" si="20"/>
        <v xml:space="preserve">		[StringLength(InvGpsContentListConsts.MaxOrderNoLength)]
		public virtual string OrderNo { get; set; }
</v>
      </c>
      <c r="O16" t="str">
        <f t="shared" si="21"/>
        <v xml:space="preserve">		public virtual string OrderNo { get; set; }
</v>
      </c>
      <c r="P16" t="str">
        <f t="shared" si="22"/>
        <v xml:space="preserve">							OrderNo = o.OrderNo,</v>
      </c>
      <c r="T16" s="63" t="str">
        <f t="shared" si="23"/>
        <v xml:space="preserve">								("OrderNo"),</v>
      </c>
      <c r="V16" s="64" t="str">
        <f t="shared" si="24"/>
        <v xml:space="preserve">								_ =&gt; _.OrderNo,</v>
      </c>
      <c r="W16" s="63" t="str">
        <f t="shared" si="25"/>
        <v xml:space="preserve">				.WhereIf(!string.IsNullOrWhiteSpace(input.OrderNo), e =&gt; e.OrderNo.Contains(input.OrderNo))</v>
      </c>
    </row>
    <row r="17" spans="1:23" customFormat="1" ht="18.75" customHeight="1" x14ac:dyDescent="0.25">
      <c r="A17" s="28" t="s">
        <v>376</v>
      </c>
      <c r="B17" s="28" t="s">
        <v>3</v>
      </c>
      <c r="C17" t="s">
        <v>1</v>
      </c>
      <c r="D17" t="str">
        <f t="shared" ref="D17" si="26">SUBSTITUTE(PROPER(A17),"_","")</f>
        <v>OrderDatetime</v>
      </c>
      <c r="E17" t="str">
        <f t="shared" ref="E17" si="27">IFERROR(LEFT(B17, FIND("(",B17)-1),B17)</f>
        <v>datetime</v>
      </c>
      <c r="F17" s="6" t="s">
        <v>393</v>
      </c>
      <c r="G17" t="str">
        <f t="shared" ref="G17" si="28">IFERROR(MID(B17,FIND("(",B17) +1, FIND(")",B17) - FIND("(",B17) - 1),"")</f>
        <v/>
      </c>
      <c r="H17" t="str">
        <f>+VLOOKUP(E17,'Data Type Mapping'!A:B,2,)</f>
        <v>DateTime?</v>
      </c>
      <c r="I17" t="str">
        <f t="shared" ref="I17" si="29">IF(H17="string",REPT(CHAR(9),2)&amp;"public const int Max"&amp;D17&amp;"Length = "&amp;G17&amp;";"&amp;$E$3,"" )</f>
        <v/>
      </c>
      <c r="J17" t="str">
        <f t="shared" ref="J17" si="3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[Column(TypeName="datetime2(7)")]
		public virtual DateTime? OrderDatetime { get; set; }
</v>
      </c>
      <c r="K17" s="6"/>
      <c r="L17" t="str">
        <f t="shared" ref="L17" si="31">IF(K17="","",REPT(CHAR(9),1)&amp;"[Index(nameof("&amp;IF(D17="","",""&amp;D17)&amp;")"&amp;", Name="&amp;"""IX_"&amp;$B$7&amp;"_"&amp;D17&amp;""")]")</f>
        <v/>
      </c>
      <c r="M17" t="str">
        <f t="shared" ref="M17" si="32">REPT(CHAR(9),2)&amp;"public virtual "&amp;IF(OR(H17="DateTime",H17="TimeSpan"),H17&amp;"?",H17)&amp;IF(C17="?","? "," ")&amp;D17&amp;" { get; set; }" &amp; "
"</f>
        <v xml:space="preserve">		public virtual DateTime? OrderDatetime { get; set; }
</v>
      </c>
      <c r="N17" t="str">
        <f t="shared" ref="N17" si="3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OrderDatetime { get; set; }
</v>
      </c>
      <c r="O17" t="str">
        <f t="shared" ref="O17" si="34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35">REPT(CHAR(9),7)&amp;D17&amp;" = o." &amp;D17 &amp;","</f>
        <v xml:space="preserve">							OrderDatetime = o.OrderDatetime,</v>
      </c>
      <c r="T17" s="63" t="str">
        <f t="shared" ref="T17" si="36">REPT(CHAR(9),8)&amp;"("""&amp;D17&amp;"""),"</f>
        <v xml:space="preserve">								("OrderDatetime"),</v>
      </c>
      <c r="V17" s="64" t="str">
        <f t="shared" ref="V17" si="37">REPT(CHAR(9),8)&amp;"_ =&gt; _."&amp;D17&amp;","</f>
        <v xml:space="preserve">								_ =&gt; _.OrderDatetime,</v>
      </c>
      <c r="W17" s="63" t="str">
        <f t="shared" ref="W17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28" t="s">
        <v>377</v>
      </c>
      <c r="B18" s="28" t="s">
        <v>4</v>
      </c>
      <c r="C18" t="s">
        <v>1</v>
      </c>
      <c r="D18" t="str">
        <f t="shared" ref="D18" si="39">SUBSTITUTE(PROPER(A18),"_","")</f>
        <v>TripNo</v>
      </c>
      <c r="E18" t="str">
        <f t="shared" ref="E18" si="40">IFERROR(LEFT(B18, FIND("(",B18)-1),B18)</f>
        <v>int</v>
      </c>
      <c r="F18" s="6"/>
      <c r="G18" t="str">
        <f t="shared" ref="G18" si="41">IFERROR(MID(B18,FIND("(",B18) +1, FIND(")",B18) - FIND("(",B18) - 1),"")</f>
        <v/>
      </c>
      <c r="H18" t="str">
        <f>+VLOOKUP(E18,'Data Type Mapping'!A:B,2,)</f>
        <v>int?</v>
      </c>
      <c r="I18" t="str">
        <f t="shared" ref="I18" si="42">IF(H18="string",REPT(CHAR(9),2)&amp;"public const int Max"&amp;D18&amp;"Length = "&amp;G18&amp;";"&amp;$E$3,"" )</f>
        <v/>
      </c>
      <c r="J18" t="str">
        <f t="shared" ref="J18" si="43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int? TripNo { get; set; }
</v>
      </c>
      <c r="K18" s="6"/>
      <c r="L18" t="str">
        <f t="shared" ref="L18" si="44">IF(K18="","",REPT(CHAR(9),1)&amp;"[Index(nameof("&amp;IF(D18="","",""&amp;D18)&amp;")"&amp;", Name="&amp;"""IX_"&amp;$B$7&amp;"_"&amp;D18&amp;""")]")</f>
        <v/>
      </c>
      <c r="M18" t="str">
        <f t="shared" ref="M18" si="45">REPT(CHAR(9),2)&amp;"public virtual "&amp;IF(OR(H18="DateTime",H18="TimeSpan"),H18&amp;"?",H18)&amp;IF(C18="?","? "," ")&amp;D18&amp;" { get; set; }" &amp; "
"</f>
        <v xml:space="preserve">		public virtual int? TripNo { get; set; }
</v>
      </c>
      <c r="N18" t="str">
        <f t="shared" ref="N18" si="46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int? TripNo { get; set; }
</v>
      </c>
      <c r="O18" t="str">
        <f t="shared" ref="O18" si="47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8">REPT(CHAR(9),7)&amp;D18&amp;" = o." &amp;D18 &amp;","</f>
        <v xml:space="preserve">							TripNo = o.TripNo,</v>
      </c>
      <c r="T18" s="63" t="str">
        <f t="shared" ref="T18" si="49">REPT(CHAR(9),8)&amp;"("""&amp;D18&amp;"""),"</f>
        <v xml:space="preserve">								("TripNo"),</v>
      </c>
      <c r="V18" s="64" t="str">
        <f t="shared" ref="V18" si="50">REPT(CHAR(9),8)&amp;"_ =&gt; _."&amp;D18&amp;","</f>
        <v xml:space="preserve">								_ =&gt; _.TripNo,</v>
      </c>
      <c r="W18" s="63" t="str">
        <f t="shared" ref="W18" si="51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s="28" t="s">
        <v>378</v>
      </c>
      <c r="B19" s="28" t="s">
        <v>4</v>
      </c>
      <c r="C19" t="s">
        <v>1</v>
      </c>
      <c r="D19" t="str">
        <f t="shared" ref="D19:D20" si="52">SUBSTITUTE(PROPER(A19),"_","")</f>
        <v>PalletBoxQty</v>
      </c>
      <c r="E19" t="str">
        <f t="shared" ref="E19:E20" si="53">IFERROR(LEFT(B19, FIND("(",B19)-1),B19)</f>
        <v>int</v>
      </c>
      <c r="F19" s="6"/>
      <c r="G19" t="str">
        <f t="shared" ref="G19:G20" si="54">IFERROR(MID(B19,FIND("(",B19) +1, FIND(")",B19) - FIND("(",B19) - 1),"")</f>
        <v/>
      </c>
      <c r="H19" t="str">
        <f>+VLOOKUP(E19,'Data Type Mapping'!A:B,2,)</f>
        <v>int?</v>
      </c>
      <c r="I19" t="str">
        <f t="shared" ref="I19:I20" si="55">IF(H19="string",REPT(CHAR(9),2)&amp;"public const int Max"&amp;D19&amp;"Length = "&amp;G19&amp;";"&amp;$E$3,"" )</f>
        <v/>
      </c>
      <c r="J19" t="str">
        <f t="shared" ref="J19:J20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int? PalletBoxQty { get; set; }
</v>
      </c>
      <c r="K19" s="6"/>
      <c r="L19" t="str">
        <f t="shared" ref="L19:L20" si="57">IF(K19="","",REPT(CHAR(9),1)&amp;"[Index(nameof("&amp;IF(D19="","",""&amp;D19)&amp;")"&amp;", Name="&amp;"""IX_"&amp;$B$7&amp;"_"&amp;D19&amp;""")]")</f>
        <v/>
      </c>
      <c r="M19" t="str">
        <f t="shared" ref="M19:M20" si="58">REPT(CHAR(9),2)&amp;"public virtual "&amp;IF(OR(H19="DateTime",H19="TimeSpan"),H19&amp;"?",H19)&amp;IF(C19="?","? "," ")&amp;D19&amp;" { get; set; }" &amp; "
"</f>
        <v xml:space="preserve">		public virtual int? PalletBoxQty { get; set; }
</v>
      </c>
      <c r="N19" t="str">
        <f t="shared" ref="N19:N20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int? PalletBoxQty { get; set; }
</v>
      </c>
      <c r="O19" t="str">
        <f t="shared" ref="O19:O20" si="60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:P20" si="61">REPT(CHAR(9),7)&amp;D19&amp;" = o." &amp;D19 &amp;","</f>
        <v xml:space="preserve">							PalletBoxQty = o.PalletBoxQty,</v>
      </c>
      <c r="T19" s="63" t="str">
        <f t="shared" ref="T19:T20" si="62">REPT(CHAR(9),8)&amp;"("""&amp;D19&amp;"""),"</f>
        <v xml:space="preserve">								("PalletBoxQty"),</v>
      </c>
      <c r="V19" s="64" t="str">
        <f t="shared" ref="V19:V20" si="63">REPT(CHAR(9),8)&amp;"_ =&gt; _."&amp;D19&amp;","</f>
        <v xml:space="preserve">								_ =&gt; _.PalletBoxQty,</v>
      </c>
      <c r="W19" s="63" t="str">
        <f t="shared" ref="W19:W20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s="28" t="s">
        <v>379</v>
      </c>
      <c r="B20" s="28" t="s">
        <v>3</v>
      </c>
      <c r="C20" t="s">
        <v>1</v>
      </c>
      <c r="D20" t="str">
        <f t="shared" si="52"/>
        <v>EstPackingDatetime</v>
      </c>
      <c r="E20" t="str">
        <f t="shared" si="53"/>
        <v>datetime</v>
      </c>
      <c r="F20" s="6" t="s">
        <v>393</v>
      </c>
      <c r="G20" t="str">
        <f t="shared" si="54"/>
        <v/>
      </c>
      <c r="H20" t="str">
        <f>+VLOOKUP(E20,'Data Type Mapping'!A:B,2,)</f>
        <v>DateTime?</v>
      </c>
      <c r="I20" t="str">
        <f t="shared" si="55"/>
        <v/>
      </c>
      <c r="J20" t="str">
        <f t="shared" si="56"/>
        <v xml:space="preserve">		[Column(TypeName="datetime2(7)")]
		public virtual DateTime? EstPackingDatetime { get; set; }
</v>
      </c>
      <c r="K20" s="6"/>
      <c r="L20" t="str">
        <f t="shared" si="57"/>
        <v/>
      </c>
      <c r="M20" t="str">
        <f t="shared" si="58"/>
        <v xml:space="preserve">		public virtual DateTime? EstPackingDatetime { get; set; }
</v>
      </c>
      <c r="N20" t="str">
        <f t="shared" si="59"/>
        <v xml:space="preserve">		public virtual DateTime? EstPackingDatetime { get; set; }
</v>
      </c>
      <c r="O20" t="str">
        <f t="shared" si="60"/>
        <v/>
      </c>
      <c r="P20" t="str">
        <f t="shared" si="61"/>
        <v xml:space="preserve">							EstPackingDatetime = o.EstPackingDatetime,</v>
      </c>
      <c r="T20" s="63" t="str">
        <f t="shared" si="62"/>
        <v xml:space="preserve">								("EstPackingDatetime"),</v>
      </c>
      <c r="V20" s="64" t="str">
        <f t="shared" si="63"/>
        <v xml:space="preserve">								_ =&gt; _.EstPackingDatetime,</v>
      </c>
      <c r="W20" s="63" t="str">
        <f t="shared" si="64"/>
        <v/>
      </c>
    </row>
    <row r="21" spans="1:23" customFormat="1" ht="18.75" customHeight="1" x14ac:dyDescent="0.25">
      <c r="A21" s="28" t="s">
        <v>380</v>
      </c>
      <c r="B21" s="28" t="s">
        <v>3</v>
      </c>
      <c r="C21" t="s">
        <v>1</v>
      </c>
      <c r="D21" t="str">
        <f t="shared" ref="D21" si="65">SUBSTITUTE(PROPER(A21),"_","")</f>
        <v>EstArrivalDatetime</v>
      </c>
      <c r="E21" t="str">
        <f t="shared" ref="E21" si="66">IFERROR(LEFT(B21, FIND("(",B21)-1),B21)</f>
        <v>datetime</v>
      </c>
      <c r="F21" s="6" t="s">
        <v>393</v>
      </c>
      <c r="G21" t="str">
        <f t="shared" ref="G21" si="67">IFERROR(MID(B21,FIND("(",B21) +1, FIND(")",B21) - FIND("(",B21) - 1),"")</f>
        <v/>
      </c>
      <c r="H21" t="str">
        <f>+VLOOKUP(E21,'Data Type Mapping'!A:B,2,)</f>
        <v>DateTime?</v>
      </c>
      <c r="I21" t="str">
        <f t="shared" ref="I21" si="68">IF(H21="string",REPT(CHAR(9),2)&amp;"public const int Max"&amp;D21&amp;"Length = "&amp;G21&amp;";"&amp;$E$3,"" )</f>
        <v/>
      </c>
      <c r="J21" t="str">
        <f t="shared" ref="J21" si="69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[Column(TypeName="datetime2(7)")]
		public virtual DateTime? EstArrivalDatetime { get; set; }
</v>
      </c>
      <c r="K21" s="6"/>
      <c r="L21" t="str">
        <f t="shared" ref="L21" si="70">IF(K21="","",REPT(CHAR(9),1)&amp;"[Index(nameof("&amp;IF(D21="","",""&amp;D21)&amp;")"&amp;", Name="&amp;"""IX_"&amp;$B$7&amp;"_"&amp;D21&amp;""")]")</f>
        <v/>
      </c>
      <c r="M21" t="str">
        <f t="shared" ref="M21" si="71">REPT(CHAR(9),2)&amp;"public virtual "&amp;IF(OR(H21="DateTime",H21="TimeSpan"),H21&amp;"?",H21)&amp;IF(C21="?","? "," ")&amp;D21&amp;" { get; set; }" &amp; "
"</f>
        <v xml:space="preserve">		public virtual DateTime? EstArrivalDatetime { get; set; }
</v>
      </c>
      <c r="N21" t="str">
        <f t="shared" ref="N21" si="72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DateTime? EstArrivalDatetime { get; set; }
</v>
      </c>
      <c r="O21" t="str">
        <f t="shared" ref="O21" si="73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" si="74">REPT(CHAR(9),7)&amp;D21&amp;" = o." &amp;D21 &amp;","</f>
        <v xml:space="preserve">							EstArrivalDatetime = o.EstArrivalDatetime,</v>
      </c>
      <c r="T21" s="63" t="str">
        <f t="shared" ref="T21" si="75">REPT(CHAR(9),8)&amp;"("""&amp;D21&amp;"""),"</f>
        <v xml:space="preserve">								("EstArrivalDatetime"),</v>
      </c>
      <c r="V21" s="64" t="str">
        <f t="shared" ref="V21" si="76">REPT(CHAR(9),8)&amp;"_ =&gt; _."&amp;D21&amp;","</f>
        <v xml:space="preserve">								_ =&gt; _.EstArrivalDatetime,</v>
      </c>
      <c r="W21" s="63" t="str">
        <f t="shared" ref="W21" si="77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28" t="s">
        <v>381</v>
      </c>
      <c r="B22" s="28" t="s">
        <v>382</v>
      </c>
      <c r="C22" t="s">
        <v>1</v>
      </c>
      <c r="D22" t="str">
        <f t="shared" ref="D22:D31" si="78">SUBSTITUTE(PROPER(A22),"_","")</f>
        <v>ContentNo</v>
      </c>
      <c r="E22" t="str">
        <f t="shared" ref="E22:E31" si="79">IFERROR(LEFT(B22, FIND("(",B22)-1),B22)</f>
        <v>varchar</v>
      </c>
      <c r="F22" s="6"/>
      <c r="G22" t="str">
        <f t="shared" ref="G22:G31" si="80">IFERROR(MID(B22,FIND("(",B22) +1, FIND(")",B22) - FIND("(",B22) - 1),"")</f>
        <v>60</v>
      </c>
      <c r="H22" t="str">
        <f>+VLOOKUP(E22,'Data Type Mapping'!A:B,2,)</f>
        <v>string</v>
      </c>
      <c r="I22" t="str">
        <f t="shared" ref="I22:I31" si="81">IF(H22="string",REPT(CHAR(9),2)&amp;"public const int Max"&amp;D22&amp;"Length = "&amp;G22&amp;";"&amp;$E$3,"" )</f>
        <v xml:space="preserve">		public const int MaxContentNoLength = 60;
</v>
      </c>
      <c r="J22" t="str">
        <f t="shared" ref="J22:J31" si="82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[StringLength(MaxContentNoLength)]
		public virtual string ContentNo { get; set; }
</v>
      </c>
      <c r="K22" s="6"/>
      <c r="L22" t="str">
        <f t="shared" ref="L22:L31" si="83">IF(K22="","",REPT(CHAR(9),1)&amp;"[Index(nameof("&amp;IF(D22="","",""&amp;D22)&amp;")"&amp;", Name="&amp;"""IX_"&amp;$B$7&amp;"_"&amp;D22&amp;""")]")</f>
        <v/>
      </c>
      <c r="M22" t="str">
        <f t="shared" ref="M22:M31" si="84">REPT(CHAR(9),2)&amp;"public virtual "&amp;IF(OR(H22="DateTime",H22="TimeSpan"),H22&amp;"?",H22)&amp;IF(C22="?","? "," ")&amp;D22&amp;" { get; set; }" &amp; "
"</f>
        <v xml:space="preserve">		public virtual string ContentNo { get; set; }
</v>
      </c>
      <c r="N22" t="str">
        <f t="shared" ref="N22:N31" si="85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[StringLength(InvGpsContentListConsts.MaxContentNoLength)]
		public virtual string ContentNo { get; set; }
</v>
      </c>
      <c r="O22" t="str">
        <f t="shared" ref="O22:O31" si="86">IF(OR(H22="string",H22="DateTime",H22="int"),REPT(CHAR(9),2)&amp;"public virtual "&amp;IF(OR(H22="DateTime",H22="TimeSpan"),H22&amp;"?",H22)&amp;IF(C22="?","? "," ")&amp;D22&amp;" { get; set; }"&amp;$E$3,"")</f>
        <v xml:space="preserve">		public virtual string ContentNo { get; set; }
</v>
      </c>
      <c r="P22" t="str">
        <f t="shared" ref="P22:P31" si="87">REPT(CHAR(9),7)&amp;D22&amp;" = o." &amp;D22 &amp;","</f>
        <v xml:space="preserve">							ContentNo = o.ContentNo,</v>
      </c>
      <c r="T22" s="63" t="str">
        <f t="shared" ref="T22:T31" si="88">REPT(CHAR(9),8)&amp;"("""&amp;D22&amp;"""),"</f>
        <v xml:space="preserve">								("ContentNo"),</v>
      </c>
      <c r="V22" s="64" t="str">
        <f t="shared" ref="V22:V31" si="89">REPT(CHAR(9),8)&amp;"_ =&gt; _."&amp;D22&amp;","</f>
        <v xml:space="preserve">								_ =&gt; _.ContentNo,</v>
      </c>
      <c r="W22" s="63" t="str">
        <f t="shared" ref="W22:W31" si="90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.WhereIf(!string.IsNullOrWhiteSpace(input.ContentNo), e =&gt; e.ContentNo.Contains(input.ContentNo))</v>
      </c>
    </row>
    <row r="23" spans="1:23" customFormat="1" ht="18.75" customHeight="1" x14ac:dyDescent="0.25">
      <c r="A23" s="28" t="s">
        <v>383</v>
      </c>
      <c r="B23" s="28" t="s">
        <v>0</v>
      </c>
      <c r="C23" t="s">
        <v>1</v>
      </c>
      <c r="D23" t="str">
        <f t="shared" si="78"/>
        <v>OrderId</v>
      </c>
      <c r="E23" t="str">
        <f t="shared" si="79"/>
        <v>bigint</v>
      </c>
      <c r="F23" s="6"/>
      <c r="G23" t="str">
        <f t="shared" si="80"/>
        <v/>
      </c>
      <c r="H23" t="str">
        <f>+VLOOKUP(E23,'Data Type Mapping'!A:B,2,)</f>
        <v>long?</v>
      </c>
      <c r="I23" t="str">
        <f t="shared" si="81"/>
        <v/>
      </c>
      <c r="J23" t="str">
        <f t="shared" si="82"/>
        <v xml:space="preserve">		public virtual long? OrderId { get; set; }
</v>
      </c>
      <c r="K23" s="6" t="s">
        <v>360</v>
      </c>
      <c r="L23" t="str">
        <f t="shared" si="83"/>
        <v xml:space="preserve">	[Index(nameof(OrderId), Name="IX_InvGpsContentList_OrderId")]</v>
      </c>
      <c r="M23" t="str">
        <f t="shared" si="84"/>
        <v xml:space="preserve">		public virtual long? OrderId { get; set; }
</v>
      </c>
      <c r="N23" t="str">
        <f t="shared" si="85"/>
        <v xml:space="preserve">		public virtual long? OrderId { get; set; }
</v>
      </c>
      <c r="O23" t="str">
        <f t="shared" si="86"/>
        <v/>
      </c>
      <c r="P23" t="str">
        <f t="shared" si="87"/>
        <v xml:space="preserve">							OrderId = o.OrderId,</v>
      </c>
      <c r="T23" s="63" t="str">
        <f t="shared" si="88"/>
        <v xml:space="preserve">								("OrderId"),</v>
      </c>
      <c r="V23" s="64" t="str">
        <f t="shared" si="89"/>
        <v xml:space="preserve">								_ =&gt; _.OrderId,</v>
      </c>
      <c r="W23" s="63" t="str">
        <f t="shared" si="90"/>
        <v/>
      </c>
    </row>
    <row r="24" spans="1:23" customFormat="1" ht="18.75" customHeight="1" x14ac:dyDescent="0.25">
      <c r="A24" s="28" t="s">
        <v>384</v>
      </c>
      <c r="B24" s="28" t="s">
        <v>4</v>
      </c>
      <c r="C24" t="s">
        <v>1</v>
      </c>
      <c r="D24" t="str">
        <f t="shared" si="78"/>
        <v>PalletSize</v>
      </c>
      <c r="E24" t="str">
        <f t="shared" si="79"/>
        <v>int</v>
      </c>
      <c r="F24" s="6"/>
      <c r="G24" t="str">
        <f t="shared" si="80"/>
        <v/>
      </c>
      <c r="H24" t="str">
        <f>+VLOOKUP(E24,'Data Type Mapping'!A:B,2,)</f>
        <v>int?</v>
      </c>
      <c r="I24" t="str">
        <f t="shared" si="81"/>
        <v/>
      </c>
      <c r="J24" t="str">
        <f t="shared" si="82"/>
        <v xml:space="preserve">		public virtual int? PalletSize { get; set; }
</v>
      </c>
      <c r="K24" s="6"/>
      <c r="L24" t="str">
        <f t="shared" si="83"/>
        <v/>
      </c>
      <c r="M24" t="str">
        <f t="shared" si="84"/>
        <v xml:space="preserve">		public virtual int? PalletSize { get; set; }
</v>
      </c>
      <c r="N24" t="str">
        <f t="shared" si="85"/>
        <v xml:space="preserve">		public virtual int? PalletSize { get; set; }
</v>
      </c>
      <c r="O24" t="str">
        <f t="shared" si="86"/>
        <v/>
      </c>
      <c r="P24" t="str">
        <f t="shared" si="87"/>
        <v xml:space="preserve">							PalletSize = o.PalletSize,</v>
      </c>
      <c r="T24" s="63" t="str">
        <f t="shared" si="88"/>
        <v xml:space="preserve">								("PalletSize"),</v>
      </c>
      <c r="V24" s="64" t="str">
        <f t="shared" si="89"/>
        <v xml:space="preserve">								_ =&gt; _.PalletSize,</v>
      </c>
      <c r="W24" s="63" t="str">
        <f t="shared" si="90"/>
        <v/>
      </c>
    </row>
    <row r="25" spans="1:23" customFormat="1" ht="18.75" customHeight="1" x14ac:dyDescent="0.25">
      <c r="A25" s="28" t="s">
        <v>385</v>
      </c>
      <c r="B25" s="28" t="s">
        <v>355</v>
      </c>
      <c r="C25" t="s">
        <v>1</v>
      </c>
      <c r="D25" t="str">
        <f t="shared" si="78"/>
        <v>IsPalletOnly</v>
      </c>
      <c r="E25" t="str">
        <f t="shared" si="79"/>
        <v>varchar</v>
      </c>
      <c r="F25" s="6"/>
      <c r="G25" t="str">
        <f t="shared" si="80"/>
        <v>1</v>
      </c>
      <c r="H25" t="str">
        <f>+VLOOKUP(E25,'Data Type Mapping'!A:B,2,)</f>
        <v>string</v>
      </c>
      <c r="I25" t="str">
        <f t="shared" si="81"/>
        <v xml:space="preserve">		public const int MaxIsPalletOnlyLength = 1;
</v>
      </c>
      <c r="J25" t="str">
        <f t="shared" si="82"/>
        <v xml:space="preserve">		[StringLength(MaxIsPalletOnlyLength)]
		public virtual string IsPalletOnly { get; set; }
</v>
      </c>
      <c r="K25" s="6"/>
      <c r="L25" t="str">
        <f t="shared" si="83"/>
        <v/>
      </c>
      <c r="M25" t="str">
        <f t="shared" si="84"/>
        <v xml:space="preserve">		public virtual string IsPalletOnly { get; set; }
</v>
      </c>
      <c r="N25" t="str">
        <f t="shared" si="85"/>
        <v xml:space="preserve">		[StringLength(InvGpsContentListConsts.MaxIsPalletOnlyLength)]
		public virtual string IsPalletOnly { get; set; }
</v>
      </c>
      <c r="O25" t="str">
        <f t="shared" si="86"/>
        <v xml:space="preserve">		public virtual string IsPalletOnly { get; set; }
</v>
      </c>
      <c r="P25" t="str">
        <f t="shared" si="87"/>
        <v xml:space="preserve">							IsPalletOnly = o.IsPalletOnly,</v>
      </c>
      <c r="T25" s="63" t="str">
        <f t="shared" si="88"/>
        <v xml:space="preserve">								("IsPalletOnly"),</v>
      </c>
      <c r="V25" s="64" t="str">
        <f t="shared" si="89"/>
        <v xml:space="preserve">								_ =&gt; _.IsPalletOnly,</v>
      </c>
      <c r="W25" s="63" t="str">
        <f t="shared" si="90"/>
        <v xml:space="preserve">				.WhereIf(!string.IsNullOrWhiteSpace(input.IsPalletOnly), e =&gt; e.IsPalletOnly.Contains(input.IsPalletOnly))</v>
      </c>
    </row>
    <row r="26" spans="1:23" customFormat="1" ht="18.75" customHeight="1" x14ac:dyDescent="0.25">
      <c r="A26" s="28" t="s">
        <v>364</v>
      </c>
      <c r="B26" s="28" t="s">
        <v>361</v>
      </c>
      <c r="C26" t="s">
        <v>1</v>
      </c>
      <c r="D26" t="str">
        <f t="shared" si="78"/>
        <v>PackagingType</v>
      </c>
      <c r="E26" t="str">
        <f t="shared" si="79"/>
        <v>varchar</v>
      </c>
      <c r="F26" s="6"/>
      <c r="G26" t="str">
        <f t="shared" si="80"/>
        <v>20</v>
      </c>
      <c r="H26" t="str">
        <f>+VLOOKUP(E26,'Data Type Mapping'!A:B,2,)</f>
        <v>string</v>
      </c>
      <c r="I26" t="str">
        <f t="shared" si="81"/>
        <v xml:space="preserve">		public const int MaxPackagingTypeLength = 20;
</v>
      </c>
      <c r="J26" t="str">
        <f t="shared" si="82"/>
        <v xml:space="preserve">		[StringLength(MaxPackagingTypeLength)]
		public virtual string PackagingType { get; set; }
</v>
      </c>
      <c r="K26" s="6"/>
      <c r="L26" t="str">
        <f t="shared" si="83"/>
        <v/>
      </c>
      <c r="M26" t="str">
        <f t="shared" si="84"/>
        <v xml:space="preserve">		public virtual string PackagingType { get; set; }
</v>
      </c>
      <c r="N26" t="str">
        <f t="shared" si="85"/>
        <v xml:space="preserve">		[StringLength(InvGpsContentListConsts.MaxPackagingTypeLength)]
		public virtual string PackagingType { get; set; }
</v>
      </c>
      <c r="O26" t="str">
        <f t="shared" si="86"/>
        <v xml:space="preserve">		public virtual string PackagingType { get; set; }
</v>
      </c>
      <c r="P26" t="str">
        <f t="shared" si="87"/>
        <v xml:space="preserve">							PackagingType = o.PackagingType,</v>
      </c>
      <c r="T26" s="63" t="str">
        <f t="shared" si="88"/>
        <v xml:space="preserve">								("PackagingType"),</v>
      </c>
      <c r="V26" s="64" t="str">
        <f t="shared" si="89"/>
        <v xml:space="preserve">								_ =&gt; _.PackagingType,</v>
      </c>
      <c r="W26" s="63" t="str">
        <f t="shared" si="90"/>
        <v xml:space="preserve">				.WhereIf(!string.IsNullOrWhiteSpace(input.PackagingType), e =&gt; e.PackagingType.Contains(input.PackagingType))</v>
      </c>
    </row>
    <row r="27" spans="1:23" customFormat="1" ht="18.75" customHeight="1" x14ac:dyDescent="0.25">
      <c r="A27" s="28" t="s">
        <v>386</v>
      </c>
      <c r="B27" s="28" t="s">
        <v>355</v>
      </c>
      <c r="C27" t="s">
        <v>1</v>
      </c>
      <c r="D27" t="str">
        <f t="shared" si="78"/>
        <v>IsAdhocReceiving</v>
      </c>
      <c r="E27" t="str">
        <f t="shared" si="79"/>
        <v>varchar</v>
      </c>
      <c r="F27" s="6"/>
      <c r="G27" t="str">
        <f t="shared" si="80"/>
        <v>1</v>
      </c>
      <c r="H27" t="str">
        <f>+VLOOKUP(E27,'Data Type Mapping'!A:B,2,)</f>
        <v>string</v>
      </c>
      <c r="I27" t="str">
        <f t="shared" si="81"/>
        <v xml:space="preserve">		public const int MaxIsAdhocReceivingLength = 1;
</v>
      </c>
      <c r="J27" t="str">
        <f t="shared" si="82"/>
        <v xml:space="preserve">		[StringLength(MaxIsAdhocReceivingLength)]
		public virtual string IsAdhocReceiving { get; set; }
</v>
      </c>
      <c r="K27" s="6"/>
      <c r="L27" t="str">
        <f t="shared" si="83"/>
        <v/>
      </c>
      <c r="M27" t="str">
        <f t="shared" si="84"/>
        <v xml:space="preserve">		public virtual string IsAdhocReceiving { get; set; }
</v>
      </c>
      <c r="N27" t="str">
        <f t="shared" si="85"/>
        <v xml:space="preserve">		[StringLength(InvGpsContentListConsts.MaxIsAdhocReceivingLength)]
		public virtual string IsAdhocReceiving { get; set; }
</v>
      </c>
      <c r="O27" t="str">
        <f t="shared" si="86"/>
        <v xml:space="preserve">		public virtual string IsAdhocReceiving { get; set; }
</v>
      </c>
      <c r="P27" t="str">
        <f t="shared" si="87"/>
        <v xml:space="preserve">							IsAdhocReceiving = o.IsAdhocReceiving,</v>
      </c>
      <c r="T27" s="63" t="str">
        <f t="shared" si="88"/>
        <v xml:space="preserve">								("IsAdhocReceiving"),</v>
      </c>
      <c r="V27" s="64" t="str">
        <f t="shared" si="89"/>
        <v xml:space="preserve">								_ =&gt; _.IsAdhocReceiving,</v>
      </c>
      <c r="W27" s="63" t="str">
        <f t="shared" si="90"/>
        <v xml:space="preserve">				.WhereIf(!string.IsNullOrWhiteSpace(input.IsAdhocReceiving), e =&gt; e.IsAdhocReceiving.Contains(input.IsAdhocReceiving))</v>
      </c>
    </row>
    <row r="28" spans="1:23" customFormat="1" ht="18.75" customHeight="1" x14ac:dyDescent="0.25">
      <c r="A28" s="28" t="s">
        <v>359</v>
      </c>
      <c r="B28" s="28" t="s">
        <v>365</v>
      </c>
      <c r="C28" t="s">
        <v>1</v>
      </c>
      <c r="D28" t="str">
        <f t="shared" si="78"/>
        <v>GeneratedBy</v>
      </c>
      <c r="E28" t="str">
        <f t="shared" si="79"/>
        <v>nvarchar</v>
      </c>
      <c r="F28" s="6"/>
      <c r="G28" t="str">
        <f t="shared" si="80"/>
        <v>50</v>
      </c>
      <c r="H28" t="str">
        <f>+VLOOKUP(E28,'Data Type Mapping'!A:B,2,)</f>
        <v>string</v>
      </c>
      <c r="I28" t="str">
        <f t="shared" si="81"/>
        <v xml:space="preserve">		public const int MaxGeneratedByLength = 50;
</v>
      </c>
      <c r="J28" t="str">
        <f t="shared" si="82"/>
        <v xml:space="preserve">		[StringLength(MaxGeneratedByLength)]
		public virtual string GeneratedBy { get; set; }
</v>
      </c>
      <c r="K28" s="6"/>
      <c r="L28" t="str">
        <f t="shared" si="83"/>
        <v/>
      </c>
      <c r="M28" t="str">
        <f t="shared" si="84"/>
        <v xml:space="preserve">		public virtual string GeneratedBy { get; set; }
</v>
      </c>
      <c r="N28" t="str">
        <f t="shared" si="85"/>
        <v xml:space="preserve">		[StringLength(InvGpsContentListConsts.MaxGeneratedByLength)]
		public virtual string GeneratedBy { get; set; }
</v>
      </c>
      <c r="O28" t="str">
        <f t="shared" si="86"/>
        <v xml:space="preserve">		public virtual string GeneratedBy { get; set; }
</v>
      </c>
      <c r="P28" t="str">
        <f t="shared" si="87"/>
        <v xml:space="preserve">							GeneratedBy = o.GeneratedBy,</v>
      </c>
      <c r="T28" s="63" t="str">
        <f t="shared" si="88"/>
        <v xml:space="preserve">								("GeneratedBy"),</v>
      </c>
      <c r="V28" s="64" t="str">
        <f t="shared" si="89"/>
        <v xml:space="preserve">								_ =&gt; _.GeneratedBy,</v>
      </c>
      <c r="W28" s="63" t="str">
        <f t="shared" si="90"/>
        <v xml:space="preserve">				.WhereIf(!string.IsNullOrWhiteSpace(input.GeneratedBy), e =&gt; e.GeneratedBy.Contains(input.GeneratedBy))</v>
      </c>
    </row>
    <row r="29" spans="1:23" customFormat="1" ht="18.75" customHeight="1" x14ac:dyDescent="0.25">
      <c r="A29" s="28" t="s">
        <v>387</v>
      </c>
      <c r="B29" s="28" t="s">
        <v>355</v>
      </c>
      <c r="C29" t="s">
        <v>1</v>
      </c>
      <c r="D29" t="str">
        <f t="shared" si="78"/>
        <v>UnpackStatus</v>
      </c>
      <c r="E29" t="str">
        <f t="shared" si="79"/>
        <v>varchar</v>
      </c>
      <c r="F29" s="6"/>
      <c r="G29" t="str">
        <f t="shared" si="80"/>
        <v>1</v>
      </c>
      <c r="H29" t="str">
        <f>+VLOOKUP(E29,'Data Type Mapping'!A:B,2,)</f>
        <v>string</v>
      </c>
      <c r="I29" t="str">
        <f t="shared" si="81"/>
        <v xml:space="preserve">		public const int MaxUnpackStatusLength = 1;
</v>
      </c>
      <c r="J29" t="str">
        <f t="shared" si="82"/>
        <v xml:space="preserve">		[StringLength(MaxUnpackStatusLength)]
		public virtual string UnpackStatus { get; set; }
</v>
      </c>
      <c r="K29" s="6"/>
      <c r="L29" t="str">
        <f t="shared" si="83"/>
        <v/>
      </c>
      <c r="M29" t="str">
        <f t="shared" si="84"/>
        <v xml:space="preserve">		public virtual string UnpackStatus { get; set; }
</v>
      </c>
      <c r="N29" t="str">
        <f t="shared" si="85"/>
        <v xml:space="preserve">		[StringLength(InvGpsContentListConsts.MaxUnpackStatusLength)]
		public virtual string UnpackStatus { get; set; }
</v>
      </c>
      <c r="O29" t="str">
        <f t="shared" si="86"/>
        <v xml:space="preserve">		public virtual string UnpackStatus { get; set; }
</v>
      </c>
      <c r="P29" t="str">
        <f t="shared" si="87"/>
        <v xml:space="preserve">							UnpackStatus = o.UnpackStatus,</v>
      </c>
      <c r="T29" s="63" t="str">
        <f t="shared" si="88"/>
        <v xml:space="preserve">								("UnpackStatus"),</v>
      </c>
      <c r="V29" s="64" t="str">
        <f t="shared" si="89"/>
        <v xml:space="preserve">								_ =&gt; _.UnpackStatus,</v>
      </c>
      <c r="W29" s="63" t="str">
        <f t="shared" si="90"/>
        <v xml:space="preserve">				.WhereIf(!string.IsNullOrWhiteSpace(input.UnpackStatus), e =&gt; e.UnpackStatus.Contains(input.UnpackStatus))</v>
      </c>
    </row>
    <row r="30" spans="1:23" customFormat="1" ht="18.75" customHeight="1" x14ac:dyDescent="0.25">
      <c r="A30" s="28" t="s">
        <v>388</v>
      </c>
      <c r="B30" s="28" t="s">
        <v>372</v>
      </c>
      <c r="C30" t="s">
        <v>1</v>
      </c>
      <c r="D30" t="str">
        <f t="shared" si="78"/>
        <v>ModuleCd</v>
      </c>
      <c r="E30" t="str">
        <f t="shared" si="79"/>
        <v>varchar</v>
      </c>
      <c r="F30" s="6"/>
      <c r="G30" t="str">
        <f t="shared" si="80"/>
        <v>10</v>
      </c>
      <c r="H30" t="str">
        <f>+VLOOKUP(E30,'Data Type Mapping'!A:B,2,)</f>
        <v>string</v>
      </c>
      <c r="I30" t="str">
        <f t="shared" si="81"/>
        <v xml:space="preserve">		public const int MaxModuleCdLength = 10;
</v>
      </c>
      <c r="J30" t="str">
        <f t="shared" si="82"/>
        <v xml:space="preserve">		[StringLength(MaxModuleCdLength)]
		public virtual string ModuleCd { get; set; }
</v>
      </c>
      <c r="K30" s="6"/>
      <c r="L30" t="str">
        <f t="shared" si="83"/>
        <v/>
      </c>
      <c r="M30" t="str">
        <f t="shared" si="84"/>
        <v xml:space="preserve">		public virtual string ModuleCd { get; set; }
</v>
      </c>
      <c r="N30" t="str">
        <f t="shared" si="85"/>
        <v xml:space="preserve">		[StringLength(InvGpsContentListConsts.MaxModuleCdLength)]
		public virtual string ModuleCd { get; set; }
</v>
      </c>
      <c r="O30" t="str">
        <f t="shared" si="86"/>
        <v xml:space="preserve">		public virtual string ModuleCd { get; set; }
</v>
      </c>
      <c r="P30" t="str">
        <f t="shared" si="87"/>
        <v xml:space="preserve">							ModuleCd = o.ModuleCd,</v>
      </c>
      <c r="T30" s="63" t="str">
        <f t="shared" si="88"/>
        <v xml:space="preserve">								("ModuleCd"),</v>
      </c>
      <c r="V30" s="64" t="str">
        <f t="shared" si="89"/>
        <v xml:space="preserve">								_ =&gt; _.ModuleCd,</v>
      </c>
      <c r="W30" s="63" t="str">
        <f t="shared" si="90"/>
        <v xml:space="preserve">				.WhereIf(!string.IsNullOrWhiteSpace(input.ModuleCd), e =&gt; e.ModuleCd.Contains(input.ModuleCd))</v>
      </c>
    </row>
    <row r="31" spans="1:23" customFormat="1" ht="18.75" customHeight="1" x14ac:dyDescent="0.25">
      <c r="A31" s="28" t="s">
        <v>389</v>
      </c>
      <c r="B31" s="28" t="s">
        <v>4</v>
      </c>
      <c r="C31" t="s">
        <v>1</v>
      </c>
      <c r="D31" t="str">
        <f t="shared" si="78"/>
        <v>ModuleRunNo</v>
      </c>
      <c r="E31" t="str">
        <f t="shared" si="79"/>
        <v>int</v>
      </c>
      <c r="F31" s="6"/>
      <c r="G31" t="str">
        <f t="shared" si="80"/>
        <v/>
      </c>
      <c r="H31" t="str">
        <f>+VLOOKUP(E31,'Data Type Mapping'!A:B,2,)</f>
        <v>int?</v>
      </c>
      <c r="I31" t="str">
        <f t="shared" si="81"/>
        <v/>
      </c>
      <c r="J31" t="str">
        <f t="shared" si="82"/>
        <v xml:space="preserve">		public virtual int? ModuleRunNo { get; set; }
</v>
      </c>
      <c r="K31" s="6"/>
      <c r="L31" t="str">
        <f t="shared" si="83"/>
        <v/>
      </c>
      <c r="M31" t="str">
        <f t="shared" si="84"/>
        <v xml:space="preserve">		public virtual int? ModuleRunNo { get; set; }
</v>
      </c>
      <c r="N31" t="str">
        <f t="shared" si="85"/>
        <v xml:space="preserve">		public virtual int? ModuleRunNo { get; set; }
</v>
      </c>
      <c r="O31" t="str">
        <f t="shared" si="86"/>
        <v/>
      </c>
      <c r="P31" t="str">
        <f t="shared" si="87"/>
        <v xml:space="preserve">							ModuleRunNo = o.ModuleRunNo,</v>
      </c>
      <c r="T31" s="63" t="str">
        <f t="shared" si="88"/>
        <v xml:space="preserve">								("ModuleRunNo"),</v>
      </c>
      <c r="V31" s="64" t="str">
        <f t="shared" si="89"/>
        <v xml:space="preserve">								_ =&gt; _.ModuleRunNo,</v>
      </c>
      <c r="W31" s="63" t="str">
        <f t="shared" si="90"/>
        <v/>
      </c>
    </row>
    <row r="32" spans="1:23" customFormat="1" ht="18.75" customHeight="1" x14ac:dyDescent="0.25">
      <c r="A32" s="28" t="s">
        <v>390</v>
      </c>
      <c r="B32" s="28" t="s">
        <v>3</v>
      </c>
      <c r="C32" t="s">
        <v>1</v>
      </c>
      <c r="D32" t="str">
        <f>SUBSTITUTE(PROPER(A32),"_","")</f>
        <v>UpStartAct</v>
      </c>
      <c r="E32" t="str">
        <f>IFERROR(LEFT(B32, FIND("(",B32)-1),B32)</f>
        <v>datetime</v>
      </c>
      <c r="F32" s="6" t="s">
        <v>393</v>
      </c>
      <c r="G32" t="str">
        <f>IFERROR(MID(B32,FIND("(",B32) +1, FIND(")",B32) - FIND("(",B32) - 1),"")</f>
        <v/>
      </c>
      <c r="H32" t="str">
        <f>+VLOOKUP(E32,'Data Type Mapping'!A:B,2,)</f>
        <v>DateTime?</v>
      </c>
      <c r="I32" t="str">
        <f>IF(H32="string",REPT(CHAR(9),2)&amp;"public const int Max"&amp;D32&amp;"Length = "&amp;G32&amp;";"&amp;$E$3,"" )</f>
        <v/>
      </c>
      <c r="J32" t="str">
        <f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[Column(TypeName="datetime2(7)")]
		public virtual DateTime? UpStartAct { get; set; }
</v>
      </c>
      <c r="K32" s="6"/>
      <c r="L32" t="str">
        <f>IF(K32="","",REPT(CHAR(9),1)&amp;"[Index(nameof("&amp;IF(D32="","",""&amp;D32)&amp;")"&amp;", Name="&amp;"""IX_"&amp;$B$7&amp;"_"&amp;D32&amp;""")]")</f>
        <v/>
      </c>
      <c r="M32" t="str">
        <f>REPT(CHAR(9),2)&amp;"public virtual "&amp;IF(OR(H32="DateTime",H32="TimeSpan"),H32&amp;"?",H32)&amp;IF(C32="?","? "," ")&amp;D32&amp;" { get; set; }" &amp; "
"</f>
        <v xml:space="preserve">		public virtual DateTime? UpStartAct { get; set; }
</v>
      </c>
      <c r="N32" t="str">
        <f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DateTime? UpStartAct { get; set; }
</v>
      </c>
      <c r="O32" t="str">
        <f>IF(OR(H32="string",H32="DateTime",H32="int"),REPT(CHAR(9),2)&amp;"public virtual "&amp;IF(OR(H32="DateTime",H32="TimeSpan"),H32&amp;"?",H32)&amp;IF(C32="?","? "," ")&amp;D32&amp;" { get; set; }"&amp;$E$3,"")</f>
        <v/>
      </c>
      <c r="P32" t="str">
        <f>REPT(CHAR(9),7)&amp;D32&amp;" = o." &amp;D32 &amp;","</f>
        <v xml:space="preserve">							UpStartAct = o.UpStartAct,</v>
      </c>
      <c r="T32" s="63" t="str">
        <f>REPT(CHAR(9),8)&amp;"("""&amp;D32&amp;"""),"</f>
        <v xml:space="preserve">								("UpStartAct"),</v>
      </c>
      <c r="V32" s="64" t="str">
        <f>REPT(CHAR(9),8)&amp;"_ =&gt; _."&amp;D32&amp;","</f>
        <v xml:space="preserve">								_ =&gt; _.UpStartAct,</v>
      </c>
      <c r="W32" s="63" t="str">
        <f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/>
      </c>
    </row>
    <row r="33" spans="1:23" customFormat="1" ht="18.75" customHeight="1" x14ac:dyDescent="0.25">
      <c r="A33" s="28" t="s">
        <v>391</v>
      </c>
      <c r="B33" s="28" t="s">
        <v>3</v>
      </c>
      <c r="C33" t="s">
        <v>1</v>
      </c>
      <c r="D33" t="str">
        <f>SUBSTITUTE(PROPER(A33),"_","")</f>
        <v>UpFinishAct</v>
      </c>
      <c r="E33" t="str">
        <f>IFERROR(LEFT(B33, FIND("(",B33)-1),B33)</f>
        <v>datetime</v>
      </c>
      <c r="F33" s="6" t="s">
        <v>393</v>
      </c>
      <c r="G33" t="str">
        <f>IFERROR(MID(B33,FIND("(",B33) +1, FIND(")",B33) - FIND("(",B33) - 1),"")</f>
        <v/>
      </c>
      <c r="H33" t="str">
        <f>+VLOOKUP(E33,'Data Type Mapping'!A:B,2,)</f>
        <v>DateTime?</v>
      </c>
      <c r="I33" t="str">
        <f>IF(H33="string",REPT(CHAR(9),2)&amp;"public const int Max"&amp;D33&amp;"Length = "&amp;G33&amp;";"&amp;$E$3,"" )</f>
        <v/>
      </c>
      <c r="J33" t="str">
        <f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[Column(TypeName="datetime2(7)")]
		public virtual DateTime? UpFinishAct { get; set; }
</v>
      </c>
      <c r="K33" s="6"/>
      <c r="L33" t="str">
        <f>IF(K33="","",REPT(CHAR(9),1)&amp;"[Index(nameof("&amp;IF(D33="","",""&amp;D33)&amp;")"&amp;", Name="&amp;"""IX_"&amp;$B$7&amp;"_"&amp;D33&amp;""")]")</f>
        <v/>
      </c>
      <c r="M33" t="str">
        <f>REPT(CHAR(9),2)&amp;"public virtual "&amp;IF(OR(H33="DateTime",H33="TimeSpan"),H33&amp;"?",H33)&amp;IF(C33="?","? "," ")&amp;D33&amp;" { get; set; }" &amp; "
"</f>
        <v xml:space="preserve">		public virtual DateTime? UpFinishAct { get; set; }
</v>
      </c>
      <c r="N33" t="str">
        <f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public virtual DateTime? UpFinishAct { get; set; }
</v>
      </c>
      <c r="O33" t="str">
        <f>IF(OR(H33="string",H33="DateTime",H33="int"),REPT(CHAR(9),2)&amp;"public virtual "&amp;IF(OR(H33="DateTime",H33="TimeSpan"),H33&amp;"?",H33)&amp;IF(C33="?","? "," ")&amp;D33&amp;" { get; set; }"&amp;$E$3,"")</f>
        <v/>
      </c>
      <c r="P33" t="str">
        <f>REPT(CHAR(9),7)&amp;D33&amp;" = o." &amp;D33 &amp;","</f>
        <v xml:space="preserve">							UpFinishAct = o.UpFinishAct,</v>
      </c>
      <c r="T33" s="63" t="str">
        <f>REPT(CHAR(9),8)&amp;"("""&amp;D33&amp;"""),"</f>
        <v xml:space="preserve">								("UpFinishAct"),</v>
      </c>
      <c r="V33" s="64" t="str">
        <f>REPT(CHAR(9),8)&amp;"_ =&gt; _."&amp;D33&amp;","</f>
        <v xml:space="preserve">								_ =&gt; _.UpFinishAct,</v>
      </c>
      <c r="W33" s="63" t="str">
        <f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/>
      </c>
    </row>
    <row r="34" spans="1:23" customFormat="1" ht="18.75" customHeight="1" x14ac:dyDescent="0.25">
      <c r="A34" s="28" t="s">
        <v>392</v>
      </c>
      <c r="B34" s="28" t="s">
        <v>4</v>
      </c>
      <c r="C34" t="s">
        <v>1</v>
      </c>
      <c r="D34" t="str">
        <f>SUBSTITUTE(PROPER(A34),"_","")</f>
        <v>UpScanUserId</v>
      </c>
      <c r="E34" t="str">
        <f>IFERROR(LEFT(B34, FIND("(",B34)-1),B34)</f>
        <v>int</v>
      </c>
      <c r="F34" s="6"/>
      <c r="G34" t="str">
        <f>IFERROR(MID(B34,FIND("(",B34) +1, FIND(")",B34) - FIND("(",B34) - 1),"")</f>
        <v/>
      </c>
      <c r="H34" t="str">
        <f>+VLOOKUP(E34,'Data Type Mapping'!A:B,2,)</f>
        <v>int?</v>
      </c>
      <c r="I34" t="str">
        <f>IF(H34="string",REPT(CHAR(9),2)&amp;"public const int Max"&amp;D34&amp;"Length = "&amp;G34&amp;";"&amp;$E$3,"" )</f>
        <v/>
      </c>
      <c r="J34" t="str">
        <f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public virtual int? UpScanUserId { get; set; }
</v>
      </c>
      <c r="K34" s="6" t="s">
        <v>360</v>
      </c>
      <c r="L34" t="str">
        <f>IF(K34="","",REPT(CHAR(9),1)&amp;"[Index(nameof("&amp;IF(D34="","",""&amp;D34)&amp;")"&amp;", Name="&amp;"""IX_"&amp;$B$7&amp;"_"&amp;D34&amp;""")]")</f>
        <v xml:space="preserve">	[Index(nameof(UpScanUserId), Name="IX_InvGpsContentList_UpScanUserId")]</v>
      </c>
      <c r="M34" t="str">
        <f>REPT(CHAR(9),2)&amp;"public virtual "&amp;IF(OR(H34="DateTime",H34="TimeSpan"),H34&amp;"?",H34)&amp;IF(C34="?","? "," ")&amp;D34&amp;" { get; set; }" &amp; "
"</f>
        <v xml:space="preserve">		public virtual int? UpScanUserId { get; set; }
</v>
      </c>
      <c r="N34" t="str">
        <f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public virtual int? UpScanUserId { get; set; }
</v>
      </c>
      <c r="O34" t="str">
        <f>IF(OR(H34="string",H34="DateTime",H34="int"),REPT(CHAR(9),2)&amp;"public virtual "&amp;IF(OR(H34="DateTime",H34="TimeSpan"),H34&amp;"?",H34)&amp;IF(C34="?","? "," ")&amp;D34&amp;" { get; set; }"&amp;$E$3,"")</f>
        <v/>
      </c>
      <c r="P34" t="str">
        <f>REPT(CHAR(9),7)&amp;D34&amp;" = o." &amp;D34 &amp;","</f>
        <v xml:space="preserve">							UpScanUserId = o.UpScanUserId,</v>
      </c>
      <c r="T34" s="63" t="str">
        <f>REPT(CHAR(9),8)&amp;"("""&amp;D34&amp;"""),"</f>
        <v xml:space="preserve">								("UpScanUserId"),</v>
      </c>
      <c r="V34" s="64" t="str">
        <f>REPT(CHAR(9),8)&amp;"_ =&gt; _."&amp;D34&amp;","</f>
        <v xml:space="preserve">								_ =&gt; _.UpScanUserId,</v>
      </c>
      <c r="W34" s="63" t="str">
        <f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/>
      </c>
    </row>
    <row r="35" spans="1:23" customFormat="1" ht="18.75" customHeight="1" x14ac:dyDescent="0.25">
      <c r="A35" s="28" t="s">
        <v>357</v>
      </c>
      <c r="B35" s="28" t="s">
        <v>365</v>
      </c>
      <c r="C35" t="s">
        <v>1</v>
      </c>
      <c r="D35" t="str">
        <f t="shared" ref="D35" si="91">SUBSTITUTE(PROPER(A35),"_","")</f>
        <v>Status</v>
      </c>
      <c r="E35" t="str">
        <f t="shared" ref="E35" si="92">IFERROR(LEFT(B35, FIND("(",B35)-1),B35)</f>
        <v>nvarchar</v>
      </c>
      <c r="F35" s="6"/>
      <c r="G35" t="str">
        <f t="shared" ref="G35" si="93">IFERROR(MID(B35,FIND("(",B35) +1, FIND(")",B35) - FIND("(",B35) - 1),"")</f>
        <v>50</v>
      </c>
      <c r="H35" t="str">
        <f>+VLOOKUP(E35,'Data Type Mapping'!A:B,2,)</f>
        <v>string</v>
      </c>
      <c r="I35" t="str">
        <f t="shared" ref="I35" si="94">IF(H35="string",REPT(CHAR(9),2)&amp;"public const int Max"&amp;D35&amp;"Length = "&amp;G35&amp;";"&amp;$E$3,"" )</f>
        <v xml:space="preserve">		public const int MaxStatusLength = 50;
</v>
      </c>
      <c r="J35" t="str">
        <f t="shared" ref="J35" si="95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[StringLength(MaxStatusLength)]
		public virtual string Status { get; set; }
</v>
      </c>
      <c r="K35" s="6" t="s">
        <v>360</v>
      </c>
      <c r="L35" t="str">
        <f t="shared" ref="L35" si="96">IF(K35="","",REPT(CHAR(9),1)&amp;"[Index(nameof("&amp;IF(D35="","",""&amp;D35)&amp;")"&amp;", Name="&amp;"""IX_"&amp;$B$7&amp;"_"&amp;D35&amp;""")]")</f>
        <v xml:space="preserve">	[Index(nameof(Status), Name="IX_InvGpsContentList_Status")]</v>
      </c>
      <c r="M35" t="str">
        <f t="shared" ref="M35" si="97">REPT(CHAR(9),2)&amp;"public virtual "&amp;IF(OR(H35="DateTime",H35="TimeSpan"),H35&amp;"?",H35)&amp;IF(C35="?","? "," ")&amp;D35&amp;" { get; set; }" &amp; "
"</f>
        <v xml:space="preserve">		public virtual string Status { get; set; }
</v>
      </c>
      <c r="N35" t="str">
        <f t="shared" ref="N35" si="98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[StringLength(InvGpsContentListConsts.MaxStatusLength)]
		public virtual string Status { get; set; }
</v>
      </c>
      <c r="O35" t="str">
        <f t="shared" ref="O35" si="99">IF(OR(H35="string",H35="DateTime",H35="int"),REPT(CHAR(9),2)&amp;"public virtual "&amp;IF(OR(H35="DateTime",H35="TimeSpan"),H35&amp;"?",H35)&amp;IF(C35="?","? "," ")&amp;D35&amp;" { get; set; }"&amp;$E$3,"")</f>
        <v xml:space="preserve">		public virtual string Status { get; set; }
</v>
      </c>
      <c r="P35" t="str">
        <f t="shared" ref="P35" si="100">REPT(CHAR(9),7)&amp;D35&amp;" = o." &amp;D35 &amp;","</f>
        <v xml:space="preserve">							Status = o.Status,</v>
      </c>
      <c r="T35" s="63" t="str">
        <f t="shared" ref="T35" si="101">REPT(CHAR(9),8)&amp;"("""&amp;D35&amp;"""),"</f>
        <v xml:space="preserve">								("Status"),</v>
      </c>
      <c r="V35" s="64" t="str">
        <f t="shared" ref="V35" si="102">REPT(CHAR(9),8)&amp;"_ =&gt; _."&amp;D35&amp;","</f>
        <v xml:space="preserve">								_ =&gt; _.Status,</v>
      </c>
      <c r="W35" s="63" t="str">
        <f t="shared" ref="W35" si="103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.WhereIf(!string.IsNullOrWhiteSpace(input.Status), e =&gt; e.Status.Contains(input.Status))</v>
      </c>
    </row>
    <row r="36" spans="1:23" customFormat="1" ht="18.75" customHeight="1" x14ac:dyDescent="0.25">
      <c r="A36" s="28" t="s">
        <v>318</v>
      </c>
      <c r="B36" s="28" t="s">
        <v>355</v>
      </c>
      <c r="C36" t="s">
        <v>1</v>
      </c>
      <c r="D36" t="str">
        <f t="shared" ref="D36" si="104">SUBSTITUTE(PROPER(A36),"_","")</f>
        <v>IsActive</v>
      </c>
      <c r="E36" t="str">
        <f t="shared" ref="E36" si="105">IFERROR(LEFT(B36, FIND("(",B36)-1),B36)</f>
        <v>varchar</v>
      </c>
      <c r="F36" s="6"/>
      <c r="G36" t="str">
        <f t="shared" ref="G36" si="106">IFERROR(MID(B36,FIND("(",B36) +1, FIND(")",B36) - FIND("(",B36) - 1),"")</f>
        <v>1</v>
      </c>
      <c r="H36" t="str">
        <f>+VLOOKUP(E36,'Data Type Mapping'!A:B,2,)</f>
        <v>string</v>
      </c>
      <c r="I36" t="str">
        <f t="shared" ref="I36" si="107">IF(H36="string",REPT(CHAR(9),2)&amp;"public const int Max"&amp;D36&amp;"Length = "&amp;G36&amp;";"&amp;$E$3,"" )</f>
        <v xml:space="preserve">		public const int MaxIsActiveLength = 1;
</v>
      </c>
      <c r="J36" t="str">
        <f t="shared" ref="J36" si="108">IF(F36="","",REPT(CHAR(9),2)&amp;"[Column(TypeName="""&amp;F36&amp;""")]"&amp;$E$3)&amp;IF(C36="Checked","",$I$3)&amp;IF(H36="string",REPT(CHAR(9),2)&amp;"[StringLength(Max"&amp;D36&amp;"Length"&amp;")]"&amp;$E$3,"")&amp;REPT(CHAR(9),2)&amp;"public virtual "&amp;H36&amp;IF(C36="?","? "," ")&amp;D36&amp;" { get; set; }" &amp; "
"</f>
        <v xml:space="preserve">		[StringLength(MaxIsActiveLength)]
		public virtual string IsActive { get; set; }
</v>
      </c>
      <c r="K36" s="6" t="s">
        <v>360</v>
      </c>
      <c r="L36" t="str">
        <f t="shared" ref="L36" si="109">IF(K36="","",REPT(CHAR(9),1)&amp;"[Index(nameof("&amp;IF(D36="","",""&amp;D36)&amp;")"&amp;", Name="&amp;"""IX_"&amp;$B$7&amp;"_"&amp;D36&amp;""")]")</f>
        <v xml:space="preserve">	[Index(nameof(IsActive), Name="IX_InvGpsContentList_IsActive")]</v>
      </c>
      <c r="M36" t="str">
        <f t="shared" ref="M36" si="110">REPT(CHAR(9),2)&amp;"public virtual "&amp;IF(OR(H36="DateTime",H36="TimeSpan"),H36&amp;"?",H36)&amp;IF(C36="?","? "," ")&amp;D36&amp;" { get; set; }" &amp; "
"</f>
        <v xml:space="preserve">		public virtual string IsActive { get; set; }
</v>
      </c>
      <c r="N36" t="str">
        <f t="shared" ref="N36" si="111">IF(C36="Checked","",$I$3)&amp;IF(H36="string",REPT(CHAR(9),2)&amp;"[StringLength("&amp;$B$3&amp;"Consts.Max"&amp;D36&amp;"Length"&amp;")]"&amp;$E$3,"")&amp;REPT(CHAR(9),2)&amp;"public virtual "&amp;IF(OR(H36="DateTime",H36="TimeSpan"),H36&amp;"?",H36)&amp;IF(C36="?","? "," ")&amp;D36&amp;" { get; set; }" &amp; "
"</f>
        <v xml:space="preserve">		[StringLength(InvGpsContentListConsts.MaxIsActiveLength)]
		public virtual string IsActive { get; set; }
</v>
      </c>
      <c r="O36" t="str">
        <f t="shared" ref="O36" si="112">IF(OR(H36="string",H36="DateTime",H36="int"),REPT(CHAR(9),2)&amp;"public virtual "&amp;IF(OR(H36="DateTime",H36="TimeSpan"),H36&amp;"?",H36)&amp;IF(C36="?","? "," ")&amp;D36&amp;" { get; set; }"&amp;$E$3,"")</f>
        <v xml:space="preserve">		public virtual string IsActive { get; set; }
</v>
      </c>
      <c r="P36" t="str">
        <f t="shared" ref="P36" si="113">REPT(CHAR(9),7)&amp;D36&amp;" = o." &amp;D36 &amp;","</f>
        <v xml:space="preserve">							IsActive = o.IsActive,</v>
      </c>
      <c r="T36" s="63" t="str">
        <f t="shared" ref="T36" si="114">REPT(CHAR(9),8)&amp;"("""&amp;D36&amp;"""),"</f>
        <v xml:space="preserve">								("IsActive"),</v>
      </c>
      <c r="V36" s="64" t="str">
        <f t="shared" ref="V36" si="115">REPT(CHAR(9),8)&amp;"_ =&gt; _."&amp;D36&amp;","</f>
        <v xml:space="preserve">								_ =&gt; _.IsActive,</v>
      </c>
      <c r="W36" s="63" t="str">
        <f t="shared" ref="W36" si="116">IF(H36="string",REPT(CHAR(9),4)&amp;".WhereIf(!string.IsNullOrWhiteSpace(input."&amp;D36&amp;"), e =&gt; e."&amp;D36&amp;".Contains(input."&amp;D36&amp;"))",IF(H36="DateTime",REPT(CHAR(9),4)&amp;".WhereIf(input."&amp;D36&amp;".HasValue, t =&gt; t."&amp;D36&amp;" == input."&amp;D36&amp;".Value)",""))</f>
        <v xml:space="preserve">				.WhereIf(!string.IsNullOrWhiteSpace(input.IsActive), e =&gt; e.IsActive.Contains(input.IsActive))</v>
      </c>
    </row>
    <row r="38" spans="1:23" ht="45.75" customHeight="1" x14ac:dyDescent="0.25">
      <c r="H38" s="11"/>
      <c r="I38" s="31" t="str">
        <f ca="1">TEXTJOIN2("
", TRUE,INDIRECT( $H$1):INDIRECT( $H$3))</f>
        <v xml:space="preserve">		public const int MaxShiftLength = 40;
		public const int MaxSupplierNameLength = 40;
		public const int MaxSupplierCodeLength = 10;
		public const int MaxPcAddressLength = 40;
		public const int MaxDockNoLength = 20;
		public const int MaxOrderNoLength = 50;
		public const int MaxContentNoLength = 60;
		public const int MaxIsPalletOnlyLength = 1;
		public const int MaxPackagingTypeLength = 20;
		public const int MaxIsAdhocReceivingLength = 1;
		public const int MaxGeneratedByLength = 50;
		public const int MaxUnpackStatusLength = 1;
		public const int MaxModuleCdLength = 10;
		public const int MaxStatusLength = 50;
		public const int MaxIsActiveLength = 1;
</v>
      </c>
      <c r="J38" s="30" t="str">
        <f ca="1">TEXTJOIN2("
", TRUE,INDIRECT( $F$1):INDIRECT( $F$3))</f>
        <v xml:space="preserve">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public virtual int? RenbanNo { get; set; }
		[StringLength(MaxPcAddressLength)]
		public virtual string PcAddress { get; set; }
		[StringLength(MaxDockNoLength)]
		public virtual string DockNo { get; set; }
		[StringLength(MaxOrderNoLength)]
		public virtual string OrderNo { get; set; }
		[Column(TypeName="datetime2(7)")]
		public virtual DateTime? OrderDatetime { get; set; }
		public virtual int? TripNo { get; set; }
		public virtual int? PalletBoxQty { get; set; }
		[Column(TypeName="datetime2(7)")]
		public virtual DateTime? EstPackingDatetime { get; set; }
		[Column(TypeName="datetime2(7)")]
		public virtual DateTime? EstArrivalDatetime { get; set; }
		[StringLength(MaxContentNoLength)]
		public virtual string ContentNo { get; set; }
		public virtual long? OrderId { get; set; }
		public virtual int? PalletSize { get; set; }
		[StringLength(MaxIsPalletOnlyLength)]
		public virtual string IsPalletOnly { get; set; }
		[StringLength(MaxPackagingTypeLength)]
		public virtual string PackagingType { get; set; }
		[StringLength(MaxIsAdhocReceivingLength)]
		public virtual string IsAdhocReceiving { get; set; }
		[StringLength(MaxGeneratedByLength)]
		public virtual string GeneratedBy { get; set; }
		[StringLength(MaxUnpackStatusLength)]
		public virtual string UnpackStatus { get; set; }
		[StringLength(MaxModuleCdLength)]
		public virtual string ModuleCd { get; set; }
		public virtual int? ModuleRunNo { get; set; }
		[Column(TypeName="datetime2(7)")]
		public virtual DateTime? UpStartAct { get; set; }
		[Column(TypeName="datetime2(7)")]
		public virtual DateTime? UpFinishAct { get; set; }
		public virtual int? UpScanUserId { get; set; }
		[StringLength(MaxStatusLength)]
		public virtual string Status { get; set; }
		[StringLength(MaxIsActiveLength)]
		public virtual string IsActive { get; set; }
</v>
      </c>
      <c r="K38" s="32" t="str">
        <f ca="1">TEXTJOIN2("
", TRUE,INDIRECT( $J$1):INDIRECT( $J$3))</f>
        <v xml:space="preserve">	[Index(nameof(WorkingDate), Name="IX_InvGpsContentList_WorkingDate")]
	[Index(nameof(Shift), Name="IX_InvGpsContentList_Shift")]
	[Index(nameof(SupplierCode), Name="IX_InvGpsContentList_SupplierCode")]
	[Index(nameof(OrderNo), Name="IX_InvGpsContentList_OrderNo")]
	[Index(nameof(OrderId), Name="IX_InvGpsContentList_OrderId")]
	[Index(nameof(UpScanUserId), Name="IX_InvGpsContentList_UpScanUserId")]
	[Index(nameof(Status), Name="IX_InvGpsContentList_Status")]
	[Index(nameof(IsActive), Name="IX_InvGpsContentList_IsActive")]</v>
      </c>
      <c r="L38" s="12" t="s">
        <v>56</v>
      </c>
      <c r="M38" s="33" t="str">
        <f ca="1">TEXTJOIN2("
",TRUE,INDIRECT( $L$1):INDIRECT($L$3))</f>
        <v xml:space="preserve">		public virtual DateTime? WorkingDate { get; set; }
		public virtual string Shift { get; set; }
		public virtual string SupplierName { get; set; }
		public virtual string SupplierCode { get; set; }
		public virtual int? RenbanNo { get; set; }
		public virtual string PcAddress { get; set; }
		public virtual string DockNo { get; set; }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public virtual string ContentNo { get; set; }
		public virtual long? OrderId { get; set; }
		public virtual int? PalletSize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int? ModuleRunNo { get; set; }
		public virtual DateTime? UpStartAct { get; set; }
		public virtual DateTime? UpFinishAct { get; set; }
		public virtual int? UpScanUserId { get; set; }
		public virtual string Status { get; set; }
		public virtual string IsActive { get; set; }
</v>
      </c>
      <c r="N38" s="30" t="str">
        <f ca="1">TEXTJOIN2("
",TRUE,INDIRECT( $M$1):INDIRECT($M$3))</f>
        <v xml:space="preserve">		public virtual DateTime? WorkingDate { get; set; }
		[StringLength(InvGpsContentListConsts.MaxShiftLength)]
		public virtual string Shift { get; set; }
		[StringLength(InvGpsContentListConsts.MaxSupplierNameLength)]
		public virtual string SupplierName { get; set; }
		[StringLength(InvGpsContentListConsts.MaxSupplierCodeLength)]
		public virtual string SupplierCode { get; set; }
		public virtual int? RenbanNo { get; set; }
		[StringLength(InvGpsContentListConsts.MaxPcAddressLength)]
		public virtual string PcAddress { get; set; }
		[StringLength(InvGpsContentListConsts.MaxDockNoLength)]
		public virtual string DockNo { get; set; }
		[StringLength(InvGpsContentListConsts.MaxOrderNoLength)]
		public virtual string OrderNo { get; set; }
		public virtual DateTime? OrderDatetime { get; set; }
		public virtual int? TripNo { get; set; }
		public virtual int? PalletBoxQty { get; set; }
		public virtual DateTime? EstPackingDatetime { get; set; }
		public virtual DateTime? EstArrivalDatetime { get; set; }
		[StringLength(InvGpsContentListConsts.MaxContentNoLength)]
		public virtual string ContentNo { get; set; }
		public virtual long? OrderId { get; set; }
		public virtual int? PalletSize { get; set; }
		[StringLength(InvGpsContentListConsts.MaxIsPalletOnlyLength)]
		public virtual string IsPalletOnly { get; set; }
		[StringLength(InvGpsContentListConsts.MaxPackagingTypeLength)]
		public virtual string PackagingType { get; set; }
		[StringLength(InvGpsContentListConsts.MaxIsAdhocReceivingLength)]
		public virtual string IsAdhocReceiving { get; set; }
		[StringLength(InvGpsContentListConsts.MaxGeneratedByLength)]
		public virtual string GeneratedBy { get; set; }
		[StringLength(InvGpsContentListConsts.MaxUnpackStatusLength)]
		public virtual string UnpackStatus { get; set; }
		[StringLength(InvGpsContentListConsts.MaxModuleCdLength)]
		public virtual string ModuleCd { get; set; }
		public virtual int? ModuleRunNo { get; set; }
		public virtual DateTime? UpStartAct { get; set; }
		public virtual DateTime? UpFinishAct { get; set; }
		public virtual int? UpScanUserId { get; set; }
		[StringLength(InvGpsContentListConsts.MaxStatusLength)]
		public virtual string Status { get; set; }
		[StringLength(InvGpsContentListConsts.MaxIsActiveLength)]
		public virtual string IsActive { get; set; }
</v>
      </c>
      <c r="O38" s="30" t="str">
        <f ca="1">TEXTJOIN2("
",TRUE,INDIRECT( $N$1):INDIRECT($N$3))</f>
        <v xml:space="preserve">		public virtual string Shift { get; set; }
		public virtual string SupplierName { get; set; }
		public virtual string SupplierCode { get; set; }
		public virtual string PcAddress { get; set; }
		public virtual string DockNo { get; set; }
		public virtual string OrderNo { get; set; }
		public virtual string ContentNo { get; set; }
		public virtual string IsPalletOnly { get; set; }
		public virtual string PackagingType { get; set; }
		public virtual string IsAdhocReceiving { get; set; }
		public virtual string GeneratedBy { get; set; }
		public virtual string UnpackStatus { get; set; }
		public virtual string ModuleCd { get; set; }
		public virtual string Status { get; set; }
		public virtual string IsActive { get; set; }
</v>
      </c>
      <c r="P38" s="8" t="str">
        <f ca="1">TEXTJOIN2("
",TRUE,INDIRECT( $O$1):INDIRECT($O$3))</f>
        <v xml:space="preserve">							WorkingDate = o.WorkingDate,
							Shift = o.Shift,
							SupplierName = o.SupplierName,
							SupplierCode = o.SupplierCode,
							RenbanNo = o.RenbanNo,
							PcAddress = o.PcAddress,
							DockNo = o.DockNo,
							OrderNo = o.OrderNo,
							OrderDatetime = o.OrderDatetime,
							TripNo = o.TripNo,
							PalletBoxQty = o.PalletBoxQty,
							EstPackingDatetime = o.EstPackingDatetime,
							EstArrivalDatetime = o.EstArrivalDatetime,
							ContentNo = o.ContentNo,
							OrderId = o.OrderId,
							PalletSize = o.PalletSize,
							IsPalletOnly = o.IsPalletOnly,
							PackagingType = o.PackagingType,
							IsAdhocReceiving = o.IsAdhocReceiving,
							GeneratedBy = o.GeneratedBy,
							UnpackStatus = o.UnpackStatus,
							ModuleCd = o.ModuleCd,
							ModuleRunNo = o.ModuleRunNo,
							UpStartAct = o.UpStartAct,
							UpFinishAct = o.UpFinishAct,
							UpScanUserId = o.UpScanUserId,
							Status = o.Status,
							IsActive = o.IsActive,</v>
      </c>
      <c r="T38" s="8" t="str">
        <f ca="1">TEXTJOIN2("
",TRUE,INDIRECT( $T$2):INDIRECT($T$3))</f>
        <v xml:space="preserve">								("WorkingDate"),
								("Shift"),
								("SupplierName"),
								("SupplierCode"),
								("RenbanNo"),
								("PcAddress"),
								("DockNo"),
								("OrderNo"),
								("OrderDatetime"),
								("TripNo"),
								("PalletBoxQty"),
								("EstPackingDatetime"),
								("EstArrivalDatetime"),
								("ContentNo"),
								("OrderId"),
								("PalletSize"),
								("IsPalletOnly"),
								("PackagingType"),
								("IsAdhocReceiving"),
								("GeneratedBy"),
								("UnpackStatus"),
								("ModuleCd"),
								("ModuleRunNo"),
								("UpStartAct"),
								("UpFinishAct"),
								("UpScanUserId"),
								("Status"),
								("IsActive"),</v>
      </c>
      <c r="V38" s="8" t="str">
        <f ca="1">TEXTJOIN2("
",TRUE,INDIRECT( $V$2):INDIRECT($V$3))</f>
        <v xml:space="preserve">								_ =&gt; _.WorkingDate,
								_ =&gt; _.Shift,
								_ =&gt; _.SupplierName,
								_ =&gt; _.SupplierCode,
								_ =&gt; _.RenbanNo,
								_ =&gt; _.PcAddress,
								_ =&gt; _.DockNo,
								_ =&gt; _.OrderNo,
								_ =&gt; _.OrderDatetime,
								_ =&gt; _.TripNo,
								_ =&gt; _.PalletBoxQty,
								_ =&gt; _.EstPackingDatetime,
								_ =&gt; _.EstArrivalDatetime,
								_ =&gt; _.ContentNo,
								_ =&gt; _.OrderId,
								_ =&gt; _.PalletSize,
								_ =&gt; _.IsPalletOnly,
								_ =&gt; _.PackagingType,
								_ =&gt; _.IsAdhocReceiving,
								_ =&gt; _.GeneratedBy,
								_ =&gt; _.UnpackStatus,
								_ =&gt; _.ModuleCd,
								_ =&gt; _.ModuleRunNo,
								_ =&gt; _.UpStartAct,
								_ =&gt; _.UpFinishAct,
								_ =&gt; _.UpScanUserId,
								_ =&gt; _.Status,
								_ =&gt; _.IsActive,</v>
      </c>
      <c r="W38" s="8" t="str">
        <f ca="1">TEXTJOIN2("
",TRUE,INDIRECT( $W$2):INDIRECT($W$3))</f>
        <v xml:space="preserve">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.WhereIf(!string.IsNullOrWhiteSpace(input.PcAddress), e =&gt; e.PcAddress.Contains(input.PcAddress))
				.WhereIf(!string.IsNullOrWhiteSpace(input.DockNo), e =&gt; e.DockNo.Contains(input.DockNo))
				.WhereIf(!string.IsNullOrWhiteSpace(input.OrderNo), e =&gt; e.OrderNo.Contains(input.OrderNo))
				.WhereIf(!string.IsNullOrWhiteSpace(input.ContentNo), e =&gt; e.ContentNo.Contains(input.ContentNo))
				.WhereIf(!string.IsNullOrWhiteSpace(input.IsPalletOnly), e =&gt; e.IsPalletOnly.Contains(input.IsPalletOnly))
				.WhereIf(!string.IsNullOrWhiteSpace(input.PackagingType), e =&gt; e.PackagingType.Contains(input.PackagingType))
				.WhereIf(!string.IsNullOrWhiteSpace(input.IsAdhocReceiving), e =&gt; e.IsAdhocReceiving.Contains(input.IsAdhocReceiving))
				.WhereIf(!string.IsNullOrWhiteSpace(input.GeneratedBy), e =&gt; e.GeneratedBy.Contains(input.GeneratedBy))
				.WhereIf(!string.IsNullOrWhiteSpace(input.UnpackStatus), e =&gt; e.UnpackStatus.Contains(input.UnpackStatus))
				.WhereIf(!string.IsNullOrWhiteSpace(input.ModuleCd), e =&gt; e.ModuleCd.Contains(input.ModuleCd))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4"/>
  <sheetViews>
    <sheetView tabSelected="1" workbookViewId="0">
      <selection activeCell="F20" sqref="F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394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InvGpsContentList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InvGpsContentList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invgpscontentlist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InvGpsContentListDto, InvGpsContentListServiceProxy } from '@shared/service-proxies/service-proxies';
import { finalize } from 'rxjs/internal/operators/finalize';
import { CreateOrEditInvGpsContentListModalComponent } from './create-or-edit-invgpscontentlist-modal.component';
import { DatePipe } from '@angular/common';
import { FileDownloadService } from '@shared/utils/file-download.service';
import ceil from 'lodash-es/ceil';
import { Paginator } from 'primeng/paginator';
@Component({
    templateUrl: './invgpscontentlist.component.html',
    styleUrls: ['./invgpscontentlist.component.less'],
})
export class InvGpsContentListComponent extends AppComponentBase implements OnInit {
    @ViewChild('createOrEditModalInvGpsContentList', { static: true }) createOrEditModalInvGpsContentList:| CreateOrEditInvGpsContentListModalComponent|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InvGpsContentListDto = new InvGpsContentListDto();
    saveSelectedRow: InvGpsContentListDto = new InvGpsContentListDto();
    datas: InvGpsContentListDto = new InvGpsContentListDto();
    isLoading: boolean = false;
    dataParams: GridParams | undefined;
    rowData: any[] = [];
    gridApi!: GridApi;
    rowSelection = 'multiple';
    filter: string = '';
	pipe = new DatePipe('en-US');
	frameworkComponents: FrameworkComponent;
    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InvGpsContentListServiceProxy,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this.l('Renban No'),headerTooltip: this.l('Renban No'),field: 'renbanNo',flex: 1},
			{headerName: this.l('Pc Address'),headerTooltip: this.l('Pc Address'),field: 'pcAddress',flex: 1},
			{headerName: this.l('Dock No'),headerTooltip: this.l('Dock No'),field: 'dockNo',flex: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this.l('Pallet Box Qty'),headerTooltip: this.l('Pallet Box Qty'),field: 'palletBoxQty',flex: 1},
			{headerName: this.l('Est Packing Datetime'),headerTooltip: this.l('Est Packing Datetime'),field: 'estPackingDatetime',flex: 1},
			{headerName: this.l('Est Arrival Datetime'),headerTooltip: this.l('Est Arrival Datetime'),field: 'estArrivalDatetime',flex: 1},
			{headerName: this.l('Content No'),headerTooltip: this.l('Content No'),field: 'contentNo',flex: 1},
			{headerName: this.l('Order Id'),headerTooltip: this.l('Order Id'),field: 'orderId',flex: 1},
			{headerName: this.l('Pallet Size'),headerTooltip: this.l('Pallet Size'),field: 'palletSize',flex: 1},
			{headerName: this.l('Is Pallet Only'),headerTooltip: this.l('Is Pallet Only'),field:  'isPalletOnly', cellClass: ['text-center'], width: 120, cellRenderer: 'agCellButtonComponent',
buttonDefTwo: { text: params =&gt; (params.data?.'isPalletOnly' == 'Y') ? 'Active' : 'Inactive',iconName: 'fa fa-circle',className: params =&gt; (params.data?.'isPalletOnly' == 'Y') ? 'btnActive' : 'btnInActive',},}
			{headerName: this.l('Packaging Type'),headerTooltip: this.l('Packaging Type'),field: 'packagingType',flex: 1},
			{headerName: this.l('Is Adhoc Receiving'),headerTooltip: this.l('Is Adhoc Receiving'),field:  'isAdhocReceiving', cellClass: ['text-center'], width: 120, cellRenderer: 'agCellButtonComponent',
buttonDefTwo: { text: params =&gt; (params.data?.'isAdhocReceiving' == 'Y') ? 'Active' : 'Inactive',iconName: 'fa fa-circle',className: params =&gt; (params.data?.'isAdhocReceiving' == 'Y') ? 'btnActive' : 'btnInActive',},}
			{headerName: this.l('Generated By'),headerTooltip: this.l('Generated By'),field: 'generatedBy',flex: 1},
			{headerName: this.l('Unpack Status'),headerTooltip: this.l('Unpack Status'),field:  'unpackStatus', cellClass: ['text-center'], width: 120, cellRenderer: 'agCellButtonComponent',
buttonDefTwo: { text: params =&gt; (params.data?.'unpackStatus' == 'Y') ? 'Active' : 'Inactive',iconName: 'fa fa-circle',className: params =&gt; (params.data?.'unpackStatus' == 'Y') ? 'btnActive' : 'btnInActive',},}
			{headerName: this.l('Module Cd'),headerTooltip: this.l('Module Cd'),field: 'moduleCd',flex: 1},
			{headerName: this.l('Module Run No'),headerTooltip: this.l('Module Run No'),field: 'moduleRunNo',flex: 1},
			{headerName: this.l('Up Start Act'),headerTooltip: this.l('Up Start Act'),field: 'upStartAct',flex: 1},
			{headerName: this.l('Up Finish Act'),headerTooltip: this.l('Up Finish Act'),field: 'upFinishAct',flex: 1},
			{headerName: this.l('Up Scan User Id'),headerTooltip: this.l('Up Scan User Id'),field: 'upScanUserId',flex: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this.shift,
			this.supplierName,
			this.renbanNo,
			this.pcAddress,
			this.dockNo,
			this.estArrivalDatetime,
			this.isPalletOnly,
			this.isAdhocReceiving,
			this.unpackStatus,
			this.upScanUserId,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this.shift,
			this.supplierName,
			this.renbanNo,
			this.pcAddress,
			this.dockNo,
			this.estArrivalDatetime,
			this.isPalletOnly,
			this.isAdhocReceiving,
			this.unpackStatus,
			this.upScanUserId,
			'',
            this.paginationParams.skipCount,
            this.paginationParams.pageSize
        );
    }
    onChangeRowSelection(params: { api: { getSelectedRows: () =&gt; InvGpsContentListDto[] } }) {
        this.saveSelectedRow = params.api.getSelectedRows()[0] ?? new InvGpsContentListDto();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InvGpsContentListDto):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this._service.getInvGpsContentListToExcel(
			this.workingDate,
			this.shift,
			this.supplierName,
			this.renbanNo,
			this.pcAddress,
			this.dockNo,
			this.estArrivalDatetime,
			this.isPalletOnly,
			this.isAdhocReceiving,
			this.unpackStatus,
			this.upScanUserId,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Content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[(ngModel)]='dockNo' name='dockNo'
									class='form-control' [placeholder]="l('Dock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[(ngModel)]='contentNo' name='contentNo'
									class='form-control' [placeholder]="l('Content No')"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[(ngModel)]='moduleCd' name='moduleCd'
									class='form-control' [placeholder]="l('Module Cd')"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(click)="createOrEditModalInvGpsContentList.show()"&gt;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(click)="createOrEditModalInvGpsContentList.show(selectedRow)"&gt;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&lt;create-or-edit-invgpscontentlist-modal
    #createOrEditModalInvGpsContentList
    (modalSave)="callBackDataGrid(dataParams)"
    (modalClose)="onChangeRowSelection(dataParams)"
&gt;
&lt;/create-or-edit-invgpscontentlist-modal&gt;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#createOrEditModalInvGpsContentList="bs-modal"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InvGpsContentList')}}&lt;/h3&gt;
                    &lt;h3 *ngIf="!rowdata.id"&gt;{{('Create New InvGpsContentList')}}&lt;/h3&gt;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title'&gt;Dock No&lt;/label&gt;
						&lt;input type='text' class='col-md-10 form-control input-text' name='DockNo' [(ngModel)]='rowdata.dockNo'&gt;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title'&gt;Pallet Box Qty&lt;/label&gt;
						&lt;input type='number' class='col-md-10 form-control input-text' name='PalletBoxQty' [(ngModel)]='rowdata.palletBoxQty'&gt;
					&lt;/div&gt;
					&lt;div class='col-md-12 form-group row'&gt;
						&lt;label class='col-md-2 form-control title'&gt;Est Packing Datetime&lt;/label&gt;
						&lt;input type='text' class='col-md-10 form-control input-text' name='estPackingDatetime' 
						#datepicker='bsDatepicker' [(ngModel)]='rowdata.estPackingDatetime'  bsDatepicker 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title'&gt;Content No&lt;/label&gt;
						&lt;input type='text' class='col-md-10 form-control input-text' name='ContentNo' [(ngModel)]='rowdata.contentNo'&gt;
					&lt;/div&gt;
					&lt;div class='col-md-12 form-group row'&gt;
						&lt;label class='col-md-2 form-control title'&gt;Order Id&lt;/label&gt;
						&lt;input type='number' class='col-md-10 form-control input-text' name='OrderId' [(ngModel)]='rowdata.orderId'&gt;
					&lt;/div&gt;
					&lt;div class='col-md-12 form-group row'&gt;
						&lt;label class='col-md-2 form-control title'&gt;Pallet Size&lt;/label&gt;
						&lt;input type='number' class='col-md-10 form-control input-text' name='PalletSize' [(ngModel)]='rowdata.palletSize'&gt;
					&lt;/div&gt;
					&lt;div class='col-md-12 form-group row'&gt;
						&lt;label class='col-md-2 form-control title'&gt;Is Pallet Only&lt;/label&gt;
						&lt;new-checkbox [(ngModel)]='_isPalletOnly' name='isPalletOnly' className='col-md-10' &gt; &lt;/new-checkbox&gt;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title'&gt;Is Adhoc Receiving&lt;/label&gt;
						&lt;new-checkbox [(ngModel)]='_isAdhocReceiving' name='isAdhocReceiving' className='col-md-10' &gt; &lt;/new-checkbox&gt;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title'&gt;Unpack Status&lt;/label&gt;
						&lt;new-checkbox [(ngModel)]='_unpackStatus' name='unpackStatus' className='col-md-10' &gt; &lt;/new-checkbox&gt;
					&lt;/div&gt;
					&lt;div class='col-md-12 form-group row'&gt;
						&lt;label class='col-md-2 form-control title'&gt;Module Cd&lt;/label&gt;
						&lt;input type='text' class='col-md-10 form-control input-text' name='ModuleCd' [(ngModel)]='rowdata.moduleCd'&gt;
					&lt;/div&gt;
					&lt;div class='col-md-12 form-group row'&gt;
						&lt;label class='col-md-2 form-control title'&gt;Module Run No&lt;/label&gt;
						&lt;input type='number' class='col-md-10 form-control input-text' name='ModuleRunNo' [(ngModel)]='rowdata.moduleRunNo'&gt;
					&lt;/div&gt;
					&lt;div class='col-md-12 form-group row'&gt;
						&lt;label class='col-md-2 form-control title'&gt;Up Start Act&lt;/label&gt;
						&lt;input type='text' class='col-md-10 form-control input-text' name='upStartAct' 
						#datepicker='bsDatepicker' [(ngModel)]='rowdata.upStartAct'  bsDatepicker &gt;
					&lt;/div&gt;
					&lt;div class='col-md-12 form-group row'&gt;
						&lt;label class='col-md-2 form-control title'&gt;Up Finish Act&lt;/label&gt;
						&lt;input type='text' class='col-md-10 form-control input-text' name='upFinishAct' 
						#datepicker='bsDatepicker' [(ngModel)]='rowdata.upFinishAct'  bsDatepicker &gt;
					&lt;/div&gt;
					&lt;div class='col-md-12 form-group row'&gt;
						&lt;label class='col-md-2 form-control title'&gt;Up Scan User Id&lt;/label&gt;
						&lt;input type='number' class='col-md-10 form-control input-text' name='UpScanUserId' [(ngModel)]='rowdata.upScanUserId'&gt;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CreateOrEditInvGpsContentListDto, InvGpsContentListServiceProxy } from '@shared/service-proxies/service-proxies';
import { BsDatepickerDirective } from 'ngx-bootstrap/datepicker';
@Component({
    selector: 'create-or-edit-invgpscontentlist-modal',
    templateUrl: './create-or-edit-invgpscontentlist-modal.component.html',
    styleUrls: ['./create-or-edit-invgpscontentlist-modal.component.less']
    })
export class CreateOrEditInvGpsContentListModalComponent extends AppComponentBase {
    @ViewChild('createOrEditModalInvGpsContentList',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CreateOrEditInvGpsContentListDto = new CreateOrEditInvGpsContentListDto();
    active: boolean = false;
    saving: boolean = false;
    _isPalletOnly
isAdhocReceiving
unpackStatus
isActive: boolean;
    constructor(
        injector: Injector,
        private _mstwptInvGpsContentListService: InvGpsContentListServiceProxy,
    ) 
    {
        super(injector);
    }
    show(rowdata?: CreateOrEditInvGpsContentListDto): void {
        if (!rowdata) this.rowdata = new CreateOrEditInvGpsContentListDto();
        else this.rowdata = rowdata;
        this._isPalletOnly
isAdhocReceiving
unpackStatus
isActive = (this.rowdata.isPalletOnly
isAdhocReceiving
unpackStatus
isActive == "N")? false: true;
        this.active = true;
        this.modal.show();
    } 
    changeActive(event){
        this._isPalletOnly
isAdhocReceiving
unpackStatus
isActive = event.target.checked;
    }
    save(): void {
    this.saving = true; 
    this.rowdata.isPalletOnly
isAdhocReceiving
unpackStatus
isActive = (this._isPalletOnly
isAdhocReceiving
unpackStatus
isActive == true) ? 'Y' : 'N'
    this._mstwptInvGpsContentListService.createOrEdit(this.rowdata)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InvGpsContentListRoutingModule } from './invgpscontentlist-routing.module';
import { InvGpsContentListComponent } from './invgpscontentlist.component';
import { CreateOrEditInvGpsContentListModalComponent } from './create-or-edit-invgpscontentlist-modal.component';
@NgModule({
    declarations: [
       InvGpsContentListComponent, 
        CreateOrEditInvGpsContentListModalComponent
    ],
    imports: [
        AppSharedModule, InvGpsContentListRoutingModule]
})
export class InvGpsContentListModule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InvGpsContentListComponent } from './invgpscontentlist.component';
const routes: Routes = [{
    path: '',
    component: InvGpsContentListComponent,
    pathMatch: 'full'
}];
@NgModule({
    imports: [RouterModule.forChild(routes)],
    exports: [RouterModule],
})
export class InvGpsContentListRoutingModule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AppMenuItem("InvGpsContentList", "Pages.Inventory.GPS.InvGpsContentList", "flaticon-book",   "/app/main/inventory/gps/invgpscontentlist"),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'inventory/gps/invgpscontentlist',
    loadChildren: () =&gt; import('./inventory/gps/invgpscontentlist/invgpscontentlist.module').then(m =&gt; m.InvGpsContentListModule),
    data: { permission: 'Pages.Inventory.GPS.InvGpsContentList' }
},</v>
      </c>
      <c r="R10" s="47" t="str">
        <f>SUBSTITUTE(R9,"MstWptCalendar",$B$6)</f>
        <v>ApiServiceProxies.InvGpsContentListServiceProxy,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H42</v>
      </c>
      <c r="I12" s="28" t="str">
        <f>"I"&amp;COUNTA($A:$A)</f>
        <v>I42</v>
      </c>
      <c r="J12" s="28"/>
      <c r="K12" s="28" t="str">
        <f>"K"&amp;COUNTA($A:$A)</f>
        <v>K42</v>
      </c>
      <c r="L12" s="28" t="str">
        <f>"L"&amp;COUNTA($A:$A)</f>
        <v>L42</v>
      </c>
      <c r="M12" s="28"/>
      <c r="N12" s="28"/>
      <c r="O12" s="28"/>
      <c r="P12" s="28"/>
      <c r="Q12" s="28"/>
      <c r="R12" s="28"/>
      <c r="S12" s="28" t="str">
        <f>"S"&amp;COUNTA($A:$A)</f>
        <v>S42</v>
      </c>
      <c r="T12" s="28" t="str">
        <f>"T"&amp;COUNTA($A:$A)</f>
        <v>T42</v>
      </c>
      <c r="U12" s="28" t="str">
        <f>"U"&amp;COUNTA($A:$A)</f>
        <v>U42</v>
      </c>
      <c r="V12" s="28" t="str">
        <f>"V"&amp;COUNTA($A:$A)</f>
        <v>V42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this.l('Renban No'),headerTooltip: this.l('Renban No'),field: 'renbanNo',flex: 1},
			{headerName: this.l('Pc Address'),headerTooltip: this.l('Pc Address'),field: 'pcAddress',flex: 1},
			{headerName: this.l('Dock No'),headerTooltip: this.l('Dock No'),field: 'dockNo',flex: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this.l('Pallet Box Qty'),headerTooltip: this.l('Pallet Box Qty'),field: 'palletBoxQty',flex: 1},
			{headerName: this.l('Est Packing Datetime'),headerTooltip: this.l('Est Packing Datetime'),field: 'estPackingDatetime',flex: 1},
			{headerName: this.l('Est Arrival Datetime'),headerTooltip: this.l('Est Arrival Datetime'),field: 'estArrivalDatetime',flex: 1},
			{headerName: this.l('Content No'),headerTooltip: this.l('Content No'),field: 'contentNo',flex: 1},
			{headerName: this.l('Order Id'),headerTooltip: this.l('Order Id'),field: 'orderId',flex: 1},
			{headerName: this.l('Pallet Size'),headerTooltip: this.l('Pallet Size'),field: 'palletSize',flex: 1},
			{headerName: this.l('Is Pallet Only'),headerTooltip: this.l('Is Pallet Only'),field:  'isPalletOnly', cellClass: ['text-center'], width: 120, cellRenderer: 'agCellButtonComponent',
buttonDefTwo: { text: params =&gt; (params.data?.'isPalletOnly' == 'Y') ? 'Active' : 'Inactive',iconName: 'fa fa-circle',className: params =&gt; (params.data?.'isPalletOnly' == 'Y') ? 'btnActive' : 'btnInActive',},}
			{headerName: this.l('Packaging Type'),headerTooltip: this.l('Packaging Type'),field: 'packagingType',flex: 1},
			{headerName: this.l('Is Adhoc Receiving'),headerTooltip: this.l('Is Adhoc Receiving'),field:  'isAdhocReceiving', cellClass: ['text-center'], width: 120, cellRenderer: 'agCellButtonComponent',
buttonDefTwo: { text: params =&gt; (params.data?.'isAdhocReceiving' == 'Y') ? 'Active' : 'Inactive',iconName: 'fa fa-circle',className: params =&gt; (params.data?.'isAdhocReceiving' == 'Y') ? 'btnActive' : 'btnInActive',},}
			{headerName: this.l('Generated By'),headerTooltip: this.l('Generated By'),field: 'generatedBy',flex: 1},
			{headerName: this.l('Unpack Status'),headerTooltip: this.l('Unpack Status'),field:  'unpackStatus', cellClass: ['text-center'], width: 120, cellRenderer: 'agCellButtonComponent',
buttonDefTwo: { text: params =&gt; (params.data?.'unpackStatus' == 'Y') ? 'Active' : 'Inactive',iconName: 'fa fa-circle',className: params =&gt; (params.data?.'unpackStatus' == 'Y') ? 'btnActive' : 'btnInActive',},}
			{headerName: this.l('Module Cd'),headerTooltip: this.l('Module Cd'),field: 'moduleCd',flex: 1},
			{headerName: this.l('Module Run No'),headerTooltip: this.l('Module Run No'),field: 'moduleRunNo',flex: 1},
			{headerName: this.l('Up Start Act'),headerTooltip: this.l('Up Start Act'),field: 'upStartAct',flex: 1},
			{headerName: this.l('Up Finish Act'),headerTooltip: this.l('Up Finish Act'),field: 'upFinishAct',flex: 1},
			{headerName: this.l('Up Scan User Id'),headerTooltip: this.l('Up Scan User Id'),field: 'upScanUserId',flex: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[(ngModel)]='dockNo' name='dockNo'
									class='form-control' [placeholder]="l('Dock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[(ngModel)]='contentNo' name='contentNo'
									class='form-control' [placeholder]="l('Content No')"
									type='text' (keyup.enter)='searchDatas()'&gt;
								&lt;/div&gt;
								&lt;div class='input-search'&gt;
									&lt;input [(ngModel)]='packagingType' name='packagingType'
									class='form-control' [placeholder]="l('Packaging Type')"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								&lt;div class='input-search'&gt;
									&lt;input [(ngModel)]='moduleCd' name='moduleCd'
									class='form-control' [placeholder]="l('Module Cd')"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title'&gt;Renban No&lt;/label&gt;
						&lt;input type='number' class='col-md-10 form-control input-text' name='RenbanNo' [(ngModel)]='rowdata.renbanNo'&gt;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title'&gt;Dock No&lt;/label&gt;
						&lt;input type='text' class='col-md-10 form-control input-text' name='DockNo' [(ngModel)]='rowdata.dockNo'&gt;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title'&gt;Pallet Box Qty&lt;/label&gt;
						&lt;input type='number' class='col-md-10 form-control input-text' name='PalletBoxQty' [(ngModel)]='rowdata.palletBoxQty'&gt;
					&lt;/div&gt;
					&lt;div class='col-md-12 form-group row'&gt;
						&lt;label class='col-md-2 form-control title'&gt;Est Packing Datetime&lt;/label&gt;
						&lt;input type='text' class='col-md-10 form-control input-text' name='estPackingDatetime' 
						#datepicker='bsDatepicker' [(ngModel)]='rowdata.estPackingDatetime'  bsDatepicker 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title'&gt;Content No&lt;/label&gt;
						&lt;input type='text' class='col-md-10 form-control input-text' name='ContentNo' [(ngModel)]='rowdata.contentNo'&gt;
					&lt;/div&gt;
					&lt;div class='col-md-12 form-group row'&gt;
						&lt;label class='col-md-2 form-control title'&gt;Order Id&lt;/label&gt;
						&lt;input type='number' class='col-md-10 form-control input-text' name='OrderId' [(ngModel)]='rowdata.orderId'&gt;
					&lt;/div&gt;
					&lt;div class='col-md-12 form-group row'&gt;
						&lt;label class='col-md-2 form-control title'&gt;Pallet Size&lt;/label&gt;
						&lt;input type='number' class='col-md-10 form-control input-text' name='PalletSize' [(ngModel)]='rowdata.palletSize'&gt;
					&lt;/div&gt;
					&lt;div class='col-md-12 form-group row'&gt;
						&lt;label class='col-md-2 form-control title'&gt;Is Pallet Only&lt;/label&gt;
						&lt;new-checkbox [(ngModel)]='_isPalletOnly' name='isPalletOnly' className='col-md-10' &gt; &lt;/new-checkbox&gt;
					&lt;/div&gt;
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
					&lt;div class='col-md-12 form-group row'&gt;
						&lt;label class='col-md-2 form-control title'&gt;Is Adhoc Receiving&lt;/label&gt;
						&lt;new-checkbox [(ngModel)]='_isAdhocReceiving' name='isAdhocReceiving' className='col-md-10' &gt; &lt;/new-checkbox&gt;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title'&gt;Unpack Status&lt;/label&gt;
						&lt;new-checkbox [(ngModel)]='_unpackStatus' name='unpackStatus' className='col-md-10' &gt; &lt;/new-checkbox&gt;
					&lt;/div&gt;
					&lt;div class='col-md-12 form-group row'&gt;
						&lt;label class='col-md-2 form-control title'&gt;Module Cd&lt;/label&gt;
						&lt;input type='text' class='col-md-10 form-control input-text' name='ModuleCd' [(ngModel)]='rowdata.moduleCd'&gt;
					&lt;/div&gt;
					&lt;div class='col-md-12 form-group row'&gt;
						&lt;label class='col-md-2 form-control title'&gt;Module Run No&lt;/label&gt;
						&lt;input type='number' class='col-md-10 form-control input-text' name='ModuleRunNo' [(ngModel)]='rowdata.moduleRunNo'&gt;
					&lt;/div&gt;
					&lt;div class='col-md-12 form-group row'&gt;
						&lt;label class='col-md-2 form-control title'&gt;Up Start Act&lt;/label&gt;
						&lt;input type='text' class='col-md-10 form-control input-text' name='upStartAct' 
						#datepicker='bsDatepicker' [(ngModel)]='rowdata.upStartAct'  bsDatepicker &gt;
					&lt;/div&gt;
					&lt;div class='col-md-12 form-group row'&gt;
						&lt;label class='col-md-2 form-control title'&gt;Up Finish Act&lt;/label&gt;
						&lt;input type='text' class='col-md-10 form-control input-text' name='upFinishAct' 
						#datepicker='bsDatepicker' [(ngModel)]='rowdata.upFinishAct'  bsDatepicker &gt;
					&lt;/div&gt;
					&lt;div class='col-md-12 form-group row'&gt;
						&lt;label class='col-md-2 form-control title'&gt;Up Scan User Id&lt;/label&gt;
						&lt;input type='number' class='col-md-10 form-control input-text' name='UpScanUserId' [(ngModel)]='rowdata.upScanUserId'&gt;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</v>
      </c>
      <c r="T13" s="62" t="str">
        <f ca="1">TEXTJOIN2("
",TRUE,INDIRECT(T11):INDIRECT(T12))</f>
        <v xml:space="preserve">			this.workingDate,
			this.shift,
			this.supplierName,
			this.renbanNo,
			this.pcAddress,
			this.dockNo,
			this.estArrivalDatetime,
			this.isPalletOnly,
			this.isAdhocReceiving,
			this.unpackStatus,
			this.upScanUserId,
</v>
      </c>
      <c r="U13" s="62" t="str">
        <f ca="1">TEXTJOIN2("
",TRUE,INDIRECT(U11):INDIRECT(U12))</f>
        <v xml:space="preserve">	shift : string = '' ; 
	supplierName : string = '' ; 
	supplierCode : string = '' ; 
	pcAddress : string = '' ; 
	dockNo : string = '' ; 
	orderNo : string = '' ; 
	contentNo : string = '' ; 
	packagingType : string = '' ; 
	generatedBy : string = '' ; 
	moduleCd : string = '' ; 
	status : string = '' ; 
</v>
      </c>
      <c r="V13" s="28" t="str">
        <f ca="1">TEXTJOIN2("
",TRUE,INDIRECT(V11):INDIRECT(V12))</f>
        <v>isPalletOnly
isAdhocReceiving
unpackStatus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invgpscontentlist.component.ts</v>
      </c>
      <c r="I14" s="37" t="str">
        <f>B8&amp;".component.html"</f>
        <v>invgpscontentlist.component.html</v>
      </c>
      <c r="J14" s="36" t="str">
        <f>B8&amp;".component.less"</f>
        <v>invgpscontentlist.component.less</v>
      </c>
      <c r="K14" s="37" t="str">
        <f>"create-or-edit-"&amp;B8&amp;"-modal.component.html"</f>
        <v>create-or-edit-invgpscontentlist-modal.component.html</v>
      </c>
      <c r="L14" s="37" t="str">
        <f>"create-or-edit-"&amp;B8&amp;"-modal.component.ts"</f>
        <v>create-or-edit-invgpscontentlist-modal.component.ts</v>
      </c>
      <c r="M14" s="37" t="str">
        <f>"create-or-edit-"&amp;B8&amp;"-modal.component.less"</f>
        <v>create-or-edit-invgpscontentlist-modal.component.less</v>
      </c>
      <c r="N14" s="37" t="str">
        <f>B8&amp;".module.ts"</f>
        <v>invgpscontentlist.module.ts</v>
      </c>
      <c r="O14" s="37" t="str">
        <f>B8&amp;"-routing.module.ts"</f>
        <v>invgpscontentlist-routing.module.ts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367</v>
      </c>
      <c r="B15" s="28" t="str">
        <f t="shared" ref="B15" si="0">SUBSTITUTE(PROPER(A15),"_","")</f>
        <v>WorkingDate</v>
      </c>
      <c r="C15" s="28" t="str">
        <f t="shared" ref="C15" si="1">SUBSTITUTE(PROPER(A15),"_"," ")</f>
        <v>Working Date</v>
      </c>
      <c r="D15" s="28" t="str">
        <f t="shared" ref="D15" si="2">LOWER(LEFT(B15,1))&amp;RIGHT(B15,LEN(B15) - 1)</f>
        <v>workingDate</v>
      </c>
      <c r="E15" s="28" t="str">
        <f>A.Backend!H9</f>
        <v>DateTime?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this.l('Working Date'),headerTooltip: this.l('Working Date'),field: 'workingDate',flex: 1},</v>
      </c>
      <c r="I15" s="35" t="str">
        <f t="shared" ref="I15:I4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t="s">
        <v>368</v>
      </c>
      <c r="B16" s="28" t="str">
        <f t="shared" ref="B16:B42" si="8">SUBSTITUTE(PROPER(A16),"_","")</f>
        <v>Shift</v>
      </c>
      <c r="C16" s="28" t="str">
        <f t="shared" ref="C16:C42" si="9">SUBSTITUTE(PROPER(A16),"_"," ")</f>
        <v>Shift</v>
      </c>
      <c r="D16" s="28" t="str">
        <f t="shared" ref="D16:D42" si="10">LOWER(LEFT(B16,1))&amp;RIGHT(B16,LEN(B16) - 1)</f>
        <v>shift</v>
      </c>
      <c r="E16" s="28" t="str">
        <f>A.Backend!H10</f>
        <v>string</v>
      </c>
      <c r="F16" s="28" t="str">
        <f>A.Backend!G10</f>
        <v>40</v>
      </c>
      <c r="G16" s="28" t="str">
        <f t="shared" ref="G16:G42" si="11">IF(E16="string"," : string = '' ; ",IF(OR(E16="DateTime",E16="TimeSpan")," : any ;",IF(E16="int"," : number = 0 ;","")))</f>
        <v xml:space="preserve"> : string = '' ; </v>
      </c>
      <c r="H16" s="35" t="str">
        <f t="shared" ref="H16:H42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this.l('Shift'),headerTooltip: this.l('Shift'),field: 'shift',flex: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6" s="28"/>
      <c r="K16" s="35" t="str">
        <f t="shared" ref="K16:K42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2" si="15">IF(AND(E16="string",F16 &lt;&gt;"1"),(REPT(CHAR(9),1)&amp;D16&amp;G16),"")</f>
        <v xml:space="preserve">	shift : string = '' ; </v>
      </c>
      <c r="T16" s="28" t="str">
        <f t="shared" ref="T16:T42" si="16">IF(AND(E16="string",F16 &lt;&gt;"1"),(REPT(CHAR(9),3)&amp;"this."&amp;D15&amp;","),"")</f>
        <v xml:space="preserve">			this.workingDate,</v>
      </c>
      <c r="U16" s="28" t="str">
        <f t="shared" ref="U16:U42" si="17">IF(AND(E16="string",F16 &lt;&gt;"1"),(REPT(CHAR(9),1)&amp;D16&amp;G16),"")</f>
        <v xml:space="preserve">	shift : string = '' ; </v>
      </c>
      <c r="V16" s="28" t="str">
        <f t="shared" ref="V16:V42" si="18">IF(AND(E16="string",F16="1"),D16,"")</f>
        <v/>
      </c>
    </row>
    <row r="17" spans="1:22" ht="18" customHeight="1" x14ac:dyDescent="0.25">
      <c r="A17" t="s">
        <v>369</v>
      </c>
      <c r="B17" s="28" t="str">
        <f t="shared" si="8"/>
        <v>SupplierName</v>
      </c>
      <c r="C17" s="28" t="str">
        <f t="shared" si="9"/>
        <v>Supplier Name</v>
      </c>
      <c r="D17" s="28" t="str">
        <f t="shared" si="10"/>
        <v>supplierName</v>
      </c>
      <c r="E17" s="28" t="str">
        <f>A.Backend!H11</f>
        <v>string</v>
      </c>
      <c r="F17" s="28" t="str">
        <f>A.Backend!G11</f>
        <v>40</v>
      </c>
      <c r="G17" s="28" t="str">
        <f t="shared" si="11"/>
        <v xml:space="preserve"> : string = '' ; </v>
      </c>
      <c r="H17" s="35" t="str">
        <f t="shared" si="12"/>
        <v xml:space="preserve">			{headerName: this.l('Supplier Name'),headerTooltip: this.l('Supplier Name'),field: 'supplierName',flex: 1},</v>
      </c>
      <c r="I17" s="35" t="str">
        <f t="shared" si="5"/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supplierName : string = '' ; </v>
      </c>
      <c r="T17" s="28" t="str">
        <f t="shared" si="16"/>
        <v xml:space="preserve">			this.shift,</v>
      </c>
      <c r="U17" s="28" t="str">
        <f t="shared" si="17"/>
        <v xml:space="preserve">	supplierName : string = '' ; </v>
      </c>
      <c r="V17" s="28" t="str">
        <f t="shared" si="18"/>
        <v/>
      </c>
    </row>
    <row r="18" spans="1:22" ht="15" customHeight="1" x14ac:dyDescent="0.25">
      <c r="A18" t="s">
        <v>371</v>
      </c>
      <c r="B18" s="28" t="str">
        <f t="shared" si="8"/>
        <v>SupplierCode</v>
      </c>
      <c r="C18" s="28" t="str">
        <f t="shared" si="9"/>
        <v>Supplier Code</v>
      </c>
      <c r="D18" s="28" t="str">
        <f t="shared" si="10"/>
        <v>supplierCode</v>
      </c>
      <c r="E18" s="28" t="str">
        <f>A.Backend!H12</f>
        <v>string</v>
      </c>
      <c r="F18" s="28" t="str">
        <f>A.Backend!G12</f>
        <v>10</v>
      </c>
      <c r="G18" s="28" t="str">
        <f t="shared" si="11"/>
        <v xml:space="preserve"> : string = '' ; </v>
      </c>
      <c r="H18" s="35" t="str">
        <f t="shared" si="12"/>
        <v xml:space="preserve">			{headerName: this.l('Supplier Code'),headerTooltip: this.l('Supplier Code'),field: 'supplierCode',flex: 1},</v>
      </c>
      <c r="I18" s="35" t="str">
        <f t="shared" si="5"/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18" s="56" t="str">
        <f t="shared" ref="L18:L42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supplierCode : string = '' ; </v>
      </c>
      <c r="T18" s="28" t="str">
        <f t="shared" si="16"/>
        <v xml:space="preserve">			this.supplierName,</v>
      </c>
      <c r="U18" s="28" t="str">
        <f t="shared" si="17"/>
        <v xml:space="preserve">	supplierCode : string = '' ; </v>
      </c>
      <c r="V18" s="28" t="str">
        <f t="shared" si="18"/>
        <v/>
      </c>
    </row>
    <row r="19" spans="1:22" ht="18" customHeight="1" x14ac:dyDescent="0.25">
      <c r="A19" t="s">
        <v>363</v>
      </c>
      <c r="B19" s="28" t="str">
        <f t="shared" si="8"/>
        <v>RenbanNo</v>
      </c>
      <c r="C19" s="28" t="str">
        <f t="shared" si="9"/>
        <v>Renban No</v>
      </c>
      <c r="D19" s="28" t="str">
        <f t="shared" si="10"/>
        <v>renbanNo</v>
      </c>
      <c r="E19" s="28" t="str">
        <f>A.Backend!H13</f>
        <v>int?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this.l('Renban No'),headerTooltip: this.l('Renban No'),field: 'renbanNo',flex: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title'&gt;Renban No&lt;/label&gt;
						&lt;input type='number' class='col-md-10 form-control input-text' name='RenbanNo' [(ngModel)]='rowdata.renbanNo'&gt;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6"/>
        <v/>
      </c>
      <c r="U19" s="28" t="str">
        <f t="shared" si="17"/>
        <v/>
      </c>
      <c r="V19" s="28" t="str">
        <f t="shared" si="18"/>
        <v/>
      </c>
    </row>
    <row r="20" spans="1:22" ht="15" customHeight="1" x14ac:dyDescent="0.25">
      <c r="A20" t="s">
        <v>362</v>
      </c>
      <c r="B20" s="28" t="str">
        <f t="shared" si="8"/>
        <v>PcAddress</v>
      </c>
      <c r="C20" s="28" t="str">
        <f t="shared" si="9"/>
        <v>Pc Address</v>
      </c>
      <c r="D20" s="28" t="str">
        <f t="shared" si="10"/>
        <v>pcAddress</v>
      </c>
      <c r="E20" s="28" t="str">
        <f>A.Backend!H14</f>
        <v>string</v>
      </c>
      <c r="F20" s="28" t="str">
        <f>A.Backend!G14</f>
        <v>40</v>
      </c>
      <c r="G20" s="28" t="str">
        <f t="shared" si="11"/>
        <v xml:space="preserve"> : string = '' ; </v>
      </c>
      <c r="H20" s="35" t="str">
        <f t="shared" si="12"/>
        <v xml:space="preserve">			{headerName: this.l('Pc Address'),headerTooltip: this.l('Pc Address'),field: 'pcAddress',flex: 1},</v>
      </c>
      <c r="I20" s="35" t="str">
        <f t="shared" si="5"/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pcAddress : string = '' ; </v>
      </c>
      <c r="T20" s="28" t="str">
        <f t="shared" si="16"/>
        <v xml:space="preserve">			this.renbanNo,</v>
      </c>
      <c r="U20" s="28" t="str">
        <f t="shared" si="17"/>
        <v xml:space="preserve">	pcAddress : string = '' ; </v>
      </c>
      <c r="V20" s="28" t="str">
        <f t="shared" si="18"/>
        <v/>
      </c>
    </row>
    <row r="21" spans="1:22" ht="18" customHeight="1" x14ac:dyDescent="0.25">
      <c r="A21" t="s">
        <v>373</v>
      </c>
      <c r="B21" s="28" t="str">
        <f t="shared" si="8"/>
        <v>DockNo</v>
      </c>
      <c r="C21" s="28" t="str">
        <f t="shared" si="9"/>
        <v>Dock No</v>
      </c>
      <c r="D21" s="28" t="str">
        <f t="shared" si="10"/>
        <v>dockNo</v>
      </c>
      <c r="E21" s="28" t="str">
        <f>A.Backend!H15</f>
        <v>string</v>
      </c>
      <c r="F21" s="28" t="str">
        <f>A.Backend!G15</f>
        <v>20</v>
      </c>
      <c r="G21" s="28" t="str">
        <f t="shared" ref="G21:G25" si="20">IF(E21="string"," : string = '' ; ",IF(OR(E21="DateTime",E21="TimeSpan")," : any ;",IF(E21="int"," : number = 0 ;","")))</f>
        <v xml:space="preserve"> : string = '' ; </v>
      </c>
      <c r="H21" s="35" t="str">
        <f t="shared" ref="H21:H25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this.l('Dock No'),headerTooltip: this.l('Dock No'),field: 'dockNo',flex: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[(ngModel)]='dockNo' name='dockNo'
									class='form-control' [placeholder]="l('Dock No')"
									type='text' (keyup.enter)='searchDatas()'&gt;
								&lt;/div&gt;</v>
      </c>
      <c r="J21" s="28"/>
      <c r="K21" s="35" t="str">
        <f t="shared" ref="K21:K25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title'&gt;Dock No&lt;/label&gt;
						&lt;input type='text' class='col-md-10 form-control input-text' name='DockNo' [(ngModel)]='rowdata.dockNo'&gt;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 xml:space="preserve">	dockNo : string = '' ; </v>
      </c>
      <c r="T21" s="28" t="str">
        <f t="shared" si="16"/>
        <v xml:space="preserve">			this.pcAddress,</v>
      </c>
      <c r="U21" s="28" t="str">
        <f t="shared" si="17"/>
        <v xml:space="preserve">	dockNo : string = '' ; </v>
      </c>
      <c r="V21" s="28" t="str">
        <f t="shared" si="18"/>
        <v/>
      </c>
    </row>
    <row r="22" spans="1:22" ht="18" customHeight="1" x14ac:dyDescent="0.25">
      <c r="A22" t="s">
        <v>374</v>
      </c>
      <c r="B22" s="28" t="str">
        <f t="shared" si="8"/>
        <v>OrderNo</v>
      </c>
      <c r="C22" s="28" t="str">
        <f t="shared" si="9"/>
        <v>Order No</v>
      </c>
      <c r="D22" s="28" t="str">
        <f t="shared" si="10"/>
        <v>orderNo</v>
      </c>
      <c r="E22" s="28" t="str">
        <f>A.Backend!H16</f>
        <v>string</v>
      </c>
      <c r="F22" s="28" t="str">
        <f>A.Backend!G16</f>
        <v>50</v>
      </c>
      <c r="G22" s="28" t="str">
        <f t="shared" si="20"/>
        <v xml:space="preserve"> : string = '' ; </v>
      </c>
      <c r="H22" s="35" t="str">
        <f t="shared" si="21"/>
        <v xml:space="preserve">			{headerName: this.l('Order No'),headerTooltip: this.l('Order No'),field: 'orderNo',flex: 1},</v>
      </c>
      <c r="I22" s="35" t="str">
        <f t="shared" ref="I22:I23" si="23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[(ngModel)]='orderNo' name='orderNo'
									class='form-control' [placeholder]="l('Order No')"
									type='text' (keyup.enter)='searchDatas()'&gt;
								&lt;/div&gt;</v>
      </c>
      <c r="J22" s="28"/>
      <c r="K22" s="35" t="str">
        <f t="shared" si="22"/>
        <v xml:space="preserve">					&lt;div class='col-md-12 form-group row'&gt;
						&lt;label class='col-md-2 form-control title'&gt;Order No&lt;/label&gt;
						&lt;input type='text' class='col-md-10 form-control input-text' name='OrderNo' [(ngModel)]='rowdata.orderNo'&gt;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5"/>
        <v xml:space="preserve">	orderNo : string = '' ; </v>
      </c>
      <c r="T22" s="28" t="str">
        <f t="shared" si="16"/>
        <v xml:space="preserve">			this.dockNo,</v>
      </c>
      <c r="U22" s="28" t="str">
        <f t="shared" si="17"/>
        <v xml:space="preserve">	orderNo : string = '' ; </v>
      </c>
      <c r="V22" s="28" t="str">
        <f t="shared" si="18"/>
        <v/>
      </c>
    </row>
    <row r="23" spans="1:22" ht="15" customHeight="1" x14ac:dyDescent="0.25">
      <c r="A23" t="s">
        <v>376</v>
      </c>
      <c r="B23" s="28" t="str">
        <f t="shared" si="8"/>
        <v>OrderDatetime</v>
      </c>
      <c r="C23" s="28" t="str">
        <f t="shared" si="9"/>
        <v>Order Datetime</v>
      </c>
      <c r="D23" s="28" t="str">
        <f t="shared" si="10"/>
        <v>orderDatetime</v>
      </c>
      <c r="E23" s="28" t="str">
        <f>A.Backend!H17</f>
        <v>DateTime?</v>
      </c>
      <c r="F23" s="28" t="str">
        <f>A.Backend!G17</f>
        <v/>
      </c>
      <c r="G23" s="28" t="str">
        <f t="shared" si="20"/>
        <v/>
      </c>
      <c r="H23" s="35" t="str">
        <f t="shared" si="21"/>
        <v xml:space="preserve">			{headerName: this.l('Order Datetime'),headerTooltip: this.l('Order Datetime'),field: 'orderDatetime',flex: 1},</v>
      </c>
      <c r="I23" s="35" t="str">
        <f t="shared" si="23"/>
        <v/>
      </c>
      <c r="J23" s="28"/>
      <c r="K23" s="35" t="str">
        <f t="shared" si="22"/>
        <v xml:space="preserve">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</v>
      </c>
      <c r="L23" s="56" t="str">
        <f t="shared" ref="L23:L27" si="24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5"/>
        <v/>
      </c>
      <c r="T23" s="28" t="str">
        <f t="shared" si="16"/>
        <v/>
      </c>
      <c r="U23" s="28" t="str">
        <f t="shared" si="17"/>
        <v/>
      </c>
      <c r="V23" s="28" t="str">
        <f t="shared" si="18"/>
        <v/>
      </c>
    </row>
    <row r="24" spans="1:22" ht="18" customHeight="1" x14ac:dyDescent="0.25">
      <c r="A24" t="s">
        <v>377</v>
      </c>
      <c r="B24" s="28" t="str">
        <f t="shared" si="8"/>
        <v>TripNo</v>
      </c>
      <c r="C24" s="28" t="str">
        <f t="shared" si="9"/>
        <v>Trip No</v>
      </c>
      <c r="D24" s="28" t="str">
        <f t="shared" si="10"/>
        <v>tripNo</v>
      </c>
      <c r="E24" s="28" t="str">
        <f>A.Backend!H18</f>
        <v>int?</v>
      </c>
      <c r="F24" s="28" t="str">
        <f>A.Backend!G18</f>
        <v/>
      </c>
      <c r="G24" s="28" t="str">
        <f t="shared" si="20"/>
        <v/>
      </c>
      <c r="H24" s="35" t="str">
        <f t="shared" si="21"/>
        <v xml:space="preserve">			{headerName: this.l('Trip No'),headerTooltip: this.l('Trip No'),field: 'tripNo',flex: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28"/>
      <c r="K24" s="35" t="str">
        <f t="shared" si="22"/>
        <v xml:space="preserve">					&lt;div class='col-md-12 form-group row'&gt;
						&lt;label class='col-md-2 form-control title'&gt;Trip No&lt;/label&gt;
						&lt;input type='number' class='col-md-10 form-control input-text' name='TripNo' [(ngModel)]='rowdata.tripNo'&gt;
					&lt;/div&gt;</v>
      </c>
      <c r="L24" s="56" t="str">
        <f t="shared" si="24"/>
        <v/>
      </c>
      <c r="M24" s="28"/>
      <c r="N24" s="28"/>
      <c r="O24" s="28"/>
      <c r="P24" s="28"/>
      <c r="Q24" s="28"/>
      <c r="R24" s="28"/>
      <c r="S24" s="28" t="str">
        <f t="shared" si="15"/>
        <v/>
      </c>
      <c r="T24" s="28" t="str">
        <f t="shared" si="16"/>
        <v/>
      </c>
      <c r="U24" s="28" t="str">
        <f t="shared" si="17"/>
        <v/>
      </c>
      <c r="V24" s="28" t="str">
        <f t="shared" si="18"/>
        <v/>
      </c>
    </row>
    <row r="25" spans="1:22" ht="15" customHeight="1" x14ac:dyDescent="0.25">
      <c r="A25" t="s">
        <v>378</v>
      </c>
      <c r="B25" s="28" t="str">
        <f t="shared" si="8"/>
        <v>PalletBoxQty</v>
      </c>
      <c r="C25" s="28" t="str">
        <f t="shared" si="9"/>
        <v>Pallet Box Qty</v>
      </c>
      <c r="D25" s="28" t="str">
        <f t="shared" si="10"/>
        <v>palletBoxQty</v>
      </c>
      <c r="E25" s="28" t="str">
        <f>A.Backend!H19</f>
        <v>int?</v>
      </c>
      <c r="F25" s="28" t="str">
        <f>A.Backend!G19</f>
        <v/>
      </c>
      <c r="G25" s="28" t="str">
        <f t="shared" si="20"/>
        <v/>
      </c>
      <c r="H25" s="35" t="str">
        <f t="shared" si="21"/>
        <v xml:space="preserve">			{headerName: this.l('Pallet Box Qty'),headerTooltip: this.l('Pallet Box Qty'),field: 'palletBoxQty',flex: 1},</v>
      </c>
      <c r="I25" s="35" t="str">
        <f t="shared" ref="I25" si="25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si="22"/>
        <v xml:space="preserve">					&lt;div class='col-md-12 form-group row'&gt;
						&lt;label class='col-md-2 form-control title'&gt;Pallet Box Qty&lt;/label&gt;
						&lt;input type='number' class='col-md-10 form-control input-text' name='PalletBoxQty' [(ngModel)]='rowdata.palletBoxQty'&gt;
					&lt;/div&gt;</v>
      </c>
      <c r="L25" s="56" t="str">
        <f t="shared" si="24"/>
        <v/>
      </c>
      <c r="M25" s="28"/>
      <c r="N25" s="28"/>
      <c r="O25" s="28"/>
      <c r="P25" s="28"/>
      <c r="Q25" s="28"/>
      <c r="R25" s="28"/>
      <c r="S25" s="28" t="str">
        <f t="shared" si="15"/>
        <v/>
      </c>
      <c r="T25" s="28" t="str">
        <f t="shared" si="16"/>
        <v/>
      </c>
      <c r="U25" s="28" t="str">
        <f t="shared" si="17"/>
        <v/>
      </c>
      <c r="V25" s="28" t="str">
        <f t="shared" si="18"/>
        <v/>
      </c>
    </row>
    <row r="26" spans="1:22" ht="18" customHeight="1" x14ac:dyDescent="0.25">
      <c r="A26" t="s">
        <v>379</v>
      </c>
      <c r="B26" s="28" t="str">
        <f t="shared" si="8"/>
        <v>EstPackingDatetime</v>
      </c>
      <c r="C26" s="28" t="str">
        <f t="shared" si="9"/>
        <v>Est Packing Datetime</v>
      </c>
      <c r="D26" s="28" t="str">
        <f t="shared" si="10"/>
        <v>estPackingDatetime</v>
      </c>
      <c r="E26" s="28" t="str">
        <f>A.Backend!H20</f>
        <v>DateTime?</v>
      </c>
      <c r="F26" s="28" t="str">
        <f>A.Backend!G20</f>
        <v/>
      </c>
      <c r="G26" s="28" t="str">
        <f t="shared" ref="G26:G39" si="26">IF(E26="string"," : string = '' ; ",IF(OR(E26="DateTime",E26="TimeSpan")," : any ;",IF(E26="int"," : number = 0 ;","")))</f>
        <v/>
      </c>
      <c r="H26" s="35" t="str">
        <f t="shared" ref="H26:H39" si="27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this.l('Est Packing Datetime'),headerTooltip: this.l('Est Packing Datetime'),field: 'estPackingDatetime',flex: 1},</v>
      </c>
      <c r="I26" s="35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28"/>
      <c r="K26" s="35" t="str">
        <f t="shared" ref="K26:K39" si="28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title'&gt;Est Packing Datetime&lt;/label&gt;
						&lt;input type='text' class='col-md-10 form-control input-text' name='estPackingDatetime' 
						#datepicker='bsDatepicker' [(ngModel)]='rowdata.estPackingDatetime'  bsDatepicker &gt;
					&lt;/div&gt;</v>
      </c>
      <c r="L26" s="56" t="str">
        <f t="shared" si="24"/>
        <v/>
      </c>
      <c r="M26" s="28"/>
      <c r="N26" s="28"/>
      <c r="O26" s="28"/>
      <c r="P26" s="28"/>
      <c r="Q26" s="28"/>
      <c r="R26" s="28"/>
      <c r="S26" s="28" t="str">
        <f t="shared" si="15"/>
        <v/>
      </c>
      <c r="T26" s="28" t="str">
        <f t="shared" si="16"/>
        <v/>
      </c>
      <c r="U26" s="28" t="str">
        <f t="shared" si="17"/>
        <v/>
      </c>
      <c r="V26" s="28" t="str">
        <f t="shared" si="18"/>
        <v/>
      </c>
    </row>
    <row r="27" spans="1:22" ht="18" customHeight="1" x14ac:dyDescent="0.25">
      <c r="A27" t="s">
        <v>380</v>
      </c>
      <c r="B27" s="28" t="str">
        <f t="shared" ref="B27:B40" si="29">SUBSTITUTE(PROPER(A27),"_","")</f>
        <v>EstArrivalDatetime</v>
      </c>
      <c r="C27" s="28" t="str">
        <f t="shared" ref="C27:C40" si="30">SUBSTITUTE(PROPER(A27),"_"," ")</f>
        <v>Est Arrival Datetime</v>
      </c>
      <c r="D27" s="28" t="str">
        <f t="shared" ref="D27:D40" si="31">LOWER(LEFT(B27,1))&amp;RIGHT(B27,LEN(B27) - 1)</f>
        <v>estArrivalDatetime</v>
      </c>
      <c r="E27" s="28" t="str">
        <f>A.Backend!H21</f>
        <v>DateTime?</v>
      </c>
      <c r="F27" s="28" t="str">
        <f>A.Backend!G21</f>
        <v/>
      </c>
      <c r="G27" s="28" t="str">
        <f t="shared" si="26"/>
        <v/>
      </c>
      <c r="H27" s="35" t="str">
        <f t="shared" si="27"/>
        <v xml:space="preserve">			{headerName: this.l('Est Arrival Datetime'),headerTooltip: this.l('Est Arrival Datetime'),field: 'estArrivalDatetime',flex: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 t="shared" si="28"/>
        <v xml:space="preserve">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</v>
      </c>
      <c r="L27" s="56" t="str">
        <f t="shared" si="24"/>
        <v/>
      </c>
      <c r="M27" s="28"/>
      <c r="N27" s="28"/>
      <c r="O27" s="28"/>
      <c r="P27" s="28"/>
      <c r="Q27" s="28"/>
      <c r="R27" s="28"/>
      <c r="S27" s="28" t="str">
        <f t="shared" si="15"/>
        <v/>
      </c>
      <c r="T27" s="28" t="str">
        <f t="shared" si="16"/>
        <v/>
      </c>
      <c r="U27" s="28" t="str">
        <f t="shared" si="17"/>
        <v/>
      </c>
      <c r="V27" s="28" t="str">
        <f t="shared" si="18"/>
        <v/>
      </c>
    </row>
    <row r="28" spans="1:22" ht="15" customHeight="1" x14ac:dyDescent="0.25">
      <c r="A28" t="s">
        <v>381</v>
      </c>
      <c r="B28" s="28" t="str">
        <f t="shared" si="29"/>
        <v>ContentNo</v>
      </c>
      <c r="C28" s="28" t="str">
        <f t="shared" si="30"/>
        <v>Content No</v>
      </c>
      <c r="D28" s="28" t="str">
        <f t="shared" si="31"/>
        <v>contentNo</v>
      </c>
      <c r="E28" s="28" t="str">
        <f>A.Backend!H22</f>
        <v>string</v>
      </c>
      <c r="F28" s="28" t="str">
        <f>A.Backend!G22</f>
        <v>60</v>
      </c>
      <c r="G28" s="28" t="str">
        <f t="shared" si="26"/>
        <v xml:space="preserve"> : string = '' ; </v>
      </c>
      <c r="H28" s="35" t="str">
        <f t="shared" si="27"/>
        <v xml:space="preserve">			{headerName: this.l('Content No'),headerTooltip: this.l('Content No'),field: 'contentNo',flex: 1},</v>
      </c>
      <c r="I28" s="35" t="str">
        <f t="shared" ref="I28" si="32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[(ngModel)]='contentNo' name='contentNo'
									class='form-control' [placeholder]="l('Content No')"
									type='text' (keyup.enter)='searchDatas()'&gt;
								&lt;/div&gt;</v>
      </c>
      <c r="J28" s="28"/>
      <c r="K28" s="35" t="str">
        <f t="shared" si="28"/>
        <v xml:space="preserve">					&lt;div class='col-md-12 form-group row'&gt;
						&lt;label class='col-md-2 form-control title'&gt;Content No&lt;/label&gt;
						&lt;input type='text' class='col-md-10 form-control input-text' name='ContentNo' [(ngModel)]='rowdata.contentNo'&gt;
					&lt;/div&gt;</v>
      </c>
      <c r="L28" s="56" t="str">
        <f t="shared" ref="L28:L30" si="33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5"/>
        <v xml:space="preserve">	contentNo : string = '' ; </v>
      </c>
      <c r="T28" s="28" t="str">
        <f t="shared" si="16"/>
        <v xml:space="preserve">			this.estArrivalDatetime,</v>
      </c>
      <c r="U28" s="28" t="str">
        <f t="shared" si="17"/>
        <v xml:space="preserve">	contentNo : string = '' ; </v>
      </c>
      <c r="V28" s="28" t="str">
        <f t="shared" si="18"/>
        <v/>
      </c>
    </row>
    <row r="29" spans="1:22" ht="18" customHeight="1" x14ac:dyDescent="0.25">
      <c r="A29" t="s">
        <v>383</v>
      </c>
      <c r="B29" s="28" t="str">
        <f t="shared" si="29"/>
        <v>OrderId</v>
      </c>
      <c r="C29" s="28" t="str">
        <f t="shared" si="30"/>
        <v>Order Id</v>
      </c>
      <c r="D29" s="28" t="str">
        <f t="shared" si="31"/>
        <v>orderId</v>
      </c>
      <c r="E29" s="28" t="str">
        <f>A.Backend!H23</f>
        <v>long?</v>
      </c>
      <c r="F29" s="28" t="str">
        <f>A.Backend!G23</f>
        <v/>
      </c>
      <c r="G29" s="28" t="str">
        <f t="shared" si="26"/>
        <v/>
      </c>
      <c r="H29" s="35" t="str">
        <f t="shared" si="27"/>
        <v xml:space="preserve">			{headerName: this.l('Order Id'),headerTooltip: this.l('Order Id'),field: 'orderId',flex: 1},</v>
      </c>
      <c r="I29" s="35" t="str">
        <f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IF(AND(E29="string",F29 &lt;&gt;"1"),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/>
      </c>
      <c r="J29" s="28"/>
      <c r="K29" s="35" t="str">
        <f t="shared" si="28"/>
        <v xml:space="preserve">					&lt;div class='col-md-12 form-group row'&gt;
						&lt;label class='col-md-2 form-control title'&gt;Order Id&lt;/label&gt;
						&lt;input type='number' class='col-md-10 form-control input-text' name='OrderId' [(ngModel)]='rowdata.orderId'&gt;
					&lt;/div&gt;</v>
      </c>
      <c r="L29" s="56" t="str">
        <f t="shared" si="33"/>
        <v/>
      </c>
      <c r="M29" s="28"/>
      <c r="N29" s="28"/>
      <c r="O29" s="28"/>
      <c r="P29" s="28"/>
      <c r="Q29" s="28"/>
      <c r="R29" s="28"/>
      <c r="S29" s="28" t="str">
        <f t="shared" si="15"/>
        <v/>
      </c>
      <c r="T29" s="28" t="str">
        <f t="shared" si="16"/>
        <v/>
      </c>
      <c r="U29" s="28" t="str">
        <f t="shared" si="17"/>
        <v/>
      </c>
      <c r="V29" s="28" t="str">
        <f t="shared" si="18"/>
        <v/>
      </c>
    </row>
    <row r="30" spans="1:22" ht="18" customHeight="1" x14ac:dyDescent="0.25">
      <c r="A30" t="s">
        <v>384</v>
      </c>
      <c r="B30" s="28" t="str">
        <f t="shared" si="29"/>
        <v>PalletSize</v>
      </c>
      <c r="C30" s="28" t="str">
        <f t="shared" si="30"/>
        <v>Pallet Size</v>
      </c>
      <c r="D30" s="28" t="str">
        <f t="shared" si="31"/>
        <v>palletSize</v>
      </c>
      <c r="E30" s="28" t="str">
        <f>A.Backend!H24</f>
        <v>int?</v>
      </c>
      <c r="F30" s="28" t="str">
        <f>A.Backend!G24</f>
        <v/>
      </c>
      <c r="G30" s="28" t="str">
        <f t="shared" si="26"/>
        <v/>
      </c>
      <c r="H30" s="35" t="str">
        <f t="shared" si="27"/>
        <v xml:space="preserve">			{headerName: this.l('Pallet Size'),headerTooltip: this.l('Pallet Size'),field: 'palletSize',flex: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28"/>
      <c r="K30" s="35" t="str">
        <f t="shared" si="28"/>
        <v xml:space="preserve">					&lt;div class='col-md-12 form-group row'&gt;
						&lt;label class='col-md-2 form-control title'&gt;Pallet Size&lt;/label&gt;
						&lt;input type='number' class='col-md-10 form-control input-text' name='PalletSize' [(ngModel)]='rowdata.palletSize'&gt;
					&lt;/div&gt;</v>
      </c>
      <c r="L30" s="56" t="str">
        <f t="shared" si="33"/>
        <v/>
      </c>
      <c r="M30" s="28"/>
      <c r="N30" s="28"/>
      <c r="O30" s="28"/>
      <c r="P30" s="28"/>
      <c r="Q30" s="28"/>
      <c r="R30" s="28"/>
      <c r="S30" s="28" t="str">
        <f t="shared" si="15"/>
        <v/>
      </c>
      <c r="T30" s="28" t="str">
        <f t="shared" si="16"/>
        <v/>
      </c>
      <c r="U30" s="28" t="str">
        <f t="shared" si="17"/>
        <v/>
      </c>
      <c r="V30" s="28" t="str">
        <f t="shared" si="18"/>
        <v/>
      </c>
    </row>
    <row r="31" spans="1:22" ht="18" customHeight="1" x14ac:dyDescent="0.25">
      <c r="A31" t="s">
        <v>385</v>
      </c>
      <c r="B31" s="28" t="str">
        <f t="shared" si="29"/>
        <v>IsPalletOnly</v>
      </c>
      <c r="C31" s="28" t="str">
        <f t="shared" si="30"/>
        <v>Is Pallet Only</v>
      </c>
      <c r="D31" s="28" t="str">
        <f t="shared" si="31"/>
        <v>isPalletOnly</v>
      </c>
      <c r="E31" s="28" t="str">
        <f>A.Backend!H25</f>
        <v>string</v>
      </c>
      <c r="F31" s="28" t="str">
        <f>A.Backend!G25</f>
        <v>1</v>
      </c>
      <c r="G31" s="28" t="str">
        <f t="shared" si="26"/>
        <v xml:space="preserve"> : string = '' ; </v>
      </c>
      <c r="H31" s="35" t="str">
        <f t="shared" si="27"/>
        <v xml:space="preserve">			{headerName: this.l('Is Pallet Only'),headerTooltip: this.l('Is Pallet Only'),field:  'isPalletOnly', cellClass: ['text-center'], width: 120, cellRenderer: 'agCellButtonComponent',
buttonDefTwo: { text: params =&gt; (params.data?.'isPalletOnly' == 'Y') ? 'Active' : 'Inactive',iconName: 'fa fa-circle',className: params =&gt; (params.data?.'isPalletOnly' == 'Y') ? 'btnActive' : 'btnInActive',},}</v>
      </c>
      <c r="I31" s="35" t="str">
        <f t="shared" ref="I31:I32" si="34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/>
      </c>
      <c r="J31" s="28"/>
      <c r="K31" s="35" t="str">
        <f t="shared" si="28"/>
        <v xml:space="preserve">					&lt;div class='col-md-12 form-group row'&gt;
						&lt;label class='col-md-2 form-control title'&gt;Is Pallet Only&lt;/label&gt;
						&lt;new-checkbox [(ngModel)]='_isPalletOnly' name='isPalletOnly' className='col-md-10' &gt; &lt;/new-checkbox&gt;
					&lt;/div&gt;</v>
      </c>
      <c r="L31" s="56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5"/>
        <v/>
      </c>
      <c r="T31" s="28" t="str">
        <f t="shared" si="16"/>
        <v/>
      </c>
      <c r="U31" s="28" t="str">
        <f t="shared" si="17"/>
        <v/>
      </c>
      <c r="V31" s="28" t="str">
        <f t="shared" si="18"/>
        <v>isPalletOnly</v>
      </c>
    </row>
    <row r="32" spans="1:22" ht="15" customHeight="1" x14ac:dyDescent="0.25">
      <c r="A32" t="s">
        <v>364</v>
      </c>
      <c r="B32" s="28" t="str">
        <f t="shared" si="29"/>
        <v>PackagingType</v>
      </c>
      <c r="C32" s="28" t="str">
        <f t="shared" si="30"/>
        <v>Packaging Type</v>
      </c>
      <c r="D32" s="28" t="str">
        <f t="shared" si="31"/>
        <v>packagingType</v>
      </c>
      <c r="E32" s="28" t="str">
        <f>A.Backend!H26</f>
        <v>string</v>
      </c>
      <c r="F32" s="28" t="str">
        <f>A.Backend!G26</f>
        <v>20</v>
      </c>
      <c r="G32" s="28" t="str">
        <f t="shared" si="26"/>
        <v xml:space="preserve"> : string = '' ; </v>
      </c>
      <c r="H32" s="35" t="str">
        <f t="shared" si="27"/>
        <v xml:space="preserve">			{headerName: this.l('Packaging Type'),headerTooltip: this.l('Packaging Type'),field: 'packagingType',flex: 1},</v>
      </c>
      <c r="I32" s="35" t="str">
        <f t="shared" si="34"/>
        <v xml:space="preserve">								&lt;div class='input-search'&gt;
									&lt;input [(ngModel)]='packagingType' name='packagingType'
									class='form-control' [placeholder]="l('Packaging Type')"
									type='text' (keyup.enter)='searchDatas()'&gt;
								&lt;/div&gt;</v>
      </c>
      <c r="J32" s="28"/>
      <c r="K32" s="35" t="str">
        <f t="shared" si="28"/>
        <v xml:space="preserve">					&lt;div class='col-md-12 form-group row'&gt;
						&lt;label class='col-md-2 form-control title'&gt;Packaging Type&lt;/label&gt;
						&lt;input type='text' class='col-md-10 form-control input-text' name='PackagingType' [(ngModel)]='rowdata.packagingType'&gt;
					&lt;/div&gt;</v>
      </c>
      <c r="L32" s="56" t="str">
        <f t="shared" ref="L32:L35" si="35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15"/>
        <v xml:space="preserve">	packagingType : string = '' ; </v>
      </c>
      <c r="T32" s="28" t="str">
        <f t="shared" si="16"/>
        <v xml:space="preserve">			this.isPalletOnly,</v>
      </c>
      <c r="U32" s="28" t="str">
        <f t="shared" si="17"/>
        <v xml:space="preserve">	packagingType : string = '' ; </v>
      </c>
      <c r="V32" s="28" t="str">
        <f t="shared" si="18"/>
        <v/>
      </c>
    </row>
    <row r="33" spans="1:22" ht="18" customHeight="1" x14ac:dyDescent="0.25">
      <c r="A33" t="s">
        <v>386</v>
      </c>
      <c r="B33" s="28" t="str">
        <f t="shared" si="29"/>
        <v>IsAdhocReceiving</v>
      </c>
      <c r="C33" s="28" t="str">
        <f t="shared" si="30"/>
        <v>Is Adhoc Receiving</v>
      </c>
      <c r="D33" s="28" t="str">
        <f t="shared" si="31"/>
        <v>isAdhocReceiving</v>
      </c>
      <c r="E33" s="28" t="str">
        <f>A.Backend!H27</f>
        <v>string</v>
      </c>
      <c r="F33" s="28" t="str">
        <f>A.Backend!G27</f>
        <v>1</v>
      </c>
      <c r="G33" s="28" t="str">
        <f t="shared" si="26"/>
        <v xml:space="preserve"> : string = '' ; </v>
      </c>
      <c r="H33" s="35" t="str">
        <f t="shared" si="27"/>
        <v xml:space="preserve">			{headerName: this.l('Is Adhoc Receiving'),headerTooltip: this.l('Is Adhoc Receiving'),field:  'isAdhocReceiving', cellClass: ['text-center'], width: 120, cellRenderer: 'agCellButtonComponent',
buttonDefTwo: { text: params =&gt; (params.data?.'isAdhocReceiving' == 'Y') ? 'Active' : 'Inactive',iconName: 'fa fa-circle',className: params =&gt; (params.data?.'isAdhocReceiving' == 'Y') ? 'btnActive' : 'btnInActive',},}</v>
      </c>
      <c r="I33" s="35" t="str">
        <f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IF(AND(E33="string",F33 &lt;&gt;"1"),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/>
      </c>
      <c r="J33" s="28"/>
      <c r="K33" s="35" t="str">
        <f t="shared" si="28"/>
        <v xml:space="preserve">					&lt;div class='col-md-12 form-group row'&gt;
						&lt;label class='col-md-2 form-control title'&gt;Is Adhoc Receiving&lt;/label&gt;
						&lt;new-checkbox [(ngModel)]='_isAdhocReceiving' name='isAdhocReceiving' className='col-md-10' &gt; &lt;/new-checkbox&gt;
					&lt;/div&gt;</v>
      </c>
      <c r="L33" s="56" t="str">
        <f t="shared" si="35"/>
        <v/>
      </c>
      <c r="M33" s="28"/>
      <c r="N33" s="28"/>
      <c r="O33" s="28"/>
      <c r="P33" s="28"/>
      <c r="Q33" s="28"/>
      <c r="R33" s="28"/>
      <c r="S33" s="28" t="str">
        <f t="shared" si="15"/>
        <v/>
      </c>
      <c r="T33" s="28" t="str">
        <f t="shared" si="16"/>
        <v/>
      </c>
      <c r="U33" s="28" t="str">
        <f t="shared" si="17"/>
        <v/>
      </c>
      <c r="V33" s="28" t="str">
        <f t="shared" si="18"/>
        <v>isAdhocReceiving</v>
      </c>
    </row>
    <row r="34" spans="1:22" ht="15" customHeight="1" x14ac:dyDescent="0.25">
      <c r="A34" t="s">
        <v>359</v>
      </c>
      <c r="B34" s="28" t="str">
        <f t="shared" si="29"/>
        <v>GeneratedBy</v>
      </c>
      <c r="C34" s="28" t="str">
        <f t="shared" si="30"/>
        <v>Generated By</v>
      </c>
      <c r="D34" s="28" t="str">
        <f t="shared" si="31"/>
        <v>generatedBy</v>
      </c>
      <c r="E34" s="28" t="str">
        <f>A.Backend!H28</f>
        <v>string</v>
      </c>
      <c r="F34" s="28" t="str">
        <f>A.Backend!G28</f>
        <v>50</v>
      </c>
      <c r="G34" s="28" t="str">
        <f t="shared" si="26"/>
        <v xml:space="preserve"> : string = '' ; </v>
      </c>
      <c r="H34" s="35" t="str">
        <f t="shared" si="27"/>
        <v xml:space="preserve">			{headerName: this.l('Generated By'),headerTooltip: this.l('Generated By'),field: 'generatedBy',flex: 1},</v>
      </c>
      <c r="I34" s="35" t="str">
        <f t="shared" ref="I34" si="36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[(ngModel)]='generatedBy' name='generatedBy'
									class='form-control' [placeholder]="l('Generated By')"
									type='text' (keyup.enter)='searchDatas()'&gt;
								&lt;/div&gt;</v>
      </c>
      <c r="J34" s="28"/>
      <c r="K34" s="35" t="str">
        <f t="shared" si="28"/>
        <v xml:space="preserve">					&lt;div class='col-md-12 form-group row'&gt;
						&lt;label class='col-md-2 form-control title'&gt;Generated By&lt;/label&gt;
						&lt;input type='text' class='col-md-10 form-control input-text' name='GeneratedBy' [(ngModel)]='rowdata.generatedBy'&gt;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5"/>
        <v xml:space="preserve">	generatedBy : string = '' ; </v>
      </c>
      <c r="T34" s="28" t="str">
        <f t="shared" si="16"/>
        <v xml:space="preserve">			this.isAdhocReceiving,</v>
      </c>
      <c r="U34" s="28" t="str">
        <f t="shared" si="17"/>
        <v xml:space="preserve">	generatedBy : string = '' ; </v>
      </c>
      <c r="V34" s="28" t="str">
        <f t="shared" si="18"/>
        <v/>
      </c>
    </row>
    <row r="35" spans="1:22" ht="18" customHeight="1" x14ac:dyDescent="0.25">
      <c r="A35" t="s">
        <v>387</v>
      </c>
      <c r="B35" s="28" t="str">
        <f t="shared" si="29"/>
        <v>UnpackStatus</v>
      </c>
      <c r="C35" s="28" t="str">
        <f t="shared" si="30"/>
        <v>Unpack Status</v>
      </c>
      <c r="D35" s="28" t="str">
        <f t="shared" si="31"/>
        <v>unpackStatus</v>
      </c>
      <c r="E35" s="28" t="str">
        <f>A.Backend!H29</f>
        <v>string</v>
      </c>
      <c r="F35" s="28" t="str">
        <f>A.Backend!G29</f>
        <v>1</v>
      </c>
      <c r="G35" s="28" t="str">
        <f t="shared" si="26"/>
        <v xml:space="preserve"> : string = '' ; </v>
      </c>
      <c r="H35" s="35" t="str">
        <f t="shared" si="27"/>
        <v xml:space="preserve">			{headerName: this.l('Unpack Status'),headerTooltip: this.l('Unpack Status'),field:  'unpackStatus', cellClass: ['text-center'], width: 120, cellRenderer: 'agCellButtonComponent',
buttonDefTwo: { text: params =&gt; (params.data?.'unpackStatus' == 'Y') ? 'Active' : 'Inactive',iconName: 'fa fa-circle',className: params =&gt; (params.data?.'unpackStatus' == 'Y') ? 'btnActive' : 'btnInActive',},}</v>
      </c>
      <c r="I35" s="35" t="str">
        <f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IF(AND(E35="string",F35 &lt;&gt;"1"),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/>
      </c>
      <c r="J35" s="28"/>
      <c r="K35" s="35" t="str">
        <f t="shared" si="28"/>
        <v xml:space="preserve">					&lt;div class='col-md-12 form-group row'&gt;
						&lt;label class='col-md-2 form-control title'&gt;Unpack Status&lt;/label&gt;
						&lt;new-checkbox [(ngModel)]='_unpackStatus' name='unpackStatus' className='col-md-10' &gt; &lt;/new-checkbox&gt;
					&lt;/div&gt;</v>
      </c>
      <c r="L35" s="56" t="str">
        <f t="shared" si="35"/>
        <v/>
      </c>
      <c r="M35" s="28"/>
      <c r="N35" s="28"/>
      <c r="O35" s="28"/>
      <c r="P35" s="28"/>
      <c r="Q35" s="28"/>
      <c r="R35" s="28"/>
      <c r="S35" s="28" t="str">
        <f t="shared" si="15"/>
        <v/>
      </c>
      <c r="T35" s="28" t="str">
        <f t="shared" si="16"/>
        <v/>
      </c>
      <c r="U35" s="28" t="str">
        <f t="shared" si="17"/>
        <v/>
      </c>
      <c r="V35" s="28" t="str">
        <f t="shared" si="18"/>
        <v>unpackStatus</v>
      </c>
    </row>
    <row r="36" spans="1:22" ht="18" customHeight="1" x14ac:dyDescent="0.25">
      <c r="A36" t="s">
        <v>388</v>
      </c>
      <c r="B36" s="28" t="str">
        <f t="shared" si="29"/>
        <v>ModuleCd</v>
      </c>
      <c r="C36" s="28" t="str">
        <f t="shared" si="30"/>
        <v>Module Cd</v>
      </c>
      <c r="D36" s="28" t="str">
        <f t="shared" si="31"/>
        <v>moduleCd</v>
      </c>
      <c r="E36" s="28" t="str">
        <f>A.Backend!H30</f>
        <v>string</v>
      </c>
      <c r="F36" s="28" t="str">
        <f>A.Backend!G30</f>
        <v>10</v>
      </c>
      <c r="G36" s="28" t="str">
        <f t="shared" si="26"/>
        <v xml:space="preserve"> : string = '' ; </v>
      </c>
      <c r="H36" s="35" t="str">
        <f t="shared" si="27"/>
        <v xml:space="preserve">			{headerName: this.l('Module Cd'),headerTooltip: this.l('Module Cd'),field: 'moduleCd',flex: 1},</v>
      </c>
      <c r="I36" s="35" t="str">
        <f t="shared" ref="I36:I37" si="37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IF(AND(E36="string",F36 &lt;&gt;"1"),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[(ngModel)]='moduleCd' name='moduleCd'
									class='form-control' [placeholder]="l('Module Cd')"
									type='text' (keyup.enter)='searchDatas()'&gt;
								&lt;/div&gt;</v>
      </c>
      <c r="J36" s="28"/>
      <c r="K36" s="35" t="str">
        <f t="shared" si="28"/>
        <v xml:space="preserve">					&lt;div class='col-md-12 form-group row'&gt;
						&lt;label class='col-md-2 form-control title'&gt;Module Cd&lt;/label&gt;
						&lt;input type='text' class='col-md-10 form-control input-text' name='ModuleCd' [(ngModel)]='rowdata.moduleCd'&gt;
					&lt;/div&gt;</v>
      </c>
      <c r="L36" s="56" t="str">
        <f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5"/>
        <v xml:space="preserve">	moduleCd : string = '' ; </v>
      </c>
      <c r="T36" s="28" t="str">
        <f t="shared" si="16"/>
        <v xml:space="preserve">			this.unpackStatus,</v>
      </c>
      <c r="U36" s="28" t="str">
        <f t="shared" si="17"/>
        <v xml:space="preserve">	moduleCd : string = '' ; </v>
      </c>
      <c r="V36" s="28" t="str">
        <f t="shared" si="18"/>
        <v/>
      </c>
    </row>
    <row r="37" spans="1:22" ht="15" customHeight="1" x14ac:dyDescent="0.25">
      <c r="A37" t="s">
        <v>389</v>
      </c>
      <c r="B37" s="28" t="str">
        <f t="shared" si="29"/>
        <v>ModuleRunNo</v>
      </c>
      <c r="C37" s="28" t="str">
        <f t="shared" si="30"/>
        <v>Module Run No</v>
      </c>
      <c r="D37" s="28" t="str">
        <f t="shared" si="31"/>
        <v>moduleRunNo</v>
      </c>
      <c r="E37" s="28" t="str">
        <f>A.Backend!H31</f>
        <v>int?</v>
      </c>
      <c r="F37" s="28" t="str">
        <f>A.Backend!G31</f>
        <v/>
      </c>
      <c r="G37" s="28" t="str">
        <f t="shared" si="26"/>
        <v/>
      </c>
      <c r="H37" s="35" t="str">
        <f t="shared" si="27"/>
        <v xml:space="preserve">			{headerName: this.l('Module Run No'),headerTooltip: this.l('Module Run No'),field: 'moduleRunNo',flex: 1},</v>
      </c>
      <c r="I37" s="35" t="str">
        <f t="shared" si="37"/>
        <v/>
      </c>
      <c r="J37" s="28"/>
      <c r="K37" s="35" t="str">
        <f t="shared" si="28"/>
        <v xml:space="preserve">					&lt;div class='col-md-12 form-group row'&gt;
						&lt;label class='col-md-2 form-control title'&gt;Module Run No&lt;/label&gt;
						&lt;input type='number' class='col-md-10 form-control input-text' name='ModuleRunNo' [(ngModel)]='rowdata.moduleRunNo'&gt;
					&lt;/div&gt;</v>
      </c>
      <c r="L37" s="56" t="str">
        <f t="shared" ref="L37:L40" si="38"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28"/>
      <c r="N37" s="28"/>
      <c r="O37" s="28"/>
      <c r="P37" s="28"/>
      <c r="Q37" s="28"/>
      <c r="R37" s="28"/>
      <c r="S37" s="28" t="str">
        <f t="shared" si="15"/>
        <v/>
      </c>
      <c r="T37" s="28" t="str">
        <f t="shared" si="16"/>
        <v/>
      </c>
      <c r="U37" s="28" t="str">
        <f t="shared" si="17"/>
        <v/>
      </c>
      <c r="V37" s="28" t="str">
        <f t="shared" si="18"/>
        <v/>
      </c>
    </row>
    <row r="38" spans="1:22" ht="18" customHeight="1" x14ac:dyDescent="0.25">
      <c r="A38" t="s">
        <v>390</v>
      </c>
      <c r="B38" s="28" t="str">
        <f t="shared" si="29"/>
        <v>UpStartAct</v>
      </c>
      <c r="C38" s="28" t="str">
        <f t="shared" si="30"/>
        <v>Up Start Act</v>
      </c>
      <c r="D38" s="28" t="str">
        <f t="shared" si="31"/>
        <v>upStartAct</v>
      </c>
      <c r="E38" s="28" t="str">
        <f>A.Backend!H32</f>
        <v>DateTime?</v>
      </c>
      <c r="F38" s="28" t="str">
        <f>A.Backend!G32</f>
        <v/>
      </c>
      <c r="G38" s="28" t="str">
        <f t="shared" si="26"/>
        <v/>
      </c>
      <c r="H38" s="35" t="str">
        <f t="shared" si="27"/>
        <v xml:space="preserve">			{headerName: this.l('Up Start Act'),headerTooltip: this.l('Up Start Act'),field: 'upStartAct',flex: 1},</v>
      </c>
      <c r="I38" s="35" t="str">
        <f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IF(AND(E38="string",F38 &lt;&gt;"1"),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/>
      </c>
      <c r="J38" s="28"/>
      <c r="K38" s="35" t="str">
        <f t="shared" si="28"/>
        <v xml:space="preserve">					&lt;div class='col-md-12 form-group row'&gt;
						&lt;label class='col-md-2 form-control title'&gt;Up Start Act&lt;/label&gt;
						&lt;input type='text' class='col-md-10 form-control input-text' name='upStartAct' 
						#datepicker='bsDatepicker' [(ngModel)]='rowdata.upStartAct'  bsDatepicker &gt;
					&lt;/div&gt;</v>
      </c>
      <c r="L38" s="56" t="str">
        <f t="shared" si="38"/>
        <v/>
      </c>
      <c r="M38" s="28"/>
      <c r="N38" s="28"/>
      <c r="O38" s="28"/>
      <c r="P38" s="28"/>
      <c r="Q38" s="28"/>
      <c r="R38" s="28"/>
      <c r="S38" s="28" t="str">
        <f t="shared" si="15"/>
        <v/>
      </c>
      <c r="T38" s="28" t="str">
        <f t="shared" si="16"/>
        <v/>
      </c>
      <c r="U38" s="28" t="str">
        <f t="shared" si="17"/>
        <v/>
      </c>
      <c r="V38" s="28" t="str">
        <f t="shared" si="18"/>
        <v/>
      </c>
    </row>
    <row r="39" spans="1:22" ht="15" customHeight="1" x14ac:dyDescent="0.25">
      <c r="A39" t="s">
        <v>391</v>
      </c>
      <c r="B39" s="28" t="str">
        <f t="shared" si="29"/>
        <v>UpFinishAct</v>
      </c>
      <c r="C39" s="28" t="str">
        <f t="shared" si="30"/>
        <v>Up Finish Act</v>
      </c>
      <c r="D39" s="28" t="str">
        <f t="shared" si="31"/>
        <v>upFinishAct</v>
      </c>
      <c r="E39" s="28" t="str">
        <f>A.Backend!H33</f>
        <v>DateTime?</v>
      </c>
      <c r="F39" s="28" t="str">
        <f>A.Backend!G33</f>
        <v/>
      </c>
      <c r="G39" s="28" t="str">
        <f t="shared" si="26"/>
        <v/>
      </c>
      <c r="H39" s="35" t="str">
        <f t="shared" si="27"/>
        <v xml:space="preserve">			{headerName: this.l('Up Finish Act'),headerTooltip: this.l('Up Finish Act'),field: 'upFinishAct',flex: 1},</v>
      </c>
      <c r="I39" s="35" t="str">
        <f t="shared" ref="I39" si="39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IF(AND(E39="string",F39 &lt;&gt;"1"),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/>
      </c>
      <c r="J39" s="28"/>
      <c r="K39" s="35" t="str">
        <f t="shared" si="28"/>
        <v xml:space="preserve">					&lt;div class='col-md-12 form-group row'&gt;
						&lt;label class='col-md-2 form-control title'&gt;Up Finish Act&lt;/label&gt;
						&lt;input type='text' class='col-md-10 form-control input-text' name='upFinishAct' 
						#datepicker='bsDatepicker' [(ngModel)]='rowdata.upFinishAct'  bsDatepicker &gt;
					&lt;/div&gt;</v>
      </c>
      <c r="L39" s="56" t="str">
        <f t="shared" si="38"/>
        <v/>
      </c>
      <c r="M39" s="28"/>
      <c r="N39" s="28"/>
      <c r="O39" s="28"/>
      <c r="P39" s="28"/>
      <c r="Q39" s="28"/>
      <c r="R39" s="28"/>
      <c r="S39" s="28" t="str">
        <f t="shared" si="15"/>
        <v/>
      </c>
      <c r="T39" s="28" t="str">
        <f t="shared" si="16"/>
        <v/>
      </c>
      <c r="U39" s="28" t="str">
        <f t="shared" si="17"/>
        <v/>
      </c>
      <c r="V39" s="28" t="str">
        <f t="shared" si="18"/>
        <v/>
      </c>
    </row>
    <row r="40" spans="1:22" ht="18" customHeight="1" x14ac:dyDescent="0.25">
      <c r="A40" t="s">
        <v>392</v>
      </c>
      <c r="B40" s="28" t="str">
        <f t="shared" si="29"/>
        <v>UpScanUserId</v>
      </c>
      <c r="C40" s="28" t="str">
        <f t="shared" si="30"/>
        <v>Up Scan User Id</v>
      </c>
      <c r="D40" s="28" t="str">
        <f t="shared" si="31"/>
        <v>upScanUserId</v>
      </c>
      <c r="E40" s="28" t="str">
        <f>A.Backend!H34</f>
        <v>int?</v>
      </c>
      <c r="F40" s="28" t="str">
        <f>A.Backend!G34</f>
        <v/>
      </c>
      <c r="G40" s="28" t="str">
        <f t="shared" ref="G40:G41" si="40">IF(E40="string"," : string = '' ; ",IF(OR(E40="DateTime",E40="TimeSpan")," : any ;",IF(E40="int"," : number = 0 ;","")))</f>
        <v/>
      </c>
      <c r="H40" s="35" t="str">
        <f t="shared" ref="H40:H41" si="41">IF(E40="DateTime",
REPT(CHAR(9),3)&amp;"{headerName: this.l('"&amp;C40&amp;"'),headerTooltip: this.l('"&amp;C40&amp;"'),field: '"&amp;D40&amp;"',valueGetter: (params) =&gt; this.pipe.transform(params.data?."&amp;D40&amp;", 'dd/MM/yyyy'),flex: 1},",
IF(AND(E40="string",F40="1"),
REPT(CHAR(9),3)&amp;"{headerName: this.l('"&amp;C40&amp;"'),headerTooltip: this.l('"&amp;C40&amp;"'),field:  '"&amp;D40&amp;"', cellClass: ['text-center'], width: 120, cellRenderer: 'agCellButtonComponent',
buttonDefTwo: { text: params =&gt; (params.data?.'"&amp;D40&amp;"' == 'Y') ? 'Active' : 'Inactive',iconName: 'fa fa-circle',className: params =&gt; (params.data?.'"&amp;D40&amp;"' == 'Y') ? 'btnActive' : 'btnInActive',},}",
REPT(CHAR(9),3)&amp;"{headerName: this.l('"&amp;C40&amp;"'),headerTooltip: this.l('"&amp;C40&amp;"'),field: '"&amp;D40&amp;"',flex: 1},"))</f>
        <v xml:space="preserve">			{headerName: this.l('Up Scan User Id'),headerTooltip: this.l('Up Scan User Id'),field: 'upScanUserId',flex: 1},</v>
      </c>
      <c r="I40" s="35" t="str">
        <f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IF(AND(E40="string",F40 &lt;&gt;"1"),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/>
      </c>
      <c r="J40" s="28"/>
      <c r="K40" s="35" t="str">
        <f t="shared" ref="K40:K41" si="42">IF(OR(E40="DateTime?",E40="TimeSpan?"),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IF(OR(E40="int?",E40="long?"),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 xml:space="preserve">					&lt;div class='col-md-12 form-group row'&gt;
						&lt;label class='col-md-2 form-control title'&gt;Up Scan User Id&lt;/label&gt;
						&lt;input type='number' class='col-md-10 form-control input-text' name='UpScanUserId' [(ngModel)]='rowdata.upScanUserId'&gt;
					&lt;/div&gt;</v>
      </c>
      <c r="L40" s="56" t="str">
        <f t="shared" si="38"/>
        <v/>
      </c>
      <c r="M40" s="28"/>
      <c r="N40" s="28"/>
      <c r="O40" s="28"/>
      <c r="P40" s="28"/>
      <c r="Q40" s="28"/>
      <c r="R40" s="28"/>
      <c r="S40" s="28" t="str">
        <f t="shared" si="15"/>
        <v/>
      </c>
      <c r="T40" s="28" t="str">
        <f t="shared" si="16"/>
        <v/>
      </c>
      <c r="U40" s="28" t="str">
        <f t="shared" si="17"/>
        <v/>
      </c>
      <c r="V40" s="28" t="str">
        <f t="shared" si="18"/>
        <v/>
      </c>
    </row>
    <row r="41" spans="1:22" ht="18" customHeight="1" x14ac:dyDescent="0.25">
      <c r="A41" t="s">
        <v>357</v>
      </c>
      <c r="B41" s="28" t="str">
        <f t="shared" ref="B41" si="43">SUBSTITUTE(PROPER(A41),"_","")</f>
        <v>Status</v>
      </c>
      <c r="C41" s="28" t="str">
        <f t="shared" ref="C41" si="44">SUBSTITUTE(PROPER(A41),"_"," ")</f>
        <v>Status</v>
      </c>
      <c r="D41" s="28" t="str">
        <f t="shared" ref="D41" si="45">LOWER(LEFT(B41,1))&amp;RIGHT(B41,LEN(B41) - 1)</f>
        <v>status</v>
      </c>
      <c r="E41" s="28" t="str">
        <f>A.Backend!H35</f>
        <v>string</v>
      </c>
      <c r="F41" s="28" t="str">
        <f>A.Backend!G35</f>
        <v>50</v>
      </c>
      <c r="G41" s="28" t="str">
        <f t="shared" si="40"/>
        <v xml:space="preserve"> : string = '' ; </v>
      </c>
      <c r="H41" s="35" t="str">
        <f t="shared" si="41"/>
        <v xml:space="preserve">			{headerName: this.l('Status'),headerTooltip: this.l('Status'),field: 'status',flex: 1},</v>
      </c>
      <c r="I41" s="35" t="str">
        <f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IF(AND(E41="string",F41 &lt;&gt;"1"),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41" s="28"/>
      <c r="K41" s="35" t="str">
        <f t="shared" si="42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41" s="56" t="str">
        <f t="shared" ref="L41" si="46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5"/>
        <v xml:space="preserve">	status : string = '' ; </v>
      </c>
      <c r="T41" s="28" t="str">
        <f t="shared" si="16"/>
        <v xml:space="preserve">			this.upScanUserId,</v>
      </c>
      <c r="U41" s="28" t="str">
        <f t="shared" si="17"/>
        <v xml:space="preserve">	status : string = '' ; </v>
      </c>
      <c r="V41" s="28" t="str">
        <f t="shared" si="18"/>
        <v/>
      </c>
    </row>
    <row r="42" spans="1:22" ht="18" customHeight="1" x14ac:dyDescent="0.25">
      <c r="A42" t="s">
        <v>318</v>
      </c>
      <c r="B42" s="28" t="str">
        <f t="shared" si="8"/>
        <v>IsActive</v>
      </c>
      <c r="C42" s="28" t="str">
        <f t="shared" si="9"/>
        <v>Is Active</v>
      </c>
      <c r="D42" s="28" t="str">
        <f t="shared" si="10"/>
        <v>isActive</v>
      </c>
      <c r="E42" s="28" t="str">
        <f>A.Backend!H36</f>
        <v>string</v>
      </c>
      <c r="F42" s="28" t="str">
        <f>A.Backend!G36</f>
        <v>1</v>
      </c>
      <c r="G42" s="28" t="str">
        <f t="shared" si="11"/>
        <v xml:space="preserve"> : string = '' ; </v>
      </c>
      <c r="H42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2" s="35" t="str">
        <f t="shared" si="5"/>
        <v/>
      </c>
      <c r="J42" s="28"/>
      <c r="K42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2" s="56" t="str">
        <f t="shared" si="19"/>
        <v/>
      </c>
      <c r="M42" s="28"/>
      <c r="N42" s="28"/>
      <c r="O42" s="28"/>
      <c r="P42" s="28"/>
      <c r="Q42" s="28"/>
      <c r="R42" s="28"/>
      <c r="S42" s="28" t="str">
        <f t="shared" si="15"/>
        <v/>
      </c>
      <c r="T42" s="28" t="str">
        <f t="shared" si="16"/>
        <v/>
      </c>
      <c r="U42" s="28" t="str">
        <f t="shared" si="17"/>
        <v/>
      </c>
      <c r="V42" s="28" t="str">
        <f t="shared" si="18"/>
        <v>isActive</v>
      </c>
    </row>
    <row r="4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2023-05-09T04:09:45Z</dcterms:modified>
</cp:coreProperties>
</file>
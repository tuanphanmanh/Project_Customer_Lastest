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MmsPublish\docs\design\inventory\gps\"/>
    </mc:Choice>
  </mc:AlternateContent>
  <bookViews>
    <workbookView xWindow="-120" yWindow="-120" windowWidth="19440" windowHeight="15000" activeTab="2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externalReferences>
    <externalReference r:id="rId6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0" i="5" l="1"/>
  <c r="B20" i="5"/>
  <c r="D20" i="5" s="1"/>
  <c r="T20" i="5" l="1"/>
  <c r="L14" i="1"/>
  <c r="G14" i="1"/>
  <c r="F20" i="5" s="1"/>
  <c r="E14" i="1"/>
  <c r="H14" i="1" s="1"/>
  <c r="E20" i="5" s="1"/>
  <c r="D14" i="1"/>
  <c r="V14" i="1" s="1"/>
  <c r="I20" i="5" l="1"/>
  <c r="L20" i="5"/>
  <c r="G20" i="5"/>
  <c r="S20" i="5" s="1"/>
  <c r="U20" i="5"/>
  <c r="H20" i="5"/>
  <c r="V20" i="5"/>
  <c r="K20" i="5"/>
  <c r="W14" i="1"/>
  <c r="O14" i="1"/>
  <c r="J14" i="1"/>
  <c r="N14" i="1"/>
  <c r="M14" i="1"/>
  <c r="I14" i="1"/>
  <c r="P14" i="1"/>
  <c r="T14" i="1"/>
  <c r="C19" i="5" l="1"/>
  <c r="B19" i="5"/>
  <c r="D19" i="5" s="1"/>
  <c r="T19" i="5" s="1"/>
  <c r="C18" i="5"/>
  <c r="B18" i="5"/>
  <c r="D18" i="5" s="1"/>
  <c r="T18" i="5" s="1"/>
  <c r="C17" i="5"/>
  <c r="B17" i="5"/>
  <c r="D17" i="5" s="1"/>
  <c r="T17" i="5" s="1"/>
  <c r="C16" i="5"/>
  <c r="B16" i="5"/>
  <c r="D16" i="5" s="1"/>
  <c r="T16" i="5" s="1"/>
  <c r="C15" i="5"/>
  <c r="B15" i="5"/>
  <c r="D15" i="5" s="1"/>
  <c r="T15" i="5" s="1"/>
  <c r="B7" i="5" l="1"/>
  <c r="B6" i="5"/>
  <c r="B2" i="5"/>
  <c r="B8" i="5" l="1"/>
  <c r="B3" i="5"/>
  <c r="G13" i="1"/>
  <c r="F19" i="5" s="1"/>
  <c r="E13" i="1"/>
  <c r="H13" i="1" s="1"/>
  <c r="E19" i="5" s="1"/>
  <c r="D13" i="1"/>
  <c r="T13" i="1" s="1"/>
  <c r="L12" i="1"/>
  <c r="G12" i="1"/>
  <c r="F18" i="5" s="1"/>
  <c r="E12" i="1"/>
  <c r="H12" i="1" s="1"/>
  <c r="E18" i="5" s="1"/>
  <c r="D12" i="1"/>
  <c r="V12" i="1" s="1"/>
  <c r="L11" i="1"/>
  <c r="G11" i="1"/>
  <c r="F17" i="5" s="1"/>
  <c r="E11" i="1"/>
  <c r="H11" i="1" s="1"/>
  <c r="E17" i="5" s="1"/>
  <c r="D11" i="1"/>
  <c r="V11" i="1" s="1"/>
  <c r="L10" i="1"/>
  <c r="G10" i="1"/>
  <c r="F16" i="5" s="1"/>
  <c r="E10" i="1"/>
  <c r="H10" i="1" s="1"/>
  <c r="E16" i="5" s="1"/>
  <c r="D10" i="1"/>
  <c r="T10" i="1" s="1"/>
  <c r="L9" i="1"/>
  <c r="G9" i="1"/>
  <c r="F15" i="5" s="1"/>
  <c r="E9" i="1"/>
  <c r="H9" i="1" s="1"/>
  <c r="E15" i="5" s="1"/>
  <c r="D9" i="1"/>
  <c r="V9" i="1" s="1"/>
  <c r="H16" i="5" l="1"/>
  <c r="G16" i="5"/>
  <c r="S16" i="5" s="1"/>
  <c r="U16" i="5"/>
  <c r="K16" i="5"/>
  <c r="I16" i="5"/>
  <c r="H19" i="5"/>
  <c r="G19" i="5"/>
  <c r="S19" i="5" s="1"/>
  <c r="U19" i="5"/>
  <c r="K19" i="5"/>
  <c r="I19" i="5"/>
  <c r="G15" i="5"/>
  <c r="S15" i="5" s="1"/>
  <c r="U15" i="5"/>
  <c r="K15" i="5"/>
  <c r="I15" i="5"/>
  <c r="H15" i="5"/>
  <c r="I17" i="5"/>
  <c r="H17" i="5"/>
  <c r="G17" i="5"/>
  <c r="S17" i="5" s="1"/>
  <c r="U17" i="5"/>
  <c r="K17" i="5"/>
  <c r="G18" i="5"/>
  <c r="S18" i="5" s="1"/>
  <c r="U18" i="5"/>
  <c r="K18" i="5"/>
  <c r="I18" i="5"/>
  <c r="H18" i="5"/>
  <c r="L18" i="5"/>
  <c r="V18" i="5"/>
  <c r="L17" i="5"/>
  <c r="V17" i="5"/>
  <c r="V19" i="5"/>
  <c r="L19" i="5"/>
  <c r="M13" i="1"/>
  <c r="I13" i="1"/>
  <c r="P9" i="1"/>
  <c r="P12" i="1"/>
  <c r="W9" i="1"/>
  <c r="W12" i="1"/>
  <c r="O12" i="1"/>
  <c r="J12" i="1"/>
  <c r="N12" i="1"/>
  <c r="I12" i="1"/>
  <c r="M12" i="1"/>
  <c r="N13" i="1"/>
  <c r="V13" i="1"/>
  <c r="T12" i="1"/>
  <c r="J13" i="1"/>
  <c r="O13" i="1"/>
  <c r="W13" i="1"/>
  <c r="P13" i="1"/>
  <c r="P11" i="1"/>
  <c r="W11" i="1"/>
  <c r="O11" i="1"/>
  <c r="J11" i="1"/>
  <c r="N11" i="1"/>
  <c r="I11" i="1"/>
  <c r="M11" i="1"/>
  <c r="M10" i="1"/>
  <c r="N10" i="1"/>
  <c r="I10" i="1"/>
  <c r="W10" i="1"/>
  <c r="O10" i="1"/>
  <c r="J10" i="1"/>
  <c r="M9" i="1"/>
  <c r="T9" i="1"/>
  <c r="T11" i="1"/>
  <c r="V10" i="1"/>
  <c r="I9" i="1"/>
  <c r="N9" i="1"/>
  <c r="P10" i="1"/>
  <c r="J9" i="1"/>
  <c r="O9" i="1"/>
  <c r="B6" i="1" l="1"/>
  <c r="V16" i="5" l="1"/>
  <c r="L16" i="5"/>
  <c r="V15" i="5" l="1"/>
  <c r="L15" i="5"/>
  <c r="Q3" i="1" l="1"/>
  <c r="B4" i="5" s="1"/>
  <c r="B5" i="5" s="1"/>
  <c r="W3" i="1" l="1"/>
  <c r="V3" i="1"/>
  <c r="U7" i="1" l="1"/>
  <c r="T3" i="1" l="1"/>
  <c r="F3" i="1"/>
  <c r="O7" i="1" l="1"/>
  <c r="N7" i="1"/>
  <c r="E68" i="3" s="1"/>
  <c r="K7" i="1"/>
  <c r="H6" i="1"/>
  <c r="R10" i="5" l="1"/>
  <c r="M75" i="3" s="1"/>
  <c r="N68" i="3" l="1"/>
  <c r="P10" i="5" l="1"/>
  <c r="K75" i="3" s="1"/>
  <c r="Q10" i="5"/>
  <c r="L75" i="3" s="1"/>
  <c r="B73" i="3"/>
  <c r="C73" i="3" s="1"/>
  <c r="M14" i="5"/>
  <c r="H74" i="3" s="1"/>
  <c r="L14" i="5"/>
  <c r="G74" i="3" s="1"/>
  <c r="K14" i="5"/>
  <c r="F74" i="3" s="1"/>
  <c r="L74" i="3"/>
  <c r="K74" i="3"/>
  <c r="O14" i="5"/>
  <c r="J74" i="3" s="1"/>
  <c r="N14" i="5"/>
  <c r="I74" i="3" s="1"/>
  <c r="J14" i="5"/>
  <c r="E74" i="3" s="1"/>
  <c r="I14" i="5"/>
  <c r="D74" i="3" s="1"/>
  <c r="H14" i="5"/>
  <c r="C74" i="3" s="1"/>
  <c r="O10" i="5"/>
  <c r="J75" i="3" s="1"/>
  <c r="N10" i="5"/>
  <c r="I75" i="3" s="1"/>
  <c r="M10" i="5"/>
  <c r="H75" i="3" s="1"/>
  <c r="J10" i="5"/>
  <c r="E75" i="3" s="1"/>
  <c r="N3" i="1" l="1"/>
  <c r="M3" i="1"/>
  <c r="O3" i="1"/>
  <c r="V16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16" i="1"/>
  <c r="T7" i="1" l="1"/>
  <c r="W16" i="1"/>
  <c r="G6" i="1" l="1"/>
  <c r="I13" i="5"/>
  <c r="K13" i="5"/>
  <c r="V13" i="5"/>
  <c r="U13" i="5"/>
  <c r="L13" i="5"/>
  <c r="S13" i="5"/>
  <c r="H13" i="5"/>
  <c r="K10" i="5" l="1"/>
  <c r="F75" i="3" s="1"/>
  <c r="I10" i="5"/>
  <c r="D75" i="3" s="1"/>
  <c r="H10" i="5"/>
  <c r="C75" i="3" s="1"/>
  <c r="L10" i="5"/>
  <c r="G75" i="3" s="1"/>
  <c r="L68" i="3"/>
  <c r="D68" i="3"/>
  <c r="D6" i="1"/>
  <c r="L3" i="1" l="1"/>
  <c r="J3" i="1"/>
  <c r="H3" i="1"/>
  <c r="C6" i="1" l="1"/>
  <c r="P7" i="1" s="1"/>
  <c r="S3" i="1"/>
  <c r="S7" i="1" s="1"/>
  <c r="E6" i="1"/>
  <c r="F68" i="3"/>
  <c r="I3" i="1" l="1"/>
  <c r="B7" i="1"/>
  <c r="L13" i="1" l="1"/>
  <c r="C7" i="1"/>
  <c r="J16" i="1"/>
  <c r="I16" i="1"/>
  <c r="P16" i="1"/>
  <c r="N16" i="1"/>
  <c r="O16" i="1"/>
  <c r="Q7" i="1" l="1"/>
  <c r="M68" i="3" s="1"/>
  <c r="L7" i="1"/>
  <c r="G68" i="3" s="1"/>
  <c r="K68" i="3"/>
  <c r="J68" i="3"/>
  <c r="M16" i="1"/>
  <c r="K16" i="1"/>
  <c r="R7" i="1" l="1"/>
  <c r="I68" i="3" s="1"/>
  <c r="M7" i="1"/>
  <c r="H68" i="3" s="1"/>
  <c r="J7" i="1"/>
  <c r="C6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6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6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6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<sst xmlns="http://schemas.openxmlformats.org/spreadsheetml/2006/main" count="455" uniqueCount="369">
  <si>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</si>
  <si>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</si>
  <si>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</si>
  <si>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</si>
  <si>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</si>
  <si>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</si>
  <si>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</si>
  <si>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</si>
  <si>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</si>
  <si>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</si>
  <si>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</si>
  <si>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</si>
  <si>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</si>
  <si>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</si>
  <si>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</si>
  <si>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</si>
  <si>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</si>
  <si>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</si>
  <si>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</si>
  <si>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</si>
  <si>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</si>
  <si>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</si>
  <si>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</si>
  <si>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</si>
  <si>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</si>
  <si>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</si>
  <si>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</si>
  <si>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</si>
  <si>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</si>
  <si>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</si>
  <si>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</si>
  <si>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</si>
  <si>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string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</si>
  <si>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</si>
  <si>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</si>
  <si>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</si>
  <si>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</si>
  <si>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</si>
  <si>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</si>
  <si>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</si>
  <si>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</si>
  <si>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</si>
  <si>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</si>
  <si>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</si>
  <si>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</si>
  <si>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</si>
  <si>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</si>
  <si>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</si>
  <si>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</si>
  <si>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</si>
  <si>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</si>
  <si>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</si>
  <si>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</si>
  <si>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</si>
  <si>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</si>
  <si>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</si>
  <si>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</si>
  <si>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</si>
  <si>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</si>
  <si>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</si>
  <si>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</si>
  <si>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</si>
  <si>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</si>
  <si>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</si>
  <si>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</si>
  <si>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</si>
  <si>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</si>
  <si>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</si>
  <si>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</si>
  <si>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</si>
  <si>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</si>
  <si>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</si>
  <si>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</si>
  <si>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</si>
  <si>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</si>
  <si>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</si>
  <si>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</si>
  <si>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</si>
  <si>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</si>
  <si>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</si>
  <si>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</si>
  <si>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</si>
  <si>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</si>
  <si>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</si>
  <si>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</si>
  <si>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</si>
  <si>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</si>
  <si>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</si>
  <si>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</si>
  <si>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</si>
  <si>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</si>
  <si>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</si>
  <si>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</si>
  <si>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</si>
  <si>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</si>
  <si>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</si>
  <si>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</si>
  <si>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</si>
  <si>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</si>
  <si>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</si>
  <si>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</si>
  <si>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</si>
  <si>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</si>
  <si>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</si>
  <si>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</si>
  <si>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</si>
  <si>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</si>
  <si>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</si>
  <si>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</si>
  <si>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</si>
  <si>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</si>
  <si>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</si>
  <si>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</si>
  <si>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</si>
  <si>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</si>
  <si>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</si>
  <si>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</si>
  <si>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</si>
  <si>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</si>
  <si>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</si>
  <si>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</si>
  <si>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</si>
  <si>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</si>
  <si>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</si>
  <si>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</si>
  <si>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</si>
  <si>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</si>
  <si>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</si>
  <si>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</si>
  <si>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</si>
  <si>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</si>
  <si>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</si>
  <si>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</si>
  <si>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</si>
  <si>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</si>
  <si>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</si>
  <si>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</si>
  <si>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</si>
  <si>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</si>
  <si>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</si>
  <si>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</si>
  <si>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</si>
  <si>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</si>
  <si>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</si>
  <si>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</si>
  <si>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</si>
  <si>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</si>
  <si>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</si>
  <si>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</si>
  <si>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</si>
  <si>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</si>
  <si>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</si>
  <si>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</si>
  <si>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</si>
  <si>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</si>
  <si>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</si>
  <si>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</si>
  <si>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</si>
  <si>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</si>
  <si>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</si>
  <si>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</si>
  <si>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</si>
  <si>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</si>
  <si>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</si>
  <si>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</si>
  <si>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</si>
  <si>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</si>
  <si>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</si>
  <si>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</si>
  <si>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</si>
  <si>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</si>
  <si>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</si>
  <si>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</si>
  <si>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</si>
  <si>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</si>
  <si>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</si>
  <si>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</si>
  <si>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</si>
  <si>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</si>
  <si>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</si>
  <si>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</si>
  <si>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</si>
  <si>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</si>
  <si>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</si>
  <si>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</si>
  <si>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</si>
  <si>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</si>
  <si>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</si>
  <si>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</si>
  <si>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</si>
  <si>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</si>
  <si>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</si>
  <si>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</si>
  <si>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</si>
  <si>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</si>
  <si>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</si>
  <si>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</si>
  <si>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</si>
  <si>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</si>
  <si>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</si>
  <si>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</si>
  <si>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</si>
  <si>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</si>
  <si>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</si>
  <si>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</si>
  <si>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</si>
  <si>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</si>
  <si>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</si>
  <si>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</si>
  <si>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</si>
  <si>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</si>
  <si>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</si>
  <si>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</si>
  <si>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</si>
  <si>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</si>
  <si>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</si>
  <si>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</si>
  <si>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</si>
  <si>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</si>
  <si>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</si>
  <si>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</si>
  <si>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</si>
  <si>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</si>
  <si>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</si>
  <si>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</si>
  <si>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</si>
  <si>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</si>
  <si>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</si>
  <si>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</si>
  <si>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</si>
  <si>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</si>
  <si>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</si>
  <si>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</si>
  <si>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</si>
  <si>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</si>
  <si>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</si>
  <si>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</si>
  <si>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</si>
  <si>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</si>
  <si>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</si>
  <si>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</si>
  <si>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</si>
  <si>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</si>
  <si>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</si>
  <si>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</si>
  <si>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</si>
  <si>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</si>
  <si>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</si>
  <si>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</si>
  <si>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</si>
  <si>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</si>
  <si>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</si>
  <si>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</si>
  <si>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</si>
  <si>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</si>
  <si>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</si>
  <si>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</si>
  <si>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</si>
  <si>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</si>
  <si>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</si>
  <si>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</si>
  <si>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</si>
  <si>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</si>
  <si>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</si>
  <si>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</si>
  <si>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</si>
  <si>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</si>
  <si>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</si>
  <si>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</si>
  <si>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</si>
  <si>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</si>
  <si>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</si>
  <si>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</si>
  <si>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</si>
  <si>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</si>
  <si>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</si>
  <si>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</si>
  <si>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</si>
  <si>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</si>
  <si>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</si>
  <si>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</si>
  <si>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</si>
  <si>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</si>
  <si>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</si>
  <si>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</si>
  <si>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</si>
  <si>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</si>
  <si>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</si>
  <si>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</si>
  <si>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</si>
  <si>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</si>
  <si>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</si>
  <si>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</si>
  <si>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</si>
  <si>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</si>
  <si>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</si>
  <si>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</si>
  <si>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</si>
  <si>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</si>
  <si>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</si>
  <si>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</si>
  <si>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</si>
  <si>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</si>
  <si>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</si>
  <si>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</si>
  <si>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</si>
  <si>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</si>
  <si>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</si>
  <si>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</si>
  <si>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</si>
  <si>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</si>
  <si>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</si>
  <si>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</si>
  <si>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</si>
  <si>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</si>
  <si>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Barcode</t>
  </si>
  <si>
    <t>Bar</t>
  </si>
  <si>
    <t>LgaBar</t>
  </si>
  <si>
    <t>CCR Plan</t>
  </si>
  <si>
    <t>Inventory</t>
  </si>
  <si>
    <t>CKD</t>
  </si>
  <si>
    <t>PIO</t>
  </si>
  <si>
    <t>GPS</t>
  </si>
  <si>
    <t>SPP</t>
  </si>
  <si>
    <t>Inhouse</t>
  </si>
  <si>
    <t>LSP</t>
  </si>
  <si>
    <t>Ckd</t>
  </si>
  <si>
    <t>Gps</t>
  </si>
  <si>
    <t>Pio</t>
  </si>
  <si>
    <t>Inh</t>
  </si>
  <si>
    <t>Lsp</t>
  </si>
  <si>
    <t>Spp</t>
  </si>
  <si>
    <t>Inv</t>
  </si>
  <si>
    <t>InvCkd</t>
  </si>
  <si>
    <t>InvGps</t>
  </si>
  <si>
    <t>InvPio</t>
  </si>
  <si>
    <t>InvInh</t>
  </si>
  <si>
    <t>InvLsp</t>
  </si>
  <si>
    <t>InvSpp</t>
  </si>
  <si>
    <t>EXP</t>
  </si>
  <si>
    <t>Exp</t>
  </si>
  <si>
    <t>InvExp</t>
  </si>
  <si>
    <t>CBU</t>
  </si>
  <si>
    <t>Cbu</t>
  </si>
  <si>
    <t>InvCbu</t>
  </si>
  <si>
    <t>TPL</t>
  </si>
  <si>
    <t>MstTpl</t>
  </si>
  <si>
    <t>Tpl</t>
  </si>
  <si>
    <t>int?</t>
  </si>
  <si>
    <t>long?</t>
  </si>
  <si>
    <t>DateTime?</t>
  </si>
  <si>
    <t>TimeSpan?</t>
  </si>
  <si>
    <t>decimal?</t>
  </si>
  <si>
    <t>byte?</t>
  </si>
  <si>
    <t>VARCHAR(20)</t>
  </si>
  <si>
    <t>VARCHAR(200)</t>
  </si>
  <si>
    <t>PART_NO</t>
  </si>
  <si>
    <t>PART_NAME</t>
  </si>
  <si>
    <t>PART_ID</t>
  </si>
  <si>
    <t>QTY</t>
  </si>
  <si>
    <t>WORKING_DATE</t>
  </si>
  <si>
    <t>BIGINT</t>
  </si>
  <si>
    <t>DATETIME</t>
  </si>
  <si>
    <t>TRANSACTION_ID</t>
  </si>
  <si>
    <t>Inventory.GPS</t>
  </si>
  <si>
    <t>InvGpsStock</t>
  </si>
  <si>
    <t>GpsStock</t>
  </si>
  <si>
    <t>DECIMAL(18,5)</t>
  </si>
  <si>
    <t xml:space="preserve">Drm Stock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</si>
</sst>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/>
    <xf numFmtId="0" fontId="0" fillId="10" borderId="3" xfId="0" applyFill="1" applyBorder="1" applyAlignment="1">
      <alignment wrapText="1"/>
    </xf>
    <xf numFmtId="0" fontId="0" fillId="10" borderId="1" xfId="0" applyFill="1" applyBorder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16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8" borderId="0" xfId="0" applyFill="1" applyBorder="1" applyAlignment="1">
      <alignment wrapText="1"/>
    </xf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msPublish/docs/design/inventory/drm/InvDrmStockPartTransac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v Guide"/>
      <sheetName val="A.Backend"/>
      <sheetName val="B.Frontend"/>
      <sheetName val="Data Type Mapping"/>
      <sheetName val="Directory Tree"/>
    </sheetNames>
    <sheetDataSet>
      <sheetData sheetId="0"/>
      <sheetData sheetId="1"/>
      <sheetData sheetId="2"/>
      <sheetData sheetId="3">
        <row r="1">
          <cell r="A1" t="str">
            <v>SQL Server data type</v>
          </cell>
          <cell r="B1" t="str">
            <v>CLR data type (.NET Framework)</v>
          </cell>
        </row>
        <row r="2">
          <cell r="A2" t="str">
            <v>nvarchar</v>
          </cell>
          <cell r="B2" t="str">
            <v>string</v>
          </cell>
        </row>
        <row r="3">
          <cell r="A3" t="str">
            <v>varchar</v>
          </cell>
          <cell r="B3" t="str">
            <v>string</v>
          </cell>
        </row>
        <row r="4">
          <cell r="A4" t="str">
            <v>uniqueidentifier</v>
          </cell>
          <cell r="B4" t="str">
            <v>Guid</v>
          </cell>
        </row>
        <row r="5">
          <cell r="A5" t="str">
            <v>bit</v>
          </cell>
          <cell r="B5" t="str">
            <v>bool</v>
          </cell>
        </row>
        <row r="6">
          <cell r="A6" t="str">
            <v>tinyint</v>
          </cell>
          <cell r="B6" t="str">
            <v>byte?</v>
          </cell>
        </row>
        <row r="7">
          <cell r="A7" t="str">
            <v>smallint</v>
          </cell>
          <cell r="B7" t="str">
            <v>int?</v>
          </cell>
        </row>
        <row r="8">
          <cell r="A8" t="str">
            <v>int</v>
          </cell>
          <cell r="B8" t="str">
            <v>int?</v>
          </cell>
        </row>
        <row r="9">
          <cell r="A9" t="str">
            <v>bigint</v>
          </cell>
          <cell r="B9" t="str">
            <v>long?</v>
          </cell>
        </row>
        <row r="10">
          <cell r="A10" t="str">
            <v>smallmoney</v>
          </cell>
          <cell r="B10" t="str">
            <v>decimal?</v>
          </cell>
        </row>
        <row r="11">
          <cell r="A11" t="str">
            <v>money</v>
          </cell>
          <cell r="B11" t="str">
            <v>decimal?</v>
          </cell>
        </row>
        <row r="12">
          <cell r="A12" t="str">
            <v>numeric</v>
          </cell>
          <cell r="B12" t="str">
            <v>decimal?</v>
          </cell>
        </row>
        <row r="13">
          <cell r="A13" t="str">
            <v>decimal</v>
          </cell>
          <cell r="B13" t="str">
            <v>decimal?</v>
          </cell>
        </row>
        <row r="14">
          <cell r="A14" t="str">
            <v>real</v>
          </cell>
          <cell r="B14" t="str">
            <v>decimal?</v>
          </cell>
        </row>
        <row r="15">
          <cell r="A15" t="str">
            <v>float</v>
          </cell>
          <cell r="B15" t="str">
            <v>decimal?</v>
          </cell>
        </row>
        <row r="16">
          <cell r="A16" t="str">
            <v>smalldatetime</v>
          </cell>
          <cell r="B16" t="str">
            <v>DateTime?</v>
          </cell>
        </row>
        <row r="17">
          <cell r="A17" t="str">
            <v>datetime</v>
          </cell>
          <cell r="B17" t="str">
            <v>DateTime?</v>
          </cell>
        </row>
        <row r="18">
          <cell r="A18" t="str">
            <v>datetime2</v>
          </cell>
          <cell r="B18" t="str">
            <v>DateTime?</v>
          </cell>
        </row>
        <row r="19">
          <cell r="A19" t="str">
            <v>date</v>
          </cell>
          <cell r="B19" t="str">
            <v>DateTime?</v>
          </cell>
        </row>
        <row r="20">
          <cell r="A20" t="str">
            <v>time</v>
          </cell>
          <cell r="B20" t="str">
            <v>TimeSpan?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77"/>
  <sheetViews>
    <sheetView topLeftCell="A61" zoomScaleNormal="100" workbookViewId="0">
      <selection activeCell="B78" sqref="B78"/>
    </sheetView>
  </sheetViews>
  <sheetFormatPr defaultColWidth="8.7109375" defaultRowHeight="15" x14ac:dyDescent="0.25"/>
  <cols>
    <col min="1" max="1" width="3.42578125" customWidth="1"/>
    <col min="2" max="2" width="18.42578125" customWidth="1"/>
    <col min="3" max="5" width="26.28515625" customWidth="1"/>
    <col min="6" max="6" width="29.42578125" customWidth="1"/>
    <col min="7" max="10" width="26.28515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4" t="s">
        <v>71</v>
      </c>
    </row>
    <row r="2" spans="1:7" ht="15.75" x14ac:dyDescent="0.25">
      <c r="A2" s="1"/>
      <c r="B2" s="25" t="s">
        <v>193</v>
      </c>
    </row>
    <row r="3" spans="1:7" x14ac:dyDescent="0.25">
      <c r="A3" s="1"/>
      <c r="B3" s="1" t="s">
        <v>74</v>
      </c>
    </row>
    <row r="4" spans="1:7" x14ac:dyDescent="0.25">
      <c r="A4" s="1"/>
      <c r="B4" t="s">
        <v>73</v>
      </c>
    </row>
    <row r="5" spans="1:7" x14ac:dyDescent="0.25">
      <c r="A5" s="1"/>
      <c r="B5" t="s">
        <v>76</v>
      </c>
    </row>
    <row r="6" spans="1:7" x14ac:dyDescent="0.25">
      <c r="A6" s="1"/>
      <c r="B6" t="s">
        <v>84</v>
      </c>
    </row>
    <row r="7" spans="1:7" x14ac:dyDescent="0.25">
      <c r="A7" s="1"/>
      <c r="C7" s="2" t="s">
        <v>94</v>
      </c>
      <c r="D7" s="2"/>
      <c r="E7" s="2"/>
      <c r="F7" s="2" t="s">
        <v>102</v>
      </c>
      <c r="G7" s="2" t="s">
        <v>280</v>
      </c>
    </row>
    <row r="8" spans="1:7" x14ac:dyDescent="0.25">
      <c r="A8" s="1"/>
      <c r="C8" t="s">
        <v>86</v>
      </c>
      <c r="F8" s="1" t="s">
        <v>230</v>
      </c>
      <c r="G8" t="s">
        <v>230</v>
      </c>
    </row>
    <row r="9" spans="1:7" x14ac:dyDescent="0.25">
      <c r="A9" s="1"/>
      <c r="C9" t="s">
        <v>85</v>
      </c>
      <c r="F9" s="1" t="s">
        <v>95</v>
      </c>
      <c r="G9" t="s">
        <v>95</v>
      </c>
    </row>
    <row r="10" spans="1:7" x14ac:dyDescent="0.25">
      <c r="A10" s="1"/>
      <c r="D10" t="s">
        <v>86</v>
      </c>
      <c r="F10" s="1" t="s">
        <v>230</v>
      </c>
      <c r="G10" t="s">
        <v>281</v>
      </c>
    </row>
    <row r="11" spans="1:7" x14ac:dyDescent="0.25">
      <c r="A11" s="1"/>
      <c r="D11" t="s">
        <v>87</v>
      </c>
      <c r="F11" s="1" t="s">
        <v>96</v>
      </c>
      <c r="G11" t="s">
        <v>282</v>
      </c>
    </row>
    <row r="12" spans="1:7" x14ac:dyDescent="0.25">
      <c r="A12" s="1"/>
      <c r="D12" t="s">
        <v>88</v>
      </c>
      <c r="F12" s="1" t="s">
        <v>97</v>
      </c>
      <c r="G12" t="s">
        <v>283</v>
      </c>
    </row>
    <row r="13" spans="1:7" x14ac:dyDescent="0.25">
      <c r="A13" s="1"/>
      <c r="D13" t="s">
        <v>89</v>
      </c>
      <c r="F13" s="1" t="s">
        <v>98</v>
      </c>
      <c r="G13" t="s">
        <v>284</v>
      </c>
    </row>
    <row r="14" spans="1:7" x14ac:dyDescent="0.25">
      <c r="A14" s="1"/>
      <c r="D14" t="s">
        <v>90</v>
      </c>
      <c r="F14" s="1" t="s">
        <v>99</v>
      </c>
      <c r="G14" t="s">
        <v>285</v>
      </c>
    </row>
    <row r="15" spans="1:7" x14ac:dyDescent="0.25">
      <c r="A15" s="1"/>
      <c r="D15" t="s">
        <v>91</v>
      </c>
      <c r="F15" s="1" t="s">
        <v>100</v>
      </c>
      <c r="G15" t="s">
        <v>286</v>
      </c>
    </row>
    <row r="16" spans="1:7" ht="12" customHeight="1" x14ac:dyDescent="0.25">
      <c r="A16" s="1"/>
      <c r="D16" t="s">
        <v>266</v>
      </c>
      <c r="F16" s="1" t="s">
        <v>267</v>
      </c>
      <c r="G16" t="s">
        <v>287</v>
      </c>
    </row>
    <row r="17" spans="1:7" ht="12" customHeight="1" x14ac:dyDescent="0.25">
      <c r="A17" s="1"/>
      <c r="D17" t="s">
        <v>301</v>
      </c>
      <c r="F17" s="1" t="s">
        <v>302</v>
      </c>
      <c r="G17" t="s">
        <v>303</v>
      </c>
    </row>
    <row r="18" spans="1:7" x14ac:dyDescent="0.25">
      <c r="A18" s="1"/>
      <c r="D18" t="s">
        <v>345</v>
      </c>
      <c r="F18" s="1" t="s">
        <v>347</v>
      </c>
      <c r="G18" t="s">
        <v>346</v>
      </c>
    </row>
    <row r="19" spans="1:7" x14ac:dyDescent="0.25">
      <c r="A19" s="1"/>
      <c r="C19" t="s">
        <v>88</v>
      </c>
      <c r="F19" s="1" t="s">
        <v>97</v>
      </c>
      <c r="G19" t="s">
        <v>97</v>
      </c>
    </row>
    <row r="20" spans="1:7" x14ac:dyDescent="0.25">
      <c r="A20" s="1"/>
      <c r="D20" t="s">
        <v>92</v>
      </c>
      <c r="F20" s="1" t="s">
        <v>111</v>
      </c>
      <c r="G20" t="s">
        <v>288</v>
      </c>
    </row>
    <row r="21" spans="1:7" x14ac:dyDescent="0.25">
      <c r="A21" s="1"/>
      <c r="D21" t="s">
        <v>93</v>
      </c>
      <c r="F21" s="1" t="s">
        <v>101</v>
      </c>
      <c r="G21" t="s">
        <v>289</v>
      </c>
    </row>
    <row r="22" spans="1:7" x14ac:dyDescent="0.25">
      <c r="A22" s="1"/>
      <c r="C22" t="s">
        <v>89</v>
      </c>
      <c r="F22" s="1" t="s">
        <v>98</v>
      </c>
      <c r="G22" t="s">
        <v>98</v>
      </c>
    </row>
    <row r="23" spans="1:7" x14ac:dyDescent="0.25">
      <c r="A23" s="1"/>
      <c r="D23" t="s">
        <v>92</v>
      </c>
      <c r="F23" s="1" t="s">
        <v>111</v>
      </c>
      <c r="G23" t="s">
        <v>298</v>
      </c>
    </row>
    <row r="24" spans="1:7" x14ac:dyDescent="0.25">
      <c r="A24" s="1"/>
      <c r="C24" t="s">
        <v>87</v>
      </c>
      <c r="F24" s="1" t="s">
        <v>96</v>
      </c>
      <c r="G24" t="s">
        <v>96</v>
      </c>
    </row>
    <row r="25" spans="1:7" x14ac:dyDescent="0.25">
      <c r="A25" s="1"/>
      <c r="D25" t="s">
        <v>92</v>
      </c>
      <c r="F25" s="1" t="s">
        <v>111</v>
      </c>
      <c r="G25" t="s">
        <v>297</v>
      </c>
    </row>
    <row r="26" spans="1:7" x14ac:dyDescent="0.25">
      <c r="A26" s="1"/>
      <c r="C26" t="s">
        <v>90</v>
      </c>
      <c r="F26" s="1" t="s">
        <v>99</v>
      </c>
      <c r="G26" t="s">
        <v>99</v>
      </c>
    </row>
    <row r="27" spans="1:7" x14ac:dyDescent="0.25">
      <c r="A27" s="1"/>
      <c r="C27" t="s">
        <v>266</v>
      </c>
      <c r="F27" s="1" t="s">
        <v>267</v>
      </c>
      <c r="G27" t="s">
        <v>267</v>
      </c>
    </row>
    <row r="28" spans="1:7" x14ac:dyDescent="0.25">
      <c r="A28" s="1"/>
      <c r="D28" t="s">
        <v>268</v>
      </c>
      <c r="F28" s="1" t="s">
        <v>270</v>
      </c>
      <c r="G28" t="s">
        <v>290</v>
      </c>
    </row>
    <row r="29" spans="1:7" x14ac:dyDescent="0.25">
      <c r="A29" s="1"/>
      <c r="D29" t="s">
        <v>271</v>
      </c>
      <c r="F29" s="1" t="s">
        <v>269</v>
      </c>
      <c r="G29" t="s">
        <v>291</v>
      </c>
    </row>
    <row r="30" spans="1:7" x14ac:dyDescent="0.25">
      <c r="A30" s="1"/>
      <c r="D30" t="s">
        <v>272</v>
      </c>
      <c r="F30" s="1" t="s">
        <v>275</v>
      </c>
      <c r="G30" t="s">
        <v>292</v>
      </c>
    </row>
    <row r="31" spans="1:7" x14ac:dyDescent="0.25">
      <c r="A31" s="1"/>
      <c r="D31" t="s">
        <v>273</v>
      </c>
      <c r="F31" s="1" t="s">
        <v>276</v>
      </c>
      <c r="G31" t="s">
        <v>293</v>
      </c>
    </row>
    <row r="32" spans="1:7" x14ac:dyDescent="0.25">
      <c r="A32" s="1"/>
      <c r="D32" t="s">
        <v>274</v>
      </c>
      <c r="F32" s="1" t="s">
        <v>277</v>
      </c>
      <c r="G32" t="s">
        <v>294</v>
      </c>
    </row>
    <row r="33" spans="1:8" x14ac:dyDescent="0.25">
      <c r="A33" s="1"/>
      <c r="D33" t="s">
        <v>279</v>
      </c>
      <c r="F33" s="1" t="s">
        <v>278</v>
      </c>
      <c r="G33" t="s">
        <v>295</v>
      </c>
    </row>
    <row r="34" spans="1:8" x14ac:dyDescent="0.25">
      <c r="A34" s="1"/>
      <c r="C34" t="s">
        <v>301</v>
      </c>
      <c r="F34" s="1" t="s">
        <v>302</v>
      </c>
      <c r="G34" t="s">
        <v>302</v>
      </c>
    </row>
    <row r="35" spans="1:8" x14ac:dyDescent="0.25">
      <c r="A35" s="1"/>
      <c r="D35" t="s">
        <v>304</v>
      </c>
      <c r="F35" s="1" t="s">
        <v>305</v>
      </c>
      <c r="G35" t="s">
        <v>306</v>
      </c>
    </row>
    <row r="36" spans="1:8" x14ac:dyDescent="0.25">
      <c r="A36" s="1"/>
      <c r="D36" t="s">
        <v>93</v>
      </c>
      <c r="F36" s="1" t="s">
        <v>101</v>
      </c>
      <c r="G36" t="s">
        <v>307</v>
      </c>
    </row>
    <row r="37" spans="1:8" x14ac:dyDescent="0.25">
      <c r="A37" s="1"/>
      <c r="D37" t="s">
        <v>308</v>
      </c>
      <c r="F37" s="1" t="s">
        <v>309</v>
      </c>
      <c r="G37" t="s">
        <v>310</v>
      </c>
    </row>
    <row r="38" spans="1:8" x14ac:dyDescent="0.25">
      <c r="A38" s="1"/>
      <c r="D38" t="s">
        <v>311</v>
      </c>
      <c r="F38" s="1" t="s">
        <v>312</v>
      </c>
      <c r="G38" t="s">
        <v>313</v>
      </c>
    </row>
    <row r="39" spans="1:8" x14ac:dyDescent="0.25">
      <c r="A39" s="1"/>
      <c r="D39" t="s">
        <v>315</v>
      </c>
      <c r="F39" s="1" t="s">
        <v>316</v>
      </c>
      <c r="G39" t="s">
        <v>317</v>
      </c>
    </row>
    <row r="40" spans="1:8" x14ac:dyDescent="0.25">
      <c r="A40" s="1"/>
      <c r="C40" t="s">
        <v>314</v>
      </c>
      <c r="F40" s="1" t="s">
        <v>296</v>
      </c>
      <c r="G40" t="s">
        <v>296</v>
      </c>
    </row>
    <row r="41" spans="1:8" x14ac:dyDescent="0.25">
      <c r="A41" s="1"/>
      <c r="D41" t="s">
        <v>299</v>
      </c>
      <c r="F41" s="1" t="s">
        <v>299</v>
      </c>
      <c r="G41" t="s">
        <v>300</v>
      </c>
      <c r="H41" t="s">
        <v>318</v>
      </c>
    </row>
    <row r="42" spans="1:8" x14ac:dyDescent="0.25">
      <c r="A42" s="1"/>
      <c r="C42" t="s">
        <v>319</v>
      </c>
      <c r="F42" s="1" t="s">
        <v>332</v>
      </c>
      <c r="G42" t="s">
        <v>332</v>
      </c>
    </row>
    <row r="43" spans="1:8" x14ac:dyDescent="0.25">
      <c r="A43" s="1"/>
      <c r="D43" t="s">
        <v>320</v>
      </c>
      <c r="F43" s="1" t="s">
        <v>326</v>
      </c>
      <c r="G43" t="s">
        <v>333</v>
      </c>
    </row>
    <row r="44" spans="1:8" x14ac:dyDescent="0.25">
      <c r="A44" s="1"/>
      <c r="D44" t="s">
        <v>322</v>
      </c>
      <c r="F44" s="1" t="s">
        <v>327</v>
      </c>
      <c r="G44" t="s">
        <v>334</v>
      </c>
    </row>
    <row r="45" spans="1:8" x14ac:dyDescent="0.25">
      <c r="A45" s="1"/>
      <c r="D45" t="s">
        <v>321</v>
      </c>
      <c r="F45" s="1" t="s">
        <v>328</v>
      </c>
      <c r="G45" t="s">
        <v>335</v>
      </c>
    </row>
    <row r="46" spans="1:8" x14ac:dyDescent="0.25">
      <c r="A46" s="1"/>
      <c r="D46" t="s">
        <v>324</v>
      </c>
      <c r="F46" s="1" t="s">
        <v>329</v>
      </c>
      <c r="G46" t="s">
        <v>336</v>
      </c>
    </row>
    <row r="47" spans="1:8" x14ac:dyDescent="0.25">
      <c r="A47" s="1"/>
      <c r="D47" t="s">
        <v>342</v>
      </c>
      <c r="F47" s="1" t="s">
        <v>343</v>
      </c>
      <c r="G47" t="s">
        <v>344</v>
      </c>
    </row>
    <row r="48" spans="1:8" x14ac:dyDescent="0.25">
      <c r="A48" s="1"/>
      <c r="D48" t="s">
        <v>325</v>
      </c>
      <c r="F48" s="1" t="s">
        <v>330</v>
      </c>
      <c r="G48" t="s">
        <v>337</v>
      </c>
    </row>
    <row r="49" spans="1:7" x14ac:dyDescent="0.25">
      <c r="A49" s="1"/>
      <c r="D49" t="s">
        <v>323</v>
      </c>
      <c r="F49" s="1" t="s">
        <v>331</v>
      </c>
      <c r="G49" t="s">
        <v>338</v>
      </c>
    </row>
    <row r="50" spans="1:7" x14ac:dyDescent="0.25">
      <c r="A50" s="1"/>
      <c r="D50" t="s">
        <v>339</v>
      </c>
      <c r="F50" s="1" t="s">
        <v>340</v>
      </c>
      <c r="G50" t="s">
        <v>341</v>
      </c>
    </row>
    <row r="51" spans="1:7" x14ac:dyDescent="0.25">
      <c r="A51" s="1"/>
    </row>
    <row r="52" spans="1:7" x14ac:dyDescent="0.25">
      <c r="A52" s="1"/>
      <c r="B52" t="s">
        <v>83</v>
      </c>
    </row>
    <row r="53" spans="1:7" x14ac:dyDescent="0.25">
      <c r="A53" s="1"/>
      <c r="B53" t="s">
        <v>80</v>
      </c>
    </row>
    <row r="54" spans="1:7" x14ac:dyDescent="0.25">
      <c r="A54" s="1"/>
      <c r="C54" s="17" t="s">
        <v>77</v>
      </c>
    </row>
    <row r="55" spans="1:7" x14ac:dyDescent="0.25">
      <c r="A55" s="1"/>
      <c r="C55" s="16" t="s">
        <v>78</v>
      </c>
    </row>
    <row r="56" spans="1:7" x14ac:dyDescent="0.25">
      <c r="A56" s="1"/>
      <c r="C56" s="16" t="s">
        <v>79</v>
      </c>
    </row>
    <row r="57" spans="1:7" x14ac:dyDescent="0.25">
      <c r="A57" s="1"/>
      <c r="B57" t="s">
        <v>103</v>
      </c>
      <c r="C57" s="16"/>
    </row>
    <row r="58" spans="1:7" x14ac:dyDescent="0.25">
      <c r="A58" s="1"/>
      <c r="C58" s="16" t="s">
        <v>104</v>
      </c>
    </row>
    <row r="59" spans="1:7" x14ac:dyDescent="0.25">
      <c r="A59" s="1"/>
      <c r="C59" s="16" t="s">
        <v>105</v>
      </c>
    </row>
    <row r="60" spans="1:7" x14ac:dyDescent="0.25">
      <c r="A60" s="1"/>
      <c r="C60" s="16" t="s">
        <v>106</v>
      </c>
    </row>
    <row r="61" spans="1:7" x14ac:dyDescent="0.25">
      <c r="A61" s="1"/>
      <c r="C61" s="16" t="s">
        <v>108</v>
      </c>
    </row>
    <row r="62" spans="1:7" x14ac:dyDescent="0.25">
      <c r="A62" s="1"/>
      <c r="C62" s="16" t="s">
        <v>110</v>
      </c>
    </row>
    <row r="63" spans="1:7" x14ac:dyDescent="0.25">
      <c r="A63" s="1"/>
      <c r="C63" s="16" t="s">
        <v>109</v>
      </c>
    </row>
    <row r="64" spans="1:7" x14ac:dyDescent="0.25">
      <c r="A64" s="1"/>
      <c r="C64" s="16" t="s">
        <v>107</v>
      </c>
    </row>
    <row r="65" spans="2:14" ht="21" customHeight="1" x14ac:dyDescent="0.25">
      <c r="B65" s="19" t="s">
        <v>75</v>
      </c>
    </row>
    <row r="66" spans="2:14" ht="21" customHeight="1" x14ac:dyDescent="0.25">
      <c r="B66" s="59" t="s">
        <v>227</v>
      </c>
    </row>
    <row r="67" spans="2:14" ht="15.75" thickBot="1" x14ac:dyDescent="0.3">
      <c r="C67" s="1" t="s">
        <v>69</v>
      </c>
      <c r="D67" s="1" t="s">
        <v>203</v>
      </c>
      <c r="E67" s="1" t="s">
        <v>204</v>
      </c>
      <c r="F67" s="1" t="s">
        <v>195</v>
      </c>
      <c r="G67" s="1" t="s">
        <v>196</v>
      </c>
      <c r="H67" s="1" t="s">
        <v>197</v>
      </c>
      <c r="I67" s="1" t="s">
        <v>198</v>
      </c>
      <c r="J67" s="1" t="s">
        <v>202</v>
      </c>
      <c r="K67" s="1" t="s">
        <v>205</v>
      </c>
      <c r="L67" s="1" t="s">
        <v>206</v>
      </c>
      <c r="M67" s="1" t="s">
        <v>207</v>
      </c>
      <c r="N67" s="1" t="s">
        <v>223</v>
      </c>
    </row>
    <row r="68" spans="2:14" s="15" customFormat="1" ht="21.75" customHeight="1" thickBot="1" x14ac:dyDescent="0.3">
      <c r="B68" s="49" t="s">
        <v>222</v>
      </c>
      <c r="C68" s="48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[Table("InvGpsStock")]
	public class InvGpsStock: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decimal? Qty { get; set; }
		public virtual DateTime? WorkingDate { get; set; }
		public virtual long? TransactionId { get; set; }
	}
}
</v>
      </c>
      <c r="D68" s="48" t="str">
        <f>A.Backend!O7</f>
        <v xml:space="preserve">		public const string Pages_Inventory_GPS_GpsStock = "Pages.Inventory.GPS.GpsStock";
		public const string Pages_Inventory_GPS_GpsStock_CreateEdit = "Pages.Inventory.GPS.GpsStock.CreateEdit";
		public const string Pages_Inventory_GPS_GpsStock_Delete = "Pages.Inventory.GPS.GpsStock.Delete";
</v>
      </c>
      <c r="E68" s="48" t="str">
        <f>A.Backend!N7</f>
        <v xml:space="preserve">		var perInvGpsStock = PARENTS.CreateChildPermission(AppPermissions.Pages_Inventory_GPS_GpsStock, L( "InventoryGPSGpsStock"), multiTenancySides: MultiTenancySides.Tenant);
		perInvGpsStock.CreateChildPermission(AppPermissions.Pages_Inventory_GPS_GpsStock_CreateEdit, L( "InventoryGPSGpsStockCreateEdit"), multiTenancySides: MultiTenancySides.Tenant);
		perInvGpsStock.CreateChildPermission(AppPermissions.Pages_Inventory_GPS_GpsStock_Delete, L( "InventoryGPSGpsStockDelete"), multiTenancySides: MultiTenancySides.Tenant);</v>
      </c>
      <c r="F68" s="48" t="str">
        <f>A.Backend!K7</f>
        <v>public virtual DbSet&lt;InvGpsStock&gt; InvGpsStocks { get; set; }</v>
      </c>
      <c r="G68" s="48" t="str">
        <f ca="1">A.Backend!L7</f>
        <v xml:space="preserve">namespace prod.Inventory.GPS
{
	public class InvGpsStockConsts	
	{
		public const int MaxPartNoLength = 20;
		public const int MaxPartNameLength = 200;
		// Define Store Name: Format SP_ + &lt;Store Name&gt; = &lt;Store Name&gt;
	}
}
</v>
      </c>
      <c r="H68" s="48" t="str">
        <f ca="1">A.Backend!M7</f>
        <v xml:space="preserve">using Abp.Application.Services.Dto;
using System;
using System.ComponentModel.DataAnnotations;
namespace prod.Inventory.GPS.Dto
{
	public class InvGpsStockDto : EntityDto&lt;long?&gt;	
	{
		public virtual string PartNo { get; set; }
		public virtual string PartName { get; set; }
		public virtual long? PartId { get; set; }
		public virtual decimal? Qty { get; set; }
		public virtual DateTime? WorkingDate { get; set; }
		public virtual long? TransactionId { get; set; }
	}
	public class CreateOrEditInvGpsStockDto : EntityDto&lt;long?&gt;	
	{
		[StringLength(InvGpsStockConsts.MaxPartNoLength)]
		public virtual string PartNo { get; set; }
		[StringLength(InvGpsStockConsts.MaxPartNameLength)]
		public virtual string PartName { get; set; }
		public virtual long? PartId { get; set; }
		public virtual decimal? Qty { get; set; }
		public virtual DateTime? WorkingDate { get; set; }
		public virtual long? TransactionId { get; set; }
	}
	public class GetInvGpsStockInput : PagedAndSortedResultRequestDto	
	{
		public virtual string PartNo { get; set; }
		public virtual string PartName { get; set; }
	}
}
</v>
      </c>
      <c r="I68" s="48" t="str">
        <f ca="1">A.Backend!R7</f>
        <v xml:space="preserve">using Abp.Application.Services.Dto;
using System;
using System.ComponentModel.DataAnnotations;
namespace prod.Inventory.GPS.Dto
{
	public class InvGpsStockExportInput{
		public virtual string PartNo { get; set; }
		public virtual string PartName { get; set; }
		public virtual long? PartId { get; set; }
		public virtual decimal? Qty { get; set; }
		public virtual DateTime? WorkingDate { get; set; }
		public virtual long? TransactionId { get; set; }
	}
}
</v>
      </c>
      <c r="J68" s="48" t="str">
        <f>A.Backend!P7</f>
        <v xml:space="preserve">using Abp.Application.Services;
using Abp.Application.Services.Dto;
using System.Collections.Generic;using vovina.Dto;
using System.Threading.Tasks;
using vovina.Inventory.GPS.Dto;
namespace prod.Inventory.GPS
{
	public interface IInvGpsStockAppService : IApplicationService
	{
		Task&lt;PagedResultDto&lt;InvGpsStockDto&gt;&gt; GetAll(GetInvGpsStockInput input);
		Task CreateOrEdit(CreateOrEditInvGpsStockDto input);
		Task Delete(EntityDto input);
	}
}
</v>
      </c>
      <c r="K68" s="48" t="str">
        <f>A.Backend!S7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IInvGpsStockExcelExporter : IApplicationService
	{
		FileDto ExportToFile(List&lt;InvGpsStockDto&gt; invgpsstock);
	}
}
</v>
      </c>
      <c r="L68" s="48" t="str">
        <f ca="1">A.Backend!T7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InvGpsStockExcelExporter : NpoiExcelExporterBase, IInvGpsStockExcelExporter
    {
        public InvGpsStockExcelExporter(ITempFileCacheManager tempFileCacheManager) : base(tempFileCacheManager) { }
        public FileDto ExportToFile(List&lt;InvGpsStockDto&gt; gpsstock)
        {
            return CreateExcelPackage(
				"InventoryGPSGpsStock.xlsx",
				excelPackage =&gt;
				 {
					var sheet = excelPackage.CreateSheet("GpsStock");
					AddHeader(
								sheet,
								("PartNo"),
								("PartName"),
								("PartId"),
								("Qty"),
								("WorkingDate"),
								("TransactionId"),
							   );
					AddObjects(
						 sheet, 1, gpsstock,                                       
								_ =&gt; _.PartNo,
								_ =&gt; _.PartName,
								_ =&gt; _.PartId,
								_ =&gt; _.Qty,
								_ =&gt; _.WorkingDate,
								_ =&gt; _.TransactionId,
								);
			for (var i = 0; i &lt; 8; i++)
				{
					sheet.AutoSizeColumn(i);
				}
			});
        }
    }
}</v>
      </c>
      <c r="M68" s="55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[AbpAuthorize(AppPermissions.Pages_Inventory_GPS_GpsStock)]
    public class InvGpsStockAppService : vovinaAppServiceBase, IInvGpsStockAppService
    {
        private readonly IDapperRepository&lt;InvGpsStock, long&gt; _dapperRepo;
        private readonly IRepository&lt;InvGpsStock, long&gt; _repo;
        private readonly IInvGpsStockExcelExporter _calendarListExcelExporter;
        public InvGpsStockAppService(IRepository&lt;InvGpsStock,long&gt; repo, 
                                         IDapperRepository&lt;InvGpsStock,long&gt; dapperRepo,
                                        IInvGpsStockExcelExporter calendarListExcelExporter
            )
        {
            _repo = repo;
            _dapperRepo = dapperRepo;
            _calendarListExcelExporter = calendarListExcelExporter;
        }
        [AbpAuthorize(AppPermissions.Pages_Inventory_GPS_GpsStock_CreateEdit)]
        public async Task CreateOrEdit(CreateOrEditInvGpsStockDto input)
        {
            if (input.Id == null) await Create(input);
            else await Update(input);
        }
        //CREATE
        private async Task Create(CreateOrEditInvGpsStockDto input)
        {          
            var mainObj = ObjectMapper.Map&lt;InvGpsStock&gt;(input);
            await CurrentUnitOfWork.GetDbContext&lt;vovinaDbContext&gt;().AddAsync(mainObj);
        }
        // EDIT
        private async Task Update(CreateOrEditInvGpsStockDto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Task&lt;PagedResultDto&lt;InvGpsStockDto&gt;&gt; GetAll(GetInvGpsStockInput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InvGpsStockDto
                        {
							Id = o.Id,
							PartNo = o.PartNo,
							PartName = o.PartName,
							PartId = o.PartId,
							Qty = o.Qty,
							WorkingDate = o.WorkingDate,
							TransactionId = o.TransactionId,
                        };
            var totalCount = await filtered.CountAsync();
			var paged = system.PageBy(input);
            return new PagedResultDto&lt;InvGpsStockDto&gt;(
                totalCount,
                 await paged.ToListAsync()
            );
        }
        public async Task&lt;FileDto&gt; GetGpsStockToExcel(InvGpsStockExportInput input)
        {
            var query = from o in _repo.GetAll()
                        select new InvGpsStockDto
                        {
							Id = o.Id,
							PartNo = o.PartNo,
							PartName = o.PartName,
							PartId = o.PartId,
							Qty = o.Qty,
							WorkingDate = o.WorkingDate,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_dapperRepo.ExecuteAsync(InvGpsStockConsts.SP_MST_WPT_CALENDAR_GENERATE);
       // }
    }
}</v>
      </c>
      <c r="N68" s="58" t="str">
        <f>A.Backend!U7</f>
        <v xml:space="preserve">  configuration.CreateMap&lt;InvGpsStockDto, InvGpsStock&gt;();
  configuration.CreateMap&lt;InvGpsStock, InvGpsStockDto&gt;();
  configuration.CreateMap&lt;CreateOrEditInvGpsStockDto, InvGpsStock&gt;();</v>
      </c>
    </row>
    <row r="69" spans="2:14" s="15" customFormat="1" ht="21.75" customHeight="1" x14ac:dyDescent="0.25">
      <c r="C69" s="60"/>
      <c r="H69" s="61"/>
      <c r="I69" s="61"/>
      <c r="M69" s="61"/>
    </row>
    <row r="70" spans="2:14" s="15" customFormat="1" ht="21.75" customHeight="1" x14ac:dyDescent="0.25"/>
    <row r="71" spans="2:14" s="15" customFormat="1" ht="21.75" customHeight="1" x14ac:dyDescent="0.25"/>
    <row r="72" spans="2:14" x14ac:dyDescent="0.25">
      <c r="B72" s="1" t="s">
        <v>70</v>
      </c>
    </row>
    <row r="73" spans="2:14" ht="21" x14ac:dyDescent="0.35">
      <c r="B73" t="str">
        <f>B.Frontend!B8</f>
        <v>gpsstock</v>
      </c>
      <c r="C73" s="66" t="str">
        <f>"create folder " &amp;B73</f>
        <v>create folder gpsstock</v>
      </c>
      <c r="D73" s="66"/>
      <c r="E73" s="66"/>
      <c r="F73" s="66"/>
      <c r="G73" s="66"/>
      <c r="H73" s="66"/>
      <c r="I73" s="66"/>
      <c r="J73" s="66"/>
      <c r="K73" s="67" t="s">
        <v>224</v>
      </c>
      <c r="L73" s="67"/>
      <c r="M73" s="28"/>
    </row>
    <row r="74" spans="2:14" s="26" customFormat="1" ht="18" customHeight="1" x14ac:dyDescent="0.25">
      <c r="B74" s="56" t="s">
        <v>225</v>
      </c>
      <c r="C74" s="28" t="str">
        <f>B.Frontend!H14</f>
        <v>gpsstock.component.ts</v>
      </c>
      <c r="D74" s="28" t="str">
        <f>B.Frontend!I14</f>
        <v>gpsstock.component.html</v>
      </c>
      <c r="E74" s="28" t="str">
        <f>B.Frontend!J14</f>
        <v>gpsstock.component.less</v>
      </c>
      <c r="F74" s="28" t="str">
        <f>B.Frontend!K14</f>
        <v>create-or-edit-gpsstock-modal.component.html</v>
      </c>
      <c r="G74" s="28" t="str">
        <f>B.Frontend!L14</f>
        <v>create-or-edit-gpsstock-modal.component.ts</v>
      </c>
      <c r="H74" s="28" t="str">
        <f>B.Frontend!M14</f>
        <v>create-or-edit-gpsstock-modal.component.less</v>
      </c>
      <c r="I74" s="28" t="str">
        <f>B.Frontend!N14</f>
        <v>gpsstock.module.ts</v>
      </c>
      <c r="J74" s="28" t="str">
        <f>B.Frontend!O14</f>
        <v>gpsstock-routing.module.ts</v>
      </c>
      <c r="K74" s="28" t="str">
        <f>B.Frontend!P14</f>
        <v>app.navigation.service.ts</v>
      </c>
      <c r="L74" s="28" t="str">
        <f>B.Frontend!Q14</f>
        <v>main.routing.module.ts</v>
      </c>
      <c r="M74" s="56" t="s">
        <v>228</v>
      </c>
    </row>
    <row r="75" spans="2:14" ht="21.75" customHeight="1" x14ac:dyDescent="0.25">
      <c r="B75" s="57" t="s">
        <v>222</v>
      </c>
      <c r="C75" s="46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InvGpsStockDto, InvGpsStockServiceProxy } from '@shared/service-proxies/service-proxies';
import { finalize } from 'rxjs/internal/operators/finalize';
import { CreateOrEditGpsStockModalComponent } from './create-or-edit-gpsstock-modal.component';
import { DatePipe } from '@angular/common';
import { FileDownloadService } from '@shared/utils/file-download.service';
import ceil from 'lodash-es/ceil';
import { Paginator } from 'primeng/paginator';
@Component({
    templateUrl: './gpsstock.component.html',
    styleUrls: ['./gpsstock.component.less'],
})
export class GpsStockComponent extends AppComponentBase implements OnInit {
    @ViewChild('createOrEditModalGpsStock', { static: true }) createOrEditModalGpsStock:| CreateOrEditGpsStockModalComponent|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InvGpsStockDto = new InvGpsStockDto();
    saveSelectedRow: InvGpsStockDto = new InvGpsStockDto();
    datas: InvGpsStockDto = new InvGpsStockDto();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qty
	workingDate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this.l('Qty'),headerTooltip: this.l('Qty'),field: 'qty',flex: 1},
			{headerName: this.l('Working Date'),headerTooltip: this.l('Working Date'),field: 'workingDate',flex: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this.qty,
			this.workingDate,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this.qty = '',
		this.workingDate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this.qty,
			this.workingDate,
			this.transactionId,
			'',
            this.paginationParams.skipCount,
            this.paginationParams.pageSize
        );
    }
    onChangeRowSelection(params: { api: { getSelectedRows: () =&gt; InvGpsStockDto[] } }) {
        this.saveSelectedRow = params.api.getSelectedRows()[0] ?? new InvGpsStockDto();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this._service.getGpsStockToExcel(
			this.partNo,
			this.partName,
			this.partId,
			this.qty,
			this.workingDate,
			this.transactionId,
            )
            .subscribe((result) =&gt; {
                this._fileDownloadService.downloadTempFile(result);
        });
    }
}</v>
      </c>
      <c r="D75" s="46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&lt;create-or-edit-gpsstock-modal
    #createOrEditModalGpsStock
    (modalSave)="callBackDataGrid(dataParams)"
    (modalClose)="onChangeRowSelection(dataParams)"
&gt;
&lt;/create-or-edit-gpsstock-modal&gt;</v>
      </c>
      <c r="E75" s="46" t="str">
        <f>B.Frontend!J10</f>
        <v>.input-search{
    width: 250px;
    border-radius: 10px;
    margin-left: 10px;
}
.btn-search{
    width: 50px;
    margin-left: 10px;
}</v>
      </c>
      <c r="F75" s="46" t="str">
        <f ca="1">B.Frontend!K10</f>
        <v>&lt;div bsModal #createOrEditModalGpsStock="bs-modal"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GpsStock')}}&lt;/h3&gt;
                    &lt;h3 *ngIf="!rowdata.id"&gt;{{('Create New GpsStock')}}&lt;/h3&gt;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75" s="46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CreateOrEditInvGpsStockDto, InvGpsStockServiceProxy } from '@shared/service-proxies/service-proxies';
import { BsDatepickerDirective } from 'ngx-bootstrap/datepicker';
@Component({
    selector: 'create-or-edit-gpsstock-modal',
    templateUrl: './create-or-edit-gpsstock-modal.component.html',
    styleUrls: ['./create-or-edit-gpsstock-modal.component.less']
    })
export class CreateOrEditGpsStockModalComponent extends AppComponentBase {
    @ViewChild('createOrEditModalGpsStock',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CreateOrEditInvGpsStockDto = new CreateOrEditInvGpsStockDto();
    active: boolean = false;
    saving: boolean = false;
    _: boolean;
    constructor(
        injector: Injector,
        private _mstwptGpsStockService: InvGpsStockServiceProxy,
    ) 
    {
        super(injector);
    }
    show(rowdata?: CreateOrEditInvGpsStockDto): void {
        if (!rowdata) this.rowdata = new CreateOrEditInvGpsStockDto();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75" s="46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75" s="46" t="str">
        <f>B.Frontend!N10</f>
        <v>import {NgModule} from '@angular/core';
import {AppSharedModule} from '@app/shared/app-shared.module';
import { GpsStockRoutingModule } from './gpsstock-routing.module';
import { GpsStockComponent } from './gpsstock.component';
import { CreateOrEditGpsStockModalComponent } from './create-or-edit-gpsstock-modal.component';
@NgModule({
    declarations: [
       GpsStockComponent, 
        CreateOrEditGpsStockModalComponent
    ],
    imports: [
        AppSharedModule, GpsStockRoutingModule]
})
export class GpsStockModule {}</v>
      </c>
      <c r="J75" s="46" t="str">
        <f>B.Frontend!O10</f>
        <v>import {NgModule} from '@angular/core';
import {RouterModule, Routes} from '@angular/router';
import { GpsStockComponent } from './gpsstock.component';
const routes: Routes = [{
    path: '',
    component: GpsStockComponent,
    pathMatch: 'full'
}];
@NgModule({
    imports: [RouterModule.forChild(routes)],
    exports: [RouterModule],
})
export class GpsStockRoutingModule {}</v>
      </c>
      <c r="K75" s="46" t="str">
        <f>B.Frontend!P10</f>
        <v xml:space="preserve"> new AppMenuItem("GpsStock", "Pages.Inventory.GPS.GpsStock", "flaticon-book",   "/app/main/inventory/gps/gpsstock"),</v>
      </c>
      <c r="L75" s="47" t="str">
        <f>B.Frontend!Q10</f>
        <v>{
    path: 'inventory/gps/gpsstock',
    loadChildren: () =&gt; import('./inventory/gps/gpsstock/gpsstock.module').then(m =&gt; m.GpsStockModule),
    data: { permission: 'Pages.Inventory.GPS.GpsStock' }
},</v>
      </c>
      <c r="M75" s="45" t="str">
        <f>B.Frontend!R10</f>
        <v>ApiServiceProxies.InvGpsStockServiceProxy,</v>
      </c>
    </row>
    <row r="77" spans="2:14" x14ac:dyDescent="0.25">
      <c r="B77" s="1" t="s">
        <v>72</v>
      </c>
    </row>
  </sheetData>
  <mergeCells count="2">
    <mergeCell ref="C73:J73"/>
    <mergeCell ref="K73:L7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16"/>
  <sheetViews>
    <sheetView workbookViewId="0">
      <pane xSplit="1" topLeftCell="B1" activePane="topRight" state="frozen"/>
      <selection pane="topRight" activeCell="A12" sqref="A12:XFD12"/>
    </sheetView>
  </sheetViews>
  <sheetFormatPr defaultColWidth="9.28515625" defaultRowHeight="15" x14ac:dyDescent="0.25"/>
  <cols>
    <col min="1" max="1" width="20.7109375" style="7" customWidth="1"/>
    <col min="2" max="2" width="20.42578125" style="8" customWidth="1"/>
    <col min="3" max="3" width="19.42578125" style="7" customWidth="1"/>
    <col min="4" max="4" width="23.42578125" style="7" customWidth="1"/>
    <col min="5" max="5" width="14.42578125" style="7" customWidth="1"/>
    <col min="6" max="6" width="14.7109375" style="7" customWidth="1"/>
    <col min="7" max="7" width="17.28515625" style="7" bestFit="1" customWidth="1"/>
    <col min="8" max="8" width="15" style="7" customWidth="1"/>
    <col min="9" max="9" width="16" style="7" customWidth="1"/>
    <col min="10" max="10" width="15.7109375" style="7" customWidth="1"/>
    <col min="11" max="11" width="16" style="7" customWidth="1"/>
    <col min="12" max="12" width="16.7109375" style="7" customWidth="1"/>
    <col min="13" max="13" width="17.42578125" style="7" customWidth="1"/>
    <col min="14" max="14" width="16.28515625" style="7" customWidth="1"/>
    <col min="15" max="15" width="14.7109375" style="7" customWidth="1"/>
    <col min="16" max="16" width="16" style="7" customWidth="1"/>
    <col min="17" max="17" width="15.7109375" style="7" customWidth="1"/>
    <col min="18" max="18" width="19.42578125" style="7" customWidth="1"/>
    <col min="19" max="19" width="20.42578125" style="7" customWidth="1"/>
    <col min="20" max="20" width="17" style="7" customWidth="1"/>
    <col min="21" max="21" width="14" style="7" customWidth="1"/>
    <col min="22" max="22" width="15.28515625" style="7" customWidth="1"/>
    <col min="23" max="23" width="27.7109375" style="8" customWidth="1"/>
    <col min="24" max="16384" width="9.28515625" style="7"/>
  </cols>
  <sheetData>
    <row r="1" spans="1:23" s="10" customFormat="1" ht="14.25" customHeight="1" x14ac:dyDescent="0.25">
      <c r="A1" s="1" t="s">
        <v>11</v>
      </c>
      <c r="B1" s="9" t="s">
        <v>68</v>
      </c>
      <c r="C1" s="9" t="s">
        <v>51</v>
      </c>
      <c r="D1" s="9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vovina.Inventory.GPS.Dto;</v>
      </c>
      <c r="E1" s="9" t="s">
        <v>262</v>
      </c>
      <c r="F1" s="10" t="s">
        <v>235</v>
      </c>
      <c r="H1" s="10" t="s">
        <v>236</v>
      </c>
      <c r="J1" s="10" t="s">
        <v>237</v>
      </c>
      <c r="L1" s="10" t="s">
        <v>238</v>
      </c>
      <c r="M1" s="10" t="s">
        <v>239</v>
      </c>
      <c r="N1" s="10" t="s">
        <v>240</v>
      </c>
      <c r="O1" s="10" t="s">
        <v>241</v>
      </c>
      <c r="T1" s="9" t="s">
        <v>254</v>
      </c>
      <c r="U1" s="9" t="s">
        <v>226</v>
      </c>
      <c r="W1" s="9"/>
    </row>
    <row r="2" spans="1:23" s="10" customFormat="1" x14ac:dyDescent="0.25">
      <c r="A2" s="1" t="s">
        <v>12</v>
      </c>
      <c r="B2" s="27" t="s">
        <v>364</v>
      </c>
      <c r="C2" s="13" t="s">
        <v>38</v>
      </c>
      <c r="D2" s="13" t="s">
        <v>39</v>
      </c>
      <c r="E2" s="13" t="s">
        <v>40</v>
      </c>
      <c r="F2" s="13" t="s">
        <v>48</v>
      </c>
      <c r="G2" s="13" t="s">
        <v>46</v>
      </c>
      <c r="H2" s="13" t="s">
        <v>49</v>
      </c>
      <c r="I2" s="13" t="s">
        <v>43</v>
      </c>
      <c r="J2" s="13" t="s">
        <v>50</v>
      </c>
      <c r="K2" s="13" t="s">
        <v>52</v>
      </c>
      <c r="L2" s="13" t="s">
        <v>59</v>
      </c>
      <c r="M2" s="13" t="s">
        <v>58</v>
      </c>
      <c r="N2" s="13" t="s">
        <v>62</v>
      </c>
      <c r="O2" s="13" t="s">
        <v>82</v>
      </c>
      <c r="T2" s="10" t="s">
        <v>242</v>
      </c>
      <c r="V2" s="10" t="s">
        <v>243</v>
      </c>
      <c r="W2" s="9" t="s">
        <v>253</v>
      </c>
    </row>
    <row r="3" spans="1:23" s="10" customFormat="1" ht="33" customHeight="1" x14ac:dyDescent="0.25">
      <c r="A3" s="1" t="s">
        <v>5</v>
      </c>
      <c r="B3" s="27" t="s">
        <v>365</v>
      </c>
      <c r="C3" s="9" t="s">
        <v>41</v>
      </c>
      <c r="D3" s="9" t="s">
        <v>42</v>
      </c>
      <c r="E3" s="9" t="s">
        <v>37</v>
      </c>
      <c r="F3" s="10" t="str">
        <f>"J"&amp;COUNTA($A:$A)</f>
        <v>J14</v>
      </c>
      <c r="G3" s="4" t="s">
        <v>54</v>
      </c>
      <c r="H3" s="9" t="str">
        <f>"I"&amp;COUNTA($A:$A)</f>
        <v>I14</v>
      </c>
      <c r="I3" s="9" t="str">
        <f>REPT(CHAR(9),2)&amp;"[Required]"&amp;"
"</f>
        <v xml:space="preserve">		[Required]
</v>
      </c>
      <c r="J3" s="10" t="str">
        <f>"L"&amp;COUNTA($A:$A)</f>
        <v>L14</v>
      </c>
      <c r="K3" s="5" t="s">
        <v>53</v>
      </c>
      <c r="L3" s="10" t="str">
        <f>"M"&amp;COUNTA($A:$A)</f>
        <v>M14</v>
      </c>
      <c r="M3" s="10" t="str">
        <f>"N"&amp;COUNTA($A:$A)</f>
        <v>N14</v>
      </c>
      <c r="N3" s="10" t="str">
        <f>"O"&amp;COUNTA($A:$A)</f>
        <v>O14</v>
      </c>
      <c r="O3" s="10" t="str">
        <f>"P"&amp;COUNTA($A:$A)</f>
        <v>P14</v>
      </c>
      <c r="Q3" s="10" t="str">
        <f>RIGHT(B2,(LEN(B2)-FIND(".",B2,1)))</f>
        <v>GPS</v>
      </c>
      <c r="R3" s="29" t="str">
        <f>REPT(CHAR(9),1)&amp;"public class "&amp;B3&amp;"ExportInput"&amp;C3</f>
        <v xml:space="preserve">	public class InvGpsStockExportInput{
</v>
      </c>
      <c r="S3" s="10" t="str">
        <f>"namespace "&amp;$B$6&amp;".Exporting
"&amp;$C$3</f>
        <v xml:space="preserve">namespace prod.Inventory.GPS.Exporting
{
</v>
      </c>
      <c r="T3" s="10" t="str">
        <f>"T"&amp;COUNTA($A:$A)</f>
        <v>T14</v>
      </c>
      <c r="V3" s="10" t="str">
        <f>"V"&amp;COUNTA($A:$A)</f>
        <v>V14</v>
      </c>
      <c r="W3" s="9" t="str">
        <f>"W"&amp;COUNTA($A:$A)</f>
        <v>W14</v>
      </c>
    </row>
    <row r="4" spans="1:23" s="10" customFormat="1" ht="33" customHeight="1" x14ac:dyDescent="0.25">
      <c r="A4" s="1" t="s">
        <v>233</v>
      </c>
      <c r="B4" s="65" t="s">
        <v>319</v>
      </c>
      <c r="C4" s="9"/>
      <c r="D4" s="9"/>
      <c r="E4" s="9"/>
      <c r="G4" s="4"/>
      <c r="H4" s="9"/>
      <c r="I4" s="9"/>
      <c r="K4" s="5"/>
      <c r="R4" s="29"/>
      <c r="W4" s="9"/>
    </row>
    <row r="5" spans="1:23" s="10" customFormat="1" ht="33" customHeight="1" x14ac:dyDescent="0.25">
      <c r="A5" s="1" t="s">
        <v>234</v>
      </c>
      <c r="B5" s="65" t="s">
        <v>366</v>
      </c>
      <c r="C5" s="9"/>
      <c r="D5" s="9"/>
      <c r="E5" s="9"/>
      <c r="G5" s="4"/>
      <c r="H5" s="9"/>
      <c r="I5" s="9"/>
      <c r="K5" s="5"/>
      <c r="R5" s="29"/>
      <c r="W5" s="9"/>
    </row>
    <row r="6" spans="1:23" customFormat="1" ht="25.15" customHeight="1" x14ac:dyDescent="0.25">
      <c r="A6" s="1" t="s">
        <v>6</v>
      </c>
      <c r="B6" s="9" t="str">
        <f>"prod."&amp;B2</f>
        <v>prod.Inventory.GPS</v>
      </c>
      <c r="C6" s="10" t="str">
        <f>"namespace "&amp;$B$6&amp;"
"&amp;$C$3</f>
        <v xml:space="preserve">namespace prod.Inventory.GPS
{
</v>
      </c>
      <c r="D6" s="10" t="str">
        <f>REPT(CHAR(9),1)&amp;"public class "&amp;B3&amp;G3&amp;REPT(CHAR(9),1)&amp;"
"&amp;REPT(CHAR(9),1)&amp;C3</f>
        <v xml:space="preserve">	public class InvGpsStock: FullAuditedEntity&lt;long&gt;, IEntity&lt;long&gt;	
	{
</v>
      </c>
      <c r="E6" s="10" t="str">
        <f>REPT(CHAR(9),1)&amp;"public class "&amp;B3&amp;"Consts"&amp;REPT(CHAR(9),1)&amp;"
"&amp;REPT(CHAR(9),1)&amp;C3</f>
        <v xml:space="preserve">	public class InvGpsStockConsts	
	{
</v>
      </c>
      <c r="F6" s="10" t="str">
        <f>REPT(CHAR(9),1)&amp;"public class "&amp;B3&amp;"Dto"&amp;K3&amp;REPT(CHAR(9),1)&amp;"
"&amp;REPT(CHAR(9),1)&amp;C3</f>
        <v xml:space="preserve">	public class InvGpsStockDto : EntityDto&lt;long?&gt;	
	{
</v>
      </c>
      <c r="G6" s="10" t="str">
        <f>REPT(CHAR(9),1)&amp;"public class CreateOrEdit"&amp;B3&amp;"Dto"&amp;K3&amp;REPT(CHAR(9),1)&amp;"
"&amp;REPT(CHAR(9),1)&amp;C3</f>
        <v xml:space="preserve">	public class CreateOrEditInvGpsStockDto : EntityDto&lt;long?&gt;	
	{
</v>
      </c>
      <c r="H6" s="10" t="str">
        <f>REPT(CHAR(9),1)&amp;"public class Get"&amp;B3&amp;"Input : PagedAndSortedResultRequestDto"&amp;REPT(CHAR(9),1)&amp;"
"&amp;REPT(CHAR(9),1)&amp;C3</f>
        <v xml:space="preserve">	public class GetInvGpsStockInput : PagedAndSortedResultRequestDto	
	{
</v>
      </c>
      <c r="I6" s="10"/>
      <c r="J6" s="1" t="s">
        <v>69</v>
      </c>
      <c r="K6" s="1" t="s">
        <v>63</v>
      </c>
      <c r="L6" s="1" t="s">
        <v>64</v>
      </c>
      <c r="M6" s="1" t="s">
        <v>65</v>
      </c>
      <c r="N6" s="1" t="s">
        <v>232</v>
      </c>
      <c r="O6" s="1" t="s">
        <v>231</v>
      </c>
      <c r="P6" s="1" t="s">
        <v>66</v>
      </c>
      <c r="Q6" s="1" t="s">
        <v>67</v>
      </c>
      <c r="R6" s="1" t="s">
        <v>199</v>
      </c>
      <c r="S6" s="1" t="s">
        <v>201</v>
      </c>
      <c r="T6" s="1" t="s">
        <v>200</v>
      </c>
      <c r="U6" s="1" t="s">
        <v>223</v>
      </c>
      <c r="W6" s="26"/>
    </row>
    <row r="7" spans="1:23" customFormat="1" ht="25.15" customHeight="1" x14ac:dyDescent="0.25">
      <c r="A7" s="1" t="s">
        <v>13</v>
      </c>
      <c r="B7" s="9" t="str">
        <f>B3</f>
        <v>InvGpsStock</v>
      </c>
      <c r="C7" s="10" t="str">
        <f>REPT(CHAR(9),1)&amp;"[Table("""&amp;B7&amp;""")]"&amp;"
"</f>
        <v xml:space="preserve">	[Table("InvGpsStock")]
</v>
      </c>
      <c r="D7" s="10"/>
      <c r="E7" s="10"/>
      <c r="F7" s="10"/>
      <c r="G7" s="10"/>
      <c r="H7" s="10"/>
      <c r="I7" s="10"/>
      <c r="J7" t="str">
        <f ca="1">SUBSTITUTE(SUBSTITUTE((B1&amp;C6&amp;C7&amp;K16&amp;D6&amp;I16&amp;E3&amp;J16&amp;""&amp;REPT(CHAR(9),1)&amp;D3&amp;D3),"WorkingPattern",$Q$3),"Master",$B$4)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prod.Inventory.GPS
{
	[Table("InvGpsStock")]
	public class InvGpsStock: FullAuditedEntity&lt;long&gt;, IEntity&lt;long&gt;	
	{
		public const int MaxPartNoLength = 20;
		public const int MaxPartNameLength = 200;
		[StringLength(MaxPartNoLength)]
		public virtual string PartNo { get; set; }
		[StringLength(MaxPartNameLength)]
		public virtual string PartName { get; set; }
		public virtual long? PartId { get; set; }
		public virtual decimal? Qty { get; set; }
		public virtual DateTime? WorkingDate { get; set; }
		public virtual long? TransactionId { get; set; }
	}
}
</v>
      </c>
      <c r="K7" t="str">
        <f>SUBSTITUTE(SUBSTITUTE(("public virtual DbSet&lt;"&amp;B3&amp;"&gt; "&amp;B3&amp;"s { get; set; }"),"WorkingPattern",$Q$3),"Master",$B$4)</f>
        <v>public virtual DbSet&lt;InvGpsStock&gt; InvGpsStocks { get; set; }</v>
      </c>
      <c r="L7" t="str">
        <f ca="1">SUBSTITUTE(SUBSTITUTE((C6&amp;E6&amp;I16&amp;"
"&amp;REPT(CHAR(9),2)&amp;"// Define Store Name: Format SP_ + &lt;Store Name&gt; = &lt;Store Name&gt;
"&amp;E3&amp;REPT(CHAR(9),1)&amp;D3&amp;D3),"WorkingPattern",$Q$3),"Master",$B$4)</f>
        <v xml:space="preserve">namespace prod.Inventory.GPS
{
	public class InvGpsStockConsts	
	{
		public const int MaxPartNoLength = 20;
		public const int MaxPartNameLength = 200;
		// Define Store Name: Format SP_ + &lt;Store Name&gt; = &lt;Store Name&gt;
	}
}
</v>
      </c>
      <c r="M7" t="str">
        <f ca="1">SUBSTITUTE(SUBSTITUTE((C1&amp;"namespace "&amp;B6&amp;".Dto"&amp;E3&amp;C3&amp;F6&amp;M16&amp;E3&amp;REPT(CHAR(9),1)&amp;D3&amp;G6&amp;N16&amp;REPT(CHAR(9),1)&amp;D3&amp;H6&amp;O16&amp;"
"&amp;REPT(CHAR(9),1)&amp;D3&amp;D3),"WorkingPattern",$Q$3),"Master",$B$4)</f>
        <v xml:space="preserve">using Abp.Application.Services.Dto;
using System;
using System.ComponentModel.DataAnnotations;
namespace prod.Inventory.GPS.Dto
{
	public class InvGpsStockDto : EntityDto&lt;long?&gt;	
	{
		public virtual string PartNo { get; set; }
		public virtual string PartName { get; set; }
		public virtual long? PartId { get; set; }
		public virtual decimal? Qty { get; set; }
		public virtual DateTime? WorkingDate { get; set; }
		public virtual long? TransactionId { get; set; }
	}
	public class CreateOrEditInvGpsStockDto : EntityDto&lt;long?&gt;	
	{
		[StringLength(InvGpsStockConsts.MaxPartNoLength)]
		public virtual string PartNo { get; set; }
		[StringLength(InvGpsStockConsts.MaxPartNameLength)]
		public virtual string PartName { get; set; }
		public virtual long? PartId { get; set; }
		public virtual decimal? Qty { get; set; }
		public virtual DateTime? WorkingDate { get; set; }
		public virtual long? TransactionId { get; set; }
	}
	public class GetInvGpsStockInput : PagedAndSortedResultRequestDto	
	{
		public virtual string PartNo { get; set; }
		public virtual string PartName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perInvGpsStock = PARENTS.CreateChildPermission(AppPermissions.Pages_Inventory_GPS_GpsStock, L( "InventoryGPSGpsStock"), multiTenancySides: MultiTenancySides.Tenant);
		perInvGpsStock.CreateChildPermission(AppPermissions.Pages_Inventory_GPS_GpsStock_CreateEdit, L( "InventoryGPSGpsStockCreateEdit"), multiTenancySides: MultiTenancySides.Tenant);
		perInvGpsStock.CreateChildPermission(AppPermissions.Pages_Inventory_GPS_GpsStock_Delete, L( "InventoryGPSGpsStockDelete"), multiTenancySides: MultiTenancySides.Tenant);</v>
      </c>
      <c r="O7" s="26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Pages_Inventory_GPS_GpsStock = "Pages.Inventory.GPS.GpsStock";
		public const string Pages_Inventory_GPS_GpsStock_CreateEdit = "Pages.Inventory.GPS.GpsStock.CreateEdit";
		public const string Pages_Inventory_GPS_GpsStock_Delete = "Pages.Inventory.GPS.GpsStock.Delete";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
{
	public interface IInvGpsStockAppService : IApplicationService
	{
		Task&lt;PagedResultDto&lt;InvGpsStockDto&gt;&gt; GetAll(GetInvGpsStockInput input);
		Task CreateOrEdit(CreateOrEditInvGpsStockDto input);
		Task Delete(EntityDto input);
	}
}
</v>
      </c>
      <c r="Q7" t="str">
        <f ca="1">SUBSTITUTE(SUBSTITUTE(SUBSTITUTE(SUBSTITUTE(SUBSTITUTE(SUBSTITUTE(E1,"MstWptCalendar",$B$3),"&lt;PROPERTIES&gt;",P16),"Calendar",$B$5),"WorkingPattern",$Q$3),"Master",$B$4),"&lt;PARAMS_SEARCH&gt;",$W$16)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vovina.Inventory.GPS.Dto;
using vovina.Inventory.GPS.Exporting;
namespace vovina.Inventory.GPS
{
    [AbpAuthorize(AppPermissions.Pages_Inventory_GPS_GpsStock)]
    public class InvGpsStockAppService : vovinaAppServiceBase, IInvGpsStockAppService
    {
        private readonly IDapperRepository&lt;InvGpsStock, long&gt; _dapperRepo;
        private readonly IRepository&lt;InvGpsStock, long&gt; _repo;
        private readonly IInvGpsStockExcelExporter _calendarListExcelExporter;
        public InvGpsStockAppService(IRepository&lt;InvGpsStock,long&gt; repo, 
                                         IDapperRepository&lt;InvGpsStock,long&gt; dapperRepo,
                                        IInvGpsStockExcelExporter calendarListExcelExporter
            )
        {
            _repo = repo;
            _dapperRepo = dapperRepo;
            _calendarListExcelExporter = calendarListExcelExporter;
        }
        [AbpAuthorize(AppPermissions.Pages_Inventory_GPS_GpsStock_CreateEdit)]
        public async Task CreateOrEdit(CreateOrEditInvGpsStockDto input)
        {
            if (input.Id == null) await Create(input);
            else await Update(input);
        }
        //CREATE
        private async Task Create(CreateOrEditInvGpsStockDto input)
        {          
            var mainObj = ObjectMapper.Map&lt;InvGpsStock&gt;(input);
            await CurrentUnitOfWork.GetDbContext&lt;vovinaDbContext&gt;().AddAsync(mainObj);
        }
        // EDIT
        private async Task Update(CreateOrEditInvGpsStockDto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[AbpAuthorize(AppPermissions.Pages_Inventory_GPS_GpsStock_Delete)]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Task&lt;PagedResultDto&lt;InvGpsStockDto&gt;&gt; GetAll(GetInvGpsStockInput input)
        {
            var filtered = _repo.GetAll()
				.WhereIf(!string.IsNullOrWhiteSpace(input.PartNo), e =&gt; e.PartNo.Contains(input.PartNo))
				.WhereIf(!string.IsNullOrWhiteSpace(input.PartName), e =&gt; e.PartName.Contains(input.PartName))
				;
            var pageAndFiltered = filtered.OrderBy(s =&gt; s.Id);
            var system = from o in pageAndFiltered
                         select new InvGpsStockDto
                        {
							Id = o.Id,
							PartNo = o.PartNo,
							PartName = o.PartName,
							PartId = o.PartId,
							Qty = o.Qty,
							WorkingDate = o.WorkingDate,
							TransactionId = o.TransactionId,
                        };
            var totalCount = await filtered.CountAsync();
			var paged = system.PageBy(input);
            return new PagedResultDto&lt;InvGpsStockDto&gt;(
                totalCount,
                 await paged.ToListAsync()
            );
        }
        public async Task&lt;FileDto&gt; GetGpsStockToExcel(InvGpsStockExportInput input)
        {
            var query = from o in _repo.GetAll()
                        select new InvGpsStockDto
                        {
							Id = o.Id,
							PartNo = o.PartNo,
							PartName = o.PartName,
							PartId = o.PartId,
							Qty = o.Qty,
							WorkingDate = o.WorkingDate,
							TransactionId = o.TransactionId,
                        };
            var exportToExcel = await query.ToListAsync();
            return _calendarListExcelExporter.ExportToFile(exportToExcel);
        }
       // public async Task GenerateAsync()
      //  {
        //    await _dapperRepo.ExecuteAsync(InvGpsStockConsts.SP_MST_WPT_CALENDAR_GENERATE);
       // }
    }
}</v>
      </c>
      <c r="R7" t="str">
        <f ca="1">SUBSTITUTE(SUBSTITUTE((C1&amp;"namespace "&amp;B6&amp;".Dto"&amp;E3&amp;C3&amp;R3&amp;M16&amp;E3&amp;REPT(CHAR(9),1)&amp;D3&amp;D3),"WorkingPattern",$Q$3),"Master",$B$4)</f>
        <v xml:space="preserve">using Abp.Application.Services.Dto;
using System;
using System.ComponentModel.DataAnnotations;
namespace prod.Inventory.GPS.Dto
{
	public class InvGpsStockExportInput{
		public virtual string PartNo { get; set; }
		public virtual string PartName { get; set; }
		public virtual long? PartId { get; set; }
		public virtual decimal? Qty { get; set; }
		public virtual DateTime? WorkingDate { get; set; }
		public virtual long? TransactionId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vovina.Inventory.GPS.Dto;
namespace prod.Inventory.GPS.Exporting
{
	public interface IInvGpsStockExcelExporter : IApplicationService
	{
		FileDto ExportToFile(List&lt;InvGpsStockDto&gt; invgpsstock);
	}
}
</v>
      </c>
      <c r="T7" s="26" t="str">
        <f ca="1">SUBSTITUTE(SUBSTITUTE(SUBSTITUTE(SUBSTITUTE(SUBSTITUTE(SUBSTITUTE(SUBSTITUTE(T1,"MstWptCalendar",$B$3),"&lt;PROPERTIES1&gt;",V16),"&lt;PROPERTIES&gt;",T16),"Calendar",$B$5),"calendar",LOWER(B5)),"WorkingPattern",$Q$3),"Master",$B$4)</f>
        <v>using System.Collections.Generic;
using vovina.DataExporting.Excel.NPOI;
using vovina.Dto;
using vovina.Inventory.GPS.Exporting;
using vovina.Inventory.GPS.Dto;
using vovina.Storage;
using vovina.Inventory.GPS.Dto;
namespace vovina.Inventory.GPS.Exporting
{
    public class InvGpsStockExcelExporter : NpoiExcelExporterBase, IInvGpsStockExcelExporter
    {
        public InvGpsStockExcelExporter(ITempFileCacheManager tempFileCacheManager) : base(tempFileCacheManager) { }
        public FileDto ExportToFile(List&lt;InvGpsStockDto&gt; gpsstock)
        {
            return CreateExcelPackage(
				"InventoryGPSGpsStock.xlsx",
				excelPackage =&gt;
				 {
					var sheet = excelPackage.CreateSheet("GpsStock");
					AddHeader(
								sheet,
								("PartNo"),
								("PartName"),
								("PartId"),
								("Qty"),
								("WorkingDate"),
								("TransactionId"),
							   );
					AddObjects(
						 sheet, 1, gpsstock,                                       
								_ =&gt; _.PartNo,
								_ =&gt; _.PartName,
								_ =&gt; _.PartId,
								_ =&gt; _.Qty,
								_ =&gt; _.WorkingDate,
								_ =&gt; _.TransactionId,
								);
			for (var i = 0; i &lt; 8; i++)
				{
					sheet.AutoSizeColumn(i);
				}
			});
        }
    }
}</v>
      </c>
      <c r="U7" s="26" t="str">
        <f>SUBSTITUTE(SUBSTITUTE(U1,"MstWptCalendar",$B$3),"Master",$B$4)</f>
        <v xml:space="preserve">  configuration.CreateMap&lt;InvGpsStockDto, InvGpsStock&gt;();
  configuration.CreateMap&lt;InvGpsStock, InvGpsStockDto&gt;();
  configuration.CreateMap&lt;CreateOrEditInvGpsStockDto, InvGpsStock&gt;();</v>
      </c>
      <c r="V7" s="26"/>
      <c r="W7" s="26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35</v>
      </c>
      <c r="F8" s="2" t="s">
        <v>56</v>
      </c>
      <c r="G8" s="2" t="s">
        <v>9</v>
      </c>
      <c r="H8" s="2" t="s">
        <v>15</v>
      </c>
      <c r="I8" s="2" t="s">
        <v>47</v>
      </c>
      <c r="J8" s="2" t="s">
        <v>36</v>
      </c>
      <c r="K8" s="2" t="s">
        <v>44</v>
      </c>
      <c r="L8" s="2" t="s">
        <v>45</v>
      </c>
      <c r="M8" s="2" t="s">
        <v>60</v>
      </c>
      <c r="N8" s="2" t="s">
        <v>55</v>
      </c>
      <c r="O8" s="2" t="s">
        <v>61</v>
      </c>
      <c r="P8" s="18" t="s">
        <v>81</v>
      </c>
      <c r="W8" s="3"/>
    </row>
    <row r="9" spans="1:23" customFormat="1" ht="18.75" customHeight="1" x14ac:dyDescent="0.25">
      <c r="A9" t="s">
        <v>356</v>
      </c>
      <c r="B9" t="s">
        <v>354</v>
      </c>
      <c r="C9" t="s">
        <v>1</v>
      </c>
      <c r="D9" t="str">
        <f t="shared" ref="D9" si="0">SUBSTITUTE(PROPER(A9),"_","")</f>
        <v>PartNo</v>
      </c>
      <c r="E9" t="str">
        <f t="shared" ref="E9" si="1">IFERROR(LEFT(B9, FIND("(",B9)-1),B9)</f>
        <v>VARCHAR</v>
      </c>
      <c r="F9" s="6"/>
      <c r="G9" t="str">
        <f t="shared" ref="G9" si="2">IFERROR(MID(B9,FIND("(",B9) +1, FIND(")",B9) - FIND("(",B9) - 1),"")</f>
        <v>20</v>
      </c>
      <c r="H9" t="str">
        <f>+VLOOKUP(E9,'Data Type Mapping'!A:B,2,)</f>
        <v>string</v>
      </c>
      <c r="I9" t="str">
        <f t="shared" ref="I9" si="3">IF(H9="string",REPT(CHAR(9),2)&amp;"public const int Max"&amp;D9&amp;"Length = "&amp;G9&amp;";"&amp;$E$3,"" )</f>
        <v xml:space="preserve">		public const int MaxPartNoLength = 20;
</v>
      </c>
      <c r="J9" t="str">
        <f t="shared" ref="J9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6"/>
      <c r="L9" t="str">
        <f t="shared" ref="L9" si="5">IF(K9="","",REPT(CHAR(9),1)&amp;"[Index(nameof("&amp;IF(D9="","",""&amp;D9)&amp;")"&amp;", Name="&amp;"""IX_"&amp;$B$7&amp;"_"&amp;D9&amp;""")]")</f>
        <v/>
      </c>
      <c r="M9" t="str">
        <f t="shared" ref="M9" si="6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[StringLength(InvGpsStockConsts.MaxPartNoLength)]
		public virtual string PartNo { get; set; }
</v>
      </c>
      <c r="O9" t="str">
        <f t="shared" ref="O9" si="8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9">REPT(CHAR(9),7)&amp;D9&amp;" = o." &amp;D9 &amp;","</f>
        <v xml:space="preserve">							PartNo = o.PartNo,</v>
      </c>
      <c r="T9" s="63" t="str">
        <f t="shared" ref="T9" si="10">REPT(CHAR(9),8)&amp;"("""&amp;D9&amp;"""),"</f>
        <v xml:space="preserve">								("PartNo"),</v>
      </c>
      <c r="V9" s="64" t="str">
        <f t="shared" ref="V9" si="11">REPT(CHAR(9),8)&amp;"_ =&gt; _."&amp;D9&amp;","</f>
        <v xml:space="preserve">								_ =&gt; _.PartNo,</v>
      </c>
      <c r="W9" s="63" t="str">
        <f t="shared" ref="W9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18.75" customHeight="1" x14ac:dyDescent="0.25">
      <c r="A10" t="s">
        <v>357</v>
      </c>
      <c r="B10" t="s">
        <v>355</v>
      </c>
      <c r="C10" t="s">
        <v>1</v>
      </c>
      <c r="D10" t="str">
        <f t="shared" ref="D10:D14" si="13">SUBSTITUTE(PROPER(A10),"_","")</f>
        <v>PartName</v>
      </c>
      <c r="E10" t="str">
        <f t="shared" ref="E10:E14" si="14">IFERROR(LEFT(B10, FIND("(",B10)-1),B10)</f>
        <v>VARCHAR</v>
      </c>
      <c r="F10" s="6"/>
      <c r="G10" t="str">
        <f t="shared" ref="G10:G14" si="15">IFERROR(MID(B10,FIND("(",B10) +1, FIND(")",B10) - FIND("(",B10) - 1),"")</f>
        <v>200</v>
      </c>
      <c r="H10" t="str">
        <f>+VLOOKUP(E10,'Data Type Mapping'!A:B,2,)</f>
        <v>string</v>
      </c>
      <c r="I10" t="str">
        <f t="shared" ref="I10:I14" si="16">IF(H10="string",REPT(CHAR(9),2)&amp;"public const int Max"&amp;D10&amp;"Length = "&amp;G10&amp;";"&amp;$E$3,"" )</f>
        <v xml:space="preserve">		public const int MaxPartNameLength = 200;
</v>
      </c>
      <c r="J10" t="str">
        <f t="shared" ref="J10:J14" si="17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6"/>
      <c r="L10" t="str">
        <f t="shared" ref="L10:L14" si="18">IF(K10="","",REPT(CHAR(9),1)&amp;"[Index(nameof("&amp;IF(D10="","",""&amp;D10)&amp;")"&amp;", Name="&amp;"""IX_"&amp;$B$7&amp;"_"&amp;D10&amp;""")]")</f>
        <v/>
      </c>
      <c r="M10" t="str">
        <f t="shared" ref="M10:M14" si="19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14" si="20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[StringLength(InvGpsStockConsts.MaxPartNameLength)]
		public virtual string PartName { get; set; }
</v>
      </c>
      <c r="O10" t="str">
        <f t="shared" ref="O10:O14" si="21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14" si="22">REPT(CHAR(9),7)&amp;D10&amp;" = o." &amp;D10 &amp;","</f>
        <v xml:space="preserve">							PartName = o.PartName,</v>
      </c>
      <c r="T10" s="63" t="str">
        <f t="shared" ref="T10:T14" si="23">REPT(CHAR(9),8)&amp;"("""&amp;D10&amp;"""),"</f>
        <v xml:space="preserve">								("PartName"),</v>
      </c>
      <c r="V10" s="64" t="str">
        <f t="shared" ref="V10:V14" si="24">REPT(CHAR(9),8)&amp;"_ =&gt; _."&amp;D10&amp;","</f>
        <v xml:space="preserve">								_ =&gt; _.PartName,</v>
      </c>
      <c r="W10" s="63" t="str">
        <f t="shared" ref="W10:W14" si="25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18.75" customHeight="1" x14ac:dyDescent="0.25">
      <c r="A11" t="s">
        <v>358</v>
      </c>
      <c r="B11" t="s">
        <v>361</v>
      </c>
      <c r="C11" t="s">
        <v>1</v>
      </c>
      <c r="D11" t="str">
        <f t="shared" si="13"/>
        <v>PartId</v>
      </c>
      <c r="E11" t="str">
        <f t="shared" si="14"/>
        <v>BIGINT</v>
      </c>
      <c r="F11" s="6"/>
      <c r="G11" t="str">
        <f t="shared" si="15"/>
        <v/>
      </c>
      <c r="H11" t="str">
        <f>+VLOOKUP(E11,'Data Type Mapping'!A:B,2,)</f>
        <v>long?</v>
      </c>
      <c r="I11" t="str">
        <f t="shared" si="16"/>
        <v/>
      </c>
      <c r="J11" t="str">
        <f t="shared" si="17"/>
        <v xml:space="preserve">		public virtual long? PartId { get; set; }
</v>
      </c>
      <c r="K11" s="6"/>
      <c r="L11" t="str">
        <f t="shared" si="18"/>
        <v/>
      </c>
      <c r="M11" t="str">
        <f t="shared" si="19"/>
        <v xml:space="preserve">		public virtual long? PartId { get; set; }
</v>
      </c>
      <c r="N11" t="str">
        <f t="shared" si="20"/>
        <v xml:space="preserve">		public virtual long? PartId { get; set; }
</v>
      </c>
      <c r="O11" t="str">
        <f t="shared" si="21"/>
        <v/>
      </c>
      <c r="P11" t="str">
        <f t="shared" si="22"/>
        <v xml:space="preserve">							PartId = o.PartId,</v>
      </c>
      <c r="T11" s="63" t="str">
        <f t="shared" si="23"/>
        <v xml:space="preserve">								("PartId"),</v>
      </c>
      <c r="V11" s="64" t="str">
        <f t="shared" si="24"/>
        <v xml:space="preserve">								_ =&gt; _.PartId,</v>
      </c>
      <c r="W11" s="63" t="str">
        <f t="shared" si="25"/>
        <v/>
      </c>
    </row>
    <row r="12" spans="1:23" customFormat="1" ht="18.75" customHeight="1" x14ac:dyDescent="0.25">
      <c r="A12" t="s">
        <v>359</v>
      </c>
      <c r="B12" t="s">
        <v>367</v>
      </c>
      <c r="C12" t="s">
        <v>1</v>
      </c>
      <c r="D12" t="str">
        <f t="shared" si="13"/>
        <v>Qty</v>
      </c>
      <c r="E12" t="str">
        <f t="shared" si="14"/>
        <v>DECIMAL</v>
      </c>
      <c r="F12" s="6"/>
      <c r="G12" t="str">
        <f t="shared" si="15"/>
        <v>18,5</v>
      </c>
      <c r="H12" t="str">
        <f>+VLOOKUP(E12,'Data Type Mapping'!A:B,2,)</f>
        <v>decimal?</v>
      </c>
      <c r="I12" t="str">
        <f t="shared" si="16"/>
        <v/>
      </c>
      <c r="J12" t="str">
        <f t="shared" si="17"/>
        <v xml:space="preserve">		public virtual decimal? Qty { get; set; }
</v>
      </c>
      <c r="K12" s="6"/>
      <c r="L12" t="str">
        <f t="shared" si="18"/>
        <v/>
      </c>
      <c r="M12" t="str">
        <f t="shared" si="19"/>
        <v xml:space="preserve">		public virtual decimal? Qty { get; set; }
</v>
      </c>
      <c r="N12" t="str">
        <f t="shared" si="20"/>
        <v xml:space="preserve">		public virtual decimal? Qty { get; set; }
</v>
      </c>
      <c r="O12" t="str">
        <f t="shared" si="21"/>
        <v/>
      </c>
      <c r="P12" t="str">
        <f t="shared" si="22"/>
        <v xml:space="preserve">							Qty = o.Qty,</v>
      </c>
      <c r="T12" s="63" t="str">
        <f t="shared" si="23"/>
        <v xml:space="preserve">								("Qty"),</v>
      </c>
      <c r="V12" s="64" t="str">
        <f t="shared" si="24"/>
        <v xml:space="preserve">								_ =&gt; _.Qty,</v>
      </c>
      <c r="W12" s="63" t="str">
        <f t="shared" si="25"/>
        <v/>
      </c>
    </row>
    <row r="13" spans="1:23" customFormat="1" ht="18.75" customHeight="1" x14ac:dyDescent="0.25">
      <c r="A13" t="s">
        <v>360</v>
      </c>
      <c r="B13" t="s">
        <v>362</v>
      </c>
      <c r="C13" t="s">
        <v>1</v>
      </c>
      <c r="D13" t="str">
        <f t="shared" si="13"/>
        <v>WorkingDate</v>
      </c>
      <c r="E13" t="str">
        <f t="shared" si="14"/>
        <v>DATETIME</v>
      </c>
      <c r="F13" s="6"/>
      <c r="G13" t="str">
        <f t="shared" si="15"/>
        <v/>
      </c>
      <c r="H13" t="str">
        <f>+VLOOKUP(E13,'Data Type Mapping'!A:B,2,)</f>
        <v>DateTime?</v>
      </c>
      <c r="I13" t="str">
        <f t="shared" si="16"/>
        <v/>
      </c>
      <c r="J13" t="str">
        <f t="shared" si="17"/>
        <v xml:space="preserve">		public virtual DateTime? WorkingDate { get; set; }
</v>
      </c>
      <c r="K13" s="6"/>
      <c r="L13" t="str">
        <f t="shared" si="18"/>
        <v/>
      </c>
      <c r="M13" t="str">
        <f t="shared" si="19"/>
        <v xml:space="preserve">		public virtual DateTime? WorkingDate { get; set; }
</v>
      </c>
      <c r="N13" t="str">
        <f t="shared" si="20"/>
        <v xml:space="preserve">		public virtual DateTime? WorkingDate { get; set; }
</v>
      </c>
      <c r="O13" t="str">
        <f t="shared" si="21"/>
        <v/>
      </c>
      <c r="P13" t="str">
        <f t="shared" si="22"/>
        <v xml:space="preserve">							WorkingDate = o.WorkingDate,</v>
      </c>
      <c r="T13" s="63" t="str">
        <f t="shared" si="23"/>
        <v xml:space="preserve">								("WorkingDate"),</v>
      </c>
      <c r="V13" s="64" t="str">
        <f t="shared" si="24"/>
        <v xml:space="preserve">								_ =&gt; _.WorkingDate,</v>
      </c>
      <c r="W13" s="63" t="str">
        <f t="shared" si="25"/>
        <v/>
      </c>
    </row>
    <row r="14" spans="1:23" customFormat="1" ht="18.75" customHeight="1" x14ac:dyDescent="0.25">
      <c r="A14" t="s">
        <v>363</v>
      </c>
      <c r="B14" t="s">
        <v>361</v>
      </c>
      <c r="C14" t="s">
        <v>1</v>
      </c>
      <c r="D14" t="str">
        <f t="shared" si="13"/>
        <v>TransactionId</v>
      </c>
      <c r="E14" t="str">
        <f t="shared" si="14"/>
        <v>BIGINT</v>
      </c>
      <c r="F14" s="6"/>
      <c r="G14" t="str">
        <f t="shared" si="15"/>
        <v/>
      </c>
      <c r="H14" t="str">
        <f>+VLOOKUP(E14,'[1]Data Type Mapping'!A:B,2,)</f>
        <v>long?</v>
      </c>
      <c r="I14" t="str">
        <f t="shared" si="16"/>
        <v/>
      </c>
      <c r="J14" t="str">
        <f t="shared" si="17"/>
        <v xml:space="preserve">		public virtual long? TransactionId { get; set; }
</v>
      </c>
      <c r="K14" s="6"/>
      <c r="L14" t="str">
        <f t="shared" si="18"/>
        <v/>
      </c>
      <c r="M14" t="str">
        <f t="shared" si="19"/>
        <v xml:space="preserve">		public virtual long? TransactionId { get; set; }
</v>
      </c>
      <c r="N14" t="str">
        <f t="shared" si="20"/>
        <v xml:space="preserve">		public virtual long? TransactionId { get; set; }
</v>
      </c>
      <c r="O14" t="str">
        <f t="shared" si="21"/>
        <v/>
      </c>
      <c r="P14" t="str">
        <f t="shared" si="22"/>
        <v xml:space="preserve">							TransactionId = o.TransactionId,</v>
      </c>
      <c r="T14" s="63" t="str">
        <f t="shared" si="23"/>
        <v xml:space="preserve">								("TransactionId"),</v>
      </c>
      <c r="V14" s="64" t="str">
        <f t="shared" si="24"/>
        <v xml:space="preserve">								_ =&gt; _.TransactionId,</v>
      </c>
      <c r="W14" s="63" t="str">
        <f t="shared" si="25"/>
        <v/>
      </c>
    </row>
    <row r="16" spans="1:23" ht="45.75" customHeight="1" x14ac:dyDescent="0.25">
      <c r="H16" s="11"/>
      <c r="I16" s="31" t="str">
        <f ca="1">TEXTJOIN2("
", TRUE,INDIRECT( $H$1):INDIRECT( $H$3))</f>
        <v xml:space="preserve">		public const int MaxPartNoLength = 20;
		public const int MaxPartNameLength = 200;
</v>
      </c>
      <c r="J16" s="30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public virtual long? PartId { get; set; }
		public virtual decimal? Qty { get; set; }
		public virtual DateTime? WorkingDate { get; set; }
		public virtual long? TransactionId { get; set; }
</v>
      </c>
      <c r="K16" s="32" t="str">
        <f ca="1">TEXTJOIN2("
", TRUE,INDIRECT( $J$1):INDIRECT( $J$3))</f>
        <v/>
      </c>
      <c r="L16" s="12" t="s">
        <v>57</v>
      </c>
      <c r="M16" s="33" t="str">
        <f ca="1">TEXTJOIN2("
",TRUE,INDIRECT( $L$1):INDIRECT($L$3))</f>
        <v xml:space="preserve">		public virtual string PartNo { get; set; }
		public virtual string PartName { get; set; }
		public virtual long? PartId { get; set; }
		public virtual decimal? Qty { get; set; }
		public virtual DateTime? WorkingDate { get; set; }
		public virtual long? TransactionId { get; set; }
</v>
      </c>
      <c r="N16" s="30" t="str">
        <f ca="1">TEXTJOIN2("
",TRUE,INDIRECT( $M$1):INDIRECT($M$3))</f>
        <v xml:space="preserve">		[StringLength(InvGpsStockConsts.MaxPartNoLength)]
		public virtual string PartNo { get; set; }
		[StringLength(InvGpsStockConsts.MaxPartNameLength)]
		public virtual string PartName { get; set; }
		public virtual long? PartId { get; set; }
		public virtual decimal? Qty { get; set; }
		public virtual DateTime? WorkingDate { get; set; }
		public virtual long? TransactionId { get; set; }
</v>
      </c>
      <c r="O16" s="30" t="str">
        <f ca="1">TEXTJOIN2("
",TRUE,INDIRECT( $N$1):INDIRECT($N$3))</f>
        <v xml:space="preserve">		public virtual string PartNo { get; set; }
		public virtual string PartName { get; set; }
</v>
      </c>
      <c r="P16" s="8" t="str">
        <f ca="1">TEXTJOIN2("
",TRUE,INDIRECT( $O$1):INDIRECT($O$3))</f>
        <v xml:space="preserve">							PartNo = o.PartNo,
							PartName = o.PartName,
							PartId = o.PartId,
							Qty = o.Qty,
							WorkingDate = o.WorkingDate,
							TransactionId = o.TransactionId,</v>
      </c>
      <c r="T16" s="8" t="str">
        <f ca="1">TEXTJOIN2("
",TRUE,INDIRECT( $T$2):INDIRECT($T$3))</f>
        <v xml:space="preserve">								("PartNo"),
								("PartName"),
								("PartId"),
								("Qty"),
								("WorkingDate"),
								("TransactionId"),</v>
      </c>
      <c r="V16" s="8" t="str">
        <f ca="1">TEXTJOIN2("
",TRUE,INDIRECT( $V$2):INDIRECT($V$3))</f>
        <v xml:space="preserve">								_ =&gt; _.PartNo,
								_ =&gt; _.PartName,
								_ =&gt; _.PartId,
								_ =&gt; _.Qty,
								_ =&gt; _.WorkingDate,
								_ =&gt; _.TransactionId,</v>
      </c>
      <c r="W16" s="8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2"/>
  <sheetViews>
    <sheetView tabSelected="1" workbookViewId="0">
      <selection activeCell="B1" sqref="B1"/>
    </sheetView>
  </sheetViews>
  <sheetFormatPr defaultColWidth="8.7109375" defaultRowHeight="15" x14ac:dyDescent="0.25"/>
  <cols>
    <col min="1" max="1" width="17.7109375" customWidth="1"/>
    <col min="2" max="2" width="15.42578125" customWidth="1"/>
    <col min="3" max="3" width="16.7109375" customWidth="1"/>
    <col min="4" max="7" width="15.28515625" customWidth="1"/>
    <col min="8" max="8" width="24.42578125" customWidth="1"/>
    <col min="9" max="9" width="26.28515625" customWidth="1"/>
    <col min="10" max="10" width="22.28515625" customWidth="1"/>
    <col min="11" max="11" width="25.7109375" customWidth="1"/>
    <col min="12" max="12" width="23.7109375" customWidth="1"/>
    <col min="13" max="13" width="23.42578125" customWidth="1"/>
    <col min="14" max="15" width="20.42578125" customWidth="1"/>
    <col min="16" max="16" width="25.7109375" customWidth="1"/>
    <col min="17" max="18" width="25.42578125" customWidth="1"/>
    <col min="19" max="19" width="24" customWidth="1"/>
    <col min="20" max="20" width="19.28515625" customWidth="1"/>
    <col min="21" max="21" width="19.7109375" customWidth="1"/>
    <col min="22" max="22" width="13.7109375" customWidth="1"/>
  </cols>
  <sheetData>
    <row r="1" spans="1:22" x14ac:dyDescent="0.25">
      <c r="A1" s="38" t="s">
        <v>208</v>
      </c>
      <c r="B1" s="65" t="s">
        <v>368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</row>
    <row r="2" spans="1:22" x14ac:dyDescent="0.25">
      <c r="A2" s="38" t="s">
        <v>233</v>
      </c>
      <c r="B2" s="39" t="str">
        <f>A.Backend!B4</f>
        <v>Inventory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</row>
    <row r="3" spans="1:22" x14ac:dyDescent="0.25">
      <c r="A3" s="38" t="s">
        <v>233</v>
      </c>
      <c r="B3" s="39" t="str">
        <f>LOWER(B2)</f>
        <v>inventory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</row>
    <row r="4" spans="1:22" x14ac:dyDescent="0.25">
      <c r="A4" s="38" t="s">
        <v>210</v>
      </c>
      <c r="B4" s="40" t="str">
        <f>A.Backend!Q3</f>
        <v>GPS</v>
      </c>
      <c r="C4" s="28"/>
      <c r="D4" s="28"/>
      <c r="E4" s="28"/>
      <c r="F4" s="28"/>
      <c r="G4" s="28"/>
      <c r="H4" s="28"/>
      <c r="I4" s="28"/>
      <c r="J4" s="28"/>
      <c r="K4" s="28"/>
      <c r="L4" s="28"/>
      <c r="M4" s="28"/>
      <c r="N4" s="28"/>
      <c r="O4" s="28"/>
      <c r="P4" s="28"/>
      <c r="Q4" s="28"/>
      <c r="R4" s="28"/>
    </row>
    <row r="5" spans="1:22" x14ac:dyDescent="0.25">
      <c r="A5" s="38" t="s">
        <v>210</v>
      </c>
      <c r="B5" s="40" t="str">
        <f>LOWER(B4)</f>
        <v>gps</v>
      </c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</row>
    <row r="6" spans="1:22" x14ac:dyDescent="0.25">
      <c r="A6" s="38" t="s">
        <v>220</v>
      </c>
      <c r="B6" s="41" t="str">
        <f>A.Backend!B3</f>
        <v>InvGpsStock</v>
      </c>
      <c r="C6" s="28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</row>
    <row r="7" spans="1:22" x14ac:dyDescent="0.25">
      <c r="A7" s="38" t="s">
        <v>211</v>
      </c>
      <c r="B7" s="40" t="str">
        <f>A.Backend!B5</f>
        <v>GpsStock</v>
      </c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</row>
    <row r="8" spans="1:22" x14ac:dyDescent="0.25">
      <c r="A8" s="38" t="s">
        <v>209</v>
      </c>
      <c r="B8" s="40" t="str">
        <f>LOWER(B7)</f>
        <v>gpsstock</v>
      </c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</row>
    <row r="9" spans="1:22" ht="18.75" customHeight="1" x14ac:dyDescent="0.25">
      <c r="A9" s="50" t="s">
        <v>212</v>
      </c>
      <c r="B9" s="51"/>
      <c r="C9" s="50"/>
      <c r="D9" s="50"/>
      <c r="E9" s="50"/>
      <c r="F9" s="50"/>
      <c r="G9" s="50"/>
      <c r="H9" s="42" t="s">
        <v>264</v>
      </c>
      <c r="I9" s="43" t="s">
        <v>265</v>
      </c>
      <c r="J9" s="42" t="s">
        <v>215</v>
      </c>
      <c r="K9" s="44" t="s">
        <v>252</v>
      </c>
      <c r="L9" s="43" t="s">
        <v>256</v>
      </c>
      <c r="M9" s="42" t="s">
        <v>245</v>
      </c>
      <c r="N9" s="42" t="s">
        <v>216</v>
      </c>
      <c r="O9" s="42" t="s">
        <v>217</v>
      </c>
      <c r="P9" s="43" t="s">
        <v>219</v>
      </c>
      <c r="Q9" s="42" t="s">
        <v>246</v>
      </c>
      <c r="R9" s="42" t="s">
        <v>229</v>
      </c>
      <c r="S9" s="28"/>
      <c r="T9" s="28"/>
      <c r="U9" s="28"/>
      <c r="V9" s="28"/>
    </row>
    <row r="10" spans="1:22" ht="18.75" customHeight="1" x14ac:dyDescent="0.25">
      <c r="A10" s="52" t="s">
        <v>213</v>
      </c>
      <c r="B10" s="53"/>
      <c r="C10" s="46"/>
      <c r="D10" s="46"/>
      <c r="E10" s="46"/>
      <c r="F10" s="46"/>
      <c r="G10" s="46"/>
      <c r="H10" s="45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InvGpsStockDto, InvGpsStockServiceProxy } from '@shared/service-proxies/service-proxies';
import { finalize } from 'rxjs/internal/operators/finalize';
import { CreateOrEditGpsStockModalComponent } from './create-or-edit-gpsstock-modal.component';
import { DatePipe } from '@angular/common';
import { FileDownloadService } from '@shared/utils/file-download.service';
import ceil from 'lodash-es/ceil';
import { Paginator } from 'primeng/paginator';
@Component({
    templateUrl: './gpsstock.component.html',
    styleUrls: ['./gpsstock.component.less'],
})
export class GpsStockComponent extends AppComponentBase implements OnInit {
    @ViewChild('createOrEditModalGpsStock', { static: true }) createOrEditModalGpsStock:| CreateOrEditGpsStockModalComponent|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InvGpsStockDto = new InvGpsStockDto();
    saveSelectedRow: InvGpsStockDto = new InvGpsStockDto();
    datas: InvGpsStockDto = new InvGpsStockDto();
    isLoading: boolean = false;
    dataParams: GridParams | undefined;
    rowData: any[] = [];
    gridApi!: GridApi;
    rowSelection = 'multiple';
    filter: string = '';
	pipe = new DatePipe('en-US');
	frameworkComponents: FrameworkComponent;
    	partNo : string = '' ; 
	partName : string = '' ; 
	partId
	qty
	workingDate
	transactionId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InvGpsStockServiceProxy,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this.l('Qty'),headerTooltip: this.l('Qty'),field: 'qty',flex: 1},
			{headerName: this.l('Working Date'),headerTooltip: this.l('Working Date'),field: 'workingDate',flex: 1},
			{headerName: this.l('Transaction Id'),headerTooltip: this.l('Transaction Id'),field: 'transactionId',flex: 1},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this.partId,
			this.qty,
			this.workingDate,
			this.transactionId,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		this.partNo = '',
		this.partName = '',
		this.partId = '',
		this.qty = '',
		this.workingDate = '',
		this.transactionId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this.partId,
			this.qty,
			this.workingDate,
			this.transactionId,
			'',
            this.paginationParams.skipCount,
            this.paginationParams.pageSize
        );
    }
    onChangeRowSelection(params: { api: { getSelectedRows: () =&gt; InvGpsStockDto[] } }) {
        this.saveSelectedRow = params.api.getSelectedRows()[0] ?? new InvGpsStockDto();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InvGpsStockDto):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this._service.getGpsStockToExcel(
			this.partNo,
			this.partName,
			this.partId,
			this.qty,
			this.workingDate,
			this.transactionId,
            )
            .subscribe((result) =&gt; {
                this._fileDownloadService.downloadTempFile(result);
        });
    }
}</v>
      </c>
      <c r="I10" s="45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Drm Stock 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(click)="createOrEditModalGpsStock.show()"&gt;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(click)="createOrEditModalGpsStock.show(selectedRow)"&gt;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&lt;create-or-edit-gpsstock-modal
    #createOrEditModalGpsStock
    (modalSave)="callBackDataGrid(dataParams)"
    (modalClose)="onChangeRowSelection(dataParams)"
&gt;
&lt;/create-or-edit-gpsstock-modal&gt;</v>
      </c>
      <c r="J10" s="45" t="str">
        <f>J9</f>
        <v>.input-search{
    width: 250px;
    border-radius: 10px;
    margin-left: 10px;
}
.btn-search{
    width: 50px;
    margin-left: 10px;
}</v>
      </c>
      <c r="K10" s="45" t="str">
        <f ca="1">SUBSTITUTE(SUBSTITUTE(SUBSTITUTE(SUBSTITUTE(K9,"MstWptCalendar",$B$6),"Calendar",$B$7),"calendar",$B$8),"&lt;PROPERTIES&gt;",K13)</f>
        <v>&lt;div bsModal #createOrEditModalGpsStock="bs-modal"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GpsStock')}}&lt;/h3&gt;
                    &lt;h3 *ngIf="!rowdata.id"&gt;{{('Create New GpsStock')}}&lt;/h3&gt;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5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CreateOrEditInvGpsStockDto, InvGpsStockServiceProxy } from '@shared/service-proxies/service-proxies';
import { BsDatepickerDirective } from 'ngx-bootstrap/datepicker';
@Component({
    selector: 'create-or-edit-gpsstock-modal',
    templateUrl: './create-or-edit-gpsstock-modal.component.html',
    styleUrls: ['./create-or-edit-gpsstock-modal.component.less']
    })
export class CreateOrEditGpsStockModalComponent extends AppComponentBase {
    @ViewChild('createOrEditModalGpsStock',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CreateOrEditInvGpsStockDto = new CreateOrEditInvGpsStockDto();
    active: boolean = false;
    saving: boolean = false;
    _: boolean;
    constructor(
        injector: Injector,
        private _mstwptGpsStockService: InvGpsStockServiceProxy,
    ) 
    {
        super(injector);
    }
    show(rowdata?: CreateOrEditInvGpsStockDto): void {
        if (!rowdata) this.rowdata = new CreateOrEditInvGpsStockDto();
        else this.rowdata = rowdata;
        this._ = (this.rowdata. == "N")? false: true;
        this.active = true;
        this.modal.show();
    } 
    changeActive(event){
        this._ = event.target.checked;
    }
    save(): void {
    this.saving = true; 
    this.rowdata. = (this._ == true) ? 'Y' : 'N'
    this._mstwptGpsStockService.createOrEdit(this.rowdata)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5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5" t="str">
        <f>SUBSTITUTE(SUBSTITUTE(SUBSTITUTE(N9,"MstWptCalendar",$B$6),"Calendar",$B$7),"calendar",$B$8)</f>
        <v>import {NgModule} from '@angular/core';
import {AppSharedModule} from '@app/shared/app-shared.module';
import { GpsStockRoutingModule } from './gpsstock-routing.module';
import { GpsStockComponent } from './gpsstock.component';
import { CreateOrEditGpsStockModalComponent } from './create-or-edit-gpsstock-modal.component';
@NgModule({
    declarations: [
       GpsStockComponent, 
        CreateOrEditGpsStockModalComponent
    ],
    imports: [
        AppSharedModule, GpsStockRoutingModule]
})
export class GpsStockModule {}</v>
      </c>
      <c r="O10" s="45" t="str">
        <f>SUBSTITUTE(SUBSTITUTE(SUBSTITUTE(O9,"MstWptCalendar",$B$6),"Calendar",$B$7),"calendar",$B$8)</f>
        <v>import {NgModule} from '@angular/core';
import {RouterModule, Routes} from '@angular/router';
import { GpsStockComponent } from './gpsstock.component';
const routes: Routes = [{
    path: '',
    component: GpsStockComponent,
    pathMatch: 'full'
}];
@NgModule({
    imports: [RouterModule.forChild(routes)],
    exports: [RouterModule],
})
export class GpsStockRoutingModule {}</v>
      </c>
      <c r="P10" s="45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AppMenuItem("GpsStock", "Pages.Inventory.GPS.GpsStock", "flaticon-book",   "/app/main/inventory/gps/gpsstock"),</v>
      </c>
      <c r="Q10" s="45" t="str">
        <f>SUBSTITUTE(SUBSTITUTE(SUBSTITUTE(SUBSTITUTE(SUBSTITUTE(SUBSTITUTE(SUBSTITUTE(Q9,"MstWptCalendar",$B$6),"Calendar",$B$7),"calendar",$B$8),"WorkingPattern",$B$4),"workingpattern",$B$5),"Master",$B$2),"master",$B$3)</f>
        <v>{
    path: 'inventory/gps/gpsstock',
    loadChildren: () =&gt; import('./inventory/gps/gpsstock/gpsstock.module').then(m =&gt; m.GpsStockModule),
    data: { permission: 'Pages.Inventory.GPS.GpsStock' }
},</v>
      </c>
      <c r="R10" s="47" t="str">
        <f>SUBSTITUTE(R9,"MstWptCalendar",$B$6)</f>
        <v>ApiServiceProxies.InvGpsStockServiceProxy,</v>
      </c>
      <c r="S10" s="28"/>
      <c r="T10" s="28"/>
      <c r="U10" s="28"/>
      <c r="V10" s="28"/>
    </row>
    <row r="11" spans="1:22" x14ac:dyDescent="0.25">
      <c r="A11" s="54">
        <v>1</v>
      </c>
      <c r="B11" s="34">
        <v>1</v>
      </c>
      <c r="C11" s="28"/>
      <c r="D11" s="28"/>
      <c r="E11" s="28"/>
      <c r="F11" s="28"/>
      <c r="G11" s="28"/>
      <c r="H11" s="28" t="s">
        <v>244</v>
      </c>
      <c r="I11" s="28" t="s">
        <v>257</v>
      </c>
      <c r="J11" s="28"/>
      <c r="K11" s="28" t="s">
        <v>255</v>
      </c>
      <c r="L11" s="28" t="s">
        <v>258</v>
      </c>
      <c r="M11" s="35"/>
      <c r="N11" s="28"/>
      <c r="O11" s="28"/>
      <c r="P11" s="28"/>
      <c r="Q11" s="28"/>
      <c r="R11" s="28"/>
      <c r="S11" s="28" t="s">
        <v>249</v>
      </c>
      <c r="T11" s="28" t="s">
        <v>250</v>
      </c>
      <c r="U11" s="28" t="s">
        <v>259</v>
      </c>
      <c r="V11" s="28" t="s">
        <v>261</v>
      </c>
    </row>
    <row r="12" spans="1:22" x14ac:dyDescent="0.25">
      <c r="A12" s="54">
        <v>2</v>
      </c>
      <c r="B12" s="34"/>
      <c r="C12" s="28"/>
      <c r="D12" s="28"/>
      <c r="E12" s="28"/>
      <c r="F12" s="28"/>
      <c r="G12" s="28"/>
      <c r="H12" s="28" t="str">
        <f>"H"&amp;COUNTA($A:$A)</f>
        <v>H20</v>
      </c>
      <c r="I12" s="28" t="str">
        <f>"I"&amp;COUNTA($A:$A)</f>
        <v>I20</v>
      </c>
      <c r="J12" s="28"/>
      <c r="K12" s="28" t="str">
        <f>"K"&amp;COUNTA($A:$A)</f>
        <v>K20</v>
      </c>
      <c r="L12" s="28" t="str">
        <f>"L"&amp;COUNTA($A:$A)</f>
        <v>L20</v>
      </c>
      <c r="M12" s="28"/>
      <c r="N12" s="28"/>
      <c r="O12" s="28"/>
      <c r="P12" s="28"/>
      <c r="Q12" s="28"/>
      <c r="R12" s="28"/>
      <c r="S12" s="28" t="str">
        <f>"S"&amp;COUNTA($A:$A)</f>
        <v>S20</v>
      </c>
      <c r="T12" s="28" t="str">
        <f>"T"&amp;COUNTA($A:$A)</f>
        <v>T20</v>
      </c>
      <c r="U12" s="28" t="str">
        <f>"U"&amp;COUNTA($A:$A)</f>
        <v>U20</v>
      </c>
      <c r="V12" s="28" t="str">
        <f>"V"&amp;COUNTA($A:$A)</f>
        <v>V20</v>
      </c>
    </row>
    <row r="13" spans="1:22" ht="17.25" customHeight="1" x14ac:dyDescent="0.25">
      <c r="A13" s="54">
        <v>3</v>
      </c>
      <c r="B13" s="28"/>
      <c r="C13" s="28"/>
      <c r="D13" s="28"/>
      <c r="E13" s="28"/>
      <c r="F13" s="28"/>
      <c r="G13" s="28"/>
      <c r="H13" s="35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Id'),headerTooltip: this.l('Part Id'),field: 'partId',flex: 1},
			{headerName: this.l('Qty'),headerTooltip: this.l('Qty'),field: 'qty',flex: 1},
			{headerName: this.l('Working Date'),headerTooltip: this.l('Working Date'),field: 'workingDate',flex: 1},
			{headerName: this.l('Transaction Id'),headerTooltip: this.l('Transaction Id'),field: 'transactionId',flex: 1},</v>
      </c>
      <c r="I13" s="35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</v>
      </c>
      <c r="J13" s="28"/>
      <c r="K13" s="35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</v>
      </c>
      <c r="L13" s="56" t="str">
        <f ca="1">TEXTJOIN2("
",TRUE,INDIRECT(L11):INDIRECT(L12))</f>
        <v/>
      </c>
      <c r="M13" s="28"/>
      <c r="N13" s="28"/>
      <c r="O13" s="28"/>
      <c r="P13" s="28"/>
      <c r="Q13" s="28"/>
      <c r="R13" s="28"/>
      <c r="S13" s="62" t="str">
        <f ca="1">TEXTJOIN2("
",TRUE,INDIRECT(S11):INDIRECT(S12))</f>
        <v xml:space="preserve">	partNo : string = '' ; 
	partName : string = '' ; 
	partId
	qty
	workingDate
	transactionId</v>
      </c>
      <c r="T13" s="62" t="str">
        <f ca="1">TEXTJOIN2("
",TRUE,INDIRECT(T11):INDIRECT(T12))</f>
        <v xml:space="preserve">			this.partNo,
			this.partName,
			this.partId,
			this.qty,
			this.workingDate,
			this.transactionId,</v>
      </c>
      <c r="U13" s="62" t="str">
        <f ca="1">TEXTJOIN2("
",TRUE,INDIRECT(U11):INDIRECT(U12))</f>
        <v xml:space="preserve">		this.partNo = '',
		this.partName = '',
		this.partId = '',
		this.qty = '',
		this.workingDate = '',
		this.transactionId = '',</v>
      </c>
      <c r="V13" s="28" t="str">
        <f ca="1">TEXTJOIN2("
",TRUE,INDIRECT(V11):INDIRECT(V12))</f>
        <v/>
      </c>
    </row>
    <row r="14" spans="1:22" x14ac:dyDescent="0.25">
      <c r="A14" s="38" t="s">
        <v>214</v>
      </c>
      <c r="B14" s="28"/>
      <c r="C14" s="28"/>
      <c r="D14" s="28"/>
      <c r="E14" s="28"/>
      <c r="F14" s="28"/>
      <c r="G14" s="28"/>
      <c r="H14" s="36" t="str">
        <f>B8&amp;".component.ts"</f>
        <v>gpsstock.component.ts</v>
      </c>
      <c r="I14" s="37" t="str">
        <f>B8&amp;".component.html"</f>
        <v>gpsstock.component.html</v>
      </c>
      <c r="J14" s="36" t="str">
        <f>B8&amp;".component.less"</f>
        <v>gpsstock.component.less</v>
      </c>
      <c r="K14" s="37" t="str">
        <f>"create-or-edit-"&amp;B8&amp;"-modal.component.html"</f>
        <v>create-or-edit-gpsstock-modal.component.html</v>
      </c>
      <c r="L14" s="37" t="str">
        <f>"create-or-edit-"&amp;B8&amp;"-modal.component.ts"</f>
        <v>create-or-edit-gpsstock-modal.component.ts</v>
      </c>
      <c r="M14" s="37" t="str">
        <f>"create-or-edit-"&amp;B8&amp;"-modal.component.less"</f>
        <v>create-or-edit-gpsstock-modal.component.less</v>
      </c>
      <c r="N14" s="37" t="str">
        <f>B8&amp;".module.ts"</f>
        <v>gpsstock.module.ts</v>
      </c>
      <c r="O14" s="37" t="str">
        <f>B8&amp;"-routing.module.ts"</f>
        <v>gpsstock-routing.module.ts</v>
      </c>
      <c r="P14" s="37" t="s">
        <v>218</v>
      </c>
      <c r="Q14" s="37" t="s">
        <v>221</v>
      </c>
      <c r="R14" s="38" t="s">
        <v>228</v>
      </c>
      <c r="S14" s="37" t="s">
        <v>247</v>
      </c>
      <c r="T14" s="37" t="s">
        <v>248</v>
      </c>
      <c r="U14" s="37" t="s">
        <v>251</v>
      </c>
      <c r="V14" s="37" t="s">
        <v>260</v>
      </c>
    </row>
    <row r="15" spans="1:22" ht="15" customHeight="1" x14ac:dyDescent="0.25">
      <c r="A15" t="s">
        <v>356</v>
      </c>
      <c r="B15" s="28" t="str">
        <f t="shared" ref="B15:B17" si="0">SUBSTITUTE(PROPER(A15),"_","")</f>
        <v>PartNo</v>
      </c>
      <c r="C15" s="28" t="str">
        <f t="shared" ref="C15:C17" si="1">SUBSTITUTE(PROPER(A15),"_"," ")</f>
        <v>Part No</v>
      </c>
      <c r="D15" s="28" t="str">
        <f t="shared" ref="D15:D17" si="2">LOWER(LEFT(B15,1))&amp;RIGHT(B15,LEN(B15) - 1)</f>
        <v>partNo</v>
      </c>
      <c r="E15" s="28" t="str">
        <f>A.Backend!H9</f>
        <v>string</v>
      </c>
      <c r="F15" s="28" t="str">
        <f>A.Backend!G9</f>
        <v>20</v>
      </c>
      <c r="G15" s="28" t="str">
        <f t="shared" ref="G15:G19" si="3">IF(E15="string"," : string = '' ; ",IF(OR(E15="DateTime",E15="TimeSpan")," : any ;",IF(E15="int"," : number = 0 ;","")))</f>
        <v xml:space="preserve"> : string = '' ; </v>
      </c>
      <c r="H15" s="35" t="str">
        <f t="shared" ref="H15:H19" si="4"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5" t="str">
        <f t="shared" ref="I15:I19" si="5"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28"/>
      <c r="K15" s="35" t="str">
        <f t="shared" ref="K15:K19" si="6"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56" t="str">
        <f t="shared" ref="L15:L17" si="7"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28"/>
      <c r="N15" s="28"/>
      <c r="O15" s="28"/>
      <c r="P15" s="28"/>
      <c r="Q15" s="28"/>
      <c r="R15" s="28"/>
      <c r="S15" s="28" t="str">
        <f t="shared" ref="S15:S19" si="8">REPT(CHAR(9),1)&amp;D15&amp;G15</f>
        <v xml:space="preserve">	partNo : string = '' ; </v>
      </c>
      <c r="T15" s="28" t="str">
        <f t="shared" ref="T15:T19" si="9">REPT(CHAR(9),3)&amp;"this."&amp;D15&amp;","</f>
        <v xml:space="preserve">			this.partNo,</v>
      </c>
      <c r="U15" s="28" t="str">
        <f t="shared" ref="U15:U19" si="10">IF(E15="int",REPT(CHAR(9),2)&amp;"this."&amp;D15&amp;" = 0,",REPT(CHAR(9),2)&amp;"this."&amp;D15&amp;" = '',")</f>
        <v xml:space="preserve">		this.partNo = '',</v>
      </c>
      <c r="V15" s="28" t="str">
        <f t="shared" ref="V15:V19" si="11">IF(AND(E15="string",F15="1"),D15,"")</f>
        <v/>
      </c>
    </row>
    <row r="16" spans="1:22" ht="18" customHeight="1" x14ac:dyDescent="0.25">
      <c r="A16" t="s">
        <v>357</v>
      </c>
      <c r="B16" s="28" t="str">
        <f t="shared" si="0"/>
        <v>PartName</v>
      </c>
      <c r="C16" s="28" t="str">
        <f t="shared" si="1"/>
        <v>Part Name</v>
      </c>
      <c r="D16" s="28" t="str">
        <f t="shared" si="2"/>
        <v>partName</v>
      </c>
      <c r="E16" s="28" t="str">
        <f>A.Backend!H10</f>
        <v>string</v>
      </c>
      <c r="F16" s="28" t="str">
        <f>A.Backend!G10</f>
        <v>200</v>
      </c>
      <c r="G16" s="28" t="str">
        <f t="shared" si="3"/>
        <v xml:space="preserve"> : string = '' ; </v>
      </c>
      <c r="H16" s="35" t="str">
        <f t="shared" si="4"/>
        <v xml:space="preserve">			{headerName: this.l('Part Name'),headerTooltip: this.l('Part Name'),field: 'partName',flex: 1},</v>
      </c>
      <c r="I16" s="35" t="str">
        <f t="shared" si="5"/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28"/>
      <c r="K16" s="35" t="str">
        <f t="shared" si="6"/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56" t="str">
        <f t="shared" si="7"/>
        <v/>
      </c>
      <c r="M16" s="28"/>
      <c r="N16" s="28"/>
      <c r="O16" s="28"/>
      <c r="P16" s="28"/>
      <c r="Q16" s="28"/>
      <c r="R16" s="28"/>
      <c r="S16" s="28" t="str">
        <f t="shared" si="8"/>
        <v xml:space="preserve">	partName : string = '' ; </v>
      </c>
      <c r="T16" s="28" t="str">
        <f t="shared" si="9"/>
        <v xml:space="preserve">			this.partName,</v>
      </c>
      <c r="U16" s="28" t="str">
        <f t="shared" si="10"/>
        <v xml:space="preserve">		this.partName = '',</v>
      </c>
      <c r="V16" s="28" t="str">
        <f t="shared" si="11"/>
        <v/>
      </c>
    </row>
    <row r="17" spans="1:22" ht="15" customHeight="1" x14ac:dyDescent="0.25">
      <c r="A17" t="s">
        <v>358</v>
      </c>
      <c r="B17" s="28" t="str">
        <f t="shared" si="0"/>
        <v>PartId</v>
      </c>
      <c r="C17" s="28" t="str">
        <f t="shared" si="1"/>
        <v>Part Id</v>
      </c>
      <c r="D17" s="28" t="str">
        <f t="shared" si="2"/>
        <v>partId</v>
      </c>
      <c r="E17" s="28" t="str">
        <f>A.Backend!H11</f>
        <v>long?</v>
      </c>
      <c r="F17" s="28" t="str">
        <f>A.Backend!G11</f>
        <v/>
      </c>
      <c r="G17" s="28" t="str">
        <f t="shared" si="3"/>
        <v/>
      </c>
      <c r="H17" s="35" t="str">
        <f t="shared" si="4"/>
        <v xml:space="preserve">			{headerName: this.l('Part Id'),headerTooltip: this.l('Part Id'),field: 'partId',flex: 1},</v>
      </c>
      <c r="I17" s="35" t="str">
        <f t="shared" si="5"/>
        <v/>
      </c>
      <c r="J17" s="28"/>
      <c r="K17" s="35" t="str">
        <f t="shared" si="6"/>
        <v/>
      </c>
      <c r="L17" s="56" t="str">
        <f t="shared" si="7"/>
        <v/>
      </c>
      <c r="M17" s="28"/>
      <c r="N17" s="28"/>
      <c r="O17" s="28"/>
      <c r="P17" s="28"/>
      <c r="Q17" s="28"/>
      <c r="R17" s="28"/>
      <c r="S17" s="28" t="str">
        <f t="shared" si="8"/>
        <v xml:space="preserve">	partId</v>
      </c>
      <c r="T17" s="28" t="str">
        <f t="shared" si="9"/>
        <v xml:space="preserve">			this.partId,</v>
      </c>
      <c r="U17" s="28" t="str">
        <f t="shared" si="10"/>
        <v xml:space="preserve">		this.partId = '',</v>
      </c>
      <c r="V17" s="28" t="str">
        <f t="shared" si="11"/>
        <v/>
      </c>
    </row>
    <row r="18" spans="1:22" ht="18" customHeight="1" x14ac:dyDescent="0.25">
      <c r="A18" t="s">
        <v>359</v>
      </c>
      <c r="B18" s="28" t="str">
        <f>SUBSTITUTE(PROPER(A18),"_","")</f>
        <v>Qty</v>
      </c>
      <c r="C18" s="28" t="str">
        <f>SUBSTITUTE(PROPER(A18),"_"," ")</f>
        <v>Qty</v>
      </c>
      <c r="D18" s="28" t="str">
        <f>LOWER(LEFT(B18,1))&amp;RIGHT(B18,LEN(B18) - 1)</f>
        <v>qty</v>
      </c>
      <c r="E18" s="28" t="str">
        <f>A.Backend!H12</f>
        <v>decimal?</v>
      </c>
      <c r="F18" s="28" t="str">
        <f>A.Backend!G12</f>
        <v>18,5</v>
      </c>
      <c r="G18" s="28" t="str">
        <f t="shared" si="3"/>
        <v/>
      </c>
      <c r="H18" s="35" t="str">
        <f t="shared" si="4"/>
        <v xml:space="preserve">			{headerName: this.l('Qty'),headerTooltip: this.l('Qty'),field: 'qty',flex: 1},</v>
      </c>
      <c r="I18" s="35" t="str">
        <f t="shared" si="5"/>
        <v/>
      </c>
      <c r="J18" s="28"/>
      <c r="K18" s="35" t="str">
        <f t="shared" si="6"/>
        <v/>
      </c>
      <c r="L18" s="56" t="str">
        <f>IF(E18="DateTime",
REPT(CHAR(9),2)&amp;"const dateValue =  this.rowdata."&amp;D18&amp;" ? new Date(this.rowdata."&amp;D18&amp;"?.toString()) : new Date();
"&amp;REPT(CHAR(9),2)&amp;"this.datepicker?.bsValueChange.emit(dateValue);","")</f>
        <v/>
      </c>
      <c r="M18" s="28"/>
      <c r="N18" s="28"/>
      <c r="O18" s="28"/>
      <c r="P18" s="28"/>
      <c r="Q18" s="28"/>
      <c r="R18" s="28"/>
      <c r="S18" s="28" t="str">
        <f t="shared" si="8"/>
        <v xml:space="preserve">	qty</v>
      </c>
      <c r="T18" s="28" t="str">
        <f t="shared" si="9"/>
        <v xml:space="preserve">			this.qty,</v>
      </c>
      <c r="U18" s="28" t="str">
        <f t="shared" si="10"/>
        <v xml:space="preserve">		this.qty = '',</v>
      </c>
      <c r="V18" s="28" t="str">
        <f t="shared" si="11"/>
        <v/>
      </c>
    </row>
    <row r="19" spans="1:22" ht="15" customHeight="1" x14ac:dyDescent="0.25">
      <c r="A19" t="s">
        <v>360</v>
      </c>
      <c r="B19" s="28" t="str">
        <f t="shared" ref="B19" si="12">SUBSTITUTE(PROPER(A19),"_","")</f>
        <v>WorkingDate</v>
      </c>
      <c r="C19" s="28" t="str">
        <f t="shared" ref="C19" si="13">SUBSTITUTE(PROPER(A19),"_"," ")</f>
        <v>Working Date</v>
      </c>
      <c r="D19" s="28" t="str">
        <f t="shared" ref="D19" si="14">LOWER(LEFT(B19,1))&amp;RIGHT(B19,LEN(B19) - 1)</f>
        <v>workingDate</v>
      </c>
      <c r="E19" s="28" t="str">
        <f>A.Backend!H13</f>
        <v>DateTime?</v>
      </c>
      <c r="F19" s="28" t="str">
        <f>A.Backend!G13</f>
        <v/>
      </c>
      <c r="G19" s="28" t="str">
        <f t="shared" si="3"/>
        <v/>
      </c>
      <c r="H19" s="35" t="str">
        <f t="shared" si="4"/>
        <v xml:space="preserve">			{headerName: this.l('Working Date'),headerTooltip: this.l('Working Date'),field: 'workingDate',flex: 1},</v>
      </c>
      <c r="I19" s="35" t="str">
        <f t="shared" si="5"/>
        <v/>
      </c>
      <c r="J19" s="28"/>
      <c r="K19" s="35" t="str">
        <f t="shared" si="6"/>
        <v/>
      </c>
      <c r="L19" s="56" t="str">
        <f t="shared" ref="L19" si="15">IF(E19="DateTime",
REPT(CHAR(9),2)&amp;"const dateValue =  this.rowdata."&amp;D19&amp;" ? new Date(this.rowdata."&amp;D19&amp;"?.toString()) : new Date();
"&amp;REPT(CHAR(9),2)&amp;"this.datepicker?.bsValueChange.emit(dateValue);","")</f>
        <v/>
      </c>
      <c r="M19" s="28"/>
      <c r="N19" s="28"/>
      <c r="O19" s="28"/>
      <c r="P19" s="28"/>
      <c r="Q19" s="28"/>
      <c r="R19" s="28"/>
      <c r="S19" s="28" t="str">
        <f t="shared" si="8"/>
        <v xml:space="preserve">	workingDate</v>
      </c>
      <c r="T19" s="28" t="str">
        <f t="shared" si="9"/>
        <v xml:space="preserve">			this.workingDate,</v>
      </c>
      <c r="U19" s="28" t="str">
        <f t="shared" si="10"/>
        <v xml:space="preserve">		this.workingDate = '',</v>
      </c>
      <c r="V19" s="28" t="str">
        <f t="shared" si="11"/>
        <v/>
      </c>
    </row>
    <row r="20" spans="1:22" ht="15" customHeight="1" x14ac:dyDescent="0.25">
      <c r="A20" t="s">
        <v>363</v>
      </c>
      <c r="B20" s="28" t="str">
        <f t="shared" ref="B20" si="16">SUBSTITUTE(PROPER(A20),"_","")</f>
        <v>TransactionId</v>
      </c>
      <c r="C20" s="28" t="str">
        <f t="shared" ref="C20" si="17">SUBSTITUTE(PROPER(A20),"_"," ")</f>
        <v>Transaction Id</v>
      </c>
      <c r="D20" s="28" t="str">
        <f t="shared" ref="D20" si="18">LOWER(LEFT(B20,1))&amp;RIGHT(B20,LEN(B20) - 1)</f>
        <v>transactionId</v>
      </c>
      <c r="E20" s="28" t="str">
        <f>A.Backend!H14</f>
        <v>long?</v>
      </c>
      <c r="F20" s="28" t="str">
        <f>A.Backend!G14</f>
        <v/>
      </c>
      <c r="G20" s="28" t="str">
        <f t="shared" ref="G20" si="19">IF(E20="string"," : string = '' ; ",IF(OR(E20="DateTime",E20="TimeSpan")," : any ;",IF(E20="int"," : number = 0 ;","")))</f>
        <v/>
      </c>
      <c r="H20" s="35" t="str">
        <f t="shared" ref="H20" si="20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this.l('Transaction Id'),headerTooltip: this.l('Transaction Id'),field: 'transactionId',flex: 1},</v>
      </c>
      <c r="I20" s="35" t="str">
        <f t="shared" ref="I20" si="21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28"/>
      <c r="K20" s="35" t="str">
        <f t="shared" ref="K20" si="22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/>
      </c>
      <c r="L20" s="56" t="str">
        <f t="shared" ref="L20" si="23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28"/>
      <c r="N20" s="28"/>
      <c r="O20" s="28"/>
      <c r="P20" s="28"/>
      <c r="Q20" s="28"/>
      <c r="R20" s="28"/>
      <c r="S20" s="28" t="str">
        <f t="shared" ref="S20" si="24">REPT(CHAR(9),1)&amp;D20&amp;G20</f>
        <v xml:space="preserve">	transactionId</v>
      </c>
      <c r="T20" s="28" t="str">
        <f t="shared" ref="T20" si="25">REPT(CHAR(9),3)&amp;"this."&amp;D20&amp;","</f>
        <v xml:space="preserve">			this.transactionId,</v>
      </c>
      <c r="U20" s="28" t="str">
        <f t="shared" ref="U20" si="26">IF(E20="int",REPT(CHAR(9),2)&amp;"this."&amp;D20&amp;" = 0,",REPT(CHAR(9),2)&amp;"this."&amp;D20&amp;" = '',")</f>
        <v xml:space="preserve">		this.transactionId = '',</v>
      </c>
      <c r="V20" s="28" t="str">
        <f t="shared" ref="V20" si="27">IF(AND(E20="string",F20="1"),D20,"")</f>
        <v/>
      </c>
    </row>
    <row r="22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workbookViewId="0">
      <selection activeCell="B24" sqref="B24"/>
    </sheetView>
  </sheetViews>
  <sheetFormatPr defaultColWidth="8.7109375" defaultRowHeight="15" x14ac:dyDescent="0.25"/>
  <cols>
    <col min="1" max="1" width="22.42578125" bestFit="1" customWidth="1"/>
    <col min="2" max="2" width="29.71093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32</v>
      </c>
    </row>
    <row r="3" spans="1:2" x14ac:dyDescent="0.25">
      <c r="A3" t="s">
        <v>18</v>
      </c>
      <c r="B3" t="s">
        <v>32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34</v>
      </c>
    </row>
    <row r="6" spans="1:2" x14ac:dyDescent="0.25">
      <c r="A6" t="s">
        <v>23</v>
      </c>
      <c r="B6" t="s">
        <v>353</v>
      </c>
    </row>
    <row r="7" spans="1:2" x14ac:dyDescent="0.25">
      <c r="A7" t="s">
        <v>24</v>
      </c>
      <c r="B7" t="s">
        <v>348</v>
      </c>
    </row>
    <row r="8" spans="1:2" x14ac:dyDescent="0.25">
      <c r="A8" t="s">
        <v>4</v>
      </c>
      <c r="B8" t="s">
        <v>348</v>
      </c>
    </row>
    <row r="9" spans="1:2" x14ac:dyDescent="0.25">
      <c r="A9" t="s">
        <v>0</v>
      </c>
      <c r="B9" t="s">
        <v>349</v>
      </c>
    </row>
    <row r="10" spans="1:2" x14ac:dyDescent="0.25">
      <c r="A10" t="s">
        <v>25</v>
      </c>
      <c r="B10" t="s">
        <v>352</v>
      </c>
    </row>
    <row r="11" spans="1:2" x14ac:dyDescent="0.25">
      <c r="A11" t="s">
        <v>26</v>
      </c>
      <c r="B11" t="s">
        <v>352</v>
      </c>
    </row>
    <row r="12" spans="1:2" x14ac:dyDescent="0.25">
      <c r="A12" t="s">
        <v>27</v>
      </c>
      <c r="B12" t="s">
        <v>352</v>
      </c>
    </row>
    <row r="13" spans="1:2" x14ac:dyDescent="0.25">
      <c r="A13" t="s">
        <v>28</v>
      </c>
      <c r="B13" t="s">
        <v>352</v>
      </c>
    </row>
    <row r="14" spans="1:2" x14ac:dyDescent="0.25">
      <c r="A14" t="s">
        <v>29</v>
      </c>
      <c r="B14" t="s">
        <v>352</v>
      </c>
    </row>
    <row r="15" spans="1:2" x14ac:dyDescent="0.25">
      <c r="A15" t="s">
        <v>30</v>
      </c>
      <c r="B15" t="s">
        <v>352</v>
      </c>
    </row>
    <row r="16" spans="1:2" x14ac:dyDescent="0.25">
      <c r="A16" t="s">
        <v>31</v>
      </c>
      <c r="B16" t="s">
        <v>350</v>
      </c>
    </row>
    <row r="17" spans="1:2" x14ac:dyDescent="0.25">
      <c r="A17" t="s">
        <v>3</v>
      </c>
      <c r="B17" t="s">
        <v>350</v>
      </c>
    </row>
    <row r="18" spans="1:2" x14ac:dyDescent="0.25">
      <c r="A18" t="s">
        <v>33</v>
      </c>
      <c r="B18" t="s">
        <v>350</v>
      </c>
    </row>
    <row r="19" spans="1:2" x14ac:dyDescent="0.25">
      <c r="A19" t="s">
        <v>2</v>
      </c>
      <c r="B19" t="s">
        <v>350</v>
      </c>
    </row>
    <row r="20" spans="1:2" x14ac:dyDescent="0.25">
      <c r="A20" t="s">
        <v>263</v>
      </c>
      <c r="B20" t="s">
        <v>351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7109375" defaultRowHeight="15.75" x14ac:dyDescent="0.25"/>
  <cols>
    <col min="1" max="1" width="14.28515625" customWidth="1"/>
    <col min="2" max="2" width="71.7109375" style="20" customWidth="1"/>
  </cols>
  <sheetData>
    <row r="2" spans="1:2" x14ac:dyDescent="0.25">
      <c r="A2" s="22" t="s">
        <v>190</v>
      </c>
      <c r="B2" s="23" t="s">
        <v>187</v>
      </c>
    </row>
    <row r="3" spans="1:2" x14ac:dyDescent="0.25">
      <c r="B3" s="20" t="s">
        <v>112</v>
      </c>
    </row>
    <row r="4" spans="1:2" x14ac:dyDescent="0.25">
      <c r="B4" s="20" t="s">
        <v>113</v>
      </c>
    </row>
    <row r="5" spans="1:2" x14ac:dyDescent="0.25">
      <c r="B5" s="20" t="s">
        <v>114</v>
      </c>
    </row>
    <row r="6" spans="1:2" x14ac:dyDescent="0.25">
      <c r="B6" s="20" t="s">
        <v>115</v>
      </c>
    </row>
    <row r="7" spans="1:2" x14ac:dyDescent="0.25">
      <c r="B7" s="20" t="s">
        <v>116</v>
      </c>
    </row>
    <row r="8" spans="1:2" x14ac:dyDescent="0.25">
      <c r="B8" s="20" t="s">
        <v>117</v>
      </c>
    </row>
    <row r="9" spans="1:2" x14ac:dyDescent="0.25">
      <c r="B9" s="20" t="s">
        <v>118</v>
      </c>
    </row>
    <row r="10" spans="1:2" x14ac:dyDescent="0.25">
      <c r="B10" s="20" t="s">
        <v>119</v>
      </c>
    </row>
    <row r="11" spans="1:2" x14ac:dyDescent="0.25">
      <c r="B11" s="20" t="s">
        <v>120</v>
      </c>
    </row>
    <row r="12" spans="1:2" x14ac:dyDescent="0.25">
      <c r="B12" s="20" t="s">
        <v>121</v>
      </c>
    </row>
    <row r="13" spans="1:2" x14ac:dyDescent="0.25">
      <c r="B13" s="20" t="s">
        <v>122</v>
      </c>
    </row>
    <row r="14" spans="1:2" x14ac:dyDescent="0.25">
      <c r="B14" s="20" t="s">
        <v>123</v>
      </c>
    </row>
    <row r="15" spans="1:2" x14ac:dyDescent="0.25">
      <c r="B15" s="20" t="s">
        <v>124</v>
      </c>
    </row>
    <row r="16" spans="1:2" x14ac:dyDescent="0.25">
      <c r="B16" s="20" t="s">
        <v>125</v>
      </c>
    </row>
    <row r="17" spans="1:3" x14ac:dyDescent="0.25">
      <c r="B17" s="20" t="s">
        <v>126</v>
      </c>
    </row>
    <row r="18" spans="1:3" x14ac:dyDescent="0.25">
      <c r="B18" s="20" t="s">
        <v>127</v>
      </c>
      <c r="C18" t="s">
        <v>189</v>
      </c>
    </row>
    <row r="19" spans="1:3" x14ac:dyDescent="0.25">
      <c r="B19" s="20" t="s">
        <v>128</v>
      </c>
    </row>
    <row r="20" spans="1:3" x14ac:dyDescent="0.25">
      <c r="B20" s="20" t="s">
        <v>129</v>
      </c>
    </row>
    <row r="21" spans="1:3" x14ac:dyDescent="0.25">
      <c r="B21" s="20" t="s">
        <v>130</v>
      </c>
    </row>
    <row r="22" spans="1:3" x14ac:dyDescent="0.25">
      <c r="B22" s="20" t="s">
        <v>131</v>
      </c>
      <c r="C22" t="s">
        <v>194</v>
      </c>
    </row>
    <row r="23" spans="1:3" x14ac:dyDescent="0.25">
      <c r="B23" s="20" t="s">
        <v>132</v>
      </c>
    </row>
    <row r="24" spans="1:3" x14ac:dyDescent="0.25">
      <c r="B24" s="20" t="s">
        <v>133</v>
      </c>
    </row>
    <row r="25" spans="1:3" x14ac:dyDescent="0.25">
      <c r="B25" s="20" t="s">
        <v>134</v>
      </c>
    </row>
    <row r="26" spans="1:3" x14ac:dyDescent="0.25">
      <c r="A26" s="22" t="s">
        <v>191</v>
      </c>
      <c r="B26" s="23" t="s">
        <v>188</v>
      </c>
    </row>
    <row r="27" spans="1:3" x14ac:dyDescent="0.25">
      <c r="B27" s="20" t="s">
        <v>135</v>
      </c>
    </row>
    <row r="28" spans="1:3" x14ac:dyDescent="0.25">
      <c r="B28" s="21" t="s">
        <v>136</v>
      </c>
    </row>
    <row r="29" spans="1:3" x14ac:dyDescent="0.25">
      <c r="B29" s="20" t="s">
        <v>137</v>
      </c>
    </row>
    <row r="30" spans="1:3" x14ac:dyDescent="0.25">
      <c r="B30" s="20" t="s">
        <v>138</v>
      </c>
    </row>
    <row r="31" spans="1:3" x14ac:dyDescent="0.25">
      <c r="B31" s="20" t="s">
        <v>139</v>
      </c>
    </row>
    <row r="32" spans="1:3" x14ac:dyDescent="0.25">
      <c r="B32" s="20" t="s">
        <v>140</v>
      </c>
    </row>
    <row r="33" spans="2:2" x14ac:dyDescent="0.25">
      <c r="B33" s="20" t="s">
        <v>141</v>
      </c>
    </row>
    <row r="34" spans="2:2" x14ac:dyDescent="0.25">
      <c r="B34" s="20" t="s">
        <v>142</v>
      </c>
    </row>
    <row r="35" spans="2:2" x14ac:dyDescent="0.25">
      <c r="B35" s="20" t="s">
        <v>143</v>
      </c>
    </row>
    <row r="36" spans="2:2" x14ac:dyDescent="0.25">
      <c r="B36" s="20" t="s">
        <v>144</v>
      </c>
    </row>
    <row r="37" spans="2:2" x14ac:dyDescent="0.25">
      <c r="B37" s="20" t="s">
        <v>145</v>
      </c>
    </row>
    <row r="38" spans="2:2" x14ac:dyDescent="0.25">
      <c r="B38" s="20" t="s">
        <v>146</v>
      </c>
    </row>
    <row r="39" spans="2:2" x14ac:dyDescent="0.25">
      <c r="B39" s="20" t="s">
        <v>147</v>
      </c>
    </row>
    <row r="40" spans="2:2" x14ac:dyDescent="0.25">
      <c r="B40" s="20" t="s">
        <v>148</v>
      </c>
    </row>
    <row r="41" spans="2:2" x14ac:dyDescent="0.25">
      <c r="B41" s="20" t="s">
        <v>149</v>
      </c>
    </row>
    <row r="42" spans="2:2" x14ac:dyDescent="0.25">
      <c r="B42" s="20" t="s">
        <v>150</v>
      </c>
    </row>
    <row r="43" spans="2:2" x14ac:dyDescent="0.25">
      <c r="B43" s="21" t="s">
        <v>151</v>
      </c>
    </row>
    <row r="44" spans="2:2" x14ac:dyDescent="0.25">
      <c r="B44" s="20" t="s">
        <v>137</v>
      </c>
    </row>
    <row r="45" spans="2:2" x14ac:dyDescent="0.25">
      <c r="B45" s="20" t="s">
        <v>152</v>
      </c>
    </row>
    <row r="46" spans="2:2" x14ac:dyDescent="0.25">
      <c r="B46" s="20" t="s">
        <v>153</v>
      </c>
    </row>
    <row r="47" spans="2:2" x14ac:dyDescent="0.25">
      <c r="B47" s="20" t="s">
        <v>154</v>
      </c>
    </row>
    <row r="48" spans="2:2" x14ac:dyDescent="0.25">
      <c r="B48" s="20" t="s">
        <v>155</v>
      </c>
    </row>
    <row r="49" spans="2:2" x14ac:dyDescent="0.25">
      <c r="B49" s="20" t="s">
        <v>138</v>
      </c>
    </row>
    <row r="50" spans="2:2" x14ac:dyDescent="0.25">
      <c r="B50" s="20" t="s">
        <v>139</v>
      </c>
    </row>
    <row r="51" spans="2:2" x14ac:dyDescent="0.25">
      <c r="B51" s="20" t="s">
        <v>140</v>
      </c>
    </row>
    <row r="52" spans="2:2" x14ac:dyDescent="0.25">
      <c r="B52" s="20" t="s">
        <v>141</v>
      </c>
    </row>
    <row r="53" spans="2:2" x14ac:dyDescent="0.25">
      <c r="B53" s="20" t="s">
        <v>142</v>
      </c>
    </row>
    <row r="54" spans="2:2" x14ac:dyDescent="0.25">
      <c r="B54" s="20" t="s">
        <v>143</v>
      </c>
    </row>
    <row r="55" spans="2:2" x14ac:dyDescent="0.25">
      <c r="B55" s="20" t="s">
        <v>144</v>
      </c>
    </row>
    <row r="56" spans="2:2" x14ac:dyDescent="0.25">
      <c r="B56" s="20" t="s">
        <v>156</v>
      </c>
    </row>
    <row r="57" spans="2:2" x14ac:dyDescent="0.25">
      <c r="B57" s="20" t="s">
        <v>157</v>
      </c>
    </row>
    <row r="58" spans="2:2" x14ac:dyDescent="0.25">
      <c r="B58" s="20" t="s">
        <v>145</v>
      </c>
    </row>
    <row r="59" spans="2:2" x14ac:dyDescent="0.25">
      <c r="B59" s="20" t="s">
        <v>146</v>
      </c>
    </row>
    <row r="60" spans="2:2" x14ac:dyDescent="0.25">
      <c r="B60" s="20" t="s">
        <v>158</v>
      </c>
    </row>
    <row r="61" spans="2:2" x14ac:dyDescent="0.25">
      <c r="B61" s="20" t="s">
        <v>159</v>
      </c>
    </row>
    <row r="62" spans="2:2" x14ac:dyDescent="0.25">
      <c r="B62" s="20" t="s">
        <v>160</v>
      </c>
    </row>
    <row r="63" spans="2:2" x14ac:dyDescent="0.25">
      <c r="B63" s="20" t="s">
        <v>155</v>
      </c>
    </row>
    <row r="64" spans="2:2" x14ac:dyDescent="0.25">
      <c r="B64" s="20" t="s">
        <v>147</v>
      </c>
    </row>
    <row r="65" spans="2:2" x14ac:dyDescent="0.25">
      <c r="B65" s="20" t="s">
        <v>148</v>
      </c>
    </row>
    <row r="66" spans="2:2" x14ac:dyDescent="0.25">
      <c r="B66" s="20" t="s">
        <v>161</v>
      </c>
    </row>
    <row r="67" spans="2:2" x14ac:dyDescent="0.25">
      <c r="B67" s="20" t="s">
        <v>155</v>
      </c>
    </row>
    <row r="68" spans="2:2" x14ac:dyDescent="0.25">
      <c r="B68" s="20" t="s">
        <v>149</v>
      </c>
    </row>
    <row r="69" spans="2:2" x14ac:dyDescent="0.25">
      <c r="B69" s="20" t="s">
        <v>162</v>
      </c>
    </row>
    <row r="70" spans="2:2" x14ac:dyDescent="0.25">
      <c r="B70" s="21" t="s">
        <v>163</v>
      </c>
    </row>
    <row r="71" spans="2:2" x14ac:dyDescent="0.25">
      <c r="B71" s="20" t="s">
        <v>137</v>
      </c>
    </row>
    <row r="72" spans="2:2" x14ac:dyDescent="0.25">
      <c r="B72" s="20" t="s">
        <v>138</v>
      </c>
    </row>
    <row r="73" spans="2:2" x14ac:dyDescent="0.25">
      <c r="B73" s="20" t="s">
        <v>139</v>
      </c>
    </row>
    <row r="74" spans="2:2" x14ac:dyDescent="0.25">
      <c r="B74" s="20" t="s">
        <v>140</v>
      </c>
    </row>
    <row r="75" spans="2:2" x14ac:dyDescent="0.25">
      <c r="B75" s="20" t="s">
        <v>144</v>
      </c>
    </row>
    <row r="76" spans="2:2" x14ac:dyDescent="0.25">
      <c r="B76" s="20" t="s">
        <v>146</v>
      </c>
    </row>
    <row r="77" spans="2:2" x14ac:dyDescent="0.25">
      <c r="B77" s="20" t="s">
        <v>147</v>
      </c>
    </row>
    <row r="78" spans="2:2" x14ac:dyDescent="0.25">
      <c r="B78" s="20" t="s">
        <v>148</v>
      </c>
    </row>
    <row r="79" spans="2:2" x14ac:dyDescent="0.25">
      <c r="B79" s="20" t="s">
        <v>149</v>
      </c>
    </row>
    <row r="80" spans="2:2" x14ac:dyDescent="0.25">
      <c r="B80" s="20" t="s">
        <v>162</v>
      </c>
    </row>
    <row r="81" spans="1:2" x14ac:dyDescent="0.25">
      <c r="B81" s="21" t="s">
        <v>164</v>
      </c>
    </row>
    <row r="82" spans="1:2" x14ac:dyDescent="0.25">
      <c r="B82" s="21" t="s">
        <v>165</v>
      </c>
    </row>
    <row r="83" spans="1:2" x14ac:dyDescent="0.25">
      <c r="B83" s="21" t="s">
        <v>166</v>
      </c>
    </row>
    <row r="84" spans="1:2" x14ac:dyDescent="0.25">
      <c r="B84" s="21" t="s">
        <v>167</v>
      </c>
    </row>
    <row r="85" spans="1:2" x14ac:dyDescent="0.25">
      <c r="B85" s="21" t="s">
        <v>168</v>
      </c>
    </row>
    <row r="86" spans="1:2" x14ac:dyDescent="0.25">
      <c r="B86" s="21" t="s">
        <v>169</v>
      </c>
    </row>
    <row r="87" spans="1:2" x14ac:dyDescent="0.25">
      <c r="B87" s="21" t="s">
        <v>170</v>
      </c>
    </row>
    <row r="88" spans="1:2" x14ac:dyDescent="0.25">
      <c r="A88" s="22" t="s">
        <v>192</v>
      </c>
      <c r="B88" s="24" t="s">
        <v>171</v>
      </c>
    </row>
    <row r="89" spans="1:2" x14ac:dyDescent="0.25">
      <c r="B89" s="20" t="s">
        <v>172</v>
      </c>
    </row>
    <row r="90" spans="1:2" x14ac:dyDescent="0.25">
      <c r="B90" s="20" t="s">
        <v>173</v>
      </c>
    </row>
    <row r="91" spans="1:2" x14ac:dyDescent="0.25">
      <c r="B91" s="20" t="s">
        <v>174</v>
      </c>
    </row>
    <row r="92" spans="1:2" x14ac:dyDescent="0.25">
      <c r="B92" s="20" t="s">
        <v>175</v>
      </c>
    </row>
    <row r="93" spans="1:2" x14ac:dyDescent="0.25">
      <c r="B93" s="20" t="s">
        <v>176</v>
      </c>
    </row>
    <row r="94" spans="1:2" x14ac:dyDescent="0.25">
      <c r="B94" s="20" t="s">
        <v>177</v>
      </c>
    </row>
    <row r="95" spans="1:2" x14ac:dyDescent="0.25">
      <c r="B95" s="20" t="s">
        <v>178</v>
      </c>
    </row>
    <row r="96" spans="1:2" x14ac:dyDescent="0.25">
      <c r="B96" s="20" t="s">
        <v>179</v>
      </c>
    </row>
    <row r="97" spans="2:2" x14ac:dyDescent="0.25">
      <c r="B97" s="20" t="s">
        <v>180</v>
      </c>
    </row>
    <row r="98" spans="2:2" x14ac:dyDescent="0.25">
      <c r="B98" s="20" t="s">
        <v>181</v>
      </c>
    </row>
    <row r="99" spans="2:2" x14ac:dyDescent="0.25">
      <c r="B99" s="20" t="s">
        <v>182</v>
      </c>
    </row>
    <row r="100" spans="2:2" x14ac:dyDescent="0.25">
      <c r="B100" s="20" t="s">
        <v>183</v>
      </c>
    </row>
    <row r="101" spans="2:2" x14ac:dyDescent="0.25">
      <c r="B101" s="20" t="s">
        <v>184</v>
      </c>
    </row>
    <row r="102" spans="2:2" x14ac:dyDescent="0.25">
      <c r="B102" s="20" t="s">
        <v>185</v>
      </c>
    </row>
    <row r="103" spans="2:2" x14ac:dyDescent="0.25">
      <c r="B103" s="20" t="s">
        <v>186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QuangTrung</cp:lastModifiedBy>
  <dcterms:created xsi:type="dcterms:W3CDTF">2022-04-01T07:31:40Z</dcterms:created>
  <dcterms:modified xsi:type="dcterms:W3CDTF">2023-07-31T07:21:32Z</dcterms:modified>
</cp:coreProperties>
</file>
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gps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L18" i="1"/>
  <c r="G18" i="1"/>
  <c r="E18" i="1"/>
  <c r="H18" i="1" s="1"/>
  <c r="D18" i="1"/>
  <c r="V18" i="1" s="1"/>
  <c r="L22" i="1"/>
  <c r="G22" i="1"/>
  <c r="E22" i="1"/>
  <c r="H22" i="1" s="1"/>
  <c r="D22" i="1"/>
  <c r="V22" i="1" s="1"/>
  <c r="L21" i="1"/>
  <c r="G21" i="1"/>
  <c r="E21" i="1"/>
  <c r="H21" i="1" s="1"/>
  <c r="L29" i="5" s="1"/>
  <c r="D21" i="1"/>
  <c r="T21" i="1" s="1"/>
  <c r="L23" i="1"/>
  <c r="G23" i="1"/>
  <c r="E23" i="1"/>
  <c r="H23" i="1" s="1"/>
  <c r="D23" i="1"/>
  <c r="V23" i="1" s="1"/>
  <c r="L20" i="1"/>
  <c r="G20" i="1"/>
  <c r="E20" i="1"/>
  <c r="H20" i="1" s="1"/>
  <c r="D20" i="1"/>
  <c r="T20" i="1" s="1"/>
  <c r="L19" i="1"/>
  <c r="G19" i="1"/>
  <c r="E19" i="1"/>
  <c r="H19" i="1" s="1"/>
  <c r="D19" i="1"/>
  <c r="V19" i="1" s="1"/>
  <c r="L24" i="1"/>
  <c r="G24" i="1"/>
  <c r="E24" i="1"/>
  <c r="H24" i="1" s="1"/>
  <c r="D24" i="1"/>
  <c r="T24" i="1" s="1"/>
  <c r="T27" i="5" l="1"/>
  <c r="T30" i="5"/>
  <c r="H29" i="5"/>
  <c r="H27" i="5"/>
  <c r="V27" i="5"/>
  <c r="V29" i="5"/>
  <c r="G27" i="5"/>
  <c r="G29" i="5"/>
  <c r="U29" i="5" s="1"/>
  <c r="S27" i="5"/>
  <c r="L27" i="5"/>
  <c r="H30" i="5"/>
  <c r="T28" i="5"/>
  <c r="T29" i="5"/>
  <c r="I27" i="5"/>
  <c r="G28" i="5"/>
  <c r="S28" i="5" s="1"/>
  <c r="L28" i="5"/>
  <c r="V28" i="5"/>
  <c r="I29" i="5"/>
  <c r="G30" i="5"/>
  <c r="L30" i="5"/>
  <c r="V30" i="5"/>
  <c r="K28" i="5"/>
  <c r="U28" i="5"/>
  <c r="S29" i="5"/>
  <c r="K30" i="5"/>
  <c r="U30" i="5"/>
  <c r="K27" i="5"/>
  <c r="U27" i="5"/>
  <c r="H28" i="5"/>
  <c r="K29" i="5"/>
  <c r="S30" i="5"/>
  <c r="I28" i="5"/>
  <c r="I30" i="5"/>
  <c r="M24" i="1"/>
  <c r="P18" i="1"/>
  <c r="W18" i="1"/>
  <c r="O18" i="1"/>
  <c r="J18" i="1"/>
  <c r="N18" i="1"/>
  <c r="I18" i="1"/>
  <c r="M18" i="1"/>
  <c r="T18" i="1"/>
  <c r="M21" i="1"/>
  <c r="M20" i="1"/>
  <c r="I24" i="1"/>
  <c r="P21" i="1"/>
  <c r="W22" i="1"/>
  <c r="O22" i="1"/>
  <c r="J22" i="1"/>
  <c r="N22" i="1"/>
  <c r="I22" i="1"/>
  <c r="M22" i="1"/>
  <c r="W19" i="1"/>
  <c r="O19" i="1"/>
  <c r="J19" i="1"/>
  <c r="N19" i="1"/>
  <c r="I19" i="1"/>
  <c r="M19" i="1"/>
  <c r="W23" i="1"/>
  <c r="O23" i="1"/>
  <c r="J23" i="1"/>
  <c r="N23" i="1"/>
  <c r="I23" i="1"/>
  <c r="M23" i="1"/>
  <c r="N24" i="1"/>
  <c r="V24" i="1"/>
  <c r="P19" i="1"/>
  <c r="I20" i="1"/>
  <c r="N20" i="1"/>
  <c r="V20" i="1"/>
  <c r="P23" i="1"/>
  <c r="I21" i="1"/>
  <c r="N21" i="1"/>
  <c r="V21" i="1"/>
  <c r="P22" i="1"/>
  <c r="J24" i="1"/>
  <c r="O24" i="1"/>
  <c r="W24" i="1"/>
  <c r="T19" i="1"/>
  <c r="J20" i="1"/>
  <c r="O20" i="1"/>
  <c r="W20" i="1"/>
  <c r="T23" i="1"/>
  <c r="J21" i="1"/>
  <c r="O21" i="1"/>
  <c r="W21" i="1"/>
  <c r="T22" i="1"/>
  <c r="P24" i="1"/>
  <c r="P20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1" i="5"/>
  <c r="D21" i="5" s="1"/>
  <c r="C21" i="5"/>
  <c r="B22" i="5"/>
  <c r="D22" i="5" s="1"/>
  <c r="C22" i="5"/>
  <c r="B23" i="5"/>
  <c r="D23" i="5" s="1"/>
  <c r="C23" i="5"/>
  <c r="B24" i="5"/>
  <c r="D24" i="5" s="1"/>
  <c r="C24" i="5"/>
  <c r="B25" i="5"/>
  <c r="D25" i="5" s="1"/>
  <c r="C25" i="5"/>
  <c r="B26" i="5"/>
  <c r="D26" i="5" s="1"/>
  <c r="C26" i="5"/>
  <c r="B31" i="5"/>
  <c r="D31" i="5" s="1"/>
  <c r="C31" i="5"/>
  <c r="C15" i="5"/>
  <c r="B15" i="5"/>
  <c r="L26" i="5" l="1"/>
  <c r="L14" i="1"/>
  <c r="G14" i="1"/>
  <c r="E14" i="1"/>
  <c r="H14" i="1" s="1"/>
  <c r="D14" i="1"/>
  <c r="V14" i="1" s="1"/>
  <c r="L13" i="1"/>
  <c r="G13" i="1"/>
  <c r="E13" i="1"/>
  <c r="H13" i="1" s="1"/>
  <c r="D13" i="1"/>
  <c r="V13" i="1" s="1"/>
  <c r="G12" i="1"/>
  <c r="E12" i="1"/>
  <c r="H12" i="1" s="1"/>
  <c r="D12" i="1"/>
  <c r="T12" i="1" s="1"/>
  <c r="L11" i="1"/>
  <c r="G11" i="1"/>
  <c r="E11" i="1"/>
  <c r="H11" i="1" s="1"/>
  <c r="D11" i="1"/>
  <c r="V11" i="1" s="1"/>
  <c r="L10" i="1"/>
  <c r="G10" i="1"/>
  <c r="E10" i="1"/>
  <c r="H10" i="1" s="1"/>
  <c r="D10" i="1"/>
  <c r="V10" i="1" s="1"/>
  <c r="T25" i="5" l="1"/>
  <c r="H24" i="5"/>
  <c r="H26" i="5"/>
  <c r="V26" i="5"/>
  <c r="L24" i="5"/>
  <c r="G24" i="5"/>
  <c r="U24" i="5" s="1"/>
  <c r="V24" i="5"/>
  <c r="K25" i="5"/>
  <c r="G26" i="5"/>
  <c r="S26" i="5" s="1"/>
  <c r="I24" i="5"/>
  <c r="T24" i="5"/>
  <c r="G25" i="5"/>
  <c r="S25" i="5" s="1"/>
  <c r="L25" i="5"/>
  <c r="V25" i="5"/>
  <c r="I26" i="5"/>
  <c r="T26" i="5"/>
  <c r="K24" i="5"/>
  <c r="H25" i="5"/>
  <c r="K26" i="5"/>
  <c r="I25" i="5"/>
  <c r="P13" i="1"/>
  <c r="W13" i="1"/>
  <c r="M11" i="1"/>
  <c r="P11" i="1"/>
  <c r="T13" i="1"/>
  <c r="T11" i="1"/>
  <c r="W14" i="1"/>
  <c r="O14" i="1"/>
  <c r="J14" i="1"/>
  <c r="N14" i="1"/>
  <c r="I14" i="1"/>
  <c r="M14" i="1"/>
  <c r="W12" i="1"/>
  <c r="O12" i="1"/>
  <c r="J12" i="1"/>
  <c r="I12" i="1"/>
  <c r="M12" i="1"/>
  <c r="N12" i="1"/>
  <c r="N10" i="1"/>
  <c r="I10" i="1"/>
  <c r="M10" i="1"/>
  <c r="W10" i="1"/>
  <c r="O10" i="1"/>
  <c r="J10" i="1"/>
  <c r="V12" i="1"/>
  <c r="M13" i="1"/>
  <c r="P10" i="1"/>
  <c r="I11" i="1"/>
  <c r="N11" i="1"/>
  <c r="P12" i="1"/>
  <c r="I13" i="1"/>
  <c r="N13" i="1"/>
  <c r="P14" i="1"/>
  <c r="T10" i="1"/>
  <c r="J11" i="1"/>
  <c r="O11" i="1"/>
  <c r="W11" i="1"/>
  <c r="J13" i="1"/>
  <c r="O13" i="1"/>
  <c r="T14" i="1"/>
  <c r="U26" i="5" l="1"/>
  <c r="S24" i="5"/>
  <c r="U25" i="5"/>
  <c r="G25" i="1"/>
  <c r="E25" i="1"/>
  <c r="H25" i="1" s="1"/>
  <c r="D25" i="1"/>
  <c r="V25" i="1" s="1"/>
  <c r="W25" i="1" l="1"/>
  <c r="P25" i="1"/>
  <c r="T25" i="1"/>
  <c r="I25" i="1"/>
  <c r="N25" i="1"/>
  <c r="M25" i="1"/>
  <c r="J25" i="1"/>
  <c r="O25" i="1"/>
  <c r="B7" i="5"/>
  <c r="B6" i="5"/>
  <c r="B2" i="5"/>
  <c r="G31" i="5" l="1"/>
  <c r="T31" i="5"/>
  <c r="I31" i="5"/>
  <c r="S31" i="5"/>
  <c r="U31" i="5"/>
  <c r="V31" i="5"/>
  <c r="K31" i="5"/>
  <c r="H31" i="5"/>
  <c r="B8" i="5"/>
  <c r="B3" i="5"/>
  <c r="G20" i="5" l="1"/>
  <c r="S20" i="5"/>
  <c r="U20" i="5"/>
  <c r="V20" i="5"/>
  <c r="K20" i="5"/>
  <c r="T20" i="5"/>
  <c r="I20" i="5"/>
  <c r="H20" i="5"/>
  <c r="L31" i="5"/>
  <c r="L20" i="5"/>
  <c r="B6" i="1" l="1"/>
  <c r="G19" i="5" l="1"/>
  <c r="U19" i="5" s="1"/>
  <c r="I19" i="5"/>
  <c r="V19" i="5"/>
  <c r="K19" i="5"/>
  <c r="T19" i="5"/>
  <c r="H19" i="5"/>
  <c r="L19" i="5"/>
  <c r="D15" i="5"/>
  <c r="L17" i="1"/>
  <c r="G17" i="1"/>
  <c r="E17" i="1"/>
  <c r="H17" i="1" s="1"/>
  <c r="D17" i="1"/>
  <c r="V17" i="1" s="1"/>
  <c r="G16" i="1"/>
  <c r="E16" i="1"/>
  <c r="H16" i="1" s="1"/>
  <c r="D16" i="1"/>
  <c r="T16" i="1" s="1"/>
  <c r="G23" i="5" l="1"/>
  <c r="S23" i="5" s="1"/>
  <c r="K23" i="5"/>
  <c r="I23" i="5"/>
  <c r="V23" i="5"/>
  <c r="L23" i="5"/>
  <c r="T23" i="5"/>
  <c r="H23" i="5"/>
  <c r="K22" i="5"/>
  <c r="G22" i="5"/>
  <c r="S22" i="5" s="1"/>
  <c r="H22" i="5"/>
  <c r="T22" i="5"/>
  <c r="V22" i="5"/>
  <c r="I22" i="5"/>
  <c r="L22" i="5"/>
  <c r="S19" i="5"/>
  <c r="G18" i="5"/>
  <c r="S18" i="5" s="1"/>
  <c r="K18" i="5"/>
  <c r="T18" i="5"/>
  <c r="I18" i="5"/>
  <c r="V18" i="5"/>
  <c r="H18" i="5"/>
  <c r="G17" i="5"/>
  <c r="S17" i="5" s="1"/>
  <c r="T17" i="5"/>
  <c r="I17" i="5"/>
  <c r="V17" i="5"/>
  <c r="K17" i="5"/>
  <c r="H17" i="5"/>
  <c r="L18" i="5"/>
  <c r="L17" i="5"/>
  <c r="M16" i="1"/>
  <c r="L16" i="1"/>
  <c r="P16" i="1"/>
  <c r="W17" i="1"/>
  <c r="O17" i="1"/>
  <c r="J17" i="1"/>
  <c r="I17" i="1"/>
  <c r="N17" i="1"/>
  <c r="M17" i="1"/>
  <c r="I16" i="1"/>
  <c r="N16" i="1"/>
  <c r="V16" i="1"/>
  <c r="P17" i="1"/>
  <c r="J16" i="1"/>
  <c r="O16" i="1"/>
  <c r="W16" i="1"/>
  <c r="T17" i="1"/>
  <c r="U23" i="5" l="1"/>
  <c r="U22" i="5"/>
  <c r="U18" i="5"/>
  <c r="U17" i="5"/>
  <c r="G9" i="1"/>
  <c r="F15" i="5" s="1"/>
  <c r="E9" i="1"/>
  <c r="H9" i="1" s="1"/>
  <c r="E15" i="5" s="1"/>
  <c r="D9" i="1"/>
  <c r="V9" i="1" s="1"/>
  <c r="K15" i="5" l="1"/>
  <c r="I15" i="5"/>
  <c r="S15" i="5"/>
  <c r="U15" i="5"/>
  <c r="T15" i="5"/>
  <c r="H15" i="5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5" i="1" l="1"/>
  <c r="E15" i="1"/>
  <c r="H15" i="1" s="1"/>
  <c r="D15" i="1"/>
  <c r="T15" i="1" s="1"/>
  <c r="K21" i="5" l="1"/>
  <c r="L21" i="5"/>
  <c r="S21" i="5"/>
  <c r="V21" i="5"/>
  <c r="T21" i="5"/>
  <c r="G21" i="5"/>
  <c r="U21" i="5"/>
  <c r="H21" i="5"/>
  <c r="I21" i="5"/>
  <c r="H16" i="5"/>
  <c r="T16" i="5"/>
  <c r="V16" i="5"/>
  <c r="K16" i="5"/>
  <c r="I16" i="5"/>
  <c r="G16" i="5"/>
  <c r="S16" i="5" s="1"/>
  <c r="L16" i="5"/>
  <c r="P15" i="1"/>
  <c r="V15" i="1"/>
  <c r="W15" i="1"/>
  <c r="J15" i="1"/>
  <c r="I15" i="1"/>
  <c r="O15" i="1"/>
  <c r="N15" i="1"/>
  <c r="M15" i="1"/>
  <c r="U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7" i="1"/>
  <c r="T13" i="5"/>
  <c r="T7" i="1" l="1"/>
  <c r="W27" i="1"/>
  <c r="G6" i="1" l="1"/>
  <c r="K13" i="5"/>
  <c r="H13" i="5"/>
  <c r="I13" i="5"/>
  <c r="S13" i="5"/>
  <c r="L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2" i="1" l="1"/>
  <c r="L25" i="1"/>
  <c r="L9" i="1"/>
  <c r="L15" i="1"/>
  <c r="C7" i="1"/>
  <c r="O27" i="1"/>
  <c r="J27" i="1"/>
  <c r="I27" i="1"/>
  <c r="P27" i="1"/>
  <c r="N27" i="1"/>
  <c r="Q7" i="1" l="1"/>
  <c r="M68" i="3" s="1"/>
  <c r="L7" i="1"/>
  <c r="G68" i="3" s="1"/>
  <c r="K68" i="3"/>
  <c r="J68" i="3"/>
  <c r="K27" i="1"/>
  <c r="M2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<sst xmlns="http://schemas.openxmlformats.org/spreadsheetml/2006/main" count="502" uniqueCount="381">
  <si>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</si>
  <si>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</si>
  <si>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</si>
  <si>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</si>
  <si>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</si>
  <si>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</si>
  <si>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</si>
  <si>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</si>
  <si>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</si>
  <si>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</si>
  <si>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</si>
  <si>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</si>
  <si>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</si>
  <si>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</si>
  <si>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</si>
  <si>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</si>
  <si>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</si>
  <si>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</si>
  <si>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</si>
  <si>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</si>
  <si>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</si>
  <si>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</si>
  <si>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</si>
  <si>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</si>
  <si>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</si>
  <si>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</si>
  <si>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</si>
  <si>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</si>
  <si>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</si>
  <si>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</si>
  <si>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</si>
  <si>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</si>
  <si>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</si>
  <si>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</si>
  <si>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</si>
  <si>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</si>
  <si>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</si>
  <si>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</si>
  <si>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</si>
  <si>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</si>
  <si>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</si>
  <si>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</si>
  <si>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</si>
  <si>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</si>
  <si>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</si>
  <si>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</si>
  <si>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</si>
  <si>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</si>
  <si>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</si>
  <si>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</si>
  <si>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</si>
  <si>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</si>
  <si>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</si>
  <si>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</si>
  <si>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</si>
  <si>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</si>
  <si>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</si>
  <si>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</si>
  <si>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</si>
  <si>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</si>
  <si>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</si>
  <si>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</si>
  <si>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</si>
  <si>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</si>
  <si>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</si>
  <si>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</si>
  <si>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</si>
  <si>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</si>
  <si>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</si>
  <si>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</si>
  <si>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</si>
  <si>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</si>
  <si>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</si>
  <si>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</si>
  <si>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</si>
  <si>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</si>
  <si>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</si>
  <si>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</si>
  <si>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</si>
  <si>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</si>
  <si>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</si>
  <si>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</si>
  <si>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</si>
  <si>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</si>
  <si>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</si>
  <si>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</si>
  <si>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</si>
  <si>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</si>
  <si>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</si>
  <si>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</si>
  <si>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</si>
  <si>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</si>
  <si>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</si>
  <si>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</si>
  <si>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</si>
  <si>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</si>
  <si>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</si>
  <si>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</si>
  <si>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</si>
  <si>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</si>
  <si>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</si>
  <si>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</si>
  <si>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</si>
  <si>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</si>
  <si>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</si>
  <si>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</si>
  <si>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</si>
  <si>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</si>
  <si>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</si>
  <si>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</si>
  <si>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</si>
  <si>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</si>
  <si>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</si>
  <si>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</si>
  <si>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</si>
  <si>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</si>
  <si>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</si>
  <si>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</si>
  <si>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</si>
  <si>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</si>
  <si>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</si>
  <si>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</si>
  <si>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</si>
  <si>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</si>
  <si>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</si>
  <si>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</si>
  <si>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</si>
  <si>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</si>
  <si>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</si>
  <si>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</si>
  <si>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</si>
  <si>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</si>
  <si>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</si>
  <si>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</si>
  <si>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</si>
  <si>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</si>
  <si>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</si>
  <si>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</si>
  <si>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</si>
  <si>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</si>
  <si>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</si>
  <si>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</si>
  <si>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</si>
  <si>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</si>
  <si>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</si>
  <si>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</si>
  <si>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</si>
  <si>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</si>
  <si>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</si>
  <si>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</si>
  <si>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</si>
  <si>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</si>
  <si>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</si>
  <si>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</si>
  <si>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</si>
  <si>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</si>
  <si>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</si>
  <si>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</si>
  <si>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</si>
  <si>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</si>
  <si>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</si>
  <si>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</si>
  <si>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</si>
  <si>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</si>
  <si>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</si>
  <si>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</si>
  <si>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</si>
  <si>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</si>
  <si>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</si>
  <si>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</si>
  <si>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</si>
  <si>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</si>
  <si>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</si>
  <si>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</si>
  <si>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</si>
  <si>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</si>
  <si>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</si>
  <si>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</si>
  <si>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</si>
  <si>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</si>
  <si>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</si>
  <si>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</si>
  <si>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</si>
  <si>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</si>
  <si>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</si>
  <si>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</si>
  <si>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</si>
  <si>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</si>
  <si>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</si>
  <si>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</si>
  <si>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</si>
  <si>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</si>
  <si>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</si>
  <si>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</si>
  <si>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</si>
  <si>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</si>
  <si>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</si>
  <si>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</si>
  <si>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</si>
  <si>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</si>
  <si>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</si>
  <si>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</si>
  <si>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</si>
  <si>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</si>
  <si>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</si>
  <si>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</si>
  <si>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</si>
  <si>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</si>
  <si>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</si>
  <si>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</si>
  <si>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</si>
  <si>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</si>
  <si>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</si>
  <si>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</si>
  <si>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</si>
  <si>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</si>
  <si>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</si>
  <si>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</si>
  <si>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</si>
  <si>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</si>
  <si>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</si>
  <si>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</si>
  <si>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</si>
  <si>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</si>
  <si>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</si>
  <si>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</si>
  <si>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</si>
  <si>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</si>
  <si>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</si>
  <si>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</si>
  <si>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</si>
  <si>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</si>
  <si>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</si>
  <si>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</si>
  <si>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</si>
  <si>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</si>
  <si>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</si>
  <si>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</si>
  <si>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</si>
  <si>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</si>
  <si>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</si>
  <si>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</si>
  <si>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</si>
  <si>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</si>
  <si>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</si>
  <si>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</si>
  <si>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</si>
  <si>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</si>
  <si>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</si>
  <si>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</si>
  <si>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</si>
  <si>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</si>
  <si>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</si>
  <si>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</si>
  <si>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</si>
  <si>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</si>
  <si>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</si>
  <si>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</si>
  <si>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</si>
  <si>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</si>
  <si>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</si>
  <si>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</si>
  <si>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</si>
  <si>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</si>
  <si>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</si>
  <si>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</si>
  <si>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</si>
  <si>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</si>
  <si>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</si>
  <si>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</si>
  <si>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</si>
  <si>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</si>
  <si>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</si>
  <si>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</si>
  <si>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</si>
  <si>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</si>
  <si>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</si>
  <si>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</si>
  <si>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</si>
  <si>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</si>
  <si>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</si>
  <si>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</si>
  <si>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</si>
  <si>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</si>
  <si>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</si>
  <si>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</si>
  <si>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</si>
  <si>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</si>
  <si>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</si>
  <si>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</si>
  <si>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</si>
  <si>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</si>
  <si>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</si>
  <si>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</si>
  <si>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</si>
  <si>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</si>
  <si>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</si>
  <si>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</si>
  <si>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</si>
  <si>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</si>
  <si>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</si>
  <si>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</si>
  <si>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</si>
  <si>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</si>
  <si>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</si>
  <si>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</si>
  <si>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</si>
  <si>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</si>
  <si>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</si>
  <si>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</si>
  <si>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</si>
  <si>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</si>
  <si>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</si>
  <si>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</si>
  <si>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</si>
  <si>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</si>
  <si>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</si>
  <si>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</si>
  <si>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</si>
  <si>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</si>
  <si>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</si>
  <si>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</si>
  <si>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</si>
  <si>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</si>
  <si>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</si>
  <si>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</si>
  <si>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</si>
  <si>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</si>
  <si>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</si>
  <si>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</si>
  <si>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</si>
  <si>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</si>
  <si>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</si>
  <si>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</si>
  <si>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</si>
  <si>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</si>
  <si>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</si>
  <si>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</si>
  <si>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</si>
  <si>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</si>
  <si>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</si>
  <si>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</si>
  <si>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</si>
  <si>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</si>
  <si>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</si>
  <si>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</si>
  <si>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</si>
  <si>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</si>
  <si>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</si>
  <si>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</si>
  <si>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</si>
  <si>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</si>
  <si>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</si>
  <si>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</si>
  <si>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</si>
  <si>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</si>
  <si>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varchar(40)</t>
  </si>
  <si>
    <t>STATUS</t>
  </si>
  <si>
    <t>Inventory.GPS</t>
  </si>
  <si>
    <t>GENERATED_BY</t>
  </si>
  <si>
    <t>Y</t>
  </si>
  <si>
    <t>InvGpsKanban</t>
  </si>
  <si>
    <t>CONTENT_LIST_ID</t>
  </si>
  <si>
    <t>BACK_NO</t>
  </si>
  <si>
    <t>varchar(20)</t>
  </si>
  <si>
    <t>PART_NO</t>
  </si>
  <si>
    <t>COLOR_SFX</t>
  </si>
  <si>
    <t>varchar(2)</t>
  </si>
  <si>
    <t>PART_NAME</t>
  </si>
  <si>
    <t>nvarchar(400)</t>
  </si>
  <si>
    <t>BOX_SIZE</t>
  </si>
  <si>
    <t>BOX_QTY</t>
  </si>
  <si>
    <t>PC_ADDRESS</t>
  </si>
  <si>
    <t>WH_SPS_PICKING</t>
  </si>
  <si>
    <t>ACTUAL_BOX_QTY</t>
  </si>
  <si>
    <t>RENBAN_NO</t>
  </si>
  <si>
    <t>NO_IN_RENBAN</t>
  </si>
  <si>
    <t>PACKAGING_TYPE</t>
  </si>
  <si>
    <t>ACTUAL_BOX_SIZE</t>
  </si>
  <si>
    <t>nvarchar(50)</t>
  </si>
  <si>
    <t>Kanban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</si>
</sst>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52" zoomScaleNormal="100" workbookViewId="0">
      <selection activeCell="C67" sqref="C6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[Table("InvGpsKanban")]
	[Index(nameof(PartNo), Name="IX_InvGpsKanban_PartNo")]
	[Index(nameof(Status), Name="IX_InvGpsKanban_Status")]
	[Index(nameof(IsActive), Name="IX_InvGpsKanban_IsActive")]	public class InvGpsKanban: FullAuditedEntity&lt;long&gt;, IEntity&lt;long&gt;	
	{
		public const int MaxBackNoLength = 20;
		public const int MaxPartNoLength = 20;
		public const int MaxColorSfxLength = 2;
		public const int MaxPartNameLength = 400;
		public const int MaxPcAddressLength = 40;
		public const int MaxWhSpsPickingLength = 40;
		public const int MaxPackagingTypeLength = 20;
		public const int MaxGeneratedByLength = 50;
		public const int MaxStatusLength = 50;
		public const int MaxIsActiveLength = 1;
		public virtual long? ContentListId { get; set; }
		[StringLength(MaxBackNoLength)]
		public virtual string BackNo { get; set; }
		[StringLength(MaxPartNoLength)]
		public virtual string PartNo { get; set; }
		[StringLength(MaxColorSfxLength)]
		public virtual string ColorSfx { get; set; }
		[StringLength(MaxPartNameLength)]
		public virtual string PartName { get; set; }
		public virtual int? BoxSize { get; set; }
		public virtual int? BoxQty { get; set; }
		[StringLength(MaxPcAddressLength)]
		public virtual string PcAddress { get; set; }
		[StringLength(MaxWhSpsPickingLength)]
		public virtual string WhSpsPicking { get; set; }
		public virtual int? ActualBoxQty { get; set; }
		public virtual int? RenbanNo { get; set; }
		public virtual int? NoInRenban { get; set; }
		[StringLength(MaxPackagingTypeLength)]
		public virtual string PackagingType { get; set; }
		public virtual int? ActualBoxSize { get; set; }
		[StringLength(MaxGeneratedByLength)]
		public virtual string GeneratedBy { get; set; }
		[StringLength(MaxStatusLength)]
		public virtual string Status { get; set; }
		[StringLength(MaxIsActiveLength)]
		public virtual string IsActive { get; set; }
	}
}
</v>
      </c>
      <c r="D68" s="48" t="str">
        <f>A.Backend!O7</f>
        <v xml:space="preserve">		public const string Pages_Inventory_GPS_InvGpsKanban = "Pages.Inventory.GPS.InvGpsKanban";
		public const string Pages_Inventory_GPS_InvGpsKanban_CreateEdit = "Pages.Inventory.GPS.InvGpsKanban.CreateEdit";
		public const string Pages_Inventory_GPS_InvGpsKanban_Delete = "Pages.Inventory.GPS.InvGpsKanban.Delete";
</v>
      </c>
      <c r="E68" s="48" t="str">
        <f>A.Backend!N7</f>
        <v xml:space="preserve">		var perInvGpsKanban = PARENTS.CreateChildPermission(AppPermissions.Pages_Inventory_GPS_InvGpsKanban, L( "InventoryGPSInvGpsKanban"), multiTenancySides: MultiTenancySides.Tenant);
		perInvGpsKanban.CreateChildPermission(AppPermissions.Pages_Inventory_GPS_InvGpsKanban_CreateEdit, L( "InventoryGPSInvGpsKanbanCreateEdit"), multiTenancySides: MultiTenancySides.Tenant);
		perInvGpsKanban.CreateChildPermission(AppPermissions.Pages_Inventory_GPS_InvGpsKanban_Delete, L( "InventoryGPSInvGpsKanbanDelete"), multiTenancySides: MultiTenancySides.Tenant);</v>
      </c>
      <c r="F68" s="48" t="str">
        <f>A.Backend!K7</f>
        <v>public virtual DbSet&lt;InvGpsKanban&gt; InvGpsKanbans { get; set; }</v>
      </c>
      <c r="G68" s="48" t="str">
        <f ca="1">A.Backend!L7</f>
        <v xml:space="preserve">namespace prod.Inventory.GPS
{
	public class InvGpsKanbanConsts	
	{
		public const int MaxBackNoLength = 20;
		public const int MaxPartNoLength = 20;
		public const int MaxColorSfxLength = 2;
		public const int MaxPartNameLength = 400;
		public const int MaxPcAddressLength = 40;
		public const int MaxWhSpsPickingLength = 40;
		public const int MaxPackagingTypeLength = 20;
		public const int MaxGeneratedByLength = 50;
		public const int MaxStatusLength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InvGpsKanbanDto : EntityDto&lt;long?&gt;	
	{
		public virtual long? ContentListId { get; set; }
		public virtual string BackNo { get; set; }
		public virtual string PartNo { get; set; }
		public virtual string ColorSfx { get; set; }
		public virtual string PartName { get; set; }
		public virtual int? BoxSize { get; set; }
		public virtual int? BoxQty { get; set; }
		public virtual string PcAddress { get; set; }
		public virtual string WhSpsPicking { get; set; }
		public virtual int? ActualBoxQty { get; set; }
		public virtual int? RenbanNo { get; set; }
		public virtual int? NoInRenban { get; set; }
		public virtual string PackagingType { get; set; }
		public virtual int? ActualBoxSize { get; set; }
		public virtual string GeneratedBy { get; set; }
		public virtual string Status { get; set; }
		public virtual string IsActive { get; set; }
	}
	public class CreateOrEditInvGpsKanbanDto : EntityDto&lt;long?&gt;	
	{
		public virtual long? ContentListId { get; set; }
		[StringLength(InvGpsKanbanConsts.MaxBackNoLength)]
		public virtual string BackNo { get; set; }
		[StringLength(InvGpsKanbanConsts.MaxPartNoLength)]
		public virtual string PartNo { get; set; }
		[StringLength(InvGpsKanbanConsts.MaxColorSfxLength)]
		public virtual string ColorSfx { get; set; }
		[StringLength(InvGpsKanbanConsts.MaxPartNameLength)]
		public virtual string PartName { get; set; }
		public virtual int? BoxSize { get; set; }
		public virtual int? BoxQty { get; set; }
		[StringLength(InvGpsKanbanConsts.MaxPcAddressLength)]
		public virtual string PcAddress { get; set; }
		[StringLength(InvGpsKanbanConsts.MaxWhSpsPickingLength)]
		public virtual string WhSpsPicking { get; set; }
		public virtual int? ActualBoxQty { get; set; }
		public virtual int? RenbanNo { get; set; }
		public virtual int? NoInRenban { get; set; }
		[StringLength(InvGpsKanbanConsts.MaxPackagingTypeLength)]
		public virtual string PackagingType { get; set; }
		public virtual int? ActualBoxSize { get; set; }
		[StringLength(InvGpsKanbanConsts.MaxGeneratedByLength)]
		public virtual string GeneratedBy { get; set; }
		[StringLength(InvGpsKanbanConsts.MaxStatusLength)]
		public virtual string Status { get; set; }
		[StringLength(InvGpsKanbanConsts.MaxIsActiveLength)]
		public virtual string IsActive { get; set; }
	}
	public class GetInvGpsKanbanInput : PagedAndSortedResultRequestDto	
	{
		public virtual string BackNo { get; set; }
		public virtual string PartNo { get; set; }
		public virtual string ColorSfx { get; set; }
		public virtual string PartName { get; set; }
		public virtual string PcAddress { get; set; }
		public virtual string WhSpsPicking { get; set; }
		public virtual string PackagingType { get; set; }
		public virtual string GeneratedBy { get; set; }
		public virtual string Status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InvGpsKanbanExportInput{
		public virtual long? ContentListId { get; set; }
		public virtual string BackNo { get; set; }
		public virtual string PartNo { get; set; }
		public virtual string ColorSfx { get; set; }
		public virtual string PartName { get; set; }
		public virtual int? BoxSize { get; set; }
		public virtual int? BoxQty { get; set; }
		public virtual string PcAddress { get; set; }
		public virtual string WhSpsPicking { get; set; }
		public virtual int? ActualBoxQty { get; set; }
		public virtual int? RenbanNo { get; set; }
		public virtual int? NoInRenban { get; set; }
		public virtual string PackagingType { get; set; }
		public virtual int? ActualBoxSize { get; set; }
		public virtual string GeneratedBy { get; set; }
		public virtual string Status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IInvGpsKanbanAppService : IApplicationService
	{
		Task&lt;PagedResultDto&lt;InvGpsKanbanDto&gt;&gt; GetAll(GetInvGpsKanbanInput input);
		Task CreateOrEdit(CreateOrEditInvGpsKanbanDto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IInvGpsKanbanExcelExporter : IApplicationService
	{
		FileDto ExportToFile(List&lt;InvGpsKanbanDto&gt; invgpskanban);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InvGpsKanbanExcelExporter : NpoiExcelExporterBase, IInvGpsKanbanExcelExporter
    {
        public InvGpsKanbanExcelExporter(ITempFileCacheManager tempFileCacheManager) : base(tempFileCacheManager) { }
        public FileDto ExportToFile(List&lt;InvGpsKanbanDto&gt; invgpskanban)
        {
            return CreateExcelPackage(
				"InventoryGPSInvGpsKanban.xlsx",
				excelPackage =&gt;
				 {
					var sheet = excelPackage.CreateSheet("InvGpsKanban");
					AddHeader(
								sheet,
								("ContentListId"),
								("BackNo"),
								("PartNo"),
								("ColorSfx"),
								("PartName"),
								("BoxSize"),
								("BoxQty"),
								("PcAddress"),
								("WhSpsPicking"),
								("ActualBoxQty"),
								("RenbanNo"),
								("NoInRenban"),
								("PackagingType"),
								("ActualBoxSize"),
								("GeneratedBy"),
								("Status"),
								("IsActive"),
							   );
					AddObjects(
						 sheet, 1, invgpskanban,                                       
								_ =&gt; _.ContentListId,
								_ =&gt; _.BackNo,
								_ =&gt; _.PartNo,
								_ =&gt; _.ColorSfx,
								_ =&gt; _.PartName,
								_ =&gt; _.BoxSize,
								_ =&gt; _.BoxQty,
								_ =&gt; _.PcAddress,
								_ =&gt; _.WhSpsPicking,
								_ =&gt; _.ActualBoxQty,
								_ =&gt; _.RenbanNo,
								_ =&gt; _.NoInRenban,
								_ =&gt; _.PackagingType,
								_ =&gt; _.ActualBoxSize,
								_ =&gt; _.GeneratedBy,
								_ =&gt; _.Status,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[AbpAuthorize(AppPermissions.Pages_Inventory_GPS_InvGpsKanban)]
    public class InvGpsKanbanAppService : vovinaAppServiceBase, IInvGpsKanbanAppService
    {
        private readonly IDapperRepository&lt;InvGpsKanban, long&gt; _dapperRepo;
        private readonly IRepository&lt;InvGpsKanban, long&gt; _repo;
        private readonly IInvGpsKanbanExcelExporter _calendarListExcelExporter;
        public InvGpsKanbanAppService(IRepository&lt;InvGpsKanban,long&gt; repo, 
                                         IDapperRepository&lt;InvGpsKanban,long&gt; dapperRepo,
                                        IInvGpsKanbanExcelExporter calendarListExcelExporter
            )
        {
            _repo = repo;
            _dapperRepo = dapperRepo;
            _calendarListExcelExporter = calendarListExcelExporter;
        }
        [AbpAuthorize(AppPermissions.Pages_Inventory_GPS_InvGpsKanban_CreateEdit)]
        public async Task CreateOrEdit(CreateOrEditInvGpsKanbanDto input)
        {
            if (input.Id == null) await Create(input);
            else await Update(input);
        }
        //CREATE
        private async Task Create(CreateOrEditInvGpsKanbanDto input)
        {          
            var mainObj = ObjectMapper.Map&lt;InvGpsKanban&gt;(input);
            await CurrentUnitOfWork.GetDbContext&lt;vovinaDbContext&gt;().AddAsync(mainObj);
        }
        // EDIT
        private async Task Update(CreateOrEditInvGpsKanbanDto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[AbpAuthorize(AppPermissions.Pages_Inventory_GPS_InvGpsKanban_Delete)]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Task&lt;PagedResultDto&lt;InvGpsKanbanDto&gt;&gt; GetAll(GetInvGpsKanbanInput input)
        {
            var filtered = _repo.GetAll()
				.WhereIf(!string.IsNullOrWhiteSpace(input.BackNo), e =&gt; e.BackNo.Contains(input.BackNo))
				.WhereIf(!string.IsNullOrWhiteSpace(input.PartNo), e =&gt; e.PartNo.Contains(input.PartNo))
				.WhereIf(!string.IsNullOrWhiteSpace(input.ColorSfx), e =&gt; e.ColorSfx.Contains(input.ColorSfx))
				.WhereIf(!string.IsNullOrWhiteSpace(input.PartName), e =&gt; e.PartName.Contains(input.PartName))
				.WhereIf(!string.IsNullOrWhiteSpace(input.PcAddress), e =&gt; e.PcAddress.Contains(input.PcAddress))
				.WhereIf(!string.IsNullOrWhiteSpace(input.WhSpsPicking), e =&gt; e.WhSpsPicking.Contains(input.WhSpsPicking))
				.WhereIf(!string.IsNullOrWhiteSpace(input.PackagingType), e =&gt; e.PackagingType.Contains(input.PackagingType))
				.WhereIf(!string.IsNullOrWhiteSpace(input.GeneratedBy), e =&gt; e.GeneratedBy.Contains(input.GeneratedBy))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InvGpsKanbanDto
                        {
							Id = o.Id,
							ContentListId = o.ContentListId,
							BackNo = o.BackNo,
							PartNo = o.PartNo,
							ColorSfx = o.ColorSfx,
							PartName = o.PartName,
							BoxSize = o.BoxSize,
							BoxQty = o.BoxQty,
							PcAddress = o.PcAddress,
							WhSpsPicking = o.WhSpsPicking,
							ActualBoxQty = o.ActualBoxQty,
							RenbanNo = o.RenbanNo,
							NoInRenban = o.NoInRenban,
							PackagingType = o.PackagingType,
							ActualBoxSize = o.ActualBoxSize,
							GeneratedBy = o.GeneratedBy,
							Status = o.Status,
							IsActive = o.IsActive,
                        };
            var totalCount = await filtered.CountAsync();
			var paged = system.PageBy(input);
            return new PagedResultDto&lt;InvGpsKanbanDto&gt;(
                totalCount,
                 await paged.ToListAsync()
            );
        }
        public async Task&lt;FileDto&gt; GetInvGpsKanbanToExcel(InvGpsKanbanExportInput input)
        {
            var query = from o in _repo.GetAll()
                        select new InvGpsKanbanDto
                        {
							Id = o.Id,
							ContentListId = o.ContentListId,
							BackNo = o.BackNo,
							PartNo = o.PartNo,
							ColorSfx = o.ColorSfx,
							PartName = o.PartName,
							BoxSize = o.BoxSize,
							BoxQty = o.BoxQty,
							PcAddress = o.PcAddress,
							WhSpsPicking = o.WhSpsPicking,
							ActualBoxQty = o.ActualBoxQty,
							RenbanNo = o.RenbanNo,
							NoInRenban = o.NoInRenban,
							PackagingType = o.PackagingType,
							ActualBoxSize = o.ActualBoxSize,
							GeneratedBy = o.GeneratedBy,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_dapperRepo.ExecuteAsync(InvGpsKanbanConsts.SP_MST_WPT_CALENDAR_GENERATE);
       // }
    }
}</v>
      </c>
      <c r="N68" s="58" t="str">
        <f>A.Backend!U7</f>
        <v xml:space="preserve">  configuration.CreateMap&lt;InvGpsKanbanDto, InvGpsKanban&gt;();
  configuration.CreateMap&lt;InvGpsKanban, InvGpsKanbanDto&gt;();
  configuration.CreateMap&lt;CreateOrEditInvGpsKanbanDto, InvGpsKanban&gt;();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invgpskanban</v>
      </c>
      <c r="C73" s="66" t="str">
        <f>"create folder " &amp;B73</f>
        <v>create folder invgpskanban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invgpskanban.component.ts</v>
      </c>
      <c r="D74" s="28" t="str">
        <f>B.Frontend!I14</f>
        <v>invgpskanban.component.html</v>
      </c>
      <c r="E74" s="28" t="str">
        <f>B.Frontend!J14</f>
        <v>invgpskanban.component.less</v>
      </c>
      <c r="F74" s="28" t="str">
        <f>B.Frontend!K14</f>
        <v>create-or-edit-invgpskanban-modal.component.html</v>
      </c>
      <c r="G74" s="28" t="str">
        <f>B.Frontend!L14</f>
        <v>create-or-edit-invgpskanban-modal.component.ts</v>
      </c>
      <c r="H74" s="28" t="str">
        <f>B.Frontend!M14</f>
        <v>create-or-edit-invgpskanban-modal.component.less</v>
      </c>
      <c r="I74" s="28" t="str">
        <f>B.Frontend!N14</f>
        <v>invgpskanban.module.ts</v>
      </c>
      <c r="J74" s="28" t="str">
        <f>B.Frontend!O14</f>
        <v>invgpskanban-routing.module.ts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InvGpsKanbanDto, InvGpsKanbanServiceProxy } from '@shared/service-proxies/service-proxies';
import { finalize } from 'rxjs/internal/operators/finalize';
import { CreateOrEditInvGpsKanbanModalComponent } from './create-or-edit-invgpskanban-modal.component';
import { DatePipe } from '@angular/common';
import { FileDownloadService } from '@shared/utils/file-download.service';
import ceil from 'lodash-es/ceil';
import { Paginator } from 'primeng/paginator';
@Component({
    templateUrl: './invgpskanban.component.html',
    styleUrls: ['./invgpskanban.component.less'],
})
export class InvGpsKanbanComponent extends AppComponentBase implements OnInit {
    @ViewChild('createOrEditModalInvGpsKanban', { static: true }) createOrEditModalInvGpsKanban:| CreateOrEditInvGpsKanbanModalComponent|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InvGpsKanbanDto = new InvGpsKanbanDto();
    saveSelectedRow: InvGpsKanbanDto = new InvGpsKanbanDto();
    datas: InvGpsKanbanDto = new InvGpsKanbanDto();
    isLoading: boolean = false;
    dataParams: GridParams | undefined;
    rowData: any[] = [];
    gridApi!: GridApi;
    rowSelection = 'multiple';
    filter: string = '';
	pipe = new DatePipe('en-US');
	frameworkComponents: FrameworkComponent;
    	backNo : string = '' ; 
	partNo : string = '' ; 
	colorSfx : string = '' ; 
	partName : string = '' ; 
	pcAddress : string = '' ; 
	whSpsPicking : string = '' ; 
	packagingType : string = '' ; 
	generatedBy : string = '' ; 
	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InvGpsKanbanServiceProxy,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this.l('Content List Id'),headerTooltip: this.l('Content List Id'),field: 'contentListId',flex: 1},
			{headerName: this.l('Back No'),headerTooltip: this.l('Back No'),field: 'backNo',flex: 1},
			{headerName: this.l('Part No'),headerTooltip: this.l('Part No'),field: 'partNo',flex: 1},
			{headerName: this.l('Color Sfx'),headerTooltip: this.l('Color Sfx'),field: 'colorSfx',flex: 1},
			{headerName: this.l('Part Name'),headerTooltip: this.l('Part Name'),field: 'partName',flex: 1},
			{headerName: this.l('Box Size'),headerTooltip: this.l('Box Size'),field: 'boxSize',flex: 1},
			{headerName: this.l('Box Qty'),headerTooltip: this.l('Box Qty'),field: 'boxQty',flex: 1},
			{headerName: this.l('Pc Address'),headerTooltip: this.l('Pc Address'),field: 'pcAddress',flex: 1},
			{headerName: this.l('Wh Sps Picking'),headerTooltip: this.l('Wh Sps Picking'),field: 'whSpsPicking',flex: 1},
			{headerName: this.l('Actual Box Qty'),headerTooltip: this.l('Actual Box Qty'),field: 'actualBoxQty',flex: 1},
			{headerName: this.l('Renban No'),headerTooltip: this.l('Renban No'),field: 'renbanNo',flex: 1},
			{headerName: this.l('No In Renban'),headerTooltip: this.l('No In Renban'),field: 'noInRenban',flex: 1},
			{headerName: this.l('Packaging Type'),headerTooltip: this.l('Packaging Type'),field: 'packagingType',flex: 1},
			{headerName: this.l('Actual Box Size'),headerTooltip: this.l('Actual Box Size'),field: 'actualBoxSize',flex: 1},
			{headerName: this.l('Generated By'),headerTooltip: this.l('Generated By'),field: 'generatedBy',flex: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this.contentListId,
			this.backNo,
			this.partNo,
			this.colorSfx,
			this.boxQty,
			this.pcAddress,
			this.noInRenban,
			this.actualBoxSize,
			this.generatedBy,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backNo : string = '' ; 
	partNo : string = '' ; 
	colorSfx : string = '' ; 
	partName : string = '' ; 
	pcAddress : string = '' ; 
	whSpsPicking : string = '' ; 
	packagingType : string = '' ; 
	generatedBy : string = '' ; 
	status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this.contentListId,
			this.backNo,
			this.partNo,
			this.colorSfx,
			this.boxQty,
			this.pcAddress,
			this.noInRenban,
			this.actualBoxSize,
			this.generatedBy,
			'',
            this.paginationParams.skipCount,
            this.paginationParams.pageSize
        );
    }
    onChangeRowSelection(params: { api: { getSelectedRows: () =&gt; InvGpsKanbanDto[] } }) {
        this.saveSelectedRow = params.api.getSelectedRows()[0] ?? new InvGpsKanbanDto();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InvGpsKanbanDto):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this._service.getInvGpsKanbanToExcel(
			this.contentListId,
			this.backNo,
			this.partNo,
			this.colorSfx,
			this.boxQty,
			this.pcAddress,
			this.noInRenban,
			this.actualBoxSize,
			this.generatedBy,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Kanban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[(ngModel)]='whSpsPicking' name='whSpsPicking'
									class='form-control' [placeholder]="l('Wh Sps Picking')"
									type='text' (keyup.enter)='searchDatas()'&gt;
								&lt;/div&gt;
								&lt;div class='input-search'&gt;
									&lt;input [(ngModel)]='packagingType' name='packagingType'
									class='form-control' [placeholder]="l('Packaging Type')"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(click)="createOrEditModalInvGpsKanban.show()"&gt;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(click)="createOrEditModalInvGpsKanban.show(selectedRow)"&gt;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&lt;create-or-edit-invgpskanban-modal
    #createOrEditModalInvGpsKanban
    (modalSave)="callBackDataGrid(dataParams)"
    (modalClose)="onChangeRowSelection(dataParams)"
&gt;
&lt;/create-or-edit-invgpskanban-modal&gt;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#createOrEditModalInvGpsKanban="bs-modal"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InvGpsKanban')}}&lt;/h3&gt;
                    &lt;h3 *ngIf="!rowdata.id"&gt;{{('Create New InvGpsKanban')}}&lt;/h3&gt;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title'&gt;Content List Id&lt;/label&gt;
						&lt;input type='number' class='col-md-10 form-control input-text' name='ContentListId' [(ngModel)]='rowdata.contentListId'&gt;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title'&gt;Box Size&lt;/label&gt;
						&lt;input type='number' class='col-md-10 form-control input-text' name='BoxSize' [(ngModel)]='rowdata.boxSize'&gt;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title'&gt;Wh Sps Picking&lt;/label&gt;
						&lt;input type='text' class='col-md-10 form-control input-text' name='WhSpsPicking' [(ngModel)]='rowdata.whSpsPicking'&gt;
					&lt;/div&gt;
					&lt;div class='col-md-12 form-group row'&gt;
						&lt;label class='col-md-2 form-control title'&gt;Actual Box Qty&lt;/label&gt;
						&lt;input type='number' class='col-md-10 form-control input-text' name='ActualBoxQty' [(ngModel)]='rowdata.actualBoxQty'&gt;
					&lt;/div&gt;
					&lt;div class='col-md-12 form-group row'&gt;
						&lt;label class='col-md-2 form-control title'&gt;Renban No&lt;/label&gt;
						&lt;input type='number' class='col-md-10 form-control input-text' name='RenbanNo' [(ngModel)]='rowdata.renbanNo'&gt;
					&lt;/div&gt;
					&lt;div class='col-md-12 form-group row'&gt;
						&lt;label class='col-md-2 form-control title'&gt;No In Renban&lt;/label&gt;
						&lt;input type='number' class='col-md-10 form-control input-text' name='NoInRenban' [(ngModel)]='rowdata.noInRenban'&gt;
					&lt;/div&gt;
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
					&lt;div class='col-md-12 form-group row'&gt;
						&lt;label class='col-md-2 form-control title'&gt;Actual Box Size&lt;/label&gt;
						&lt;input type='number' class='col-md-10 form-control input-text' name='ActualBoxSize' [(ngModel)]='rowdata.actualBoxSize'&gt;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CreateOrEditInvGpsKanbanDto, InvGpsKanbanServiceProxy } from '@shared/service-proxies/service-proxies';
import { BsDatepickerDirective } from 'ngx-bootstrap/datepicker';
@Component({
    selector: 'create-or-edit-invgpskanban-modal',
    templateUrl: './create-or-edit-invgpskanban-modal.component.html',
    styleUrls: ['./create-or-edit-invgpskanban-modal.component.less']
    })
export class CreateOrEditInvGpsKanbanModalComponent extends AppComponentBase {
    @ViewChild('createOrEditModalInvGpsKanban',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CreateOrEditInvGpsKanbanDto = new CreateOrEditInvGpsKanbanDto();
    active: boolean = false;
    saving: boolean = false;
    _isActive: boolean;
    constructor(
        injector: Injector,
        private _mstwptInvGpsKanbanService: InvGpsKanbanServiceProxy,
    ) 
    {
        super(injector);
    }
    show(rowdata?: CreateOrEditInvGpsKanbanDto): void {
        if (!rowdata) this.rowdata = new CreateOrEditInvGpsKanbanDto();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this._mstwptInvGpsKanbanService.createOrEdit(this.rowdata)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InvGpsKanbanRoutingModule } from './invgpskanban-routing.module';
import { InvGpsKanbanComponent } from './invgpskanban.component';
import { CreateOrEditInvGpsKanbanModalComponent } from './create-or-edit-invgpskanban-modal.component';
@NgModule({
    declarations: [
       InvGpsKanbanComponent, 
        CreateOrEditInvGpsKanbanModalComponent
    ],
    imports: [
        AppSharedModule, InvGpsKanbanRoutingModule]
})
export class InvGpsKanbanModule {}</v>
      </c>
      <c r="J75" s="46" t="str">
        <f>B.Frontend!O10</f>
        <v>import {NgModule} from '@angular/core';
import {RouterModule, Routes} from '@angular/router';
import { InvGpsKanbanComponent } from './invgpskanban.component';
const routes: Routes = [{
    path: '',
    component: InvGpsKanbanComponent,
    pathMatch: 'full'
}];
@NgModule({
    imports: [RouterModule.forChild(routes)],
    exports: [RouterModule],
})
export class InvGpsKanbanRoutingModule {}</v>
      </c>
      <c r="K75" s="46" t="str">
        <f>B.Frontend!P10</f>
        <v xml:space="preserve"> new AppMenuItem("InvGpsKanban", "Pages.Inventory.GPS.InvGpsKanban", "flaticon-book",   "/app/main/inventory/gps/invgpskanban"),</v>
      </c>
      <c r="L75" s="47" t="str">
        <f>B.Frontend!Q10</f>
        <v>{
    path: 'inventory/gps/invgpskanban',
    loadChildren: () =&gt; import('./inventory/gps/invgpskanban/invgpskanban.module').then(m =&gt; m.InvGpsKanbanModule),
    data: { permission: 'Pages.Inventory.GPS.InvGpsKanban' }
},</v>
      </c>
      <c r="M75" s="45" t="str">
        <f>B.Frontend!R10</f>
        <v>ApiServiceProxies.InvGpsKanbanServiceProxy,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7"/>
  <sheetViews>
    <sheetView workbookViewId="0">
      <pane xSplit="1" topLeftCell="B1" activePane="topRight" state="frozen"/>
      <selection pane="topRight" activeCell="H14" sqref="H14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40</v>
      </c>
      <c r="D3" s="9" t="s">
        <v>41</v>
      </c>
      <c r="E3" s="9" t="s">
        <v>36</v>
      </c>
      <c r="F3" s="10" t="str">
        <f>"J"&amp;COUNTA($A:$A)</f>
        <v>J25</v>
      </c>
      <c r="G3" s="4" t="s">
        <v>53</v>
      </c>
      <c r="H3" s="9" t="str">
        <f>"I"&amp;COUNTA($A:$A)</f>
        <v>I25</v>
      </c>
      <c r="I3" s="9" t="str">
        <f>REPT(CHAR(9),2)&amp;"[Required]"&amp;"
"</f>
        <v xml:space="preserve">		[Required]
</v>
      </c>
      <c r="J3" s="10" t="str">
        <f>"L"&amp;COUNTA($A:$A)</f>
        <v>L25</v>
      </c>
      <c r="K3" s="5" t="s">
        <v>52</v>
      </c>
      <c r="L3" s="10" t="str">
        <f>"M"&amp;COUNTA($A:$A)</f>
        <v>M25</v>
      </c>
      <c r="M3" s="10" t="str">
        <f>"N"&amp;COUNTA($A:$A)</f>
        <v>N25</v>
      </c>
      <c r="N3" s="10" t="str">
        <f>"O"&amp;COUNTA($A:$A)</f>
        <v>O25</v>
      </c>
      <c r="O3" s="10" t="str">
        <f>"P"&amp;COUNTA($A:$A)</f>
        <v>P25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InvGpsKanbanExportInput{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T25</v>
      </c>
      <c r="V3" s="10" t="str">
        <f>"V"&amp;COUNTA($A:$A)</f>
        <v>V25</v>
      </c>
      <c r="W3" s="9" t="str">
        <f>"W"&amp;COUNTA($A:$A)</f>
        <v>W25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InvGpsKanban: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InvGpsKanbanConsts	
	{
</v>
      </c>
      <c r="F6" s="10" t="str">
        <f>REPT(CHAR(9),1)&amp;"public class "&amp;B3&amp;"Dto"&amp;K3&amp;REPT(CHAR(9),1)&amp;"
"&amp;REPT(CHAR(9),1)&amp;C3</f>
        <v xml:space="preserve">	public class InvGpsKanbanDto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CreateOrEditInvGpsKanbanDto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GetInvGpsKanbanInput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InvGpsKanban</v>
      </c>
      <c r="C7" s="10" t="str">
        <f>REPT(CHAR(9),1)&amp;"[Table("""&amp;B7&amp;""")]"&amp;"
"</f>
        <v xml:space="preserve">	[Table("InvGpsKanban")]
</v>
      </c>
      <c r="D7" s="10"/>
      <c r="E7" s="10"/>
      <c r="F7" s="10"/>
      <c r="G7" s="10"/>
      <c r="H7" s="10"/>
      <c r="I7" s="10"/>
      <c r="J7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[Table("InvGpsKanban")]
	[Index(nameof(PartNo), Name="IX_InvGpsKanban_PartNo")]
	[Index(nameof(Status), Name="IX_InvGpsKanban_Status")]
	[Index(nameof(IsActive), Name="IX_InvGpsKanban_IsActive")]	public class InvGpsKanban: FullAuditedEntity&lt;long&gt;, IEntity&lt;long&gt;	
	{
		public const int MaxBackNoLength = 20;
		public const int MaxPartNoLength = 20;
		public const int MaxColorSfxLength = 2;
		public const int MaxPartNameLength = 400;
		public const int MaxPcAddressLength = 40;
		public const int MaxWhSpsPickingLength = 40;
		public const int MaxPackagingTypeLength = 20;
		public const int MaxGeneratedByLength = 50;
		public const int MaxStatusLength = 50;
		public const int MaxIsActiveLength = 1;
		public virtual long? ContentListId { get; set; }
		[StringLength(MaxBackNoLength)]
		public virtual string BackNo { get; set; }
		[StringLength(MaxPartNoLength)]
		public virtual string PartNo { get; set; }
		[StringLength(MaxColorSfxLength)]
		public virtual string ColorSfx { get; set; }
		[StringLength(MaxPartNameLength)]
		public virtual string PartName { get; set; }
		public virtual int? BoxSize { get; set; }
		public virtual int? BoxQty { get; set; }
		[StringLength(MaxPcAddressLength)]
		public virtual string PcAddress { get; set; }
		[StringLength(MaxWhSpsPickingLength)]
		public virtual string WhSpsPicking { get; set; }
		public virtual int? ActualBoxQty { get; set; }
		public virtual int? RenbanNo { get; set; }
		public virtual int? NoInRenban { get; set; }
		[StringLength(MaxPackagingTypeLength)]
		public virtual string PackagingType { get; set; }
		public virtual int? ActualBoxSize { get; set; }
		[StringLength(MaxGeneratedByLength)]
		public virtual string GeneratedBy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DbSet&lt;InvGpsKanban&gt; InvGpsKanbans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prod.Inventory.GPS
{
	public class InvGpsKanbanConsts	
	{
		public const int MaxBackNoLength = 20;
		public const int MaxPartNoLength = 20;
		public const int MaxColorSfxLength = 2;
		public const int MaxPartNameLength = 400;
		public const int MaxPcAddressLength = 40;
		public const int MaxWhSpsPickingLength = 40;
		public const int MaxPackagingTypeLength = 20;
		public const int MaxGeneratedByLength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prod.Inventory.GPS.Dto
{
	public class InvGpsKanbanDto : EntityDto&lt;long?&gt;	
	{
		public virtual long? ContentListId { get; set; }
		public virtual string BackNo { get; set; }
		public virtual string PartNo { get; set; }
		public virtual string ColorSfx { get; set; }
		public virtual string PartName { get; set; }
		public virtual int? BoxSize { get; set; }
		public virtual int? BoxQty { get; set; }
		public virtual string PcAddress { get; set; }
		public virtual string WhSpsPicking { get; set; }
		public virtual int? ActualBoxQty { get; set; }
		public virtual int? RenbanNo { get; set; }
		public virtual int? NoInRenban { get; set; }
		public virtual string PackagingType { get; set; }
		public virtual int? ActualBoxSize { get; set; }
		public virtual string GeneratedBy { get; set; }
		public virtual string Status { get; set; }
		public virtual string IsActive { get; set; }
	}
	public class CreateOrEditInvGpsKanbanDto : EntityDto&lt;long?&gt;	
	{
		public virtual long? ContentListId { get; set; }
		[StringLength(InvGpsKanbanConsts.MaxBackNoLength)]
		public virtual string BackNo { get; set; }
		[StringLength(InvGpsKanbanConsts.MaxPartNoLength)]
		public virtual string PartNo { get; set; }
		[StringLength(InvGpsKanbanConsts.MaxColorSfxLength)]
		public virtual string ColorSfx { get; set; }
		[StringLength(InvGpsKanbanConsts.MaxPartNameLength)]
		public virtual string PartName { get; set; }
		public virtual int? BoxSize { get; set; }
		public virtual int? BoxQty { get; set; }
		[StringLength(InvGpsKanbanConsts.MaxPcAddressLength)]
		public virtual string PcAddress { get; set; }
		[StringLength(InvGpsKanbanConsts.MaxWhSpsPickingLength)]
		public virtual string WhSpsPicking { get; set; }
		public virtual int? ActualBoxQty { get; set; }
		public virtual int? RenbanNo { get; set; }
		public virtual int? NoInRenban { get; set; }
		[StringLength(InvGpsKanbanConsts.MaxPackagingTypeLength)]
		public virtual string PackagingType { get; set; }
		public virtual int? ActualBoxSize { get; set; }
		[StringLength(InvGpsKanbanConsts.MaxGeneratedByLength)]
		public virtual string GeneratedBy { get; set; }
		[StringLength(InvGpsKanbanConsts.MaxStatusLength)]
		public virtual string Status { get; set; }
		[StringLength(InvGpsKanbanConsts.MaxIsActiveLength)]
		public virtual string IsActive { get; set; }
	}
	public class GetInvGpsKanbanInput : PagedAndSortedResultRequestDto	
	{
		public virtual string BackNo { get; set; }
		public virtual string PartNo { get; set; }
		public virtual string ColorSfx { get; set; }
		public virtual string PartName { get; set; }
		public virtual string PcAddress { get; set; }
		public virtual string WhSpsPicking { get; set; }
		public virtual string PackagingType { get; set; }
		public virtual string GeneratedBy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perInvGpsKanban = PARENTS.CreateChildPermission(AppPermissions.Pages_Inventory_GPS_InvGpsKanban, L( "InventoryGPSInvGpsKanban"), multiTenancySides: MultiTenancySides.Tenant);
		perInvGpsKanban.CreateChildPermission(AppPermissions.Pages_Inventory_GPS_InvGpsKanban_CreateEdit, L( "InventoryGPSInvGpsKanbanCreateEdit"), multiTenancySides: MultiTenancySides.Tenant);
		perInvGpsKanban.CreateChildPermission(AppPermissions.Pages_Inventory_GPS_InvGpsKanban_Delete, L( "InventoryGPSInvGpsKanbanDelete"),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Pages_Inventory_GPS_InvGpsKanban = "Pages.Inventory.GPS.InvGpsKanban";
		public const string Pages_Inventory_GPS_InvGpsKanban_CreateEdit = "Pages.Inventory.GPS.InvGpsKanban.CreateEdit";
		public const string Pages_Inventory_GPS_InvGpsKanban_Delete = "Pages.Inventory.GPS.InvGpsKanban.Delete";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IInvGpsKanbanAppService : IApplicationService
	{
		Task&lt;PagedResultDto&lt;InvGpsKanbanDto&gt;&gt; GetAll(GetInvGpsKanbanInput input);
		Task CreateOrEdit(CreateOrEditInvGpsKanbanDto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[AbpAuthorize(AppPermissions.Pages_Inventory_GPS_InvGpsKanban)]
    public class InvGpsKanbanAppService : vovinaAppServiceBase, IInvGpsKanbanAppService
    {
        private readonly IDapperRepository&lt;InvGpsKanban, long&gt; _dapperRepo;
        private readonly IRepository&lt;InvGpsKanban, long&gt; _repo;
        private readonly IInvGpsKanbanExcelExporter _calendarListExcelExporter;
        public InvGpsKanbanAppService(IRepository&lt;InvGpsKanban,long&gt; repo, 
                                         IDapperRepository&lt;InvGpsKanban,long&gt; dapperRepo,
                                        IInvGpsKanbanExcelExporter calendarListExcelExporter
            )
        {
            _repo = repo;
            _dapperRepo = dapperRepo;
            _calendarListExcelExporter = calendarListExcelExporter;
        }
        [AbpAuthorize(AppPermissions.Pages_Inventory_GPS_InvGpsKanban_CreateEdit)]
        public async Task CreateOrEdit(CreateOrEditInvGpsKanbanDto input)
        {
            if (input.Id == null) await Create(input);
            else await Update(input);
        }
        //CREATE
        private async Task Create(CreateOrEditInvGpsKanbanDto input)
        {          
            var mainObj = ObjectMapper.Map&lt;InvGpsKanban&gt;(input);
            await CurrentUnitOfWork.GetDbContext&lt;vovinaDbContext&gt;().AddAsync(mainObj);
        }
        // EDIT
        private async Task Update(CreateOrEditInvGpsKanbanDto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[AbpAuthorize(AppPermissions.Pages_Inventory_GPS_InvGpsKanban_Delete)]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Task&lt;PagedResultDto&lt;InvGpsKanbanDto&gt;&gt; GetAll(GetInvGpsKanbanInput input)
        {
            var filtered = _repo.GetAll()
				.WhereIf(!string.IsNullOrWhiteSpace(input.BackNo), e =&gt; e.BackNo.Contains(input.BackNo))
				.WhereIf(!string.IsNullOrWhiteSpace(input.PartNo), e =&gt; e.PartNo.Contains(input.PartNo))
				.WhereIf(!string.IsNullOrWhiteSpace(input.ColorSfx), e =&gt; e.ColorSfx.Contains(input.ColorSfx))
				.WhereIf(!string.IsNullOrWhiteSpace(input.PartName), e =&gt; e.PartName.Contains(input.PartName))
				.WhereIf(!string.IsNullOrWhiteSpace(input.PcAddress), e =&gt; e.PcAddress.Contains(input.PcAddress))
				.WhereIf(!string.IsNullOrWhiteSpace(input.WhSpsPicking), e =&gt; e.WhSpsPicking.Contains(input.WhSpsPicking))
				.WhereIf(!string.IsNullOrWhiteSpace(input.PackagingType), e =&gt; e.PackagingType.Contains(input.PackagingType))
				.WhereIf(!string.IsNullOrWhiteSpace(input.GeneratedBy), e =&gt; e.GeneratedBy.Contains(input.GeneratedBy))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InvGpsKanbanDto
                        {
							Id = o.Id,
							ContentListId = o.ContentListId,
							BackNo = o.BackNo,
							PartNo = o.PartNo,
							ColorSfx = o.ColorSfx,
							PartName = o.PartName,
							BoxSize = o.BoxSize,
							BoxQty = o.BoxQty,
							PcAddress = o.PcAddress,
							WhSpsPicking = o.WhSpsPicking,
							ActualBoxQty = o.ActualBoxQty,
							RenbanNo = o.RenbanNo,
							NoInRenban = o.NoInRenban,
							PackagingType = o.PackagingType,
							ActualBoxSize = o.ActualBoxSize,
							GeneratedBy = o.GeneratedBy,
							Status = o.Status,
							IsActive = o.IsActive,
                        };
            var totalCount = await filtered.CountAsync();
			var paged = system.PageBy(input);
            return new PagedResultDto&lt;InvGpsKanbanDto&gt;(
                totalCount,
                 await paged.ToListAsync()
            );
        }
        public async Task&lt;FileDto&gt; GetInvGpsKanbanToExcel(InvGpsKanbanExportInput input)
        {
            var query = from o in _repo.GetAll()
                        select new InvGpsKanbanDto
                        {
							Id = o.Id,
							ContentListId = o.ContentListId,
							BackNo = o.BackNo,
							PartNo = o.PartNo,
							ColorSfx = o.ColorSfx,
							PartName = o.PartName,
							BoxSize = o.BoxSize,
							BoxQty = o.BoxQty,
							PcAddress = o.PcAddress,
							WhSpsPicking = o.WhSpsPicking,
							ActualBoxQty = o.ActualBoxQty,
							RenbanNo = o.RenbanNo,
							NoInRenban = o.NoInRenban,
							PackagingType = o.PackagingType,
							ActualBoxSize = o.ActualBoxSize,
							GeneratedBy = o.GeneratedBy,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_dapperRepo.ExecuteAsync(InvGpsKanbanConsts.SP_MST_WPT_CALENDAR_GENERATE);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prod.Inventory.GPS.Dto
{
	public class InvGpsKanbanExportInput{
		public virtual long? ContentListId { get; set; }
		public virtual string BackNo { get; set; }
		public virtual string PartNo { get; set; }
		public virtual string ColorSfx { get; set; }
		public virtual string PartName { get; set; }
		public virtual int? BoxSize { get; set; }
		public virtual int? BoxQty { get; set; }
		public virtual string PcAddress { get; set; }
		public virtual string WhSpsPicking { get; set; }
		public virtual int? ActualBoxQty { get; set; }
		public virtual int? RenbanNo { get; set; }
		public virtual int? NoInRenban { get; set; }
		public virtual string PackagingType { get; set; }
		public virtual int? ActualBoxSize { get; set; }
		public virtual string GeneratedBy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IInvGpsKanbanExcelExporter : IApplicationService
	{
		FileDto ExportToFile(List&lt;InvGpsKanbanDto&gt; invgpskanban);
	}
}
</v>
      </c>
      <c r="T7" s="26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InvGpsKanbanExcelExporter : NpoiExcelExporterBase, IInvGpsKanbanExcelExporter
    {
        public InvGpsKanbanExcelExporter(ITempFileCacheManager tempFileCacheManager) : base(tempFileCacheManager) { }
        public FileDto ExportToFile(List&lt;InvGpsKanbanDto&gt; invgpskanban)
        {
            return CreateExcelPackage(
				"InventoryGPSInvGpsKanban.xlsx",
				excelPackage =&gt;
				 {
					var sheet = excelPackage.CreateSheet("InvGpsKanban");
					AddHeader(
								sheet,
								("ContentListId"),
								("BackNo"),
								("PartNo"),
								("ColorSfx"),
								("PartName"),
								("BoxSize"),
								("BoxQty"),
								("PcAddress"),
								("WhSpsPicking"),
								("ActualBoxQty"),
								("RenbanNo"),
								("NoInRenban"),
								("PackagingType"),
								("ActualBoxSize"),
								("GeneratedBy"),
								("Status"),
								("IsActive"),
							   );
					AddObjects(
						 sheet, 1, invgpskanban,                                       
								_ =&gt; _.ContentListId,
								_ =&gt; _.BackNo,
								_ =&gt; _.PartNo,
								_ =&gt; _.ColorSfx,
								_ =&gt; _.PartName,
								_ =&gt; _.BoxSize,
								_ =&gt; _.BoxQty,
								_ =&gt; _.PcAddress,
								_ =&gt; _.WhSpsPicking,
								_ =&gt; _.ActualBoxQty,
								_ =&gt; _.RenbanNo,
								_ =&gt; _.NoInRenban,
								_ =&gt; _.PackagingType,
								_ =&gt; _.ActualBoxSize,
								_ =&gt; _.GeneratedBy,
								_ =&gt; _.Status,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configuration.CreateMap&lt;InvGpsKanbanDto, InvGpsKanban&gt;();
  configuration.CreateMap&lt;InvGpsKanban, InvGpsKanbanDto&gt;();
  configuration.CreateMap&lt;CreateOrEditInvGpsKanbanDto, InvGpsKanban&gt;();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362</v>
      </c>
      <c r="B9" s="28" t="s">
        <v>0</v>
      </c>
      <c r="C9" t="s">
        <v>1</v>
      </c>
      <c r="D9" t="str">
        <f t="shared" ref="D9:D14" si="0">SUBSTITUTE(PROPER(A9),"_","")</f>
        <v>ContentListId</v>
      </c>
      <c r="E9" t="str">
        <f t="shared" ref="E9:E14" si="1">IFERROR(LEFT(B9, FIND("(",B9)-1),B9)</f>
        <v>bigint</v>
      </c>
      <c r="F9" s="6"/>
      <c r="G9" t="str">
        <f t="shared" ref="G9:G14" si="2">IFERROR(MID(B9,FIND("(",B9) +1, FIND(")",B9) - FIND("(",B9) - 1),"")</f>
        <v/>
      </c>
      <c r="H9" t="str">
        <f>+VLOOKUP(E9,'Data Type Mapping'!A:B,2,)</f>
        <v>long?</v>
      </c>
      <c r="I9" t="str">
        <f t="shared" ref="I9:I14" si="3">IF(H9="string",REPT(CHAR(9),2)&amp;"public const int Max"&amp;D9&amp;"Length = "&amp;G9&amp;";"&amp;$E$3,"" )</f>
        <v/>
      </c>
      <c r="J9" t="str">
        <f t="shared" ref="J9:J14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ContentListId { get; set; }
</v>
      </c>
      <c r="K9" s="6"/>
      <c r="L9" t="str">
        <f t="shared" ref="L9:L14" si="5">IF(K9="","",REPT(CHAR(9),1)&amp;"[Index(nameof("&amp;IF(D9="","",""&amp;D9)&amp;")"&amp;", Name="&amp;"""IX_"&amp;$B$7&amp;"_"&amp;D9&amp;""")]")</f>
        <v/>
      </c>
      <c r="M9" t="str">
        <f t="shared" ref="M9:M14" si="6">REPT(CHAR(9),2)&amp;"public virtual "&amp;IF(OR(H9="DateTime",H9="TimeSpan"),H9&amp;"?",H9)&amp;IF(C9="?","? "," ")&amp;D9&amp;" { get; set; }" &amp; "
"</f>
        <v xml:space="preserve">		public virtual long? ContentListId { get; set; }
</v>
      </c>
      <c r="N9" t="str">
        <f t="shared" ref="N9:N14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ContentListId { get; set; }
</v>
      </c>
      <c r="O9" t="str">
        <f t="shared" ref="O9:O14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4" si="9">REPT(CHAR(9),7)&amp;D9&amp;" = o." &amp;D9 &amp;","</f>
        <v xml:space="preserve">							ContentListId = o.ContentListId,</v>
      </c>
      <c r="T9" s="63" t="str">
        <f t="shared" ref="T9:T14" si="10">REPT(CHAR(9),8)&amp;"("""&amp;D9&amp;"""),"</f>
        <v xml:space="preserve">								("ContentListId"),</v>
      </c>
      <c r="V9" s="64" t="str">
        <f t="shared" ref="V9:V14" si="11">REPT(CHAR(9),8)&amp;"_ =&gt; _."&amp;D9&amp;","</f>
        <v xml:space="preserve">								_ =&gt; _.ContentListId,</v>
      </c>
      <c r="W9" s="63" t="str">
        <f t="shared" ref="W9:W14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363</v>
      </c>
      <c r="B10" s="28" t="s">
        <v>364</v>
      </c>
      <c r="C10" t="s">
        <v>1</v>
      </c>
      <c r="D10" t="str">
        <f t="shared" si="0"/>
        <v>BackNo</v>
      </c>
      <c r="E10" t="str">
        <f t="shared" si="1"/>
        <v>varchar</v>
      </c>
      <c r="F10" s="6"/>
      <c r="G10" t="str">
        <f t="shared" si="2"/>
        <v>20</v>
      </c>
      <c r="H10" t="str">
        <f>+VLOOKUP(E10,'Data Type Mapping'!A:B,2,)</f>
        <v>string</v>
      </c>
      <c r="I10" t="str">
        <f t="shared" si="3"/>
        <v xml:space="preserve">		public const int MaxBackNoLength = 20;
</v>
      </c>
      <c r="J10" t="str">
        <f t="shared" si="4"/>
        <v xml:space="preserve">		[StringLength(MaxBackNoLength)]
		public virtual string BackNo { get; set; }
</v>
      </c>
      <c r="K10" s="6"/>
      <c r="L10" t="str">
        <f t="shared" si="5"/>
        <v/>
      </c>
      <c r="M10" t="str">
        <f t="shared" si="6"/>
        <v xml:space="preserve">		public virtual string BackNo { get; set; }
</v>
      </c>
      <c r="N10" t="str">
        <f t="shared" si="7"/>
        <v xml:space="preserve">		[StringLength(InvGpsKanbanConsts.MaxBackNoLength)]
		public virtual string BackNo { get; set; }
</v>
      </c>
      <c r="O10" t="str">
        <f t="shared" si="8"/>
        <v xml:space="preserve">		public virtual string BackNo { get; set; }
</v>
      </c>
      <c r="P10" t="str">
        <f t="shared" si="9"/>
        <v xml:space="preserve">							BackNo = o.BackNo,</v>
      </c>
      <c r="T10" s="63" t="str">
        <f t="shared" si="10"/>
        <v xml:space="preserve">								("BackNo"),</v>
      </c>
      <c r="V10" s="64" t="str">
        <f t="shared" si="11"/>
        <v xml:space="preserve">								_ =&gt; _.BackNo,</v>
      </c>
      <c r="W10" s="63" t="str">
        <f t="shared" si="12"/>
        <v xml:space="preserve">				.WhereIf(!string.IsNullOrWhiteSpace(input.BackNo), e =&gt; e.BackNo.Contains(input.BackNo))</v>
      </c>
    </row>
    <row r="11" spans="1:23" customFormat="1" ht="18.75" customHeight="1" x14ac:dyDescent="0.25">
      <c r="A11" s="28" t="s">
        <v>365</v>
      </c>
      <c r="B11" s="28" t="s">
        <v>364</v>
      </c>
      <c r="C11" t="s">
        <v>1</v>
      </c>
      <c r="D11" t="str">
        <f t="shared" si="0"/>
        <v>PartNo</v>
      </c>
      <c r="E11" t="str">
        <f t="shared" si="1"/>
        <v>varchar</v>
      </c>
      <c r="F11" s="6"/>
      <c r="G11" t="str">
        <f t="shared" si="2"/>
        <v>20</v>
      </c>
      <c r="H11" t="str">
        <f>+VLOOKUP(E11,'Data Type Mapping'!A:B,2,)</f>
        <v>string</v>
      </c>
      <c r="I11" t="str">
        <f t="shared" si="3"/>
        <v xml:space="preserve">		public const int MaxPartNoLength = 20;
</v>
      </c>
      <c r="J11" t="str">
        <f t="shared" si="4"/>
        <v xml:space="preserve">		[StringLength(MaxPartNoLength)]
		public virtual string PartNo { get; set; }
</v>
      </c>
      <c r="K11" s="6" t="s">
        <v>360</v>
      </c>
      <c r="L11" t="str">
        <f t="shared" si="5"/>
        <v xml:space="preserve">	[Index(nameof(PartNo), Name="IX_InvGpsKanban_PartNo")]</v>
      </c>
      <c r="M11" t="str">
        <f t="shared" si="6"/>
        <v xml:space="preserve">		public virtual string PartNo { get; set; }
</v>
      </c>
      <c r="N11" t="str">
        <f t="shared" si="7"/>
        <v xml:space="preserve">		[StringLength(InvGpsKanbanConsts.MaxPartNoLength)]
		public virtual string PartNo { get; set; }
</v>
      </c>
      <c r="O11" t="str">
        <f t="shared" si="8"/>
        <v xml:space="preserve">		public virtual string PartNo { get; set; }
</v>
      </c>
      <c r="P11" t="str">
        <f t="shared" si="9"/>
        <v xml:space="preserve">							PartNo = o.PartNo,</v>
      </c>
      <c r="T11" s="63" t="str">
        <f t="shared" si="10"/>
        <v xml:space="preserve">								("PartNo"),</v>
      </c>
      <c r="V11" s="64" t="str">
        <f t="shared" si="11"/>
        <v xml:space="preserve">								_ =&gt; _.PartNo,</v>
      </c>
      <c r="W11" s="63" t="str">
        <f t="shared" si="12"/>
        <v xml:space="preserve">				.WhereIf(!string.IsNullOrWhiteSpace(input.PartNo), e =&gt; e.PartNo.Contains(input.PartNo))</v>
      </c>
    </row>
    <row r="12" spans="1:23" customFormat="1" ht="18.75" customHeight="1" x14ac:dyDescent="0.25">
      <c r="A12" s="28" t="s">
        <v>366</v>
      </c>
      <c r="B12" s="28" t="s">
        <v>367</v>
      </c>
      <c r="C12" t="s">
        <v>1</v>
      </c>
      <c r="D12" t="str">
        <f t="shared" si="0"/>
        <v>ColorSfx</v>
      </c>
      <c r="E12" t="str">
        <f t="shared" si="1"/>
        <v>varchar</v>
      </c>
      <c r="F12" s="6"/>
      <c r="G12" t="str">
        <f t="shared" si="2"/>
        <v>2</v>
      </c>
      <c r="H12" t="str">
        <f>+VLOOKUP(E12,'Data Type Mapping'!A:B,2,)</f>
        <v>string</v>
      </c>
      <c r="I12" t="str">
        <f t="shared" si="3"/>
        <v xml:space="preserve">		public const int MaxColorSfxLength = 2;
</v>
      </c>
      <c r="J12" t="str">
        <f t="shared" si="4"/>
        <v xml:space="preserve">		[StringLength(MaxColorSfxLength)]
		public virtual string ColorSfx { get; set; }
</v>
      </c>
      <c r="K12" s="6"/>
      <c r="L12" t="str">
        <f t="shared" si="5"/>
        <v/>
      </c>
      <c r="M12" t="str">
        <f t="shared" si="6"/>
        <v xml:space="preserve">		public virtual string ColorSfx { get; set; }
</v>
      </c>
      <c r="N12" t="str">
        <f t="shared" si="7"/>
        <v xml:space="preserve">		[StringLength(InvGpsKanbanConsts.MaxColorSfxLength)]
		public virtual string ColorSfx { get; set; }
</v>
      </c>
      <c r="O12" t="str">
        <f t="shared" si="8"/>
        <v xml:space="preserve">		public virtual string ColorSfx { get; set; }
</v>
      </c>
      <c r="P12" t="str">
        <f t="shared" si="9"/>
        <v xml:space="preserve">							ColorSfx = o.ColorSfx,</v>
      </c>
      <c r="T12" s="63" t="str">
        <f t="shared" si="10"/>
        <v xml:space="preserve">								("ColorSfx"),</v>
      </c>
      <c r="V12" s="64" t="str">
        <f t="shared" si="11"/>
        <v xml:space="preserve">								_ =&gt; _.ColorSfx,</v>
      </c>
      <c r="W12" s="63" t="str">
        <f t="shared" si="12"/>
        <v xml:space="preserve">				.WhereIf(!string.IsNullOrWhiteSpace(input.ColorSfx), e =&gt; e.ColorSfx.Contains(input.ColorSfx))</v>
      </c>
    </row>
    <row r="13" spans="1:23" customFormat="1" ht="18.75" customHeight="1" x14ac:dyDescent="0.25">
      <c r="A13" s="28" t="s">
        <v>368</v>
      </c>
      <c r="B13" s="28" t="s">
        <v>369</v>
      </c>
      <c r="C13" t="s">
        <v>1</v>
      </c>
      <c r="D13" t="str">
        <f t="shared" si="0"/>
        <v>PartName</v>
      </c>
      <c r="E13" t="str">
        <f t="shared" si="1"/>
        <v>nvarchar</v>
      </c>
      <c r="F13" s="6"/>
      <c r="G13" t="str">
        <f t="shared" si="2"/>
        <v>400</v>
      </c>
      <c r="H13" t="str">
        <f>+VLOOKUP(E13,'Data Type Mapping'!A:B,2,)</f>
        <v>string</v>
      </c>
      <c r="I13" t="str">
        <f t="shared" si="3"/>
        <v xml:space="preserve">		public const int MaxPartNameLength = 400;
</v>
      </c>
      <c r="J13" t="str">
        <f t="shared" si="4"/>
        <v xml:space="preserve">		[StringLength(MaxPartNameLength)]
		public virtual string PartName { get; set; }
</v>
      </c>
      <c r="K13" s="6"/>
      <c r="L13" t="str">
        <f t="shared" si="5"/>
        <v/>
      </c>
      <c r="M13" t="str">
        <f t="shared" si="6"/>
        <v xml:space="preserve">		public virtual string PartName { get; set; }
</v>
      </c>
      <c r="N13" t="str">
        <f t="shared" si="7"/>
        <v xml:space="preserve">		[StringLength(InvGpsKanbanConsts.MaxPartNameLength)]
		public virtual string PartName { get; set; }
</v>
      </c>
      <c r="O13" t="str">
        <f t="shared" si="8"/>
        <v xml:space="preserve">		public virtual string PartName { get; set; }
</v>
      </c>
      <c r="P13" t="str">
        <f t="shared" si="9"/>
        <v xml:space="preserve">							PartName = o.PartName,</v>
      </c>
      <c r="T13" s="63" t="str">
        <f t="shared" si="10"/>
        <v xml:space="preserve">								("PartName"),</v>
      </c>
      <c r="V13" s="64" t="str">
        <f t="shared" si="11"/>
        <v xml:space="preserve">								_ =&gt; _.PartName,</v>
      </c>
      <c r="W13" s="63" t="str">
        <f t="shared" si="12"/>
        <v xml:space="preserve">				.WhereIf(!string.IsNullOrWhiteSpace(input.PartName), e =&gt; e.PartName.Contains(input.PartName))</v>
      </c>
    </row>
    <row r="14" spans="1:23" customFormat="1" ht="18.75" customHeight="1" x14ac:dyDescent="0.25">
      <c r="A14" s="28" t="s">
        <v>370</v>
      </c>
      <c r="B14" s="28" t="s">
        <v>4</v>
      </c>
      <c r="C14" t="s">
        <v>1</v>
      </c>
      <c r="D14" t="str">
        <f t="shared" si="0"/>
        <v>BoxSize</v>
      </c>
      <c r="E14" t="str">
        <f t="shared" si="1"/>
        <v>int</v>
      </c>
      <c r="F14" s="6"/>
      <c r="G14" t="str">
        <f t="shared" si="2"/>
        <v/>
      </c>
      <c r="H14" t="str">
        <f>+VLOOKUP(E14,'Data Type Mapping'!A:B,2,)</f>
        <v>int?</v>
      </c>
      <c r="I14" t="str">
        <f t="shared" si="3"/>
        <v/>
      </c>
      <c r="J14" t="str">
        <f t="shared" si="4"/>
        <v xml:space="preserve">		public virtual int? BoxSize { get; set; }
</v>
      </c>
      <c r="K14" s="6"/>
      <c r="L14" t="str">
        <f t="shared" si="5"/>
        <v/>
      </c>
      <c r="M14" t="str">
        <f t="shared" si="6"/>
        <v xml:space="preserve">		public virtual int? BoxSize { get; set; }
</v>
      </c>
      <c r="N14" t="str">
        <f t="shared" si="7"/>
        <v xml:space="preserve">		public virtual int? BoxSize { get; set; }
</v>
      </c>
      <c r="O14" t="str">
        <f t="shared" si="8"/>
        <v/>
      </c>
      <c r="P14" t="str">
        <f t="shared" si="9"/>
        <v xml:space="preserve">							BoxSize = o.BoxSize,</v>
      </c>
      <c r="T14" s="63" t="str">
        <f t="shared" si="10"/>
        <v xml:space="preserve">								("BoxSize"),</v>
      </c>
      <c r="V14" s="64" t="str">
        <f t="shared" si="11"/>
        <v xml:space="preserve">								_ =&gt; _.BoxSize,</v>
      </c>
      <c r="W14" s="63" t="str">
        <f t="shared" si="12"/>
        <v/>
      </c>
    </row>
    <row r="15" spans="1:23" customFormat="1" ht="18.75" customHeight="1" x14ac:dyDescent="0.25">
      <c r="A15" s="28" t="s">
        <v>371</v>
      </c>
      <c r="B15" s="28" t="s">
        <v>4</v>
      </c>
      <c r="C15" t="s">
        <v>1</v>
      </c>
      <c r="D15" t="str">
        <f t="shared" ref="D15:D16" si="13">SUBSTITUTE(PROPER(A15),"_","")</f>
        <v>BoxQty</v>
      </c>
      <c r="E15" t="str">
        <f t="shared" ref="E15:E16" si="14">IFERROR(LEFT(B15, FIND("(",B15)-1),B15)</f>
        <v>int</v>
      </c>
      <c r="F15" s="6"/>
      <c r="G15" t="str">
        <f t="shared" ref="G15:G16" si="15">IFERROR(MID(B15,FIND("(",B15) +1, FIND(")",B15) - FIND("(",B15) - 1),"")</f>
        <v/>
      </c>
      <c r="H15" t="str">
        <f>+VLOOKUP(E15,'Data Type Mapping'!A:B,2,)</f>
        <v>int?</v>
      </c>
      <c r="I15" t="str">
        <f t="shared" ref="I15:I16" si="16">IF(H15="string",REPT(CHAR(9),2)&amp;"public const int Max"&amp;D15&amp;"Length = "&amp;G15&amp;";"&amp;$E$3,"" )</f>
        <v/>
      </c>
      <c r="J15" t="str">
        <f t="shared" ref="J15:J16" si="1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int? BoxQty { get; set; }
</v>
      </c>
      <c r="K15" s="6"/>
      <c r="L15" t="str">
        <f t="shared" ref="L15:L16" si="18">IF(K15="","",REPT(CHAR(9),1)&amp;"[Index(nameof("&amp;IF(D15="","",""&amp;D15)&amp;")"&amp;", Name="&amp;"""IX_"&amp;$B$7&amp;"_"&amp;D15&amp;""")]")</f>
        <v/>
      </c>
      <c r="M15" t="str">
        <f t="shared" ref="M15:M16" si="19">REPT(CHAR(9),2)&amp;"public virtual "&amp;IF(OR(H15="DateTime",H15="TimeSpan"),H15&amp;"?",H15)&amp;IF(C15="?","? "," ")&amp;D15&amp;" { get; set; }" &amp; "
"</f>
        <v xml:space="preserve">		public virtual int? BoxQty { get; set; }
</v>
      </c>
      <c r="N15" t="str">
        <f t="shared" ref="N15:N16" si="2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int? BoxQty { get; set; }
</v>
      </c>
      <c r="O15" t="str">
        <f t="shared" ref="O15:O16" si="21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16" si="22">REPT(CHAR(9),7)&amp;D15&amp;" = o." &amp;D15 &amp;","</f>
        <v xml:space="preserve">							BoxQty = o.BoxQty,</v>
      </c>
      <c r="T15" s="63" t="str">
        <f t="shared" ref="T15:T16" si="23">REPT(CHAR(9),8)&amp;"("""&amp;D15&amp;"""),"</f>
        <v xml:space="preserve">								("BoxQty"),</v>
      </c>
      <c r="V15" s="64" t="str">
        <f t="shared" ref="V15:V16" si="24">REPT(CHAR(9),8)&amp;"_ =&gt; _."&amp;D15&amp;","</f>
        <v xml:space="preserve">								_ =&gt; _.BoxQty,</v>
      </c>
      <c r="W15" s="63" t="str">
        <f t="shared" ref="W15:W16" si="2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28" t="s">
        <v>372</v>
      </c>
      <c r="B16" s="28" t="s">
        <v>356</v>
      </c>
      <c r="C16" t="s">
        <v>1</v>
      </c>
      <c r="D16" t="str">
        <f t="shared" si="13"/>
        <v>PcAddress</v>
      </c>
      <c r="E16" t="str">
        <f t="shared" si="14"/>
        <v>varchar</v>
      </c>
      <c r="F16" s="6"/>
      <c r="G16" t="str">
        <f t="shared" si="15"/>
        <v>40</v>
      </c>
      <c r="H16" t="str">
        <f>+VLOOKUP(E16,'Data Type Mapping'!A:B,2,)</f>
        <v>string</v>
      </c>
      <c r="I16" t="str">
        <f t="shared" si="16"/>
        <v xml:space="preserve">		public const int MaxPcAddressLength = 40;
</v>
      </c>
      <c r="J16" t="str">
        <f t="shared" si="17"/>
        <v xml:space="preserve">		[StringLength(MaxPcAddressLength)]
		public virtual string PcAddress { get; set; }
</v>
      </c>
      <c r="K16" s="6"/>
      <c r="L16" t="str">
        <f t="shared" si="18"/>
        <v/>
      </c>
      <c r="M16" t="str">
        <f t="shared" si="19"/>
        <v xml:space="preserve">		public virtual string PcAddress { get; set; }
</v>
      </c>
      <c r="N16" t="str">
        <f t="shared" si="20"/>
        <v xml:space="preserve">		[StringLength(InvGpsKanbanConsts.MaxPcAddressLength)]
		public virtual string PcAddress { get; set; }
</v>
      </c>
      <c r="O16" t="str">
        <f t="shared" si="21"/>
        <v xml:space="preserve">		public virtual string PcAddress { get; set; }
</v>
      </c>
      <c r="P16" t="str">
        <f t="shared" si="22"/>
        <v xml:space="preserve">							PcAddress = o.PcAddress,</v>
      </c>
      <c r="T16" s="63" t="str">
        <f t="shared" si="23"/>
        <v xml:space="preserve">								("PcAddress"),</v>
      </c>
      <c r="V16" s="64" t="str">
        <f t="shared" si="24"/>
        <v xml:space="preserve">								_ =&gt; _.PcAddress,</v>
      </c>
      <c r="W16" s="63" t="str">
        <f t="shared" si="25"/>
        <v xml:space="preserve">				.WhereIf(!string.IsNullOrWhiteSpace(input.PcAddress), e =&gt; e.PcAddress.Contains(input.PcAddress))</v>
      </c>
    </row>
    <row r="17" spans="1:23" customFormat="1" ht="18.75" customHeight="1" x14ac:dyDescent="0.25">
      <c r="A17" s="28" t="s">
        <v>373</v>
      </c>
      <c r="B17" s="28" t="s">
        <v>356</v>
      </c>
      <c r="C17" t="s">
        <v>1</v>
      </c>
      <c r="D17" t="str">
        <f t="shared" ref="D17" si="26">SUBSTITUTE(PROPER(A17),"_","")</f>
        <v>WhSpsPicking</v>
      </c>
      <c r="E17" t="str">
        <f t="shared" ref="E17" si="27">IFERROR(LEFT(B17, FIND("(",B17)-1),B17)</f>
        <v>varchar</v>
      </c>
      <c r="F17" s="6"/>
      <c r="G17" t="str">
        <f t="shared" ref="G17" si="28">IFERROR(MID(B17,FIND("(",B17) +1, FIND(")",B17) - FIND("(",B17) - 1),"")</f>
        <v>40</v>
      </c>
      <c r="H17" t="str">
        <f>+VLOOKUP(E17,'Data Type Mapping'!A:B,2,)</f>
        <v>string</v>
      </c>
      <c r="I17" t="str">
        <f t="shared" ref="I17" si="29">IF(H17="string",REPT(CHAR(9),2)&amp;"public const int Max"&amp;D17&amp;"Length = "&amp;G17&amp;";"&amp;$E$3,"" )</f>
        <v xml:space="preserve">		public const int MaxWhSpsPickingLength = 40;
</v>
      </c>
      <c r="J17" t="str">
        <f t="shared" ref="J17" si="3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[StringLength(MaxWhSpsPickingLength)]
		public virtual string WhSpsPicking { get; set; }
</v>
      </c>
      <c r="K17" s="6"/>
      <c r="L17" t="str">
        <f t="shared" ref="L17" si="31">IF(K17="","",REPT(CHAR(9),1)&amp;"[Index(nameof("&amp;IF(D17="","",""&amp;D17)&amp;")"&amp;", Name="&amp;"""IX_"&amp;$B$7&amp;"_"&amp;D17&amp;""")]")</f>
        <v/>
      </c>
      <c r="M17" t="str">
        <f t="shared" ref="M17" si="32">REPT(CHAR(9),2)&amp;"public virtual "&amp;IF(OR(H17="DateTime",H17="TimeSpan"),H17&amp;"?",H17)&amp;IF(C17="?","? "," ")&amp;D17&amp;" { get; set; }" &amp; "
"</f>
        <v xml:space="preserve">		public virtual string WhSpsPicking { get; set; }
</v>
      </c>
      <c r="N17" t="str">
        <f t="shared" ref="N17" si="3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[StringLength(InvGpsKanbanConsts.MaxWhSpsPickingLength)]
		public virtual string WhSpsPicking { get; set; }
</v>
      </c>
      <c r="O17" t="str">
        <f t="shared" ref="O17" si="34">IF(OR(H17="string",H17="DateTime",H17="int"),REPT(CHAR(9),2)&amp;"public virtual "&amp;IF(OR(H17="DateTime",H17="TimeSpan"),H17&amp;"?",H17)&amp;IF(C17="?","? "," ")&amp;D17&amp;" { get; set; }"&amp;$E$3,"")</f>
        <v xml:space="preserve">		public virtual string WhSpsPicking { get; set; }
</v>
      </c>
      <c r="P17" t="str">
        <f t="shared" ref="P17" si="35">REPT(CHAR(9),7)&amp;D17&amp;" = o." &amp;D17 &amp;","</f>
        <v xml:space="preserve">							WhSpsPicking = o.WhSpsPicking,</v>
      </c>
      <c r="T17" s="63" t="str">
        <f t="shared" ref="T17" si="36">REPT(CHAR(9),8)&amp;"("""&amp;D17&amp;"""),"</f>
        <v xml:space="preserve">								("WhSpsPicking"),</v>
      </c>
      <c r="V17" s="64" t="str">
        <f t="shared" ref="V17" si="37">REPT(CHAR(9),8)&amp;"_ =&gt; _."&amp;D17&amp;","</f>
        <v xml:space="preserve">								_ =&gt; _.WhSpsPicking,</v>
      </c>
      <c r="W17" s="63" t="str">
        <f t="shared" ref="W17" si="3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.WhereIf(!string.IsNullOrWhiteSpace(input.WhSpsPicking), e =&gt; e.WhSpsPicking.Contains(input.WhSpsPicking))</v>
      </c>
    </row>
    <row r="18" spans="1:23" customFormat="1" ht="18.75" customHeight="1" x14ac:dyDescent="0.25">
      <c r="A18" s="28" t="s">
        <v>374</v>
      </c>
      <c r="B18" s="28" t="s">
        <v>4</v>
      </c>
      <c r="C18" t="s">
        <v>1</v>
      </c>
      <c r="D18" t="str">
        <f t="shared" ref="D18" si="39">SUBSTITUTE(PROPER(A18),"_","")</f>
        <v>ActualBoxQty</v>
      </c>
      <c r="E18" t="str">
        <f t="shared" ref="E18" si="40">IFERROR(LEFT(B18, FIND("(",B18)-1),B18)</f>
        <v>int</v>
      </c>
      <c r="F18" s="6"/>
      <c r="G18" t="str">
        <f t="shared" ref="G18" si="41">IFERROR(MID(B18,FIND("(",B18) +1, FIND(")",B18) - FIND("(",B18) - 1),"")</f>
        <v/>
      </c>
      <c r="H18" t="str">
        <f>+VLOOKUP(E18,'Data Type Mapping'!A:B,2,)</f>
        <v>int?</v>
      </c>
      <c r="I18" t="str">
        <f t="shared" ref="I18" si="42">IF(H18="string",REPT(CHAR(9),2)&amp;"public const int Max"&amp;D18&amp;"Length = "&amp;G18&amp;";"&amp;$E$3,"" )</f>
        <v/>
      </c>
      <c r="J18" t="str">
        <f t="shared" ref="J18" si="43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int? ActualBoxQty { get; set; }
</v>
      </c>
      <c r="K18" s="6"/>
      <c r="L18" t="str">
        <f t="shared" ref="L18" si="44">IF(K18="","",REPT(CHAR(9),1)&amp;"[Index(nameof("&amp;IF(D18="","",""&amp;D18)&amp;")"&amp;", Name="&amp;"""IX_"&amp;$B$7&amp;"_"&amp;D18&amp;""")]")</f>
        <v/>
      </c>
      <c r="M18" t="str">
        <f t="shared" ref="M18" si="45">REPT(CHAR(9),2)&amp;"public virtual "&amp;IF(OR(H18="DateTime",H18="TimeSpan"),H18&amp;"?",H18)&amp;IF(C18="?","? "," ")&amp;D18&amp;" { get; set; }" &amp; "
"</f>
        <v xml:space="preserve">		public virtual int? ActualBoxQty { get; set; }
</v>
      </c>
      <c r="N18" t="str">
        <f t="shared" ref="N18" si="46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int? ActualBoxQty { get; set; }
</v>
      </c>
      <c r="O18" t="str">
        <f t="shared" ref="O18" si="47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48">REPT(CHAR(9),7)&amp;D18&amp;" = o." &amp;D18 &amp;","</f>
        <v xml:space="preserve">							ActualBoxQty = o.ActualBoxQty,</v>
      </c>
      <c r="T18" s="63" t="str">
        <f t="shared" ref="T18" si="49">REPT(CHAR(9),8)&amp;"("""&amp;D18&amp;"""),"</f>
        <v xml:space="preserve">								("ActualBoxQty"),</v>
      </c>
      <c r="V18" s="64" t="str">
        <f t="shared" ref="V18" si="50">REPT(CHAR(9),8)&amp;"_ =&gt; _."&amp;D18&amp;","</f>
        <v xml:space="preserve">								_ =&gt; _.ActualBoxQty,</v>
      </c>
      <c r="W18" s="63" t="str">
        <f t="shared" ref="W18" si="51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s="28" t="s">
        <v>375</v>
      </c>
      <c r="B19" s="28" t="s">
        <v>4</v>
      </c>
      <c r="C19" t="s">
        <v>1</v>
      </c>
      <c r="D19" t="str">
        <f t="shared" ref="D19:D20" si="52">SUBSTITUTE(PROPER(A19),"_","")</f>
        <v>RenbanNo</v>
      </c>
      <c r="E19" t="str">
        <f t="shared" ref="E19:E20" si="53">IFERROR(LEFT(B19, FIND("(",B19)-1),B19)</f>
        <v>int</v>
      </c>
      <c r="F19" s="6"/>
      <c r="G19" t="str">
        <f t="shared" ref="G19:G20" si="54">IFERROR(MID(B19,FIND("(",B19) +1, FIND(")",B19) - FIND("(",B19) - 1),"")</f>
        <v/>
      </c>
      <c r="H19" t="str">
        <f>+VLOOKUP(E19,'Data Type Mapping'!A:B,2,)</f>
        <v>int?</v>
      </c>
      <c r="I19" t="str">
        <f t="shared" ref="I19:I20" si="55">IF(H19="string",REPT(CHAR(9),2)&amp;"public const int Max"&amp;D19&amp;"Length = "&amp;G19&amp;";"&amp;$E$3,"" )</f>
        <v/>
      </c>
      <c r="J19" t="str">
        <f t="shared" ref="J19:J20" si="5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int? RenbanNo { get; set; }
</v>
      </c>
      <c r="K19" s="6"/>
      <c r="L19" t="str">
        <f t="shared" ref="L19:L20" si="57">IF(K19="","",REPT(CHAR(9),1)&amp;"[Index(nameof("&amp;IF(D19="","",""&amp;D19)&amp;")"&amp;", Name="&amp;"""IX_"&amp;$B$7&amp;"_"&amp;D19&amp;""")]")</f>
        <v/>
      </c>
      <c r="M19" t="str">
        <f t="shared" ref="M19:M20" si="58">REPT(CHAR(9),2)&amp;"public virtual "&amp;IF(OR(H19="DateTime",H19="TimeSpan"),H19&amp;"?",H19)&amp;IF(C19="?","? "," ")&amp;D19&amp;" { get; set; }" &amp; "
"</f>
        <v xml:space="preserve">		public virtual int? RenbanNo { get; set; }
</v>
      </c>
      <c r="N19" t="str">
        <f t="shared" ref="N19:N20" si="5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int? RenbanNo { get; set; }
</v>
      </c>
      <c r="O19" t="str">
        <f t="shared" ref="O19:O20" si="60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:P20" si="61">REPT(CHAR(9),7)&amp;D19&amp;" = o." &amp;D19 &amp;","</f>
        <v xml:space="preserve">							RenbanNo = o.RenbanNo,</v>
      </c>
      <c r="T19" s="63" t="str">
        <f t="shared" ref="T19:T20" si="62">REPT(CHAR(9),8)&amp;"("""&amp;D19&amp;"""),"</f>
        <v xml:space="preserve">								("RenbanNo"),</v>
      </c>
      <c r="V19" s="64" t="str">
        <f t="shared" ref="V19:V20" si="63">REPT(CHAR(9),8)&amp;"_ =&gt; _."&amp;D19&amp;","</f>
        <v xml:space="preserve">								_ =&gt; _.RenbanNo,</v>
      </c>
      <c r="W19" s="63" t="str">
        <f t="shared" ref="W19:W20" si="6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s="28" t="s">
        <v>376</v>
      </c>
      <c r="B20" s="28" t="s">
        <v>4</v>
      </c>
      <c r="C20" t="s">
        <v>1</v>
      </c>
      <c r="D20" t="str">
        <f t="shared" si="52"/>
        <v>NoInRenban</v>
      </c>
      <c r="E20" t="str">
        <f t="shared" si="53"/>
        <v>int</v>
      </c>
      <c r="F20" s="6"/>
      <c r="G20" t="str">
        <f t="shared" si="54"/>
        <v/>
      </c>
      <c r="H20" t="str">
        <f>+VLOOKUP(E20,'Data Type Mapping'!A:B,2,)</f>
        <v>int?</v>
      </c>
      <c r="I20" t="str">
        <f t="shared" si="55"/>
        <v/>
      </c>
      <c r="J20" t="str">
        <f t="shared" si="56"/>
        <v xml:space="preserve">		public virtual int? NoInRenban { get; set; }
</v>
      </c>
      <c r="K20" s="6"/>
      <c r="L20" t="str">
        <f t="shared" si="57"/>
        <v/>
      </c>
      <c r="M20" t="str">
        <f t="shared" si="58"/>
        <v xml:space="preserve">		public virtual int? NoInRenban { get; set; }
</v>
      </c>
      <c r="N20" t="str">
        <f t="shared" si="59"/>
        <v xml:space="preserve">		public virtual int? NoInRenban { get; set; }
</v>
      </c>
      <c r="O20" t="str">
        <f t="shared" si="60"/>
        <v/>
      </c>
      <c r="P20" t="str">
        <f t="shared" si="61"/>
        <v xml:space="preserve">							NoInRenban = o.NoInRenban,</v>
      </c>
      <c r="T20" s="63" t="str">
        <f t="shared" si="62"/>
        <v xml:space="preserve">								("NoInRenban"),</v>
      </c>
      <c r="V20" s="64" t="str">
        <f t="shared" si="63"/>
        <v xml:space="preserve">								_ =&gt; _.NoInRenban,</v>
      </c>
      <c r="W20" s="63" t="str">
        <f t="shared" si="64"/>
        <v/>
      </c>
    </row>
    <row r="21" spans="1:23" customFormat="1" ht="18.75" customHeight="1" x14ac:dyDescent="0.25">
      <c r="A21" s="28" t="s">
        <v>377</v>
      </c>
      <c r="B21" s="28" t="s">
        <v>364</v>
      </c>
      <c r="C21" t="s">
        <v>1</v>
      </c>
      <c r="D21" t="str">
        <f t="shared" ref="D21:D22" si="65">SUBSTITUTE(PROPER(A21),"_","")</f>
        <v>PackagingType</v>
      </c>
      <c r="E21" t="str">
        <f t="shared" ref="E21:E22" si="66">IFERROR(LEFT(B21, FIND("(",B21)-1),B21)</f>
        <v>varchar</v>
      </c>
      <c r="F21" s="6"/>
      <c r="G21" t="str">
        <f t="shared" ref="G21:G22" si="67">IFERROR(MID(B21,FIND("(",B21) +1, FIND(")",B21) - FIND("(",B21) - 1),"")</f>
        <v>20</v>
      </c>
      <c r="H21" t="str">
        <f>+VLOOKUP(E21,'Data Type Mapping'!A:B,2,)</f>
        <v>string</v>
      </c>
      <c r="I21" t="str">
        <f t="shared" ref="I21:I22" si="68">IF(H21="string",REPT(CHAR(9),2)&amp;"public const int Max"&amp;D21&amp;"Length = "&amp;G21&amp;";"&amp;$E$3,"" )</f>
        <v xml:space="preserve">		public const int MaxPackagingTypeLength = 20;
</v>
      </c>
      <c r="J21" t="str">
        <f t="shared" ref="J21:J22" si="69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[StringLength(MaxPackagingTypeLength)]
		public virtual string PackagingType { get; set; }
</v>
      </c>
      <c r="K21" s="6"/>
      <c r="L21" t="str">
        <f t="shared" ref="L21:L22" si="70">IF(K21="","",REPT(CHAR(9),1)&amp;"[Index(nameof("&amp;IF(D21="","",""&amp;D21)&amp;")"&amp;", Name="&amp;"""IX_"&amp;$B$7&amp;"_"&amp;D21&amp;""")]")</f>
        <v/>
      </c>
      <c r="M21" t="str">
        <f t="shared" ref="M21:M22" si="71">REPT(CHAR(9),2)&amp;"public virtual "&amp;IF(OR(H21="DateTime",H21="TimeSpan"),H21&amp;"?",H21)&amp;IF(C21="?","? "," ")&amp;D21&amp;" { get; set; }" &amp; "
"</f>
        <v xml:space="preserve">		public virtual string PackagingType { get; set; }
</v>
      </c>
      <c r="N21" t="str">
        <f t="shared" ref="N21:N22" si="72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[StringLength(InvGpsKanbanConsts.MaxPackagingTypeLength)]
		public virtual string PackagingType { get; set; }
</v>
      </c>
      <c r="O21" t="str">
        <f t="shared" ref="O21:O22" si="73">IF(OR(H21="string",H21="DateTime",H21="int"),REPT(CHAR(9),2)&amp;"public virtual "&amp;IF(OR(H21="DateTime",H21="TimeSpan"),H21&amp;"?",H21)&amp;IF(C21="?","? "," ")&amp;D21&amp;" { get; set; }"&amp;$E$3,"")</f>
        <v xml:space="preserve">		public virtual string PackagingType { get; set; }
</v>
      </c>
      <c r="P21" t="str">
        <f t="shared" ref="P21:P22" si="74">REPT(CHAR(9),7)&amp;D21&amp;" = o." &amp;D21 &amp;","</f>
        <v xml:space="preserve">							PackagingType = o.PackagingType,</v>
      </c>
      <c r="T21" s="63" t="str">
        <f t="shared" ref="T21:T22" si="75">REPT(CHAR(9),8)&amp;"("""&amp;D21&amp;"""),"</f>
        <v xml:space="preserve">								("PackagingType"),</v>
      </c>
      <c r="V21" s="64" t="str">
        <f t="shared" ref="V21:V22" si="76">REPT(CHAR(9),8)&amp;"_ =&gt; _."&amp;D21&amp;","</f>
        <v xml:space="preserve">								_ =&gt; _.PackagingType,</v>
      </c>
      <c r="W21" s="63" t="str">
        <f t="shared" ref="W21:W22" si="77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.WhereIf(!string.IsNullOrWhiteSpace(input.PackagingType), e =&gt; e.PackagingType.Contains(input.PackagingType))</v>
      </c>
    </row>
    <row r="22" spans="1:23" customFormat="1" ht="18.75" customHeight="1" x14ac:dyDescent="0.25">
      <c r="A22" s="28" t="s">
        <v>378</v>
      </c>
      <c r="B22" s="28" t="s">
        <v>4</v>
      </c>
      <c r="C22" t="s">
        <v>1</v>
      </c>
      <c r="D22" t="str">
        <f t="shared" si="65"/>
        <v>ActualBoxSize</v>
      </c>
      <c r="E22" t="str">
        <f t="shared" si="66"/>
        <v>int</v>
      </c>
      <c r="F22" s="6"/>
      <c r="G22" t="str">
        <f t="shared" si="67"/>
        <v/>
      </c>
      <c r="H22" t="str">
        <f>+VLOOKUP(E22,'Data Type Mapping'!A:B,2,)</f>
        <v>int?</v>
      </c>
      <c r="I22" t="str">
        <f t="shared" si="68"/>
        <v/>
      </c>
      <c r="J22" t="str">
        <f t="shared" si="69"/>
        <v xml:space="preserve">		public virtual int? ActualBoxSize { get; set; }
</v>
      </c>
      <c r="K22" s="6"/>
      <c r="L22" t="str">
        <f t="shared" si="70"/>
        <v/>
      </c>
      <c r="M22" t="str">
        <f t="shared" si="71"/>
        <v xml:space="preserve">		public virtual int? ActualBoxSize { get; set; }
</v>
      </c>
      <c r="N22" t="str">
        <f t="shared" si="72"/>
        <v xml:space="preserve">		public virtual int? ActualBoxSize { get; set; }
</v>
      </c>
      <c r="O22" t="str">
        <f t="shared" si="73"/>
        <v/>
      </c>
      <c r="P22" t="str">
        <f t="shared" si="74"/>
        <v xml:space="preserve">							ActualBoxSize = o.ActualBoxSize,</v>
      </c>
      <c r="T22" s="63" t="str">
        <f t="shared" si="75"/>
        <v xml:space="preserve">								("ActualBoxSize"),</v>
      </c>
      <c r="V22" s="64" t="str">
        <f t="shared" si="76"/>
        <v xml:space="preserve">								_ =&gt; _.ActualBoxSize,</v>
      </c>
      <c r="W22" s="63" t="str">
        <f t="shared" si="77"/>
        <v/>
      </c>
    </row>
    <row r="23" spans="1:23" customFormat="1" ht="18.75" customHeight="1" x14ac:dyDescent="0.25">
      <c r="A23" s="28" t="s">
        <v>359</v>
      </c>
      <c r="B23" s="28" t="s">
        <v>379</v>
      </c>
      <c r="C23" t="s">
        <v>1</v>
      </c>
      <c r="D23" t="str">
        <f>SUBSTITUTE(PROPER(A23),"_","")</f>
        <v>GeneratedBy</v>
      </c>
      <c r="E23" t="str">
        <f>IFERROR(LEFT(B23, FIND("(",B23)-1),B23)</f>
        <v>nvarchar</v>
      </c>
      <c r="F23" s="6"/>
      <c r="G23" t="str">
        <f>IFERROR(MID(B23,FIND("(",B23) +1, FIND(")",B23) - FIND("(",B23) - 1),"")</f>
        <v>50</v>
      </c>
      <c r="H23" t="str">
        <f>+VLOOKUP(E23,'Data Type Mapping'!A:B,2,)</f>
        <v>string</v>
      </c>
      <c r="I23" t="str">
        <f>IF(H23="string",REPT(CHAR(9),2)&amp;"public const int Max"&amp;D23&amp;"Length = "&amp;G23&amp;";"&amp;$E$3,"" )</f>
        <v xml:space="preserve">		public const int MaxGeneratedByLength = 50;
</v>
      </c>
      <c r="J23" t="str">
        <f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[StringLength(MaxGeneratedByLength)]
		public virtual string GeneratedBy { get; set; }
</v>
      </c>
      <c r="K23" s="6"/>
      <c r="L23" t="str">
        <f>IF(K23="","",REPT(CHAR(9),1)&amp;"[Index(nameof("&amp;IF(D23="","",""&amp;D23)&amp;")"&amp;", Name="&amp;"""IX_"&amp;$B$7&amp;"_"&amp;D23&amp;""")]")</f>
        <v/>
      </c>
      <c r="M23" t="str">
        <f>REPT(CHAR(9),2)&amp;"public virtual "&amp;IF(OR(H23="DateTime",H23="TimeSpan"),H23&amp;"?",H23)&amp;IF(C23="?","? "," ")&amp;D23&amp;" { get; set; }" &amp; "
"</f>
        <v xml:space="preserve">		public virtual string GeneratedBy { get; set; }
</v>
      </c>
      <c r="N23" t="str">
        <f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[StringLength(InvGpsKanbanConsts.MaxGeneratedByLength)]
		public virtual string GeneratedBy { get; set; }
</v>
      </c>
      <c r="O23" t="str">
        <f>IF(OR(H23="string",H23="DateTime",H23="int"),REPT(CHAR(9),2)&amp;"public virtual "&amp;IF(OR(H23="DateTime",H23="TimeSpan"),H23&amp;"?",H23)&amp;IF(C23="?","? "," ")&amp;D23&amp;" { get; set; }"&amp;$E$3,"")</f>
        <v xml:space="preserve">		public virtual string GeneratedBy { get; set; }
</v>
      </c>
      <c r="P23" t="str">
        <f>REPT(CHAR(9),7)&amp;D23&amp;" = o." &amp;D23 &amp;","</f>
        <v xml:space="preserve">							GeneratedBy = o.GeneratedBy,</v>
      </c>
      <c r="T23" s="63" t="str">
        <f>REPT(CHAR(9),8)&amp;"("""&amp;D23&amp;"""),"</f>
        <v xml:space="preserve">								("GeneratedBy"),</v>
      </c>
      <c r="V23" s="64" t="str">
        <f>REPT(CHAR(9),8)&amp;"_ =&gt; _."&amp;D23&amp;","</f>
        <v xml:space="preserve">								_ =&gt; _.GeneratedBy,</v>
      </c>
      <c r="W23" s="63" t="str">
        <f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.WhereIf(!string.IsNullOrWhiteSpace(input.GeneratedBy), e =&gt; e.GeneratedBy.Contains(input.GeneratedBy))</v>
      </c>
    </row>
    <row r="24" spans="1:23" customFormat="1" ht="18.75" customHeight="1" x14ac:dyDescent="0.25">
      <c r="A24" s="28" t="s">
        <v>357</v>
      </c>
      <c r="B24" s="28" t="s">
        <v>379</v>
      </c>
      <c r="C24" t="s">
        <v>1</v>
      </c>
      <c r="D24" t="str">
        <f>SUBSTITUTE(PROPER(A24),"_","")</f>
        <v>Status</v>
      </c>
      <c r="E24" t="str">
        <f>IFERROR(LEFT(B24, FIND("(",B24)-1),B24)</f>
        <v>nvarchar</v>
      </c>
      <c r="F24" s="6"/>
      <c r="G24" t="str">
        <f>IFERROR(MID(B24,FIND("(",B24) +1, FIND(")",B24) - FIND("(",B24) - 1),"")</f>
        <v>50</v>
      </c>
      <c r="H24" t="str">
        <f>+VLOOKUP(E24,'Data Type Mapping'!A:B,2,)</f>
        <v>string</v>
      </c>
      <c r="I24" t="str">
        <f>IF(H24="string",REPT(CHAR(9),2)&amp;"public const int Max"&amp;D24&amp;"Length = "&amp;G24&amp;";"&amp;$E$3,"" )</f>
        <v xml:space="preserve">		public const int MaxStatusLength = 50;
</v>
      </c>
      <c r="J24" t="str">
        <f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[StringLength(MaxStatusLength)]
		public virtual string Status { get; set; }
</v>
      </c>
      <c r="K24" s="6" t="s">
        <v>360</v>
      </c>
      <c r="L24" t="str">
        <f>IF(K24="","",REPT(CHAR(9),1)&amp;"[Index(nameof("&amp;IF(D24="","",""&amp;D24)&amp;")"&amp;", Name="&amp;"""IX_"&amp;$B$7&amp;"_"&amp;D24&amp;""")]")</f>
        <v xml:space="preserve">	[Index(nameof(Status), Name="IX_InvGpsKanban_Status")]</v>
      </c>
      <c r="M24" t="str">
        <f>REPT(CHAR(9),2)&amp;"public virtual "&amp;IF(OR(H24="DateTime",H24="TimeSpan"),H24&amp;"?",H24)&amp;IF(C24="?","? "," ")&amp;D24&amp;" { get; set; }" &amp; "
"</f>
        <v xml:space="preserve">		public virtual string Status { get; set; }
</v>
      </c>
      <c r="N24" t="str">
        <f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[StringLength(InvGpsKanbanConsts.MaxStatusLength)]
		public virtual string Status { get; set; }
</v>
      </c>
      <c r="O24" t="str">
        <f>IF(OR(H24="string",H24="DateTime",H24="int"),REPT(CHAR(9),2)&amp;"public virtual "&amp;IF(OR(H24="DateTime",H24="TimeSpan"),H24&amp;"?",H24)&amp;IF(C24="?","? "," ")&amp;D24&amp;" { get; set; }"&amp;$E$3,"")</f>
        <v xml:space="preserve">		public virtual string Status { get; set; }
</v>
      </c>
      <c r="P24" t="str">
        <f>REPT(CHAR(9),7)&amp;D24&amp;" = o." &amp;D24 &amp;","</f>
        <v xml:space="preserve">							Status = o.Status,</v>
      </c>
      <c r="T24" s="63" t="str">
        <f>REPT(CHAR(9),8)&amp;"("""&amp;D24&amp;"""),"</f>
        <v xml:space="preserve">								("Status"),</v>
      </c>
      <c r="V24" s="64" t="str">
        <f>REPT(CHAR(9),8)&amp;"_ =&gt; _."&amp;D24&amp;","</f>
        <v xml:space="preserve">								_ =&gt; _.Status,</v>
      </c>
      <c r="W24" s="63" t="str">
        <f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.WhereIf(!string.IsNullOrWhiteSpace(input.Status), e =&gt; e.Status.Contains(input.Status))</v>
      </c>
    </row>
    <row r="25" spans="1:23" customFormat="1" ht="18.75" customHeight="1" x14ac:dyDescent="0.25">
      <c r="A25" s="28" t="s">
        <v>318</v>
      </c>
      <c r="B25" s="28" t="s">
        <v>355</v>
      </c>
      <c r="C25" t="s">
        <v>1</v>
      </c>
      <c r="D25" t="str">
        <f t="shared" ref="D25" si="78">SUBSTITUTE(PROPER(A25),"_","")</f>
        <v>IsActive</v>
      </c>
      <c r="E25" t="str">
        <f t="shared" ref="E25" si="79">IFERROR(LEFT(B25, FIND("(",B25)-1),B25)</f>
        <v>varchar</v>
      </c>
      <c r="F25" s="6"/>
      <c r="G25" t="str">
        <f t="shared" ref="G25" si="80">IFERROR(MID(B25,FIND("(",B25) +1, FIND(")",B25) - FIND("(",B25) - 1),"")</f>
        <v>1</v>
      </c>
      <c r="H25" t="str">
        <f>+VLOOKUP(E25,'Data Type Mapping'!A:B,2,)</f>
        <v>string</v>
      </c>
      <c r="I25" t="str">
        <f t="shared" ref="I25" si="81">IF(H25="string",REPT(CHAR(9),2)&amp;"public const int Max"&amp;D25&amp;"Length = "&amp;G25&amp;";"&amp;$E$3,"" )</f>
        <v xml:space="preserve">		public const int MaxIsActiveLength = 1;
</v>
      </c>
      <c r="J25" t="str">
        <f t="shared" ref="J25" si="82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[StringLength(MaxIsActiveLength)]
		public virtual string IsActive { get; set; }
</v>
      </c>
      <c r="K25" s="6" t="s">
        <v>360</v>
      </c>
      <c r="L25" t="str">
        <f t="shared" ref="L25" si="83">IF(K25="","",REPT(CHAR(9),1)&amp;"[Index(nameof("&amp;IF(D25="","",""&amp;D25)&amp;")"&amp;", Name="&amp;"""IX_"&amp;$B$7&amp;"_"&amp;D25&amp;""")]")</f>
        <v xml:space="preserve">	[Index(nameof(IsActive), Name="IX_InvGpsKanban_IsActive")]</v>
      </c>
      <c r="M25" t="str">
        <f t="shared" ref="M25" si="84">REPT(CHAR(9),2)&amp;"public virtual "&amp;IF(OR(H25="DateTime",H25="TimeSpan"),H25&amp;"?",H25)&amp;IF(C25="?","? "," ")&amp;D25&amp;" { get; set; }" &amp; "
"</f>
        <v xml:space="preserve">		public virtual string IsActive { get; set; }
</v>
      </c>
      <c r="N25" t="str">
        <f t="shared" ref="N25" si="85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[StringLength(InvGpsKanbanConsts.MaxIsActiveLength)]
		public virtual string IsActive { get; set; }
</v>
      </c>
      <c r="O25" t="str">
        <f t="shared" ref="O25" si="86">IF(OR(H25="string",H25="DateTime",H25="int"),REPT(CHAR(9),2)&amp;"public virtual "&amp;IF(OR(H25="DateTime",H25="TimeSpan"),H25&amp;"?",H25)&amp;IF(C25="?","? "," ")&amp;D25&amp;" { get; set; }"&amp;$E$3,"")</f>
        <v xml:space="preserve">		public virtual string IsActive { get; set; }
</v>
      </c>
      <c r="P25" t="str">
        <f t="shared" ref="P25" si="87">REPT(CHAR(9),7)&amp;D25&amp;" = o." &amp;D25 &amp;","</f>
        <v xml:space="preserve">							IsActive = o.IsActive,</v>
      </c>
      <c r="T25" s="63" t="str">
        <f t="shared" ref="T25" si="88">REPT(CHAR(9),8)&amp;"("""&amp;D25&amp;"""),"</f>
        <v xml:space="preserve">								("IsActive"),</v>
      </c>
      <c r="V25" s="64" t="str">
        <f t="shared" ref="V25" si="89">REPT(CHAR(9),8)&amp;"_ =&gt; _."&amp;D25&amp;","</f>
        <v xml:space="preserve">								_ =&gt; _.IsActive,</v>
      </c>
      <c r="W25" s="63" t="str">
        <f t="shared" ref="W25" si="90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.WhereIf(!string.IsNullOrWhiteSpace(input.IsActive), e =&gt; e.IsActive.Contains(input.IsActive))</v>
      </c>
    </row>
    <row r="27" spans="1:23" ht="45.75" customHeight="1" x14ac:dyDescent="0.25">
      <c r="H27" s="11"/>
      <c r="I27" s="31" t="str">
        <f ca="1">TEXTJOIN2("
", TRUE,INDIRECT( $H$1):INDIRECT( $H$3))</f>
        <v xml:space="preserve">		public const int MaxBackNoLength = 20;
		public const int MaxPartNoLength = 20;
		public const int MaxColorSfxLength = 2;
		public const int MaxPartNameLength = 400;
		public const int MaxPcAddressLength = 40;
		public const int MaxWhSpsPickingLength = 40;
		public const int MaxPackagingTypeLength = 20;
		public const int MaxGeneratedByLength = 50;
		public const int MaxStatusLength = 50;
		public const int MaxIsActiveLength = 1;
</v>
      </c>
      <c r="J27" s="30" t="str">
        <f ca="1">TEXTJOIN2("
", TRUE,INDIRECT( $F$1):INDIRECT( $F$3))</f>
        <v xml:space="preserve">		public virtual long? ContentListId { get; set; }
		[StringLength(MaxBackNoLength)]
		public virtual string BackNo { get; set; }
		[StringLength(MaxPartNoLength)]
		public virtual string PartNo { get; set; }
		[StringLength(MaxColorSfxLength)]
		public virtual string ColorSfx { get; set; }
		[StringLength(MaxPartNameLength)]
		public virtual string PartName { get; set; }
		public virtual int? BoxSize { get; set; }
		public virtual int? BoxQty { get; set; }
		[StringLength(MaxPcAddressLength)]
		public virtual string PcAddress { get; set; }
		[StringLength(MaxWhSpsPickingLength)]
		public virtual string WhSpsPicking { get; set; }
		public virtual int? ActualBoxQty { get; set; }
		public virtual int? RenbanNo { get; set; }
		public virtual int? NoInRenban { get; set; }
		[StringLength(MaxPackagingTypeLength)]
		public virtual string PackagingType { get; set; }
		public virtual int? ActualBoxSize { get; set; }
		[StringLength(MaxGeneratedByLength)]
		public virtual string GeneratedBy { get; set; }
		[StringLength(MaxStatusLength)]
		public virtual string Status { get; set; }
		[StringLength(MaxIsActiveLength)]
		public virtual string IsActive { get; set; }
</v>
      </c>
      <c r="K27" s="32" t="str">
        <f ca="1">TEXTJOIN2("
", TRUE,INDIRECT( $J$1):INDIRECT( $J$3))</f>
        <v xml:space="preserve">	[Index(nameof(PartNo), Name="IX_InvGpsKanban_PartNo")]
	[Index(nameof(Status), Name="IX_InvGpsKanban_Status")]
	[Index(nameof(IsActive), Name="IX_InvGpsKanban_IsActive")]</v>
      </c>
      <c r="L27" s="12" t="s">
        <v>56</v>
      </c>
      <c r="M27" s="33" t="str">
        <f ca="1">TEXTJOIN2("
",TRUE,INDIRECT( $L$1):INDIRECT($L$3))</f>
        <v xml:space="preserve">		public virtual long? ContentListId { get; set; }
		public virtual string BackNo { get; set; }
		public virtual string PartNo { get; set; }
		public virtual string ColorSfx { get; set; }
		public virtual string PartName { get; set; }
		public virtual int? BoxSize { get; set; }
		public virtual int? BoxQty { get; set; }
		public virtual string PcAddress { get; set; }
		public virtual string WhSpsPicking { get; set; }
		public virtual int? ActualBoxQty { get; set; }
		public virtual int? RenbanNo { get; set; }
		public virtual int? NoInRenban { get; set; }
		public virtual string PackagingType { get; set; }
		public virtual int? ActualBoxSize { get; set; }
		public virtual string GeneratedBy { get; set; }
		public virtual string Status { get; set; }
		public virtual string IsActive { get; set; }
</v>
      </c>
      <c r="N27" s="30" t="str">
        <f ca="1">TEXTJOIN2("
",TRUE,INDIRECT( $M$1):INDIRECT($M$3))</f>
        <v xml:space="preserve">		public virtual long? ContentListId { get; set; }
		[StringLength(InvGpsKanbanConsts.MaxBackNoLength)]
		public virtual string BackNo { get; set; }
		[StringLength(InvGpsKanbanConsts.MaxPartNoLength)]
		public virtual string PartNo { get; set; }
		[StringLength(InvGpsKanbanConsts.MaxColorSfxLength)]
		public virtual string ColorSfx { get; set; }
		[StringLength(InvGpsKanbanConsts.MaxPartNameLength)]
		public virtual string PartName { get; set; }
		public virtual int? BoxSize { get; set; }
		public virtual int? BoxQty { get; set; }
		[StringLength(InvGpsKanbanConsts.MaxPcAddressLength)]
		public virtual string PcAddress { get; set; }
		[StringLength(InvGpsKanbanConsts.MaxWhSpsPickingLength)]
		public virtual string WhSpsPicking { get; set; }
		public virtual int? ActualBoxQty { get; set; }
		public virtual int? RenbanNo { get; set; }
		public virtual int? NoInRenban { get; set; }
		[StringLength(InvGpsKanbanConsts.MaxPackagingTypeLength)]
		public virtual string PackagingType { get; set; }
		public virtual int? ActualBoxSize { get; set; }
		[StringLength(InvGpsKanbanConsts.MaxGeneratedByLength)]
		public virtual string GeneratedBy { get; set; }
		[StringLength(InvGpsKanbanConsts.MaxStatusLength)]
		public virtual string Status { get; set; }
		[StringLength(InvGpsKanbanConsts.MaxIsActiveLength)]
		public virtual string IsActive { get; set; }
</v>
      </c>
      <c r="O27" s="30" t="str">
        <f ca="1">TEXTJOIN2("
",TRUE,INDIRECT( $N$1):INDIRECT($N$3))</f>
        <v xml:space="preserve">		public virtual string BackNo { get; set; }
		public virtual string PartNo { get; set; }
		public virtual string ColorSfx { get; set; }
		public virtual string PartName { get; set; }
		public virtual string PcAddress { get; set; }
		public virtual string WhSpsPicking { get; set; }
		public virtual string PackagingType { get; set; }
		public virtual string GeneratedBy { get; set; }
		public virtual string Status { get; set; }
		public virtual string IsActive { get; set; }
</v>
      </c>
      <c r="P27" s="8" t="str">
        <f ca="1">TEXTJOIN2("
",TRUE,INDIRECT( $O$1):INDIRECT($O$3))</f>
        <v xml:space="preserve">							ContentListId = o.ContentListId,
							BackNo = o.BackNo,
							PartNo = o.PartNo,
							ColorSfx = o.ColorSfx,
							PartName = o.PartName,
							BoxSize = o.BoxSize,
							BoxQty = o.BoxQty,
							PcAddress = o.PcAddress,
							WhSpsPicking = o.WhSpsPicking,
							ActualBoxQty = o.ActualBoxQty,
							RenbanNo = o.RenbanNo,
							NoInRenban = o.NoInRenban,
							PackagingType = o.PackagingType,
							ActualBoxSize = o.ActualBoxSize,
							GeneratedBy = o.GeneratedBy,
							Status = o.Status,
							IsActive = o.IsActive,</v>
      </c>
      <c r="T27" s="8" t="str">
        <f ca="1">TEXTJOIN2("
",TRUE,INDIRECT( $T$2):INDIRECT($T$3))</f>
        <v xml:space="preserve">								("ContentListId"),
								("BackNo"),
								("PartNo"),
								("ColorSfx"),
								("PartName"),
								("BoxSize"),
								("BoxQty"),
								("PcAddress"),
								("WhSpsPicking"),
								("ActualBoxQty"),
								("RenbanNo"),
								("NoInRenban"),
								("PackagingType"),
								("ActualBoxSize"),
								("GeneratedBy"),
								("Status"),
								("IsActive"),</v>
      </c>
      <c r="V27" s="8" t="str">
        <f ca="1">TEXTJOIN2("
",TRUE,INDIRECT( $V$2):INDIRECT($V$3))</f>
        <v xml:space="preserve">								_ =&gt; _.ContentListId,
								_ =&gt; _.BackNo,
								_ =&gt; _.PartNo,
								_ =&gt; _.ColorSfx,
								_ =&gt; _.PartName,
								_ =&gt; _.BoxSize,
								_ =&gt; _.BoxQty,
								_ =&gt; _.PcAddress,
								_ =&gt; _.WhSpsPicking,
								_ =&gt; _.ActualBoxQty,
								_ =&gt; _.RenbanNo,
								_ =&gt; _.NoInRenban,
								_ =&gt; _.PackagingType,
								_ =&gt; _.ActualBoxSize,
								_ =&gt; _.GeneratedBy,
								_ =&gt; _.Status,
								_ =&gt; _.IsActive,</v>
      </c>
      <c r="W27" s="8" t="str">
        <f ca="1">TEXTJOIN2("
",TRUE,INDIRECT( $W$2):INDIRECT($W$3))</f>
        <v xml:space="preserve">				.WhereIf(!string.IsNullOrWhiteSpace(input.BackNo), e =&gt; e.BackNo.Contains(input.BackNo))
				.WhereIf(!string.IsNullOrWhiteSpace(input.PartNo), e =&gt; e.PartNo.Contains(input.PartNo))
				.WhereIf(!string.IsNullOrWhiteSpace(input.ColorSfx), e =&gt; e.ColorSfx.Contains(input.ColorSfx))
				.WhereIf(!string.IsNullOrWhiteSpace(input.PartName), e =&gt; e.PartName.Contains(input.PartName))
				.WhereIf(!string.IsNullOrWhiteSpace(input.PcAddress), e =&gt; e.PcAddress.Contains(input.PcAddress))
				.WhereIf(!string.IsNullOrWhiteSpace(input.WhSpsPicking), e =&gt; e.WhSpsPicking.Contains(input.WhSpsPicking))
				.WhereIf(!string.IsNullOrWhiteSpace(input.PackagingType), e =&gt; e.PackagingType.Contains(input.PackagingType))
				.WhereIf(!string.IsNullOrWhiteSpace(input.GeneratedBy), e =&gt; e.GeneratedBy.Contains(input.GeneratedBy))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3"/>
  <sheetViews>
    <sheetView workbookViewId="0">
      <selection activeCell="E15" sqref="E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380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InvGpsKanban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InvGpsKanban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invgpskanban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InvGpsKanbanDto, InvGpsKanbanServiceProxy } from '@shared/service-proxies/service-proxies';
import { finalize } from 'rxjs/internal/operators/finalize';
import { CreateOrEditInvGpsKanbanModalComponent } from './create-or-edit-invgpskanban-modal.component';
import { DatePipe } from '@angular/common';
import { FileDownloadService } from '@shared/utils/file-download.service';
import ceil from 'lodash-es/ceil';
import { Paginator } from 'primeng/paginator';
@Component({
    templateUrl: './invgpskanban.component.html',
    styleUrls: ['./invgpskanban.component.less'],
})
export class InvGpsKanbanComponent extends AppComponentBase implements OnInit {
    @ViewChild('createOrEditModalInvGpsKanban', { static: true }) createOrEditModalInvGpsKanban:| CreateOrEditInvGpsKanbanModalComponent|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InvGpsKanbanDto = new InvGpsKanbanDto();
    saveSelectedRow: InvGpsKanbanDto = new InvGpsKanbanDto();
    datas: InvGpsKanbanDto = new InvGpsKanbanDto();
    isLoading: boolean = false;
    dataParams: GridParams | undefined;
    rowData: any[] = [];
    gridApi!: GridApi;
    rowSelection = 'multiple';
    filter: string = '';
	pipe = new DatePipe('en-US');
	frameworkComponents: FrameworkComponent;
    	backNo : string = '' ; 
	partNo : string = '' ; 
	colorSfx : string = '' ; 
	partName : string = '' ; 
	pcAddress : string = '' ; 
	whSpsPicking : string = '' ; 
	packagingType : string = '' ; 
	generatedBy : string = '' ; 
	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InvGpsKanbanServiceProxy,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this.l('Content List Id'),headerTooltip: this.l('Content List Id'),field: 'contentListId',flex: 1},
			{headerName: this.l('Back No'),headerTooltip: this.l('Back No'),field: 'backNo',flex: 1},
			{headerName: this.l('Part No'),headerTooltip: this.l('Part No'),field: 'partNo',flex: 1},
			{headerName: this.l('Color Sfx'),headerTooltip: this.l('Color Sfx'),field: 'colorSfx',flex: 1},
			{headerName: this.l('Part Name'),headerTooltip: this.l('Part Name'),field: 'partName',flex: 1},
			{headerName: this.l('Box Size'),headerTooltip: this.l('Box Size'),field: 'boxSize',flex: 1},
			{headerName: this.l('Box Qty'),headerTooltip: this.l('Box Qty'),field: 'boxQty',flex: 1},
			{headerName: this.l('Pc Address'),headerTooltip: this.l('Pc Address'),field: 'pcAddress',flex: 1},
			{headerName: this.l('Wh Sps Picking'),headerTooltip: this.l('Wh Sps Picking'),field: 'whSpsPicking',flex: 1},
			{headerName: this.l('Actual Box Qty'),headerTooltip: this.l('Actual Box Qty'),field: 'actualBoxQty',flex: 1},
			{headerName: this.l('Renban No'),headerTooltip: this.l('Renban No'),field: 'renbanNo',flex: 1},
			{headerName: this.l('No In Renban'),headerTooltip: this.l('No In Renban'),field: 'noInRenban',flex: 1},
			{headerName: this.l('Packaging Type'),headerTooltip: this.l('Packaging Type'),field: 'packagingType',flex: 1},
			{headerName: this.l('Actual Box Size'),headerTooltip: this.l('Actual Box Size'),field: 'actualBoxSize',flex: 1},
			{headerName: this.l('Generated By'),headerTooltip: this.l('Generated By'),field: 'generatedBy',flex: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this.contentListId,
			this.backNo,
			this.partNo,
			this.colorSfx,
			this.boxQty,
			this.pcAddress,
			this.noInRenban,
			this.actualBoxSize,
			this.generatedBy,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backNo : string = '' ; 
	partNo : string = '' ; 
	colorSfx : string = '' ; 
	partName : string = '' ; 
	pcAddress : string = '' ; 
	whSpsPicking : string = '' ; 
	packagingType : string = '' ; 
	generatedBy : string = '' ; 
	status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this.contentListId,
			this.backNo,
			this.partNo,
			this.colorSfx,
			this.boxQty,
			this.pcAddress,
			this.noInRenban,
			this.actualBoxSize,
			this.generatedBy,
			'',
            this.paginationParams.skipCount,
            this.paginationParams.pageSize
        );
    }
    onChangeRowSelection(params: { api: { getSelectedRows: () =&gt; InvGpsKanbanDto[] } }) {
        this.saveSelectedRow = params.api.getSelectedRows()[0] ?? new InvGpsKanbanDto();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InvGpsKanbanDto):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this._service.getInvGpsKanbanToExcel(
			this.contentListId,
			this.backNo,
			this.partNo,
			this.colorSfx,
			this.boxQty,
			this.pcAddress,
			this.noInRenban,
			this.actualBoxSize,
			this.generatedBy,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Kanban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[(ngModel)]='whSpsPicking' name='whSpsPicking'
									class='form-control' [placeholder]="l('Wh Sps Picking')"
									type='text' (keyup.enter)='searchDatas()'&gt;
								&lt;/div&gt;
								&lt;div class='input-search'&gt;
									&lt;input [(ngModel)]='packagingType' name='packagingType'
									class='form-control' [placeholder]="l('Packaging Type')"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(click)="createOrEditModalInvGpsKanban.show()"&gt;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(click)="createOrEditModalInvGpsKanban.show(selectedRow)"&gt;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&lt;create-or-edit-invgpskanban-modal
    #createOrEditModalInvGpsKanban
    (modalSave)="callBackDataGrid(dataParams)"
    (modalClose)="onChangeRowSelection(dataParams)"
&gt;
&lt;/create-or-edit-invgpskanban-modal&gt;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#createOrEditModalInvGpsKanban="bs-modal"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InvGpsKanban')}}&lt;/h3&gt;
                    &lt;h3 *ngIf="!rowdata.id"&gt;{{('Create New InvGpsKanban')}}&lt;/h3&gt;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title'&gt;Content List Id&lt;/label&gt;
						&lt;input type='number' class='col-md-10 form-control input-text' name='ContentListId' [(ngModel)]='rowdata.contentListId'&gt;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title'&gt;Box Size&lt;/label&gt;
						&lt;input type='number' class='col-md-10 form-control input-text' name='BoxSize' [(ngModel)]='rowdata.boxSize'&gt;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title'&gt;Wh Sps Picking&lt;/label&gt;
						&lt;input type='text' class='col-md-10 form-control input-text' name='WhSpsPicking' [(ngModel)]='rowdata.whSpsPicking'&gt;
					&lt;/div&gt;
					&lt;div class='col-md-12 form-group row'&gt;
						&lt;label class='col-md-2 form-control title'&gt;Actual Box Qty&lt;/label&gt;
						&lt;input type='number' class='col-md-10 form-control input-text' name='ActualBoxQty' [(ngModel)]='rowdata.actualBoxQty'&gt;
					&lt;/div&gt;
					&lt;div class='col-md-12 form-group row'&gt;
						&lt;label class='col-md-2 form-control title'&gt;Renban No&lt;/label&gt;
						&lt;input type='number' class='col-md-10 form-control input-text' name='RenbanNo' [(ngModel)]='rowdata.renbanNo'&gt;
					&lt;/div&gt;
					&lt;div class='col-md-12 form-group row'&gt;
						&lt;label class='col-md-2 form-control title'&gt;No In Renban&lt;/label&gt;
						&lt;input type='number' class='col-md-10 form-control input-text' name='NoInRenban' [(ngModel)]='rowdata.noInRenban'&gt;
					&lt;/div&gt;
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
					&lt;div class='col-md-12 form-group row'&gt;
						&lt;label class='col-md-2 form-control title'&gt;Actual Box Size&lt;/label&gt;
						&lt;input type='number' class='col-md-10 form-control input-text' name='ActualBoxSize' [(ngModel)]='rowdata.actualBoxSize'&gt;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CreateOrEditInvGpsKanbanDto, InvGpsKanbanServiceProxy } from '@shared/service-proxies/service-proxies';
import { BsDatepickerDirective } from 'ngx-bootstrap/datepicker';
@Component({
    selector: 'create-or-edit-invgpskanban-modal',
    templateUrl: './create-or-edit-invgpskanban-modal.component.html',
    styleUrls: ['./create-or-edit-invgpskanban-modal.component.less']
    })
export class CreateOrEditInvGpsKanbanModalComponent extends AppComponentBase {
    @ViewChild('createOrEditModalInvGpsKanban',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CreateOrEditInvGpsKanbanDto = new CreateOrEditInvGpsKanbanDto();
    active: boolean = false;
    saving: boolean = false;
    _isActive: boolean;
    constructor(
        injector: Injector,
        private _mstwptInvGpsKanbanService: InvGpsKanbanServiceProxy,
    ) 
    {
        super(injector);
    }
    show(rowdata?: CreateOrEditInvGpsKanbanDto): void {
        if (!rowdata) this.rowdata = new CreateOrEditInvGpsKanbanDto();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this._mstwptInvGpsKanbanService.createOrEdit(this.rowdata)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InvGpsKanbanRoutingModule } from './invgpskanban-routing.module';
import { InvGpsKanbanComponent } from './invgpskanban.component';
import { CreateOrEditInvGpsKanbanModalComponent } from './create-or-edit-invgpskanban-modal.component';
@NgModule({
    declarations: [
       InvGpsKanbanComponent, 
        CreateOrEditInvGpsKanbanModalComponent
    ],
    imports: [
        AppSharedModule, InvGpsKanbanRoutingModule]
})
export class InvGpsKanbanModule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InvGpsKanbanComponent } from './invgpskanban.component';
const routes: Routes = [{
    path: '',
    component: InvGpsKanbanComponent,
    pathMatch: 'full'
}];
@NgModule({
    imports: [RouterModule.forChild(routes)],
    exports: [RouterModule],
})
export class InvGpsKanbanRoutingModule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AppMenuItem("InvGpsKanban", "Pages.Inventory.GPS.InvGpsKanban", "flaticon-book",   "/app/main/inventory/gps/invgpskanban"),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'inventory/gps/invgpskanban',
    loadChildren: () =&gt; import('./inventory/gps/invgpskanban/invgpskanban.module').then(m =&gt; m.InvGpsKanbanModule),
    data: { permission: 'Pages.Inventory.GPS.InvGpsKanban' }
},</v>
      </c>
      <c r="R10" s="47" t="str">
        <f>SUBSTITUTE(R9,"MstWptCalendar",$B$6)</f>
        <v>ApiServiceProxies.InvGpsKanbanServiceProxy,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H31</v>
      </c>
      <c r="I12" s="28" t="str">
        <f>"I"&amp;COUNTA($A:$A)</f>
        <v>I31</v>
      </c>
      <c r="J12" s="28"/>
      <c r="K12" s="28" t="str">
        <f>"K"&amp;COUNTA($A:$A)</f>
        <v>K31</v>
      </c>
      <c r="L12" s="28" t="str">
        <f>"L"&amp;COUNTA($A:$A)</f>
        <v>L31</v>
      </c>
      <c r="M12" s="28"/>
      <c r="N12" s="28"/>
      <c r="O12" s="28"/>
      <c r="P12" s="28"/>
      <c r="Q12" s="28"/>
      <c r="R12" s="28"/>
      <c r="S12" s="28" t="str">
        <f>"S"&amp;COUNTA($A:$A)</f>
        <v>S31</v>
      </c>
      <c r="T12" s="28" t="str">
        <f>"T"&amp;COUNTA($A:$A)</f>
        <v>T31</v>
      </c>
      <c r="U12" s="28" t="str">
        <f>"U"&amp;COUNTA($A:$A)</f>
        <v>U31</v>
      </c>
      <c r="V12" s="28" t="str">
        <f>"V"&amp;COUNTA($A:$A)</f>
        <v>V31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this.l('Content List Id'),headerTooltip: this.l('Content List Id'),field: 'contentListId',flex: 1},
			{headerName: this.l('Back No'),headerTooltip: this.l('Back No'),field: 'backNo',flex: 1},
			{headerName: this.l('Part No'),headerTooltip: this.l('Part No'),field: 'partNo',flex: 1},
			{headerName: this.l('Color Sfx'),headerTooltip: this.l('Color Sfx'),field: 'colorSfx',flex: 1},
			{headerName: this.l('Part Name'),headerTooltip: this.l('Part Name'),field: 'partName',flex: 1},
			{headerName: this.l('Box Size'),headerTooltip: this.l('Box Size'),field: 'boxSize',flex: 1},
			{headerName: this.l('Box Qty'),headerTooltip: this.l('Box Qty'),field: 'boxQty',flex: 1},
			{headerName: this.l('Pc Address'),headerTooltip: this.l('Pc Address'),field: 'pcAddress',flex: 1},
			{headerName: this.l('Wh Sps Picking'),headerTooltip: this.l('Wh Sps Picking'),field: 'whSpsPicking',flex: 1},
			{headerName: this.l('Actual Box Qty'),headerTooltip: this.l('Actual Box Qty'),field: 'actualBoxQty',flex: 1},
			{headerName: this.l('Renban No'),headerTooltip: this.l('Renban No'),field: 'renbanNo',flex: 1},
			{headerName: this.l('No In Renban'),headerTooltip: this.l('No In Renban'),field: 'noInRenban',flex: 1},
			{headerName: this.l('Packaging Type'),headerTooltip: this.l('Packaging Type'),field: 'packagingType',flex: 1},
			{headerName: this.l('Actual Box Size'),headerTooltip: this.l('Actual Box Size'),field: 'actualBoxSize',flex: 1},
			{headerName: this.l('Generated By'),headerTooltip: this.l('Generated By'),field: 'generatedBy',flex: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[(ngModel)]='whSpsPicking' name='whSpsPicking'
									class='form-control' [placeholder]="l('Wh Sps Picking')"
									type='text' (keyup.enter)='searchDatas()'&gt;
								&lt;/div&gt;
								&lt;div class='input-search'&gt;
									&lt;input [(ngModel)]='packagingType' name='packagingType'
									class='form-control' [placeholder]="l('Packaging Type')"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title'&gt;Content List Id&lt;/label&gt;
						&lt;input type='number' class='col-md-10 form-control input-text' name='ContentListId' [(ngModel)]='rowdata.contentListId'&gt;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title'&gt;Box Size&lt;/label&gt;
						&lt;input type='number' class='col-md-10 form-control input-text' name='BoxSize' [(ngModel)]='rowdata.boxSize'&gt;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title'&gt;Wh Sps Picking&lt;/label&gt;
						&lt;input type='text' class='col-md-10 form-control input-text' name='WhSpsPicking' [(ngModel)]='rowdata.whSpsPicking'&gt;
					&lt;/div&gt;
					&lt;div class='col-md-12 form-group row'&gt;
						&lt;label class='col-md-2 form-control title'&gt;Actual Box Qty&lt;/label&gt;
						&lt;input type='number' class='col-md-10 form-control input-text' name='ActualBoxQty' [(ngModel)]='rowdata.actualBoxQty'&gt;
					&lt;/div&gt;
					&lt;div class='col-md-12 form-group row'&gt;
						&lt;label class='col-md-2 form-control title'&gt;Renban No&lt;/label&gt;
						&lt;input type='number' class='col-md-10 form-control input-text' name='RenbanNo' [(ngModel)]='rowdata.renbanNo'&gt;
					&lt;/div&gt;
					&lt;div class='col-md-12 form-group row'&gt;
						&lt;label class='col-md-2 form-control title'&gt;No In Renban&lt;/label&gt;
						&lt;input type='number' class='col-md-10 form-control input-text' name='NoInRenban' [(ngModel)]='rowdata.noInRenban'&gt;
					&lt;/div&gt;
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
					&lt;div class='col-md-12 form-group row'&gt;
						&lt;label class='col-md-2 form-control title'&gt;Actual Box Size&lt;/label&gt;
						&lt;input type='number' class='col-md-10 form-control input-text' name='ActualBoxSize' [(ngModel)]='rowdata.actualBoxSize'&gt;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backNo : string = '' ; 
	partNo : string = '' ; 
	colorSfx : string = '' ; 
	partName : string = '' ; 
	pcAddress : string = '' ; 
	whSpsPicking : string = '' ; 
	packagingType : string = '' ; 
	generatedBy : string = '' ; 
	status : string = '' ; 
</v>
      </c>
      <c r="T13" s="62" t="str">
        <f ca="1">TEXTJOIN2("
",TRUE,INDIRECT(T11):INDIRECT(T12))</f>
        <v xml:space="preserve">			this.contentListId,
			this.backNo,
			this.partNo,
			this.colorSfx,
			this.boxQty,
			this.pcAddress,
			this.noInRenban,
			this.actualBoxSize,
			this.generatedBy,
</v>
      </c>
      <c r="U13" s="62" t="str">
        <f ca="1">TEXTJOIN2("
",TRUE,INDIRECT(U11):INDIRECT(U12))</f>
        <v xml:space="preserve">	backNo : string = '' ; 
	partNo : string = '' ; 
	colorSfx : string = '' ; 
	partName : string = '' ; 
	pcAddress : string = '' ; 
	whSpsPicking : string = '' ; 
	packagingType : string = '' ; 
	generatedBy : string = '' ; 
	status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invgpskanban.component.ts</v>
      </c>
      <c r="I14" s="37" t="str">
        <f>B8&amp;".component.html"</f>
        <v>invgpskanban.component.html</v>
      </c>
      <c r="J14" s="36" t="str">
        <f>B8&amp;".component.less"</f>
        <v>invgpskanban.component.less</v>
      </c>
      <c r="K14" s="37" t="str">
        <f>"create-or-edit-"&amp;B8&amp;"-modal.component.html"</f>
        <v>create-or-edit-invgpskanban-modal.component.html</v>
      </c>
      <c r="L14" s="37" t="str">
        <f>"create-or-edit-"&amp;B8&amp;"-modal.component.ts"</f>
        <v>create-or-edit-invgpskanban-modal.component.ts</v>
      </c>
      <c r="M14" s="37" t="str">
        <f>"create-or-edit-"&amp;B8&amp;"-modal.component.less"</f>
        <v>create-or-edit-invgpskanban-modal.component.less</v>
      </c>
      <c r="N14" s="37" t="str">
        <f>B8&amp;".module.ts"</f>
        <v>invgpskanban.module.ts</v>
      </c>
      <c r="O14" s="37" t="str">
        <f>B8&amp;"-routing.module.ts"</f>
        <v>invgpskanban-routing.module.ts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362</v>
      </c>
      <c r="B15" s="28" t="str">
        <f t="shared" ref="B15" si="0">SUBSTITUTE(PROPER(A15),"_","")</f>
        <v>ContentListId</v>
      </c>
      <c r="C15" s="28" t="str">
        <f t="shared" ref="C15" si="1">SUBSTITUTE(PROPER(A15),"_"," ")</f>
        <v>Content List Id</v>
      </c>
      <c r="D15" s="28" t="str">
        <f t="shared" ref="D15" si="2">LOWER(LEFT(B15,1))&amp;RIGHT(B15,LEN(B15) - 1)</f>
        <v>contentListId</v>
      </c>
      <c r="E15" s="28" t="str">
        <f>A.Backend!H9</f>
        <v>long?</v>
      </c>
      <c r="F15" s="28" t="str">
        <f>A.Backend!G9</f>
        <v/>
      </c>
      <c r="G15" s="28" t="str">
        <f t="shared" ref="G15" si="3">IF(E15="string"," : string = '' ; ",IF(OR(E15="DateTime",E15="TimeSpan")," : any ;",IF(E15="int"," : number = 0 ;","")))</f>
        <v/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this.l('Content List Id'),headerTooltip: this.l('Content List Id'),field: 'contentListId',flex: 1},</v>
      </c>
      <c r="I15" s="35" t="str">
        <f t="shared" ref="I15:I3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title'&gt;Content List Id&lt;/label&gt;
						&lt;input type='number' class='col-md-10 form-control input-text' name='ContentListId' [(ngModel)]='rowdata.contentListId'&gt;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t="s">
        <v>363</v>
      </c>
      <c r="B16" s="28" t="str">
        <f t="shared" ref="B16:B31" si="8">SUBSTITUTE(PROPER(A16),"_","")</f>
        <v>BackNo</v>
      </c>
      <c r="C16" s="28" t="str">
        <f t="shared" ref="C16:C31" si="9">SUBSTITUTE(PROPER(A16),"_"," ")</f>
        <v>Back No</v>
      </c>
      <c r="D16" s="28" t="str">
        <f t="shared" ref="D16:D31" si="10">LOWER(LEFT(B16,1))&amp;RIGHT(B16,LEN(B16) - 1)</f>
        <v>backNo</v>
      </c>
      <c r="E16" s="28" t="str">
        <f>A.Backend!H10</f>
        <v>string</v>
      </c>
      <c r="F16" s="28" t="str">
        <f>A.Backend!G10</f>
        <v>20</v>
      </c>
      <c r="G16" s="28" t="str">
        <f t="shared" ref="G16:G31" si="11">IF(E16="string"," : string = '' ; ",IF(OR(E16="DateTime",E16="TimeSpan")," : any ;",IF(E16="int"," : number = 0 ;","")))</f>
        <v xml:space="preserve"> : string = '' ; </v>
      </c>
      <c r="H16" s="35" t="str">
        <f t="shared" ref="H16:H3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this.l('Back No'),headerTooltip: this.l('Back No'),field: 'backNo',flex: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6" s="28"/>
      <c r="K16" s="35" t="str">
        <f t="shared" ref="K16:K31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1" si="15">IF(AND(E16="string",F16 &lt;&gt;"1"),(REPT(CHAR(9),1)&amp;D16&amp;G16),"")</f>
        <v xml:space="preserve">	backNo : string = '' ; </v>
      </c>
      <c r="T16" s="28" t="str">
        <f>IF(AND(E16="string",F16 &lt;&gt;"1"),(REPT(CHAR(9),3)&amp;"this."&amp;D15&amp;","),"")</f>
        <v xml:space="preserve">			this.contentListId,</v>
      </c>
      <c r="U16" s="28" t="str">
        <f t="shared" ref="U16:U31" si="16">IF(AND(E16="string",F16 &lt;&gt;"1"),(REPT(CHAR(9),1)&amp;D16&amp;G16),"")</f>
        <v xml:space="preserve">	backNo : string = '' ; </v>
      </c>
      <c r="V16" s="28" t="str">
        <f t="shared" ref="V16:V31" si="17">IF(AND(E16="string",F16="1"),D16,"")</f>
        <v/>
      </c>
    </row>
    <row r="17" spans="1:22" ht="18" customHeight="1" x14ac:dyDescent="0.25">
      <c r="A17" t="s">
        <v>365</v>
      </c>
      <c r="B17" s="28" t="str">
        <f t="shared" si="8"/>
        <v>PartNo</v>
      </c>
      <c r="C17" s="28" t="str">
        <f t="shared" si="9"/>
        <v>Part No</v>
      </c>
      <c r="D17" s="28" t="str">
        <f t="shared" si="10"/>
        <v>partNo</v>
      </c>
      <c r="E17" s="28" t="str">
        <f>A.Backend!H11</f>
        <v>string</v>
      </c>
      <c r="F17" s="28" t="str">
        <f>A.Backend!G11</f>
        <v>20</v>
      </c>
      <c r="G17" s="28" t="str">
        <f t="shared" si="11"/>
        <v xml:space="preserve"> : string = '' ; </v>
      </c>
      <c r="H17" s="35" t="str">
        <f t="shared" si="12"/>
        <v xml:space="preserve">			{headerName: this.l('Part No'),headerTooltip: this.l('Part No'),field: 'partNo',flex: 1},</v>
      </c>
      <c r="I17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partNo : string = '' ; </v>
      </c>
      <c r="T17" s="28" t="str">
        <f t="shared" ref="T17:T20" si="18">IF(AND(E17="string",F17 &lt;&gt;"1"),(REPT(CHAR(9),3)&amp;"this."&amp;D16&amp;","),"")</f>
        <v xml:space="preserve">			this.backNo,</v>
      </c>
      <c r="U17" s="28" t="str">
        <f t="shared" si="16"/>
        <v xml:space="preserve">	partNo : string = '' ; </v>
      </c>
      <c r="V17" s="28" t="str">
        <f t="shared" si="17"/>
        <v/>
      </c>
    </row>
    <row r="18" spans="1:22" ht="15" customHeight="1" x14ac:dyDescent="0.25">
      <c r="A18" t="s">
        <v>366</v>
      </c>
      <c r="B18" s="28" t="str">
        <f t="shared" si="8"/>
        <v>ColorSfx</v>
      </c>
      <c r="C18" s="28" t="str">
        <f t="shared" si="9"/>
        <v>Color Sfx</v>
      </c>
      <c r="D18" s="28" t="str">
        <f t="shared" si="10"/>
        <v>colorSfx</v>
      </c>
      <c r="E18" s="28" t="str">
        <f>A.Backend!H12</f>
        <v>string</v>
      </c>
      <c r="F18" s="28" t="str">
        <f>A.Backend!G12</f>
        <v>2</v>
      </c>
      <c r="G18" s="28" t="str">
        <f t="shared" si="11"/>
        <v xml:space="preserve"> : string = '' ; </v>
      </c>
      <c r="H18" s="35" t="str">
        <f t="shared" si="12"/>
        <v xml:space="preserve">			{headerName: this.l('Color Sfx'),headerTooltip: this.l('Color Sfx'),field: 'colorSfx',flex: 1},</v>
      </c>
      <c r="I18" s="35" t="str">
        <f t="shared" si="5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18" s="56" t="str">
        <f t="shared" ref="L18:L3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colorSfx : string = '' ; </v>
      </c>
      <c r="T18" s="28" t="str">
        <f t="shared" si="18"/>
        <v xml:space="preserve">			this.partNo,</v>
      </c>
      <c r="U18" s="28" t="str">
        <f t="shared" si="16"/>
        <v xml:space="preserve">	colorSfx : string = '' ; </v>
      </c>
      <c r="V18" s="28" t="str">
        <f t="shared" si="17"/>
        <v/>
      </c>
    </row>
    <row r="19" spans="1:22" ht="18" customHeight="1" x14ac:dyDescent="0.25">
      <c r="A19" t="s">
        <v>368</v>
      </c>
      <c r="B19" s="28" t="str">
        <f t="shared" si="8"/>
        <v>PartName</v>
      </c>
      <c r="C19" s="28" t="str">
        <f t="shared" si="9"/>
        <v>Part Name</v>
      </c>
      <c r="D19" s="28" t="str">
        <f t="shared" si="10"/>
        <v>partName</v>
      </c>
      <c r="E19" s="28" t="str">
        <f>A.Backend!H13</f>
        <v>string</v>
      </c>
      <c r="F19" s="28" t="str">
        <f>A.Backend!G13</f>
        <v>400</v>
      </c>
      <c r="G19" s="28" t="str">
        <f t="shared" si="11"/>
        <v xml:space="preserve"> : string = '' ; </v>
      </c>
      <c r="H19" s="35" t="str">
        <f t="shared" si="12"/>
        <v xml:space="preserve">			{headerName: this.l('Part Name'),headerTooltip: this.l('Part Name'),field: 'partName',flex: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partName : string = '' ; </v>
      </c>
      <c r="T19" s="28" t="str">
        <f t="shared" si="18"/>
        <v xml:space="preserve">			this.colorSfx,</v>
      </c>
      <c r="U19" s="28" t="str">
        <f t="shared" si="16"/>
        <v xml:space="preserve">	partName : string = '' ; </v>
      </c>
      <c r="V19" s="28" t="str">
        <f t="shared" si="17"/>
        <v/>
      </c>
    </row>
    <row r="20" spans="1:22" ht="15" customHeight="1" x14ac:dyDescent="0.25">
      <c r="A20" t="s">
        <v>370</v>
      </c>
      <c r="B20" s="28" t="str">
        <f t="shared" si="8"/>
        <v>BoxSize</v>
      </c>
      <c r="C20" s="28" t="str">
        <f t="shared" si="9"/>
        <v>Box Size</v>
      </c>
      <c r="D20" s="28" t="str">
        <f t="shared" si="10"/>
        <v>boxSize</v>
      </c>
      <c r="E20" s="28" t="str">
        <f>A.Backend!H14</f>
        <v>int?</v>
      </c>
      <c r="F20" s="28" t="str">
        <f>A.Backend!G14</f>
        <v/>
      </c>
      <c r="G20" s="28" t="str">
        <f t="shared" si="11"/>
        <v/>
      </c>
      <c r="H20" s="35" t="str">
        <f t="shared" si="12"/>
        <v xml:space="preserve">			{headerName: this.l('Box Size'),headerTooltip: this.l('Box Size'),field: 'boxSize',flex: 1},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title'&gt;Box Size&lt;/label&gt;
						&lt;input type='number' class='col-md-10 form-control input-text' name='BoxSize' [(ngModel)]='rowdata.boxSize'&gt;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/>
      </c>
    </row>
    <row r="21" spans="1:22" ht="18" customHeight="1" x14ac:dyDescent="0.25">
      <c r="A21" t="s">
        <v>371</v>
      </c>
      <c r="B21" s="28" t="str">
        <f t="shared" si="8"/>
        <v>BoxQty</v>
      </c>
      <c r="C21" s="28" t="str">
        <f t="shared" si="9"/>
        <v>Box Qty</v>
      </c>
      <c r="D21" s="28" t="str">
        <f t="shared" si="10"/>
        <v>boxQty</v>
      </c>
      <c r="E21" s="28" t="str">
        <f>A.Backend!H15</f>
        <v>int?</v>
      </c>
      <c r="F21" s="28" t="str">
        <f>A.Backend!G15</f>
        <v/>
      </c>
      <c r="G21" s="28" t="str">
        <f t="shared" ref="G21:G25" si="20">IF(E21="string"," : string = '' ; ",IF(OR(E21="DateTime",E21="TimeSpan")," : any ;",IF(E21="int"," : number = 0 ;","")))</f>
        <v/>
      </c>
      <c r="H21" s="35" t="str">
        <f t="shared" ref="H21:H25" si="21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this.l('Box Qty'),headerTooltip: this.l('Box Qty'),field: 'boxQty',flex: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:K25" si="22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title'&gt;Box Qty&lt;/label&gt;
						&lt;input type='number' class='col-md-10 form-control input-text' name='BoxQty' [(ngModel)]='rowdata.boxQty'&gt;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ref="S21:S25" si="23">IF(AND(E21="string",F21 &lt;&gt;"1"),(REPT(CHAR(9),1)&amp;D21&amp;G21),"")</f>
        <v/>
      </c>
      <c r="T21" s="28" t="str">
        <f>IF(AND(E21="string",F21 &lt;&gt;"1"),(REPT(CHAR(9),3)&amp;"this."&amp;D20&amp;","),"")</f>
        <v/>
      </c>
      <c r="U21" s="28" t="str">
        <f t="shared" ref="U21:U25" si="24">IF(AND(E21="string",F21 &lt;&gt;"1"),(REPT(CHAR(9),1)&amp;D21&amp;G21),"")</f>
        <v/>
      </c>
      <c r="V21" s="28" t="str">
        <f t="shared" ref="V21:V25" si="25">IF(AND(E21="string",F21="1"),D21,"")</f>
        <v/>
      </c>
    </row>
    <row r="22" spans="1:22" ht="18" customHeight="1" x14ac:dyDescent="0.25">
      <c r="A22" t="s">
        <v>372</v>
      </c>
      <c r="B22" s="28" t="str">
        <f t="shared" si="8"/>
        <v>PcAddress</v>
      </c>
      <c r="C22" s="28" t="str">
        <f t="shared" si="9"/>
        <v>Pc Address</v>
      </c>
      <c r="D22" s="28" t="str">
        <f t="shared" si="10"/>
        <v>pcAddress</v>
      </c>
      <c r="E22" s="28" t="str">
        <f>A.Backend!H16</f>
        <v>string</v>
      </c>
      <c r="F22" s="28" t="str">
        <f>A.Backend!G16</f>
        <v>40</v>
      </c>
      <c r="G22" s="28" t="str">
        <f t="shared" si="20"/>
        <v xml:space="preserve"> : string = '' ; </v>
      </c>
      <c r="H22" s="35" t="str">
        <f t="shared" si="21"/>
        <v xml:space="preserve">			{headerName: this.l('Pc Address'),headerTooltip: this.l('Pc Address'),field: 'pcAddress',flex: 1},</v>
      </c>
      <c r="I22" s="35" t="str">
        <f t="shared" ref="I22:I23" si="26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[(ngModel)]='pcAddress' name='pcAddress'
									class='form-control' [placeholder]="l('Pc Address')"
									type='text' (keyup.enter)='searchDatas()'&gt;
								&lt;/div&gt;</v>
      </c>
      <c r="J22" s="28"/>
      <c r="K22" s="35" t="str">
        <f t="shared" si="22"/>
        <v xml:space="preserve">					&lt;div class='col-md-12 form-group row'&gt;
						&lt;label class='col-md-2 form-control title'&gt;Pc Address&lt;/label&gt;
						&lt;input type='text' class='col-md-10 form-control input-text' name='PcAddress' [(ngModel)]='rowdata.pcAddress'&gt;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3"/>
        <v xml:space="preserve">	pcAddress : string = '' ; </v>
      </c>
      <c r="T22" s="28" t="str">
        <f t="shared" ref="T22:T25" si="27">IF(AND(E22="string",F22 &lt;&gt;"1"),(REPT(CHAR(9),3)&amp;"this."&amp;D21&amp;","),"")</f>
        <v xml:space="preserve">			this.boxQty,</v>
      </c>
      <c r="U22" s="28" t="str">
        <f t="shared" si="24"/>
        <v xml:space="preserve">	pcAddress : string = '' ; </v>
      </c>
      <c r="V22" s="28" t="str">
        <f t="shared" si="25"/>
        <v/>
      </c>
    </row>
    <row r="23" spans="1:22" ht="15" customHeight="1" x14ac:dyDescent="0.25">
      <c r="A23" t="s">
        <v>373</v>
      </c>
      <c r="B23" s="28" t="str">
        <f t="shared" si="8"/>
        <v>WhSpsPicking</v>
      </c>
      <c r="C23" s="28" t="str">
        <f t="shared" si="9"/>
        <v>Wh Sps Picking</v>
      </c>
      <c r="D23" s="28" t="str">
        <f t="shared" si="10"/>
        <v>whSpsPicking</v>
      </c>
      <c r="E23" s="28" t="str">
        <f>A.Backend!H17</f>
        <v>string</v>
      </c>
      <c r="F23" s="28" t="str">
        <f>A.Backend!G17</f>
        <v>40</v>
      </c>
      <c r="G23" s="28" t="str">
        <f t="shared" si="20"/>
        <v xml:space="preserve"> : string = '' ; </v>
      </c>
      <c r="H23" s="35" t="str">
        <f t="shared" si="21"/>
        <v xml:space="preserve">			{headerName: this.l('Wh Sps Picking'),headerTooltip: this.l('Wh Sps Picking'),field: 'whSpsPicking',flex: 1},</v>
      </c>
      <c r="I23" s="35" t="str">
        <f t="shared" si="26"/>
        <v xml:space="preserve">								&lt;div class='input-search'&gt;
									&lt;input [(ngModel)]='whSpsPicking' name='whSpsPicking'
									class='form-control' [placeholder]="l('Wh Sps Picking')"
									type='text' (keyup.enter)='searchDatas()'&gt;
								&lt;/div&gt;</v>
      </c>
      <c r="J23" s="28"/>
      <c r="K23" s="35" t="str">
        <f t="shared" si="22"/>
        <v xml:space="preserve">					&lt;div class='col-md-12 form-group row'&gt;
						&lt;label class='col-md-2 form-control title'&gt;Wh Sps Picking&lt;/label&gt;
						&lt;input type='text' class='col-md-10 form-control input-text' name='WhSpsPicking' [(ngModel)]='rowdata.whSpsPicking'&gt;
					&lt;/div&gt;</v>
      </c>
      <c r="L23" s="56" t="str">
        <f t="shared" ref="L23:L27" si="2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3"/>
        <v xml:space="preserve">	whSpsPicking : string = '' ; </v>
      </c>
      <c r="T23" s="28" t="str">
        <f t="shared" si="27"/>
        <v xml:space="preserve">			this.pcAddress,</v>
      </c>
      <c r="U23" s="28" t="str">
        <f t="shared" si="24"/>
        <v xml:space="preserve">	whSpsPicking : string = '' ; </v>
      </c>
      <c r="V23" s="28" t="str">
        <f t="shared" si="25"/>
        <v/>
      </c>
    </row>
    <row r="24" spans="1:22" ht="18" customHeight="1" x14ac:dyDescent="0.25">
      <c r="A24" t="s">
        <v>374</v>
      </c>
      <c r="B24" s="28" t="str">
        <f t="shared" si="8"/>
        <v>ActualBoxQty</v>
      </c>
      <c r="C24" s="28" t="str">
        <f t="shared" si="9"/>
        <v>Actual Box Qty</v>
      </c>
      <c r="D24" s="28" t="str">
        <f t="shared" si="10"/>
        <v>actualBoxQty</v>
      </c>
      <c r="E24" s="28" t="str">
        <f>A.Backend!H18</f>
        <v>int?</v>
      </c>
      <c r="F24" s="28" t="str">
        <f>A.Backend!G18</f>
        <v/>
      </c>
      <c r="G24" s="28" t="str">
        <f t="shared" si="20"/>
        <v/>
      </c>
      <c r="H24" s="35" t="str">
        <f t="shared" si="21"/>
        <v xml:space="preserve">			{headerName: this.l('Actual Box Qty'),headerTooltip: this.l('Actual Box Qty'),field: 'actualBoxQty',flex: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/>
      </c>
      <c r="J24" s="28"/>
      <c r="K24" s="35" t="str">
        <f t="shared" si="22"/>
        <v xml:space="preserve">					&lt;div class='col-md-12 form-group row'&gt;
						&lt;label class='col-md-2 form-control title'&gt;Actual Box Qty&lt;/label&gt;
						&lt;input type='number' class='col-md-10 form-control input-text' name='ActualBoxQty' [(ngModel)]='rowdata.actualBoxQty'&gt;
					&lt;/div&gt;</v>
      </c>
      <c r="L24" s="56" t="str">
        <f t="shared" si="28"/>
        <v/>
      </c>
      <c r="M24" s="28"/>
      <c r="N24" s="28"/>
      <c r="O24" s="28"/>
      <c r="P24" s="28"/>
      <c r="Q24" s="28"/>
      <c r="R24" s="28"/>
      <c r="S24" s="28" t="str">
        <f t="shared" si="23"/>
        <v/>
      </c>
      <c r="T24" s="28" t="str">
        <f t="shared" si="27"/>
        <v/>
      </c>
      <c r="U24" s="28" t="str">
        <f t="shared" si="24"/>
        <v/>
      </c>
      <c r="V24" s="28" t="str">
        <f t="shared" si="25"/>
        <v/>
      </c>
    </row>
    <row r="25" spans="1:22" ht="15" customHeight="1" x14ac:dyDescent="0.25">
      <c r="A25" t="s">
        <v>375</v>
      </c>
      <c r="B25" s="28" t="str">
        <f t="shared" si="8"/>
        <v>RenbanNo</v>
      </c>
      <c r="C25" s="28" t="str">
        <f t="shared" si="9"/>
        <v>Renban No</v>
      </c>
      <c r="D25" s="28" t="str">
        <f t="shared" si="10"/>
        <v>renbanNo</v>
      </c>
      <c r="E25" s="28" t="str">
        <f>A.Backend!H19</f>
        <v>int?</v>
      </c>
      <c r="F25" s="28" t="str">
        <f>A.Backend!G19</f>
        <v/>
      </c>
      <c r="G25" s="28" t="str">
        <f t="shared" si="20"/>
        <v/>
      </c>
      <c r="H25" s="35" t="str">
        <f t="shared" si="21"/>
        <v xml:space="preserve">			{headerName: this.l('Renban No'),headerTooltip: this.l('Renban No'),field: 'renbanNo',flex: 1},</v>
      </c>
      <c r="I25" s="35" t="str">
        <f t="shared" ref="I25" si="29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 t="shared" si="22"/>
        <v xml:space="preserve">					&lt;div class='col-md-12 form-group row'&gt;
						&lt;label class='col-md-2 form-control title'&gt;Renban No&lt;/label&gt;
						&lt;input type='number' class='col-md-10 form-control input-text' name='RenbanNo' [(ngModel)]='rowdata.renbanNo'&gt;
					&lt;/div&gt;</v>
      </c>
      <c r="L25" s="56" t="str">
        <f t="shared" si="28"/>
        <v/>
      </c>
      <c r="M25" s="28"/>
      <c r="N25" s="28"/>
      <c r="O25" s="28"/>
      <c r="P25" s="28"/>
      <c r="Q25" s="28"/>
      <c r="R25" s="28"/>
      <c r="S25" s="28" t="str">
        <f t="shared" si="23"/>
        <v/>
      </c>
      <c r="T25" s="28" t="str">
        <f t="shared" si="27"/>
        <v/>
      </c>
      <c r="U25" s="28" t="str">
        <f t="shared" si="24"/>
        <v/>
      </c>
      <c r="V25" s="28" t="str">
        <f t="shared" si="25"/>
        <v/>
      </c>
    </row>
    <row r="26" spans="1:22" ht="18" customHeight="1" x14ac:dyDescent="0.25">
      <c r="A26" t="s">
        <v>376</v>
      </c>
      <c r="B26" s="28" t="str">
        <f t="shared" si="8"/>
        <v>NoInRenban</v>
      </c>
      <c r="C26" s="28" t="str">
        <f t="shared" si="9"/>
        <v>No In Renban</v>
      </c>
      <c r="D26" s="28" t="str">
        <f t="shared" si="10"/>
        <v>noInRenban</v>
      </c>
      <c r="E26" s="28" t="str">
        <f>A.Backend!H20</f>
        <v>int?</v>
      </c>
      <c r="F26" s="28" t="str">
        <f>A.Backend!G20</f>
        <v/>
      </c>
      <c r="G26" s="28" t="str">
        <f t="shared" ref="G26:G30" si="30">IF(E26="string"," : string = '' ; ",IF(OR(E26="DateTime",E26="TimeSpan")," : any ;",IF(E26="int"," : number = 0 ;","")))</f>
        <v/>
      </c>
      <c r="H26" s="35" t="str">
        <f t="shared" ref="H26:H30" si="31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this.l('No In Renban'),headerTooltip: this.l('No In Renban'),field: 'noInRenban',flex: 1},</v>
      </c>
      <c r="I26" s="35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28"/>
      <c r="K26" s="35" t="str">
        <f t="shared" ref="K26:K30" si="32"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title'&gt;No In Renban&lt;/label&gt;
						&lt;input type='number' class='col-md-10 form-control input-text' name='NoInRenban' [(ngModel)]='rowdata.noInRenban'&gt;
					&lt;/div&gt;</v>
      </c>
      <c r="L26" s="56" t="str">
        <f t="shared" si="28"/>
        <v/>
      </c>
      <c r="M26" s="28"/>
      <c r="N26" s="28"/>
      <c r="O26" s="28"/>
      <c r="P26" s="28"/>
      <c r="Q26" s="28"/>
      <c r="R26" s="28"/>
      <c r="S26" s="28" t="str">
        <f t="shared" ref="S26:S30" si="33">IF(AND(E26="string",F26 &lt;&gt;"1"),(REPT(CHAR(9),1)&amp;D26&amp;G26),"")</f>
        <v/>
      </c>
      <c r="T26" s="28" t="str">
        <f>IF(AND(E26="string",F26 &lt;&gt;"1"),(REPT(CHAR(9),3)&amp;"this."&amp;D25&amp;","),"")</f>
        <v/>
      </c>
      <c r="U26" s="28" t="str">
        <f t="shared" ref="U26:U30" si="34">IF(AND(E26="string",F26 &lt;&gt;"1"),(REPT(CHAR(9),1)&amp;D26&amp;G26),"")</f>
        <v/>
      </c>
      <c r="V26" s="28" t="str">
        <f t="shared" ref="V26:V30" si="35">IF(AND(E26="string",F26="1"),D26,"")</f>
        <v/>
      </c>
    </row>
    <row r="27" spans="1:22" ht="18" customHeight="1" x14ac:dyDescent="0.25">
      <c r="A27" t="s">
        <v>377</v>
      </c>
      <c r="B27" s="28" t="str">
        <f t="shared" ref="B27:B30" si="36">SUBSTITUTE(PROPER(A27),"_","")</f>
        <v>PackagingType</v>
      </c>
      <c r="C27" s="28" t="str">
        <f t="shared" ref="C27:C30" si="37">SUBSTITUTE(PROPER(A27),"_"," ")</f>
        <v>Packaging Type</v>
      </c>
      <c r="D27" s="28" t="str">
        <f t="shared" ref="D27:D30" si="38">LOWER(LEFT(B27,1))&amp;RIGHT(B27,LEN(B27) - 1)</f>
        <v>packagingType</v>
      </c>
      <c r="E27" s="28" t="str">
        <f>A.Backend!H21</f>
        <v>string</v>
      </c>
      <c r="F27" s="28" t="str">
        <f>A.Backend!G21</f>
        <v>20</v>
      </c>
      <c r="G27" s="28" t="str">
        <f t="shared" si="30"/>
        <v xml:space="preserve"> : string = '' ; </v>
      </c>
      <c r="H27" s="35" t="str">
        <f t="shared" si="31"/>
        <v xml:space="preserve">			{headerName: this.l('Packaging Type'),headerTooltip: this.l('Packaging Type'),field: 'packagingType',flex: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IF(AND(E27="string",F27 &lt;&gt;"1"),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[(ngModel)]='packagingType' name='packagingType'
									class='form-control' [placeholder]="l('Packaging Type')"
									type='text' (keyup.enter)='searchDatas()'&gt;
								&lt;/div&gt;</v>
      </c>
      <c r="J27" s="28"/>
      <c r="K27" s="35" t="str">
        <f t="shared" si="32"/>
        <v xml:space="preserve">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</v>
      </c>
      <c r="L27" s="56" t="str">
        <f t="shared" si="28"/>
        <v/>
      </c>
      <c r="M27" s="28"/>
      <c r="N27" s="28"/>
      <c r="O27" s="28"/>
      <c r="P27" s="28"/>
      <c r="Q27" s="28"/>
      <c r="R27" s="28"/>
      <c r="S27" s="28" t="str">
        <f t="shared" si="33"/>
        <v xml:space="preserve">	packagingType : string = '' ; </v>
      </c>
      <c r="T27" s="28" t="str">
        <f>IF(AND(E27="string",F27 &lt;&gt;"1"),(REPT(CHAR(9),3)&amp;"this."&amp;D26&amp;","),"")</f>
        <v xml:space="preserve">			this.noInRenban,</v>
      </c>
      <c r="U27" s="28" t="str">
        <f t="shared" si="34"/>
        <v xml:space="preserve">	packagingType : string = '' ; </v>
      </c>
      <c r="V27" s="28" t="str">
        <f t="shared" si="35"/>
        <v/>
      </c>
    </row>
    <row r="28" spans="1:22" ht="18" customHeight="1" x14ac:dyDescent="0.25">
      <c r="A28" t="s">
        <v>378</v>
      </c>
      <c r="B28" s="28" t="str">
        <f t="shared" si="36"/>
        <v>ActualBoxSize</v>
      </c>
      <c r="C28" s="28" t="str">
        <f t="shared" si="37"/>
        <v>Actual Box Size</v>
      </c>
      <c r="D28" s="28" t="str">
        <f t="shared" si="38"/>
        <v>actualBoxSize</v>
      </c>
      <c r="E28" s="28" t="str">
        <f>A.Backend!H22</f>
        <v>int?</v>
      </c>
      <c r="F28" s="28" t="str">
        <f>A.Backend!G22</f>
        <v/>
      </c>
      <c r="G28" s="28" t="str">
        <f t="shared" si="30"/>
        <v/>
      </c>
      <c r="H28" s="35" t="str">
        <f t="shared" si="31"/>
        <v xml:space="preserve">			{headerName: this.l('Actual Box Size'),headerTooltip: this.l('Actual Box Size'),field: 'actualBoxSize',flex: 1},</v>
      </c>
      <c r="I28" s="35" t="str">
        <f t="shared" ref="I28:I29" si="39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28"/>
      <c r="K28" s="35" t="str">
        <f t="shared" si="32"/>
        <v xml:space="preserve">					&lt;div class='col-md-12 form-group row'&gt;
						&lt;label class='col-md-2 form-control title'&gt;Actual Box Size&lt;/label&gt;
						&lt;input type='number' class='col-md-10 form-control input-text' name='ActualBoxSize' [(ngModel)]='rowdata.actualBoxSize'&gt;
					&lt;/div&gt;</v>
      </c>
      <c r="L28" s="56" t="str">
        <f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33"/>
        <v/>
      </c>
      <c r="T28" s="28" t="str">
        <f t="shared" ref="T28:T30" si="40">IF(AND(E28="string",F28 &lt;&gt;"1"),(REPT(CHAR(9),3)&amp;"this."&amp;D27&amp;","),"")</f>
        <v/>
      </c>
      <c r="U28" s="28" t="str">
        <f t="shared" si="34"/>
        <v/>
      </c>
      <c r="V28" s="28" t="str">
        <f t="shared" si="35"/>
        <v/>
      </c>
    </row>
    <row r="29" spans="1:22" ht="15" customHeight="1" x14ac:dyDescent="0.25">
      <c r="A29" t="s">
        <v>359</v>
      </c>
      <c r="B29" s="28" t="str">
        <f t="shared" si="36"/>
        <v>GeneratedBy</v>
      </c>
      <c r="C29" s="28" t="str">
        <f t="shared" si="37"/>
        <v>Generated By</v>
      </c>
      <c r="D29" s="28" t="str">
        <f t="shared" si="38"/>
        <v>generatedBy</v>
      </c>
      <c r="E29" s="28" t="str">
        <f>A.Backend!H23</f>
        <v>string</v>
      </c>
      <c r="F29" s="28" t="str">
        <f>A.Backend!G23</f>
        <v>50</v>
      </c>
      <c r="G29" s="28" t="str">
        <f t="shared" si="30"/>
        <v xml:space="preserve"> : string = '' ; </v>
      </c>
      <c r="H29" s="35" t="str">
        <f t="shared" si="31"/>
        <v xml:space="preserve">			{headerName: this.l('Generated By'),headerTooltip: this.l('Generated By'),field: 'generatedBy',flex: 1},</v>
      </c>
      <c r="I29" s="35" t="str">
        <f t="shared" si="39"/>
        <v xml:space="preserve">								&lt;div class='input-search'&gt;
									&lt;input [(ngModel)]='generatedBy' name='generatedBy'
									class='form-control' [placeholder]="l('Generated By')"
									type='text' (keyup.enter)='searchDatas()'&gt;
								&lt;/div&gt;</v>
      </c>
      <c r="J29" s="28"/>
      <c r="K29" s="35" t="str">
        <f t="shared" si="32"/>
        <v xml:space="preserve">					&lt;div class='col-md-12 form-group row'&gt;
						&lt;label class='col-md-2 form-control title'&gt;Generated By&lt;/label&gt;
						&lt;input type='text' class='col-md-10 form-control input-text' name='GeneratedBy' [(ngModel)]='rowdata.generatedBy'&gt;
					&lt;/div&gt;</v>
      </c>
      <c r="L29" s="56" t="str">
        <f t="shared" ref="L29:L30" si="41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33"/>
        <v xml:space="preserve">	generatedBy : string = '' ; </v>
      </c>
      <c r="T29" s="28" t="str">
        <f t="shared" si="40"/>
        <v xml:space="preserve">			this.actualBoxSize,</v>
      </c>
      <c r="U29" s="28" t="str">
        <f t="shared" si="34"/>
        <v xml:space="preserve">	generatedBy : string = '' ; </v>
      </c>
      <c r="V29" s="28" t="str">
        <f t="shared" si="35"/>
        <v/>
      </c>
    </row>
    <row r="30" spans="1:22" ht="18" customHeight="1" x14ac:dyDescent="0.25">
      <c r="A30" t="s">
        <v>357</v>
      </c>
      <c r="B30" s="28" t="str">
        <f t="shared" si="36"/>
        <v>Status</v>
      </c>
      <c r="C30" s="28" t="str">
        <f t="shared" si="37"/>
        <v>Status</v>
      </c>
      <c r="D30" s="28" t="str">
        <f t="shared" si="38"/>
        <v>status</v>
      </c>
      <c r="E30" s="28" t="str">
        <f>A.Backend!H24</f>
        <v>string</v>
      </c>
      <c r="F30" s="28" t="str">
        <f>A.Backend!G24</f>
        <v>50</v>
      </c>
      <c r="G30" s="28" t="str">
        <f t="shared" si="30"/>
        <v xml:space="preserve"> : string = '' ; </v>
      </c>
      <c r="H30" s="35" t="str">
        <f t="shared" si="31"/>
        <v xml:space="preserve">			{headerName: this.l('Status'),headerTooltip: this.l('Status'),field: 'status',flex: 1},</v>
      </c>
      <c r="I30" s="35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30" s="28"/>
      <c r="K30" s="35" t="str">
        <f t="shared" si="32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30" s="56" t="str">
        <f t="shared" si="41"/>
        <v/>
      </c>
      <c r="M30" s="28"/>
      <c r="N30" s="28"/>
      <c r="O30" s="28"/>
      <c r="P30" s="28"/>
      <c r="Q30" s="28"/>
      <c r="R30" s="28"/>
      <c r="S30" s="28" t="str">
        <f t="shared" si="33"/>
        <v xml:space="preserve">	status : string = '' ; </v>
      </c>
      <c r="T30" s="28" t="str">
        <f t="shared" si="40"/>
        <v xml:space="preserve">			this.generatedBy,</v>
      </c>
      <c r="U30" s="28" t="str">
        <f t="shared" si="34"/>
        <v xml:space="preserve">	status : string = '' ; </v>
      </c>
      <c r="V30" s="28" t="str">
        <f t="shared" si="35"/>
        <v/>
      </c>
    </row>
    <row r="31" spans="1:22" ht="18" customHeight="1" x14ac:dyDescent="0.25">
      <c r="A31" t="s">
        <v>318</v>
      </c>
      <c r="B31" s="28" t="str">
        <f t="shared" si="8"/>
        <v>IsActive</v>
      </c>
      <c r="C31" s="28" t="str">
        <f t="shared" si="9"/>
        <v>Is Active</v>
      </c>
      <c r="D31" s="28" t="str">
        <f t="shared" si="10"/>
        <v>isActive</v>
      </c>
      <c r="E31" s="28" t="str">
        <f>A.Backend!H25</f>
        <v>string</v>
      </c>
      <c r="F31" s="28" t="str">
        <f>A.Backend!G25</f>
        <v>1</v>
      </c>
      <c r="G31" s="28" t="str">
        <f t="shared" si="11"/>
        <v xml:space="preserve"> : string = '' ; </v>
      </c>
      <c r="H31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1" s="35" t="str">
        <f t="shared" si="5"/>
        <v/>
      </c>
      <c r="J31" s="28"/>
      <c r="K31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1" s="56" t="str">
        <f t="shared" si="19"/>
        <v/>
      </c>
      <c r="M31" s="28"/>
      <c r="N31" s="28"/>
      <c r="O31" s="28"/>
      <c r="P31" s="28"/>
      <c r="Q31" s="28"/>
      <c r="R31" s="28"/>
      <c r="S31" s="28" t="str">
        <f t="shared" si="15"/>
        <v/>
      </c>
      <c r="T31" s="28" t="str">
        <f>IF(AND(E31="string",F31 &lt;&gt;"1"),(REPT(CHAR(9),3)&amp;"this."&amp;D20&amp;","),"")</f>
        <v/>
      </c>
      <c r="U31" s="28" t="str">
        <f t="shared" si="16"/>
        <v/>
      </c>
      <c r="V31" s="28" t="str">
        <f t="shared" si="17"/>
        <v>isActive</v>
      </c>
    </row>
    <row r="33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2023-05-08T04:00:57Z</dcterms:modified>
</cp:coreProperties>
</file>
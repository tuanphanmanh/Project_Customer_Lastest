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:\ProdNew\docs\design\inventory\gps\"/>
    </mc:Choice>
  </mc:AlternateContent>
  <bookViews>
    <workbookView xWindow="-120" yWindow="-120" windowWidth="19440" windowHeight="15000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5" l="1"/>
  <c r="F16" i="5"/>
  <c r="E17" i="5"/>
  <c r="F17" i="5"/>
  <c r="E18" i="5"/>
  <c r="F18" i="5"/>
  <c r="E19" i="5"/>
  <c r="F19" i="5"/>
  <c r="E20" i="5"/>
  <c r="F20" i="5"/>
  <c r="E21" i="5"/>
  <c r="F21" i="5"/>
  <c r="E22" i="5"/>
  <c r="F22" i="5"/>
  <c r="E23" i="5"/>
  <c r="F23" i="5"/>
  <c r="E24" i="5"/>
  <c r="F24" i="5"/>
  <c r="E25" i="5"/>
  <c r="F25" i="5"/>
  <c r="E26" i="5"/>
  <c r="F26" i="5"/>
  <c r="E27" i="5"/>
  <c r="F27" i="5"/>
  <c r="E28" i="5"/>
  <c r="F28" i="5"/>
  <c r="E29" i="5"/>
  <c r="F29" i="5"/>
  <c r="E30" i="5"/>
  <c r="F30" i="5"/>
  <c r="E31" i="5"/>
  <c r="F31" i="5"/>
  <c r="E32" i="5"/>
  <c r="F32" i="5"/>
  <c r="E33" i="5"/>
  <c r="F33" i="5"/>
  <c r="E34" i="5"/>
  <c r="F34" i="5"/>
  <c r="E35" i="5"/>
  <c r="F35" i="5"/>
  <c r="E36" i="5"/>
  <c r="F36" i="5"/>
  <c r="E37" i="5"/>
  <c r="F37" i="5"/>
  <c r="E38" i="5"/>
  <c r="F38" i="5"/>
  <c r="E39" i="5"/>
  <c r="F39" i="5"/>
  <c r="E40" i="5"/>
  <c r="F40" i="5"/>
  <c r="E41" i="5"/>
  <c r="F41" i="5"/>
  <c r="F15" i="5"/>
  <c r="E15" i="5"/>
  <c r="G34" i="1" l="1"/>
  <c r="E34" i="1"/>
  <c r="H34" i="1" s="1"/>
  <c r="M34" i="1" s="1"/>
  <c r="D34" i="1"/>
  <c r="V34" i="1" s="1"/>
  <c r="L33" i="1"/>
  <c r="G33" i="1"/>
  <c r="E33" i="1"/>
  <c r="H33" i="1" s="1"/>
  <c r="I33" i="1" s="1"/>
  <c r="D33" i="1"/>
  <c r="N33" i="1" l="1"/>
  <c r="P34" i="1"/>
  <c r="O33" i="1"/>
  <c r="T34" i="1"/>
  <c r="T33" i="1"/>
  <c r="P33" i="1"/>
  <c r="J33" i="1"/>
  <c r="V33" i="1"/>
  <c r="M33" i="1"/>
  <c r="W33" i="1"/>
  <c r="W34" i="1"/>
  <c r="O34" i="1"/>
  <c r="J34" i="1"/>
  <c r="N34" i="1"/>
  <c r="I34" i="1"/>
  <c r="C40" i="5"/>
  <c r="B40" i="5"/>
  <c r="D40" i="5" s="1"/>
  <c r="C39" i="5"/>
  <c r="B39" i="5"/>
  <c r="D39" i="5" s="1"/>
  <c r="C38" i="5"/>
  <c r="B38" i="5"/>
  <c r="D38" i="5" s="1"/>
  <c r="C37" i="5"/>
  <c r="B37" i="5"/>
  <c r="D37" i="5" s="1"/>
  <c r="C36" i="5"/>
  <c r="B36" i="5"/>
  <c r="D36" i="5" s="1"/>
  <c r="C35" i="5"/>
  <c r="B35" i="5"/>
  <c r="D35" i="5" s="1"/>
  <c r="C34" i="5"/>
  <c r="B34" i="5"/>
  <c r="D34" i="5" s="1"/>
  <c r="C33" i="5"/>
  <c r="B33" i="5"/>
  <c r="D33" i="5" s="1"/>
  <c r="C32" i="5"/>
  <c r="B32" i="5"/>
  <c r="D32" i="5" s="1"/>
  <c r="C31" i="5"/>
  <c r="B31" i="5"/>
  <c r="D31" i="5" s="1"/>
  <c r="L32" i="1"/>
  <c r="G32" i="1"/>
  <c r="E32" i="1"/>
  <c r="H32" i="1" s="1"/>
  <c r="L39" i="5" s="1"/>
  <c r="D32" i="1"/>
  <c r="T32" i="1" s="1"/>
  <c r="L31" i="1"/>
  <c r="G31" i="1"/>
  <c r="E31" i="1"/>
  <c r="H31" i="1" s="1"/>
  <c r="D31" i="1"/>
  <c r="V31" i="1" s="1"/>
  <c r="L30" i="1"/>
  <c r="G30" i="1"/>
  <c r="E30" i="1"/>
  <c r="H30" i="1" s="1"/>
  <c r="D30" i="1"/>
  <c r="T30" i="1" s="1"/>
  <c r="L29" i="1"/>
  <c r="G29" i="1"/>
  <c r="E29" i="1"/>
  <c r="H29" i="1" s="1"/>
  <c r="D29" i="1"/>
  <c r="V29" i="1" s="1"/>
  <c r="L28" i="1"/>
  <c r="G28" i="1"/>
  <c r="E28" i="1"/>
  <c r="H28" i="1" s="1"/>
  <c r="D28" i="1"/>
  <c r="T28" i="1" s="1"/>
  <c r="L27" i="1"/>
  <c r="G27" i="1"/>
  <c r="E27" i="1"/>
  <c r="H27" i="1" s="1"/>
  <c r="D27" i="1"/>
  <c r="V27" i="1" s="1"/>
  <c r="L26" i="1"/>
  <c r="G26" i="1"/>
  <c r="E26" i="1"/>
  <c r="H26" i="1" s="1"/>
  <c r="D26" i="1"/>
  <c r="T26" i="1" s="1"/>
  <c r="L25" i="1"/>
  <c r="G25" i="1"/>
  <c r="E25" i="1"/>
  <c r="H25" i="1" s="1"/>
  <c r="D25" i="1"/>
  <c r="V25" i="1" s="1"/>
  <c r="L24" i="1"/>
  <c r="G24" i="1"/>
  <c r="E24" i="1"/>
  <c r="H24" i="1" s="1"/>
  <c r="D24" i="1"/>
  <c r="T24" i="1" s="1"/>
  <c r="G23" i="1"/>
  <c r="E23" i="1"/>
  <c r="H23" i="1" s="1"/>
  <c r="D23" i="1"/>
  <c r="V23" i="1" s="1"/>
  <c r="L22" i="1"/>
  <c r="G22" i="1"/>
  <c r="E22" i="1"/>
  <c r="H22" i="1" s="1"/>
  <c r="D22" i="1"/>
  <c r="T22" i="1" s="1"/>
  <c r="L21" i="1"/>
  <c r="G21" i="1"/>
  <c r="E21" i="1"/>
  <c r="H21" i="1" s="1"/>
  <c r="D21" i="1"/>
  <c r="V21" i="1" s="1"/>
  <c r="G31" i="5" l="1"/>
  <c r="L31" i="5"/>
  <c r="V33" i="5"/>
  <c r="G33" i="5"/>
  <c r="T35" i="5"/>
  <c r="V37" i="5"/>
  <c r="M22" i="1"/>
  <c r="T32" i="5"/>
  <c r="T34" i="5"/>
  <c r="G37" i="5"/>
  <c r="L33" i="5"/>
  <c r="S37" i="5"/>
  <c r="L37" i="5"/>
  <c r="T40" i="5"/>
  <c r="T38" i="5"/>
  <c r="S36" i="5"/>
  <c r="T39" i="5"/>
  <c r="V31" i="5"/>
  <c r="T31" i="5"/>
  <c r="S31" i="5"/>
  <c r="S32" i="5"/>
  <c r="T33" i="5"/>
  <c r="G35" i="5"/>
  <c r="S35" i="5" s="1"/>
  <c r="T36" i="5"/>
  <c r="V39" i="5"/>
  <c r="K40" i="5"/>
  <c r="H31" i="5"/>
  <c r="H33" i="5"/>
  <c r="U34" i="5"/>
  <c r="V35" i="5"/>
  <c r="U38" i="5"/>
  <c r="L35" i="5"/>
  <c r="H39" i="5"/>
  <c r="G39" i="5"/>
  <c r="S39" i="5" s="1"/>
  <c r="K39" i="5"/>
  <c r="T37" i="5"/>
  <c r="H40" i="5"/>
  <c r="K32" i="5"/>
  <c r="S33" i="5"/>
  <c r="K36" i="5"/>
  <c r="U36" i="5"/>
  <c r="U40" i="5"/>
  <c r="I31" i="5"/>
  <c r="G32" i="5"/>
  <c r="L32" i="5"/>
  <c r="V32" i="5"/>
  <c r="I33" i="5"/>
  <c r="G34" i="5"/>
  <c r="L34" i="5"/>
  <c r="V34" i="5"/>
  <c r="I35" i="5"/>
  <c r="G36" i="5"/>
  <c r="L36" i="5"/>
  <c r="V36" i="5"/>
  <c r="I37" i="5"/>
  <c r="G38" i="5"/>
  <c r="L38" i="5"/>
  <c r="V38" i="5"/>
  <c r="I39" i="5"/>
  <c r="G40" i="5"/>
  <c r="L40" i="5"/>
  <c r="V40" i="5"/>
  <c r="U32" i="5"/>
  <c r="H35" i="5"/>
  <c r="H37" i="5"/>
  <c r="U31" i="5"/>
  <c r="K33" i="5"/>
  <c r="U33" i="5"/>
  <c r="H34" i="5"/>
  <c r="S34" i="5"/>
  <c r="K37" i="5"/>
  <c r="U37" i="5"/>
  <c r="H38" i="5"/>
  <c r="S38" i="5"/>
  <c r="U39" i="5"/>
  <c r="S40" i="5"/>
  <c r="K34" i="5"/>
  <c r="K38" i="5"/>
  <c r="K31" i="5"/>
  <c r="H32" i="5"/>
  <c r="K35" i="5"/>
  <c r="U35" i="5"/>
  <c r="H36" i="5"/>
  <c r="I32" i="5"/>
  <c r="I34" i="5"/>
  <c r="I36" i="5"/>
  <c r="I38" i="5"/>
  <c r="I40" i="5"/>
  <c r="M28" i="1"/>
  <c r="M26" i="1"/>
  <c r="M30" i="1"/>
  <c r="M32" i="1"/>
  <c r="M24" i="1"/>
  <c r="I24" i="1"/>
  <c r="P21" i="1"/>
  <c r="P25" i="1"/>
  <c r="P27" i="1"/>
  <c r="I28" i="1"/>
  <c r="P31" i="1"/>
  <c r="P23" i="1"/>
  <c r="P29" i="1"/>
  <c r="W29" i="1"/>
  <c r="O29" i="1"/>
  <c r="J29" i="1"/>
  <c r="N29" i="1"/>
  <c r="I29" i="1"/>
  <c r="M29" i="1"/>
  <c r="W21" i="1"/>
  <c r="O21" i="1"/>
  <c r="J21" i="1"/>
  <c r="N21" i="1"/>
  <c r="I21" i="1"/>
  <c r="M21" i="1"/>
  <c r="W31" i="1"/>
  <c r="O31" i="1"/>
  <c r="J31" i="1"/>
  <c r="N31" i="1"/>
  <c r="I31" i="1"/>
  <c r="M31" i="1"/>
  <c r="W23" i="1"/>
  <c r="O23" i="1"/>
  <c r="J23" i="1"/>
  <c r="N23" i="1"/>
  <c r="I23" i="1"/>
  <c r="M23" i="1"/>
  <c r="W27" i="1"/>
  <c r="O27" i="1"/>
  <c r="J27" i="1"/>
  <c r="N27" i="1"/>
  <c r="I27" i="1"/>
  <c r="M27" i="1"/>
  <c r="W25" i="1"/>
  <c r="O25" i="1"/>
  <c r="J25" i="1"/>
  <c r="N25" i="1"/>
  <c r="I25" i="1"/>
  <c r="M25" i="1"/>
  <c r="I22" i="1"/>
  <c r="N22" i="1"/>
  <c r="V22" i="1"/>
  <c r="I26" i="1"/>
  <c r="N26" i="1"/>
  <c r="V26" i="1"/>
  <c r="I30" i="1"/>
  <c r="N30" i="1"/>
  <c r="V30" i="1"/>
  <c r="I32" i="1"/>
  <c r="N32" i="1"/>
  <c r="V32" i="1"/>
  <c r="T21" i="1"/>
  <c r="J22" i="1"/>
  <c r="O22" i="1"/>
  <c r="W22" i="1"/>
  <c r="T23" i="1"/>
  <c r="J24" i="1"/>
  <c r="O24" i="1"/>
  <c r="W24" i="1"/>
  <c r="T25" i="1"/>
  <c r="J26" i="1"/>
  <c r="O26" i="1"/>
  <c r="W26" i="1"/>
  <c r="T27" i="1"/>
  <c r="J28" i="1"/>
  <c r="O28" i="1"/>
  <c r="W28" i="1"/>
  <c r="T29" i="1"/>
  <c r="J30" i="1"/>
  <c r="O30" i="1"/>
  <c r="W30" i="1"/>
  <c r="T31" i="1"/>
  <c r="J32" i="1"/>
  <c r="O32" i="1"/>
  <c r="W32" i="1"/>
  <c r="N28" i="1"/>
  <c r="P22" i="1"/>
  <c r="P24" i="1"/>
  <c r="P26" i="1"/>
  <c r="P28" i="1"/>
  <c r="P30" i="1"/>
  <c r="P32" i="1"/>
  <c r="N24" i="1"/>
  <c r="V24" i="1"/>
  <c r="V28" i="1"/>
  <c r="C30" i="5"/>
  <c r="B30" i="5"/>
  <c r="D30" i="5" s="1"/>
  <c r="C29" i="5"/>
  <c r="B29" i="5"/>
  <c r="D29" i="5" s="1"/>
  <c r="C28" i="5"/>
  <c r="B28" i="5"/>
  <c r="D28" i="5" s="1"/>
  <c r="C27" i="5"/>
  <c r="B27" i="5"/>
  <c r="D27" i="5" s="1"/>
  <c r="L17" i="1"/>
  <c r="G17" i="1"/>
  <c r="E17" i="1"/>
  <c r="H17" i="1" s="1"/>
  <c r="D17" i="1"/>
  <c r="V17" i="1" s="1"/>
  <c r="L20" i="1"/>
  <c r="G20" i="1"/>
  <c r="E20" i="1"/>
  <c r="H20" i="1" s="1"/>
  <c r="D20" i="1"/>
  <c r="T20" i="1" s="1"/>
  <c r="L19" i="1"/>
  <c r="G19" i="1"/>
  <c r="E19" i="1"/>
  <c r="H19" i="1" s="1"/>
  <c r="D19" i="1"/>
  <c r="T19" i="1" s="1"/>
  <c r="L18" i="1"/>
  <c r="G18" i="1"/>
  <c r="E18" i="1"/>
  <c r="H18" i="1" s="1"/>
  <c r="D18" i="1"/>
  <c r="V18" i="1" s="1"/>
  <c r="L29" i="5" l="1"/>
  <c r="T27" i="5"/>
  <c r="T30" i="5"/>
  <c r="H29" i="5"/>
  <c r="H27" i="5"/>
  <c r="V27" i="5"/>
  <c r="V29" i="5"/>
  <c r="G27" i="5"/>
  <c r="U27" i="5" s="1"/>
  <c r="G29" i="5"/>
  <c r="U29" i="5" s="1"/>
  <c r="L27" i="5"/>
  <c r="H30" i="5"/>
  <c r="T28" i="5"/>
  <c r="T29" i="5"/>
  <c r="I27" i="5"/>
  <c r="G28" i="5"/>
  <c r="S28" i="5" s="1"/>
  <c r="L28" i="5"/>
  <c r="V28" i="5"/>
  <c r="I29" i="5"/>
  <c r="G30" i="5"/>
  <c r="U30" i="5" s="1"/>
  <c r="L30" i="5"/>
  <c r="V30" i="5"/>
  <c r="K28" i="5"/>
  <c r="U28" i="5"/>
  <c r="K30" i="5"/>
  <c r="K27" i="5"/>
  <c r="H28" i="5"/>
  <c r="K29" i="5"/>
  <c r="I28" i="5"/>
  <c r="I30" i="5"/>
  <c r="P17" i="1"/>
  <c r="W17" i="1"/>
  <c r="O17" i="1"/>
  <c r="J17" i="1"/>
  <c r="N17" i="1"/>
  <c r="I17" i="1"/>
  <c r="M17" i="1"/>
  <c r="T17" i="1"/>
  <c r="M20" i="1"/>
  <c r="M19" i="1"/>
  <c r="P20" i="1"/>
  <c r="W18" i="1"/>
  <c r="O18" i="1"/>
  <c r="J18" i="1"/>
  <c r="N18" i="1"/>
  <c r="I18" i="1"/>
  <c r="M18" i="1"/>
  <c r="P18" i="1"/>
  <c r="I19" i="1"/>
  <c r="N19" i="1"/>
  <c r="V19" i="1"/>
  <c r="I20" i="1"/>
  <c r="N20" i="1"/>
  <c r="V20" i="1"/>
  <c r="T18" i="1"/>
  <c r="J19" i="1"/>
  <c r="O19" i="1"/>
  <c r="W19" i="1"/>
  <c r="J20" i="1"/>
  <c r="O20" i="1"/>
  <c r="W20" i="1"/>
  <c r="P19" i="1"/>
  <c r="B16" i="5"/>
  <c r="D16" i="5" s="1"/>
  <c r="C16" i="5"/>
  <c r="B17" i="5"/>
  <c r="D17" i="5" s="1"/>
  <c r="C17" i="5"/>
  <c r="B18" i="5"/>
  <c r="D18" i="5" s="1"/>
  <c r="C18" i="5"/>
  <c r="B19" i="5"/>
  <c r="D19" i="5" s="1"/>
  <c r="C19" i="5"/>
  <c r="B20" i="5"/>
  <c r="D20" i="5" s="1"/>
  <c r="C20" i="5"/>
  <c r="B21" i="5"/>
  <c r="D21" i="5" s="1"/>
  <c r="C21" i="5"/>
  <c r="B22" i="5"/>
  <c r="D22" i="5" s="1"/>
  <c r="C22" i="5"/>
  <c r="B23" i="5"/>
  <c r="D23" i="5" s="1"/>
  <c r="C23" i="5"/>
  <c r="B24" i="5"/>
  <c r="D24" i="5" s="1"/>
  <c r="C24" i="5"/>
  <c r="B25" i="5"/>
  <c r="D25" i="5" s="1"/>
  <c r="C25" i="5"/>
  <c r="B26" i="5"/>
  <c r="D26" i="5" s="1"/>
  <c r="C26" i="5"/>
  <c r="B41" i="5"/>
  <c r="D41" i="5" s="1"/>
  <c r="C41" i="5"/>
  <c r="C15" i="5"/>
  <c r="B15" i="5"/>
  <c r="S29" i="5" l="1"/>
  <c r="S30" i="5"/>
  <c r="S27" i="5"/>
  <c r="L26" i="5"/>
  <c r="L13" i="1"/>
  <c r="G13" i="1"/>
  <c r="E13" i="1"/>
  <c r="H13" i="1" s="1"/>
  <c r="D13" i="1"/>
  <c r="V13" i="1" s="1"/>
  <c r="L12" i="1"/>
  <c r="G12" i="1"/>
  <c r="E12" i="1"/>
  <c r="H12" i="1" s="1"/>
  <c r="D12" i="1"/>
  <c r="V12" i="1" s="1"/>
  <c r="G11" i="1"/>
  <c r="E11" i="1"/>
  <c r="H11" i="1" s="1"/>
  <c r="D11" i="1"/>
  <c r="T11" i="1" s="1"/>
  <c r="G10" i="1"/>
  <c r="E10" i="1"/>
  <c r="H10" i="1" s="1"/>
  <c r="D10" i="1"/>
  <c r="V10" i="1" s="1"/>
  <c r="G9" i="1"/>
  <c r="E9" i="1"/>
  <c r="H9" i="1" s="1"/>
  <c r="D9" i="1"/>
  <c r="V9" i="1" s="1"/>
  <c r="T25" i="5" l="1"/>
  <c r="H24" i="5"/>
  <c r="H26" i="5"/>
  <c r="V26" i="5"/>
  <c r="L24" i="5"/>
  <c r="G24" i="5"/>
  <c r="U24" i="5" s="1"/>
  <c r="V24" i="5"/>
  <c r="K25" i="5"/>
  <c r="G26" i="5"/>
  <c r="S26" i="5" s="1"/>
  <c r="I24" i="5"/>
  <c r="T24" i="5"/>
  <c r="G25" i="5"/>
  <c r="S25" i="5" s="1"/>
  <c r="L25" i="5"/>
  <c r="V25" i="5"/>
  <c r="I26" i="5"/>
  <c r="T26" i="5"/>
  <c r="K24" i="5"/>
  <c r="H25" i="5"/>
  <c r="K26" i="5"/>
  <c r="I25" i="5"/>
  <c r="P12" i="1"/>
  <c r="W12" i="1"/>
  <c r="M10" i="1"/>
  <c r="P10" i="1"/>
  <c r="T12" i="1"/>
  <c r="T10" i="1"/>
  <c r="W13" i="1"/>
  <c r="O13" i="1"/>
  <c r="J13" i="1"/>
  <c r="N13" i="1"/>
  <c r="I13" i="1"/>
  <c r="M13" i="1"/>
  <c r="W11" i="1"/>
  <c r="O11" i="1"/>
  <c r="J11" i="1"/>
  <c r="I11" i="1"/>
  <c r="M11" i="1"/>
  <c r="N11" i="1"/>
  <c r="N9" i="1"/>
  <c r="I9" i="1"/>
  <c r="M9" i="1"/>
  <c r="W9" i="1"/>
  <c r="O9" i="1"/>
  <c r="J9" i="1"/>
  <c r="V11" i="1"/>
  <c r="M12" i="1"/>
  <c r="P9" i="1"/>
  <c r="I10" i="1"/>
  <c r="N10" i="1"/>
  <c r="P11" i="1"/>
  <c r="I12" i="1"/>
  <c r="N12" i="1"/>
  <c r="P13" i="1"/>
  <c r="T9" i="1"/>
  <c r="J10" i="1"/>
  <c r="O10" i="1"/>
  <c r="W10" i="1"/>
  <c r="J12" i="1"/>
  <c r="O12" i="1"/>
  <c r="T13" i="1"/>
  <c r="U26" i="5" l="1"/>
  <c r="S24" i="5"/>
  <c r="U25" i="5"/>
  <c r="G35" i="1"/>
  <c r="E35" i="1"/>
  <c r="H35" i="1" s="1"/>
  <c r="D35" i="1"/>
  <c r="V35" i="1" s="1"/>
  <c r="W35" i="1" l="1"/>
  <c r="P35" i="1"/>
  <c r="T35" i="1"/>
  <c r="I35" i="1"/>
  <c r="N35" i="1"/>
  <c r="M35" i="1"/>
  <c r="J35" i="1"/>
  <c r="O35" i="1"/>
  <c r="B7" i="5"/>
  <c r="B6" i="5"/>
  <c r="B2" i="5"/>
  <c r="G41" i="5" l="1"/>
  <c r="T41" i="5"/>
  <c r="I41" i="5"/>
  <c r="S41" i="5"/>
  <c r="U41" i="5"/>
  <c r="V41" i="5"/>
  <c r="K41" i="5"/>
  <c r="H41" i="5"/>
  <c r="B8" i="5"/>
  <c r="B3" i="5"/>
  <c r="G20" i="5" l="1"/>
  <c r="U20" i="5" s="1"/>
  <c r="V20" i="5"/>
  <c r="K20" i="5"/>
  <c r="T20" i="5"/>
  <c r="I20" i="5"/>
  <c r="H20" i="5"/>
  <c r="L41" i="5"/>
  <c r="L20" i="5"/>
  <c r="S20" i="5" l="1"/>
  <c r="B6" i="1"/>
  <c r="G19" i="5" l="1"/>
  <c r="U19" i="5" s="1"/>
  <c r="I19" i="5"/>
  <c r="V19" i="5"/>
  <c r="K19" i="5"/>
  <c r="T19" i="5"/>
  <c r="H19" i="5"/>
  <c r="L19" i="5"/>
  <c r="D15" i="5"/>
  <c r="L16" i="1"/>
  <c r="G16" i="1"/>
  <c r="E16" i="1"/>
  <c r="H16" i="1" s="1"/>
  <c r="D16" i="1"/>
  <c r="V16" i="1" s="1"/>
  <c r="G15" i="1"/>
  <c r="E15" i="1"/>
  <c r="H15" i="1" s="1"/>
  <c r="D15" i="1"/>
  <c r="T15" i="1" s="1"/>
  <c r="G23" i="5" l="1"/>
  <c r="S23" i="5" s="1"/>
  <c r="K23" i="5"/>
  <c r="I23" i="5"/>
  <c r="V23" i="5"/>
  <c r="L23" i="5"/>
  <c r="T23" i="5"/>
  <c r="H23" i="5"/>
  <c r="K22" i="5"/>
  <c r="G22" i="5"/>
  <c r="S22" i="5" s="1"/>
  <c r="H22" i="5"/>
  <c r="T22" i="5"/>
  <c r="V22" i="5"/>
  <c r="I22" i="5"/>
  <c r="L22" i="5"/>
  <c r="S19" i="5"/>
  <c r="G18" i="5"/>
  <c r="S18" i="5" s="1"/>
  <c r="K18" i="5"/>
  <c r="T18" i="5"/>
  <c r="I18" i="5"/>
  <c r="V18" i="5"/>
  <c r="H18" i="5"/>
  <c r="G17" i="5"/>
  <c r="S17" i="5" s="1"/>
  <c r="T17" i="5"/>
  <c r="I17" i="5"/>
  <c r="V17" i="5"/>
  <c r="K17" i="5"/>
  <c r="H17" i="5"/>
  <c r="L18" i="5"/>
  <c r="L17" i="5"/>
  <c r="M15" i="1"/>
  <c r="P15" i="1"/>
  <c r="W16" i="1"/>
  <c r="O16" i="1"/>
  <c r="J16" i="1"/>
  <c r="I16" i="1"/>
  <c r="N16" i="1"/>
  <c r="M16" i="1"/>
  <c r="I15" i="1"/>
  <c r="N15" i="1"/>
  <c r="V15" i="1"/>
  <c r="P16" i="1"/>
  <c r="J15" i="1"/>
  <c r="O15" i="1"/>
  <c r="W15" i="1"/>
  <c r="T16" i="1"/>
  <c r="U23" i="5" l="1"/>
  <c r="U22" i="5"/>
  <c r="U18" i="5"/>
  <c r="U17" i="5"/>
  <c r="K15" i="5" l="1"/>
  <c r="I15" i="5"/>
  <c r="S15" i="5"/>
  <c r="U15" i="5"/>
  <c r="T15" i="5"/>
  <c r="H15" i="5"/>
  <c r="G15" i="5"/>
  <c r="V15" i="5"/>
  <c r="L15" i="5"/>
  <c r="Q3" i="1" l="1"/>
  <c r="B4" i="5" s="1"/>
  <c r="B5" i="5" s="1"/>
  <c r="G14" i="1" l="1"/>
  <c r="E14" i="1"/>
  <c r="H14" i="1" s="1"/>
  <c r="D14" i="1"/>
  <c r="T14" i="1" s="1"/>
  <c r="K21" i="5" l="1"/>
  <c r="L21" i="5"/>
  <c r="V21" i="5"/>
  <c r="T21" i="5"/>
  <c r="G21" i="5"/>
  <c r="S21" i="5" s="1"/>
  <c r="H21" i="5"/>
  <c r="I21" i="5"/>
  <c r="H16" i="5"/>
  <c r="T16" i="5"/>
  <c r="V16" i="5"/>
  <c r="K16" i="5"/>
  <c r="I16" i="5"/>
  <c r="G16" i="5"/>
  <c r="S16" i="5" s="1"/>
  <c r="L16" i="5"/>
  <c r="P14" i="1"/>
  <c r="V14" i="1"/>
  <c r="W14" i="1"/>
  <c r="J14" i="1"/>
  <c r="I14" i="1"/>
  <c r="O14" i="1"/>
  <c r="N14" i="1"/>
  <c r="M14" i="1"/>
  <c r="U21" i="5" l="1"/>
  <c r="U16" i="5"/>
  <c r="W3" i="1"/>
  <c r="V3" i="1"/>
  <c r="U7" i="1" l="1"/>
  <c r="T3" i="1" l="1"/>
  <c r="F3" i="1"/>
  <c r="O7" i="1" l="1"/>
  <c r="N7" i="1"/>
  <c r="E68" i="3" s="1"/>
  <c r="K7" i="1"/>
  <c r="H6" i="1"/>
  <c r="R10" i="5" l="1"/>
  <c r="M75" i="3" s="1"/>
  <c r="N68" i="3" l="1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37" i="1"/>
  <c r="K12" i="5" l="1"/>
  <c r="H12" i="5"/>
  <c r="V12" i="5"/>
  <c r="T12" i="5"/>
  <c r="U12" i="5"/>
  <c r="I12" i="5"/>
  <c r="L12" i="5"/>
  <c r="S12" i="5"/>
  <c r="V13" i="5"/>
  <c r="R3" i="1" l="1"/>
  <c r="D1" i="1"/>
  <c r="F6" i="1"/>
  <c r="T37" i="1"/>
  <c r="T13" i="5"/>
  <c r="T7" i="1" l="1"/>
  <c r="W37" i="1"/>
  <c r="G6" i="1" l="1"/>
  <c r="L13" i="5"/>
  <c r="I13" i="5"/>
  <c r="S13" i="5"/>
  <c r="U13" i="5"/>
  <c r="K13" i="5"/>
  <c r="H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34" i="1" l="1"/>
  <c r="L23" i="1"/>
  <c r="L9" i="1"/>
  <c r="L15" i="1"/>
  <c r="L10" i="1"/>
  <c r="L11" i="1"/>
  <c r="L35" i="1"/>
  <c r="L14" i="1"/>
  <c r="C7" i="1"/>
  <c r="O37" i="1"/>
  <c r="J37" i="1"/>
  <c r="P37" i="1"/>
  <c r="N37" i="1"/>
  <c r="I37" i="1"/>
  <c r="Q7" i="1" l="1"/>
  <c r="M68" i="3" s="1"/>
  <c r="L7" i="1"/>
  <c r="G68" i="3" s="1"/>
  <c r="K68" i="3"/>
  <c r="J68" i="3"/>
  <c r="M37" i="1"/>
  <c r="K37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<sst xmlns="http://schemas.openxmlformats.org/spreadsheetml/2006/main" count="543" uniqueCount="388">
  <si>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</si>
  <si>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</si>
  <si>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</si>
  <si>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</si>
  <si>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</si>
  <si>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</si>
  <si>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</si>
  <si>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</si>
  <si>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</si>
  <si>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</si>
  <si>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</si>
  <si>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</si>
  <si>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</si>
  <si>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</si>
  <si>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</si>
  <si>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</si>
  <si>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</si>
  <si>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</si>
  <si>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</si>
  <si>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</si>
  <si>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</si>
  <si>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</si>
  <si>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</si>
  <si>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</si>
  <si>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</si>
  <si>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</si>
  <si>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</si>
  <si>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</si>
  <si>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</si>
  <si>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</si>
  <si>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</si>
  <si>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</si>
  <si>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</si>
  <si>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</si>
  <si>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</si>
  <si>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</si>
  <si>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</si>
  <si>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</si>
  <si>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</si>
  <si>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</si>
  <si>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</si>
  <si>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</si>
  <si>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</si>
  <si>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</si>
  <si>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</si>
  <si>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</si>
  <si>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</si>
  <si>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</si>
  <si>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</si>
  <si>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</si>
  <si>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</si>
  <si>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</si>
  <si>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</si>
  <si>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</si>
  <si>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</si>
  <si>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</si>
  <si>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</si>
  <si>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</si>
  <si>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</si>
  <si>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</si>
  <si>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</si>
  <si>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</si>
  <si>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</si>
  <si>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</si>
  <si>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</si>
  <si>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</si>
  <si>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</si>
  <si>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</si>
  <si>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</si>
  <si>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</si>
  <si>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</si>
  <si>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</si>
  <si>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</si>
  <si>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</si>
  <si>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</si>
  <si>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</si>
  <si>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</si>
  <si>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</si>
  <si>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</si>
  <si>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</si>
  <si>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</si>
  <si>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</si>
  <si>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</si>
  <si>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</si>
  <si>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</si>
  <si>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</si>
  <si>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</si>
  <si>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</si>
  <si>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</si>
  <si>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</si>
  <si>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</si>
  <si>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</si>
  <si>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</si>
  <si>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</si>
  <si>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</si>
  <si>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</si>
  <si>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</si>
  <si>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</si>
  <si>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</si>
  <si>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</si>
  <si>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</si>
  <si>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</si>
  <si>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</si>
  <si>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</si>
  <si>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</si>
  <si>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</si>
  <si>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</si>
  <si>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</si>
  <si>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</si>
  <si>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</si>
  <si>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</si>
  <si>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</si>
  <si>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</si>
  <si>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</si>
  <si>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</si>
  <si>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</si>
  <si>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</si>
  <si>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</si>
  <si>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</si>
  <si>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</si>
  <si>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</si>
  <si>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</si>
  <si>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</si>
  <si>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</si>
  <si>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</si>
  <si>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</si>
  <si>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</si>
  <si>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</si>
  <si>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</si>
  <si>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</si>
  <si>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</si>
  <si>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</si>
  <si>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</si>
  <si>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</si>
  <si>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</si>
  <si>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</si>
  <si>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</si>
  <si>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</si>
  <si>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</si>
  <si>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</si>
  <si>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</si>
  <si>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</si>
  <si>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</si>
  <si>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</si>
  <si>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</si>
  <si>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</si>
  <si>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</si>
  <si>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</si>
  <si>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</si>
  <si>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</si>
  <si>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</si>
  <si>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</si>
  <si>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</si>
  <si>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</si>
  <si>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</si>
  <si>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</si>
  <si>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</si>
  <si>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</si>
  <si>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</si>
  <si>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</si>
  <si>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</si>
  <si>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</si>
  <si>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</si>
  <si>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</si>
  <si>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</si>
  <si>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</si>
  <si>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</si>
  <si>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</si>
  <si>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</si>
  <si>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</si>
  <si>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</si>
  <si>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</si>
  <si>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</si>
  <si>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</si>
  <si>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</si>
  <si>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</si>
  <si>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</si>
  <si>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</si>
  <si>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</si>
  <si>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</si>
  <si>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</si>
  <si>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</si>
  <si>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</si>
  <si>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</si>
  <si>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</si>
  <si>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</si>
  <si>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</si>
  <si>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</si>
  <si>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</si>
  <si>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</si>
  <si>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</si>
  <si>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</si>
  <si>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</si>
  <si>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</si>
  <si>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</si>
  <si>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</si>
  <si>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</si>
  <si>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</si>
  <si>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</si>
  <si>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</si>
  <si>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</si>
  <si>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</si>
  <si>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</si>
  <si>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</si>
  <si>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</si>
  <si>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</si>
  <si>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</si>
  <si>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</si>
  <si>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</si>
  <si>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</si>
  <si>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</si>
  <si>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</si>
  <si>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</si>
  <si>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</si>
  <si>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</si>
  <si>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</si>
  <si>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</si>
  <si>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</si>
  <si>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</si>
  <si>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</si>
  <si>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</si>
  <si>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</si>
  <si>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</si>
  <si>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</si>
  <si>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</si>
  <si>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</si>
  <si>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</si>
  <si>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</si>
  <si>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</si>
  <si>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</si>
  <si>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</si>
  <si>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</si>
  <si>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</si>
  <si>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</si>
  <si>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</si>
  <si>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</si>
  <si>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</si>
  <si>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</si>
  <si>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</si>
  <si>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</si>
  <si>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</si>
  <si>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</si>
  <si>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</si>
  <si>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</si>
  <si>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</si>
  <si>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</si>
  <si>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</si>
  <si>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</si>
  <si>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</si>
  <si>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</si>
  <si>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</si>
  <si>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</si>
  <si>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</si>
  <si>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</si>
  <si>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</si>
  <si>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</si>
  <si>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</si>
  <si>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</si>
  <si>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</si>
  <si>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</si>
  <si>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</si>
  <si>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</si>
  <si>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</si>
  <si>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</si>
  <si>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</si>
  <si>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</si>
  <si>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</si>
  <si>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</si>
  <si>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</si>
  <si>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</si>
  <si>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</si>
  <si>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</si>
  <si>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</si>
  <si>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</si>
  <si>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</si>
  <si>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</si>
  <si>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</si>
  <si>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</si>
  <si>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</si>
  <si>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</si>
  <si>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</si>
  <si>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</si>
  <si>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</si>
  <si>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</si>
  <si>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</si>
  <si>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</si>
  <si>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</si>
  <si>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</si>
  <si>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</si>
  <si>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</si>
  <si>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</si>
  <si>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</si>
  <si>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</si>
  <si>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</si>
  <si>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</si>
  <si>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</si>
  <si>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</si>
  <si>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</si>
  <si>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</si>
  <si>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</si>
  <si>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</si>
  <si>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</si>
  <si>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</si>
  <si>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</si>
  <si>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</si>
  <si>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</si>
  <si>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</si>
  <si>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</si>
  <si>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</si>
  <si>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</si>
  <si>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</si>
  <si>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</si>
  <si>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</si>
  <si>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</si>
  <si>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</si>
  <si>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</si>
  <si>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</si>
  <si>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</si>
  <si>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IS_ACTIVE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</si>
  <si>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</si>
  <si>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</si>
  <si>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</si>
  <si>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</si>
  <si>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</si>
  <si>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</si>
  <si>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</si>
  <si>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</si>
  <si>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</si>
  <si>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</si>
  <si>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</si>
  <si>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</si>
  <si>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</si>
  <si>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</si>
  <si>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</si>
  <si>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</si>
  <si>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</si>
  <si>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</si>
  <si>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</si>
  <si>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</si>
  <si>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</si>
  <si>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</si>
  <si>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</si>
  <si>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</si>
  <si>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</si>
  <si>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</si>
  <si>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</si>
  <si>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</si>
  <si>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</si>
  <si>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int?</t>
  </si>
  <si>
    <t>long?</t>
  </si>
  <si>
    <t>DateTime?</t>
  </si>
  <si>
    <t>TimeSpan?</t>
  </si>
  <si>
    <t>decimal?</t>
  </si>
  <si>
    <t>byte?</t>
  </si>
  <si>
    <t>bool?</t>
  </si>
  <si>
    <t>varchar(1)</t>
  </si>
  <si>
    <t>Inventory.GPS</t>
  </si>
  <si>
    <t>Y</t>
  </si>
  <si>
    <t>SUPPLIER_CODE</t>
  </si>
  <si>
    <t>varchar(10)</t>
  </si>
  <si>
    <t>MONTH_STK</t>
  </si>
  <si>
    <t>MIN_STK_1</t>
  </si>
  <si>
    <t>decimal(7, 2)</t>
  </si>
  <si>
    <t>MIN_STK_2</t>
  </si>
  <si>
    <t>MIN_STK_3</t>
  </si>
  <si>
    <t>MIN_STK_4</t>
  </si>
  <si>
    <t>MIN_STK_5</t>
  </si>
  <si>
    <t>MIN_STK_6</t>
  </si>
  <si>
    <t>MIN_STK_7</t>
  </si>
  <si>
    <t>MIN_STK_8</t>
  </si>
  <si>
    <t>MIN_STK_9</t>
  </si>
  <si>
    <t>MIN_STK_10</t>
  </si>
  <si>
    <t>MIN_STK_11</t>
  </si>
  <si>
    <t>MIN_STK_12</t>
  </si>
  <si>
    <t>MIN_STK_13</t>
  </si>
  <si>
    <t>MIN_STK_14</t>
  </si>
  <si>
    <t>MIN_STK_15</t>
  </si>
  <si>
    <t>MAX_STK_1</t>
  </si>
  <si>
    <t>MAX_STK_2</t>
  </si>
  <si>
    <t>MAX_STK_3</t>
  </si>
  <si>
    <t>MAX_STK_4</t>
  </si>
  <si>
    <t>MAX_STK_5</t>
  </si>
  <si>
    <t>MIN_STK_CONCEPT</t>
  </si>
  <si>
    <t>MAX_STK_CONCEPT</t>
  </si>
  <si>
    <t>STK_CONCEPT</t>
  </si>
  <si>
    <t>STK_CONCEPT_FRQ</t>
  </si>
  <si>
    <t>InvGpsStockConcept</t>
  </si>
  <si>
    <t>Stock Concept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</si>
</sst>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Alignment="1">
      <alignment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7"/>
  <sheetViews>
    <sheetView tabSelected="1" topLeftCell="A85" zoomScaleNormal="100" workbookViewId="0">
      <selection activeCell="F68" sqref="F68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45.8554687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70</v>
      </c>
    </row>
    <row r="2" spans="1:7" ht="15.75" x14ac:dyDescent="0.25">
      <c r="A2" s="1"/>
      <c r="B2" s="25" t="s">
        <v>192</v>
      </c>
    </row>
    <row r="3" spans="1:7" x14ac:dyDescent="0.25">
      <c r="A3" s="1"/>
      <c r="B3" s="1" t="s">
        <v>73</v>
      </c>
    </row>
    <row r="4" spans="1:7" x14ac:dyDescent="0.25">
      <c r="A4" s="1"/>
      <c r="B4" t="s">
        <v>72</v>
      </c>
    </row>
    <row r="5" spans="1:7" x14ac:dyDescent="0.25">
      <c r="A5" s="1"/>
      <c r="B5" t="s">
        <v>75</v>
      </c>
    </row>
    <row r="6" spans="1:7" x14ac:dyDescent="0.25">
      <c r="A6" s="1"/>
      <c r="B6" t="s">
        <v>83</v>
      </c>
    </row>
    <row r="7" spans="1:7" x14ac:dyDescent="0.25">
      <c r="A7" s="1"/>
      <c r="C7" s="2" t="s">
        <v>93</v>
      </c>
      <c r="D7" s="2"/>
      <c r="E7" s="2"/>
      <c r="F7" s="2" t="s">
        <v>101</v>
      </c>
      <c r="G7" s="2" t="s">
        <v>279</v>
      </c>
    </row>
    <row r="8" spans="1:7" x14ac:dyDescent="0.25">
      <c r="A8" s="1"/>
      <c r="C8" t="s">
        <v>85</v>
      </c>
      <c r="F8" s="1" t="s">
        <v>229</v>
      </c>
      <c r="G8" t="s">
        <v>229</v>
      </c>
    </row>
    <row r="9" spans="1:7" x14ac:dyDescent="0.25">
      <c r="A9" s="1"/>
      <c r="C9" t="s">
        <v>84</v>
      </c>
      <c r="F9" s="1" t="s">
        <v>94</v>
      </c>
      <c r="G9" t="s">
        <v>94</v>
      </c>
    </row>
    <row r="10" spans="1:7" x14ac:dyDescent="0.25">
      <c r="A10" s="1"/>
      <c r="D10" t="s">
        <v>85</v>
      </c>
      <c r="F10" s="1" t="s">
        <v>229</v>
      </c>
      <c r="G10" t="s">
        <v>280</v>
      </c>
    </row>
    <row r="11" spans="1:7" x14ac:dyDescent="0.25">
      <c r="A11" s="1"/>
      <c r="D11" t="s">
        <v>86</v>
      </c>
      <c r="F11" s="1" t="s">
        <v>95</v>
      </c>
      <c r="G11" t="s">
        <v>281</v>
      </c>
    </row>
    <row r="12" spans="1:7" x14ac:dyDescent="0.25">
      <c r="A12" s="1"/>
      <c r="D12" t="s">
        <v>87</v>
      </c>
      <c r="F12" s="1" t="s">
        <v>96</v>
      </c>
      <c r="G12" t="s">
        <v>282</v>
      </c>
    </row>
    <row r="13" spans="1:7" x14ac:dyDescent="0.25">
      <c r="A13" s="1"/>
      <c r="D13" t="s">
        <v>88</v>
      </c>
      <c r="F13" s="1" t="s">
        <v>97</v>
      </c>
      <c r="G13" t="s">
        <v>283</v>
      </c>
    </row>
    <row r="14" spans="1:7" x14ac:dyDescent="0.25">
      <c r="A14" s="1"/>
      <c r="D14" t="s">
        <v>89</v>
      </c>
      <c r="F14" s="1" t="s">
        <v>98</v>
      </c>
      <c r="G14" t="s">
        <v>284</v>
      </c>
    </row>
    <row r="15" spans="1:7" x14ac:dyDescent="0.25">
      <c r="A15" s="1"/>
      <c r="D15" t="s">
        <v>90</v>
      </c>
      <c r="F15" s="1" t="s">
        <v>99</v>
      </c>
      <c r="G15" t="s">
        <v>285</v>
      </c>
    </row>
    <row r="16" spans="1:7" ht="12" customHeight="1" x14ac:dyDescent="0.25">
      <c r="A16" s="1"/>
      <c r="D16" t="s">
        <v>265</v>
      </c>
      <c r="F16" s="1" t="s">
        <v>266</v>
      </c>
      <c r="G16" t="s">
        <v>286</v>
      </c>
    </row>
    <row r="17" spans="1:7" ht="12" customHeight="1" x14ac:dyDescent="0.25">
      <c r="A17" s="1"/>
      <c r="D17" t="s">
        <v>300</v>
      </c>
      <c r="F17" s="1" t="s">
        <v>301</v>
      </c>
      <c r="G17" t="s">
        <v>302</v>
      </c>
    </row>
    <row r="18" spans="1:7" x14ac:dyDescent="0.25">
      <c r="A18" s="1"/>
      <c r="D18" t="s">
        <v>345</v>
      </c>
      <c r="F18" s="1" t="s">
        <v>347</v>
      </c>
      <c r="G18" t="s">
        <v>346</v>
      </c>
    </row>
    <row r="19" spans="1:7" x14ac:dyDescent="0.25">
      <c r="A19" s="1"/>
      <c r="C19" t="s">
        <v>87</v>
      </c>
      <c r="F19" s="1" t="s">
        <v>96</v>
      </c>
      <c r="G19" t="s">
        <v>96</v>
      </c>
    </row>
    <row r="20" spans="1:7" x14ac:dyDescent="0.25">
      <c r="A20" s="1"/>
      <c r="D20" t="s">
        <v>91</v>
      </c>
      <c r="F20" s="1" t="s">
        <v>110</v>
      </c>
      <c r="G20" t="s">
        <v>287</v>
      </c>
    </row>
    <row r="21" spans="1:7" x14ac:dyDescent="0.25">
      <c r="A21" s="1"/>
      <c r="D21" t="s">
        <v>92</v>
      </c>
      <c r="F21" s="1" t="s">
        <v>100</v>
      </c>
      <c r="G21" t="s">
        <v>288</v>
      </c>
    </row>
    <row r="22" spans="1:7" x14ac:dyDescent="0.25">
      <c r="A22" s="1"/>
      <c r="C22" t="s">
        <v>88</v>
      </c>
      <c r="F22" s="1" t="s">
        <v>97</v>
      </c>
      <c r="G22" t="s">
        <v>97</v>
      </c>
    </row>
    <row r="23" spans="1:7" x14ac:dyDescent="0.25">
      <c r="A23" s="1"/>
      <c r="D23" t="s">
        <v>91</v>
      </c>
      <c r="F23" s="1" t="s">
        <v>110</v>
      </c>
      <c r="G23" t="s">
        <v>297</v>
      </c>
    </row>
    <row r="24" spans="1:7" x14ac:dyDescent="0.25">
      <c r="A24" s="1"/>
      <c r="C24" t="s">
        <v>86</v>
      </c>
      <c r="F24" s="1" t="s">
        <v>95</v>
      </c>
      <c r="G24" t="s">
        <v>95</v>
      </c>
    </row>
    <row r="25" spans="1:7" x14ac:dyDescent="0.25">
      <c r="A25" s="1"/>
      <c r="D25" t="s">
        <v>91</v>
      </c>
      <c r="F25" s="1" t="s">
        <v>110</v>
      </c>
      <c r="G25" t="s">
        <v>296</v>
      </c>
    </row>
    <row r="26" spans="1:7" x14ac:dyDescent="0.25">
      <c r="A26" s="1"/>
      <c r="C26" t="s">
        <v>89</v>
      </c>
      <c r="F26" s="1" t="s">
        <v>98</v>
      </c>
      <c r="G26" t="s">
        <v>98</v>
      </c>
    </row>
    <row r="27" spans="1:7" x14ac:dyDescent="0.25">
      <c r="A27" s="1"/>
      <c r="C27" t="s">
        <v>265</v>
      </c>
      <c r="F27" s="1" t="s">
        <v>266</v>
      </c>
      <c r="G27" t="s">
        <v>266</v>
      </c>
    </row>
    <row r="28" spans="1:7" x14ac:dyDescent="0.25">
      <c r="A28" s="1"/>
      <c r="D28" t="s">
        <v>267</v>
      </c>
      <c r="F28" s="1" t="s">
        <v>269</v>
      </c>
      <c r="G28" t="s">
        <v>289</v>
      </c>
    </row>
    <row r="29" spans="1:7" x14ac:dyDescent="0.25">
      <c r="A29" s="1"/>
      <c r="D29" t="s">
        <v>270</v>
      </c>
      <c r="F29" s="1" t="s">
        <v>268</v>
      </c>
      <c r="G29" t="s">
        <v>290</v>
      </c>
    </row>
    <row r="30" spans="1:7" x14ac:dyDescent="0.25">
      <c r="A30" s="1"/>
      <c r="D30" t="s">
        <v>271</v>
      </c>
      <c r="F30" s="1" t="s">
        <v>274</v>
      </c>
      <c r="G30" t="s">
        <v>291</v>
      </c>
    </row>
    <row r="31" spans="1:7" x14ac:dyDescent="0.25">
      <c r="A31" s="1"/>
      <c r="D31" t="s">
        <v>272</v>
      </c>
      <c r="F31" s="1" t="s">
        <v>275</v>
      </c>
      <c r="G31" t="s">
        <v>292</v>
      </c>
    </row>
    <row r="32" spans="1:7" x14ac:dyDescent="0.25">
      <c r="A32" s="1"/>
      <c r="D32" t="s">
        <v>273</v>
      </c>
      <c r="F32" s="1" t="s">
        <v>276</v>
      </c>
      <c r="G32" t="s">
        <v>293</v>
      </c>
    </row>
    <row r="33" spans="1:8" x14ac:dyDescent="0.25">
      <c r="A33" s="1"/>
      <c r="D33" t="s">
        <v>278</v>
      </c>
      <c r="F33" s="1" t="s">
        <v>277</v>
      </c>
      <c r="G33" t="s">
        <v>294</v>
      </c>
    </row>
    <row r="34" spans="1:8" x14ac:dyDescent="0.25">
      <c r="A34" s="1"/>
      <c r="C34" t="s">
        <v>300</v>
      </c>
      <c r="F34" s="1" t="s">
        <v>301</v>
      </c>
      <c r="G34" t="s">
        <v>301</v>
      </c>
    </row>
    <row r="35" spans="1:8" x14ac:dyDescent="0.25">
      <c r="A35" s="1"/>
      <c r="D35" t="s">
        <v>303</v>
      </c>
      <c r="F35" s="1" t="s">
        <v>304</v>
      </c>
      <c r="G35" t="s">
        <v>305</v>
      </c>
    </row>
    <row r="36" spans="1:8" x14ac:dyDescent="0.25">
      <c r="A36" s="1"/>
      <c r="D36" t="s">
        <v>92</v>
      </c>
      <c r="F36" s="1" t="s">
        <v>100</v>
      </c>
      <c r="G36" t="s">
        <v>306</v>
      </c>
    </row>
    <row r="37" spans="1:8" x14ac:dyDescent="0.25">
      <c r="A37" s="1"/>
      <c r="D37" t="s">
        <v>307</v>
      </c>
      <c r="F37" s="1" t="s">
        <v>308</v>
      </c>
      <c r="G37" t="s">
        <v>309</v>
      </c>
    </row>
    <row r="38" spans="1:8" x14ac:dyDescent="0.25">
      <c r="A38" s="1"/>
      <c r="D38" t="s">
        <v>310</v>
      </c>
      <c r="F38" s="1" t="s">
        <v>311</v>
      </c>
      <c r="G38" t="s">
        <v>312</v>
      </c>
    </row>
    <row r="39" spans="1:8" x14ac:dyDescent="0.25">
      <c r="A39" s="1"/>
      <c r="D39" t="s">
        <v>314</v>
      </c>
      <c r="F39" s="1" t="s">
        <v>315</v>
      </c>
      <c r="G39" t="s">
        <v>316</v>
      </c>
    </row>
    <row r="40" spans="1:8" x14ac:dyDescent="0.25">
      <c r="A40" s="1"/>
      <c r="C40" t="s">
        <v>313</v>
      </c>
      <c r="F40" s="1" t="s">
        <v>295</v>
      </c>
      <c r="G40" t="s">
        <v>295</v>
      </c>
    </row>
    <row r="41" spans="1:8" x14ac:dyDescent="0.25">
      <c r="A41" s="1"/>
      <c r="D41" t="s">
        <v>298</v>
      </c>
      <c r="F41" s="1" t="s">
        <v>298</v>
      </c>
      <c r="G41" t="s">
        <v>299</v>
      </c>
      <c r="H41" t="s">
        <v>317</v>
      </c>
    </row>
    <row r="42" spans="1:8" x14ac:dyDescent="0.25">
      <c r="A42" s="1"/>
      <c r="C42" t="s">
        <v>319</v>
      </c>
      <c r="F42" s="1" t="s">
        <v>332</v>
      </c>
      <c r="G42" t="s">
        <v>332</v>
      </c>
    </row>
    <row r="43" spans="1:8" x14ac:dyDescent="0.25">
      <c r="A43" s="1"/>
      <c r="D43" t="s">
        <v>320</v>
      </c>
      <c r="F43" s="1" t="s">
        <v>326</v>
      </c>
      <c r="G43" t="s">
        <v>333</v>
      </c>
    </row>
    <row r="44" spans="1:8" x14ac:dyDescent="0.25">
      <c r="A44" s="1"/>
      <c r="D44" t="s">
        <v>322</v>
      </c>
      <c r="F44" s="1" t="s">
        <v>327</v>
      </c>
      <c r="G44" t="s">
        <v>334</v>
      </c>
    </row>
    <row r="45" spans="1:8" x14ac:dyDescent="0.25">
      <c r="A45" s="1"/>
      <c r="D45" t="s">
        <v>321</v>
      </c>
      <c r="F45" s="1" t="s">
        <v>328</v>
      </c>
      <c r="G45" t="s">
        <v>335</v>
      </c>
    </row>
    <row r="46" spans="1:8" x14ac:dyDescent="0.25">
      <c r="A46" s="1"/>
      <c r="D46" t="s">
        <v>324</v>
      </c>
      <c r="F46" s="1" t="s">
        <v>329</v>
      </c>
      <c r="G46" t="s">
        <v>336</v>
      </c>
    </row>
    <row r="47" spans="1:8" x14ac:dyDescent="0.25">
      <c r="A47" s="1"/>
      <c r="D47" t="s">
        <v>342</v>
      </c>
      <c r="F47" s="1" t="s">
        <v>343</v>
      </c>
      <c r="G47" t="s">
        <v>344</v>
      </c>
    </row>
    <row r="48" spans="1:8" x14ac:dyDescent="0.25">
      <c r="A48" s="1"/>
      <c r="D48" t="s">
        <v>325</v>
      </c>
      <c r="F48" s="1" t="s">
        <v>330</v>
      </c>
      <c r="G48" t="s">
        <v>337</v>
      </c>
    </row>
    <row r="49" spans="1:7" x14ac:dyDescent="0.25">
      <c r="A49" s="1"/>
      <c r="D49" t="s">
        <v>323</v>
      </c>
      <c r="F49" s="1" t="s">
        <v>331</v>
      </c>
      <c r="G49" t="s">
        <v>338</v>
      </c>
    </row>
    <row r="50" spans="1:7" x14ac:dyDescent="0.25">
      <c r="A50" s="1"/>
      <c r="D50" t="s">
        <v>339</v>
      </c>
      <c r="F50" s="1" t="s">
        <v>340</v>
      </c>
      <c r="G50" t="s">
        <v>341</v>
      </c>
    </row>
    <row r="51" spans="1:7" x14ac:dyDescent="0.25">
      <c r="A51" s="1"/>
    </row>
    <row r="52" spans="1:7" x14ac:dyDescent="0.25">
      <c r="A52" s="1"/>
      <c r="B52" t="s">
        <v>82</v>
      </c>
    </row>
    <row r="53" spans="1:7" x14ac:dyDescent="0.25">
      <c r="A53" s="1"/>
      <c r="B53" t="s">
        <v>79</v>
      </c>
    </row>
    <row r="54" spans="1:7" x14ac:dyDescent="0.25">
      <c r="A54" s="1"/>
      <c r="C54" s="17" t="s">
        <v>76</v>
      </c>
    </row>
    <row r="55" spans="1:7" x14ac:dyDescent="0.25">
      <c r="A55" s="1"/>
      <c r="C55" s="16" t="s">
        <v>77</v>
      </c>
    </row>
    <row r="56" spans="1:7" x14ac:dyDescent="0.25">
      <c r="A56" s="1"/>
      <c r="C56" s="16" t="s">
        <v>78</v>
      </c>
    </row>
    <row r="57" spans="1:7" x14ac:dyDescent="0.25">
      <c r="A57" s="1"/>
      <c r="B57" t="s">
        <v>102</v>
      </c>
      <c r="C57" s="16"/>
    </row>
    <row r="58" spans="1:7" x14ac:dyDescent="0.25">
      <c r="A58" s="1"/>
      <c r="C58" s="16" t="s">
        <v>103</v>
      </c>
    </row>
    <row r="59" spans="1:7" x14ac:dyDescent="0.25">
      <c r="A59" s="1"/>
      <c r="C59" s="16" t="s">
        <v>104</v>
      </c>
    </row>
    <row r="60" spans="1:7" x14ac:dyDescent="0.25">
      <c r="A60" s="1"/>
      <c r="C60" s="16" t="s">
        <v>105</v>
      </c>
    </row>
    <row r="61" spans="1:7" x14ac:dyDescent="0.25">
      <c r="A61" s="1"/>
      <c r="C61" s="16" t="s">
        <v>107</v>
      </c>
    </row>
    <row r="62" spans="1:7" x14ac:dyDescent="0.25">
      <c r="A62" s="1"/>
      <c r="C62" s="16" t="s">
        <v>109</v>
      </c>
    </row>
    <row r="63" spans="1:7" x14ac:dyDescent="0.25">
      <c r="A63" s="1"/>
      <c r="C63" s="16" t="s">
        <v>108</v>
      </c>
    </row>
    <row r="64" spans="1:7" x14ac:dyDescent="0.25">
      <c r="A64" s="1"/>
      <c r="C64" s="16" t="s">
        <v>106</v>
      </c>
    </row>
    <row r="65" spans="2:14" ht="21" customHeight="1" x14ac:dyDescent="0.25">
      <c r="B65" s="19" t="s">
        <v>74</v>
      </c>
    </row>
    <row r="66" spans="2:14" ht="21" customHeight="1" x14ac:dyDescent="0.25">
      <c r="B66" s="59" t="s">
        <v>226</v>
      </c>
    </row>
    <row r="67" spans="2:14" ht="15.75" thickBot="1" x14ac:dyDescent="0.3">
      <c r="C67" s="1" t="s">
        <v>68</v>
      </c>
      <c r="D67" s="1" t="s">
        <v>202</v>
      </c>
      <c r="E67" s="1" t="s">
        <v>203</v>
      </c>
      <c r="F67" s="1" t="s">
        <v>194</v>
      </c>
      <c r="G67" s="1" t="s">
        <v>195</v>
      </c>
      <c r="H67" s="1" t="s">
        <v>196</v>
      </c>
      <c r="I67" s="1" t="s">
        <v>197</v>
      </c>
      <c r="J67" s="1" t="s">
        <v>201</v>
      </c>
      <c r="K67" s="1" t="s">
        <v>204</v>
      </c>
      <c r="L67" s="1" t="s">
        <v>205</v>
      </c>
      <c r="M67" s="1" t="s">
        <v>206</v>
      </c>
      <c r="N67" s="1" t="s">
        <v>222</v>
      </c>
    </row>
    <row r="68" spans="2:14" s="15" customFormat="1" ht="21.75" customHeight="1" thickBot="1" x14ac:dyDescent="0.3">
      <c r="B68" s="49" t="s">
        <v>221</v>
      </c>
      <c r="C68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prod.Inventory.GPS
{
	[Table("InvGpsStockConcept")]
	[Index(nameof(SupplierCode), Name="IX_InvGpsStockConcept_SupplierCode")]
	[Index(nameof(MonthStk), Name="IX_InvGpsStockConcept_MonthStk")]
	[Index(nameof(IsActive), Name="IX_InvGpsStockConcept_IsActive")]	public class InvGpsStockConcept: FullAuditedEntity&lt;long&gt;, IEntity&lt;long&gt;	
	{
		public const int MaxSupplierCodeLength = 10;
		public const int MaxStkConceptLength = 10;
		public const int MaxIsActiveLength = 1;
		[StringLength(MaxSupplierCodeLength)]
		public virtual string SupplierCode { get; set; }
		[Column(TypeName="date")]
		public virtual DateTime? MonthStk { get; set; }
		public virtual decimal? MinStk1 { get; set; }
		public virtual decimal? MinStk2 { get; set; }
		public virtual decimal? MinStk3 { get; set; }
		public virtual decimal? MinStk4 { get; set; }
		public virtual decimal? MinStk5 { get; set; }
		public virtual decimal? MinStk6 { get; set; }
		public virtual decimal? MinStk7 { get; set; }
		public virtual decimal? MinStk8 { get; set; }
		public virtual decimal? MinStk9 { get; set; }
		public virtual decimal? MinStk10 { get; set; }
		public virtual decimal? MinStk11 { get; set; }
		public virtual decimal? MinStk12 { get; set; }
		public virtual decimal? MinStk13 { get; set; }
		public virtual decimal? MinStk14 { get; set; }
		public virtual decimal? MinStk15 { get; set; }
		public virtual decimal? MaxStk1 { get; set; }
		public virtual decimal? MaxStk2 { get; set; }
		public virtual decimal? MaxStk3 { get; set; }
		public virtual decimal? MaxStk4 { get; set; }
		public virtual decimal? MaxStk5 { get; set; }
		public virtual decimal? MinStkConcept { get; set; }
		public virtual decimal? MaxStkConcept { get; set; }
		[StringLength(MaxStkConceptLength)]
		public virtual string StkConcept { get; set; }
		public virtual int? StkConceptFrq { get; set; }
		[StringLength(MaxIsActiveLength)]
		public virtual string IsActive { get; set; }
	}
}
</v>
      </c>
      <c r="D68" s="48" t="str">
        <f>A.Backend!O7</f>
        <v xml:space="preserve">		public const string Pages_Inventory_GPS_InvGpsStockConcept = "Pages.Inventory.GPS.InvGpsStockConcept";
		public const string Pages_Inventory_GPS_InvGpsStockConcept_CreateEdit = "Pages.Inventory.GPS.InvGpsStockConcept.CreateEdit";
		public const string Pages_Inventory_GPS_InvGpsStockConcept_Delete = "Pages.Inventory.GPS.InvGpsStockConcept.Delete";
</v>
      </c>
      <c r="E68" s="48" t="str">
        <f>A.Backend!N7</f>
        <v xml:space="preserve">		var perInvGpsStockConcept = PARENTS.CreateChildPermission(AppPermissions.Pages_Inventory_GPS_InvGpsStockConcept, L( "InventoryGPSInvGpsStockConcept"), multiTenancySides: MultiTenancySides.Tenant);
		perInvGpsStockConcept.CreateChildPermission(AppPermissions.Pages_Inventory_GPS_InvGpsStockConcept_CreateEdit, L( "InventoryGPSInvGpsStockConceptCreateEdit"), multiTenancySides: MultiTenancySides.Tenant);
		perInvGpsStockConcept.CreateChildPermission(AppPermissions.Pages_Inventory_GPS_InvGpsStockConcept_Delete, L( "InventoryGPSInvGpsStockConceptDelete"), multiTenancySides: MultiTenancySides.Tenant);</v>
      </c>
      <c r="F68" s="48" t="str">
        <f>A.Backend!K7</f>
        <v>public virtual DbSet&lt;InvGpsStockConcept&gt; InvGpsStockConcepts { get; set; }</v>
      </c>
      <c r="G68" s="48" t="str">
        <f ca="1">A.Backend!L7</f>
        <v xml:space="preserve">namespace prod.Inventory.GPS
{
	public class InvGpsStockConceptConsts	
	{
		public const int MaxSupplierCodeLength = 10;
		public const int MaxStkConceptLength = 10;
		public const int MaxIsActiveLength = 1;
		// Define Store Name: Format SP_ + &lt;Store Name&gt; = &lt;Store Name&gt;
	}
}
</v>
      </c>
      <c r="H68" s="48" t="str">
        <f ca="1">A.Backend!M7</f>
        <v xml:space="preserve">using Abp.Application.Services.Dto;
using System;
using System.ComponentModel.DataAnnotations;
namespace prod.Inventory.GPS.Dto
{
	public class InvGpsStockConceptDto : EntityDto&lt;long?&gt;	
	{
		public virtual string SupplierCode { get; set; }
		public virtual DateTime? MonthStk { get; set; }
		public virtual decimal? MinStk1 { get; set; }
		public virtual decimal? MinStk2 { get; set; }
		public virtual decimal? MinStk3 { get; set; }
		public virtual decimal? MinStk4 { get; set; }
		public virtual decimal? MinStk5 { get; set; }
		public virtual decimal? MinStk6 { get; set; }
		public virtual decimal? MinStk7 { get; set; }
		public virtual decimal? MinStk8 { get; set; }
		public virtual decimal? MinStk9 { get; set; }
		public virtual decimal? MinStk10 { get; set; }
		public virtual decimal? MinStk11 { get; set; }
		public virtual decimal? MinStk12 { get; set; }
		public virtual decimal? MinStk13 { get; set; }
		public virtual decimal? MinStk14 { get; set; }
		public virtual decimal? MinStk15 { get; set; }
		public virtual decimal? MaxStk1 { get; set; }
		public virtual decimal? MaxStk2 { get; set; }
		public virtual decimal? MaxStk3 { get; set; }
		public virtual decimal? MaxStk4 { get; set; }
		public virtual decimal? MaxStk5 { get; set; }
		public virtual decimal? MinStkConcept { get; set; }
		public virtual decimal? MaxStkConcept { get; set; }
		public virtual string StkConcept { get; set; }
		public virtual int? StkConceptFrq { get; set; }
		public virtual string IsActive { get; set; }
	}
	public class CreateOrEditInvGpsStockConceptDto : EntityDto&lt;long?&gt;	
	{
		[StringLength(InvGpsStockConceptConsts.MaxSupplierCodeLength)]
		public virtual string SupplierCode { get; set; }
		public virtual DateTime? MonthStk { get; set; }
		public virtual decimal? MinStk1 { get; set; }
		public virtual decimal? MinStk2 { get; set; }
		public virtual decimal? MinStk3 { get; set; }
		public virtual decimal? MinStk4 { get; set; }
		public virtual decimal? MinStk5 { get; set; }
		public virtual decimal? MinStk6 { get; set; }
		public virtual decimal? MinStk7 { get; set; }
		public virtual decimal? MinStk8 { get; set; }
		public virtual decimal? MinStk9 { get; set; }
		public virtual decimal? MinStk10 { get; set; }
		public virtual decimal? MinStk11 { get; set; }
		public virtual decimal? MinStk12 { get; set; }
		public virtual decimal? MinStk13 { get; set; }
		public virtual decimal? MinStk14 { get; set; }
		public virtual decimal? MinStk15 { get; set; }
		public virtual decimal? MaxStk1 { get; set; }
		public virtual decimal? MaxStk2 { get; set; }
		public virtual decimal? MaxStk3 { get; set; }
		public virtual decimal? MaxStk4 { get; set; }
		public virtual decimal? MaxStk5 { get; set; }
		public virtual decimal? MinStkConcept { get; set; }
		public virtual decimal? MaxStkConcept { get; set; }
		[StringLength(InvGpsStockConceptConsts.MaxStkConceptLength)]
		public virtual string StkConcept { get; set; }
		public virtual int? StkConceptFrq { get; set; }
		[StringLength(InvGpsStockConceptConsts.MaxIsActiveLength)]
		public virtual string IsActive { get; set; }
	}
	public class GetInvGpsStockConceptInput : PagedAndSortedResultRequestDto	
	{
		public virtual string SupplierCode { get; set; }
		public virtual string StkConcept { get; set; }
		public virtual string IsActive { get; set; }
	}
}
</v>
      </c>
      <c r="I68" s="48" t="str">
        <f ca="1">A.Backend!R7</f>
        <v xml:space="preserve">using Abp.Application.Services.Dto;
using System;
using System.ComponentModel.DataAnnotations;
namespace prod.Inventory.GPS.Dto
{
	public class InvGpsStockConceptExportInput{
		public virtual string SupplierCode { get; set; }
		public virtual DateTime? MonthStk { get; set; }
		public virtual decimal? MinStk1 { get; set; }
		public virtual decimal? MinStk2 { get; set; }
		public virtual decimal? MinStk3 { get; set; }
		public virtual decimal? MinStk4 { get; set; }
		public virtual decimal? MinStk5 { get; set; }
		public virtual decimal? MinStk6 { get; set; }
		public virtual decimal? MinStk7 { get; set; }
		public virtual decimal? MinStk8 { get; set; }
		public virtual decimal? MinStk9 { get; set; }
		public virtual decimal? MinStk10 { get; set; }
		public virtual decimal? MinStk11 { get; set; }
		public virtual decimal? MinStk12 { get; set; }
		public virtual decimal? MinStk13 { get; set; }
		public virtual decimal? MinStk14 { get; set; }
		public virtual decimal? MinStk15 { get; set; }
		public virtual decimal? MaxStk1 { get; set; }
		public virtual decimal? MaxStk2 { get; set; }
		public virtual decimal? MaxStk3 { get; set; }
		public virtual decimal? MaxStk4 { get; set; }
		public virtual decimal? MaxStk5 { get; set; }
		public virtual decimal? MinStkConcept { get; set; }
		public virtual decimal? MaxStkConcept { get; set; }
		public virtual string StkConcept { get; set; }
		public virtual int? StkConceptFrq { get; set; }
		public virtual string IsActive { get; set; }
	}
}
</v>
      </c>
      <c r="J68" s="48" t="str">
        <f>A.Backend!P7</f>
        <v xml:space="preserve">using Abp.Application.Services;
using Abp.Application.Services.Dto;
using System.Collections.Generic;using vovina.Dto;
using System.Threading.Tasks;
using vovina.Inventory.GPS.Dto;
namespace prod.Inventory.GPS
{
	public interface IInvGpsStockConceptAppService : IApplicationService
	{
		Task&lt;PagedResultDto&lt;InvGpsStockConceptDto&gt;&gt; GetAll(GetInvGpsStockConceptInput input);
		Task CreateOrEdit(CreateOrEditInvGpsStockConceptDto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vovina.Inventory.GPS.Dto;
namespace prod.Inventory.GPS.Exporting
{
	public interface IInvGpsStockConceptExcelExporter : IApplicationService
	{
		FileDto ExportToFile(List&lt;InvGpsStockConceptDto&gt; invgpsstockconcept);
	}
}
</v>
      </c>
      <c r="L68" s="48" t="str">
        <f ca="1">A.Backend!T7</f>
        <v>using System.Collections.Generic;
using vovina.DataExporting.Excel.NPOI;
using vovina.Dto;
using vovina.Inventory.GPS.Exporting;
using vovina.Inventory.GPS.Dto;
using vovina.Storage;
using vovina.Inventory.GPS.Dto;
namespace vovina.Inventory.GPS.Exporting
{
    public class InvGpsStockConceptExcelExporter : NpoiExcelExporterBase, IInvGpsStockConceptExcelExporter
    {
        public InvGpsStockConceptExcelExporter(ITempFileCacheManager tempFileCacheManager) : base(tempFileCacheManager) { }
        public FileDto ExportToFile(List&lt;InvGpsStockConceptDto&gt; invgpsstockconcept)
        {
            return CreateExcelPackage(
				"InventoryGPSInvGpsStockConcept.xlsx",
				excelPackage =&gt;
				 {
					var sheet = excelPackage.CreateSheet("InvGpsStockConcept");
					AddHeader(
								sheet,
								("SupplierCode"),
								("MonthStk"),
								("MinStk1"),
								("MinStk2"),
								("MinStk3"),
								("MinStk4"),
								("MinStk5"),
								("MinStk6"),
								("MinStk7"),
								("MinStk8"),
								("MinStk9"),
								("MinStk10"),
								("MinStk11"),
								("MinStk12"),
								("MinStk13"),
								("MinStk14"),
								("MinStk15"),
								("MaxStk1"),
								("MaxStk2"),
								("MaxStk3"),
								("MaxStk4"),
								("MaxStk5"),
								("MinStkConcept"),
								("MaxStkConcept"),
								("StkConcept"),
								("StkConceptFrq"),
								("IsActive"),
							   );
					AddObjects(
						 sheet, 1, invgpsstockconcept,                                       
								_ =&gt; _.SupplierCode,
								_ =&gt; _.MonthStk,
								_ =&gt; _.MinStk1,
								_ =&gt; _.MinStk2,
								_ =&gt; _.MinStk3,
								_ =&gt; _.MinStk4,
								_ =&gt; _.MinStk5,
								_ =&gt; _.MinStk6,
								_ =&gt; _.MinStk7,
								_ =&gt; _.MinStk8,
								_ =&gt; _.MinStk9,
								_ =&gt; _.MinStk10,
								_ =&gt; _.MinStk11,
								_ =&gt; _.MinStk12,
								_ =&gt; _.MinStk13,
								_ =&gt; _.MinStk14,
								_ =&gt; _.MinStk15,
								_ =&gt; _.MaxStk1,
								_ =&gt; _.MaxStk2,
								_ =&gt; _.MaxStk3,
								_ =&gt; _.MaxStk4,
								_ =&gt; _.MaxStk5,
								_ =&gt; _.MinStkConcept,
								_ =&gt; _.MaxStkConcept,
								_ =&gt; _.StkConcept,
								_ =&gt; _.StkConceptFrq,
								_ =&gt; _.IsActive,
								);
			for (var i = 0; i &lt; 8; i++)
				{
					sheet.AutoSizeColumn(i);
				}
			});
        }
    }
}</v>
      </c>
      <c r="M68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vovina.Inventory.GPS.Dto;
using vovina.Inventory.GPS.Exporting;
namespace vovina.Inventory.GPS
{
    [AbpAuthorize(AppPermissions.Pages_Inventory_GPS_InvGpsStockConcept)]
    public class InvGpsStockConceptAppService : vovinaAppServiceBase, IInvGpsStockConceptAppService
    {
        private readonly IDapperRepository&lt;InvGpsStockConcept, long&gt; _dapperRepo;
        private readonly IRepository&lt;InvGpsStockConcept, long&gt; _repo;
        private readonly IInvGpsStockConceptExcelExporter _calendarListExcelExporter;
        public InvGpsStockConceptAppService(IRepository&lt;InvGpsStockConcept,long&gt; repo, 
                                         IDapperRepository&lt;InvGpsStockConcept,long&gt; dapperRepo,
                                        IInvGpsStockConceptExcelExporter calendarListExcelExporter
            )
        {
            _repo = repo;
            _dapperRepo = dapperRepo;
            _calendarListExcelExporter = calendarListExcelExporter;
        }
        [AbpAuthorize(AppPermissions.Pages_Inventory_GPS_InvGpsStockConcept_CreateEdit)]
        public async Task CreateOrEdit(CreateOrEditInvGpsStockConceptDto input)
        {
            if (input.Id == null) await Create(input);
            else await Update(input);
        }
        //CREATE
        private async Task Create(CreateOrEditInvGpsStockConceptDto input)
        {          
            var mainObj = ObjectMapper.Map&lt;InvGpsStockConcept&gt;(input);
            await CurrentUnitOfWork.GetDbContext&lt;vovinaDbContext&gt;().AddAsync(mainObj);
        }
        // EDIT
        private async Task Update(CreateOrEditInvGpsStockConceptDto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[AbpAuthorize(AppPermissions.Pages_Inventory_GPS_InvGpsStockConcept_Delete)]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Task&lt;PagedResultDto&lt;InvGpsStockConceptDto&gt;&gt; GetAll(GetInvGpsStockConceptInput input)
        {
            var filtered = _repo.GetAll()
				.WhereIf(!string.IsNullOrWhiteSpace(input.SupplierCode), e =&gt; e.SupplierCode.Contains(input.SupplierCode))
				.WhereIf(!string.IsNullOrWhiteSpace(input.StkConcept), e =&gt; e.StkConcept.Contains(input.StkConcept))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InvGpsStockConceptDto
                        {
							Id = o.Id,
							SupplierCode = o.SupplierCode,
							MonthStk = o.MonthStk,
							MinStk1 = o.MinStk1,
							MinStk2 = o.MinStk2,
							MinStk3 = o.MinStk3,
							MinStk4 = o.MinStk4,
							MinStk5 = o.MinStk5,
							MinStk6 = o.MinStk6,
							MinStk7 = o.MinStk7,
							MinStk8 = o.MinStk8,
							MinStk9 = o.MinStk9,
							MinStk10 = o.MinStk10,
							MinStk11 = o.MinStk11,
							MinStk12 = o.MinStk12,
							MinStk13 = o.MinStk13,
							MinStk14 = o.MinStk14,
							MinStk15 = o.MinStk15,
							MaxStk1 = o.MaxStk1,
							MaxStk2 = o.MaxStk2,
							MaxStk3 = o.MaxStk3,
							MaxStk4 = o.MaxStk4,
							MaxStk5 = o.MaxStk5,
							MinStkConcept = o.MinStkConcept,
							MaxStkConcept = o.MaxStkConcept,
							StkConcept = o.StkConcept,
							StkConceptFrq = o.StkConceptFrq,
							IsActive = o.IsActive,
                        };
            var totalCount = await filtered.CountAsync();
			var paged = system.PageBy(input);
            return new PagedResultDto&lt;InvGpsStockConceptDto&gt;(
                totalCount,
                 await paged.ToListAsync()
            );
        }
        public async Task&lt;FileDto&gt; GetInvGpsStockConceptToExcel(InvGpsStockConceptExportInput input)
        {
            var query = from o in _repo.GetAll()
                        select new InvGpsStockConceptDto
                        {
							Id = o.Id,
							SupplierCode = o.SupplierCode,
							MonthStk = o.MonthStk,
							MinStk1 = o.MinStk1,
							MinStk2 = o.MinStk2,
							MinStk3 = o.MinStk3,
							MinStk4 = o.MinStk4,
							MinStk5 = o.MinStk5,
							MinStk6 = o.MinStk6,
							MinStk7 = o.MinStk7,
							MinStk8 = o.MinStk8,
							MinStk9 = o.MinStk9,
							MinStk10 = o.MinStk10,
							MinStk11 = o.MinStk11,
							MinStk12 = o.MinStk12,
							MinStk13 = o.MinStk13,
							MinStk14 = o.MinStk14,
							MinStk15 = o.MinStk15,
							MaxStk1 = o.MaxStk1,
							MaxStk2 = o.MaxStk2,
							MaxStk3 = o.MaxStk3,
							MaxStk4 = o.MaxStk4,
							MaxStk5 = o.MaxStk5,
							MinStkConcept = o.MinStkConcept,
							MaxStkConcept = o.MaxStkConcept,
							StkConcept = o.StkConcept,
							StkConceptFrq = o.StkConceptFrq,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_dapperRepo.ExecuteAsync(InvGpsStockConceptConsts.SP_MST_WPT_CALENDAR_GENERATE);
       // }
    }
}</v>
      </c>
      <c r="N68" s="58" t="str">
        <f>A.Backend!U7</f>
        <v xml:space="preserve">  configuration.CreateMap&lt;InvGpsStockConceptDto, InvGpsStockConcept&gt;();
  configuration.CreateMap&lt;InvGpsStockConcept, InvGpsStockConceptDto&gt;();
  configuration.CreateMap&lt;CreateOrEditInvGpsStockConceptDto, InvGpsStockConcept&gt;();</v>
      </c>
    </row>
    <row r="69" spans="2:14" s="15" customFormat="1" ht="21.75" customHeight="1" x14ac:dyDescent="0.25">
      <c r="C69" s="60"/>
      <c r="H69" s="61"/>
      <c r="I69" s="61"/>
      <c r="M69" s="61"/>
    </row>
    <row r="70" spans="2:14" s="15" customFormat="1" ht="21.75" customHeight="1" x14ac:dyDescent="0.25"/>
    <row r="71" spans="2:14" s="15" customFormat="1" ht="21.75" customHeight="1" x14ac:dyDescent="0.25"/>
    <row r="72" spans="2:14" x14ac:dyDescent="0.25">
      <c r="B72" s="1" t="s">
        <v>69</v>
      </c>
    </row>
    <row r="73" spans="2:14" ht="21" x14ac:dyDescent="0.35">
      <c r="B73" t="str">
        <f>B.Frontend!B8</f>
        <v>invgpsstockconcept</v>
      </c>
      <c r="C73" s="66" t="str">
        <f>"create folder " &amp;B73</f>
        <v>create folder invgpsstockconcept</v>
      </c>
      <c r="D73" s="66"/>
      <c r="E73" s="66"/>
      <c r="F73" s="66"/>
      <c r="G73" s="66"/>
      <c r="H73" s="66"/>
      <c r="I73" s="66"/>
      <c r="J73" s="66"/>
      <c r="K73" s="67" t="s">
        <v>223</v>
      </c>
      <c r="L73" s="67"/>
      <c r="M73" s="28"/>
    </row>
    <row r="74" spans="2:14" s="26" customFormat="1" ht="18" customHeight="1" x14ac:dyDescent="0.25">
      <c r="B74" s="56" t="s">
        <v>224</v>
      </c>
      <c r="C74" s="28" t="str">
        <f>B.Frontend!H14</f>
        <v>invgpsstockconcept.component.ts</v>
      </c>
      <c r="D74" s="28" t="str">
        <f>B.Frontend!I14</f>
        <v>invgpsstockconcept.component.html</v>
      </c>
      <c r="E74" s="28" t="str">
        <f>B.Frontend!J14</f>
        <v>invgpsstockconcept.component.less</v>
      </c>
      <c r="F74" s="28" t="str">
        <f>B.Frontend!K14</f>
        <v>create-or-edit-invgpsstockconcept-modal.component.html</v>
      </c>
      <c r="G74" s="28" t="str">
        <f>B.Frontend!L14</f>
        <v>create-or-edit-invgpsstockconcept-modal.component.ts</v>
      </c>
      <c r="H74" s="28" t="str">
        <f>B.Frontend!M14</f>
        <v>create-or-edit-invgpsstockconcept-modal.component.less</v>
      </c>
      <c r="I74" s="28" t="str">
        <f>B.Frontend!N14</f>
        <v>invgpsstockconcept.module.ts</v>
      </c>
      <c r="J74" s="28" t="str">
        <f>B.Frontend!O14</f>
        <v>invgpsstockconcept-routing.module.ts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227</v>
      </c>
    </row>
    <row r="75" spans="2:14" ht="21.75" customHeight="1" x14ac:dyDescent="0.25">
      <c r="B75" s="57" t="s">
        <v>221</v>
      </c>
      <c r="C75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InvGpsStockConceptDto, InvGpsStockConceptServiceProxy } from '@shared/service-proxies/service-proxies';
import { finalize } from 'rxjs/internal/operators/finalize';
import { CreateOrEditInvGpsStockConceptModalComponent } from './create-or-edit-invgpsstockconcept-modal.component';
import { DatePipe } from '@angular/common';
import { FileDownloadService } from '@shared/utils/file-download.service';
import ceil from 'lodash-es/ceil';
import { Paginator } from 'primeng/paginator';
@Component({
    templateUrl: './invgpsstockconcept.component.html',
    styleUrls: ['./invgpsstockconcept.component.less'],
})
export class InvGpsStockConceptComponent extends AppComponentBase implements OnInit {
    @ViewChild('createOrEditModalInvGpsStockConcept', { static: true }) createOrEditModalInvGpsStockConcept:| CreateOrEditInvGpsStockConceptModalComponent|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InvGpsStockConceptDto = new InvGpsStockConceptDto();
    saveSelectedRow: InvGpsStockConceptDto = new InvGpsStockConceptDto();
    datas: InvGpsStockConceptDto = new InvGpsStockConceptDto();
    isLoading: boolean = false;
    dataParams: GridParams | undefined;
    rowData: any[] = [];
    gridApi!: GridApi;
    rowSelection = 'multiple';
    filter: string = '';
	pipe = new DatePipe('en-US');
	frameworkComponents: FrameworkComponent;
    	supplierCode : string = '' ; 
	stkConcept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InvGpsStockConceptServiceProxy,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this.l('Supplier Code'),headerTooltip: this.l('Supplier Code'),field: 'supplierCode',flex: 1},
			{headerName: this.l('Month Stk'),headerTooltip: this.l('Month Stk'),field: 'monthStk',flex: 1},
			{headerName: this.l('Min Stk 1'),headerTooltip: this.l('Min Stk 1'),field: 'minStk1',flex: 1},
			{headerName: this.l('Min Stk 2'),headerTooltip: this.l('Min Stk 2'),field: 'minStk2',flex: 1},
			{headerName: this.l('Min Stk 3'),headerTooltip: this.l('Min Stk 3'),field: 'minStk3',flex: 1},
			{headerName: this.l('Min Stk 4'),headerTooltip: this.l('Min Stk 4'),field: 'minStk4',flex: 1},
			{headerName: this.l('Min Stk 5'),headerTooltip: this.l('Min Stk 5'),field: 'minStk5',flex: 1},
			{headerName: this.l('Min Stk 6'),headerTooltip: this.l('Min Stk 6'),field: 'minStk6',flex: 1},
			{headerName: this.l('Min Stk 7'),headerTooltip: this.l('Min Stk 7'),field: 'minStk7',flex: 1},
			{headerName: this.l('Min Stk 8'),headerTooltip: this.l('Min Stk 8'),field: 'minStk8',flex: 1},
			{headerName: this.l('Min Stk 9'),headerTooltip: this.l('Min Stk 9'),field: 'minStk9',flex: 1},
			{headerName: this.l('Min Stk 10'),headerTooltip: this.l('Min Stk 10'),field: 'minStk10',flex: 1},
			{headerName: this.l('Min Stk 11'),headerTooltip: this.l('Min Stk 11'),field: 'minStk11',flex: 1},
			{headerName: this.l('Min Stk 12'),headerTooltip: this.l('Min Stk 12'),field: 'minStk12',flex: 1},
			{headerName: this.l('Min Stk 13'),headerTooltip: this.l('Min Stk 13'),field: 'minStk13',flex: 1},
			{headerName: this.l('Min Stk 14'),headerTooltip: this.l('Min Stk 14'),field: 'minStk14',flex: 1},
			{headerName: this.l('Min Stk 15'),headerTooltip: this.l('Min Stk 15'),field: 'minStk15',flex: 1},
			{headerName: this.l('Max Stk 1'),headerTooltip: this.l('Max Stk 1'),field: 'maxStk1',flex: 1},
			{headerName: this.l('Max Stk 2'),headerTooltip: this.l('Max Stk 2'),field: 'maxStk2',flex: 1},
			{headerName: this.l('Max Stk 3'),headerTooltip: this.l('Max Stk 3'),field: 'maxStk3',flex: 1},
			{headerName: this.l('Max Stk 4'),headerTooltip: this.l('Max Stk 4'),field: 'maxStk4',flex: 1},
			{headerName: this.l('Max Stk 5'),headerTooltip: this.l('Max Stk 5'),field: 'maxStk5',flex: 1},
			{headerName: this.l('Min Stk Concept'),headerTooltip: this.l('Min Stk Concept'),field: 'minStkConcept',flex: 1},
			{headerName: this.l('Max Stk Concept'),headerTooltip: this.l('Max Stk Concept'),field: 'maxStkConcept',flex: 1},
			{headerName: this.l('Stk Concept'),headerTooltip: this.l('Stk Concept'),field: 'stkConcept',flex: 1},
			{headerName: this.l('Stk Concept Frq'),headerTooltip: this.l('Stk Concept Frq'),field: 'stkConceptFrq',flex: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this.,
			this.maxStkConcept,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supplierCode : string = '' ; 
	stkConcept : string = '' ; 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this.,
			this.maxStkConcept,
			'',
            this.paginationParams.skipCount,
            this.paginationParams.pageSize
        );
    }
    onChangeRowSelection(params: { api: { getSelectedRows: () =&gt; InvGpsStockConceptDto[] } }) {
        this.saveSelectedRow = params.api.getSelectedRows()[0] ?? new InvGpsStockConceptDto();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InvGpsStockConceptDto):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this._service.getInvGpsStockConceptToExcel(
			this.,
			this.maxStkConcept,
            )
            .subscribe((result) =&gt; {
                this._fileDownloadService.downloadTempFile(result);
        });
    }
}</v>
      </c>
      <c r="D75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Stock Concept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[(ngModel)]='supplierCode' name='supplierCode'
									class='form-control' [placeholder]="l('Supplier Code')"
									type='text' (keyup.enter)='searchDatas()'&gt;
								&lt;/div&gt;
								&lt;div class='input-search'&gt;
									&lt;input [(ngModel)]='stkConcept' name='stkConcept'
									class='form-control' [placeholder]="l('Stk Concept')"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(click)="createOrEditModalInvGpsStockConcept.show()"&gt;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(click)="createOrEditModalInvGpsStockConcept.show(selectedRow)"&gt;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&lt;create-or-edit-invgpsstockconcept-modal
    #createOrEditModalInvGpsStockConcept
    (modalSave)="callBackDataGrid(dataParams)"
    (modalClose)="onChangeRowSelection(dataParams)"
&gt;
&lt;/create-or-edit-invgpsstockconcept-modal&gt;</v>
      </c>
      <c r="E75" s="46" t="str">
        <f>B.Frontend!J10</f>
        <v>.input-search{
    width: 250px;
    border-radius: 10px;
    margin-left: 10px;
}
.btn-search{
    width: 50px;
    margin-left: 10px;
}</v>
      </c>
      <c r="F75" s="46" t="str">
        <f ca="1">B.Frontend!K10</f>
        <v>&lt;div bsModal #createOrEditModalInvGpsStockConcept="bs-modal"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InvGpsStockConcept')}}&lt;/h3&gt;
                    &lt;h3 *ngIf="!rowdata.id"&gt;{{('Create New InvGpsStockConcept')}}&lt;/h3&gt;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title'&gt;Supplier Code&lt;/label&gt;
						&lt;input type='text' class='col-md-10 form-control input-text' name='SupplierCode' [(ngModel)]='rowdata.supplierCode'&gt;
					&lt;/div&gt;
					&lt;div class='col-md-12 form-group row'&gt;
						&lt;label class='col-md-2 form-control title'&gt;Month Stk&lt;/label&gt;
						&lt;input type='text' class='col-md-10 form-control input-text' name='monthStk' 
						#datepicker='bsDatepicker' [(ngModel)]='rowdata.monthStk'  bsDatepicker &gt;
					&lt;/div&gt;
					&lt;div class='col-md-12 form-group row'&gt;
						&lt;label class='col-md-2 form-control title'&gt;Stk Concept&lt;/label&gt;
						&lt;input type='text' class='col-md-10 form-control input-text' name='StkConcept' [(ngModel)]='rowdata.stkConcept'&gt;
					&lt;/div&gt;
					&lt;div class='col-md-12 form-group row'&gt;
						&lt;label class='col-md-2 form-control title'&gt;Stk Concept Frq&lt;/label&gt;
						&lt;input type='number' class='col-md-10 form-control input-text' name='StkConceptFrq' [(ngModel)]='rowdata.stkConceptFrq'&gt;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CreateOrEditInvGpsStockConceptDto, InvGpsStockConceptServiceProxy } from '@shared/service-proxies/service-proxies';
import { BsDatepickerDirective } from 'ngx-bootstrap/datepicker';
@Component({
    selector: 'create-or-edit-invgpsstockconcept-modal',
    templateUrl: './create-or-edit-invgpsstockconcept-modal.component.html',
    styleUrls: ['./create-or-edit-invgpsstockconcept-modal.component.less']
    })
export class CreateOrEditInvGpsStockConceptModalComponent extends AppComponentBase {
    @ViewChild('createOrEditModalInvGpsStockConcept',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CreateOrEditInvGpsStockConceptDto = new CreateOrEditInvGpsStockConceptDto();
    active: boolean = false;
    saving: boolean = false;
    _isActive: boolean;
    constructor(
        injector: Injector,
        private _mstwptInvGpsStockConceptService: InvGpsStockConceptServiceProxy,
    ) 
    {
        super(injector);
    }
    show(rowdata?: CreateOrEditInvGpsStockConceptDto): void {
        if (!rowdata) this.rowdata = new CreateOrEditInvGpsStockConceptDto();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this._mstwptInvGpsStockConceptService.createOrEdit(this.rowdata)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InvGpsStockConceptRoutingModule } from './invgpsstockconcept-routing.module';
import { InvGpsStockConceptComponent } from './invgpsstockconcept.component';
import { CreateOrEditInvGpsStockConceptModalComponent } from './create-or-edit-invgpsstockconcept-modal.component';
@NgModule({
    declarations: [
       InvGpsStockConceptComponent, 
        CreateOrEditInvGpsStockConceptModalComponent
    ],
    imports: [
        AppSharedModule, InvGpsStockConceptRoutingModule]
})
export class InvGpsStockConceptModule {}</v>
      </c>
      <c r="J75" s="46" t="str">
        <f>B.Frontend!O10</f>
        <v>import {NgModule} from '@angular/core';
import {RouterModule, Routes} from '@angular/router';
import { InvGpsStockConceptComponent } from './invgpsstockconcept.component';
const routes: Routes = [{
    path: '',
    component: InvGpsStockConceptComponent,
    pathMatch: 'full'
}];
@NgModule({
    imports: [RouterModule.forChild(routes)],
    exports: [RouterModule],
})
export class InvGpsStockConceptRoutingModule {}</v>
      </c>
      <c r="K75" s="46" t="str">
        <f>B.Frontend!P10</f>
        <v xml:space="preserve"> new AppMenuItem("InvGpsStockConcept", "Pages.Inventory.GPS.InvGpsStockConcept", "flaticon-book",   "/app/main/inventory/gps/invgpsstockconcept"),</v>
      </c>
      <c r="L75" s="47" t="str">
        <f>B.Frontend!Q10</f>
        <v>{
    path: 'inventory/gps/invgpsstockconcept',
    loadChildren: () =&gt; import('./inventory/gps/invgpsstockconcept/invgpsstockconcept.module').then(m =&gt; m.InvGpsStockConceptModule),
    data: { permission: 'Pages.Inventory.GPS.InvGpsStockConcept' }
},</v>
      </c>
      <c r="M75" s="45" t="str">
        <f>B.Frontend!R10</f>
        <v>ApiServiceProxies.InvGpsStockConceptServiceProxy,</v>
      </c>
    </row>
    <row r="77" spans="2:14" x14ac:dyDescent="0.25">
      <c r="B77" s="1" t="s">
        <v>71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37"/>
  <sheetViews>
    <sheetView workbookViewId="0">
      <pane xSplit="1" topLeftCell="B1" activePane="topRight" state="frozen"/>
      <selection pane="topRight" activeCell="B6" sqref="B6"/>
    </sheetView>
  </sheetViews>
  <sheetFormatPr defaultColWidth="9.140625" defaultRowHeight="15" x14ac:dyDescent="0.25"/>
  <cols>
    <col min="1" max="1" width="20.85546875" style="7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3" s="10" customFormat="1" ht="14.25" customHeight="1" x14ac:dyDescent="0.25">
      <c r="A1" s="1" t="s">
        <v>11</v>
      </c>
      <c r="B1" s="9" t="s">
        <v>67</v>
      </c>
      <c r="C1" s="9" t="s">
        <v>50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vovina.Inventory.GPS.Dto;</v>
      </c>
      <c r="E1" s="9" t="s">
        <v>261</v>
      </c>
      <c r="F1" s="10" t="s">
        <v>234</v>
      </c>
      <c r="H1" s="10" t="s">
        <v>235</v>
      </c>
      <c r="J1" s="10" t="s">
        <v>236</v>
      </c>
      <c r="L1" s="10" t="s">
        <v>237</v>
      </c>
      <c r="M1" s="10" t="s">
        <v>238</v>
      </c>
      <c r="N1" s="10" t="s">
        <v>239</v>
      </c>
      <c r="O1" s="10" t="s">
        <v>240</v>
      </c>
      <c r="T1" s="9" t="s">
        <v>253</v>
      </c>
      <c r="U1" s="9" t="s">
        <v>225</v>
      </c>
      <c r="W1" s="9"/>
    </row>
    <row r="2" spans="1:23" s="10" customFormat="1" x14ac:dyDescent="0.25">
      <c r="A2" s="1" t="s">
        <v>12</v>
      </c>
      <c r="B2" s="27" t="s">
        <v>356</v>
      </c>
      <c r="C2" s="13" t="s">
        <v>37</v>
      </c>
      <c r="D2" s="13" t="s">
        <v>38</v>
      </c>
      <c r="E2" s="13" t="s">
        <v>39</v>
      </c>
      <c r="F2" s="13" t="s">
        <v>47</v>
      </c>
      <c r="G2" s="13" t="s">
        <v>45</v>
      </c>
      <c r="H2" s="13" t="s">
        <v>48</v>
      </c>
      <c r="I2" s="13" t="s">
        <v>42</v>
      </c>
      <c r="J2" s="13" t="s">
        <v>49</v>
      </c>
      <c r="K2" s="13" t="s">
        <v>51</v>
      </c>
      <c r="L2" s="13" t="s">
        <v>58</v>
      </c>
      <c r="M2" s="13" t="s">
        <v>57</v>
      </c>
      <c r="N2" s="13" t="s">
        <v>61</v>
      </c>
      <c r="O2" s="13" t="s">
        <v>81</v>
      </c>
      <c r="T2" s="10" t="s">
        <v>241</v>
      </c>
      <c r="V2" s="10" t="s">
        <v>242</v>
      </c>
      <c r="W2" s="9" t="s">
        <v>252</v>
      </c>
    </row>
    <row r="3" spans="1:23" s="10" customFormat="1" ht="33" customHeight="1" x14ac:dyDescent="0.25">
      <c r="A3" s="1" t="s">
        <v>5</v>
      </c>
      <c r="B3" s="27" t="s">
        <v>386</v>
      </c>
      <c r="C3" s="9" t="s">
        <v>40</v>
      </c>
      <c r="D3" s="9" t="s">
        <v>41</v>
      </c>
      <c r="E3" s="9" t="s">
        <v>36</v>
      </c>
      <c r="F3" s="10" t="str">
        <f>"J"&amp;COUNTA($A:$A)</f>
        <v>J35</v>
      </c>
      <c r="G3" s="4" t="s">
        <v>53</v>
      </c>
      <c r="H3" s="9" t="str">
        <f>"I"&amp;COUNTA($A:$A)</f>
        <v>I35</v>
      </c>
      <c r="I3" s="9" t="str">
        <f>REPT(CHAR(9),2)&amp;"[Required]"&amp;"
"</f>
        <v xml:space="preserve">		[Required]
</v>
      </c>
      <c r="J3" s="10" t="str">
        <f>"L"&amp;COUNTA($A:$A)</f>
        <v>L35</v>
      </c>
      <c r="K3" s="5" t="s">
        <v>52</v>
      </c>
      <c r="L3" s="10" t="str">
        <f>"M"&amp;COUNTA($A:$A)</f>
        <v>M35</v>
      </c>
      <c r="M3" s="10" t="str">
        <f>"N"&amp;COUNTA($A:$A)</f>
        <v>N35</v>
      </c>
      <c r="N3" s="10" t="str">
        <f>"O"&amp;COUNTA($A:$A)</f>
        <v>O35</v>
      </c>
      <c r="O3" s="10" t="str">
        <f>"P"&amp;COUNTA($A:$A)</f>
        <v>P35</v>
      </c>
      <c r="Q3" s="10" t="str">
        <f>RIGHT(B2,(LEN(B2)-FIND(".",B2,1)))</f>
        <v>GPS</v>
      </c>
      <c r="R3" s="29" t="str">
        <f>REPT(CHAR(9),1)&amp;"public class "&amp;B3&amp;"ExportInput"&amp;C3</f>
        <v xml:space="preserve">	public class InvGpsStockConceptExportInput{
</v>
      </c>
      <c r="S3" s="10" t="str">
        <f>"namespace "&amp;$B$6&amp;".Exporting
"&amp;$C$3</f>
        <v xml:space="preserve">namespace prod.Inventory.GPS.Exporting
{
</v>
      </c>
      <c r="T3" s="10" t="str">
        <f>"T"&amp;COUNTA($A:$A)</f>
        <v>T35</v>
      </c>
      <c r="V3" s="10" t="str">
        <f>"V"&amp;COUNTA($A:$A)</f>
        <v>V35</v>
      </c>
      <c r="W3" s="9" t="str">
        <f>"W"&amp;COUNTA($A:$A)</f>
        <v>W35</v>
      </c>
    </row>
    <row r="4" spans="1:23" s="10" customFormat="1" ht="33" customHeight="1" x14ac:dyDescent="0.25">
      <c r="A4" s="1" t="s">
        <v>232</v>
      </c>
      <c r="B4" s="65" t="s">
        <v>319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233</v>
      </c>
      <c r="B5" s="65" t="s">
        <v>386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4.95" customHeight="1" x14ac:dyDescent="0.25">
      <c r="A6" s="1" t="s">
        <v>6</v>
      </c>
      <c r="B6" s="9" t="str">
        <f>"prod."&amp;B2</f>
        <v>prod.Inventory.GPS</v>
      </c>
      <c r="C6" s="10" t="str">
        <f>"namespace "&amp;$B$6&amp;"
"&amp;$C$3</f>
        <v xml:space="preserve">namespace prod.Inventory.GPS
{
</v>
      </c>
      <c r="D6" s="10" t="str">
        <f>REPT(CHAR(9),1)&amp;"public class "&amp;B3&amp;G3&amp;REPT(CHAR(9),1)&amp;"
"&amp;REPT(CHAR(9),1)&amp;C3</f>
        <v xml:space="preserve">	public class InvGpsStockConcept: FullAuditedEntity&lt;long&gt;, IEntity&lt;long&gt;	
	{
</v>
      </c>
      <c r="E6" s="10" t="str">
        <f>REPT(CHAR(9),1)&amp;"public class "&amp;B3&amp;"Consts"&amp;REPT(CHAR(9),1)&amp;"
"&amp;REPT(CHAR(9),1)&amp;C3</f>
        <v xml:space="preserve">	public class InvGpsStockConceptConsts	
	{
</v>
      </c>
      <c r="F6" s="10" t="str">
        <f>REPT(CHAR(9),1)&amp;"public class "&amp;B3&amp;"Dto"&amp;K3&amp;REPT(CHAR(9),1)&amp;"
"&amp;REPT(CHAR(9),1)&amp;C3</f>
        <v xml:space="preserve">	public class InvGpsStockConceptDto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CreateOrEditInvGpsStockConceptDto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GetInvGpsStockConceptInput : PagedAndSortedResultRequestDto	
	{
</v>
      </c>
      <c r="I6" s="10"/>
      <c r="J6" s="1" t="s">
        <v>68</v>
      </c>
      <c r="K6" s="1" t="s">
        <v>62</v>
      </c>
      <c r="L6" s="1" t="s">
        <v>63</v>
      </c>
      <c r="M6" s="1" t="s">
        <v>64</v>
      </c>
      <c r="N6" s="1" t="s">
        <v>231</v>
      </c>
      <c r="O6" s="1" t="s">
        <v>230</v>
      </c>
      <c r="P6" s="1" t="s">
        <v>65</v>
      </c>
      <c r="Q6" s="1" t="s">
        <v>66</v>
      </c>
      <c r="R6" s="1" t="s">
        <v>198</v>
      </c>
      <c r="S6" s="1" t="s">
        <v>200</v>
      </c>
      <c r="T6" s="1" t="s">
        <v>199</v>
      </c>
      <c r="U6" s="1" t="s">
        <v>222</v>
      </c>
      <c r="W6" s="26"/>
    </row>
    <row r="7" spans="1:23" customFormat="1" ht="24.95" customHeight="1" x14ac:dyDescent="0.25">
      <c r="A7" s="1" t="s">
        <v>13</v>
      </c>
      <c r="B7" s="9" t="str">
        <f>B3</f>
        <v>InvGpsStockConcept</v>
      </c>
      <c r="C7" s="10" t="str">
        <f>REPT(CHAR(9),1)&amp;"[Table("""&amp;B7&amp;""")]"&amp;"
"</f>
        <v xml:space="preserve">	[Table("InvGpsStockConcept")]
</v>
      </c>
      <c r="D7" s="10"/>
      <c r="E7" s="10"/>
      <c r="F7" s="10"/>
      <c r="G7" s="10"/>
      <c r="H7" s="10"/>
      <c r="I7" s="10"/>
      <c r="J7" t="str">
        <f ca="1">SUBSTITUTE(SUBSTITUTE((B1&amp;C6&amp;C7&amp;K37&amp;D6&amp;I37&amp;E3&amp;J37&amp;""&amp;REPT(CHAR(9),1)&amp;D3&amp;D3),"WorkingPattern",$Q$3),"Master",$B$4)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prod.Inventory.GPS
{
	[Table("InvGpsStockConcept")]
	[Index(nameof(SupplierCode), Name="IX_InvGpsStockConcept_SupplierCode")]
	[Index(nameof(MonthStk), Name="IX_InvGpsStockConcept_MonthStk")]
	[Index(nameof(IsActive), Name="IX_InvGpsStockConcept_IsActive")]	public class InvGpsStockConcept: FullAuditedEntity&lt;long&gt;, IEntity&lt;long&gt;	
	{
		public const int MaxSupplierCodeLength = 10;
		public const int MaxStkConceptLength = 10;
		public const int MaxIsActiveLength = 1;
		[StringLength(MaxSupplierCodeLength)]
		public virtual string SupplierCode { get; set; }
		[Column(TypeName="date")]
		public virtual DateTime? MonthStk { get; set; }
		public virtual decimal? MinStk1 { get; set; }
		public virtual decimal? MinStk2 { get; set; }
		public virtual decimal? MinStk3 { get; set; }
		public virtual decimal? MinStk4 { get; set; }
		public virtual decimal? MinStk5 { get; set; }
		public virtual decimal? MinStk6 { get; set; }
		public virtual decimal? MinStk7 { get; set; }
		public virtual decimal? MinStk8 { get; set; }
		public virtual decimal? MinStk9 { get; set; }
		public virtual decimal? MinStk10 { get; set; }
		public virtual decimal? MinStk11 { get; set; }
		public virtual decimal? MinStk12 { get; set; }
		public virtual decimal? MinStk13 { get; set; }
		public virtual decimal? MinStk14 { get; set; }
		public virtual decimal? MinStk15 { get; set; }
		public virtual decimal? MaxStk1 { get; set; }
		public virtual decimal? MaxStk2 { get; set; }
		public virtual decimal? MaxStk3 { get; set; }
		public virtual decimal? MaxStk4 { get; set; }
		public virtual decimal? MaxStk5 { get; set; }
		public virtual decimal? MinStkConcept { get; set; }
		public virtual decimal? MaxStkConcept { get; set; }
		[StringLength(MaxStkConceptLength)]
		public virtual string StkConcept { get; set; }
		public virtual int? StkConceptFrq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DbSet&lt;InvGpsStockConcept&gt; InvGpsStockConcepts { get; set; }</v>
      </c>
      <c r="L7" t="str">
        <f ca="1">SUBSTITUTE(SUBSTITUTE((C6&amp;E6&amp;I37&amp;"
"&amp;REPT(CHAR(9),2)&amp;"// Define Store Name: Format SP_ + &lt;Store Name&gt; = &lt;Store Name&gt;
"&amp;E3&amp;REPT(CHAR(9),1)&amp;D3&amp;D3),"WorkingPattern",$Q$3),"Master",$B$4)</f>
        <v xml:space="preserve">namespace prod.Inventory.GPS
{
	public class InvGpsStockConceptConsts	
	{
		public const int MaxSupplierCodeLength = 10;
		public const int MaxStkConceptLength = 10;
		public const int MaxIsActiveLength = 1;
		// Define Store Name: Format SP_ + &lt;Store Name&gt; = &lt;Store Name&gt;
	}
}
</v>
      </c>
      <c r="M7" t="str">
        <f ca="1">SUBSTITUTE(SUBSTITUTE((C1&amp;"namespace "&amp;B6&amp;".Dto"&amp;E3&amp;C3&amp;F6&amp;M37&amp;E3&amp;REPT(CHAR(9),1)&amp;D3&amp;G6&amp;N37&amp;REPT(CHAR(9),1)&amp;D3&amp;H6&amp;O37&amp;"
"&amp;REPT(CHAR(9),1)&amp;D3&amp;D3),"WorkingPattern",$Q$3),"Master",$B$4)</f>
        <v xml:space="preserve">using Abp.Application.Services.Dto;
using System;
using System.ComponentModel.DataAnnotations;
namespace prod.Inventory.GPS.Dto
{
	public class InvGpsStockConceptDto : EntityDto&lt;long?&gt;	
	{
		public virtual string SupplierCode { get; set; }
		public virtual DateTime? MonthStk { get; set; }
		public virtual decimal? MinStk1 { get; set; }
		public virtual decimal? MinStk2 { get; set; }
		public virtual decimal? MinStk3 { get; set; }
		public virtual decimal? MinStk4 { get; set; }
		public virtual decimal? MinStk5 { get; set; }
		public virtual decimal? MinStk6 { get; set; }
		public virtual decimal? MinStk7 { get; set; }
		public virtual decimal? MinStk8 { get; set; }
		public virtual decimal? MinStk9 { get; set; }
		public virtual decimal? MinStk10 { get; set; }
		public virtual decimal? MinStk11 { get; set; }
		public virtual decimal? MinStk12 { get; set; }
		public virtual decimal? MinStk13 { get; set; }
		public virtual decimal? MinStk14 { get; set; }
		public virtual decimal? MinStk15 { get; set; }
		public virtual decimal? MaxStk1 { get; set; }
		public virtual decimal? MaxStk2 { get; set; }
		public virtual decimal? MaxStk3 { get; set; }
		public virtual decimal? MaxStk4 { get; set; }
		public virtual decimal? MaxStk5 { get; set; }
		public virtual decimal? MinStkConcept { get; set; }
		public virtual decimal? MaxStkConcept { get; set; }
		public virtual string StkConcept { get; set; }
		public virtual int? StkConceptFrq { get; set; }
		public virtual string IsActive { get; set; }
	}
	public class CreateOrEditInvGpsStockConceptDto : EntityDto&lt;long?&gt;	
	{
		[StringLength(InvGpsStockConceptConsts.MaxSupplierCodeLength)]
		public virtual string SupplierCode { get; set; }
		public virtual DateTime? MonthStk { get; set; }
		public virtual decimal? MinStk1 { get; set; }
		public virtual decimal? MinStk2 { get; set; }
		public virtual decimal? MinStk3 { get; set; }
		public virtual decimal? MinStk4 { get; set; }
		public virtual decimal? MinStk5 { get; set; }
		public virtual decimal? MinStk6 { get; set; }
		public virtual decimal? MinStk7 { get; set; }
		public virtual decimal? MinStk8 { get; set; }
		public virtual decimal? MinStk9 { get; set; }
		public virtual decimal? MinStk10 { get; set; }
		public virtual decimal? MinStk11 { get; set; }
		public virtual decimal? MinStk12 { get; set; }
		public virtual decimal? MinStk13 { get; set; }
		public virtual decimal? MinStk14 { get; set; }
		public virtual decimal? MinStk15 { get; set; }
		public virtual decimal? MaxStk1 { get; set; }
		public virtual decimal? MaxStk2 { get; set; }
		public virtual decimal? MaxStk3 { get; set; }
		public virtual decimal? MaxStk4 { get; set; }
		public virtual decimal? MaxStk5 { get; set; }
		public virtual decimal? MinStkConcept { get; set; }
		public virtual decimal? MaxStkConcept { get; set; }
		[StringLength(InvGpsStockConceptConsts.MaxStkConceptLength)]
		public virtual string StkConcept { get; set; }
		public virtual int? StkConceptFrq { get; set; }
		[StringLength(InvGpsStockConceptConsts.MaxIsActiveLength)]
		public virtual string IsActive { get; set; }
	}
	public class GetInvGpsStockConceptInput : PagedAndSortedResultRequestDto	
	{
		public virtual string SupplierCode { get; set; }
		public virtual string StkConcept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perInvGpsStockConcept = PARENTS.CreateChildPermission(AppPermissions.Pages_Inventory_GPS_InvGpsStockConcept, L( "InventoryGPSInvGpsStockConcept"), multiTenancySides: MultiTenancySides.Tenant);
		perInvGpsStockConcept.CreateChildPermission(AppPermissions.Pages_Inventory_GPS_InvGpsStockConcept_CreateEdit, L( "InventoryGPSInvGpsStockConceptCreateEdit"), multiTenancySides: MultiTenancySides.Tenant);
		perInvGpsStockConcept.CreateChildPermission(AppPermissions.Pages_Inventory_GPS_InvGpsStockConcept_Delete, L( "InventoryGPSInvGpsStockConceptDelete"),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Pages_Inventory_GPS_InvGpsStockConcept = "Pages.Inventory.GPS.InvGpsStockConcept";
		public const string Pages_Inventory_GPS_InvGpsStockConcept_CreateEdit = "Pages.Inventory.GPS.InvGpsStockConcept.CreateEdit";
		public const string Pages_Inventory_GPS_InvGpsStockConcept_Delete = "Pages.Inventory.GPS.InvGpsStockConcept.Delete";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vovina.Inventory.GPS.Dto;
namespace prod.Inventory.GPS
{
	public interface IInvGpsStockConceptAppService : IApplicationService
	{
		Task&lt;PagedResultDto&lt;InvGpsStockConceptDto&gt;&gt; GetAll(GetInvGpsStockConceptInput input);
		Task CreateOrEdit(CreateOrEditInvGpsStockConceptDto input);
		Task Delete(EntityDto input);
	}
}
</v>
      </c>
      <c r="Q7" t="str">
        <f ca="1">SUBSTITUTE(SUBSTITUTE(SUBSTITUTE(SUBSTITUTE(SUBSTITUTE(SUBSTITUTE(E1,"MstWptCalendar",$B$3),"&lt;PROPERTIES&gt;",P37),"Calendar",$B$5),"WorkingPattern",$Q$3),"Master",$B$4),"&lt;PARAMS_SEARCH&gt;",$W$37)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vovina.Inventory.GPS.Dto;
using vovina.Inventory.GPS.Exporting;
namespace vovina.Inventory.GPS
{
    [AbpAuthorize(AppPermissions.Pages_Inventory_GPS_InvGpsStockConcept)]
    public class InvGpsStockConceptAppService : vovinaAppServiceBase, IInvGpsStockConceptAppService
    {
        private readonly IDapperRepository&lt;InvGpsStockConcept, long&gt; _dapperRepo;
        private readonly IRepository&lt;InvGpsStockConcept, long&gt; _repo;
        private readonly IInvGpsStockConceptExcelExporter _calendarListExcelExporter;
        public InvGpsStockConceptAppService(IRepository&lt;InvGpsStockConcept,long&gt; repo, 
                                         IDapperRepository&lt;InvGpsStockConcept,long&gt; dapperRepo,
                                        IInvGpsStockConceptExcelExporter calendarListExcelExporter
            )
        {
            _repo = repo;
            _dapperRepo = dapperRepo;
            _calendarListExcelExporter = calendarListExcelExporter;
        }
        [AbpAuthorize(AppPermissions.Pages_Inventory_GPS_InvGpsStockConcept_CreateEdit)]
        public async Task CreateOrEdit(CreateOrEditInvGpsStockConceptDto input)
        {
            if (input.Id == null) await Create(input);
            else await Update(input);
        }
        //CREATE
        private async Task Create(CreateOrEditInvGpsStockConceptDto input)
        {          
            var mainObj = ObjectMapper.Map&lt;InvGpsStockConcept&gt;(input);
            await CurrentUnitOfWork.GetDbContext&lt;vovinaDbContext&gt;().AddAsync(mainObj);
        }
        // EDIT
        private async Task Update(CreateOrEditInvGpsStockConceptDto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[AbpAuthorize(AppPermissions.Pages_Inventory_GPS_InvGpsStockConcept_Delete)]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Task&lt;PagedResultDto&lt;InvGpsStockConceptDto&gt;&gt; GetAll(GetInvGpsStockConceptInput input)
        {
            var filtered = _repo.GetAll()
				.WhereIf(!string.IsNullOrWhiteSpace(input.SupplierCode), e =&gt; e.SupplierCode.Contains(input.SupplierCode))
				.WhereIf(!string.IsNullOrWhiteSpace(input.StkConcept), e =&gt; e.StkConcept.Contains(input.StkConcept))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InvGpsStockConceptDto
                        {
							Id = o.Id,
							SupplierCode = o.SupplierCode,
							MonthStk = o.MonthStk,
							MinStk1 = o.MinStk1,
							MinStk2 = o.MinStk2,
							MinStk3 = o.MinStk3,
							MinStk4 = o.MinStk4,
							MinStk5 = o.MinStk5,
							MinStk6 = o.MinStk6,
							MinStk7 = o.MinStk7,
							MinStk8 = o.MinStk8,
							MinStk9 = o.MinStk9,
							MinStk10 = o.MinStk10,
							MinStk11 = o.MinStk11,
							MinStk12 = o.MinStk12,
							MinStk13 = o.MinStk13,
							MinStk14 = o.MinStk14,
							MinStk15 = o.MinStk15,
							MaxStk1 = o.MaxStk1,
							MaxStk2 = o.MaxStk2,
							MaxStk3 = o.MaxStk3,
							MaxStk4 = o.MaxStk4,
							MaxStk5 = o.MaxStk5,
							MinStkConcept = o.MinStkConcept,
							MaxStkConcept = o.MaxStkConcept,
							StkConcept = o.StkConcept,
							StkConceptFrq = o.StkConceptFrq,
							IsActive = o.IsActive,
                        };
            var totalCount = await filtered.CountAsync();
			var paged = system.PageBy(input);
            return new PagedResultDto&lt;InvGpsStockConceptDto&gt;(
                totalCount,
                 await paged.ToListAsync()
            );
        }
        public async Task&lt;FileDto&gt; GetInvGpsStockConceptToExcel(InvGpsStockConceptExportInput input)
        {
            var query = from o in _repo.GetAll()
                        select new InvGpsStockConceptDto
                        {
							Id = o.Id,
							SupplierCode = o.SupplierCode,
							MonthStk = o.MonthStk,
							MinStk1 = o.MinStk1,
							MinStk2 = o.MinStk2,
							MinStk3 = o.MinStk3,
							MinStk4 = o.MinStk4,
							MinStk5 = o.MinStk5,
							MinStk6 = o.MinStk6,
							MinStk7 = o.MinStk7,
							MinStk8 = o.MinStk8,
							MinStk9 = o.MinStk9,
							MinStk10 = o.MinStk10,
							MinStk11 = o.MinStk11,
							MinStk12 = o.MinStk12,
							MinStk13 = o.MinStk13,
							MinStk14 = o.MinStk14,
							MinStk15 = o.MinStk15,
							MaxStk1 = o.MaxStk1,
							MaxStk2 = o.MaxStk2,
							MaxStk3 = o.MaxStk3,
							MaxStk4 = o.MaxStk4,
							MaxStk5 = o.MaxStk5,
							MinStkConcept = o.MinStkConcept,
							MaxStkConcept = o.MaxStkConcept,
							StkConcept = o.StkConcept,
							StkConceptFrq = o.StkConceptFrq,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_dapperRepo.ExecuteAsync(InvGpsStockConceptConsts.SP_MST_WPT_CALENDAR_GENERATE);
       // }
    }
}</v>
      </c>
      <c r="R7" t="str">
        <f ca="1">SUBSTITUTE(SUBSTITUTE((C1&amp;"namespace "&amp;B6&amp;".Dto"&amp;E3&amp;C3&amp;R3&amp;M37&amp;E3&amp;REPT(CHAR(9),1)&amp;D3&amp;D3),"WorkingPattern",$Q$3),"Master",$B$4)</f>
        <v xml:space="preserve">using Abp.Application.Services.Dto;
using System;
using System.ComponentModel.DataAnnotations;
namespace prod.Inventory.GPS.Dto
{
	public class InvGpsStockConceptExportInput{
		public virtual string SupplierCode { get; set; }
		public virtual DateTime? MonthStk { get; set; }
		public virtual decimal? MinStk1 { get; set; }
		public virtual decimal? MinStk2 { get; set; }
		public virtual decimal? MinStk3 { get; set; }
		public virtual decimal? MinStk4 { get; set; }
		public virtual decimal? MinStk5 { get; set; }
		public virtual decimal? MinStk6 { get; set; }
		public virtual decimal? MinStk7 { get; set; }
		public virtual decimal? MinStk8 { get; set; }
		public virtual decimal? MinStk9 { get; set; }
		public virtual decimal? MinStk10 { get; set; }
		public virtual decimal? MinStk11 { get; set; }
		public virtual decimal? MinStk12 { get; set; }
		public virtual decimal? MinStk13 { get; set; }
		public virtual decimal? MinStk14 { get; set; }
		public virtual decimal? MinStk15 { get; set; }
		public virtual decimal? MaxStk1 { get; set; }
		public virtual decimal? MaxStk2 { get; set; }
		public virtual decimal? MaxStk3 { get; set; }
		public virtual decimal? MaxStk4 { get; set; }
		public virtual decimal? MaxStk5 { get; set; }
		public virtual decimal? MinStkConcept { get; set; }
		public virtual decimal? MaxStkConcept { get; set; }
		public virtual string StkConcept { get; set; }
		public virtual int? StkConceptFrq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vovina.Inventory.GPS.Dto;
namespace prod.Inventory.GPS.Exporting
{
	public interface IInvGpsStockConceptExcelExporter : IApplicationService
	{
		FileDto ExportToFile(List&lt;InvGpsStockConceptDto&gt; invgpsstockconcept);
	}
}
</v>
      </c>
      <c r="T7" s="26" t="str">
        <f ca="1">SUBSTITUTE(SUBSTITUTE(SUBSTITUTE(SUBSTITUTE(SUBSTITUTE(SUBSTITUTE(SUBSTITUTE(T1,"MstWptCalendar",$B$3),"&lt;PROPERTIES1&gt;",V37),"&lt;PROPERTIES&gt;",T37),"Calendar",$B$5),"calendar",LOWER(B5)),"WorkingPattern",$Q$3),"Master",$B$4)</f>
        <v>using System.Collections.Generic;
using vovina.DataExporting.Excel.NPOI;
using vovina.Dto;
using vovina.Inventory.GPS.Exporting;
using vovina.Inventory.GPS.Dto;
using vovina.Storage;
using vovina.Inventory.GPS.Dto;
namespace vovina.Inventory.GPS.Exporting
{
    public class InvGpsStockConceptExcelExporter : NpoiExcelExporterBase, IInvGpsStockConceptExcelExporter
    {
        public InvGpsStockConceptExcelExporter(ITempFileCacheManager tempFileCacheManager) : base(tempFileCacheManager) { }
        public FileDto ExportToFile(List&lt;InvGpsStockConceptDto&gt; invgpsstockconcept)
        {
            return CreateExcelPackage(
				"InventoryGPSInvGpsStockConcept.xlsx",
				excelPackage =&gt;
				 {
					var sheet = excelPackage.CreateSheet("InvGpsStockConcept");
					AddHeader(
								sheet,
								("SupplierCode"),
								("MonthStk"),
								("MinStk1"),
								("MinStk2"),
								("MinStk3"),
								("MinStk4"),
								("MinStk5"),
								("MinStk6"),
								("MinStk7"),
								("MinStk8"),
								("MinStk9"),
								("MinStk10"),
								("MinStk11"),
								("MinStk12"),
								("MinStk13"),
								("MinStk14"),
								("MinStk15"),
								("MaxStk1"),
								("MaxStk2"),
								("MaxStk3"),
								("MaxStk4"),
								("MaxStk5"),
								("MinStkConcept"),
								("MaxStkConcept"),
								("StkConcept"),
								("StkConceptFrq"),
								("IsActive"),
							   );
					AddObjects(
						 sheet, 1, invgpsstockconcept,                                       
								_ =&gt; _.SupplierCode,
								_ =&gt; _.MonthStk,
								_ =&gt; _.MinStk1,
								_ =&gt; _.MinStk2,
								_ =&gt; _.MinStk3,
								_ =&gt; _.MinStk4,
								_ =&gt; _.MinStk5,
								_ =&gt; _.MinStk6,
								_ =&gt; _.MinStk7,
								_ =&gt; _.MinStk8,
								_ =&gt; _.MinStk9,
								_ =&gt; _.MinStk10,
								_ =&gt; _.MinStk11,
								_ =&gt; _.MinStk12,
								_ =&gt; _.MinStk13,
								_ =&gt; _.MinStk14,
								_ =&gt; _.MinStk15,
								_ =&gt; _.MaxStk1,
								_ =&gt; _.MaxStk2,
								_ =&gt; _.MaxStk3,
								_ =&gt; _.MaxStk4,
								_ =&gt; _.MaxStk5,
								_ =&gt; _.MinStkConcept,
								_ =&gt; _.MaxStkConcept,
								_ =&gt; _.StkConcept,
								_ =&gt; _.StkConceptFrq,
								_ =&gt; _.IsActive,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configuration.CreateMap&lt;InvGpsStockConceptDto, InvGpsStockConcept&gt;();
  configuration.CreateMap&lt;InvGpsStockConcept, InvGpsStockConceptDto&gt;();
  configuration.CreateMap&lt;CreateOrEditInvGpsStockConceptDto, InvGpsStockConcept&gt;();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34</v>
      </c>
      <c r="F8" s="2" t="s">
        <v>55</v>
      </c>
      <c r="G8" s="2" t="s">
        <v>9</v>
      </c>
      <c r="H8" s="2" t="s">
        <v>15</v>
      </c>
      <c r="I8" s="2" t="s">
        <v>46</v>
      </c>
      <c r="J8" s="2" t="s">
        <v>35</v>
      </c>
      <c r="K8" s="2" t="s">
        <v>43</v>
      </c>
      <c r="L8" s="2" t="s">
        <v>44</v>
      </c>
      <c r="M8" s="2" t="s">
        <v>59</v>
      </c>
      <c r="N8" s="2" t="s">
        <v>54</v>
      </c>
      <c r="O8" s="2" t="s">
        <v>60</v>
      </c>
      <c r="P8" s="18" t="s">
        <v>80</v>
      </c>
      <c r="W8" s="3"/>
    </row>
    <row r="9" spans="1:23" customFormat="1" ht="18.75" customHeight="1" x14ac:dyDescent="0.25">
      <c r="A9" s="28" t="s">
        <v>358</v>
      </c>
      <c r="B9" s="28" t="s">
        <v>359</v>
      </c>
      <c r="C9" t="s">
        <v>1</v>
      </c>
      <c r="D9" t="str">
        <f t="shared" ref="D9:D13" si="0">SUBSTITUTE(PROPER(A9),"_","")</f>
        <v>SupplierCode</v>
      </c>
      <c r="E9" t="str">
        <f t="shared" ref="E9:E13" si="1">IFERROR(LEFT(B9, FIND("(",B9)-1),B9)</f>
        <v>varchar</v>
      </c>
      <c r="F9" s="6"/>
      <c r="G9" t="str">
        <f t="shared" ref="G9:G13" si="2">IFERROR(MID(B9,FIND("(",B9) +1, FIND(")",B9) - FIND("(",B9) - 1),"")</f>
        <v>10</v>
      </c>
      <c r="H9" t="str">
        <f>+VLOOKUP(E9,'Data Type Mapping'!A:B,2,)</f>
        <v>string</v>
      </c>
      <c r="I9" t="str">
        <f t="shared" ref="I9:I13" si="3">IF(H9="string",REPT(CHAR(9),2)&amp;"public const int Max"&amp;D9&amp;"Length = "&amp;G9&amp;";"&amp;$E$3,"" )</f>
        <v xml:space="preserve">		public const int MaxSupplierCodeLength = 10;
</v>
      </c>
      <c r="J9" t="str">
        <f t="shared" ref="J9:J13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[StringLength(MaxSupplierCodeLength)]
		public virtual string SupplierCode { get; set; }
</v>
      </c>
      <c r="K9" s="6" t="s">
        <v>357</v>
      </c>
      <c r="L9" t="str">
        <f t="shared" ref="L9:L13" si="5">IF(K9="","",REPT(CHAR(9),1)&amp;"[Index(nameof("&amp;IF(D9="","",""&amp;D9)&amp;")"&amp;", Name="&amp;"""IX_"&amp;$B$7&amp;"_"&amp;D9&amp;""")]")</f>
        <v xml:space="preserve">	[Index(nameof(SupplierCode), Name="IX_InvGpsStockConcept_SupplierCode")]</v>
      </c>
      <c r="M9" t="str">
        <f t="shared" ref="M9:M13" si="6">REPT(CHAR(9),2)&amp;"public virtual "&amp;IF(OR(H9="DateTime",H9="TimeSpan"),H9&amp;"?",H9)&amp;IF(C9="?","? "," ")&amp;D9&amp;" { get; set; }" &amp; "
"</f>
        <v xml:space="preserve">		public virtual string SupplierCode { get; set; }
</v>
      </c>
      <c r="N9" t="str">
        <f t="shared" ref="N9:N13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[StringLength(InvGpsStockConceptConsts.MaxSupplierCodeLength)]
		public virtual string SupplierCode { get; set; }
</v>
      </c>
      <c r="O9" t="str">
        <f t="shared" ref="O9:O13" si="8">IF(OR(H9="string",H9="DateTime",H9="int"),REPT(CHAR(9),2)&amp;"public virtual "&amp;IF(OR(H9="DateTime",H9="TimeSpan"),H9&amp;"?",H9)&amp;IF(C9="?","? "," ")&amp;D9&amp;" { get; set; }"&amp;$E$3,"")</f>
        <v xml:space="preserve">		public virtual string SupplierCode { get; set; }
</v>
      </c>
      <c r="P9" t="str">
        <f t="shared" ref="P9:P13" si="9">REPT(CHAR(9),7)&amp;D9&amp;" = o." &amp;D9 &amp;","</f>
        <v xml:space="preserve">							SupplierCode = o.SupplierCode,</v>
      </c>
      <c r="T9" s="63" t="str">
        <f t="shared" ref="T9:T13" si="10">REPT(CHAR(9),8)&amp;"("""&amp;D9&amp;"""),"</f>
        <v xml:space="preserve">								("SupplierCode"),</v>
      </c>
      <c r="V9" s="64" t="str">
        <f t="shared" ref="V9:V13" si="11">REPT(CHAR(9),8)&amp;"_ =&gt; _."&amp;D9&amp;","</f>
        <v xml:space="preserve">								_ =&gt; _.SupplierCode,</v>
      </c>
      <c r="W9" s="63" t="str">
        <f t="shared" ref="W9:W13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.WhereIf(!string.IsNullOrWhiteSpace(input.SupplierCode), e =&gt; e.SupplierCode.Contains(input.SupplierCode))</v>
      </c>
    </row>
    <row r="10" spans="1:23" customFormat="1" ht="18.75" customHeight="1" x14ac:dyDescent="0.25">
      <c r="A10" s="28" t="s">
        <v>360</v>
      </c>
      <c r="B10" s="28" t="s">
        <v>2</v>
      </c>
      <c r="C10" t="s">
        <v>1</v>
      </c>
      <c r="D10" t="str">
        <f t="shared" si="0"/>
        <v>MonthStk</v>
      </c>
      <c r="E10" t="str">
        <f t="shared" si="1"/>
        <v>date</v>
      </c>
      <c r="F10" s="6" t="s">
        <v>2</v>
      </c>
      <c r="G10" t="str">
        <f t="shared" si="2"/>
        <v/>
      </c>
      <c r="H10" t="str">
        <f>+VLOOKUP(E10,'Data Type Mapping'!A:B,2,)</f>
        <v>DateTime?</v>
      </c>
      <c r="I10" t="str">
        <f t="shared" si="3"/>
        <v/>
      </c>
      <c r="J10" t="str">
        <f t="shared" si="4"/>
        <v xml:space="preserve">		[Column(TypeName="date")]
		public virtual DateTime? MonthStk { get; set; }
</v>
      </c>
      <c r="K10" s="6" t="s">
        <v>357</v>
      </c>
      <c r="L10" t="str">
        <f t="shared" si="5"/>
        <v xml:space="preserve">	[Index(nameof(MonthStk), Name="IX_InvGpsStockConcept_MonthStk")]</v>
      </c>
      <c r="M10" t="str">
        <f t="shared" si="6"/>
        <v xml:space="preserve">		public virtual DateTime? MonthStk { get; set; }
</v>
      </c>
      <c r="N10" t="str">
        <f t="shared" si="7"/>
        <v xml:space="preserve">		public virtual DateTime? MonthStk { get; set; }
</v>
      </c>
      <c r="O10" t="str">
        <f t="shared" si="8"/>
        <v/>
      </c>
      <c r="P10" t="str">
        <f t="shared" si="9"/>
        <v xml:space="preserve">							MonthStk = o.MonthStk,</v>
      </c>
      <c r="T10" s="63" t="str">
        <f t="shared" si="10"/>
        <v xml:space="preserve">								("MonthStk"),</v>
      </c>
      <c r="V10" s="64" t="str">
        <f t="shared" si="11"/>
        <v xml:space="preserve">								_ =&gt; _.MonthStk,</v>
      </c>
      <c r="W10" s="63" t="str">
        <f t="shared" si="12"/>
        <v/>
      </c>
    </row>
    <row r="11" spans="1:23" customFormat="1" ht="18.75" customHeight="1" x14ac:dyDescent="0.25">
      <c r="A11" s="28" t="s">
        <v>361</v>
      </c>
      <c r="B11" s="28" t="s">
        <v>362</v>
      </c>
      <c r="C11" t="s">
        <v>1</v>
      </c>
      <c r="D11" t="str">
        <f t="shared" si="0"/>
        <v>MinStk1</v>
      </c>
      <c r="E11" t="str">
        <f t="shared" si="1"/>
        <v>decimal</v>
      </c>
      <c r="F11" s="6"/>
      <c r="G11" t="str">
        <f t="shared" si="2"/>
        <v>7, 2</v>
      </c>
      <c r="H11" t="str">
        <f>+VLOOKUP(E11,'Data Type Mapping'!A:B,2,)</f>
        <v>decimal?</v>
      </c>
      <c r="I11" t="str">
        <f t="shared" si="3"/>
        <v/>
      </c>
      <c r="J11" t="str">
        <f t="shared" si="4"/>
        <v xml:space="preserve">		public virtual decimal? MinStk1 { get; set; }
</v>
      </c>
      <c r="K11" s="6"/>
      <c r="L11" t="str">
        <f t="shared" si="5"/>
        <v/>
      </c>
      <c r="M11" t="str">
        <f t="shared" si="6"/>
        <v xml:space="preserve">		public virtual decimal? MinStk1 { get; set; }
</v>
      </c>
      <c r="N11" t="str">
        <f t="shared" si="7"/>
        <v xml:space="preserve">		public virtual decimal? MinStk1 { get; set; }
</v>
      </c>
      <c r="O11" t="str">
        <f t="shared" si="8"/>
        <v/>
      </c>
      <c r="P11" t="str">
        <f t="shared" si="9"/>
        <v xml:space="preserve">							MinStk1 = o.MinStk1,</v>
      </c>
      <c r="T11" s="63" t="str">
        <f t="shared" si="10"/>
        <v xml:space="preserve">								("MinStk1"),</v>
      </c>
      <c r="V11" s="64" t="str">
        <f t="shared" si="11"/>
        <v xml:space="preserve">								_ =&gt; _.MinStk1,</v>
      </c>
      <c r="W11" s="63" t="str">
        <f t="shared" si="12"/>
        <v/>
      </c>
    </row>
    <row r="12" spans="1:23" customFormat="1" ht="18.75" customHeight="1" x14ac:dyDescent="0.25">
      <c r="A12" s="28" t="s">
        <v>363</v>
      </c>
      <c r="B12" s="28" t="s">
        <v>362</v>
      </c>
      <c r="C12" t="s">
        <v>1</v>
      </c>
      <c r="D12" t="str">
        <f t="shared" si="0"/>
        <v>MinStk2</v>
      </c>
      <c r="E12" t="str">
        <f t="shared" si="1"/>
        <v>decimal</v>
      </c>
      <c r="F12" s="6"/>
      <c r="G12" t="str">
        <f t="shared" si="2"/>
        <v>7, 2</v>
      </c>
      <c r="H12" t="str">
        <f>+VLOOKUP(E12,'Data Type Mapping'!A:B,2,)</f>
        <v>decimal?</v>
      </c>
      <c r="I12" t="str">
        <f t="shared" si="3"/>
        <v/>
      </c>
      <c r="J12" t="str">
        <f t="shared" si="4"/>
        <v xml:space="preserve">		public virtual decimal? MinStk2 { get; set; }
</v>
      </c>
      <c r="K12" s="6"/>
      <c r="L12" t="str">
        <f t="shared" si="5"/>
        <v/>
      </c>
      <c r="M12" t="str">
        <f t="shared" si="6"/>
        <v xml:space="preserve">		public virtual decimal? MinStk2 { get; set; }
</v>
      </c>
      <c r="N12" t="str">
        <f t="shared" si="7"/>
        <v xml:space="preserve">		public virtual decimal? MinStk2 { get; set; }
</v>
      </c>
      <c r="O12" t="str">
        <f t="shared" si="8"/>
        <v/>
      </c>
      <c r="P12" t="str">
        <f t="shared" si="9"/>
        <v xml:space="preserve">							MinStk2 = o.MinStk2,</v>
      </c>
      <c r="T12" s="63" t="str">
        <f t="shared" si="10"/>
        <v xml:space="preserve">								("MinStk2"),</v>
      </c>
      <c r="V12" s="64" t="str">
        <f t="shared" si="11"/>
        <v xml:space="preserve">								_ =&gt; _.MinStk2,</v>
      </c>
      <c r="W12" s="63" t="str">
        <f t="shared" si="12"/>
        <v/>
      </c>
    </row>
    <row r="13" spans="1:23" customFormat="1" ht="18.75" customHeight="1" x14ac:dyDescent="0.25">
      <c r="A13" s="28" t="s">
        <v>364</v>
      </c>
      <c r="B13" s="28" t="s">
        <v>362</v>
      </c>
      <c r="C13" t="s">
        <v>1</v>
      </c>
      <c r="D13" t="str">
        <f t="shared" si="0"/>
        <v>MinStk3</v>
      </c>
      <c r="E13" t="str">
        <f t="shared" si="1"/>
        <v>decimal</v>
      </c>
      <c r="F13" s="6"/>
      <c r="G13" t="str">
        <f t="shared" si="2"/>
        <v>7, 2</v>
      </c>
      <c r="H13" t="str">
        <f>+VLOOKUP(E13,'Data Type Mapping'!A:B,2,)</f>
        <v>decimal?</v>
      </c>
      <c r="I13" t="str">
        <f t="shared" si="3"/>
        <v/>
      </c>
      <c r="J13" t="str">
        <f t="shared" si="4"/>
        <v xml:space="preserve">		public virtual decimal? MinStk3 { get; set; }
</v>
      </c>
      <c r="K13" s="6"/>
      <c r="L13" t="str">
        <f t="shared" si="5"/>
        <v/>
      </c>
      <c r="M13" t="str">
        <f t="shared" si="6"/>
        <v xml:space="preserve">		public virtual decimal? MinStk3 { get; set; }
</v>
      </c>
      <c r="N13" t="str">
        <f t="shared" si="7"/>
        <v xml:space="preserve">		public virtual decimal? MinStk3 { get; set; }
</v>
      </c>
      <c r="O13" t="str">
        <f t="shared" si="8"/>
        <v/>
      </c>
      <c r="P13" t="str">
        <f t="shared" si="9"/>
        <v xml:space="preserve">							MinStk3 = o.MinStk3,</v>
      </c>
      <c r="T13" s="63" t="str">
        <f t="shared" si="10"/>
        <v xml:space="preserve">								("MinStk3"),</v>
      </c>
      <c r="V13" s="64" t="str">
        <f t="shared" si="11"/>
        <v xml:space="preserve">								_ =&gt; _.MinStk3,</v>
      </c>
      <c r="W13" s="63" t="str">
        <f t="shared" si="12"/>
        <v/>
      </c>
    </row>
    <row r="14" spans="1:23" customFormat="1" ht="18.75" customHeight="1" x14ac:dyDescent="0.25">
      <c r="A14" s="28" t="s">
        <v>365</v>
      </c>
      <c r="B14" s="28" t="s">
        <v>362</v>
      </c>
      <c r="C14" t="s">
        <v>1</v>
      </c>
      <c r="D14" t="str">
        <f t="shared" ref="D14:D15" si="13">SUBSTITUTE(PROPER(A14),"_","")</f>
        <v>MinStk4</v>
      </c>
      <c r="E14" t="str">
        <f t="shared" ref="E14:E15" si="14">IFERROR(LEFT(B14, FIND("(",B14)-1),B14)</f>
        <v>decimal</v>
      </c>
      <c r="F14" s="6"/>
      <c r="G14" t="str">
        <f t="shared" ref="G14:G15" si="15">IFERROR(MID(B14,FIND("(",B14) +1, FIND(")",B14) - FIND("(",B14) - 1),"")</f>
        <v>7, 2</v>
      </c>
      <c r="H14" t="str">
        <f>+VLOOKUP(E14,'Data Type Mapping'!A:B,2,)</f>
        <v>decimal?</v>
      </c>
      <c r="I14" t="str">
        <f t="shared" ref="I14:I15" si="16">IF(H14="string",REPT(CHAR(9),2)&amp;"public const int Max"&amp;D14&amp;"Length = "&amp;G14&amp;";"&amp;$E$3,"" )</f>
        <v/>
      </c>
      <c r="J14" t="str">
        <f t="shared" ref="J14:J15" si="17">IF(F14="","",REPT(CHAR(9),2)&amp;"[Column(TypeName="""&amp;F14&amp;""")]"&amp;$E$3)&amp;IF(C14="Checked","",$I$3)&amp;IF(H14="string",REPT(CHAR(9),2)&amp;"[StringLength(Max"&amp;D14&amp;"Length"&amp;")]"&amp;$E$3,"")&amp;REPT(CHAR(9),2)&amp;"public virtual "&amp;H14&amp;IF(C14="?","? "," ")&amp;D14&amp;" { get; set; }" &amp; "
"</f>
        <v xml:space="preserve">		public virtual decimal? MinStk4 { get; set; }
</v>
      </c>
      <c r="K14" s="6"/>
      <c r="L14" t="str">
        <f t="shared" ref="L14:L15" si="18">IF(K14="","",REPT(CHAR(9),1)&amp;"[Index(nameof("&amp;IF(D14="","",""&amp;D14)&amp;")"&amp;", Name="&amp;"""IX_"&amp;$B$7&amp;"_"&amp;D14&amp;""")]")</f>
        <v/>
      </c>
      <c r="M14" t="str">
        <f t="shared" ref="M14:M15" si="19">REPT(CHAR(9),2)&amp;"public virtual "&amp;IF(OR(H14="DateTime",H14="TimeSpan"),H14&amp;"?",H14)&amp;IF(C14="?","? "," ")&amp;D14&amp;" { get; set; }" &amp; "
"</f>
        <v xml:space="preserve">		public virtual decimal? MinStk4 { get; set; }
</v>
      </c>
      <c r="N14" t="str">
        <f t="shared" ref="N14:N15" si="20">IF(C14="Checked","",$I$3)&amp;IF(H14="string",REPT(CHAR(9),2)&amp;"[StringLength("&amp;$B$3&amp;"Consts.Max"&amp;D14&amp;"Length"&amp;")]"&amp;$E$3,"")&amp;REPT(CHAR(9),2)&amp;"public virtual "&amp;IF(OR(H14="DateTime",H14="TimeSpan"),H14&amp;"?",H14)&amp;IF(C14="?","? "," ")&amp;D14&amp;" { get; set; }" &amp; "
"</f>
        <v xml:space="preserve">		public virtual decimal? MinStk4 { get; set; }
</v>
      </c>
      <c r="O14" t="str">
        <f t="shared" ref="O14:O15" si="21">IF(OR(H14="string",H14="DateTime",H14="int"),REPT(CHAR(9),2)&amp;"public virtual "&amp;IF(OR(H14="DateTime",H14="TimeSpan"),H14&amp;"?",H14)&amp;IF(C14="?","? "," ")&amp;D14&amp;" { get; set; }"&amp;$E$3,"")</f>
        <v/>
      </c>
      <c r="P14" t="str">
        <f t="shared" ref="P14:P15" si="22">REPT(CHAR(9),7)&amp;D14&amp;" = o." &amp;D14 &amp;","</f>
        <v xml:space="preserve">							MinStk4 = o.MinStk4,</v>
      </c>
      <c r="T14" s="63" t="str">
        <f t="shared" ref="T14:T15" si="23">REPT(CHAR(9),8)&amp;"("""&amp;D14&amp;"""),"</f>
        <v xml:space="preserve">								("MinStk4"),</v>
      </c>
      <c r="V14" s="64" t="str">
        <f t="shared" ref="V14:V15" si="24">REPT(CHAR(9),8)&amp;"_ =&gt; _."&amp;D14&amp;","</f>
        <v xml:space="preserve">								_ =&gt; _.MinStk4,</v>
      </c>
      <c r="W14" s="63" t="str">
        <f t="shared" ref="W14:W15" si="25">IF(H14="string",REPT(CHAR(9),4)&amp;".WhereIf(!string.IsNullOrWhiteSpace(input."&amp;D14&amp;"), e =&gt; e."&amp;D14&amp;".Contains(input."&amp;D14&amp;"))",IF(H14="DateTime",REPT(CHAR(9),4)&amp;".WhereIf(input."&amp;D14&amp;".HasValue, t =&gt; t."&amp;D14&amp;" == input."&amp;D14&amp;".Value)",""))</f>
        <v/>
      </c>
    </row>
    <row r="15" spans="1:23" customFormat="1" ht="18.75" customHeight="1" x14ac:dyDescent="0.25">
      <c r="A15" s="28" t="s">
        <v>366</v>
      </c>
      <c r="B15" s="28" t="s">
        <v>362</v>
      </c>
      <c r="C15" t="s">
        <v>1</v>
      </c>
      <c r="D15" t="str">
        <f t="shared" si="13"/>
        <v>MinStk5</v>
      </c>
      <c r="E15" t="str">
        <f t="shared" si="14"/>
        <v>decimal</v>
      </c>
      <c r="F15" s="6"/>
      <c r="G15" t="str">
        <f t="shared" si="15"/>
        <v>7, 2</v>
      </c>
      <c r="H15" t="str">
        <f>+VLOOKUP(E15,'Data Type Mapping'!A:B,2,)</f>
        <v>decimal?</v>
      </c>
      <c r="I15" t="str">
        <f t="shared" si="16"/>
        <v/>
      </c>
      <c r="J15" t="str">
        <f t="shared" si="17"/>
        <v xml:space="preserve">		public virtual decimal? MinStk5 { get; set; }
</v>
      </c>
      <c r="K15" s="6"/>
      <c r="L15" t="str">
        <f t="shared" si="18"/>
        <v/>
      </c>
      <c r="M15" t="str">
        <f t="shared" si="19"/>
        <v xml:space="preserve">		public virtual decimal? MinStk5 { get; set; }
</v>
      </c>
      <c r="N15" t="str">
        <f t="shared" si="20"/>
        <v xml:space="preserve">		public virtual decimal? MinStk5 { get; set; }
</v>
      </c>
      <c r="O15" t="str">
        <f t="shared" si="21"/>
        <v/>
      </c>
      <c r="P15" t="str">
        <f t="shared" si="22"/>
        <v xml:space="preserve">							MinStk5 = o.MinStk5,</v>
      </c>
      <c r="T15" s="63" t="str">
        <f t="shared" si="23"/>
        <v xml:space="preserve">								("MinStk5"),</v>
      </c>
      <c r="V15" s="64" t="str">
        <f t="shared" si="24"/>
        <v xml:space="preserve">								_ =&gt; _.MinStk5,</v>
      </c>
      <c r="W15" s="63" t="str">
        <f t="shared" si="25"/>
        <v/>
      </c>
    </row>
    <row r="16" spans="1:23" customFormat="1" ht="18.75" customHeight="1" x14ac:dyDescent="0.25">
      <c r="A16" s="28" t="s">
        <v>367</v>
      </c>
      <c r="B16" s="28" t="s">
        <v>362</v>
      </c>
      <c r="C16" t="s">
        <v>1</v>
      </c>
      <c r="D16" t="str">
        <f t="shared" ref="D16" si="26">SUBSTITUTE(PROPER(A16),"_","")</f>
        <v>MinStk6</v>
      </c>
      <c r="E16" t="str">
        <f t="shared" ref="E16" si="27">IFERROR(LEFT(B16, FIND("(",B16)-1),B16)</f>
        <v>decimal</v>
      </c>
      <c r="F16" s="6"/>
      <c r="G16" t="str">
        <f t="shared" ref="G16" si="28">IFERROR(MID(B16,FIND("(",B16) +1, FIND(")",B16) - FIND("(",B16) - 1),"")</f>
        <v>7, 2</v>
      </c>
      <c r="H16" t="str">
        <f>+VLOOKUP(E16,'Data Type Mapping'!A:B,2,)</f>
        <v>decimal?</v>
      </c>
      <c r="I16" t="str">
        <f t="shared" ref="I16" si="29">IF(H16="string",REPT(CHAR(9),2)&amp;"public const int Max"&amp;D16&amp;"Length = "&amp;G16&amp;";"&amp;$E$3,"" )</f>
        <v/>
      </c>
      <c r="J16" t="str">
        <f t="shared" ref="J16" si="30">IF(F16="","",REPT(CHAR(9),2)&amp;"[Column(TypeName="""&amp;F16&amp;""")]"&amp;$E$3)&amp;IF(C16="Checked","",$I$3)&amp;IF(H16="string",REPT(CHAR(9),2)&amp;"[StringLength(Max"&amp;D16&amp;"Length"&amp;")]"&amp;$E$3,"")&amp;REPT(CHAR(9),2)&amp;"public virtual "&amp;H16&amp;IF(C16="?","? "," ")&amp;D16&amp;" { get; set; }" &amp; "
"</f>
        <v xml:space="preserve">		public virtual decimal? MinStk6 { get; set; }
</v>
      </c>
      <c r="K16" s="6"/>
      <c r="L16" t="str">
        <f t="shared" ref="L16" si="31">IF(K16="","",REPT(CHAR(9),1)&amp;"[Index(nameof("&amp;IF(D16="","",""&amp;D16)&amp;")"&amp;", Name="&amp;"""IX_"&amp;$B$7&amp;"_"&amp;D16&amp;""")]")</f>
        <v/>
      </c>
      <c r="M16" t="str">
        <f t="shared" ref="M16" si="32">REPT(CHAR(9),2)&amp;"public virtual "&amp;IF(OR(H16="DateTime",H16="TimeSpan"),H16&amp;"?",H16)&amp;IF(C16="?","? "," ")&amp;D16&amp;" { get; set; }" &amp; "
"</f>
        <v xml:space="preserve">		public virtual decimal? MinStk6 { get; set; }
</v>
      </c>
      <c r="N16" t="str">
        <f t="shared" ref="N16" si="33">IF(C16="Checked","",$I$3)&amp;IF(H16="string",REPT(CHAR(9),2)&amp;"[StringLength("&amp;$B$3&amp;"Consts.Max"&amp;D16&amp;"Length"&amp;")]"&amp;$E$3,"")&amp;REPT(CHAR(9),2)&amp;"public virtual "&amp;IF(OR(H16="DateTime",H16="TimeSpan"),H16&amp;"?",H16)&amp;IF(C16="?","? "," ")&amp;D16&amp;" { get; set; }" &amp; "
"</f>
        <v xml:space="preserve">		public virtual decimal? MinStk6 { get; set; }
</v>
      </c>
      <c r="O16" t="str">
        <f t="shared" ref="O16" si="34">IF(OR(H16="string",H16="DateTime",H16="int"),REPT(CHAR(9),2)&amp;"public virtual "&amp;IF(OR(H16="DateTime",H16="TimeSpan"),H16&amp;"?",H16)&amp;IF(C16="?","? "," ")&amp;D16&amp;" { get; set; }"&amp;$E$3,"")</f>
        <v/>
      </c>
      <c r="P16" t="str">
        <f t="shared" ref="P16" si="35">REPT(CHAR(9),7)&amp;D16&amp;" = o." &amp;D16 &amp;","</f>
        <v xml:space="preserve">							MinStk6 = o.MinStk6,</v>
      </c>
      <c r="T16" s="63" t="str">
        <f t="shared" ref="T16" si="36">REPT(CHAR(9),8)&amp;"("""&amp;D16&amp;"""),"</f>
        <v xml:space="preserve">								("MinStk6"),</v>
      </c>
      <c r="V16" s="64" t="str">
        <f t="shared" ref="V16" si="37">REPT(CHAR(9),8)&amp;"_ =&gt; _."&amp;D16&amp;","</f>
        <v xml:space="preserve">								_ =&gt; _.MinStk6,</v>
      </c>
      <c r="W16" s="63" t="str">
        <f t="shared" ref="W16" si="38">IF(H16="string",REPT(CHAR(9),4)&amp;".WhereIf(!string.IsNullOrWhiteSpace(input."&amp;D16&amp;"), e =&gt; e."&amp;D16&amp;".Contains(input."&amp;D16&amp;"))",IF(H16="DateTime",REPT(CHAR(9),4)&amp;".WhereIf(input."&amp;D16&amp;".HasValue, t =&gt; t."&amp;D16&amp;" == input."&amp;D16&amp;".Value)",""))</f>
        <v/>
      </c>
    </row>
    <row r="17" spans="1:23" customFormat="1" ht="18.75" customHeight="1" x14ac:dyDescent="0.25">
      <c r="A17" s="28" t="s">
        <v>368</v>
      </c>
      <c r="B17" s="28" t="s">
        <v>362</v>
      </c>
      <c r="C17" t="s">
        <v>1</v>
      </c>
      <c r="D17" t="str">
        <f t="shared" ref="D17" si="39">SUBSTITUTE(PROPER(A17),"_","")</f>
        <v>MinStk7</v>
      </c>
      <c r="E17" t="str">
        <f t="shared" ref="E17" si="40">IFERROR(LEFT(B17, FIND("(",B17)-1),B17)</f>
        <v>decimal</v>
      </c>
      <c r="F17" s="6"/>
      <c r="G17" t="str">
        <f t="shared" ref="G17" si="41">IFERROR(MID(B17,FIND("(",B17) +1, FIND(")",B17) - FIND("(",B17) - 1),"")</f>
        <v>7, 2</v>
      </c>
      <c r="H17" t="str">
        <f>+VLOOKUP(E17,'Data Type Mapping'!A:B,2,)</f>
        <v>decimal?</v>
      </c>
      <c r="I17" t="str">
        <f t="shared" ref="I17" si="42">IF(H17="string",REPT(CHAR(9),2)&amp;"public const int Max"&amp;D17&amp;"Length = "&amp;G17&amp;";"&amp;$E$3,"" )</f>
        <v/>
      </c>
      <c r="J17" t="str">
        <f t="shared" ref="J17" si="43">IF(F17="","",REPT(CHAR(9),2)&amp;"[Column(TypeName="""&amp;F17&amp;""")]"&amp;$E$3)&amp;IF(C17="Checked","",$I$3)&amp;IF(H17="string",REPT(CHAR(9),2)&amp;"[StringLength(Max"&amp;D17&amp;"Length"&amp;")]"&amp;$E$3,"")&amp;REPT(CHAR(9),2)&amp;"public virtual "&amp;H17&amp;IF(C17="?","? "," ")&amp;D17&amp;" { get; set; }" &amp; "
"</f>
        <v xml:space="preserve">		public virtual decimal? MinStk7 { get; set; }
</v>
      </c>
      <c r="K17" s="6"/>
      <c r="L17" t="str">
        <f t="shared" ref="L17" si="44">IF(K17="","",REPT(CHAR(9),1)&amp;"[Index(nameof("&amp;IF(D17="","",""&amp;D17)&amp;")"&amp;", Name="&amp;"""IX_"&amp;$B$7&amp;"_"&amp;D17&amp;""")]")</f>
        <v/>
      </c>
      <c r="M17" t="str">
        <f t="shared" ref="M17" si="45">REPT(CHAR(9),2)&amp;"public virtual "&amp;IF(OR(H17="DateTime",H17="TimeSpan"),H17&amp;"?",H17)&amp;IF(C17="?","? "," ")&amp;D17&amp;" { get; set; }" &amp; "
"</f>
        <v xml:space="preserve">		public virtual decimal? MinStk7 { get; set; }
</v>
      </c>
      <c r="N17" t="str">
        <f t="shared" ref="N17" si="46">IF(C17="Checked","",$I$3)&amp;IF(H17="string",REPT(CHAR(9),2)&amp;"[StringLength("&amp;$B$3&amp;"Consts.Max"&amp;D17&amp;"Length"&amp;")]"&amp;$E$3,"")&amp;REPT(CHAR(9),2)&amp;"public virtual "&amp;IF(OR(H17="DateTime",H17="TimeSpan"),H17&amp;"?",H17)&amp;IF(C17="?","? "," ")&amp;D17&amp;" { get; set; }" &amp; "
"</f>
        <v xml:space="preserve">		public virtual decimal? MinStk7 { get; set; }
</v>
      </c>
      <c r="O17" t="str">
        <f t="shared" ref="O17" si="47">IF(OR(H17="string",H17="DateTime",H17="int"),REPT(CHAR(9),2)&amp;"public virtual "&amp;IF(OR(H17="DateTime",H17="TimeSpan"),H17&amp;"?",H17)&amp;IF(C17="?","? "," ")&amp;D17&amp;" { get; set; }"&amp;$E$3,"")</f>
        <v/>
      </c>
      <c r="P17" t="str">
        <f t="shared" ref="P17" si="48">REPT(CHAR(9),7)&amp;D17&amp;" = o." &amp;D17 &amp;","</f>
        <v xml:space="preserve">							MinStk7 = o.MinStk7,</v>
      </c>
      <c r="T17" s="63" t="str">
        <f t="shared" ref="T17" si="49">REPT(CHAR(9),8)&amp;"("""&amp;D17&amp;"""),"</f>
        <v xml:space="preserve">								("MinStk7"),</v>
      </c>
      <c r="V17" s="64" t="str">
        <f t="shared" ref="V17" si="50">REPT(CHAR(9),8)&amp;"_ =&gt; _."&amp;D17&amp;","</f>
        <v xml:space="preserve">								_ =&gt; _.MinStk7,</v>
      </c>
      <c r="W17" s="63" t="str">
        <f t="shared" ref="W17" si="51">IF(H17="string",REPT(CHAR(9),4)&amp;".WhereIf(!string.IsNullOrWhiteSpace(input."&amp;D17&amp;"), e =&gt; e."&amp;D17&amp;".Contains(input."&amp;D17&amp;"))",IF(H17="DateTime",REPT(CHAR(9),4)&amp;".WhereIf(input."&amp;D17&amp;".HasValue, t =&gt; t."&amp;D17&amp;" == input."&amp;D17&amp;".Value)",""))</f>
        <v/>
      </c>
    </row>
    <row r="18" spans="1:23" customFormat="1" ht="18.75" customHeight="1" x14ac:dyDescent="0.25">
      <c r="A18" s="28" t="s">
        <v>369</v>
      </c>
      <c r="B18" s="28" t="s">
        <v>362</v>
      </c>
      <c r="C18" t="s">
        <v>1</v>
      </c>
      <c r="D18" t="str">
        <f t="shared" ref="D18:D19" si="52">SUBSTITUTE(PROPER(A18),"_","")</f>
        <v>MinStk8</v>
      </c>
      <c r="E18" t="str">
        <f t="shared" ref="E18:E19" si="53">IFERROR(LEFT(B18, FIND("(",B18)-1),B18)</f>
        <v>decimal</v>
      </c>
      <c r="F18" s="6"/>
      <c r="G18" t="str">
        <f t="shared" ref="G18:G19" si="54">IFERROR(MID(B18,FIND("(",B18) +1, FIND(")",B18) - FIND("(",B18) - 1),"")</f>
        <v>7, 2</v>
      </c>
      <c r="H18" t="str">
        <f>+VLOOKUP(E18,'Data Type Mapping'!A:B,2,)</f>
        <v>decimal?</v>
      </c>
      <c r="I18" t="str">
        <f t="shared" ref="I18:I19" si="55">IF(H18="string",REPT(CHAR(9),2)&amp;"public const int Max"&amp;D18&amp;"Length = "&amp;G18&amp;";"&amp;$E$3,"" )</f>
        <v/>
      </c>
      <c r="J18" t="str">
        <f t="shared" ref="J18:J19" si="56">IF(F18="","",REPT(CHAR(9),2)&amp;"[Column(TypeName="""&amp;F18&amp;""")]"&amp;$E$3)&amp;IF(C18="Checked","",$I$3)&amp;IF(H18="string",REPT(CHAR(9),2)&amp;"[StringLength(Max"&amp;D18&amp;"Length"&amp;")]"&amp;$E$3,"")&amp;REPT(CHAR(9),2)&amp;"public virtual "&amp;H18&amp;IF(C18="?","? "," ")&amp;D18&amp;" { get; set; }" &amp; "
"</f>
        <v xml:space="preserve">		public virtual decimal? MinStk8 { get; set; }
</v>
      </c>
      <c r="K18" s="6"/>
      <c r="L18" t="str">
        <f t="shared" ref="L18:L19" si="57">IF(K18="","",REPT(CHAR(9),1)&amp;"[Index(nameof("&amp;IF(D18="","",""&amp;D18)&amp;")"&amp;", Name="&amp;"""IX_"&amp;$B$7&amp;"_"&amp;D18&amp;""")]")</f>
        <v/>
      </c>
      <c r="M18" t="str">
        <f t="shared" ref="M18:M19" si="58">REPT(CHAR(9),2)&amp;"public virtual "&amp;IF(OR(H18="DateTime",H18="TimeSpan"),H18&amp;"?",H18)&amp;IF(C18="?","? "," ")&amp;D18&amp;" { get; set; }" &amp; "
"</f>
        <v xml:space="preserve">		public virtual decimal? MinStk8 { get; set; }
</v>
      </c>
      <c r="N18" t="str">
        <f t="shared" ref="N18:N19" si="59">IF(C18="Checked","",$I$3)&amp;IF(H18="string",REPT(CHAR(9),2)&amp;"[StringLength("&amp;$B$3&amp;"Consts.Max"&amp;D18&amp;"Length"&amp;")]"&amp;$E$3,"")&amp;REPT(CHAR(9),2)&amp;"public virtual "&amp;IF(OR(H18="DateTime",H18="TimeSpan"),H18&amp;"?",H18)&amp;IF(C18="?","? "," ")&amp;D18&amp;" { get; set; }" &amp; "
"</f>
        <v xml:space="preserve">		public virtual decimal? MinStk8 { get; set; }
</v>
      </c>
      <c r="O18" t="str">
        <f t="shared" ref="O18:O19" si="60">IF(OR(H18="string",H18="DateTime",H18="int"),REPT(CHAR(9),2)&amp;"public virtual "&amp;IF(OR(H18="DateTime",H18="TimeSpan"),H18&amp;"?",H18)&amp;IF(C18="?","? "," ")&amp;D18&amp;" { get; set; }"&amp;$E$3,"")</f>
        <v/>
      </c>
      <c r="P18" t="str">
        <f t="shared" ref="P18:P19" si="61">REPT(CHAR(9),7)&amp;D18&amp;" = o." &amp;D18 &amp;","</f>
        <v xml:space="preserve">							MinStk8 = o.MinStk8,</v>
      </c>
      <c r="T18" s="63" t="str">
        <f t="shared" ref="T18:T19" si="62">REPT(CHAR(9),8)&amp;"("""&amp;D18&amp;"""),"</f>
        <v xml:space="preserve">								("MinStk8"),</v>
      </c>
      <c r="V18" s="64" t="str">
        <f t="shared" ref="V18:V19" si="63">REPT(CHAR(9),8)&amp;"_ =&gt; _."&amp;D18&amp;","</f>
        <v xml:space="preserve">								_ =&gt; _.MinStk8,</v>
      </c>
      <c r="W18" s="63" t="str">
        <f t="shared" ref="W18:W19" si="64">IF(H18="string",REPT(CHAR(9),4)&amp;".WhereIf(!string.IsNullOrWhiteSpace(input."&amp;D18&amp;"), e =&gt; e."&amp;D18&amp;".Contains(input."&amp;D18&amp;"))",IF(H18="DateTime",REPT(CHAR(9),4)&amp;".WhereIf(input."&amp;D18&amp;".HasValue, t =&gt; t."&amp;D18&amp;" == input."&amp;D18&amp;".Value)",""))</f>
        <v/>
      </c>
    </row>
    <row r="19" spans="1:23" customFormat="1" ht="18.75" customHeight="1" x14ac:dyDescent="0.25">
      <c r="A19" s="28" t="s">
        <v>370</v>
      </c>
      <c r="B19" s="28" t="s">
        <v>362</v>
      </c>
      <c r="C19" t="s">
        <v>1</v>
      </c>
      <c r="D19" t="str">
        <f t="shared" si="52"/>
        <v>MinStk9</v>
      </c>
      <c r="E19" t="str">
        <f t="shared" si="53"/>
        <v>decimal</v>
      </c>
      <c r="F19" s="6"/>
      <c r="G19" t="str">
        <f t="shared" si="54"/>
        <v>7, 2</v>
      </c>
      <c r="H19" t="str">
        <f>+VLOOKUP(E19,'Data Type Mapping'!A:B,2,)</f>
        <v>decimal?</v>
      </c>
      <c r="I19" t="str">
        <f t="shared" si="55"/>
        <v/>
      </c>
      <c r="J19" t="str">
        <f t="shared" si="56"/>
        <v xml:space="preserve">		public virtual decimal? MinStk9 { get; set; }
</v>
      </c>
      <c r="K19" s="6"/>
      <c r="L19" t="str">
        <f t="shared" si="57"/>
        <v/>
      </c>
      <c r="M19" t="str">
        <f t="shared" si="58"/>
        <v xml:space="preserve">		public virtual decimal? MinStk9 { get; set; }
</v>
      </c>
      <c r="N19" t="str">
        <f t="shared" si="59"/>
        <v xml:space="preserve">		public virtual decimal? MinStk9 { get; set; }
</v>
      </c>
      <c r="O19" t="str">
        <f t="shared" si="60"/>
        <v/>
      </c>
      <c r="P19" t="str">
        <f t="shared" si="61"/>
        <v xml:space="preserve">							MinStk9 = o.MinStk9,</v>
      </c>
      <c r="T19" s="63" t="str">
        <f t="shared" si="62"/>
        <v xml:space="preserve">								("MinStk9"),</v>
      </c>
      <c r="V19" s="64" t="str">
        <f t="shared" si="63"/>
        <v xml:space="preserve">								_ =&gt; _.MinStk9,</v>
      </c>
      <c r="W19" s="63" t="str">
        <f t="shared" si="64"/>
        <v/>
      </c>
    </row>
    <row r="20" spans="1:23" customFormat="1" ht="18.75" customHeight="1" x14ac:dyDescent="0.25">
      <c r="A20" s="28" t="s">
        <v>371</v>
      </c>
      <c r="B20" s="28" t="s">
        <v>362</v>
      </c>
      <c r="C20" t="s">
        <v>1</v>
      </c>
      <c r="D20" t="str">
        <f t="shared" ref="D20" si="65">SUBSTITUTE(PROPER(A20),"_","")</f>
        <v>MinStk10</v>
      </c>
      <c r="E20" t="str">
        <f t="shared" ref="E20" si="66">IFERROR(LEFT(B20, FIND("(",B20)-1),B20)</f>
        <v>decimal</v>
      </c>
      <c r="F20" s="6"/>
      <c r="G20" t="str">
        <f t="shared" ref="G20" si="67">IFERROR(MID(B20,FIND("(",B20) +1, FIND(")",B20) - FIND("(",B20) - 1),"")</f>
        <v>7, 2</v>
      </c>
      <c r="H20" t="str">
        <f>+VLOOKUP(E20,'Data Type Mapping'!A:B,2,)</f>
        <v>decimal?</v>
      </c>
      <c r="I20" t="str">
        <f t="shared" ref="I20" si="68">IF(H20="string",REPT(CHAR(9),2)&amp;"public const int Max"&amp;D20&amp;"Length = "&amp;G20&amp;";"&amp;$E$3,"" )</f>
        <v/>
      </c>
      <c r="J20" t="str">
        <f t="shared" ref="J20" si="69">IF(F20="","",REPT(CHAR(9),2)&amp;"[Column(TypeName="""&amp;F20&amp;""")]"&amp;$E$3)&amp;IF(C20="Checked","",$I$3)&amp;IF(H20="string",REPT(CHAR(9),2)&amp;"[StringLength(Max"&amp;D20&amp;"Length"&amp;")]"&amp;$E$3,"")&amp;REPT(CHAR(9),2)&amp;"public virtual "&amp;H20&amp;IF(C20="?","? "," ")&amp;D20&amp;" { get; set; }" &amp; "
"</f>
        <v xml:space="preserve">		public virtual decimal? MinStk10 { get; set; }
</v>
      </c>
      <c r="K20" s="6"/>
      <c r="L20" t="str">
        <f t="shared" ref="L20" si="70">IF(K20="","",REPT(CHAR(9),1)&amp;"[Index(nameof("&amp;IF(D20="","",""&amp;D20)&amp;")"&amp;", Name="&amp;"""IX_"&amp;$B$7&amp;"_"&amp;D20&amp;""")]")</f>
        <v/>
      </c>
      <c r="M20" t="str">
        <f t="shared" ref="M20" si="71">REPT(CHAR(9),2)&amp;"public virtual "&amp;IF(OR(H20="DateTime",H20="TimeSpan"),H20&amp;"?",H20)&amp;IF(C20="?","? "," ")&amp;D20&amp;" { get; set; }" &amp; "
"</f>
        <v xml:space="preserve">		public virtual decimal? MinStk10 { get; set; }
</v>
      </c>
      <c r="N20" t="str">
        <f t="shared" ref="N20" si="72">IF(C20="Checked","",$I$3)&amp;IF(H20="string",REPT(CHAR(9),2)&amp;"[StringLength("&amp;$B$3&amp;"Consts.Max"&amp;D20&amp;"Length"&amp;")]"&amp;$E$3,"")&amp;REPT(CHAR(9),2)&amp;"public virtual "&amp;IF(OR(H20="DateTime",H20="TimeSpan"),H20&amp;"?",H20)&amp;IF(C20="?","? "," ")&amp;D20&amp;" { get; set; }" &amp; "
"</f>
        <v xml:space="preserve">		public virtual decimal? MinStk10 { get; set; }
</v>
      </c>
      <c r="O20" t="str">
        <f t="shared" ref="O20" si="73">IF(OR(H20="string",H20="DateTime",H20="int"),REPT(CHAR(9),2)&amp;"public virtual "&amp;IF(OR(H20="DateTime",H20="TimeSpan"),H20&amp;"?",H20)&amp;IF(C20="?","? "," ")&amp;D20&amp;" { get; set; }"&amp;$E$3,"")</f>
        <v/>
      </c>
      <c r="P20" t="str">
        <f t="shared" ref="P20" si="74">REPT(CHAR(9),7)&amp;D20&amp;" = o." &amp;D20 &amp;","</f>
        <v xml:space="preserve">							MinStk10 = o.MinStk10,</v>
      </c>
      <c r="T20" s="63" t="str">
        <f t="shared" ref="T20" si="75">REPT(CHAR(9),8)&amp;"("""&amp;D20&amp;"""),"</f>
        <v xml:space="preserve">								("MinStk10"),</v>
      </c>
      <c r="V20" s="64" t="str">
        <f t="shared" ref="V20" si="76">REPT(CHAR(9),8)&amp;"_ =&gt; _."&amp;D20&amp;","</f>
        <v xml:space="preserve">								_ =&gt; _.MinStk10,</v>
      </c>
      <c r="W20" s="63" t="str">
        <f t="shared" ref="W20" si="77">IF(H20="string",REPT(CHAR(9),4)&amp;".WhereIf(!string.IsNullOrWhiteSpace(input."&amp;D20&amp;"), e =&gt; e."&amp;D20&amp;".Contains(input."&amp;D20&amp;"))",IF(H20="DateTime",REPT(CHAR(9),4)&amp;".WhereIf(input."&amp;D20&amp;".HasValue, t =&gt; t."&amp;D20&amp;" == input."&amp;D20&amp;".Value)",""))</f>
        <v/>
      </c>
    </row>
    <row r="21" spans="1:23" customFormat="1" ht="18.75" customHeight="1" x14ac:dyDescent="0.25">
      <c r="A21" s="28" t="s">
        <v>372</v>
      </c>
      <c r="B21" s="28" t="s">
        <v>362</v>
      </c>
      <c r="C21" t="s">
        <v>1</v>
      </c>
      <c r="D21" t="str">
        <f t="shared" ref="D21:D31" si="78">SUBSTITUTE(PROPER(A21),"_","")</f>
        <v>MinStk11</v>
      </c>
      <c r="E21" t="str">
        <f t="shared" ref="E21:E31" si="79">IFERROR(LEFT(B21, FIND("(",B21)-1),B21)</f>
        <v>decimal</v>
      </c>
      <c r="F21" s="6"/>
      <c r="G21" t="str">
        <f t="shared" ref="G21:G31" si="80">IFERROR(MID(B21,FIND("(",B21) +1, FIND(")",B21) - FIND("(",B21) - 1),"")</f>
        <v>7, 2</v>
      </c>
      <c r="H21" t="str">
        <f>+VLOOKUP(E21,'Data Type Mapping'!A:B,2,)</f>
        <v>decimal?</v>
      </c>
      <c r="I21" t="str">
        <f t="shared" ref="I21:I31" si="81">IF(H21="string",REPT(CHAR(9),2)&amp;"public const int Max"&amp;D21&amp;"Length = "&amp;G21&amp;";"&amp;$E$3,"" )</f>
        <v/>
      </c>
      <c r="J21" t="str">
        <f t="shared" ref="J21:J31" si="82">IF(F21="","",REPT(CHAR(9),2)&amp;"[Column(TypeName="""&amp;F21&amp;""")]"&amp;$E$3)&amp;IF(C21="Checked","",$I$3)&amp;IF(H21="string",REPT(CHAR(9),2)&amp;"[StringLength(Max"&amp;D21&amp;"Length"&amp;")]"&amp;$E$3,"")&amp;REPT(CHAR(9),2)&amp;"public virtual "&amp;H21&amp;IF(C21="?","? "," ")&amp;D21&amp;" { get; set; }" &amp; "
"</f>
        <v xml:space="preserve">		public virtual decimal? MinStk11 { get; set; }
</v>
      </c>
      <c r="K21" s="6"/>
      <c r="L21" t="str">
        <f t="shared" ref="L21:L31" si="83">IF(K21="","",REPT(CHAR(9),1)&amp;"[Index(nameof("&amp;IF(D21="","",""&amp;D21)&amp;")"&amp;", Name="&amp;"""IX_"&amp;$B$7&amp;"_"&amp;D21&amp;""")]")</f>
        <v/>
      </c>
      <c r="M21" t="str">
        <f t="shared" ref="M21:M31" si="84">REPT(CHAR(9),2)&amp;"public virtual "&amp;IF(OR(H21="DateTime",H21="TimeSpan"),H21&amp;"?",H21)&amp;IF(C21="?","? "," ")&amp;D21&amp;" { get; set; }" &amp; "
"</f>
        <v xml:space="preserve">		public virtual decimal? MinStk11 { get; set; }
</v>
      </c>
      <c r="N21" t="str">
        <f t="shared" ref="N21:N31" si="85">IF(C21="Checked","",$I$3)&amp;IF(H21="string",REPT(CHAR(9),2)&amp;"[StringLength("&amp;$B$3&amp;"Consts.Max"&amp;D21&amp;"Length"&amp;")]"&amp;$E$3,"")&amp;REPT(CHAR(9),2)&amp;"public virtual "&amp;IF(OR(H21="DateTime",H21="TimeSpan"),H21&amp;"?",H21)&amp;IF(C21="?","? "," ")&amp;D21&amp;" { get; set; }" &amp; "
"</f>
        <v xml:space="preserve">		public virtual decimal? MinStk11 { get; set; }
</v>
      </c>
      <c r="O21" t="str">
        <f t="shared" ref="O21:O31" si="86">IF(OR(H21="string",H21="DateTime",H21="int"),REPT(CHAR(9),2)&amp;"public virtual "&amp;IF(OR(H21="DateTime",H21="TimeSpan"),H21&amp;"?",H21)&amp;IF(C21="?","? "," ")&amp;D21&amp;" { get; set; }"&amp;$E$3,"")</f>
        <v/>
      </c>
      <c r="P21" t="str">
        <f t="shared" ref="P21:P31" si="87">REPT(CHAR(9),7)&amp;D21&amp;" = o." &amp;D21 &amp;","</f>
        <v xml:space="preserve">							MinStk11 = o.MinStk11,</v>
      </c>
      <c r="T21" s="63" t="str">
        <f t="shared" ref="T21:T31" si="88">REPT(CHAR(9),8)&amp;"("""&amp;D21&amp;"""),"</f>
        <v xml:space="preserve">								("MinStk11"),</v>
      </c>
      <c r="V21" s="64" t="str">
        <f t="shared" ref="V21:V31" si="89">REPT(CHAR(9),8)&amp;"_ =&gt; _."&amp;D21&amp;","</f>
        <v xml:space="preserve">								_ =&gt; _.MinStk11,</v>
      </c>
      <c r="W21" s="63" t="str">
        <f t="shared" ref="W21:W31" si="90">IF(H21="string",REPT(CHAR(9),4)&amp;".WhereIf(!string.IsNullOrWhiteSpace(input."&amp;D21&amp;"), e =&gt; e."&amp;D21&amp;".Contains(input."&amp;D21&amp;"))",IF(H21="DateTime",REPT(CHAR(9),4)&amp;".WhereIf(input."&amp;D21&amp;".HasValue, t =&gt; t."&amp;D21&amp;" == input."&amp;D21&amp;".Value)",""))</f>
        <v/>
      </c>
    </row>
    <row r="22" spans="1:23" customFormat="1" ht="18.75" customHeight="1" x14ac:dyDescent="0.25">
      <c r="A22" s="28" t="s">
        <v>373</v>
      </c>
      <c r="B22" s="28" t="s">
        <v>362</v>
      </c>
      <c r="C22" t="s">
        <v>1</v>
      </c>
      <c r="D22" t="str">
        <f t="shared" si="78"/>
        <v>MinStk12</v>
      </c>
      <c r="E22" t="str">
        <f t="shared" si="79"/>
        <v>decimal</v>
      </c>
      <c r="F22" s="6"/>
      <c r="G22" t="str">
        <f t="shared" si="80"/>
        <v>7, 2</v>
      </c>
      <c r="H22" t="str">
        <f>+VLOOKUP(E22,'Data Type Mapping'!A:B,2,)</f>
        <v>decimal?</v>
      </c>
      <c r="I22" t="str">
        <f t="shared" si="81"/>
        <v/>
      </c>
      <c r="J22" t="str">
        <f t="shared" si="82"/>
        <v xml:space="preserve">		public virtual decimal? MinStk12 { get; set; }
</v>
      </c>
      <c r="K22" s="6"/>
      <c r="L22" t="str">
        <f t="shared" si="83"/>
        <v/>
      </c>
      <c r="M22" t="str">
        <f t="shared" si="84"/>
        <v xml:space="preserve">		public virtual decimal? MinStk12 { get; set; }
</v>
      </c>
      <c r="N22" t="str">
        <f t="shared" si="85"/>
        <v xml:space="preserve">		public virtual decimal? MinStk12 { get; set; }
</v>
      </c>
      <c r="O22" t="str">
        <f t="shared" si="86"/>
        <v/>
      </c>
      <c r="P22" t="str">
        <f t="shared" si="87"/>
        <v xml:space="preserve">							MinStk12 = o.MinStk12,</v>
      </c>
      <c r="T22" s="63" t="str">
        <f t="shared" si="88"/>
        <v xml:space="preserve">								("MinStk12"),</v>
      </c>
      <c r="V22" s="64" t="str">
        <f t="shared" si="89"/>
        <v xml:space="preserve">								_ =&gt; _.MinStk12,</v>
      </c>
      <c r="W22" s="63" t="str">
        <f t="shared" si="90"/>
        <v/>
      </c>
    </row>
    <row r="23" spans="1:23" customFormat="1" ht="18.75" customHeight="1" x14ac:dyDescent="0.25">
      <c r="A23" s="28" t="s">
        <v>374</v>
      </c>
      <c r="B23" s="28" t="s">
        <v>362</v>
      </c>
      <c r="C23" t="s">
        <v>1</v>
      </c>
      <c r="D23" t="str">
        <f t="shared" si="78"/>
        <v>MinStk13</v>
      </c>
      <c r="E23" t="str">
        <f t="shared" si="79"/>
        <v>decimal</v>
      </c>
      <c r="F23" s="6"/>
      <c r="G23" t="str">
        <f t="shared" si="80"/>
        <v>7, 2</v>
      </c>
      <c r="H23" t="str">
        <f>+VLOOKUP(E23,'Data Type Mapping'!A:B,2,)</f>
        <v>decimal?</v>
      </c>
      <c r="I23" t="str">
        <f t="shared" si="81"/>
        <v/>
      </c>
      <c r="J23" t="str">
        <f t="shared" si="82"/>
        <v xml:space="preserve">		public virtual decimal? MinStk13 { get; set; }
</v>
      </c>
      <c r="K23" s="6"/>
      <c r="L23" t="str">
        <f t="shared" si="83"/>
        <v/>
      </c>
      <c r="M23" t="str">
        <f t="shared" si="84"/>
        <v xml:space="preserve">		public virtual decimal? MinStk13 { get; set; }
</v>
      </c>
      <c r="N23" t="str">
        <f t="shared" si="85"/>
        <v xml:space="preserve">		public virtual decimal? MinStk13 { get; set; }
</v>
      </c>
      <c r="O23" t="str">
        <f t="shared" si="86"/>
        <v/>
      </c>
      <c r="P23" t="str">
        <f t="shared" si="87"/>
        <v xml:space="preserve">							MinStk13 = o.MinStk13,</v>
      </c>
      <c r="T23" s="63" t="str">
        <f t="shared" si="88"/>
        <v xml:space="preserve">								("MinStk13"),</v>
      </c>
      <c r="V23" s="64" t="str">
        <f t="shared" si="89"/>
        <v xml:space="preserve">								_ =&gt; _.MinStk13,</v>
      </c>
      <c r="W23" s="63" t="str">
        <f t="shared" si="90"/>
        <v/>
      </c>
    </row>
    <row r="24" spans="1:23" customFormat="1" ht="18.75" customHeight="1" x14ac:dyDescent="0.25">
      <c r="A24" s="28" t="s">
        <v>375</v>
      </c>
      <c r="B24" s="28" t="s">
        <v>362</v>
      </c>
      <c r="C24" t="s">
        <v>1</v>
      </c>
      <c r="D24" t="str">
        <f t="shared" si="78"/>
        <v>MinStk14</v>
      </c>
      <c r="E24" t="str">
        <f t="shared" si="79"/>
        <v>decimal</v>
      </c>
      <c r="F24" s="6"/>
      <c r="G24" t="str">
        <f t="shared" si="80"/>
        <v>7, 2</v>
      </c>
      <c r="H24" t="str">
        <f>+VLOOKUP(E24,'Data Type Mapping'!A:B,2,)</f>
        <v>decimal?</v>
      </c>
      <c r="I24" t="str">
        <f t="shared" si="81"/>
        <v/>
      </c>
      <c r="J24" t="str">
        <f t="shared" si="82"/>
        <v xml:space="preserve">		public virtual decimal? MinStk14 { get; set; }
</v>
      </c>
      <c r="K24" s="6"/>
      <c r="L24" t="str">
        <f t="shared" si="83"/>
        <v/>
      </c>
      <c r="M24" t="str">
        <f t="shared" si="84"/>
        <v xml:space="preserve">		public virtual decimal? MinStk14 { get; set; }
</v>
      </c>
      <c r="N24" t="str">
        <f t="shared" si="85"/>
        <v xml:space="preserve">		public virtual decimal? MinStk14 { get; set; }
</v>
      </c>
      <c r="O24" t="str">
        <f t="shared" si="86"/>
        <v/>
      </c>
      <c r="P24" t="str">
        <f t="shared" si="87"/>
        <v xml:space="preserve">							MinStk14 = o.MinStk14,</v>
      </c>
      <c r="T24" s="63" t="str">
        <f t="shared" si="88"/>
        <v xml:space="preserve">								("MinStk14"),</v>
      </c>
      <c r="V24" s="64" t="str">
        <f t="shared" si="89"/>
        <v xml:space="preserve">								_ =&gt; _.MinStk14,</v>
      </c>
      <c r="W24" s="63" t="str">
        <f t="shared" si="90"/>
        <v/>
      </c>
    </row>
    <row r="25" spans="1:23" customFormat="1" ht="18.75" customHeight="1" x14ac:dyDescent="0.25">
      <c r="A25" s="28" t="s">
        <v>376</v>
      </c>
      <c r="B25" s="28" t="s">
        <v>362</v>
      </c>
      <c r="C25" t="s">
        <v>1</v>
      </c>
      <c r="D25" t="str">
        <f t="shared" si="78"/>
        <v>MinStk15</v>
      </c>
      <c r="E25" t="str">
        <f t="shared" si="79"/>
        <v>decimal</v>
      </c>
      <c r="F25" s="6"/>
      <c r="G25" t="str">
        <f t="shared" si="80"/>
        <v>7, 2</v>
      </c>
      <c r="H25" t="str">
        <f>+VLOOKUP(E25,'Data Type Mapping'!A:B,2,)</f>
        <v>decimal?</v>
      </c>
      <c r="I25" t="str">
        <f t="shared" si="81"/>
        <v/>
      </c>
      <c r="J25" t="str">
        <f t="shared" si="82"/>
        <v xml:space="preserve">		public virtual decimal? MinStk15 { get; set; }
</v>
      </c>
      <c r="K25" s="6"/>
      <c r="L25" t="str">
        <f t="shared" si="83"/>
        <v/>
      </c>
      <c r="M25" t="str">
        <f t="shared" si="84"/>
        <v xml:space="preserve">		public virtual decimal? MinStk15 { get; set; }
</v>
      </c>
      <c r="N25" t="str">
        <f t="shared" si="85"/>
        <v xml:space="preserve">		public virtual decimal? MinStk15 { get; set; }
</v>
      </c>
      <c r="O25" t="str">
        <f t="shared" si="86"/>
        <v/>
      </c>
      <c r="P25" t="str">
        <f t="shared" si="87"/>
        <v xml:space="preserve">							MinStk15 = o.MinStk15,</v>
      </c>
      <c r="T25" s="63" t="str">
        <f t="shared" si="88"/>
        <v xml:space="preserve">								("MinStk15"),</v>
      </c>
      <c r="V25" s="64" t="str">
        <f t="shared" si="89"/>
        <v xml:space="preserve">								_ =&gt; _.MinStk15,</v>
      </c>
      <c r="W25" s="63" t="str">
        <f t="shared" si="90"/>
        <v/>
      </c>
    </row>
    <row r="26" spans="1:23" customFormat="1" ht="18.75" customHeight="1" x14ac:dyDescent="0.25">
      <c r="A26" s="28" t="s">
        <v>377</v>
      </c>
      <c r="B26" s="28" t="s">
        <v>362</v>
      </c>
      <c r="C26" t="s">
        <v>1</v>
      </c>
      <c r="D26" t="str">
        <f t="shared" si="78"/>
        <v>MaxStk1</v>
      </c>
      <c r="E26" t="str">
        <f t="shared" si="79"/>
        <v>decimal</v>
      </c>
      <c r="F26" s="6"/>
      <c r="G26" t="str">
        <f t="shared" si="80"/>
        <v>7, 2</v>
      </c>
      <c r="H26" t="str">
        <f>+VLOOKUP(E26,'Data Type Mapping'!A:B,2,)</f>
        <v>decimal?</v>
      </c>
      <c r="I26" t="str">
        <f t="shared" si="81"/>
        <v/>
      </c>
      <c r="J26" t="str">
        <f t="shared" si="82"/>
        <v xml:space="preserve">		public virtual decimal? MaxStk1 { get; set; }
</v>
      </c>
      <c r="K26" s="6"/>
      <c r="L26" t="str">
        <f t="shared" si="83"/>
        <v/>
      </c>
      <c r="M26" t="str">
        <f t="shared" si="84"/>
        <v xml:space="preserve">		public virtual decimal? MaxStk1 { get; set; }
</v>
      </c>
      <c r="N26" t="str">
        <f t="shared" si="85"/>
        <v xml:space="preserve">		public virtual decimal? MaxStk1 { get; set; }
</v>
      </c>
      <c r="O26" t="str">
        <f t="shared" si="86"/>
        <v/>
      </c>
      <c r="P26" t="str">
        <f t="shared" si="87"/>
        <v xml:space="preserve">							MaxStk1 = o.MaxStk1,</v>
      </c>
      <c r="T26" s="63" t="str">
        <f t="shared" si="88"/>
        <v xml:space="preserve">								("MaxStk1"),</v>
      </c>
      <c r="V26" s="64" t="str">
        <f t="shared" si="89"/>
        <v xml:space="preserve">								_ =&gt; _.MaxStk1,</v>
      </c>
      <c r="W26" s="63" t="str">
        <f t="shared" si="90"/>
        <v/>
      </c>
    </row>
    <row r="27" spans="1:23" customFormat="1" ht="18.75" customHeight="1" x14ac:dyDescent="0.25">
      <c r="A27" s="28" t="s">
        <v>378</v>
      </c>
      <c r="B27" s="28" t="s">
        <v>362</v>
      </c>
      <c r="C27" t="s">
        <v>1</v>
      </c>
      <c r="D27" t="str">
        <f t="shared" si="78"/>
        <v>MaxStk2</v>
      </c>
      <c r="E27" t="str">
        <f t="shared" si="79"/>
        <v>decimal</v>
      </c>
      <c r="F27" s="6"/>
      <c r="G27" t="str">
        <f t="shared" si="80"/>
        <v>7, 2</v>
      </c>
      <c r="H27" t="str">
        <f>+VLOOKUP(E27,'Data Type Mapping'!A:B,2,)</f>
        <v>decimal?</v>
      </c>
      <c r="I27" t="str">
        <f t="shared" si="81"/>
        <v/>
      </c>
      <c r="J27" t="str">
        <f t="shared" si="82"/>
        <v xml:space="preserve">		public virtual decimal? MaxStk2 { get; set; }
</v>
      </c>
      <c r="K27" s="6"/>
      <c r="L27" t="str">
        <f t="shared" si="83"/>
        <v/>
      </c>
      <c r="M27" t="str">
        <f t="shared" si="84"/>
        <v xml:space="preserve">		public virtual decimal? MaxStk2 { get; set; }
</v>
      </c>
      <c r="N27" t="str">
        <f t="shared" si="85"/>
        <v xml:space="preserve">		public virtual decimal? MaxStk2 { get; set; }
</v>
      </c>
      <c r="O27" t="str">
        <f t="shared" si="86"/>
        <v/>
      </c>
      <c r="P27" t="str">
        <f t="shared" si="87"/>
        <v xml:space="preserve">							MaxStk2 = o.MaxStk2,</v>
      </c>
      <c r="T27" s="63" t="str">
        <f t="shared" si="88"/>
        <v xml:space="preserve">								("MaxStk2"),</v>
      </c>
      <c r="V27" s="64" t="str">
        <f t="shared" si="89"/>
        <v xml:space="preserve">								_ =&gt; _.MaxStk2,</v>
      </c>
      <c r="W27" s="63" t="str">
        <f t="shared" si="90"/>
        <v/>
      </c>
    </row>
    <row r="28" spans="1:23" customFormat="1" ht="18.75" customHeight="1" x14ac:dyDescent="0.25">
      <c r="A28" s="28" t="s">
        <v>379</v>
      </c>
      <c r="B28" s="28" t="s">
        <v>362</v>
      </c>
      <c r="C28" t="s">
        <v>1</v>
      </c>
      <c r="D28" t="str">
        <f t="shared" si="78"/>
        <v>MaxStk3</v>
      </c>
      <c r="E28" t="str">
        <f t="shared" si="79"/>
        <v>decimal</v>
      </c>
      <c r="F28" s="6"/>
      <c r="G28" t="str">
        <f t="shared" si="80"/>
        <v>7, 2</v>
      </c>
      <c r="H28" t="str">
        <f>+VLOOKUP(E28,'Data Type Mapping'!A:B,2,)</f>
        <v>decimal?</v>
      </c>
      <c r="I28" t="str">
        <f t="shared" si="81"/>
        <v/>
      </c>
      <c r="J28" t="str">
        <f t="shared" si="82"/>
        <v xml:space="preserve">		public virtual decimal? MaxStk3 { get; set; }
</v>
      </c>
      <c r="K28" s="6"/>
      <c r="L28" t="str">
        <f t="shared" si="83"/>
        <v/>
      </c>
      <c r="M28" t="str">
        <f t="shared" si="84"/>
        <v xml:space="preserve">		public virtual decimal? MaxStk3 { get; set; }
</v>
      </c>
      <c r="N28" t="str">
        <f t="shared" si="85"/>
        <v xml:space="preserve">		public virtual decimal? MaxStk3 { get; set; }
</v>
      </c>
      <c r="O28" t="str">
        <f t="shared" si="86"/>
        <v/>
      </c>
      <c r="P28" t="str">
        <f t="shared" si="87"/>
        <v xml:space="preserve">							MaxStk3 = o.MaxStk3,</v>
      </c>
      <c r="T28" s="63" t="str">
        <f t="shared" si="88"/>
        <v xml:space="preserve">								("MaxStk3"),</v>
      </c>
      <c r="V28" s="64" t="str">
        <f t="shared" si="89"/>
        <v xml:space="preserve">								_ =&gt; _.MaxStk3,</v>
      </c>
      <c r="W28" s="63" t="str">
        <f t="shared" si="90"/>
        <v/>
      </c>
    </row>
    <row r="29" spans="1:23" customFormat="1" ht="18.75" customHeight="1" x14ac:dyDescent="0.25">
      <c r="A29" s="28" t="s">
        <v>380</v>
      </c>
      <c r="B29" s="28" t="s">
        <v>362</v>
      </c>
      <c r="C29" t="s">
        <v>1</v>
      </c>
      <c r="D29" t="str">
        <f t="shared" si="78"/>
        <v>MaxStk4</v>
      </c>
      <c r="E29" t="str">
        <f t="shared" si="79"/>
        <v>decimal</v>
      </c>
      <c r="F29" s="6"/>
      <c r="G29" t="str">
        <f t="shared" si="80"/>
        <v>7, 2</v>
      </c>
      <c r="H29" t="str">
        <f>+VLOOKUP(E29,'Data Type Mapping'!A:B,2,)</f>
        <v>decimal?</v>
      </c>
      <c r="I29" t="str">
        <f t="shared" si="81"/>
        <v/>
      </c>
      <c r="J29" t="str">
        <f t="shared" si="82"/>
        <v xml:space="preserve">		public virtual decimal? MaxStk4 { get; set; }
</v>
      </c>
      <c r="K29" s="6"/>
      <c r="L29" t="str">
        <f t="shared" si="83"/>
        <v/>
      </c>
      <c r="M29" t="str">
        <f t="shared" si="84"/>
        <v xml:space="preserve">		public virtual decimal? MaxStk4 { get; set; }
</v>
      </c>
      <c r="N29" t="str">
        <f t="shared" si="85"/>
        <v xml:space="preserve">		public virtual decimal? MaxStk4 { get; set; }
</v>
      </c>
      <c r="O29" t="str">
        <f t="shared" si="86"/>
        <v/>
      </c>
      <c r="P29" t="str">
        <f t="shared" si="87"/>
        <v xml:space="preserve">							MaxStk4 = o.MaxStk4,</v>
      </c>
      <c r="T29" s="63" t="str">
        <f t="shared" si="88"/>
        <v xml:space="preserve">								("MaxStk4"),</v>
      </c>
      <c r="V29" s="64" t="str">
        <f t="shared" si="89"/>
        <v xml:space="preserve">								_ =&gt; _.MaxStk4,</v>
      </c>
      <c r="W29" s="63" t="str">
        <f t="shared" si="90"/>
        <v/>
      </c>
    </row>
    <row r="30" spans="1:23" customFormat="1" ht="18.75" customHeight="1" x14ac:dyDescent="0.25">
      <c r="A30" s="28" t="s">
        <v>381</v>
      </c>
      <c r="B30" s="28" t="s">
        <v>362</v>
      </c>
      <c r="C30" t="s">
        <v>1</v>
      </c>
      <c r="D30" t="str">
        <f t="shared" si="78"/>
        <v>MaxStk5</v>
      </c>
      <c r="E30" t="str">
        <f t="shared" si="79"/>
        <v>decimal</v>
      </c>
      <c r="F30" s="6"/>
      <c r="G30" t="str">
        <f t="shared" si="80"/>
        <v>7, 2</v>
      </c>
      <c r="H30" t="str">
        <f>+VLOOKUP(E30,'Data Type Mapping'!A:B,2,)</f>
        <v>decimal?</v>
      </c>
      <c r="I30" t="str">
        <f t="shared" si="81"/>
        <v/>
      </c>
      <c r="J30" t="str">
        <f t="shared" si="82"/>
        <v xml:space="preserve">		public virtual decimal? MaxStk5 { get; set; }
</v>
      </c>
      <c r="K30" s="6"/>
      <c r="L30" t="str">
        <f t="shared" si="83"/>
        <v/>
      </c>
      <c r="M30" t="str">
        <f t="shared" si="84"/>
        <v xml:space="preserve">		public virtual decimal? MaxStk5 { get; set; }
</v>
      </c>
      <c r="N30" t="str">
        <f t="shared" si="85"/>
        <v xml:space="preserve">		public virtual decimal? MaxStk5 { get; set; }
</v>
      </c>
      <c r="O30" t="str">
        <f t="shared" si="86"/>
        <v/>
      </c>
      <c r="P30" t="str">
        <f t="shared" si="87"/>
        <v xml:space="preserve">							MaxStk5 = o.MaxStk5,</v>
      </c>
      <c r="T30" s="63" t="str">
        <f t="shared" si="88"/>
        <v xml:space="preserve">								("MaxStk5"),</v>
      </c>
      <c r="V30" s="64" t="str">
        <f t="shared" si="89"/>
        <v xml:space="preserve">								_ =&gt; _.MaxStk5,</v>
      </c>
      <c r="W30" s="63" t="str">
        <f t="shared" si="90"/>
        <v/>
      </c>
    </row>
    <row r="31" spans="1:23" customFormat="1" ht="18.75" customHeight="1" x14ac:dyDescent="0.25">
      <c r="A31" s="28" t="s">
        <v>382</v>
      </c>
      <c r="B31" s="28" t="s">
        <v>362</v>
      </c>
      <c r="C31" t="s">
        <v>1</v>
      </c>
      <c r="D31" t="str">
        <f t="shared" si="78"/>
        <v>MinStkConcept</v>
      </c>
      <c r="E31" t="str">
        <f t="shared" si="79"/>
        <v>decimal</v>
      </c>
      <c r="F31" s="6"/>
      <c r="G31" t="str">
        <f t="shared" si="80"/>
        <v>7, 2</v>
      </c>
      <c r="H31" t="str">
        <f>+VLOOKUP(E31,'Data Type Mapping'!A:B,2,)</f>
        <v>decimal?</v>
      </c>
      <c r="I31" t="str">
        <f t="shared" si="81"/>
        <v/>
      </c>
      <c r="J31" t="str">
        <f t="shared" si="82"/>
        <v xml:space="preserve">		public virtual decimal? MinStkConcept { get; set; }
</v>
      </c>
      <c r="K31" s="6"/>
      <c r="L31" t="str">
        <f t="shared" si="83"/>
        <v/>
      </c>
      <c r="M31" t="str">
        <f t="shared" si="84"/>
        <v xml:space="preserve">		public virtual decimal? MinStkConcept { get; set; }
</v>
      </c>
      <c r="N31" t="str">
        <f t="shared" si="85"/>
        <v xml:space="preserve">		public virtual decimal? MinStkConcept { get; set; }
</v>
      </c>
      <c r="O31" t="str">
        <f t="shared" si="86"/>
        <v/>
      </c>
      <c r="P31" t="str">
        <f t="shared" si="87"/>
        <v xml:space="preserve">							MinStkConcept = o.MinStkConcept,</v>
      </c>
      <c r="T31" s="63" t="str">
        <f t="shared" si="88"/>
        <v xml:space="preserve">								("MinStkConcept"),</v>
      </c>
      <c r="V31" s="64" t="str">
        <f t="shared" si="89"/>
        <v xml:space="preserve">								_ =&gt; _.MinStkConcept,</v>
      </c>
      <c r="W31" s="63" t="str">
        <f t="shared" si="90"/>
        <v/>
      </c>
    </row>
    <row r="32" spans="1:23" customFormat="1" ht="18.75" customHeight="1" x14ac:dyDescent="0.25">
      <c r="A32" s="28" t="s">
        <v>383</v>
      </c>
      <c r="B32" s="28" t="s">
        <v>362</v>
      </c>
      <c r="C32" t="s">
        <v>1</v>
      </c>
      <c r="D32" t="str">
        <f>SUBSTITUTE(PROPER(A32),"_","")</f>
        <v>MaxStkConcept</v>
      </c>
      <c r="E32" t="str">
        <f>IFERROR(LEFT(B32, FIND("(",B32)-1),B32)</f>
        <v>decimal</v>
      </c>
      <c r="F32" s="6"/>
      <c r="G32" t="str">
        <f>IFERROR(MID(B32,FIND("(",B32) +1, FIND(")",B32) - FIND("(",B32) - 1),"")</f>
        <v>7, 2</v>
      </c>
      <c r="H32" t="str">
        <f>+VLOOKUP(E32,'Data Type Mapping'!A:B,2,)</f>
        <v>decimal?</v>
      </c>
      <c r="I32" t="str">
        <f>IF(H32="string",REPT(CHAR(9),2)&amp;"public const int Max"&amp;D32&amp;"Length = "&amp;G32&amp;";"&amp;$E$3,"" )</f>
        <v/>
      </c>
      <c r="J32" t="str">
        <f>IF(F32="","",REPT(CHAR(9),2)&amp;"[Column(TypeName="""&amp;F32&amp;""")]"&amp;$E$3)&amp;IF(C32="Checked","",$I$3)&amp;IF(H32="string",REPT(CHAR(9),2)&amp;"[StringLength(Max"&amp;D32&amp;"Length"&amp;")]"&amp;$E$3,"")&amp;REPT(CHAR(9),2)&amp;"public virtual "&amp;H32&amp;IF(C32="?","? "," ")&amp;D32&amp;" { get; set; }" &amp; "
"</f>
        <v xml:space="preserve">		public virtual decimal? MaxStkConcept { get; set; }
</v>
      </c>
      <c r="K32" s="6"/>
      <c r="L32" t="str">
        <f>IF(K32="","",REPT(CHAR(9),1)&amp;"[Index(nameof("&amp;IF(D32="","",""&amp;D32)&amp;")"&amp;", Name="&amp;"""IX_"&amp;$B$7&amp;"_"&amp;D32&amp;""")]")</f>
        <v/>
      </c>
      <c r="M32" t="str">
        <f>REPT(CHAR(9),2)&amp;"public virtual "&amp;IF(OR(H32="DateTime",H32="TimeSpan"),H32&amp;"?",H32)&amp;IF(C32="?","? "," ")&amp;D32&amp;" { get; set; }" &amp; "
"</f>
        <v xml:space="preserve">		public virtual decimal? MaxStkConcept { get; set; }
</v>
      </c>
      <c r="N32" t="str">
        <f>IF(C32="Checked","",$I$3)&amp;IF(H32="string",REPT(CHAR(9),2)&amp;"[StringLength("&amp;$B$3&amp;"Consts.Max"&amp;D32&amp;"Length"&amp;")]"&amp;$E$3,"")&amp;REPT(CHAR(9),2)&amp;"public virtual "&amp;IF(OR(H32="DateTime",H32="TimeSpan"),H32&amp;"?",H32)&amp;IF(C32="?","? "," ")&amp;D32&amp;" { get; set; }" &amp; "
"</f>
        <v xml:space="preserve">		public virtual decimal? MaxStkConcept { get; set; }
</v>
      </c>
      <c r="O32" t="str">
        <f>IF(OR(H32="string",H32="DateTime",H32="int"),REPT(CHAR(9),2)&amp;"public virtual "&amp;IF(OR(H32="DateTime",H32="TimeSpan"),H32&amp;"?",H32)&amp;IF(C32="?","? "," ")&amp;D32&amp;" { get; set; }"&amp;$E$3,"")</f>
        <v/>
      </c>
      <c r="P32" t="str">
        <f>REPT(CHAR(9),7)&amp;D32&amp;" = o." &amp;D32 &amp;","</f>
        <v xml:space="preserve">							MaxStkConcept = o.MaxStkConcept,</v>
      </c>
      <c r="T32" s="63" t="str">
        <f>REPT(CHAR(9),8)&amp;"("""&amp;D32&amp;"""),"</f>
        <v xml:space="preserve">								("MaxStkConcept"),</v>
      </c>
      <c r="V32" s="64" t="str">
        <f>REPT(CHAR(9),8)&amp;"_ =&gt; _."&amp;D32&amp;","</f>
        <v xml:space="preserve">								_ =&gt; _.MaxStkConcept,</v>
      </c>
      <c r="W32" s="63" t="str">
        <f>IF(H32="string",REPT(CHAR(9),4)&amp;".WhereIf(!string.IsNullOrWhiteSpace(input."&amp;D32&amp;"), e =&gt; e."&amp;D32&amp;".Contains(input."&amp;D32&amp;"))",IF(H32="DateTime",REPT(CHAR(9),4)&amp;".WhereIf(input."&amp;D32&amp;".HasValue, t =&gt; t."&amp;D32&amp;" == input."&amp;D32&amp;".Value)",""))</f>
        <v/>
      </c>
    </row>
    <row r="33" spans="1:23" customFormat="1" ht="18.75" customHeight="1" x14ac:dyDescent="0.25">
      <c r="A33" s="28" t="s">
        <v>384</v>
      </c>
      <c r="B33" s="28" t="s">
        <v>359</v>
      </c>
      <c r="C33" t="s">
        <v>1</v>
      </c>
      <c r="D33" t="str">
        <f t="shared" ref="D33:D34" si="91">SUBSTITUTE(PROPER(A33),"_","")</f>
        <v>StkConcept</v>
      </c>
      <c r="E33" t="str">
        <f t="shared" ref="E33:E34" si="92">IFERROR(LEFT(B33, FIND("(",B33)-1),B33)</f>
        <v>varchar</v>
      </c>
      <c r="F33" s="6"/>
      <c r="G33" t="str">
        <f t="shared" ref="G33:G34" si="93">IFERROR(MID(B33,FIND("(",B33) +1, FIND(")",B33) - FIND("(",B33) - 1),"")</f>
        <v>10</v>
      </c>
      <c r="H33" t="str">
        <f>+VLOOKUP(E33,'Data Type Mapping'!A:B,2,)</f>
        <v>string</v>
      </c>
      <c r="I33" t="str">
        <f t="shared" ref="I33:I34" si="94">IF(H33="string",REPT(CHAR(9),2)&amp;"public const int Max"&amp;D33&amp;"Length = "&amp;G33&amp;";"&amp;$E$3,"" )</f>
        <v xml:space="preserve">		public const int MaxStkConceptLength = 10;
</v>
      </c>
      <c r="J33" t="str">
        <f t="shared" ref="J33:J34" si="95">IF(F33="","",REPT(CHAR(9),2)&amp;"[Column(TypeName="""&amp;F33&amp;""")]"&amp;$E$3)&amp;IF(C33="Checked","",$I$3)&amp;IF(H33="string",REPT(CHAR(9),2)&amp;"[StringLength(Max"&amp;D33&amp;"Length"&amp;")]"&amp;$E$3,"")&amp;REPT(CHAR(9),2)&amp;"public virtual "&amp;H33&amp;IF(C33="?","? "," ")&amp;D33&amp;" { get; set; }" &amp; "
"</f>
        <v xml:space="preserve">		[StringLength(MaxStkConceptLength)]
		public virtual string StkConcept { get; set; }
</v>
      </c>
      <c r="K33" s="6"/>
      <c r="L33" t="str">
        <f t="shared" ref="L33:L34" si="96">IF(K33="","",REPT(CHAR(9),1)&amp;"[Index(nameof("&amp;IF(D33="","",""&amp;D33)&amp;")"&amp;", Name="&amp;"""IX_"&amp;$B$7&amp;"_"&amp;D33&amp;""")]")</f>
        <v/>
      </c>
      <c r="M33" t="str">
        <f t="shared" ref="M33:M34" si="97">REPT(CHAR(9),2)&amp;"public virtual "&amp;IF(OR(H33="DateTime",H33="TimeSpan"),H33&amp;"?",H33)&amp;IF(C33="?","? "," ")&amp;D33&amp;" { get; set; }" &amp; "
"</f>
        <v xml:space="preserve">		public virtual string StkConcept { get; set; }
</v>
      </c>
      <c r="N33" t="str">
        <f t="shared" ref="N33:N34" si="98">IF(C33="Checked","",$I$3)&amp;IF(H33="string",REPT(CHAR(9),2)&amp;"[StringLength("&amp;$B$3&amp;"Consts.Max"&amp;D33&amp;"Length"&amp;")]"&amp;$E$3,"")&amp;REPT(CHAR(9),2)&amp;"public virtual "&amp;IF(OR(H33="DateTime",H33="TimeSpan"),H33&amp;"?",H33)&amp;IF(C33="?","? "," ")&amp;D33&amp;" { get; set; }" &amp; "
"</f>
        <v xml:space="preserve">		[StringLength(InvGpsStockConceptConsts.MaxStkConceptLength)]
		public virtual string StkConcept { get; set; }
</v>
      </c>
      <c r="O33" t="str">
        <f t="shared" ref="O33:O34" si="99">IF(OR(H33="string",H33="DateTime",H33="int"),REPT(CHAR(9),2)&amp;"public virtual "&amp;IF(OR(H33="DateTime",H33="TimeSpan"),H33&amp;"?",H33)&amp;IF(C33="?","? "," ")&amp;D33&amp;" { get; set; }"&amp;$E$3,"")</f>
        <v xml:space="preserve">		public virtual string StkConcept { get; set; }
</v>
      </c>
      <c r="P33" t="str">
        <f t="shared" ref="P33:P34" si="100">REPT(CHAR(9),7)&amp;D33&amp;" = o." &amp;D33 &amp;","</f>
        <v xml:space="preserve">							StkConcept = o.StkConcept,</v>
      </c>
      <c r="T33" s="63" t="str">
        <f t="shared" ref="T33:T34" si="101">REPT(CHAR(9),8)&amp;"("""&amp;D33&amp;"""),"</f>
        <v xml:space="preserve">								("StkConcept"),</v>
      </c>
      <c r="V33" s="64" t="str">
        <f t="shared" ref="V33:V34" si="102">REPT(CHAR(9),8)&amp;"_ =&gt; _."&amp;D33&amp;","</f>
        <v xml:space="preserve">								_ =&gt; _.StkConcept,</v>
      </c>
      <c r="W33" s="63" t="str">
        <f t="shared" ref="W33:W34" si="103">IF(H33="string",REPT(CHAR(9),4)&amp;".WhereIf(!string.IsNullOrWhiteSpace(input."&amp;D33&amp;"), e =&gt; e."&amp;D33&amp;".Contains(input."&amp;D33&amp;"))",IF(H33="DateTime",REPT(CHAR(9),4)&amp;".WhereIf(input."&amp;D33&amp;".HasValue, t =&gt; t."&amp;D33&amp;" == input."&amp;D33&amp;".Value)",""))</f>
        <v xml:space="preserve">				.WhereIf(!string.IsNullOrWhiteSpace(input.StkConcept), e =&gt; e.StkConcept.Contains(input.StkConcept))</v>
      </c>
    </row>
    <row r="34" spans="1:23" customFormat="1" ht="18.75" customHeight="1" x14ac:dyDescent="0.25">
      <c r="A34" s="28" t="s">
        <v>385</v>
      </c>
      <c r="B34" s="28" t="s">
        <v>4</v>
      </c>
      <c r="C34" t="s">
        <v>1</v>
      </c>
      <c r="D34" t="str">
        <f t="shared" si="91"/>
        <v>StkConceptFrq</v>
      </c>
      <c r="E34" t="str">
        <f t="shared" si="92"/>
        <v>int</v>
      </c>
      <c r="F34" s="6"/>
      <c r="G34" t="str">
        <f t="shared" si="93"/>
        <v/>
      </c>
      <c r="H34" t="str">
        <f>+VLOOKUP(E34,'Data Type Mapping'!A:B,2,)</f>
        <v>int?</v>
      </c>
      <c r="I34" t="str">
        <f t="shared" si="94"/>
        <v/>
      </c>
      <c r="J34" t="str">
        <f t="shared" si="95"/>
        <v xml:space="preserve">		public virtual int? StkConceptFrq { get; set; }
</v>
      </c>
      <c r="K34" s="6"/>
      <c r="L34" t="str">
        <f t="shared" si="96"/>
        <v/>
      </c>
      <c r="M34" t="str">
        <f t="shared" si="97"/>
        <v xml:space="preserve">		public virtual int? StkConceptFrq { get; set; }
</v>
      </c>
      <c r="N34" t="str">
        <f t="shared" si="98"/>
        <v xml:space="preserve">		public virtual int? StkConceptFrq { get; set; }
</v>
      </c>
      <c r="O34" t="str">
        <f t="shared" si="99"/>
        <v/>
      </c>
      <c r="P34" t="str">
        <f t="shared" si="100"/>
        <v xml:space="preserve">							StkConceptFrq = o.StkConceptFrq,</v>
      </c>
      <c r="T34" s="63" t="str">
        <f t="shared" si="101"/>
        <v xml:space="preserve">								("StkConceptFrq"),</v>
      </c>
      <c r="V34" s="64" t="str">
        <f t="shared" si="102"/>
        <v xml:space="preserve">								_ =&gt; _.StkConceptFrq,</v>
      </c>
      <c r="W34" s="63" t="str">
        <f t="shared" si="103"/>
        <v/>
      </c>
    </row>
    <row r="35" spans="1:23" customFormat="1" ht="18.75" customHeight="1" x14ac:dyDescent="0.25">
      <c r="A35" s="28" t="s">
        <v>318</v>
      </c>
      <c r="B35" s="28" t="s">
        <v>355</v>
      </c>
      <c r="C35" t="s">
        <v>1</v>
      </c>
      <c r="D35" t="str">
        <f t="shared" ref="D35" si="104">SUBSTITUTE(PROPER(A35),"_","")</f>
        <v>IsActive</v>
      </c>
      <c r="E35" t="str">
        <f t="shared" ref="E35" si="105">IFERROR(LEFT(B35, FIND("(",B35)-1),B35)</f>
        <v>varchar</v>
      </c>
      <c r="F35" s="6"/>
      <c r="G35" t="str">
        <f t="shared" ref="G35" si="106">IFERROR(MID(B35,FIND("(",B35) +1, FIND(")",B35) - FIND("(",B35) - 1),"")</f>
        <v>1</v>
      </c>
      <c r="H35" t="str">
        <f>+VLOOKUP(E35,'Data Type Mapping'!A:B,2,)</f>
        <v>string</v>
      </c>
      <c r="I35" t="str">
        <f t="shared" ref="I35" si="107">IF(H35="string",REPT(CHAR(9),2)&amp;"public const int Max"&amp;D35&amp;"Length = "&amp;G35&amp;";"&amp;$E$3,"" )</f>
        <v xml:space="preserve">		public const int MaxIsActiveLength = 1;
</v>
      </c>
      <c r="J35" t="str">
        <f t="shared" ref="J35" si="108">IF(F35="","",REPT(CHAR(9),2)&amp;"[Column(TypeName="""&amp;F35&amp;""")]"&amp;$E$3)&amp;IF(C35="Checked","",$I$3)&amp;IF(H35="string",REPT(CHAR(9),2)&amp;"[StringLength(Max"&amp;D35&amp;"Length"&amp;")]"&amp;$E$3,"")&amp;REPT(CHAR(9),2)&amp;"public virtual "&amp;H35&amp;IF(C35="?","? "," ")&amp;D35&amp;" { get; set; }" &amp; "
"</f>
        <v xml:space="preserve">		[StringLength(MaxIsActiveLength)]
		public virtual string IsActive { get; set; }
</v>
      </c>
      <c r="K35" s="6" t="s">
        <v>357</v>
      </c>
      <c r="L35" t="str">
        <f t="shared" ref="L35" si="109">IF(K35="","",REPT(CHAR(9),1)&amp;"[Index(nameof("&amp;IF(D35="","",""&amp;D35)&amp;")"&amp;", Name="&amp;"""IX_"&amp;$B$7&amp;"_"&amp;D35&amp;""")]")</f>
        <v xml:space="preserve">	[Index(nameof(IsActive), Name="IX_InvGpsStockConcept_IsActive")]</v>
      </c>
      <c r="M35" t="str">
        <f t="shared" ref="M35" si="110">REPT(CHAR(9),2)&amp;"public virtual "&amp;IF(OR(H35="DateTime",H35="TimeSpan"),H35&amp;"?",H35)&amp;IF(C35="?","? "," ")&amp;D35&amp;" { get; set; }" &amp; "
"</f>
        <v xml:space="preserve">		public virtual string IsActive { get; set; }
</v>
      </c>
      <c r="N35" t="str">
        <f t="shared" ref="N35" si="111">IF(C35="Checked","",$I$3)&amp;IF(H35="string",REPT(CHAR(9),2)&amp;"[StringLength("&amp;$B$3&amp;"Consts.Max"&amp;D35&amp;"Length"&amp;")]"&amp;$E$3,"")&amp;REPT(CHAR(9),2)&amp;"public virtual "&amp;IF(OR(H35="DateTime",H35="TimeSpan"),H35&amp;"?",H35)&amp;IF(C35="?","? "," ")&amp;D35&amp;" { get; set; }" &amp; "
"</f>
        <v xml:space="preserve">		[StringLength(InvGpsStockConceptConsts.MaxIsActiveLength)]
		public virtual string IsActive { get; set; }
</v>
      </c>
      <c r="O35" t="str">
        <f t="shared" ref="O35" si="112">IF(OR(H35="string",H35="DateTime",H35="int"),REPT(CHAR(9),2)&amp;"public virtual "&amp;IF(OR(H35="DateTime",H35="TimeSpan"),H35&amp;"?",H35)&amp;IF(C35="?","? "," ")&amp;D35&amp;" { get; set; }"&amp;$E$3,"")</f>
        <v xml:space="preserve">		public virtual string IsActive { get; set; }
</v>
      </c>
      <c r="P35" t="str">
        <f t="shared" ref="P35" si="113">REPT(CHAR(9),7)&amp;D35&amp;" = o." &amp;D35 &amp;","</f>
        <v xml:space="preserve">							IsActive = o.IsActive,</v>
      </c>
      <c r="T35" s="63" t="str">
        <f t="shared" ref="T35" si="114">REPT(CHAR(9),8)&amp;"("""&amp;D35&amp;"""),"</f>
        <v xml:space="preserve">								("IsActive"),</v>
      </c>
      <c r="V35" s="64" t="str">
        <f t="shared" ref="V35" si="115">REPT(CHAR(9),8)&amp;"_ =&gt; _."&amp;D35&amp;","</f>
        <v xml:space="preserve">								_ =&gt; _.IsActive,</v>
      </c>
      <c r="W35" s="63" t="str">
        <f t="shared" ref="W35" si="116">IF(H35="string",REPT(CHAR(9),4)&amp;".WhereIf(!string.IsNullOrWhiteSpace(input."&amp;D35&amp;"), e =&gt; e."&amp;D35&amp;".Contains(input."&amp;D35&amp;"))",IF(H35="DateTime",REPT(CHAR(9),4)&amp;".WhereIf(input."&amp;D35&amp;".HasValue, t =&gt; t."&amp;D35&amp;" == input."&amp;D35&amp;".Value)",""))</f>
        <v xml:space="preserve">				.WhereIf(!string.IsNullOrWhiteSpace(input.IsActive), e =&gt; e.IsActive.Contains(input.IsActive))</v>
      </c>
    </row>
    <row r="37" spans="1:23" ht="45.75" customHeight="1" x14ac:dyDescent="0.25">
      <c r="H37" s="11"/>
      <c r="I37" s="31" t="str">
        <f ca="1">TEXTJOIN2("
", TRUE,INDIRECT( $H$1):INDIRECT( $H$3))</f>
        <v xml:space="preserve">		public const int MaxSupplierCodeLength = 10;
		public const int MaxStkConceptLength = 10;
		public const int MaxIsActiveLength = 1;
</v>
      </c>
      <c r="J37" s="30" t="str">
        <f ca="1">TEXTJOIN2("
", TRUE,INDIRECT( $F$1):INDIRECT( $F$3))</f>
        <v xml:space="preserve">		[StringLength(MaxSupplierCodeLength)]
		public virtual string SupplierCode { get; set; }
		[Column(TypeName="date")]
		public virtual DateTime? MonthStk { get; set; }
		public virtual decimal? MinStk1 { get; set; }
		public virtual decimal? MinStk2 { get; set; }
		public virtual decimal? MinStk3 { get; set; }
		public virtual decimal? MinStk4 { get; set; }
		public virtual decimal? MinStk5 { get; set; }
		public virtual decimal? MinStk6 { get; set; }
		public virtual decimal? MinStk7 { get; set; }
		public virtual decimal? MinStk8 { get; set; }
		public virtual decimal? MinStk9 { get; set; }
		public virtual decimal? MinStk10 { get; set; }
		public virtual decimal? MinStk11 { get; set; }
		public virtual decimal? MinStk12 { get; set; }
		public virtual decimal? MinStk13 { get; set; }
		public virtual decimal? MinStk14 { get; set; }
		public virtual decimal? MinStk15 { get; set; }
		public virtual decimal? MaxStk1 { get; set; }
		public virtual decimal? MaxStk2 { get; set; }
		public virtual decimal? MaxStk3 { get; set; }
		public virtual decimal? MaxStk4 { get; set; }
		public virtual decimal? MaxStk5 { get; set; }
		public virtual decimal? MinStkConcept { get; set; }
		public virtual decimal? MaxStkConcept { get; set; }
		[StringLength(MaxStkConceptLength)]
		public virtual string StkConcept { get; set; }
		public virtual int? StkConceptFrq { get; set; }
		[StringLength(MaxIsActiveLength)]
		public virtual string IsActive { get; set; }
</v>
      </c>
      <c r="K37" s="32" t="str">
        <f ca="1">TEXTJOIN2("
", TRUE,INDIRECT( $J$1):INDIRECT( $J$3))</f>
        <v xml:space="preserve">	[Index(nameof(SupplierCode), Name="IX_InvGpsStockConcept_SupplierCode")]
	[Index(nameof(MonthStk), Name="IX_InvGpsStockConcept_MonthStk")]
	[Index(nameof(IsActive), Name="IX_InvGpsStockConcept_IsActive")]</v>
      </c>
      <c r="L37" s="12" t="s">
        <v>56</v>
      </c>
      <c r="M37" s="33" t="str">
        <f ca="1">TEXTJOIN2("
",TRUE,INDIRECT( $L$1):INDIRECT($L$3))</f>
        <v xml:space="preserve">		public virtual string SupplierCode { get; set; }
		public virtual DateTime? MonthStk { get; set; }
		public virtual decimal? MinStk1 { get; set; }
		public virtual decimal? MinStk2 { get; set; }
		public virtual decimal? MinStk3 { get; set; }
		public virtual decimal? MinStk4 { get; set; }
		public virtual decimal? MinStk5 { get; set; }
		public virtual decimal? MinStk6 { get; set; }
		public virtual decimal? MinStk7 { get; set; }
		public virtual decimal? MinStk8 { get; set; }
		public virtual decimal? MinStk9 { get; set; }
		public virtual decimal? MinStk10 { get; set; }
		public virtual decimal? MinStk11 { get; set; }
		public virtual decimal? MinStk12 { get; set; }
		public virtual decimal? MinStk13 { get; set; }
		public virtual decimal? MinStk14 { get; set; }
		public virtual decimal? MinStk15 { get; set; }
		public virtual decimal? MaxStk1 { get; set; }
		public virtual decimal? MaxStk2 { get; set; }
		public virtual decimal? MaxStk3 { get; set; }
		public virtual decimal? MaxStk4 { get; set; }
		public virtual decimal? MaxStk5 { get; set; }
		public virtual decimal? MinStkConcept { get; set; }
		public virtual decimal? MaxStkConcept { get; set; }
		public virtual string StkConcept { get; set; }
		public virtual int? StkConceptFrq { get; set; }
		public virtual string IsActive { get; set; }
</v>
      </c>
      <c r="N37" s="30" t="str">
        <f ca="1">TEXTJOIN2("
",TRUE,INDIRECT( $M$1):INDIRECT($M$3))</f>
        <v xml:space="preserve">		[StringLength(InvGpsStockConceptConsts.MaxSupplierCodeLength)]
		public virtual string SupplierCode { get; set; }
		public virtual DateTime? MonthStk { get; set; }
		public virtual decimal? MinStk1 { get; set; }
		public virtual decimal? MinStk2 { get; set; }
		public virtual decimal? MinStk3 { get; set; }
		public virtual decimal? MinStk4 { get; set; }
		public virtual decimal? MinStk5 { get; set; }
		public virtual decimal? MinStk6 { get; set; }
		public virtual decimal? MinStk7 { get; set; }
		public virtual decimal? MinStk8 { get; set; }
		public virtual decimal? MinStk9 { get; set; }
		public virtual decimal? MinStk10 { get; set; }
		public virtual decimal? MinStk11 { get; set; }
		public virtual decimal? MinStk12 { get; set; }
		public virtual decimal? MinStk13 { get; set; }
		public virtual decimal? MinStk14 { get; set; }
		public virtual decimal? MinStk15 { get; set; }
		public virtual decimal? MaxStk1 { get; set; }
		public virtual decimal? MaxStk2 { get; set; }
		public virtual decimal? MaxStk3 { get; set; }
		public virtual decimal? MaxStk4 { get; set; }
		public virtual decimal? MaxStk5 { get; set; }
		public virtual decimal? MinStkConcept { get; set; }
		public virtual decimal? MaxStkConcept { get; set; }
		[StringLength(InvGpsStockConceptConsts.MaxStkConceptLength)]
		public virtual string StkConcept { get; set; }
		public virtual int? StkConceptFrq { get; set; }
		[StringLength(InvGpsStockConceptConsts.MaxIsActiveLength)]
		public virtual string IsActive { get; set; }
</v>
      </c>
      <c r="O37" s="30" t="str">
        <f ca="1">TEXTJOIN2("
",TRUE,INDIRECT( $N$1):INDIRECT($N$3))</f>
        <v xml:space="preserve">		public virtual string SupplierCode { get; set; }
		public virtual string StkConcept { get; set; }
		public virtual string IsActive { get; set; }
</v>
      </c>
      <c r="P37" s="8" t="str">
        <f ca="1">TEXTJOIN2("
",TRUE,INDIRECT( $O$1):INDIRECT($O$3))</f>
        <v xml:space="preserve">							SupplierCode = o.SupplierCode,
							MonthStk = o.MonthStk,
							MinStk1 = o.MinStk1,
							MinStk2 = o.MinStk2,
							MinStk3 = o.MinStk3,
							MinStk4 = o.MinStk4,
							MinStk5 = o.MinStk5,
							MinStk6 = o.MinStk6,
							MinStk7 = o.MinStk7,
							MinStk8 = o.MinStk8,
							MinStk9 = o.MinStk9,
							MinStk10 = o.MinStk10,
							MinStk11 = o.MinStk11,
							MinStk12 = o.MinStk12,
							MinStk13 = o.MinStk13,
							MinStk14 = o.MinStk14,
							MinStk15 = o.MinStk15,
							MaxStk1 = o.MaxStk1,
							MaxStk2 = o.MaxStk2,
							MaxStk3 = o.MaxStk3,
							MaxStk4 = o.MaxStk4,
							MaxStk5 = o.MaxStk5,
							MinStkConcept = o.MinStkConcept,
							MaxStkConcept = o.MaxStkConcept,
							StkConcept = o.StkConcept,
							StkConceptFrq = o.StkConceptFrq,
							IsActive = o.IsActive,</v>
      </c>
      <c r="T37" s="8" t="str">
        <f ca="1">TEXTJOIN2("
",TRUE,INDIRECT( $T$2):INDIRECT($T$3))</f>
        <v xml:space="preserve">								("SupplierCode"),
								("MonthStk"),
								("MinStk1"),
								("MinStk2"),
								("MinStk3"),
								("MinStk4"),
								("MinStk5"),
								("MinStk6"),
								("MinStk7"),
								("MinStk8"),
								("MinStk9"),
								("MinStk10"),
								("MinStk11"),
								("MinStk12"),
								("MinStk13"),
								("MinStk14"),
								("MinStk15"),
								("MaxStk1"),
								("MaxStk2"),
								("MaxStk3"),
								("MaxStk4"),
								("MaxStk5"),
								("MinStkConcept"),
								("MaxStkConcept"),
								("StkConcept"),
								("StkConceptFrq"),
								("IsActive"),</v>
      </c>
      <c r="V37" s="8" t="str">
        <f ca="1">TEXTJOIN2("
",TRUE,INDIRECT( $V$2):INDIRECT($V$3))</f>
        <v xml:space="preserve">								_ =&gt; _.SupplierCode,
								_ =&gt; _.MonthStk,
								_ =&gt; _.MinStk1,
								_ =&gt; _.MinStk2,
								_ =&gt; _.MinStk3,
								_ =&gt; _.MinStk4,
								_ =&gt; _.MinStk5,
								_ =&gt; _.MinStk6,
								_ =&gt; _.MinStk7,
								_ =&gt; _.MinStk8,
								_ =&gt; _.MinStk9,
								_ =&gt; _.MinStk10,
								_ =&gt; _.MinStk11,
								_ =&gt; _.MinStk12,
								_ =&gt; _.MinStk13,
								_ =&gt; _.MinStk14,
								_ =&gt; _.MinStk15,
								_ =&gt; _.MaxStk1,
								_ =&gt; _.MaxStk2,
								_ =&gt; _.MaxStk3,
								_ =&gt; _.MaxStk4,
								_ =&gt; _.MaxStk5,
								_ =&gt; _.MinStkConcept,
								_ =&gt; _.MaxStkConcept,
								_ =&gt; _.StkConcept,
								_ =&gt; _.StkConceptFrq,
								_ =&gt; _.IsActive,</v>
      </c>
      <c r="W37" s="8" t="str">
        <f ca="1">TEXTJOIN2("
",TRUE,INDIRECT( $W$2):INDIRECT($W$3))</f>
        <v xml:space="preserve">				.WhereIf(!string.IsNullOrWhiteSpace(input.SupplierCode), e =&gt; e.SupplierCode.Contains(input.SupplierCode))
				.WhereIf(!string.IsNullOrWhiteSpace(input.StkConcept), e =&gt; e.StkConcept.Contains(input.StkConcept))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43"/>
  <sheetViews>
    <sheetView workbookViewId="0">
      <selection activeCell="G8" sqref="G8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35.5703125" customWidth="1"/>
    <col min="9" max="9" width="31.7109375" customWidth="1"/>
    <col min="10" max="10" width="22.28515625" customWidth="1"/>
    <col min="11" max="11" width="45.140625" customWidth="1"/>
    <col min="12" max="12" width="51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x14ac:dyDescent="0.25">
      <c r="A1" s="38" t="s">
        <v>207</v>
      </c>
      <c r="B1" s="39" t="s">
        <v>387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232</v>
      </c>
      <c r="B2" s="39" t="str">
        <f>A.Backend!B4</f>
        <v>Inventory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232</v>
      </c>
      <c r="B3" s="39" t="str">
        <f>LOWER(B2)</f>
        <v>inventory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209</v>
      </c>
      <c r="B4" s="40" t="str">
        <f>A.Backend!Q3</f>
        <v>GPS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209</v>
      </c>
      <c r="B5" s="40" t="str">
        <f>LOWER(B4)</f>
        <v>gps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219</v>
      </c>
      <c r="B6" s="41" t="str">
        <f>A.Backend!B3</f>
        <v>InvGpsStockConcept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210</v>
      </c>
      <c r="B7" s="40" t="str">
        <f>A.Backend!B5</f>
        <v>InvGpsStockConcept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208</v>
      </c>
      <c r="B8" s="40" t="str">
        <f>LOWER(B7)</f>
        <v>invgpsstockconcept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211</v>
      </c>
      <c r="B9" s="51"/>
      <c r="C9" s="50"/>
      <c r="D9" s="50"/>
      <c r="E9" s="50"/>
      <c r="F9" s="50"/>
      <c r="G9" s="50"/>
      <c r="H9" s="42" t="s">
        <v>263</v>
      </c>
      <c r="I9" s="43" t="s">
        <v>264</v>
      </c>
      <c r="J9" s="42" t="s">
        <v>214</v>
      </c>
      <c r="K9" s="44" t="s">
        <v>251</v>
      </c>
      <c r="L9" s="43" t="s">
        <v>255</v>
      </c>
      <c r="M9" s="42" t="s">
        <v>244</v>
      </c>
      <c r="N9" s="42" t="s">
        <v>215</v>
      </c>
      <c r="O9" s="42" t="s">
        <v>216</v>
      </c>
      <c r="P9" s="43" t="s">
        <v>218</v>
      </c>
      <c r="Q9" s="42" t="s">
        <v>245</v>
      </c>
      <c r="R9" s="42" t="s">
        <v>228</v>
      </c>
      <c r="S9" s="28"/>
      <c r="T9" s="28"/>
      <c r="U9" s="28"/>
      <c r="V9" s="28"/>
    </row>
    <row r="10" spans="1:22" ht="18.75" customHeight="1" x14ac:dyDescent="0.25">
      <c r="A10" s="52" t="s">
        <v>212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InvGpsStockConceptDto, InvGpsStockConceptServiceProxy } from '@shared/service-proxies/service-proxies';
import { finalize } from 'rxjs/internal/operators/finalize';
import { CreateOrEditInvGpsStockConceptModalComponent } from './create-or-edit-invgpsstockconcept-modal.component';
import { DatePipe } from '@angular/common';
import { FileDownloadService } from '@shared/utils/file-download.service';
import ceil from 'lodash-es/ceil';
import { Paginator } from 'primeng/paginator';
@Component({
    templateUrl: './invgpsstockconcept.component.html',
    styleUrls: ['./invgpsstockconcept.component.less'],
})
export class InvGpsStockConceptComponent extends AppComponentBase implements OnInit {
    @ViewChild('createOrEditModalInvGpsStockConcept', { static: true }) createOrEditModalInvGpsStockConcept:| CreateOrEditInvGpsStockConceptModalComponent|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InvGpsStockConceptDto = new InvGpsStockConceptDto();
    saveSelectedRow: InvGpsStockConceptDto = new InvGpsStockConceptDto();
    datas: InvGpsStockConceptDto = new InvGpsStockConceptDto();
    isLoading: boolean = false;
    dataParams: GridParams | undefined;
    rowData: any[] = [];
    gridApi!: GridApi;
    rowSelection = 'multiple';
    filter: string = '';
	pipe = new DatePipe('en-US');
	frameworkComponents: FrameworkComponent;
    	supplierCode : string = '' ; 
	stkConcept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InvGpsStockConceptServiceProxy,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this.l('Supplier Code'),headerTooltip: this.l('Supplier Code'),field: 'supplierCode',flex: 1},
			{headerName: this.l('Month Stk'),headerTooltip: this.l('Month Stk'),field: 'monthStk',flex: 1},
			{headerName: this.l('Min Stk 1'),headerTooltip: this.l('Min Stk 1'),field: 'minStk1',flex: 1},
			{headerName: this.l('Min Stk 2'),headerTooltip: this.l('Min Stk 2'),field: 'minStk2',flex: 1},
			{headerName: this.l('Min Stk 3'),headerTooltip: this.l('Min Stk 3'),field: 'minStk3',flex: 1},
			{headerName: this.l('Min Stk 4'),headerTooltip: this.l('Min Stk 4'),field: 'minStk4',flex: 1},
			{headerName: this.l('Min Stk 5'),headerTooltip: this.l('Min Stk 5'),field: 'minStk5',flex: 1},
			{headerName: this.l('Min Stk 6'),headerTooltip: this.l('Min Stk 6'),field: 'minStk6',flex: 1},
			{headerName: this.l('Min Stk 7'),headerTooltip: this.l('Min Stk 7'),field: 'minStk7',flex: 1},
			{headerName: this.l('Min Stk 8'),headerTooltip: this.l('Min Stk 8'),field: 'minStk8',flex: 1},
			{headerName: this.l('Min Stk 9'),headerTooltip: this.l('Min Stk 9'),field: 'minStk9',flex: 1},
			{headerName: this.l('Min Stk 10'),headerTooltip: this.l('Min Stk 10'),field: 'minStk10',flex: 1},
			{headerName: this.l('Min Stk 11'),headerTooltip: this.l('Min Stk 11'),field: 'minStk11',flex: 1},
			{headerName: this.l('Min Stk 12'),headerTooltip: this.l('Min Stk 12'),field: 'minStk12',flex: 1},
			{headerName: this.l('Min Stk 13'),headerTooltip: this.l('Min Stk 13'),field: 'minStk13',flex: 1},
			{headerName: this.l('Min Stk 14'),headerTooltip: this.l('Min Stk 14'),field: 'minStk14',flex: 1},
			{headerName: this.l('Min Stk 15'),headerTooltip: this.l('Min Stk 15'),field: 'minStk15',flex: 1},
			{headerName: this.l('Max Stk 1'),headerTooltip: this.l('Max Stk 1'),field: 'maxStk1',flex: 1},
			{headerName: this.l('Max Stk 2'),headerTooltip: this.l('Max Stk 2'),field: 'maxStk2',flex: 1},
			{headerName: this.l('Max Stk 3'),headerTooltip: this.l('Max Stk 3'),field: 'maxStk3',flex: 1},
			{headerName: this.l('Max Stk 4'),headerTooltip: this.l('Max Stk 4'),field: 'maxStk4',flex: 1},
			{headerName: this.l('Max Stk 5'),headerTooltip: this.l('Max Stk 5'),field: 'maxStk5',flex: 1},
			{headerName: this.l('Min Stk Concept'),headerTooltip: this.l('Min Stk Concept'),field: 'minStkConcept',flex: 1},
			{headerName: this.l('Max Stk Concept'),headerTooltip: this.l('Max Stk Concept'),field: 'maxStkConcept',flex: 1},
			{headerName: this.l('Stk Concept'),headerTooltip: this.l('Stk Concept'),field: 'stkConcept',flex: 1},
			{headerName: this.l('Stk Concept Frq'),headerTooltip: this.l('Stk Concept Frq'),field: 'stkConceptFrq',flex: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this.,
			this.maxStkConcept,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supplierCode : string = '' ; 
	stkConcept : string = '' ; 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this.,
			this.maxStkConcept,
			'',
            this.paginationParams.skipCount,
            this.paginationParams.pageSize
        );
    }
    onChangeRowSelection(params: { api: { getSelectedRows: () =&gt; InvGpsStockConceptDto[] } }) {
        this.saveSelectedRow = params.api.getSelectedRows()[0] ?? new InvGpsStockConceptDto();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InvGpsStockConceptDto):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this._service.getInvGpsStockConceptToExcel(
			this.,
			this.maxStkConcept,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Stock Concept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[(ngModel)]='supplierCode' name='supplierCode'
									class='form-control' [placeholder]="l('Supplier Code')"
									type='text' (keyup.enter)='searchDatas()'&gt;
								&lt;/div&gt;
								&lt;div class='input-search'&gt;
									&lt;input [(ngModel)]='stkConcept' name='stkConcept'
									class='form-control' [placeholder]="l('Stk Concept')"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(click)="createOrEditModalInvGpsStockConcept.show()"&gt;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(click)="createOrEditModalInvGpsStockConcept.show(selectedRow)"&gt;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&lt;create-or-edit-invgpsstockconcept-modal
    #createOrEditModalInvGpsStockConcept
    (modalSave)="callBackDataGrid(dataParams)"
    (modalClose)="onChangeRowSelection(dataParams)"
&gt;
&lt;/create-or-edit-invgpsstockconcept-modal&gt;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#createOrEditModalInvGpsStockConcept="bs-modal"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InvGpsStockConcept')}}&lt;/h3&gt;
                    &lt;h3 *ngIf="!rowdata.id"&gt;{{('Create New InvGpsStockConcept')}}&lt;/h3&gt;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title'&gt;Supplier Code&lt;/label&gt;
						&lt;input type='text' class='col-md-10 form-control input-text' name='SupplierCode' [(ngModel)]='rowdata.supplierCode'&gt;
					&lt;/div&gt;
					&lt;div class='col-md-12 form-group row'&gt;
						&lt;label class='col-md-2 form-control title'&gt;Month Stk&lt;/label&gt;
						&lt;input type='text' class='col-md-10 form-control input-text' name='monthStk' 
						#datepicker='bsDatepicker' [(ngModel)]='rowdata.monthStk'  bsDatepicker &gt;
					&lt;/div&gt;
					&lt;div class='col-md-12 form-group row'&gt;
						&lt;label class='col-md-2 form-control title'&gt;Stk Concept&lt;/label&gt;
						&lt;input type='text' class='col-md-10 form-control input-text' name='StkConcept' [(ngModel)]='rowdata.stkConcept'&gt;
					&lt;/div&gt;
					&lt;div class='col-md-12 form-group row'&gt;
						&lt;label class='col-md-2 form-control title'&gt;Stk Concept Frq&lt;/label&gt;
						&lt;input type='number' class='col-md-10 form-control input-text' name='StkConceptFrq' [(ngModel)]='rowdata.stkConceptFrq'&gt;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CreateOrEditInvGpsStockConceptDto, InvGpsStockConceptServiceProxy } from '@shared/service-proxies/service-proxies';
import { BsDatepickerDirective } from 'ngx-bootstrap/datepicker';
@Component({
    selector: 'create-or-edit-invgpsstockconcept-modal',
    templateUrl: './create-or-edit-invgpsstockconcept-modal.component.html',
    styleUrls: ['./create-or-edit-invgpsstockconcept-modal.component.less']
    })
export class CreateOrEditInvGpsStockConceptModalComponent extends AppComponentBase {
    @ViewChild('createOrEditModalInvGpsStockConcept',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CreateOrEditInvGpsStockConceptDto = new CreateOrEditInvGpsStockConceptDto();
    active: boolean = false;
    saving: boolean = false;
    _isActive: boolean;
    constructor(
        injector: Injector,
        private _mstwptInvGpsStockConceptService: InvGpsStockConceptServiceProxy,
    ) 
    {
        super(injector);
    }
    show(rowdata?: CreateOrEditInvGpsStockConceptDto): void {
        if (!rowdata) this.rowdata = new CreateOrEditInvGpsStockConceptDto();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this._mstwptInvGpsStockConceptService.createOrEdit(this.rowdata)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InvGpsStockConceptRoutingModule } from './invgpsstockconcept-routing.module';
import { InvGpsStockConceptComponent } from './invgpsstockconcept.component';
import { CreateOrEditInvGpsStockConceptModalComponent } from './create-or-edit-invgpsstockconcept-modal.component';
@NgModule({
    declarations: [
       InvGpsStockConceptComponent, 
        CreateOrEditInvGpsStockConceptModalComponent
    ],
    imports: [
        AppSharedModule, InvGpsStockConceptRoutingModule]
})
export class InvGpsStockConceptModule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InvGpsStockConceptComponent } from './invgpsstockconcept.component';
const routes: Routes = [{
    path: '',
    component: InvGpsStockConceptComponent,
    pathMatch: 'full'
}];
@NgModule({
    imports: [RouterModule.forChild(routes)],
    exports: [RouterModule],
})
export class InvGpsStockConceptRoutingModule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AppMenuItem("InvGpsStockConcept", "Pages.Inventory.GPS.InvGpsStockConcept", "flaticon-book",   "/app/main/inventory/gps/invgpsstockconcept"),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'inventory/gps/invgpsstockconcept',
    loadChildren: () =&gt; import('./inventory/gps/invgpsstockconcept/invgpsstockconcept.module').then(m =&gt; m.InvGpsStockConceptModule),
    data: { permission: 'Pages.Inventory.GPS.InvGpsStockConcept' }
},</v>
      </c>
      <c r="R10" s="47" t="str">
        <f>SUBSTITUTE(R9,"MstWptCalendar",$B$6)</f>
        <v>ApiServiceProxies.InvGpsStockConceptServiceProxy,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243</v>
      </c>
      <c r="I11" s="28" t="s">
        <v>256</v>
      </c>
      <c r="J11" s="28"/>
      <c r="K11" s="28" t="s">
        <v>254</v>
      </c>
      <c r="L11" s="28" t="s">
        <v>257</v>
      </c>
      <c r="M11" s="35"/>
      <c r="N11" s="28"/>
      <c r="O11" s="28"/>
      <c r="P11" s="28"/>
      <c r="Q11" s="28"/>
      <c r="R11" s="28"/>
      <c r="S11" s="28" t="s">
        <v>248</v>
      </c>
      <c r="T11" s="28" t="s">
        <v>249</v>
      </c>
      <c r="U11" s="28" t="s">
        <v>258</v>
      </c>
      <c r="V11" s="28" t="s">
        <v>260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H41</v>
      </c>
      <c r="I12" s="28" t="str">
        <f>"I"&amp;COUNTA($A:$A)</f>
        <v>I41</v>
      </c>
      <c r="J12" s="28"/>
      <c r="K12" s="28" t="str">
        <f>"K"&amp;COUNTA($A:$A)</f>
        <v>K41</v>
      </c>
      <c r="L12" s="28" t="str">
        <f>"L"&amp;COUNTA($A:$A)</f>
        <v>L41</v>
      </c>
      <c r="M12" s="28"/>
      <c r="N12" s="28"/>
      <c r="O12" s="28"/>
      <c r="P12" s="28"/>
      <c r="Q12" s="28"/>
      <c r="R12" s="28"/>
      <c r="S12" s="28" t="str">
        <f>"S"&amp;COUNTA($A:$A)</f>
        <v>S41</v>
      </c>
      <c r="T12" s="28" t="str">
        <f>"T"&amp;COUNTA($A:$A)</f>
        <v>T41</v>
      </c>
      <c r="U12" s="28" t="str">
        <f>"U"&amp;COUNTA($A:$A)</f>
        <v>U41</v>
      </c>
      <c r="V12" s="28" t="str">
        <f>"V"&amp;COUNTA($A:$A)</f>
        <v>V41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this.l('Supplier Code'),headerTooltip: this.l('Supplier Code'),field: 'supplierCode',flex: 1},
			{headerName: this.l('Month Stk'),headerTooltip: this.l('Month Stk'),field: 'monthStk',flex: 1},
			{headerName: this.l('Min Stk 1'),headerTooltip: this.l('Min Stk 1'),field: 'minStk1',flex: 1},
			{headerName: this.l('Min Stk 2'),headerTooltip: this.l('Min Stk 2'),field: 'minStk2',flex: 1},
			{headerName: this.l('Min Stk 3'),headerTooltip: this.l('Min Stk 3'),field: 'minStk3',flex: 1},
			{headerName: this.l('Min Stk 4'),headerTooltip: this.l('Min Stk 4'),field: 'minStk4',flex: 1},
			{headerName: this.l('Min Stk 5'),headerTooltip: this.l('Min Stk 5'),field: 'minStk5',flex: 1},
			{headerName: this.l('Min Stk 6'),headerTooltip: this.l('Min Stk 6'),field: 'minStk6',flex: 1},
			{headerName: this.l('Min Stk 7'),headerTooltip: this.l('Min Stk 7'),field: 'minStk7',flex: 1},
			{headerName: this.l('Min Stk 8'),headerTooltip: this.l('Min Stk 8'),field: 'minStk8',flex: 1},
			{headerName: this.l('Min Stk 9'),headerTooltip: this.l('Min Stk 9'),field: 'minStk9',flex: 1},
			{headerName: this.l('Min Stk 10'),headerTooltip: this.l('Min Stk 10'),field: 'minStk10',flex: 1},
			{headerName: this.l('Min Stk 11'),headerTooltip: this.l('Min Stk 11'),field: 'minStk11',flex: 1},
			{headerName: this.l('Min Stk 12'),headerTooltip: this.l('Min Stk 12'),field: 'minStk12',flex: 1},
			{headerName: this.l('Min Stk 13'),headerTooltip: this.l('Min Stk 13'),field: 'minStk13',flex: 1},
			{headerName: this.l('Min Stk 14'),headerTooltip: this.l('Min Stk 14'),field: 'minStk14',flex: 1},
			{headerName: this.l('Min Stk 15'),headerTooltip: this.l('Min Stk 15'),field: 'minStk15',flex: 1},
			{headerName: this.l('Max Stk 1'),headerTooltip: this.l('Max Stk 1'),field: 'maxStk1',flex: 1},
			{headerName: this.l('Max Stk 2'),headerTooltip: this.l('Max Stk 2'),field: 'maxStk2',flex: 1},
			{headerName: this.l('Max Stk 3'),headerTooltip: this.l('Max Stk 3'),field: 'maxStk3',flex: 1},
			{headerName: this.l('Max Stk 4'),headerTooltip: this.l('Max Stk 4'),field: 'maxStk4',flex: 1},
			{headerName: this.l('Max Stk 5'),headerTooltip: this.l('Max Stk 5'),field: 'maxStk5',flex: 1},
			{headerName: this.l('Min Stk Concept'),headerTooltip: this.l('Min Stk Concept'),field: 'minStkConcept',flex: 1},
			{headerName: this.l('Max Stk Concept'),headerTooltip: this.l('Max Stk Concept'),field: 'maxStkConcept',flex: 1},
			{headerName: this.l('Stk Concept'),headerTooltip: this.l('Stk Concept'),field: 'stkConcept',flex: 1},
			{headerName: this.l('Stk Concept Frq'),headerTooltip: this.l('Stk Concept Frq'),field: 'stkConceptFrq',flex: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5" t="str">
        <f ca="1">TEXTJOIN2("
",TRUE,INDIRECT(I11):INDIRECT(I12))</f>
        <v xml:space="preserve">								&lt;div class='input-search'&gt;
									&lt;input [(ngModel)]='supplierCode' name='supplierCode'
									class='form-control' [placeholder]="l('Supplier Code')"
									type='text' (keyup.enter)='searchDatas()'&gt;
								&lt;/div&gt;
								&lt;div class='input-search'&gt;
									&lt;input [(ngModel)]='stkConcept' name='stkConcept'
									class='form-control' [placeholder]="l('Stk Concept')"
									type='text' (keyup.enter)='searchDatas()'&gt;
								&lt;/div&gt;
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title'&gt;Supplier Code&lt;/label&gt;
						&lt;input type='text' class='col-md-10 form-control input-text' name='SupplierCode' [(ngModel)]='rowdata.supplierCode'&gt;
					&lt;/div&gt;
					&lt;div class='col-md-12 form-group row'&gt;
						&lt;label class='col-md-2 form-control title'&gt;Month Stk&lt;/label&gt;
						&lt;input type='text' class='col-md-10 form-control input-text' name='monthStk' 
						#datepicker='bsDatepicker' [(ngModel)]='rowdata.monthStk'  bsDatepicker &gt;
					&lt;/div&gt;
					&lt;div class='col-md-12 form-group row'&gt;
						&lt;label class='col-md-2 form-control title'&gt;Stk Concept&lt;/label&gt;
						&lt;input type='text' class='col-md-10 form-control input-text' name='StkConcept' [(ngModel)]='rowdata.stkConcept'&gt;
					&lt;/div&gt;
					&lt;div class='col-md-12 form-group row'&gt;
						&lt;label class='col-md-2 form-control title'&gt;Stk Concept Frq&lt;/label&gt;
						&lt;input type='number' class='col-md-10 form-control input-text' name='StkConceptFrq' [(ngModel)]='rowdata.stkConceptFrq'&gt;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2" t="str">
        <f ca="1">TEXTJOIN2("
",TRUE,INDIRECT(S11):INDIRECT(S12))</f>
        <v xml:space="preserve">	supplierCode : string = '' ; 
	stkConcept : string = '' ; 
</v>
      </c>
      <c r="T13" s="62" t="str">
        <f ca="1">TEXTJOIN2("
",TRUE,INDIRECT(T11):INDIRECT(T12))</f>
        <v xml:space="preserve">			this.,
			this.maxStkConcept,
</v>
      </c>
      <c r="U13" s="62" t="str">
        <f ca="1">TEXTJOIN2("
",TRUE,INDIRECT(U11):INDIRECT(U12))</f>
        <v xml:space="preserve">	supplierCode : string = '' ; 
	stkConcept : string = '' ; 
</v>
      </c>
      <c r="V13" s="28" t="str">
        <f ca="1">TEXTJOIN2("
",TRUE,INDIRECT(V11):INDIRECT(V12))</f>
        <v>isActive</v>
      </c>
    </row>
    <row r="14" spans="1:22" x14ac:dyDescent="0.25">
      <c r="A14" s="38" t="s">
        <v>213</v>
      </c>
      <c r="B14" s="28"/>
      <c r="C14" s="28"/>
      <c r="D14" s="28"/>
      <c r="E14" s="28"/>
      <c r="F14" s="28"/>
      <c r="G14" s="28"/>
      <c r="H14" s="36" t="str">
        <f>B8&amp;".component.ts"</f>
        <v>invgpsstockconcept.component.ts</v>
      </c>
      <c r="I14" s="37" t="str">
        <f>B8&amp;".component.html"</f>
        <v>invgpsstockconcept.component.html</v>
      </c>
      <c r="J14" s="36" t="str">
        <f>B8&amp;".component.less"</f>
        <v>invgpsstockconcept.component.less</v>
      </c>
      <c r="K14" s="37" t="str">
        <f>"create-or-edit-"&amp;B8&amp;"-modal.component.html"</f>
        <v>create-or-edit-invgpsstockconcept-modal.component.html</v>
      </c>
      <c r="L14" s="37" t="str">
        <f>"create-or-edit-"&amp;B8&amp;"-modal.component.ts"</f>
        <v>create-or-edit-invgpsstockconcept-modal.component.ts</v>
      </c>
      <c r="M14" s="37" t="str">
        <f>"create-or-edit-"&amp;B8&amp;"-modal.component.less"</f>
        <v>create-or-edit-invgpsstockconcept-modal.component.less</v>
      </c>
      <c r="N14" s="37" t="str">
        <f>B8&amp;".module.ts"</f>
        <v>invgpsstockconcept.module.ts</v>
      </c>
      <c r="O14" s="37" t="str">
        <f>B8&amp;"-routing.module.ts"</f>
        <v>invgpsstockconcept-routing.module.ts</v>
      </c>
      <c r="P14" s="37" t="s">
        <v>217</v>
      </c>
      <c r="Q14" s="37" t="s">
        <v>220</v>
      </c>
      <c r="R14" s="38" t="s">
        <v>227</v>
      </c>
      <c r="S14" s="37" t="s">
        <v>246</v>
      </c>
      <c r="T14" s="37" t="s">
        <v>247</v>
      </c>
      <c r="U14" s="37" t="s">
        <v>250</v>
      </c>
      <c r="V14" s="37" t="s">
        <v>259</v>
      </c>
    </row>
    <row r="15" spans="1:22" ht="15" customHeight="1" x14ac:dyDescent="0.25">
      <c r="A15" t="s">
        <v>358</v>
      </c>
      <c r="B15" s="28" t="str">
        <f t="shared" ref="B15" si="0">SUBSTITUTE(PROPER(A15),"_","")</f>
        <v>SupplierCode</v>
      </c>
      <c r="C15" s="28" t="str">
        <f t="shared" ref="C15" si="1">SUBSTITUTE(PROPER(A15),"_"," ")</f>
        <v>Supplier Code</v>
      </c>
      <c r="D15" s="28" t="str">
        <f t="shared" ref="D15" si="2">LOWER(LEFT(B15,1))&amp;RIGHT(B15,LEN(B15) - 1)</f>
        <v>supplierCode</v>
      </c>
      <c r="E15" s="28" t="str">
        <f>A.Backend!H9</f>
        <v>string</v>
      </c>
      <c r="F15" s="28" t="str">
        <f>A.Backend!G9</f>
        <v>10</v>
      </c>
      <c r="G15" s="28" t="str">
        <f t="shared" ref="G15" si="3">IF(E15="string"," : string = '' ; ",IF(OR(E15="DateTime",E15="TimeSpan")," : any ;",IF(E15="int"," : number = 0 ;","")))</f>
        <v xml:space="preserve"> : string = '' ; </v>
      </c>
      <c r="H15" s="35" t="str">
        <f t="shared" ref="H15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this.l('Supplier Code'),headerTooltip: this.l('Supplier Code'),field: 'supplierCode',flex: 1},</v>
      </c>
      <c r="I15" s="35" t="str">
        <f t="shared" ref="I15:I41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IF(AND(E15="string",F15 &lt;&gt;"1"),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[(ngModel)]='supplierCode' name='supplierCode'
									class='form-control' [placeholder]="l('Supplier Code')"
									type='text' (keyup.enter)='searchDatas()'&gt;
								&lt;/div&gt;</v>
      </c>
      <c r="J15" s="28"/>
      <c r="K15" s="35" t="str">
        <f>IF(OR(E15="DateTime?",E15="TimeSpan?"),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IF(OR(E15="int?",E15="long?"),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title'&gt;Supplier Code&lt;/label&gt;
						&lt;input type='text' class='col-md-10 form-control input-text' name='SupplierCode' [(ngModel)]='rowdata.supplierCode'&gt;
					&lt;/div&gt;</v>
      </c>
      <c r="L15" s="56" t="str">
        <f t="shared" ref="L15" si="6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IF(AND(E15="string",F15 &lt;&gt;"1"),(REPT(CHAR(9),1)&amp;D15&amp;G15),"")</f>
        <v xml:space="preserve">	supplierCode : string = '' ; </v>
      </c>
      <c r="T15" s="28" t="str">
        <f>IF(AND(E15="string",F15 &lt;&gt;"1"),(REPT(CHAR(9),3)&amp;"this."&amp;D14&amp;","),"")</f>
        <v xml:space="preserve">			this.,</v>
      </c>
      <c r="U15" s="28" t="str">
        <f>IF(AND(E15="string",F15 &lt;&gt;"1"),(REPT(CHAR(9),1)&amp;D15&amp;G15),"")</f>
        <v xml:space="preserve">	supplierCode : string = '' ; </v>
      </c>
      <c r="V15" s="28" t="str">
        <f t="shared" ref="V15" si="7">IF(AND(E15="string",F15="1"),D15,"")</f>
        <v/>
      </c>
    </row>
    <row r="16" spans="1:22" ht="18" customHeight="1" x14ac:dyDescent="0.25">
      <c r="A16" t="s">
        <v>360</v>
      </c>
      <c r="B16" s="28" t="str">
        <f t="shared" ref="B16:B41" si="8">SUBSTITUTE(PROPER(A16),"_","")</f>
        <v>MonthStk</v>
      </c>
      <c r="C16" s="28" t="str">
        <f t="shared" ref="C16:C41" si="9">SUBSTITUTE(PROPER(A16),"_"," ")</f>
        <v>Month Stk</v>
      </c>
      <c r="D16" s="28" t="str">
        <f t="shared" ref="D16:D41" si="10">LOWER(LEFT(B16,1))&amp;RIGHT(B16,LEN(B16) - 1)</f>
        <v>monthStk</v>
      </c>
      <c r="E16" s="28" t="str">
        <f>A.Backend!H10</f>
        <v>DateTime?</v>
      </c>
      <c r="F16" s="28" t="str">
        <f>A.Backend!G10</f>
        <v/>
      </c>
      <c r="G16" s="28" t="str">
        <f t="shared" ref="G16:G41" si="11">IF(E16="string"," : string = '' ; ",IF(OR(E16="DateTime",E16="TimeSpan")," : any ;",IF(E16="int"," : number = 0 ;","")))</f>
        <v/>
      </c>
      <c r="H16" s="35" t="str">
        <f t="shared" ref="H16:H41" si="12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this.l('Month Stk'),headerTooltip: this.l('Month Stk'),field: 'monthStk',flex: 1},</v>
      </c>
      <c r="I16" s="35" t="str">
        <f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IF(AND(E16="string",F16 &lt;&gt;"1"),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/>
      </c>
      <c r="J16" s="28"/>
      <c r="K16" s="35" t="str">
        <f t="shared" ref="K16:K41" si="13">IF(OR(E16="DateTime?",E16="TimeSpan?"),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IF(OR(E16="int?",E16="long?"),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title'&gt;Month Stk&lt;/label&gt;
						&lt;input type='text' class='col-md-10 form-control input-text' name='monthStk' 
						#datepicker='bsDatepicker' [(ngModel)]='rowdata.monthStk'  bsDatepicker &gt;
					&lt;/div&gt;</v>
      </c>
      <c r="L16" s="56" t="str">
        <f t="shared" ref="L16" si="14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41" si="15">IF(AND(E16="string",F16 &lt;&gt;"1"),(REPT(CHAR(9),1)&amp;D16&amp;G16),"")</f>
        <v/>
      </c>
      <c r="T16" s="28" t="str">
        <f>IF(AND(E16="string",F16 &lt;&gt;"1"),(REPT(CHAR(9),3)&amp;"this."&amp;D15&amp;","),"")</f>
        <v/>
      </c>
      <c r="U16" s="28" t="str">
        <f t="shared" ref="U16:U41" si="16">IF(AND(E16="string",F16 &lt;&gt;"1"),(REPT(CHAR(9),1)&amp;D16&amp;G16),"")</f>
        <v/>
      </c>
      <c r="V16" s="28" t="str">
        <f t="shared" ref="V16:V41" si="17">IF(AND(E16="string",F16="1"),D16,"")</f>
        <v/>
      </c>
    </row>
    <row r="17" spans="1:22" ht="18" customHeight="1" x14ac:dyDescent="0.25">
      <c r="A17" t="s">
        <v>361</v>
      </c>
      <c r="B17" s="28" t="str">
        <f t="shared" si="8"/>
        <v>MinStk1</v>
      </c>
      <c r="C17" s="28" t="str">
        <f t="shared" si="9"/>
        <v>Min Stk 1</v>
      </c>
      <c r="D17" s="28" t="str">
        <f t="shared" si="10"/>
        <v>minStk1</v>
      </c>
      <c r="E17" s="28" t="str">
        <f>A.Backend!H11</f>
        <v>decimal?</v>
      </c>
      <c r="F17" s="28" t="str">
        <f>A.Backend!G11</f>
        <v>7, 2</v>
      </c>
      <c r="G17" s="28" t="str">
        <f t="shared" si="11"/>
        <v/>
      </c>
      <c r="H17" s="35" t="str">
        <f t="shared" si="12"/>
        <v xml:space="preserve">			{headerName: this.l('Min Stk 1'),headerTooltip: this.l('Min Stk 1'),field: 'minStk1',flex: 1},</v>
      </c>
      <c r="I17" s="35" t="str">
        <f t="shared" si="5"/>
        <v/>
      </c>
      <c r="J17" s="28"/>
      <c r="K17" s="35" t="str">
        <f t="shared" si="13"/>
        <v/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5"/>
        <v/>
      </c>
      <c r="T17" s="28" t="str">
        <f t="shared" ref="T17:T20" si="18">IF(AND(E17="string",F17 &lt;&gt;"1"),(REPT(CHAR(9),3)&amp;"this."&amp;D16&amp;","),"")</f>
        <v/>
      </c>
      <c r="U17" s="28" t="str">
        <f t="shared" si="16"/>
        <v/>
      </c>
      <c r="V17" s="28" t="str">
        <f t="shared" si="17"/>
        <v/>
      </c>
    </row>
    <row r="18" spans="1:22" ht="15" customHeight="1" x14ac:dyDescent="0.25">
      <c r="A18" t="s">
        <v>363</v>
      </c>
      <c r="B18" s="28" t="str">
        <f t="shared" si="8"/>
        <v>MinStk2</v>
      </c>
      <c r="C18" s="28" t="str">
        <f t="shared" si="9"/>
        <v>Min Stk 2</v>
      </c>
      <c r="D18" s="28" t="str">
        <f t="shared" si="10"/>
        <v>minStk2</v>
      </c>
      <c r="E18" s="28" t="str">
        <f>A.Backend!H12</f>
        <v>decimal?</v>
      </c>
      <c r="F18" s="28" t="str">
        <f>A.Backend!G12</f>
        <v>7, 2</v>
      </c>
      <c r="G18" s="28" t="str">
        <f t="shared" si="11"/>
        <v/>
      </c>
      <c r="H18" s="35" t="str">
        <f t="shared" si="12"/>
        <v xml:space="preserve">			{headerName: this.l('Min Stk 2'),headerTooltip: this.l('Min Stk 2'),field: 'minStk2',flex: 1},</v>
      </c>
      <c r="I18" s="35" t="str">
        <f t="shared" si="5"/>
        <v/>
      </c>
      <c r="J18" s="28"/>
      <c r="K18" s="35" t="str">
        <f t="shared" si="13"/>
        <v/>
      </c>
      <c r="L18" s="56" t="str">
        <f t="shared" ref="L18:L41" si="19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si="15"/>
        <v/>
      </c>
      <c r="T18" s="28" t="str">
        <f t="shared" si="18"/>
        <v/>
      </c>
      <c r="U18" s="28" t="str">
        <f t="shared" si="16"/>
        <v/>
      </c>
      <c r="V18" s="28" t="str">
        <f t="shared" si="17"/>
        <v/>
      </c>
    </row>
    <row r="19" spans="1:22" ht="18" customHeight="1" x14ac:dyDescent="0.25">
      <c r="A19" t="s">
        <v>364</v>
      </c>
      <c r="B19" s="28" t="str">
        <f t="shared" si="8"/>
        <v>MinStk3</v>
      </c>
      <c r="C19" s="28" t="str">
        <f t="shared" si="9"/>
        <v>Min Stk 3</v>
      </c>
      <c r="D19" s="28" t="str">
        <f t="shared" si="10"/>
        <v>minStk3</v>
      </c>
      <c r="E19" s="28" t="str">
        <f>A.Backend!H13</f>
        <v>decimal?</v>
      </c>
      <c r="F19" s="28" t="str">
        <f>A.Backend!G13</f>
        <v>7, 2</v>
      </c>
      <c r="G19" s="28" t="str">
        <f t="shared" si="11"/>
        <v/>
      </c>
      <c r="H19" s="35" t="str">
        <f t="shared" si="12"/>
        <v xml:space="preserve">			{headerName: this.l('Min Stk 3'),headerTooltip: this.l('Min Stk 3'),field: 'minStk3',flex: 1},</v>
      </c>
      <c r="I19" s="35" t="str">
        <f>IF(E19="DateTime",
REPT(CHAR(9),8)&amp;"&lt;div class='input-search'&gt;
"&amp;REPT(CHAR(9),9)&amp;"&lt;input type='text' [placeholder]=""l('"&amp;C19&amp;"')"" [(ngModel)]='"&amp;D19&amp;"' 
"&amp;REPT(CHAR(9),9)&amp;"name='"&amp;D19&amp;"'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IF(AND(E19="string",F19 &lt;&gt;"1"),
REPT(CHAR(9),8)&amp;"&lt;div class='input-search'&gt;
"&amp;REPT(CHAR(9),9)&amp;"&lt;input [(ngModel)]='"&amp;D19&amp;"' name='"&amp;D19&amp;"'
"&amp;REPT(CHAR(9),9)&amp;"class='form-control' [placeholder]=""l('"&amp;C19&amp;"')""
"&amp;REPT(CHAR(9),9)&amp;"type='text' (keyup.enter)='searchDatas()'&gt;
"&amp;REPT(CHAR(9),8)&amp;"&lt;/div&gt;",""))</f>
        <v/>
      </c>
      <c r="J19" s="28"/>
      <c r="K19" s="35" t="str">
        <f t="shared" si="13"/>
        <v/>
      </c>
      <c r="L19" s="56" t="str">
        <f t="shared" si="19"/>
        <v/>
      </c>
      <c r="M19" s="28"/>
      <c r="N19" s="28"/>
      <c r="O19" s="28"/>
      <c r="P19" s="28"/>
      <c r="Q19" s="28"/>
      <c r="R19" s="28"/>
      <c r="S19" s="28" t="str">
        <f t="shared" si="15"/>
        <v/>
      </c>
      <c r="T19" s="28" t="str">
        <f t="shared" si="18"/>
        <v/>
      </c>
      <c r="U19" s="28" t="str">
        <f t="shared" si="16"/>
        <v/>
      </c>
      <c r="V19" s="28" t="str">
        <f t="shared" si="17"/>
        <v/>
      </c>
    </row>
    <row r="20" spans="1:22" ht="15" customHeight="1" x14ac:dyDescent="0.25">
      <c r="A20" t="s">
        <v>365</v>
      </c>
      <c r="B20" s="28" t="str">
        <f t="shared" si="8"/>
        <v>MinStk4</v>
      </c>
      <c r="C20" s="28" t="str">
        <f t="shared" si="9"/>
        <v>Min Stk 4</v>
      </c>
      <c r="D20" s="28" t="str">
        <f t="shared" si="10"/>
        <v>minStk4</v>
      </c>
      <c r="E20" s="28" t="str">
        <f>A.Backend!H14</f>
        <v>decimal?</v>
      </c>
      <c r="F20" s="28" t="str">
        <f>A.Backend!G14</f>
        <v>7, 2</v>
      </c>
      <c r="G20" s="28" t="str">
        <f t="shared" si="11"/>
        <v/>
      </c>
      <c r="H20" s="35" t="str">
        <f t="shared" si="12"/>
        <v xml:space="preserve">			{headerName: this.l('Min Stk 4'),headerTooltip: this.l('Min Stk 4'),field: 'minStk4',flex: 1},</v>
      </c>
      <c r="I20" s="35" t="str">
        <f t="shared" si="5"/>
        <v/>
      </c>
      <c r="J20" s="28"/>
      <c r="K20" s="35" t="str">
        <f t="shared" si="13"/>
        <v/>
      </c>
      <c r="L20" s="56" t="str">
        <f t="shared" si="19"/>
        <v/>
      </c>
      <c r="M20" s="28"/>
      <c r="N20" s="28"/>
      <c r="O20" s="28"/>
      <c r="P20" s="28"/>
      <c r="Q20" s="28"/>
      <c r="R20" s="28"/>
      <c r="S20" s="28" t="str">
        <f t="shared" si="15"/>
        <v/>
      </c>
      <c r="T20" s="28" t="str">
        <f t="shared" si="18"/>
        <v/>
      </c>
      <c r="U20" s="28" t="str">
        <f t="shared" si="16"/>
        <v/>
      </c>
      <c r="V20" s="28" t="str">
        <f t="shared" si="17"/>
        <v/>
      </c>
    </row>
    <row r="21" spans="1:22" ht="18" customHeight="1" x14ac:dyDescent="0.25">
      <c r="A21" t="s">
        <v>366</v>
      </c>
      <c r="B21" s="28" t="str">
        <f t="shared" si="8"/>
        <v>MinStk5</v>
      </c>
      <c r="C21" s="28" t="str">
        <f t="shared" si="9"/>
        <v>Min Stk 5</v>
      </c>
      <c r="D21" s="28" t="str">
        <f t="shared" si="10"/>
        <v>minStk5</v>
      </c>
      <c r="E21" s="28" t="str">
        <f>A.Backend!H15</f>
        <v>decimal?</v>
      </c>
      <c r="F21" s="28" t="str">
        <f>A.Backend!G15</f>
        <v>7, 2</v>
      </c>
      <c r="G21" s="28" t="str">
        <f t="shared" ref="G21:G25" si="20">IF(E21="string"," : string = '' ; ",IF(OR(E21="DateTime",E21="TimeSpan")," : any ;",IF(E21="int"," : number = 0 ;","")))</f>
        <v/>
      </c>
      <c r="H21" s="35" t="str">
        <f t="shared" ref="H21:H25" si="21">IF(E21="DateTime",
REPT(CHAR(9),3)&amp;"{headerName: this.l('"&amp;C21&amp;"'),headerTooltip: this.l('"&amp;C21&amp;"'),field: '"&amp;D21&amp;"',valueGetter: (params) =&gt; this.pipe.transform(params.data?."&amp;D21&amp;", 'dd/MM/yyyy'),flex: 1},",
IF(AND(E21="string",F21="1"),
REPT(CHAR(9),3)&amp;"{headerName: this.l('"&amp;C21&amp;"'),headerTooltip: this.l('"&amp;C21&amp;"'),field:  '"&amp;D21&amp;"', cellClass: ['text-center'], width: 120, cellRenderer: 'agCellButtonComponent',
buttonDefTwo: { text: params =&gt; (params.data?.'"&amp;D21&amp;"' == 'Y') ? 'Active' : 'Inactive',iconName: 'fa fa-circle',className: params =&gt; (params.data?.'"&amp;D21&amp;"' == 'Y') ? 'btnActive' : 'btnInActive',},}",
REPT(CHAR(9),3)&amp;"{headerName: this.l('"&amp;C21&amp;"'),headerTooltip: this.l('"&amp;C21&amp;"'),field: '"&amp;D21&amp;"',flex: 1},"))</f>
        <v xml:space="preserve">			{headerName: this.l('Min Stk 5'),headerTooltip: this.l('Min Stk 5'),field: 'minStk5',flex: 1},</v>
      </c>
      <c r="I21" s="35" t="str">
        <f>IF(E21="DateTime",
REPT(CHAR(9),8)&amp;"&lt;div class='input-search'&gt;
"&amp;REPT(CHAR(9),9)&amp;"&lt;input type='text' [placeholder]=""l('"&amp;C21&amp;"')"" [(ngModel)]='"&amp;D21&amp;"' 
"&amp;REPT(CHAR(9),9)&amp;"name='"&amp;D21&amp;"'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IF(AND(E21="string",F21 &lt;&gt;"1"),
REPT(CHAR(9),8)&amp;"&lt;div class='input-search'&gt;
"&amp;REPT(CHAR(9),9)&amp;"&lt;input [(ngModel)]='"&amp;D21&amp;"' name='"&amp;D21&amp;"'
"&amp;REPT(CHAR(9),9)&amp;"class='form-control' [placeholder]=""l('"&amp;C21&amp;"')""
"&amp;REPT(CHAR(9),9)&amp;"type='text' (keyup.enter)='searchDatas()'&gt;
"&amp;REPT(CHAR(9),8)&amp;"&lt;/div&gt;",""))</f>
        <v/>
      </c>
      <c r="J21" s="28"/>
      <c r="K21" s="35" t="str">
        <f t="shared" ref="K21:K25" si="22">IF(OR(E21="DateTime?",E21="TimeSpan?"),
REPT(CHAR(9),5)&amp;"&lt;div class='col-md-12 form-group row'&gt;
"&amp;REPT(CHAR(9),6)&amp;"&lt;label class='col-md-2 form-control title'&gt;"&amp;C21&amp;"&lt;/label&gt;
"&amp;REPT(CHAR(9),6)&amp;"&lt;input type='text' class='col-md-10 form-control input-text' name='"&amp;D21&amp;"' 
"&amp;REPT(CHAR(9),6)&amp;"#datepicker='bsDatepicker' [(ngModel)]='rowdata."&amp;D21&amp;"'  bsDatepicker &gt;
"&amp;REPT(CHAR(9),5)&amp;"&lt;/div&gt;",
IF(AND(E21="string",F21="1"),
REPT(CHAR(9),5)&amp;"&lt;div class='col-md-12 form-group row'&gt;
"&amp;REPT(CHAR(9),6)&amp;"&lt;label class='col-md-2 form-control title'&gt;"&amp;C21&amp;"&lt;/label&gt;
"&amp;REPT(CHAR(9),6)&amp;"&lt;new-checkbox [(ngModel)]='_"&amp;D21&amp;"' name='"&amp;D21&amp;"' className='col-md-10' &gt; &lt;/new-checkbox&gt;
"&amp;REPT(CHAR(9),5)&amp;"&lt;/div&gt;",
IF(E21="string",
REPT(CHAR(9),5)&amp;"&lt;div class='col-md-12 form-group row'&gt;
"&amp;REPT(CHAR(9),6)&amp;"&lt;label class='col-md-2 form-control title'&gt;"&amp;C21&amp;"&lt;/label&gt;
"&amp;REPT(CHAR(9),6)&amp;"&lt;input type='text' class='col-md-10 form-control input-text' name='"&amp;B21&amp;"' [(ngModel)]='rowdata."&amp;D21&amp;"'&gt;
"&amp;REPT(CHAR(9),5)&amp;"&lt;/div&gt;",
IF(OR(E21="int?",E21="long?"),
REPT(CHAR(9),5)&amp;"&lt;div class='col-md-12 form-group row'&gt;
"&amp;REPT(CHAR(9),6)&amp;"&lt;label class='col-md-2 form-control title'&gt;"&amp;C21&amp;"&lt;/label&gt;
"&amp;REPT(CHAR(9),6)&amp;"&lt;input type='number' class='col-md-10 form-control input-text' name='"&amp;B21&amp;"' [(ngModel)]='rowdata."&amp;D21&amp;"'&gt;
"&amp;REPT(CHAR(9),5)&amp;"&lt;/div&gt;",""))))</f>
        <v/>
      </c>
      <c r="L21" s="56" t="str">
        <f t="shared" si="19"/>
        <v/>
      </c>
      <c r="M21" s="28"/>
      <c r="N21" s="28"/>
      <c r="O21" s="28"/>
      <c r="P21" s="28"/>
      <c r="Q21" s="28"/>
      <c r="R21" s="28"/>
      <c r="S21" s="28" t="str">
        <f t="shared" ref="S21:S25" si="23">IF(AND(E21="string",F21 &lt;&gt;"1"),(REPT(CHAR(9),1)&amp;D21&amp;G21),"")</f>
        <v/>
      </c>
      <c r="T21" s="28" t="str">
        <f>IF(AND(E21="string",F21 &lt;&gt;"1"),(REPT(CHAR(9),3)&amp;"this."&amp;D20&amp;","),"")</f>
        <v/>
      </c>
      <c r="U21" s="28" t="str">
        <f t="shared" ref="U21:U25" si="24">IF(AND(E21="string",F21 &lt;&gt;"1"),(REPT(CHAR(9),1)&amp;D21&amp;G21),"")</f>
        <v/>
      </c>
      <c r="V21" s="28" t="str">
        <f t="shared" ref="V21:V25" si="25">IF(AND(E21="string",F21="1"),D21,"")</f>
        <v/>
      </c>
    </row>
    <row r="22" spans="1:22" ht="18" customHeight="1" x14ac:dyDescent="0.25">
      <c r="A22" t="s">
        <v>367</v>
      </c>
      <c r="B22" s="28" t="str">
        <f t="shared" si="8"/>
        <v>MinStk6</v>
      </c>
      <c r="C22" s="28" t="str">
        <f t="shared" si="9"/>
        <v>Min Stk 6</v>
      </c>
      <c r="D22" s="28" t="str">
        <f t="shared" si="10"/>
        <v>minStk6</v>
      </c>
      <c r="E22" s="28" t="str">
        <f>A.Backend!H16</f>
        <v>decimal?</v>
      </c>
      <c r="F22" s="28" t="str">
        <f>A.Backend!G16</f>
        <v>7, 2</v>
      </c>
      <c r="G22" s="28" t="str">
        <f t="shared" si="20"/>
        <v/>
      </c>
      <c r="H22" s="35" t="str">
        <f t="shared" si="21"/>
        <v xml:space="preserve">			{headerName: this.l('Min Stk 6'),headerTooltip: this.l('Min Stk 6'),field: 'minStk6',flex: 1},</v>
      </c>
      <c r="I22" s="35" t="str">
        <f t="shared" ref="I22:I23" si="26">IF(E22="DateTime",
REPT(CHAR(9),8)&amp;"&lt;div class='input-search'&gt;
"&amp;REPT(CHAR(9),9)&amp;"&lt;input type='text' [placeholder]=""l('"&amp;C22&amp;"')"" [(ngModel)]='"&amp;D22&amp;"' 
"&amp;REPT(CHAR(9),9)&amp;"name='"&amp;D22&amp;"'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IF(AND(E22="string",F22 &lt;&gt;"1"),
REPT(CHAR(9),8)&amp;"&lt;div class='input-search'&gt;
"&amp;REPT(CHAR(9),9)&amp;"&lt;input [(ngModel)]='"&amp;D22&amp;"' name='"&amp;D22&amp;"'
"&amp;REPT(CHAR(9),9)&amp;"class='form-control' [placeholder]=""l('"&amp;C22&amp;"')""
"&amp;REPT(CHAR(9),9)&amp;"type='text' (keyup.enter)='searchDatas()'&gt;
"&amp;REPT(CHAR(9),8)&amp;"&lt;/div&gt;",""))</f>
        <v/>
      </c>
      <c r="J22" s="28"/>
      <c r="K22" s="35" t="str">
        <f t="shared" si="22"/>
        <v/>
      </c>
      <c r="L22" s="56" t="str">
        <f>IF(E22="DateTime",
REPT(CHAR(9),2)&amp;"const dateValue =  this.rowdata."&amp;D22&amp;" ? new Date(this.rowdata."&amp;D22&amp;"?.toString()) : new Date();
"&amp;REPT(CHAR(9),2)&amp;"this.datepicker?.bsValueChange.emit(dateValue);","")</f>
        <v/>
      </c>
      <c r="M22" s="28"/>
      <c r="N22" s="28"/>
      <c r="O22" s="28"/>
      <c r="P22" s="28"/>
      <c r="Q22" s="28"/>
      <c r="R22" s="28"/>
      <c r="S22" s="28" t="str">
        <f t="shared" si="23"/>
        <v/>
      </c>
      <c r="T22" s="28" t="str">
        <f t="shared" ref="T22:T25" si="27">IF(AND(E22="string",F22 &lt;&gt;"1"),(REPT(CHAR(9),3)&amp;"this."&amp;D21&amp;","),"")</f>
        <v/>
      </c>
      <c r="U22" s="28" t="str">
        <f t="shared" si="24"/>
        <v/>
      </c>
      <c r="V22" s="28" t="str">
        <f t="shared" si="25"/>
        <v/>
      </c>
    </row>
    <row r="23" spans="1:22" ht="15" customHeight="1" x14ac:dyDescent="0.25">
      <c r="A23" t="s">
        <v>368</v>
      </c>
      <c r="B23" s="28" t="str">
        <f t="shared" si="8"/>
        <v>MinStk7</v>
      </c>
      <c r="C23" s="28" t="str">
        <f t="shared" si="9"/>
        <v>Min Stk 7</v>
      </c>
      <c r="D23" s="28" t="str">
        <f t="shared" si="10"/>
        <v>minStk7</v>
      </c>
      <c r="E23" s="28" t="str">
        <f>A.Backend!H17</f>
        <v>decimal?</v>
      </c>
      <c r="F23" s="28" t="str">
        <f>A.Backend!G17</f>
        <v>7, 2</v>
      </c>
      <c r="G23" s="28" t="str">
        <f t="shared" si="20"/>
        <v/>
      </c>
      <c r="H23" s="35" t="str">
        <f t="shared" si="21"/>
        <v xml:space="preserve">			{headerName: this.l('Min Stk 7'),headerTooltip: this.l('Min Stk 7'),field: 'minStk7',flex: 1},</v>
      </c>
      <c r="I23" s="35" t="str">
        <f t="shared" si="26"/>
        <v/>
      </c>
      <c r="J23" s="28"/>
      <c r="K23" s="35" t="str">
        <f t="shared" si="22"/>
        <v/>
      </c>
      <c r="L23" s="56" t="str">
        <f t="shared" ref="L23:L27" si="28">IF(E23="DateTime",
REPT(CHAR(9),2)&amp;"const dateValue =  this.rowdata."&amp;D23&amp;" ? new Date(this.rowdata."&amp;D23&amp;"?.toString()) : new Date();
"&amp;REPT(CHAR(9),2)&amp;"this.datepicker?.bsValueChange.emit(dateValue);","")</f>
        <v/>
      </c>
      <c r="M23" s="28"/>
      <c r="N23" s="28"/>
      <c r="O23" s="28"/>
      <c r="P23" s="28"/>
      <c r="Q23" s="28"/>
      <c r="R23" s="28"/>
      <c r="S23" s="28" t="str">
        <f t="shared" si="23"/>
        <v/>
      </c>
      <c r="T23" s="28" t="str">
        <f t="shared" si="27"/>
        <v/>
      </c>
      <c r="U23" s="28" t="str">
        <f t="shared" si="24"/>
        <v/>
      </c>
      <c r="V23" s="28" t="str">
        <f t="shared" si="25"/>
        <v/>
      </c>
    </row>
    <row r="24" spans="1:22" ht="18" customHeight="1" x14ac:dyDescent="0.25">
      <c r="A24" t="s">
        <v>369</v>
      </c>
      <c r="B24" s="28" t="str">
        <f t="shared" si="8"/>
        <v>MinStk8</v>
      </c>
      <c r="C24" s="28" t="str">
        <f t="shared" si="9"/>
        <v>Min Stk 8</v>
      </c>
      <c r="D24" s="28" t="str">
        <f t="shared" si="10"/>
        <v>minStk8</v>
      </c>
      <c r="E24" s="28" t="str">
        <f>A.Backend!H18</f>
        <v>decimal?</v>
      </c>
      <c r="F24" s="28" t="str">
        <f>A.Backend!G18</f>
        <v>7, 2</v>
      </c>
      <c r="G24" s="28" t="str">
        <f t="shared" si="20"/>
        <v/>
      </c>
      <c r="H24" s="35" t="str">
        <f t="shared" si="21"/>
        <v xml:space="preserve">			{headerName: this.l('Min Stk 8'),headerTooltip: this.l('Min Stk 8'),field: 'minStk8',flex: 1},</v>
      </c>
      <c r="I24" s="35" t="str">
        <f>IF(E24="DateTime",
REPT(CHAR(9),8)&amp;"&lt;div class='input-search'&gt;
"&amp;REPT(CHAR(9),9)&amp;"&lt;input type='text' [placeholder]=""l('"&amp;C24&amp;"')"" [(ngModel)]='"&amp;D24&amp;"' 
"&amp;REPT(CHAR(9),9)&amp;"name='"&amp;D24&amp;"'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IF(AND(E24="string",F24 &lt;&gt;"1"),
REPT(CHAR(9),8)&amp;"&lt;div class='input-search'&gt;
"&amp;REPT(CHAR(9),9)&amp;"&lt;input [(ngModel)]='"&amp;D24&amp;"' name='"&amp;D24&amp;"'
"&amp;REPT(CHAR(9),9)&amp;"class='form-control' [placeholder]=""l('"&amp;C24&amp;"')""
"&amp;REPT(CHAR(9),9)&amp;"type='text' (keyup.enter)='searchDatas()'&gt;
"&amp;REPT(CHAR(9),8)&amp;"&lt;/div&gt;",""))</f>
        <v/>
      </c>
      <c r="J24" s="28"/>
      <c r="K24" s="35" t="str">
        <f t="shared" si="22"/>
        <v/>
      </c>
      <c r="L24" s="56" t="str">
        <f t="shared" si="28"/>
        <v/>
      </c>
      <c r="M24" s="28"/>
      <c r="N24" s="28"/>
      <c r="O24" s="28"/>
      <c r="P24" s="28"/>
      <c r="Q24" s="28"/>
      <c r="R24" s="28"/>
      <c r="S24" s="28" t="str">
        <f t="shared" si="23"/>
        <v/>
      </c>
      <c r="T24" s="28" t="str">
        <f t="shared" si="27"/>
        <v/>
      </c>
      <c r="U24" s="28" t="str">
        <f t="shared" si="24"/>
        <v/>
      </c>
      <c r="V24" s="28" t="str">
        <f t="shared" si="25"/>
        <v/>
      </c>
    </row>
    <row r="25" spans="1:22" ht="15" customHeight="1" x14ac:dyDescent="0.25">
      <c r="A25" t="s">
        <v>370</v>
      </c>
      <c r="B25" s="28" t="str">
        <f t="shared" si="8"/>
        <v>MinStk9</v>
      </c>
      <c r="C25" s="28" t="str">
        <f t="shared" si="9"/>
        <v>Min Stk 9</v>
      </c>
      <c r="D25" s="28" t="str">
        <f t="shared" si="10"/>
        <v>minStk9</v>
      </c>
      <c r="E25" s="28" t="str">
        <f>A.Backend!H19</f>
        <v>decimal?</v>
      </c>
      <c r="F25" s="28" t="str">
        <f>A.Backend!G19</f>
        <v>7, 2</v>
      </c>
      <c r="G25" s="28" t="str">
        <f t="shared" si="20"/>
        <v/>
      </c>
      <c r="H25" s="35" t="str">
        <f t="shared" si="21"/>
        <v xml:space="preserve">			{headerName: this.l('Min Stk 9'),headerTooltip: this.l('Min Stk 9'),field: 'minStk9',flex: 1},</v>
      </c>
      <c r="I25" s="35" t="str">
        <f t="shared" ref="I25" si="29">IF(E25="DateTime",
REPT(CHAR(9),8)&amp;"&lt;div class='input-search'&gt;
"&amp;REPT(CHAR(9),9)&amp;"&lt;input type='text' [placeholder]=""l('"&amp;C25&amp;"')"" [(ngModel)]='"&amp;D25&amp;"' 
"&amp;REPT(CHAR(9),9)&amp;"name='"&amp;D25&amp;"'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IF(AND(E25="string",F25 &lt;&gt;"1"),
REPT(CHAR(9),8)&amp;"&lt;div class='input-search'&gt;
"&amp;REPT(CHAR(9),9)&amp;"&lt;input [(ngModel)]='"&amp;D25&amp;"' name='"&amp;D25&amp;"'
"&amp;REPT(CHAR(9),9)&amp;"class='form-control' [placeholder]=""l('"&amp;C25&amp;"')""
"&amp;REPT(CHAR(9),9)&amp;"type='text' (keyup.enter)='searchDatas()'&gt;
"&amp;REPT(CHAR(9),8)&amp;"&lt;/div&gt;",""))</f>
        <v/>
      </c>
      <c r="J25" s="28"/>
      <c r="K25" s="35" t="str">
        <f t="shared" si="22"/>
        <v/>
      </c>
      <c r="L25" s="56" t="str">
        <f t="shared" si="28"/>
        <v/>
      </c>
      <c r="M25" s="28"/>
      <c r="N25" s="28"/>
      <c r="O25" s="28"/>
      <c r="P25" s="28"/>
      <c r="Q25" s="28"/>
      <c r="R25" s="28"/>
      <c r="S25" s="28" t="str">
        <f t="shared" si="23"/>
        <v/>
      </c>
      <c r="T25" s="28" t="str">
        <f t="shared" si="27"/>
        <v/>
      </c>
      <c r="U25" s="28" t="str">
        <f t="shared" si="24"/>
        <v/>
      </c>
      <c r="V25" s="28" t="str">
        <f t="shared" si="25"/>
        <v/>
      </c>
    </row>
    <row r="26" spans="1:22" ht="18" customHeight="1" x14ac:dyDescent="0.25">
      <c r="A26" t="s">
        <v>371</v>
      </c>
      <c r="B26" s="28" t="str">
        <f t="shared" si="8"/>
        <v>MinStk10</v>
      </c>
      <c r="C26" s="28" t="str">
        <f t="shared" si="9"/>
        <v>Min Stk 10</v>
      </c>
      <c r="D26" s="28" t="str">
        <f t="shared" si="10"/>
        <v>minStk10</v>
      </c>
      <c r="E26" s="28" t="str">
        <f>A.Backend!H20</f>
        <v>decimal?</v>
      </c>
      <c r="F26" s="28" t="str">
        <f>A.Backend!G20</f>
        <v>7, 2</v>
      </c>
      <c r="G26" s="28" t="str">
        <f t="shared" ref="G26:G40" si="30">IF(E26="string"," : string = '' ; ",IF(OR(E26="DateTime",E26="TimeSpan")," : any ;",IF(E26="int"," : number = 0 ;","")))</f>
        <v/>
      </c>
      <c r="H26" s="35" t="str">
        <f t="shared" ref="H26:H40" si="31">IF(E26="DateTime",
REPT(CHAR(9),3)&amp;"{headerName: this.l('"&amp;C26&amp;"'),headerTooltip: this.l('"&amp;C26&amp;"'),field: '"&amp;D26&amp;"',valueGetter: (params) =&gt; this.pipe.transform(params.data?."&amp;D26&amp;", 'dd/MM/yyyy'),flex: 1},",
IF(AND(E26="string",F26="1"),
REPT(CHAR(9),3)&amp;"{headerName: this.l('"&amp;C26&amp;"'),headerTooltip: this.l('"&amp;C26&amp;"'),field:  '"&amp;D26&amp;"', cellClass: ['text-center'], width: 120, cellRenderer: 'agCellButtonComponent',
buttonDefTwo: { text: params =&gt; (params.data?.'"&amp;D26&amp;"' == 'Y') ? 'Active' : 'Inactive',iconName: 'fa fa-circle',className: params =&gt; (params.data?.'"&amp;D26&amp;"' == 'Y') ? 'btnActive' : 'btnInActive',},}",
REPT(CHAR(9),3)&amp;"{headerName: this.l('"&amp;C26&amp;"'),headerTooltip: this.l('"&amp;C26&amp;"'),field: '"&amp;D26&amp;"',flex: 1},"))</f>
        <v xml:space="preserve">			{headerName: this.l('Min Stk 10'),headerTooltip: this.l('Min Stk 10'),field: 'minStk10',flex: 1},</v>
      </c>
      <c r="I26" s="35" t="str">
        <f>IF(E26="DateTime",
REPT(CHAR(9),8)&amp;"&lt;div class='input-search'&gt;
"&amp;REPT(CHAR(9),9)&amp;"&lt;input type='text' [placeholder]=""l('"&amp;C26&amp;"')"" [(ngModel)]='"&amp;D26&amp;"' 
"&amp;REPT(CHAR(9),9)&amp;"name='"&amp;D26&amp;"'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IF(AND(E26="string",F26 &lt;&gt;"1"),
REPT(CHAR(9),8)&amp;"&lt;div class='input-search'&gt;
"&amp;REPT(CHAR(9),9)&amp;"&lt;input [(ngModel)]='"&amp;D26&amp;"' name='"&amp;D26&amp;"'
"&amp;REPT(CHAR(9),9)&amp;"class='form-control' [placeholder]=""l('"&amp;C26&amp;"')""
"&amp;REPT(CHAR(9),9)&amp;"type='text' (keyup.enter)='searchDatas()'&gt;
"&amp;REPT(CHAR(9),8)&amp;"&lt;/div&gt;",""))</f>
        <v/>
      </c>
      <c r="J26" s="28"/>
      <c r="K26" s="35" t="str">
        <f t="shared" ref="K26:K40" si="32">IF(OR(E26="DateTime?",E26="TimeSpan?"),
REPT(CHAR(9),5)&amp;"&lt;div class='col-md-12 form-group row'&gt;
"&amp;REPT(CHAR(9),6)&amp;"&lt;label class='col-md-2 form-control title'&gt;"&amp;C26&amp;"&lt;/label&gt;
"&amp;REPT(CHAR(9),6)&amp;"&lt;input type='text' class='col-md-10 form-control input-text' name='"&amp;D26&amp;"' 
"&amp;REPT(CHAR(9),6)&amp;"#datepicker='bsDatepicker' [(ngModel)]='rowdata."&amp;D26&amp;"'  bsDatepicker &gt;
"&amp;REPT(CHAR(9),5)&amp;"&lt;/div&gt;",
IF(AND(E26="string",F26="1"),
REPT(CHAR(9),5)&amp;"&lt;div class='col-md-12 form-group row'&gt;
"&amp;REPT(CHAR(9),6)&amp;"&lt;label class='col-md-2 form-control title'&gt;"&amp;C26&amp;"&lt;/label&gt;
"&amp;REPT(CHAR(9),6)&amp;"&lt;new-checkbox [(ngModel)]='_"&amp;D26&amp;"' name='"&amp;D26&amp;"' className='col-md-10' &gt; &lt;/new-checkbox&gt;
"&amp;REPT(CHAR(9),5)&amp;"&lt;/div&gt;",
IF(E26="string",
REPT(CHAR(9),5)&amp;"&lt;div class='col-md-12 form-group row'&gt;
"&amp;REPT(CHAR(9),6)&amp;"&lt;label class='col-md-2 form-control title'&gt;"&amp;C26&amp;"&lt;/label&gt;
"&amp;REPT(CHAR(9),6)&amp;"&lt;input type='text' class='col-md-10 form-control input-text' name='"&amp;B26&amp;"' [(ngModel)]='rowdata."&amp;D26&amp;"'&gt;
"&amp;REPT(CHAR(9),5)&amp;"&lt;/div&gt;",
IF(OR(E26="int?",E26="long?"),
REPT(CHAR(9),5)&amp;"&lt;div class='col-md-12 form-group row'&gt;
"&amp;REPT(CHAR(9),6)&amp;"&lt;label class='col-md-2 form-control title'&gt;"&amp;C26&amp;"&lt;/label&gt;
"&amp;REPT(CHAR(9),6)&amp;"&lt;input type='number' class='col-md-10 form-control input-text' name='"&amp;B26&amp;"' [(ngModel)]='rowdata."&amp;D26&amp;"'&gt;
"&amp;REPT(CHAR(9),5)&amp;"&lt;/div&gt;",""))))</f>
        <v/>
      </c>
      <c r="L26" s="56" t="str">
        <f t="shared" si="28"/>
        <v/>
      </c>
      <c r="M26" s="28"/>
      <c r="N26" s="28"/>
      <c r="O26" s="28"/>
      <c r="P26" s="28"/>
      <c r="Q26" s="28"/>
      <c r="R26" s="28"/>
      <c r="S26" s="28" t="str">
        <f t="shared" ref="S26:S40" si="33">IF(AND(E26="string",F26 &lt;&gt;"1"),(REPT(CHAR(9),1)&amp;D26&amp;G26),"")</f>
        <v/>
      </c>
      <c r="T26" s="28" t="str">
        <f>IF(AND(E26="string",F26 &lt;&gt;"1"),(REPT(CHAR(9),3)&amp;"this."&amp;D25&amp;","),"")</f>
        <v/>
      </c>
      <c r="U26" s="28" t="str">
        <f t="shared" ref="U26:U40" si="34">IF(AND(E26="string",F26 &lt;&gt;"1"),(REPT(CHAR(9),1)&amp;D26&amp;G26),"")</f>
        <v/>
      </c>
      <c r="V26" s="28" t="str">
        <f t="shared" ref="V26:V40" si="35">IF(AND(E26="string",F26="1"),D26,"")</f>
        <v/>
      </c>
    </row>
    <row r="27" spans="1:22" ht="18" customHeight="1" x14ac:dyDescent="0.25">
      <c r="A27" t="s">
        <v>372</v>
      </c>
      <c r="B27" s="28" t="str">
        <f t="shared" ref="B27:B40" si="36">SUBSTITUTE(PROPER(A27),"_","")</f>
        <v>MinStk11</v>
      </c>
      <c r="C27" s="28" t="str">
        <f t="shared" ref="C27:C40" si="37">SUBSTITUTE(PROPER(A27),"_"," ")</f>
        <v>Min Stk 11</v>
      </c>
      <c r="D27" s="28" t="str">
        <f t="shared" ref="D27:D40" si="38">LOWER(LEFT(B27,1))&amp;RIGHT(B27,LEN(B27) - 1)</f>
        <v>minStk11</v>
      </c>
      <c r="E27" s="28" t="str">
        <f>A.Backend!H21</f>
        <v>decimal?</v>
      </c>
      <c r="F27" s="28" t="str">
        <f>A.Backend!G21</f>
        <v>7, 2</v>
      </c>
      <c r="G27" s="28" t="str">
        <f t="shared" si="30"/>
        <v/>
      </c>
      <c r="H27" s="35" t="str">
        <f t="shared" si="31"/>
        <v xml:space="preserve">			{headerName: this.l('Min Stk 11'),headerTooltip: this.l('Min Stk 11'),field: 'minStk11',flex: 1},</v>
      </c>
      <c r="I27" s="35" t="str">
        <f>IF(E27="DateTime",
REPT(CHAR(9),8)&amp;"&lt;div class='input-search'&gt;
"&amp;REPT(CHAR(9),9)&amp;"&lt;input type='text' [placeholder]=""l('"&amp;C27&amp;"')"" [(ngModel)]='"&amp;D27&amp;"' 
"&amp;REPT(CHAR(9),9)&amp;"name='"&amp;D27&amp;"'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IF(AND(E27="string",F27 &lt;&gt;"1"),
REPT(CHAR(9),8)&amp;"&lt;div class='input-search'&gt;
"&amp;REPT(CHAR(9),9)&amp;"&lt;input [(ngModel)]='"&amp;D27&amp;"' name='"&amp;D27&amp;"'
"&amp;REPT(CHAR(9),9)&amp;"class='form-control' [placeholder]=""l('"&amp;C27&amp;"')""
"&amp;REPT(CHAR(9),9)&amp;"type='text' (keyup.enter)='searchDatas()'&gt;
"&amp;REPT(CHAR(9),8)&amp;"&lt;/div&gt;",""))</f>
        <v/>
      </c>
      <c r="J27" s="28"/>
      <c r="K27" s="35" t="str">
        <f t="shared" si="32"/>
        <v/>
      </c>
      <c r="L27" s="56" t="str">
        <f t="shared" si="28"/>
        <v/>
      </c>
      <c r="M27" s="28"/>
      <c r="N27" s="28"/>
      <c r="O27" s="28"/>
      <c r="P27" s="28"/>
      <c r="Q27" s="28"/>
      <c r="R27" s="28"/>
      <c r="S27" s="28" t="str">
        <f t="shared" si="33"/>
        <v/>
      </c>
      <c r="T27" s="28" t="str">
        <f>IF(AND(E27="string",F27 &lt;&gt;"1"),(REPT(CHAR(9),3)&amp;"this."&amp;D26&amp;","),"")</f>
        <v/>
      </c>
      <c r="U27" s="28" t="str">
        <f t="shared" si="34"/>
        <v/>
      </c>
      <c r="V27" s="28" t="str">
        <f t="shared" si="35"/>
        <v/>
      </c>
    </row>
    <row r="28" spans="1:22" ht="18" customHeight="1" x14ac:dyDescent="0.25">
      <c r="A28" t="s">
        <v>373</v>
      </c>
      <c r="B28" s="28" t="str">
        <f t="shared" si="36"/>
        <v>MinStk12</v>
      </c>
      <c r="C28" s="28" t="str">
        <f t="shared" si="37"/>
        <v>Min Stk 12</v>
      </c>
      <c r="D28" s="28" t="str">
        <f t="shared" si="38"/>
        <v>minStk12</v>
      </c>
      <c r="E28" s="28" t="str">
        <f>A.Backend!H22</f>
        <v>decimal?</v>
      </c>
      <c r="F28" s="28" t="str">
        <f>A.Backend!G22</f>
        <v>7, 2</v>
      </c>
      <c r="G28" s="28" t="str">
        <f t="shared" si="30"/>
        <v/>
      </c>
      <c r="H28" s="35" t="str">
        <f t="shared" si="31"/>
        <v xml:space="preserve">			{headerName: this.l('Min Stk 12'),headerTooltip: this.l('Min Stk 12'),field: 'minStk12',flex: 1},</v>
      </c>
      <c r="I28" s="35" t="str">
        <f t="shared" ref="I28:I29" si="39">IF(E28="DateTime",
REPT(CHAR(9),8)&amp;"&lt;div class='input-search'&gt;
"&amp;REPT(CHAR(9),9)&amp;"&lt;input type='text' [placeholder]=""l('"&amp;C28&amp;"')"" [(ngModel)]='"&amp;D28&amp;"' 
"&amp;REPT(CHAR(9),9)&amp;"name='"&amp;D28&amp;"'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IF(AND(E28="string",F28 &lt;&gt;"1"),
REPT(CHAR(9),8)&amp;"&lt;div class='input-search'&gt;
"&amp;REPT(CHAR(9),9)&amp;"&lt;input [(ngModel)]='"&amp;D28&amp;"' name='"&amp;D28&amp;"'
"&amp;REPT(CHAR(9),9)&amp;"class='form-control' [placeholder]=""l('"&amp;C28&amp;"')""
"&amp;REPT(CHAR(9),9)&amp;"type='text' (keyup.enter)='searchDatas()'&gt;
"&amp;REPT(CHAR(9),8)&amp;"&lt;/div&gt;",""))</f>
        <v/>
      </c>
      <c r="J28" s="28"/>
      <c r="K28" s="35" t="str">
        <f t="shared" si="32"/>
        <v/>
      </c>
      <c r="L28" s="56" t="str">
        <f>IF(E28="DateTime",
REPT(CHAR(9),2)&amp;"const dateValue =  this.rowdata."&amp;D28&amp;" ? new Date(this.rowdata."&amp;D28&amp;"?.toString()) : new Date();
"&amp;REPT(CHAR(9),2)&amp;"this.datepicker?.bsValueChange.emit(dateValue);","")</f>
        <v/>
      </c>
      <c r="M28" s="28"/>
      <c r="N28" s="28"/>
      <c r="O28" s="28"/>
      <c r="P28" s="28"/>
      <c r="Q28" s="28"/>
      <c r="R28" s="28"/>
      <c r="S28" s="28" t="str">
        <f t="shared" si="33"/>
        <v/>
      </c>
      <c r="T28" s="28" t="str">
        <f t="shared" ref="T28:T30" si="40">IF(AND(E28="string",F28 &lt;&gt;"1"),(REPT(CHAR(9),3)&amp;"this."&amp;D27&amp;","),"")</f>
        <v/>
      </c>
      <c r="U28" s="28" t="str">
        <f t="shared" si="34"/>
        <v/>
      </c>
      <c r="V28" s="28" t="str">
        <f t="shared" si="35"/>
        <v/>
      </c>
    </row>
    <row r="29" spans="1:22" ht="15" customHeight="1" x14ac:dyDescent="0.25">
      <c r="A29" t="s">
        <v>374</v>
      </c>
      <c r="B29" s="28" t="str">
        <f t="shared" si="36"/>
        <v>MinStk13</v>
      </c>
      <c r="C29" s="28" t="str">
        <f t="shared" si="37"/>
        <v>Min Stk 13</v>
      </c>
      <c r="D29" s="28" t="str">
        <f t="shared" si="38"/>
        <v>minStk13</v>
      </c>
      <c r="E29" s="28" t="str">
        <f>A.Backend!H23</f>
        <v>decimal?</v>
      </c>
      <c r="F29" s="28" t="str">
        <f>A.Backend!G23</f>
        <v>7, 2</v>
      </c>
      <c r="G29" s="28" t="str">
        <f t="shared" si="30"/>
        <v/>
      </c>
      <c r="H29" s="35" t="str">
        <f t="shared" si="31"/>
        <v xml:space="preserve">			{headerName: this.l('Min Stk 13'),headerTooltip: this.l('Min Stk 13'),field: 'minStk13',flex: 1},</v>
      </c>
      <c r="I29" s="35" t="str">
        <f t="shared" si="39"/>
        <v/>
      </c>
      <c r="J29" s="28"/>
      <c r="K29" s="35" t="str">
        <f t="shared" si="32"/>
        <v/>
      </c>
      <c r="L29" s="56" t="str">
        <f t="shared" ref="L29:L31" si="41">IF(E29="DateTime",
REPT(CHAR(9),2)&amp;"const dateValue =  this.rowdata."&amp;D29&amp;" ? new Date(this.rowdata."&amp;D29&amp;"?.toString()) : new Date();
"&amp;REPT(CHAR(9),2)&amp;"this.datepicker?.bsValueChange.emit(dateValue);","")</f>
        <v/>
      </c>
      <c r="M29" s="28"/>
      <c r="N29" s="28"/>
      <c r="O29" s="28"/>
      <c r="P29" s="28"/>
      <c r="Q29" s="28"/>
      <c r="R29" s="28"/>
      <c r="S29" s="28" t="str">
        <f t="shared" si="33"/>
        <v/>
      </c>
      <c r="T29" s="28" t="str">
        <f t="shared" si="40"/>
        <v/>
      </c>
      <c r="U29" s="28" t="str">
        <f t="shared" si="34"/>
        <v/>
      </c>
      <c r="V29" s="28" t="str">
        <f t="shared" si="35"/>
        <v/>
      </c>
    </row>
    <row r="30" spans="1:22" ht="18" customHeight="1" x14ac:dyDescent="0.25">
      <c r="A30" t="s">
        <v>375</v>
      </c>
      <c r="B30" s="28" t="str">
        <f t="shared" si="36"/>
        <v>MinStk14</v>
      </c>
      <c r="C30" s="28" t="str">
        <f t="shared" si="37"/>
        <v>Min Stk 14</v>
      </c>
      <c r="D30" s="28" t="str">
        <f t="shared" si="38"/>
        <v>minStk14</v>
      </c>
      <c r="E30" s="28" t="str">
        <f>A.Backend!H24</f>
        <v>decimal?</v>
      </c>
      <c r="F30" s="28" t="str">
        <f>A.Backend!G24</f>
        <v>7, 2</v>
      </c>
      <c r="G30" s="28" t="str">
        <f t="shared" si="30"/>
        <v/>
      </c>
      <c r="H30" s="35" t="str">
        <f t="shared" si="31"/>
        <v xml:space="preserve">			{headerName: this.l('Min Stk 14'),headerTooltip: this.l('Min Stk 14'),field: 'minStk14',flex: 1},</v>
      </c>
      <c r="I30" s="35" t="str">
        <f>IF(E30="DateTime",
REPT(CHAR(9),8)&amp;"&lt;div class='input-search'&gt;
"&amp;REPT(CHAR(9),9)&amp;"&lt;input type='text' [placeholder]=""l('"&amp;C30&amp;"')"" [(ngModel)]='"&amp;D30&amp;"' 
"&amp;REPT(CHAR(9),9)&amp;"name='"&amp;D30&amp;"'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IF(AND(E30="string",F30 &lt;&gt;"1"),
REPT(CHAR(9),8)&amp;"&lt;div class='input-search'&gt;
"&amp;REPT(CHAR(9),9)&amp;"&lt;input [(ngModel)]='"&amp;D30&amp;"' name='"&amp;D30&amp;"'
"&amp;REPT(CHAR(9),9)&amp;"class='form-control' [placeholder]=""l('"&amp;C30&amp;"')""
"&amp;REPT(CHAR(9),9)&amp;"type='text' (keyup.enter)='searchDatas()'&gt;
"&amp;REPT(CHAR(9),8)&amp;"&lt;/div&gt;",""))</f>
        <v/>
      </c>
      <c r="J30" s="28"/>
      <c r="K30" s="35" t="str">
        <f t="shared" si="32"/>
        <v/>
      </c>
      <c r="L30" s="56" t="str">
        <f t="shared" si="41"/>
        <v/>
      </c>
      <c r="M30" s="28"/>
      <c r="N30" s="28"/>
      <c r="O30" s="28"/>
      <c r="P30" s="28"/>
      <c r="Q30" s="28"/>
      <c r="R30" s="28"/>
      <c r="S30" s="28" t="str">
        <f t="shared" si="33"/>
        <v/>
      </c>
      <c r="T30" s="28" t="str">
        <f t="shared" si="40"/>
        <v/>
      </c>
      <c r="U30" s="28" t="str">
        <f t="shared" si="34"/>
        <v/>
      </c>
      <c r="V30" s="28" t="str">
        <f t="shared" si="35"/>
        <v/>
      </c>
    </row>
    <row r="31" spans="1:22" ht="18" customHeight="1" x14ac:dyDescent="0.25">
      <c r="A31" t="s">
        <v>376</v>
      </c>
      <c r="B31" s="28" t="str">
        <f t="shared" si="36"/>
        <v>MinStk15</v>
      </c>
      <c r="C31" s="28" t="str">
        <f t="shared" si="37"/>
        <v>Min Stk 15</v>
      </c>
      <c r="D31" s="28" t="str">
        <f t="shared" si="38"/>
        <v>minStk15</v>
      </c>
      <c r="E31" s="28" t="str">
        <f>A.Backend!H25</f>
        <v>decimal?</v>
      </c>
      <c r="F31" s="28" t="str">
        <f>A.Backend!G25</f>
        <v>7, 2</v>
      </c>
      <c r="G31" s="28" t="str">
        <f t="shared" si="30"/>
        <v/>
      </c>
      <c r="H31" s="35" t="str">
        <f t="shared" si="31"/>
        <v xml:space="preserve">			{headerName: this.l('Min Stk 15'),headerTooltip: this.l('Min Stk 15'),field: 'minStk15',flex: 1},</v>
      </c>
      <c r="I31" s="35" t="str">
        <f>IF(E31="DateTime",
REPT(CHAR(9),8)&amp;"&lt;div class='input-search'&gt;
"&amp;REPT(CHAR(9),9)&amp;"&lt;input type='text' [placeholder]=""l('"&amp;C31&amp;"')"" [(ngModel)]='"&amp;D31&amp;"' 
"&amp;REPT(CHAR(9),9)&amp;"name='"&amp;D31&amp;"'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IF(AND(E31="string",F31 &lt;&gt;"1"),
REPT(CHAR(9),8)&amp;"&lt;div class='input-search'&gt;
"&amp;REPT(CHAR(9),9)&amp;"&lt;input [(ngModel)]='"&amp;D31&amp;"' name='"&amp;D31&amp;"'
"&amp;REPT(CHAR(9),9)&amp;"class='form-control' [placeholder]=""l('"&amp;C31&amp;"')""
"&amp;REPT(CHAR(9),9)&amp;"type='text' (keyup.enter)='searchDatas()'&gt;
"&amp;REPT(CHAR(9),8)&amp;"&lt;/div&gt;",""))</f>
        <v/>
      </c>
      <c r="J31" s="28"/>
      <c r="K31" s="35" t="str">
        <f t="shared" si="32"/>
        <v/>
      </c>
      <c r="L31" s="56" t="str">
        <f t="shared" si="41"/>
        <v/>
      </c>
      <c r="M31" s="28"/>
      <c r="N31" s="28"/>
      <c r="O31" s="28"/>
      <c r="P31" s="28"/>
      <c r="Q31" s="28"/>
      <c r="R31" s="28"/>
      <c r="S31" s="28" t="str">
        <f t="shared" si="33"/>
        <v/>
      </c>
      <c r="T31" s="28" t="str">
        <f>IF(AND(E31="string",F31 &lt;&gt;"1"),(REPT(CHAR(9),3)&amp;"this."&amp;D30&amp;","),"")</f>
        <v/>
      </c>
      <c r="U31" s="28" t="str">
        <f t="shared" si="34"/>
        <v/>
      </c>
      <c r="V31" s="28" t="str">
        <f t="shared" si="35"/>
        <v/>
      </c>
    </row>
    <row r="32" spans="1:22" ht="18" customHeight="1" x14ac:dyDescent="0.25">
      <c r="A32" t="s">
        <v>377</v>
      </c>
      <c r="B32" s="28" t="str">
        <f t="shared" si="36"/>
        <v>MaxStk1</v>
      </c>
      <c r="C32" s="28" t="str">
        <f t="shared" si="37"/>
        <v>Max Stk 1</v>
      </c>
      <c r="D32" s="28" t="str">
        <f t="shared" si="38"/>
        <v>maxStk1</v>
      </c>
      <c r="E32" s="28" t="str">
        <f>A.Backend!H26</f>
        <v>decimal?</v>
      </c>
      <c r="F32" s="28" t="str">
        <f>A.Backend!G26</f>
        <v>7, 2</v>
      </c>
      <c r="G32" s="28" t="str">
        <f t="shared" si="30"/>
        <v/>
      </c>
      <c r="H32" s="35" t="str">
        <f t="shared" si="31"/>
        <v xml:space="preserve">			{headerName: this.l('Max Stk 1'),headerTooltip: this.l('Max Stk 1'),field: 'maxStk1',flex: 1},</v>
      </c>
      <c r="I32" s="35" t="str">
        <f t="shared" ref="I32:I33" si="42">IF(E32="DateTime",
REPT(CHAR(9),8)&amp;"&lt;div class='input-search'&gt;
"&amp;REPT(CHAR(9),9)&amp;"&lt;input type='text' [placeholder]=""l('"&amp;C32&amp;"')"" [(ngModel)]='"&amp;D32&amp;"' 
"&amp;REPT(CHAR(9),9)&amp;"name='"&amp;D32&amp;"'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IF(AND(E32="string",F32 &lt;&gt;"1"),
REPT(CHAR(9),8)&amp;"&lt;div class='input-search'&gt;
"&amp;REPT(CHAR(9),9)&amp;"&lt;input [(ngModel)]='"&amp;D32&amp;"' name='"&amp;D32&amp;"'
"&amp;REPT(CHAR(9),9)&amp;"class='form-control' [placeholder]=""l('"&amp;C32&amp;"')""
"&amp;REPT(CHAR(9),9)&amp;"type='text' (keyup.enter)='searchDatas()'&gt;
"&amp;REPT(CHAR(9),8)&amp;"&lt;/div&gt;",""))</f>
        <v/>
      </c>
      <c r="J32" s="28"/>
      <c r="K32" s="35" t="str">
        <f t="shared" si="32"/>
        <v/>
      </c>
      <c r="L32" s="56" t="str">
        <f>IF(E32="DateTime",
REPT(CHAR(9),2)&amp;"const dateValue =  this.rowdata."&amp;D32&amp;" ? new Date(this.rowdata."&amp;D32&amp;"?.toString()) : new Date();
"&amp;REPT(CHAR(9),2)&amp;"this.datepicker?.bsValueChange.emit(dateValue);","")</f>
        <v/>
      </c>
      <c r="M32" s="28"/>
      <c r="N32" s="28"/>
      <c r="O32" s="28"/>
      <c r="P32" s="28"/>
      <c r="Q32" s="28"/>
      <c r="R32" s="28"/>
      <c r="S32" s="28" t="str">
        <f t="shared" si="33"/>
        <v/>
      </c>
      <c r="T32" s="28" t="str">
        <f t="shared" ref="T32:T35" si="43">IF(AND(E32="string",F32 &lt;&gt;"1"),(REPT(CHAR(9),3)&amp;"this."&amp;D31&amp;","),"")</f>
        <v/>
      </c>
      <c r="U32" s="28" t="str">
        <f t="shared" si="34"/>
        <v/>
      </c>
      <c r="V32" s="28" t="str">
        <f t="shared" si="35"/>
        <v/>
      </c>
    </row>
    <row r="33" spans="1:22" ht="15" customHeight="1" x14ac:dyDescent="0.25">
      <c r="A33" t="s">
        <v>378</v>
      </c>
      <c r="B33" s="28" t="str">
        <f t="shared" si="36"/>
        <v>MaxStk2</v>
      </c>
      <c r="C33" s="28" t="str">
        <f t="shared" si="37"/>
        <v>Max Stk 2</v>
      </c>
      <c r="D33" s="28" t="str">
        <f t="shared" si="38"/>
        <v>maxStk2</v>
      </c>
      <c r="E33" s="28" t="str">
        <f>A.Backend!H27</f>
        <v>decimal?</v>
      </c>
      <c r="F33" s="28" t="str">
        <f>A.Backend!G27</f>
        <v>7, 2</v>
      </c>
      <c r="G33" s="28" t="str">
        <f t="shared" si="30"/>
        <v/>
      </c>
      <c r="H33" s="35" t="str">
        <f t="shared" si="31"/>
        <v xml:space="preserve">			{headerName: this.l('Max Stk 2'),headerTooltip: this.l('Max Stk 2'),field: 'maxStk2',flex: 1},</v>
      </c>
      <c r="I33" s="35" t="str">
        <f t="shared" si="42"/>
        <v/>
      </c>
      <c r="J33" s="28"/>
      <c r="K33" s="35" t="str">
        <f t="shared" si="32"/>
        <v/>
      </c>
      <c r="L33" s="56" t="str">
        <f t="shared" ref="L33:L36" si="44">IF(E33="DateTime",
REPT(CHAR(9),2)&amp;"const dateValue =  this.rowdata."&amp;D33&amp;" ? new Date(this.rowdata."&amp;D33&amp;"?.toString()) : new Date();
"&amp;REPT(CHAR(9),2)&amp;"this.datepicker?.bsValueChange.emit(dateValue);","")</f>
        <v/>
      </c>
      <c r="M33" s="28"/>
      <c r="N33" s="28"/>
      <c r="O33" s="28"/>
      <c r="P33" s="28"/>
      <c r="Q33" s="28"/>
      <c r="R33" s="28"/>
      <c r="S33" s="28" t="str">
        <f t="shared" si="33"/>
        <v/>
      </c>
      <c r="T33" s="28" t="str">
        <f t="shared" si="43"/>
        <v/>
      </c>
      <c r="U33" s="28" t="str">
        <f t="shared" si="34"/>
        <v/>
      </c>
      <c r="V33" s="28" t="str">
        <f t="shared" si="35"/>
        <v/>
      </c>
    </row>
    <row r="34" spans="1:22" ht="18" customHeight="1" x14ac:dyDescent="0.25">
      <c r="A34" t="s">
        <v>379</v>
      </c>
      <c r="B34" s="28" t="str">
        <f t="shared" si="36"/>
        <v>MaxStk3</v>
      </c>
      <c r="C34" s="28" t="str">
        <f t="shared" si="37"/>
        <v>Max Stk 3</v>
      </c>
      <c r="D34" s="28" t="str">
        <f t="shared" si="38"/>
        <v>maxStk3</v>
      </c>
      <c r="E34" s="28" t="str">
        <f>A.Backend!H28</f>
        <v>decimal?</v>
      </c>
      <c r="F34" s="28" t="str">
        <f>A.Backend!G28</f>
        <v>7, 2</v>
      </c>
      <c r="G34" s="28" t="str">
        <f t="shared" si="30"/>
        <v/>
      </c>
      <c r="H34" s="35" t="str">
        <f t="shared" si="31"/>
        <v xml:space="preserve">			{headerName: this.l('Max Stk 3'),headerTooltip: this.l('Max Stk 3'),field: 'maxStk3',flex: 1},</v>
      </c>
      <c r="I34" s="35" t="str">
        <f>IF(E34="DateTime",
REPT(CHAR(9),8)&amp;"&lt;div class='input-search'&gt;
"&amp;REPT(CHAR(9),9)&amp;"&lt;input type='text' [placeholder]=""l('"&amp;C34&amp;"')"" [(ngModel)]='"&amp;D34&amp;"' 
"&amp;REPT(CHAR(9),9)&amp;"name='"&amp;D34&amp;"'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IF(AND(E34="string",F34 &lt;&gt;"1"),
REPT(CHAR(9),8)&amp;"&lt;div class='input-search'&gt;
"&amp;REPT(CHAR(9),9)&amp;"&lt;input [(ngModel)]='"&amp;D34&amp;"' name='"&amp;D34&amp;"'
"&amp;REPT(CHAR(9),9)&amp;"class='form-control' [placeholder]=""l('"&amp;C34&amp;"')""
"&amp;REPT(CHAR(9),9)&amp;"type='text' (keyup.enter)='searchDatas()'&gt;
"&amp;REPT(CHAR(9),8)&amp;"&lt;/div&gt;",""))</f>
        <v/>
      </c>
      <c r="J34" s="28"/>
      <c r="K34" s="35" t="str">
        <f t="shared" si="32"/>
        <v/>
      </c>
      <c r="L34" s="56" t="str">
        <f t="shared" si="44"/>
        <v/>
      </c>
      <c r="M34" s="28"/>
      <c r="N34" s="28"/>
      <c r="O34" s="28"/>
      <c r="P34" s="28"/>
      <c r="Q34" s="28"/>
      <c r="R34" s="28"/>
      <c r="S34" s="28" t="str">
        <f t="shared" si="33"/>
        <v/>
      </c>
      <c r="T34" s="28" t="str">
        <f t="shared" si="43"/>
        <v/>
      </c>
      <c r="U34" s="28" t="str">
        <f t="shared" si="34"/>
        <v/>
      </c>
      <c r="V34" s="28" t="str">
        <f t="shared" si="35"/>
        <v/>
      </c>
    </row>
    <row r="35" spans="1:22" ht="15" customHeight="1" x14ac:dyDescent="0.25">
      <c r="A35" t="s">
        <v>380</v>
      </c>
      <c r="B35" s="28" t="str">
        <f t="shared" si="36"/>
        <v>MaxStk4</v>
      </c>
      <c r="C35" s="28" t="str">
        <f t="shared" si="37"/>
        <v>Max Stk 4</v>
      </c>
      <c r="D35" s="28" t="str">
        <f t="shared" si="38"/>
        <v>maxStk4</v>
      </c>
      <c r="E35" s="28" t="str">
        <f>A.Backend!H29</f>
        <v>decimal?</v>
      </c>
      <c r="F35" s="28" t="str">
        <f>A.Backend!G29</f>
        <v>7, 2</v>
      </c>
      <c r="G35" s="28" t="str">
        <f t="shared" si="30"/>
        <v/>
      </c>
      <c r="H35" s="35" t="str">
        <f t="shared" si="31"/>
        <v xml:space="preserve">			{headerName: this.l('Max Stk 4'),headerTooltip: this.l('Max Stk 4'),field: 'maxStk4',flex: 1},</v>
      </c>
      <c r="I35" s="35" t="str">
        <f t="shared" ref="I35" si="45">IF(E35="DateTime",
REPT(CHAR(9),8)&amp;"&lt;div class='input-search'&gt;
"&amp;REPT(CHAR(9),9)&amp;"&lt;input type='text' [placeholder]=""l('"&amp;C35&amp;"')"" [(ngModel)]='"&amp;D35&amp;"' 
"&amp;REPT(CHAR(9),9)&amp;"name='"&amp;D35&amp;"'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IF(AND(E35="string",F35 &lt;&gt;"1"),
REPT(CHAR(9),8)&amp;"&lt;div class='input-search'&gt;
"&amp;REPT(CHAR(9),9)&amp;"&lt;input [(ngModel)]='"&amp;D35&amp;"' name='"&amp;D35&amp;"'
"&amp;REPT(CHAR(9),9)&amp;"class='form-control' [placeholder]=""l('"&amp;C35&amp;"')""
"&amp;REPT(CHAR(9),9)&amp;"type='text' (keyup.enter)='searchDatas()'&gt;
"&amp;REPT(CHAR(9),8)&amp;"&lt;/div&gt;",""))</f>
        <v/>
      </c>
      <c r="J35" s="28"/>
      <c r="K35" s="35" t="str">
        <f t="shared" si="32"/>
        <v/>
      </c>
      <c r="L35" s="56" t="str">
        <f t="shared" si="44"/>
        <v/>
      </c>
      <c r="M35" s="28"/>
      <c r="N35" s="28"/>
      <c r="O35" s="28"/>
      <c r="P35" s="28"/>
      <c r="Q35" s="28"/>
      <c r="R35" s="28"/>
      <c r="S35" s="28" t="str">
        <f t="shared" si="33"/>
        <v/>
      </c>
      <c r="T35" s="28" t="str">
        <f t="shared" si="43"/>
        <v/>
      </c>
      <c r="U35" s="28" t="str">
        <f t="shared" si="34"/>
        <v/>
      </c>
      <c r="V35" s="28" t="str">
        <f t="shared" si="35"/>
        <v/>
      </c>
    </row>
    <row r="36" spans="1:22" ht="18" customHeight="1" x14ac:dyDescent="0.25">
      <c r="A36" t="s">
        <v>381</v>
      </c>
      <c r="B36" s="28" t="str">
        <f t="shared" si="36"/>
        <v>MaxStk5</v>
      </c>
      <c r="C36" s="28" t="str">
        <f t="shared" si="37"/>
        <v>Max Stk 5</v>
      </c>
      <c r="D36" s="28" t="str">
        <f t="shared" si="38"/>
        <v>maxStk5</v>
      </c>
      <c r="E36" s="28" t="str">
        <f>A.Backend!H30</f>
        <v>decimal?</v>
      </c>
      <c r="F36" s="28" t="str">
        <f>A.Backend!G30</f>
        <v>7, 2</v>
      </c>
      <c r="G36" s="28" t="str">
        <f t="shared" si="30"/>
        <v/>
      </c>
      <c r="H36" s="35" t="str">
        <f t="shared" si="31"/>
        <v xml:space="preserve">			{headerName: this.l('Max Stk 5'),headerTooltip: this.l('Max Stk 5'),field: 'maxStk5',flex: 1},</v>
      </c>
      <c r="I36" s="35" t="str">
        <f>IF(E36="DateTime",
REPT(CHAR(9),8)&amp;"&lt;div class='input-search'&gt;
"&amp;REPT(CHAR(9),9)&amp;"&lt;input type='text' [placeholder]=""l('"&amp;C36&amp;"')"" [(ngModel)]='"&amp;D36&amp;"' 
"&amp;REPT(CHAR(9),9)&amp;"name='"&amp;D36&amp;"'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IF(AND(E36="string",F36 &lt;&gt;"1"),
REPT(CHAR(9),8)&amp;"&lt;div class='input-search'&gt;
"&amp;REPT(CHAR(9),9)&amp;"&lt;input [(ngModel)]='"&amp;D36&amp;"' name='"&amp;D36&amp;"'
"&amp;REPT(CHAR(9),9)&amp;"class='form-control' [placeholder]=""l('"&amp;C36&amp;"')""
"&amp;REPT(CHAR(9),9)&amp;"type='text' (keyup.enter)='searchDatas()'&gt;
"&amp;REPT(CHAR(9),8)&amp;"&lt;/div&gt;",""))</f>
        <v/>
      </c>
      <c r="J36" s="28"/>
      <c r="K36" s="35" t="str">
        <f t="shared" si="32"/>
        <v/>
      </c>
      <c r="L36" s="56" t="str">
        <f t="shared" si="44"/>
        <v/>
      </c>
      <c r="M36" s="28"/>
      <c r="N36" s="28"/>
      <c r="O36" s="28"/>
      <c r="P36" s="28"/>
      <c r="Q36" s="28"/>
      <c r="R36" s="28"/>
      <c r="S36" s="28" t="str">
        <f t="shared" si="33"/>
        <v/>
      </c>
      <c r="T36" s="28" t="str">
        <f>IF(AND(E36="string",F36 &lt;&gt;"1"),(REPT(CHAR(9),3)&amp;"this."&amp;D35&amp;","),"")</f>
        <v/>
      </c>
      <c r="U36" s="28" t="str">
        <f t="shared" si="34"/>
        <v/>
      </c>
      <c r="V36" s="28" t="str">
        <f t="shared" si="35"/>
        <v/>
      </c>
    </row>
    <row r="37" spans="1:22" ht="18" customHeight="1" x14ac:dyDescent="0.25">
      <c r="A37" t="s">
        <v>382</v>
      </c>
      <c r="B37" s="28" t="str">
        <f t="shared" si="36"/>
        <v>MinStkConcept</v>
      </c>
      <c r="C37" s="28" t="str">
        <f t="shared" si="37"/>
        <v>Min Stk Concept</v>
      </c>
      <c r="D37" s="28" t="str">
        <f t="shared" si="38"/>
        <v>minStkConcept</v>
      </c>
      <c r="E37" s="28" t="str">
        <f>A.Backend!H31</f>
        <v>decimal?</v>
      </c>
      <c r="F37" s="28" t="str">
        <f>A.Backend!G31</f>
        <v>7, 2</v>
      </c>
      <c r="G37" s="28" t="str">
        <f t="shared" si="30"/>
        <v/>
      </c>
      <c r="H37" s="35" t="str">
        <f t="shared" si="31"/>
        <v xml:space="preserve">			{headerName: this.l('Min Stk Concept'),headerTooltip: this.l('Min Stk Concept'),field: 'minStkConcept',flex: 1},</v>
      </c>
      <c r="I37" s="35" t="str">
        <f t="shared" ref="I37:I38" si="46">IF(E37="DateTime",
REPT(CHAR(9),8)&amp;"&lt;div class='input-search'&gt;
"&amp;REPT(CHAR(9),9)&amp;"&lt;input type='text' [placeholder]=""l('"&amp;C37&amp;"')"" [(ngModel)]='"&amp;D37&amp;"' 
"&amp;REPT(CHAR(9),9)&amp;"name='"&amp;D37&amp;"'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IF(AND(E37="string",F37 &lt;&gt;"1"),
REPT(CHAR(9),8)&amp;"&lt;div class='input-search'&gt;
"&amp;REPT(CHAR(9),9)&amp;"&lt;input [(ngModel)]='"&amp;D37&amp;"' name='"&amp;D37&amp;"'
"&amp;REPT(CHAR(9),9)&amp;"class='form-control' [placeholder]=""l('"&amp;C37&amp;"')""
"&amp;REPT(CHAR(9),9)&amp;"type='text' (keyup.enter)='searchDatas()'&gt;
"&amp;REPT(CHAR(9),8)&amp;"&lt;/div&gt;",""))</f>
        <v/>
      </c>
      <c r="J37" s="28"/>
      <c r="K37" s="35" t="str">
        <f t="shared" si="32"/>
        <v/>
      </c>
      <c r="L37" s="56" t="str">
        <f>IF(E37="DateTime",
REPT(CHAR(9),2)&amp;"const dateValue =  this.rowdata."&amp;D37&amp;" ? new Date(this.rowdata."&amp;D37&amp;"?.toString()) : new Date();
"&amp;REPT(CHAR(9),2)&amp;"this.datepicker?.bsValueChange.emit(dateValue);","")</f>
        <v/>
      </c>
      <c r="M37" s="28"/>
      <c r="N37" s="28"/>
      <c r="O37" s="28"/>
      <c r="P37" s="28"/>
      <c r="Q37" s="28"/>
      <c r="R37" s="28"/>
      <c r="S37" s="28" t="str">
        <f t="shared" si="33"/>
        <v/>
      </c>
      <c r="T37" s="28" t="str">
        <f t="shared" ref="T37:T40" si="47">IF(AND(E37="string",F37 &lt;&gt;"1"),(REPT(CHAR(9),3)&amp;"this."&amp;D36&amp;","),"")</f>
        <v/>
      </c>
      <c r="U37" s="28" t="str">
        <f t="shared" si="34"/>
        <v/>
      </c>
      <c r="V37" s="28" t="str">
        <f t="shared" si="35"/>
        <v/>
      </c>
    </row>
    <row r="38" spans="1:22" ht="15" customHeight="1" x14ac:dyDescent="0.25">
      <c r="A38" t="s">
        <v>383</v>
      </c>
      <c r="B38" s="28" t="str">
        <f t="shared" si="36"/>
        <v>MaxStkConcept</v>
      </c>
      <c r="C38" s="28" t="str">
        <f t="shared" si="37"/>
        <v>Max Stk Concept</v>
      </c>
      <c r="D38" s="28" t="str">
        <f t="shared" si="38"/>
        <v>maxStkConcept</v>
      </c>
      <c r="E38" s="28" t="str">
        <f>A.Backend!H32</f>
        <v>decimal?</v>
      </c>
      <c r="F38" s="28" t="str">
        <f>A.Backend!G32</f>
        <v>7, 2</v>
      </c>
      <c r="G38" s="28" t="str">
        <f t="shared" si="30"/>
        <v/>
      </c>
      <c r="H38" s="35" t="str">
        <f t="shared" si="31"/>
        <v xml:space="preserve">			{headerName: this.l('Max Stk Concept'),headerTooltip: this.l('Max Stk Concept'),field: 'maxStkConcept',flex: 1},</v>
      </c>
      <c r="I38" s="35" t="str">
        <f t="shared" si="46"/>
        <v/>
      </c>
      <c r="J38" s="28"/>
      <c r="K38" s="35" t="str">
        <f t="shared" si="32"/>
        <v/>
      </c>
      <c r="L38" s="56" t="str">
        <f t="shared" ref="L38:L40" si="48">IF(E38="DateTime",
REPT(CHAR(9),2)&amp;"const dateValue =  this.rowdata."&amp;D38&amp;" ? new Date(this.rowdata."&amp;D38&amp;"?.toString()) : new Date();
"&amp;REPT(CHAR(9),2)&amp;"this.datepicker?.bsValueChange.emit(dateValue);","")</f>
        <v/>
      </c>
      <c r="M38" s="28"/>
      <c r="N38" s="28"/>
      <c r="O38" s="28"/>
      <c r="P38" s="28"/>
      <c r="Q38" s="28"/>
      <c r="R38" s="28"/>
      <c r="S38" s="28" t="str">
        <f t="shared" si="33"/>
        <v/>
      </c>
      <c r="T38" s="28" t="str">
        <f t="shared" si="47"/>
        <v/>
      </c>
      <c r="U38" s="28" t="str">
        <f t="shared" si="34"/>
        <v/>
      </c>
      <c r="V38" s="28" t="str">
        <f t="shared" si="35"/>
        <v/>
      </c>
    </row>
    <row r="39" spans="1:22" ht="18" customHeight="1" x14ac:dyDescent="0.25">
      <c r="A39" t="s">
        <v>384</v>
      </c>
      <c r="B39" s="28" t="str">
        <f t="shared" si="36"/>
        <v>StkConcept</v>
      </c>
      <c r="C39" s="28" t="str">
        <f t="shared" si="37"/>
        <v>Stk Concept</v>
      </c>
      <c r="D39" s="28" t="str">
        <f t="shared" si="38"/>
        <v>stkConcept</v>
      </c>
      <c r="E39" s="28" t="str">
        <f>A.Backend!H33</f>
        <v>string</v>
      </c>
      <c r="F39" s="28" t="str">
        <f>A.Backend!G33</f>
        <v>10</v>
      </c>
      <c r="G39" s="28" t="str">
        <f t="shared" si="30"/>
        <v xml:space="preserve"> : string = '' ; </v>
      </c>
      <c r="H39" s="35" t="str">
        <f t="shared" si="31"/>
        <v xml:space="preserve">			{headerName: this.l('Stk Concept'),headerTooltip: this.l('Stk Concept'),field: 'stkConcept',flex: 1},</v>
      </c>
      <c r="I39" s="35" t="str">
        <f>IF(E39="DateTime",
REPT(CHAR(9),8)&amp;"&lt;div class='input-search'&gt;
"&amp;REPT(CHAR(9),9)&amp;"&lt;input type='text' [placeholder]=""l('"&amp;C39&amp;"')"" [(ngModel)]='"&amp;D39&amp;"' 
"&amp;REPT(CHAR(9),9)&amp;"name='"&amp;D39&amp;"'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IF(AND(E39="string",F39 &lt;&gt;"1"),
REPT(CHAR(9),8)&amp;"&lt;div class='input-search'&gt;
"&amp;REPT(CHAR(9),9)&amp;"&lt;input [(ngModel)]='"&amp;D39&amp;"' name='"&amp;D39&amp;"'
"&amp;REPT(CHAR(9),9)&amp;"class='form-control' [placeholder]=""l('"&amp;C39&amp;"')""
"&amp;REPT(CHAR(9),9)&amp;"type='text' (keyup.enter)='searchDatas()'&gt;
"&amp;REPT(CHAR(9),8)&amp;"&lt;/div&gt;",""))</f>
        <v xml:space="preserve">								&lt;div class='input-search'&gt;
									&lt;input [(ngModel)]='stkConcept' name='stkConcept'
									class='form-control' [placeholder]="l('Stk Concept')"
									type='text' (keyup.enter)='searchDatas()'&gt;
								&lt;/div&gt;</v>
      </c>
      <c r="J39" s="28"/>
      <c r="K39" s="35" t="str">
        <f t="shared" si="32"/>
        <v xml:space="preserve">					&lt;div class='col-md-12 form-group row'&gt;
						&lt;label class='col-md-2 form-control title'&gt;Stk Concept&lt;/label&gt;
						&lt;input type='text' class='col-md-10 form-control input-text' name='StkConcept' [(ngModel)]='rowdata.stkConcept'&gt;
					&lt;/div&gt;</v>
      </c>
      <c r="L39" s="56" t="str">
        <f t="shared" si="48"/>
        <v/>
      </c>
      <c r="M39" s="28"/>
      <c r="N39" s="28"/>
      <c r="O39" s="28"/>
      <c r="P39" s="28"/>
      <c r="Q39" s="28"/>
      <c r="R39" s="28"/>
      <c r="S39" s="28" t="str">
        <f t="shared" si="33"/>
        <v xml:space="preserve">	stkConcept : string = '' ; </v>
      </c>
      <c r="T39" s="28" t="str">
        <f t="shared" si="47"/>
        <v xml:space="preserve">			this.maxStkConcept,</v>
      </c>
      <c r="U39" s="28" t="str">
        <f t="shared" si="34"/>
        <v xml:space="preserve">	stkConcept : string = '' ; </v>
      </c>
      <c r="V39" s="28" t="str">
        <f t="shared" si="35"/>
        <v/>
      </c>
    </row>
    <row r="40" spans="1:22" ht="15" customHeight="1" x14ac:dyDescent="0.25">
      <c r="A40" t="s">
        <v>385</v>
      </c>
      <c r="B40" s="28" t="str">
        <f t="shared" si="36"/>
        <v>StkConceptFrq</v>
      </c>
      <c r="C40" s="28" t="str">
        <f t="shared" si="37"/>
        <v>Stk Concept Frq</v>
      </c>
      <c r="D40" s="28" t="str">
        <f t="shared" si="38"/>
        <v>stkConceptFrq</v>
      </c>
      <c r="E40" s="28" t="str">
        <f>A.Backend!H34</f>
        <v>int?</v>
      </c>
      <c r="F40" s="28" t="str">
        <f>A.Backend!G34</f>
        <v/>
      </c>
      <c r="G40" s="28" t="str">
        <f t="shared" si="30"/>
        <v/>
      </c>
      <c r="H40" s="35" t="str">
        <f t="shared" si="31"/>
        <v xml:space="preserve">			{headerName: this.l('Stk Concept Frq'),headerTooltip: this.l('Stk Concept Frq'),field: 'stkConceptFrq',flex: 1},</v>
      </c>
      <c r="I40" s="35" t="str">
        <f t="shared" ref="I40" si="49">IF(E40="DateTime",
REPT(CHAR(9),8)&amp;"&lt;div class='input-search'&gt;
"&amp;REPT(CHAR(9),9)&amp;"&lt;input type='text' [placeholder]=""l('"&amp;C40&amp;"')"" [(ngModel)]='"&amp;D40&amp;"' 
"&amp;REPT(CHAR(9),9)&amp;"name='"&amp;D40&amp;"'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IF(AND(E40="string",F40 &lt;&gt;"1"),
REPT(CHAR(9),8)&amp;"&lt;div class='input-search'&gt;
"&amp;REPT(CHAR(9),9)&amp;"&lt;input [(ngModel)]='"&amp;D40&amp;"' name='"&amp;D40&amp;"'
"&amp;REPT(CHAR(9),9)&amp;"class='form-control' [placeholder]=""l('"&amp;C40&amp;"')""
"&amp;REPT(CHAR(9),9)&amp;"type='text' (keyup.enter)='searchDatas()'&gt;
"&amp;REPT(CHAR(9),8)&amp;"&lt;/div&gt;",""))</f>
        <v/>
      </c>
      <c r="J40" s="28"/>
      <c r="K40" s="35" t="str">
        <f t="shared" si="32"/>
        <v xml:space="preserve">					&lt;div class='col-md-12 form-group row'&gt;
						&lt;label class='col-md-2 form-control title'&gt;Stk Concept Frq&lt;/label&gt;
						&lt;input type='number' class='col-md-10 form-control input-text' name='StkConceptFrq' [(ngModel)]='rowdata.stkConceptFrq'&gt;
					&lt;/div&gt;</v>
      </c>
      <c r="L40" s="56" t="str">
        <f t="shared" si="48"/>
        <v/>
      </c>
      <c r="M40" s="28"/>
      <c r="N40" s="28"/>
      <c r="O40" s="28"/>
      <c r="P40" s="28"/>
      <c r="Q40" s="28"/>
      <c r="R40" s="28"/>
      <c r="S40" s="28" t="str">
        <f t="shared" si="33"/>
        <v/>
      </c>
      <c r="T40" s="28" t="str">
        <f t="shared" si="47"/>
        <v/>
      </c>
      <c r="U40" s="28" t="str">
        <f t="shared" si="34"/>
        <v/>
      </c>
      <c r="V40" s="28" t="str">
        <f t="shared" si="35"/>
        <v/>
      </c>
    </row>
    <row r="41" spans="1:22" ht="18" customHeight="1" x14ac:dyDescent="0.25">
      <c r="A41" t="s">
        <v>318</v>
      </c>
      <c r="B41" s="28" t="str">
        <f t="shared" si="8"/>
        <v>IsActive</v>
      </c>
      <c r="C41" s="28" t="str">
        <f t="shared" si="9"/>
        <v>Is Active</v>
      </c>
      <c r="D41" s="28" t="str">
        <f t="shared" si="10"/>
        <v>isActive</v>
      </c>
      <c r="E41" s="28" t="str">
        <f>A.Backend!H35</f>
        <v>string</v>
      </c>
      <c r="F41" s="28" t="str">
        <f>A.Backend!G35</f>
        <v>1</v>
      </c>
      <c r="G41" s="28" t="str">
        <f t="shared" si="11"/>
        <v xml:space="preserve"> : string = '' ; </v>
      </c>
      <c r="H41" s="35" t="str">
        <f t="shared" si="12"/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41" s="35" t="str">
        <f t="shared" si="5"/>
        <v/>
      </c>
      <c r="J41" s="28"/>
      <c r="K41" s="35" t="str">
        <f t="shared" si="13"/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41" s="56" t="str">
        <f t="shared" si="19"/>
        <v/>
      </c>
      <c r="M41" s="28"/>
      <c r="N41" s="28"/>
      <c r="O41" s="28"/>
      <c r="P41" s="28"/>
      <c r="Q41" s="28"/>
      <c r="R41" s="28"/>
      <c r="S41" s="28" t="str">
        <f t="shared" si="15"/>
        <v/>
      </c>
      <c r="T41" s="28" t="str">
        <f>IF(AND(E41="string",F41 &lt;&gt;"1"),(REPT(CHAR(9),3)&amp;"this."&amp;D20&amp;","),"")</f>
        <v/>
      </c>
      <c r="U41" s="28" t="str">
        <f t="shared" si="16"/>
        <v/>
      </c>
      <c r="V41" s="28" t="str">
        <f t="shared" si="17"/>
        <v>isActive</v>
      </c>
    </row>
    <row r="43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C26" sqref="C26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32</v>
      </c>
    </row>
    <row r="3" spans="1:2" x14ac:dyDescent="0.25">
      <c r="A3" t="s">
        <v>18</v>
      </c>
      <c r="B3" t="s">
        <v>32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354</v>
      </c>
    </row>
    <row r="6" spans="1:2" x14ac:dyDescent="0.25">
      <c r="A6" t="s">
        <v>23</v>
      </c>
      <c r="B6" t="s">
        <v>353</v>
      </c>
    </row>
    <row r="7" spans="1:2" x14ac:dyDescent="0.25">
      <c r="A7" t="s">
        <v>24</v>
      </c>
      <c r="B7" t="s">
        <v>348</v>
      </c>
    </row>
    <row r="8" spans="1:2" x14ac:dyDescent="0.25">
      <c r="A8" t="s">
        <v>4</v>
      </c>
      <c r="B8" t="s">
        <v>348</v>
      </c>
    </row>
    <row r="9" spans="1:2" x14ac:dyDescent="0.25">
      <c r="A9" t="s">
        <v>0</v>
      </c>
      <c r="B9" t="s">
        <v>349</v>
      </c>
    </row>
    <row r="10" spans="1:2" x14ac:dyDescent="0.25">
      <c r="A10" t="s">
        <v>25</v>
      </c>
      <c r="B10" t="s">
        <v>352</v>
      </c>
    </row>
    <row r="11" spans="1:2" x14ac:dyDescent="0.25">
      <c r="A11" t="s">
        <v>26</v>
      </c>
      <c r="B11" t="s">
        <v>352</v>
      </c>
    </row>
    <row r="12" spans="1:2" x14ac:dyDescent="0.25">
      <c r="A12" t="s">
        <v>27</v>
      </c>
      <c r="B12" t="s">
        <v>352</v>
      </c>
    </row>
    <row r="13" spans="1:2" x14ac:dyDescent="0.25">
      <c r="A13" t="s">
        <v>28</v>
      </c>
      <c r="B13" t="s">
        <v>352</v>
      </c>
    </row>
    <row r="14" spans="1:2" x14ac:dyDescent="0.25">
      <c r="A14" t="s">
        <v>29</v>
      </c>
      <c r="B14" t="s">
        <v>352</v>
      </c>
    </row>
    <row r="15" spans="1:2" x14ac:dyDescent="0.25">
      <c r="A15" t="s">
        <v>30</v>
      </c>
      <c r="B15" t="s">
        <v>352</v>
      </c>
    </row>
    <row r="16" spans="1:2" x14ac:dyDescent="0.25">
      <c r="A16" t="s">
        <v>31</v>
      </c>
      <c r="B16" t="s">
        <v>350</v>
      </c>
    </row>
    <row r="17" spans="1:2" x14ac:dyDescent="0.25">
      <c r="A17" t="s">
        <v>3</v>
      </c>
      <c r="B17" t="s">
        <v>350</v>
      </c>
    </row>
    <row r="18" spans="1:2" x14ac:dyDescent="0.25">
      <c r="A18" t="s">
        <v>33</v>
      </c>
      <c r="B18" t="s">
        <v>350</v>
      </c>
    </row>
    <row r="19" spans="1:2" x14ac:dyDescent="0.25">
      <c r="A19" t="s">
        <v>2</v>
      </c>
      <c r="B19" t="s">
        <v>350</v>
      </c>
    </row>
    <row r="20" spans="1:2" x14ac:dyDescent="0.25">
      <c r="A20" t="s">
        <v>262</v>
      </c>
      <c r="B20" t="s">
        <v>351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189</v>
      </c>
      <c r="B2" s="23" t="s">
        <v>186</v>
      </c>
    </row>
    <row r="3" spans="1:2" x14ac:dyDescent="0.25">
      <c r="B3" s="20" t="s">
        <v>111</v>
      </c>
    </row>
    <row r="4" spans="1:2" x14ac:dyDescent="0.25">
      <c r="B4" s="20" t="s">
        <v>112</v>
      </c>
    </row>
    <row r="5" spans="1:2" x14ac:dyDescent="0.25">
      <c r="B5" s="20" t="s">
        <v>113</v>
      </c>
    </row>
    <row r="6" spans="1:2" x14ac:dyDescent="0.25">
      <c r="B6" s="20" t="s">
        <v>114</v>
      </c>
    </row>
    <row r="7" spans="1:2" x14ac:dyDescent="0.25">
      <c r="B7" s="20" t="s">
        <v>115</v>
      </c>
    </row>
    <row r="8" spans="1:2" x14ac:dyDescent="0.25">
      <c r="B8" s="20" t="s">
        <v>116</v>
      </c>
    </row>
    <row r="9" spans="1:2" x14ac:dyDescent="0.25">
      <c r="B9" s="20" t="s">
        <v>117</v>
      </c>
    </row>
    <row r="10" spans="1:2" x14ac:dyDescent="0.25">
      <c r="B10" s="20" t="s">
        <v>118</v>
      </c>
    </row>
    <row r="11" spans="1:2" x14ac:dyDescent="0.25">
      <c r="B11" s="20" t="s">
        <v>119</v>
      </c>
    </row>
    <row r="12" spans="1:2" x14ac:dyDescent="0.25">
      <c r="B12" s="20" t="s">
        <v>120</v>
      </c>
    </row>
    <row r="13" spans="1:2" x14ac:dyDescent="0.25">
      <c r="B13" s="20" t="s">
        <v>121</v>
      </c>
    </row>
    <row r="14" spans="1:2" x14ac:dyDescent="0.25">
      <c r="B14" s="20" t="s">
        <v>122</v>
      </c>
    </row>
    <row r="15" spans="1:2" x14ac:dyDescent="0.25">
      <c r="B15" s="20" t="s">
        <v>123</v>
      </c>
    </row>
    <row r="16" spans="1:2" x14ac:dyDescent="0.25">
      <c r="B16" s="20" t="s">
        <v>124</v>
      </c>
    </row>
    <row r="17" spans="1:3" x14ac:dyDescent="0.25">
      <c r="B17" s="20" t="s">
        <v>125</v>
      </c>
    </row>
    <row r="18" spans="1:3" x14ac:dyDescent="0.25">
      <c r="B18" s="20" t="s">
        <v>126</v>
      </c>
      <c r="C18" t="s">
        <v>188</v>
      </c>
    </row>
    <row r="19" spans="1:3" x14ac:dyDescent="0.25">
      <c r="B19" s="20" t="s">
        <v>127</v>
      </c>
    </row>
    <row r="20" spans="1:3" x14ac:dyDescent="0.25">
      <c r="B20" s="20" t="s">
        <v>128</v>
      </c>
    </row>
    <row r="21" spans="1:3" x14ac:dyDescent="0.25">
      <c r="B21" s="20" t="s">
        <v>129</v>
      </c>
    </row>
    <row r="22" spans="1:3" x14ac:dyDescent="0.25">
      <c r="B22" s="20" t="s">
        <v>130</v>
      </c>
      <c r="C22" t="s">
        <v>193</v>
      </c>
    </row>
    <row r="23" spans="1:3" x14ac:dyDescent="0.25">
      <c r="B23" s="20" t="s">
        <v>131</v>
      </c>
    </row>
    <row r="24" spans="1:3" x14ac:dyDescent="0.25">
      <c r="B24" s="20" t="s">
        <v>132</v>
      </c>
    </row>
    <row r="25" spans="1:3" x14ac:dyDescent="0.25">
      <c r="B25" s="20" t="s">
        <v>133</v>
      </c>
    </row>
    <row r="26" spans="1:3" x14ac:dyDescent="0.25">
      <c r="A26" s="22" t="s">
        <v>190</v>
      </c>
      <c r="B26" s="23" t="s">
        <v>187</v>
      </c>
    </row>
    <row r="27" spans="1:3" x14ac:dyDescent="0.25">
      <c r="B27" s="20" t="s">
        <v>134</v>
      </c>
    </row>
    <row r="28" spans="1:3" x14ac:dyDescent="0.25">
      <c r="B28" s="21" t="s">
        <v>135</v>
      </c>
    </row>
    <row r="29" spans="1:3" x14ac:dyDescent="0.25">
      <c r="B29" s="20" t="s">
        <v>136</v>
      </c>
    </row>
    <row r="30" spans="1:3" x14ac:dyDescent="0.25">
      <c r="B30" s="20" t="s">
        <v>137</v>
      </c>
    </row>
    <row r="31" spans="1:3" x14ac:dyDescent="0.25">
      <c r="B31" s="20" t="s">
        <v>138</v>
      </c>
    </row>
    <row r="32" spans="1:3" x14ac:dyDescent="0.25">
      <c r="B32" s="20" t="s">
        <v>139</v>
      </c>
    </row>
    <row r="33" spans="2:2" x14ac:dyDescent="0.25">
      <c r="B33" s="20" t="s">
        <v>140</v>
      </c>
    </row>
    <row r="34" spans="2:2" x14ac:dyDescent="0.25">
      <c r="B34" s="20" t="s">
        <v>141</v>
      </c>
    </row>
    <row r="35" spans="2:2" x14ac:dyDescent="0.25">
      <c r="B35" s="20" t="s">
        <v>142</v>
      </c>
    </row>
    <row r="36" spans="2:2" x14ac:dyDescent="0.25">
      <c r="B36" s="20" t="s">
        <v>143</v>
      </c>
    </row>
    <row r="37" spans="2:2" x14ac:dyDescent="0.25">
      <c r="B37" s="20" t="s">
        <v>144</v>
      </c>
    </row>
    <row r="38" spans="2:2" x14ac:dyDescent="0.25">
      <c r="B38" s="20" t="s">
        <v>145</v>
      </c>
    </row>
    <row r="39" spans="2:2" x14ac:dyDescent="0.25">
      <c r="B39" s="20" t="s">
        <v>146</v>
      </c>
    </row>
    <row r="40" spans="2:2" x14ac:dyDescent="0.25">
      <c r="B40" s="20" t="s">
        <v>147</v>
      </c>
    </row>
    <row r="41" spans="2:2" x14ac:dyDescent="0.25">
      <c r="B41" s="20" t="s">
        <v>148</v>
      </c>
    </row>
    <row r="42" spans="2:2" x14ac:dyDescent="0.25">
      <c r="B42" s="20" t="s">
        <v>149</v>
      </c>
    </row>
    <row r="43" spans="2:2" x14ac:dyDescent="0.25">
      <c r="B43" s="21" t="s">
        <v>150</v>
      </c>
    </row>
    <row r="44" spans="2:2" x14ac:dyDescent="0.25">
      <c r="B44" s="20" t="s">
        <v>136</v>
      </c>
    </row>
    <row r="45" spans="2:2" x14ac:dyDescent="0.25">
      <c r="B45" s="20" t="s">
        <v>151</v>
      </c>
    </row>
    <row r="46" spans="2:2" x14ac:dyDescent="0.25">
      <c r="B46" s="20" t="s">
        <v>152</v>
      </c>
    </row>
    <row r="47" spans="2:2" x14ac:dyDescent="0.25">
      <c r="B47" s="20" t="s">
        <v>153</v>
      </c>
    </row>
    <row r="48" spans="2:2" x14ac:dyDescent="0.25">
      <c r="B48" s="20" t="s">
        <v>154</v>
      </c>
    </row>
    <row r="49" spans="2:2" x14ac:dyDescent="0.25">
      <c r="B49" s="20" t="s">
        <v>137</v>
      </c>
    </row>
    <row r="50" spans="2:2" x14ac:dyDescent="0.25">
      <c r="B50" s="20" t="s">
        <v>138</v>
      </c>
    </row>
    <row r="51" spans="2:2" x14ac:dyDescent="0.25">
      <c r="B51" s="20" t="s">
        <v>139</v>
      </c>
    </row>
    <row r="52" spans="2:2" x14ac:dyDescent="0.25">
      <c r="B52" s="20" t="s">
        <v>140</v>
      </c>
    </row>
    <row r="53" spans="2:2" x14ac:dyDescent="0.25">
      <c r="B53" s="20" t="s">
        <v>141</v>
      </c>
    </row>
    <row r="54" spans="2:2" x14ac:dyDescent="0.25">
      <c r="B54" s="20" t="s">
        <v>142</v>
      </c>
    </row>
    <row r="55" spans="2:2" x14ac:dyDescent="0.25">
      <c r="B55" s="20" t="s">
        <v>143</v>
      </c>
    </row>
    <row r="56" spans="2:2" x14ac:dyDescent="0.25">
      <c r="B56" s="20" t="s">
        <v>155</v>
      </c>
    </row>
    <row r="57" spans="2:2" x14ac:dyDescent="0.25">
      <c r="B57" s="20" t="s">
        <v>156</v>
      </c>
    </row>
    <row r="58" spans="2:2" x14ac:dyDescent="0.25">
      <c r="B58" s="20" t="s">
        <v>144</v>
      </c>
    </row>
    <row r="59" spans="2:2" x14ac:dyDescent="0.25">
      <c r="B59" s="20" t="s">
        <v>145</v>
      </c>
    </row>
    <row r="60" spans="2:2" x14ac:dyDescent="0.25">
      <c r="B60" s="20" t="s">
        <v>157</v>
      </c>
    </row>
    <row r="61" spans="2:2" x14ac:dyDescent="0.25">
      <c r="B61" s="20" t="s">
        <v>158</v>
      </c>
    </row>
    <row r="62" spans="2:2" x14ac:dyDescent="0.25">
      <c r="B62" s="20" t="s">
        <v>159</v>
      </c>
    </row>
    <row r="63" spans="2:2" x14ac:dyDescent="0.25">
      <c r="B63" s="20" t="s">
        <v>154</v>
      </c>
    </row>
    <row r="64" spans="2:2" x14ac:dyDescent="0.25">
      <c r="B64" s="20" t="s">
        <v>146</v>
      </c>
    </row>
    <row r="65" spans="2:2" x14ac:dyDescent="0.25">
      <c r="B65" s="20" t="s">
        <v>147</v>
      </c>
    </row>
    <row r="66" spans="2:2" x14ac:dyDescent="0.25">
      <c r="B66" s="20" t="s">
        <v>160</v>
      </c>
    </row>
    <row r="67" spans="2:2" x14ac:dyDescent="0.25">
      <c r="B67" s="20" t="s">
        <v>154</v>
      </c>
    </row>
    <row r="68" spans="2:2" x14ac:dyDescent="0.25">
      <c r="B68" s="20" t="s">
        <v>148</v>
      </c>
    </row>
    <row r="69" spans="2:2" x14ac:dyDescent="0.25">
      <c r="B69" s="20" t="s">
        <v>161</v>
      </c>
    </row>
    <row r="70" spans="2:2" x14ac:dyDescent="0.25">
      <c r="B70" s="21" t="s">
        <v>162</v>
      </c>
    </row>
    <row r="71" spans="2:2" x14ac:dyDescent="0.25">
      <c r="B71" s="20" t="s">
        <v>136</v>
      </c>
    </row>
    <row r="72" spans="2:2" x14ac:dyDescent="0.25">
      <c r="B72" s="20" t="s">
        <v>137</v>
      </c>
    </row>
    <row r="73" spans="2:2" x14ac:dyDescent="0.25">
      <c r="B73" s="20" t="s">
        <v>138</v>
      </c>
    </row>
    <row r="74" spans="2:2" x14ac:dyDescent="0.25">
      <c r="B74" s="20" t="s">
        <v>139</v>
      </c>
    </row>
    <row r="75" spans="2:2" x14ac:dyDescent="0.25">
      <c r="B75" s="20" t="s">
        <v>143</v>
      </c>
    </row>
    <row r="76" spans="2:2" x14ac:dyDescent="0.25">
      <c r="B76" s="20" t="s">
        <v>145</v>
      </c>
    </row>
    <row r="77" spans="2:2" x14ac:dyDescent="0.25">
      <c r="B77" s="20" t="s">
        <v>146</v>
      </c>
    </row>
    <row r="78" spans="2:2" x14ac:dyDescent="0.25">
      <c r="B78" s="20" t="s">
        <v>147</v>
      </c>
    </row>
    <row r="79" spans="2:2" x14ac:dyDescent="0.25">
      <c r="B79" s="20" t="s">
        <v>148</v>
      </c>
    </row>
    <row r="80" spans="2:2" x14ac:dyDescent="0.25">
      <c r="B80" s="20" t="s">
        <v>161</v>
      </c>
    </row>
    <row r="81" spans="1:2" x14ac:dyDescent="0.25">
      <c r="B81" s="21" t="s">
        <v>163</v>
      </c>
    </row>
    <row r="82" spans="1:2" x14ac:dyDescent="0.25">
      <c r="B82" s="21" t="s">
        <v>164</v>
      </c>
    </row>
    <row r="83" spans="1:2" x14ac:dyDescent="0.25">
      <c r="B83" s="21" t="s">
        <v>165</v>
      </c>
    </row>
    <row r="84" spans="1:2" x14ac:dyDescent="0.25">
      <c r="B84" s="21" t="s">
        <v>166</v>
      </c>
    </row>
    <row r="85" spans="1:2" x14ac:dyDescent="0.25">
      <c r="B85" s="21" t="s">
        <v>167</v>
      </c>
    </row>
    <row r="86" spans="1:2" x14ac:dyDescent="0.25">
      <c r="B86" s="21" t="s">
        <v>168</v>
      </c>
    </row>
    <row r="87" spans="1:2" x14ac:dyDescent="0.25">
      <c r="B87" s="21" t="s">
        <v>169</v>
      </c>
    </row>
    <row r="88" spans="1:2" x14ac:dyDescent="0.25">
      <c r="A88" s="22" t="s">
        <v>191</v>
      </c>
      <c r="B88" s="24" t="s">
        <v>170</v>
      </c>
    </row>
    <row r="89" spans="1:2" x14ac:dyDescent="0.25">
      <c r="B89" s="20" t="s">
        <v>171</v>
      </c>
    </row>
    <row r="90" spans="1:2" x14ac:dyDescent="0.25">
      <c r="B90" s="20" t="s">
        <v>172</v>
      </c>
    </row>
    <row r="91" spans="1:2" x14ac:dyDescent="0.25">
      <c r="B91" s="20" t="s">
        <v>173</v>
      </c>
    </row>
    <row r="92" spans="1:2" x14ac:dyDescent="0.25">
      <c r="B92" s="20" t="s">
        <v>174</v>
      </c>
    </row>
    <row r="93" spans="1:2" x14ac:dyDescent="0.25">
      <c r="B93" s="20" t="s">
        <v>175</v>
      </c>
    </row>
    <row r="94" spans="1:2" x14ac:dyDescent="0.25">
      <c r="B94" s="20" t="s">
        <v>176</v>
      </c>
    </row>
    <row r="95" spans="1:2" x14ac:dyDescent="0.25">
      <c r="B95" s="20" t="s">
        <v>177</v>
      </c>
    </row>
    <row r="96" spans="1:2" x14ac:dyDescent="0.25">
      <c r="B96" s="20" t="s">
        <v>178</v>
      </c>
    </row>
    <row r="97" spans="2:2" x14ac:dyDescent="0.25">
      <c r="B97" s="20" t="s">
        <v>179</v>
      </c>
    </row>
    <row r="98" spans="2:2" x14ac:dyDescent="0.25">
      <c r="B98" s="20" t="s">
        <v>180</v>
      </c>
    </row>
    <row r="99" spans="2:2" x14ac:dyDescent="0.25">
      <c r="B99" s="20" t="s">
        <v>181</v>
      </c>
    </row>
    <row r="100" spans="2:2" x14ac:dyDescent="0.25">
      <c r="B100" s="20" t="s">
        <v>182</v>
      </c>
    </row>
    <row r="101" spans="2:2" x14ac:dyDescent="0.25">
      <c r="B101" s="20" t="s">
        <v>183</v>
      </c>
    </row>
    <row r="102" spans="2:2" x14ac:dyDescent="0.25">
      <c r="B102" s="20" t="s">
        <v>184</v>
      </c>
    </row>
    <row r="103" spans="2:2" x14ac:dyDescent="0.25">
      <c r="B103" s="20" t="s">
        <v>185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QuangTrung</cp:lastModifiedBy>
  <dcterms:created xsi:type="dcterms:W3CDTF">2022-04-01T07:31:40Z</dcterms:created>
  <dcterms:modified xsi:type="dcterms:W3CDTF">2023-05-08T04:03:06Z</dcterms:modified>
</cp:coreProperties>
</file>
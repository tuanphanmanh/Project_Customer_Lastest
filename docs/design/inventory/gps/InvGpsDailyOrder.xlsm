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Source\docs\design\inventory\gps\"/>
    </mc:Choice>
  </mc:AlternateContent>
  <bookViews>
    <workbookView xWindow="-120" yWindow="-120" windowWidth="19440" windowHeight="15000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5" l="1"/>
  <c r="C16" i="5"/>
  <c r="D16" i="5"/>
  <c r="B17" i="5"/>
  <c r="D17" i="5" s="1"/>
  <c r="C17" i="5"/>
  <c r="B18" i="5"/>
  <c r="D18" i="5" s="1"/>
  <c r="C18" i="5"/>
  <c r="B19" i="5"/>
  <c r="C19" i="5"/>
  <c r="D19" i="5"/>
  <c r="B20" i="5"/>
  <c r="C20" i="5"/>
  <c r="D20" i="5"/>
  <c r="B21" i="5"/>
  <c r="D21" i="5" s="1"/>
  <c r="C21" i="5"/>
  <c r="B22" i="5"/>
  <c r="D22" i="5" s="1"/>
  <c r="C22" i="5"/>
  <c r="B23" i="5"/>
  <c r="C23" i="5"/>
  <c r="D23" i="5"/>
  <c r="B24" i="5"/>
  <c r="C24" i="5"/>
  <c r="D24" i="5"/>
  <c r="B25" i="5"/>
  <c r="D25" i="5" s="1"/>
  <c r="C25" i="5"/>
  <c r="B26" i="5"/>
  <c r="D26" i="5" s="1"/>
  <c r="C26" i="5"/>
  <c r="B27" i="5"/>
  <c r="C27" i="5"/>
  <c r="D27" i="5"/>
  <c r="C15" i="5"/>
  <c r="B15" i="5"/>
  <c r="E17" i="5" l="1"/>
  <c r="F17" i="5"/>
  <c r="E18" i="5"/>
  <c r="F18" i="5"/>
  <c r="E19" i="5"/>
  <c r="F19" i="5"/>
  <c r="E20" i="5"/>
  <c r="F20" i="5"/>
  <c r="E21" i="5"/>
  <c r="F21" i="5"/>
  <c r="T21" i="5" s="1"/>
  <c r="E22" i="5"/>
  <c r="F22" i="5"/>
  <c r="E23" i="5"/>
  <c r="F23" i="5"/>
  <c r="E24" i="5"/>
  <c r="F24" i="5"/>
  <c r="E25" i="5"/>
  <c r="T25" i="5" s="1"/>
  <c r="F25" i="5"/>
  <c r="E26" i="5"/>
  <c r="F26" i="5"/>
  <c r="E27" i="5"/>
  <c r="F27" i="5"/>
  <c r="E15" i="5"/>
  <c r="L26" i="5"/>
  <c r="U26" i="5"/>
  <c r="G23" i="5"/>
  <c r="K21" i="5"/>
  <c r="L20" i="1"/>
  <c r="G20" i="1"/>
  <c r="E20" i="1"/>
  <c r="H20" i="1" s="1"/>
  <c r="D20" i="1"/>
  <c r="T20" i="1" s="1"/>
  <c r="L19" i="1"/>
  <c r="G19" i="1"/>
  <c r="E19" i="1"/>
  <c r="H19" i="1" s="1"/>
  <c r="D19" i="1"/>
  <c r="V19" i="1" s="1"/>
  <c r="L18" i="1"/>
  <c r="G18" i="1"/>
  <c r="E18" i="1"/>
  <c r="H18" i="1" s="1"/>
  <c r="D18" i="1"/>
  <c r="T18" i="1" s="1"/>
  <c r="L14" i="1"/>
  <c r="G14" i="1"/>
  <c r="E14" i="1"/>
  <c r="H14" i="1" s="1"/>
  <c r="D14" i="1"/>
  <c r="V14" i="1" s="1"/>
  <c r="L13" i="1"/>
  <c r="G13" i="1"/>
  <c r="E13" i="1"/>
  <c r="H13" i="1" s="1"/>
  <c r="D13" i="1"/>
  <c r="V13" i="1" s="1"/>
  <c r="L12" i="1"/>
  <c r="G12" i="1"/>
  <c r="E12" i="1"/>
  <c r="H12" i="1" s="1"/>
  <c r="D12" i="1"/>
  <c r="T12" i="1" s="1"/>
  <c r="L11" i="1"/>
  <c r="H11" i="1"/>
  <c r="G11" i="1"/>
  <c r="E11" i="1"/>
  <c r="D11" i="1"/>
  <c r="V11" i="1" s="1"/>
  <c r="L10" i="1"/>
  <c r="G10" i="1"/>
  <c r="F16" i="5" s="1"/>
  <c r="E10" i="1"/>
  <c r="H10" i="1" s="1"/>
  <c r="E16" i="5" s="1"/>
  <c r="D10" i="1"/>
  <c r="V10" i="1" s="1"/>
  <c r="H24" i="5" l="1"/>
  <c r="H26" i="5"/>
  <c r="S26" i="5"/>
  <c r="H22" i="5"/>
  <c r="V23" i="5"/>
  <c r="V26" i="5"/>
  <c r="L24" i="5"/>
  <c r="G21" i="5"/>
  <c r="L23" i="5"/>
  <c r="G24" i="5"/>
  <c r="U24" i="5" s="1"/>
  <c r="V24" i="5"/>
  <c r="K25" i="5"/>
  <c r="G26" i="5"/>
  <c r="L21" i="5"/>
  <c r="V22" i="5"/>
  <c r="I24" i="5"/>
  <c r="T24" i="5"/>
  <c r="G25" i="5"/>
  <c r="S25" i="5" s="1"/>
  <c r="L25" i="5"/>
  <c r="V25" i="5"/>
  <c r="I26" i="5"/>
  <c r="T26" i="5"/>
  <c r="K24" i="5"/>
  <c r="H25" i="5"/>
  <c r="K26" i="5"/>
  <c r="S21" i="5"/>
  <c r="T23" i="5"/>
  <c r="I25" i="5"/>
  <c r="U21" i="5"/>
  <c r="V21" i="5"/>
  <c r="I22" i="5"/>
  <c r="T22" i="5"/>
  <c r="H21" i="5"/>
  <c r="K22" i="5"/>
  <c r="H23" i="5"/>
  <c r="S23" i="5"/>
  <c r="I21" i="5"/>
  <c r="G22" i="5"/>
  <c r="S22" i="5" s="1"/>
  <c r="L22" i="5"/>
  <c r="I23" i="5"/>
  <c r="U23" i="5"/>
  <c r="K23" i="5"/>
  <c r="P13" i="1"/>
  <c r="M20" i="1"/>
  <c r="W13" i="1"/>
  <c r="M11" i="1"/>
  <c r="P11" i="1"/>
  <c r="T13" i="1"/>
  <c r="P18" i="1"/>
  <c r="T11" i="1"/>
  <c r="M18" i="1"/>
  <c r="P20" i="1"/>
  <c r="W19" i="1"/>
  <c r="O19" i="1"/>
  <c r="J19" i="1"/>
  <c r="N19" i="1"/>
  <c r="I19" i="1"/>
  <c r="M19" i="1"/>
  <c r="I18" i="1"/>
  <c r="N18" i="1"/>
  <c r="V18" i="1"/>
  <c r="P19" i="1"/>
  <c r="I20" i="1"/>
  <c r="N20" i="1"/>
  <c r="V20" i="1"/>
  <c r="J18" i="1"/>
  <c r="O18" i="1"/>
  <c r="W18" i="1"/>
  <c r="T19" i="1"/>
  <c r="J20" i="1"/>
  <c r="O20" i="1"/>
  <c r="W20" i="1"/>
  <c r="W14" i="1"/>
  <c r="O14" i="1"/>
  <c r="J14" i="1"/>
  <c r="N14" i="1"/>
  <c r="I14" i="1"/>
  <c r="M14" i="1"/>
  <c r="W12" i="1"/>
  <c r="O12" i="1"/>
  <c r="J12" i="1"/>
  <c r="I12" i="1"/>
  <c r="M12" i="1"/>
  <c r="N12" i="1"/>
  <c r="N10" i="1"/>
  <c r="I10" i="1"/>
  <c r="M10" i="1"/>
  <c r="W10" i="1"/>
  <c r="O10" i="1"/>
  <c r="J10" i="1"/>
  <c r="V12" i="1"/>
  <c r="M13" i="1"/>
  <c r="P10" i="1"/>
  <c r="I11" i="1"/>
  <c r="N11" i="1"/>
  <c r="P12" i="1"/>
  <c r="I13" i="1"/>
  <c r="N13" i="1"/>
  <c r="P14" i="1"/>
  <c r="T10" i="1"/>
  <c r="J11" i="1"/>
  <c r="O11" i="1"/>
  <c r="W11" i="1"/>
  <c r="J13" i="1"/>
  <c r="O13" i="1"/>
  <c r="T14" i="1"/>
  <c r="S24" i="5" l="1"/>
  <c r="U25" i="5"/>
  <c r="U22" i="5"/>
  <c r="L21" i="1"/>
  <c r="G21" i="1"/>
  <c r="E21" i="1"/>
  <c r="H21" i="1" s="1"/>
  <c r="D21" i="1"/>
  <c r="V21" i="1" s="1"/>
  <c r="W21" i="1" l="1"/>
  <c r="P21" i="1"/>
  <c r="T21" i="1"/>
  <c r="I21" i="1"/>
  <c r="N21" i="1"/>
  <c r="M21" i="1"/>
  <c r="J21" i="1"/>
  <c r="O21" i="1"/>
  <c r="B7" i="5"/>
  <c r="B6" i="5"/>
  <c r="B2" i="5"/>
  <c r="G27" i="5" l="1"/>
  <c r="T27" i="5"/>
  <c r="I27" i="5"/>
  <c r="S27" i="5"/>
  <c r="U27" i="5"/>
  <c r="V27" i="5"/>
  <c r="K27" i="5"/>
  <c r="H27" i="5"/>
  <c r="B8" i="5"/>
  <c r="B3" i="5"/>
  <c r="G20" i="5" l="1"/>
  <c r="S20" i="5"/>
  <c r="U20" i="5"/>
  <c r="V20" i="5"/>
  <c r="K20" i="5"/>
  <c r="T20" i="5"/>
  <c r="I20" i="5"/>
  <c r="H20" i="5"/>
  <c r="L27" i="5"/>
  <c r="L20" i="5"/>
  <c r="B6" i="1" l="1"/>
  <c r="G19" i="5" l="1"/>
  <c r="U19" i="5" s="1"/>
  <c r="I19" i="5"/>
  <c r="V19" i="5"/>
  <c r="K19" i="5"/>
  <c r="T19" i="5"/>
  <c r="H19" i="5"/>
  <c r="L19" i="5"/>
  <c r="D15" i="5"/>
  <c r="L17" i="1"/>
  <c r="G17" i="1"/>
  <c r="E17" i="1"/>
  <c r="H17" i="1" s="1"/>
  <c r="D17" i="1"/>
  <c r="V17" i="1" s="1"/>
  <c r="G16" i="1"/>
  <c r="E16" i="1"/>
  <c r="H16" i="1" s="1"/>
  <c r="D16" i="1"/>
  <c r="T16" i="1" s="1"/>
  <c r="S19" i="5" l="1"/>
  <c r="G18" i="5"/>
  <c r="S18" i="5" s="1"/>
  <c r="K18" i="5"/>
  <c r="T18" i="5"/>
  <c r="I18" i="5"/>
  <c r="V18" i="5"/>
  <c r="H18" i="5"/>
  <c r="G17" i="5"/>
  <c r="S17" i="5" s="1"/>
  <c r="T17" i="5"/>
  <c r="I17" i="5"/>
  <c r="V17" i="5"/>
  <c r="K17" i="5"/>
  <c r="H17" i="5"/>
  <c r="L18" i="5"/>
  <c r="L17" i="5"/>
  <c r="M16" i="1"/>
  <c r="L16" i="1"/>
  <c r="P16" i="1"/>
  <c r="W17" i="1"/>
  <c r="O17" i="1"/>
  <c r="J17" i="1"/>
  <c r="I17" i="1"/>
  <c r="N17" i="1"/>
  <c r="M17" i="1"/>
  <c r="I16" i="1"/>
  <c r="N16" i="1"/>
  <c r="V16" i="1"/>
  <c r="P17" i="1"/>
  <c r="J16" i="1"/>
  <c r="O16" i="1"/>
  <c r="W16" i="1"/>
  <c r="T17" i="1"/>
  <c r="U18" i="5" l="1"/>
  <c r="U17" i="5"/>
  <c r="G9" i="1"/>
  <c r="F15" i="5" s="1"/>
  <c r="E9" i="1"/>
  <c r="H9" i="1" s="1"/>
  <c r="D9" i="1"/>
  <c r="V9" i="1" s="1"/>
  <c r="K15" i="5" l="1"/>
  <c r="I15" i="5"/>
  <c r="S15" i="5"/>
  <c r="U15" i="5"/>
  <c r="T15" i="5"/>
  <c r="H15" i="5"/>
  <c r="G15" i="5"/>
  <c r="V15" i="5"/>
  <c r="L15" i="5"/>
  <c r="W9" i="1"/>
  <c r="P9" i="1"/>
  <c r="T9" i="1"/>
  <c r="I9" i="1"/>
  <c r="N9" i="1"/>
  <c r="M9" i="1"/>
  <c r="J9" i="1"/>
  <c r="O9" i="1"/>
  <c r="Q3" i="1" l="1"/>
  <c r="B4" i="5" s="1"/>
  <c r="B5" i="5" s="1"/>
  <c r="G15" i="1" l="1"/>
  <c r="E15" i="1"/>
  <c r="H15" i="1" s="1"/>
  <c r="D15" i="1"/>
  <c r="T15" i="1" s="1"/>
  <c r="H16" i="5" l="1"/>
  <c r="T16" i="5"/>
  <c r="V16" i="5"/>
  <c r="K16" i="5"/>
  <c r="I16" i="5"/>
  <c r="G16" i="5"/>
  <c r="S16" i="5" s="1"/>
  <c r="L16" i="5"/>
  <c r="P15" i="1"/>
  <c r="V15" i="1"/>
  <c r="W15" i="1"/>
  <c r="J15" i="1"/>
  <c r="I15" i="1"/>
  <c r="O15" i="1"/>
  <c r="N15" i="1"/>
  <c r="M15" i="1"/>
  <c r="U16" i="5" l="1"/>
  <c r="W3" i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3" i="1"/>
  <c r="K12" i="5" l="1"/>
  <c r="H12" i="5"/>
  <c r="V12" i="5"/>
  <c r="T12" i="5"/>
  <c r="U12" i="5"/>
  <c r="I12" i="5"/>
  <c r="L12" i="5"/>
  <c r="S12" i="5"/>
  <c r="V13" i="5"/>
  <c r="R3" i="1" l="1"/>
  <c r="D1" i="1"/>
  <c r="F6" i="1"/>
  <c r="T23" i="1"/>
  <c r="T13" i="5"/>
  <c r="T7" i="1" l="1"/>
  <c r="W23" i="1"/>
  <c r="G6" i="1" l="1"/>
  <c r="L13" i="5"/>
  <c r="U13" i="5"/>
  <c r="K13" i="5"/>
  <c r="I13" i="5"/>
  <c r="S13" i="5"/>
  <c r="H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5" i="1"/>
  <c r="C7" i="1"/>
  <c r="I23" i="1"/>
  <c r="P23" i="1"/>
  <c r="J23" i="1"/>
  <c r="O23" i="1"/>
  <c r="N23" i="1"/>
  <c r="Q7" i="1" l="1"/>
  <c r="M68" i="3" s="1"/>
  <c r="L7" i="1"/>
  <c r="G68" i="3" s="1"/>
  <c r="K68" i="3"/>
  <c r="J68" i="3"/>
  <c r="K23" i="1"/>
  <c r="M23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<sst xmlns="http://schemas.openxmlformats.org/spreadsheetml/2006/main" count="491" uniqueCount="377">
  <si>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</si>
  <si>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</si>
  <si>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</si>
  <si>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</si>
  <si>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</si>
  <si>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</si>
  <si>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</si>
  <si>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</si>
  <si>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</si>
  <si>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</si>
  <si>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</si>
  <si>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</si>
  <si>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</si>
  <si>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</si>
  <si>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</si>
  <si>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</si>
  <si>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</si>
  <si>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</si>
  <si>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</si>
  <si>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</si>
  <si>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</si>
  <si>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</si>
  <si>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</si>
  <si>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</si>
  <si>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</si>
  <si>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</si>
  <si>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</si>
  <si>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</si>
  <si>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</si>
  <si>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</si>
  <si>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</si>
  <si>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</si>
  <si>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</si>
  <si>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</si>
  <si>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</si>
  <si>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</si>
  <si>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</si>
  <si>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</si>
  <si>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</si>
  <si>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</si>
  <si>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</si>
  <si>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</si>
  <si>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</si>
  <si>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</si>
  <si>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</si>
  <si>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</si>
  <si>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</si>
  <si>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</si>
  <si>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</si>
  <si>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</si>
  <si>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</si>
  <si>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</si>
  <si>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</si>
  <si>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</si>
  <si>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</si>
  <si>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</si>
  <si>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</si>
  <si>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</si>
  <si>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</si>
  <si>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</si>
  <si>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</si>
  <si>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</si>
  <si>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</si>
  <si>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</si>
  <si>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</si>
  <si>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</si>
  <si>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</si>
  <si>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</si>
  <si>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</si>
  <si>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</si>
  <si>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</si>
  <si>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</si>
  <si>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</si>
  <si>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</si>
  <si>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</si>
  <si>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</si>
  <si>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</si>
  <si>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</si>
  <si>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</si>
  <si>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</si>
  <si>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</si>
  <si>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</si>
  <si>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</si>
  <si>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</si>
  <si>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</si>
  <si>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</si>
  <si>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</si>
  <si>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</si>
  <si>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</si>
  <si>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</si>
  <si>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</si>
  <si>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</si>
  <si>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</si>
  <si>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</si>
  <si>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</si>
  <si>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</si>
  <si>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</si>
  <si>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</si>
  <si>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</si>
  <si>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</si>
  <si>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</si>
  <si>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</si>
  <si>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</si>
  <si>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</si>
  <si>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</si>
  <si>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</si>
  <si>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</si>
  <si>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</si>
  <si>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</si>
  <si>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</si>
  <si>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</si>
  <si>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</si>
  <si>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</si>
  <si>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</si>
  <si>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</si>
  <si>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</si>
  <si>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</si>
  <si>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</si>
  <si>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</si>
  <si>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</si>
  <si>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</si>
  <si>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</si>
  <si>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</si>
  <si>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</si>
  <si>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</si>
  <si>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</si>
  <si>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</si>
  <si>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</si>
  <si>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</si>
  <si>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</si>
  <si>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</si>
  <si>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</si>
  <si>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</si>
  <si>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</si>
  <si>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</si>
  <si>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</si>
  <si>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</si>
  <si>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</si>
  <si>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</si>
  <si>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</si>
  <si>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</si>
  <si>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</si>
  <si>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</si>
  <si>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</si>
  <si>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</si>
  <si>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</si>
  <si>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</si>
  <si>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</si>
  <si>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</si>
  <si>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</si>
  <si>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</si>
  <si>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</si>
  <si>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</si>
  <si>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</si>
  <si>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</si>
  <si>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</si>
  <si>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</si>
  <si>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</si>
  <si>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</si>
  <si>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</si>
  <si>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</si>
  <si>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</si>
  <si>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</si>
  <si>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</si>
  <si>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</si>
  <si>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</si>
  <si>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</si>
  <si>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</si>
  <si>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</si>
  <si>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</si>
  <si>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</si>
  <si>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</si>
  <si>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</si>
  <si>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</si>
  <si>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</si>
  <si>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</si>
  <si>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</si>
  <si>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</si>
  <si>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</si>
  <si>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</si>
  <si>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</si>
  <si>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</si>
  <si>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</si>
  <si>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</si>
  <si>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</si>
  <si>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</si>
  <si>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</si>
  <si>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</si>
  <si>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</si>
  <si>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</si>
  <si>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</si>
  <si>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</si>
  <si>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</si>
  <si>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</si>
  <si>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</si>
  <si>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</si>
  <si>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</si>
  <si>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</si>
  <si>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</si>
  <si>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</si>
  <si>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</si>
  <si>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</si>
  <si>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</si>
  <si>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</si>
  <si>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</si>
  <si>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</si>
  <si>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</si>
  <si>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</si>
  <si>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</si>
  <si>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</si>
  <si>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</si>
  <si>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</si>
  <si>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</si>
  <si>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</si>
  <si>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</si>
  <si>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</si>
  <si>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</si>
  <si>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</si>
  <si>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</si>
  <si>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</si>
  <si>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</si>
  <si>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</si>
  <si>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</si>
  <si>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</si>
  <si>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</si>
  <si>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</si>
  <si>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</si>
  <si>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</si>
  <si>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</si>
  <si>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</si>
  <si>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</si>
  <si>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</si>
  <si>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</si>
  <si>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</si>
  <si>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</si>
  <si>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</si>
  <si>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</si>
  <si>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</si>
  <si>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</si>
  <si>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</si>
  <si>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</si>
  <si>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</si>
  <si>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</si>
  <si>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</si>
  <si>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</si>
  <si>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</si>
  <si>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</si>
  <si>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</si>
  <si>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</si>
  <si>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</si>
  <si>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</si>
  <si>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</si>
  <si>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</si>
  <si>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</si>
  <si>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</si>
  <si>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</si>
  <si>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</si>
  <si>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</si>
  <si>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</si>
  <si>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</si>
  <si>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</si>
  <si>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</si>
  <si>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</si>
  <si>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</si>
  <si>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</si>
  <si>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</si>
  <si>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</si>
  <si>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</si>
  <si>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</si>
  <si>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</si>
  <si>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</si>
  <si>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</si>
  <si>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</si>
  <si>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</si>
  <si>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</si>
  <si>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</si>
  <si>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</si>
  <si>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</si>
  <si>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</si>
  <si>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</si>
  <si>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</si>
  <si>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</si>
  <si>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</si>
  <si>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</si>
  <si>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</si>
  <si>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</si>
  <si>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</si>
  <si>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</si>
  <si>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</si>
  <si>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</si>
  <si>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</si>
  <si>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</si>
  <si>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</si>
  <si>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</si>
  <si>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</si>
  <si>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</si>
  <si>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</si>
  <si>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</si>
  <si>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</si>
  <si>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</si>
  <si>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</si>
  <si>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</si>
  <si>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</si>
  <si>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</si>
  <si>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</si>
  <si>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</si>
  <si>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</si>
  <si>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</si>
  <si>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</si>
  <si>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</si>
  <si>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</si>
  <si>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</si>
  <si>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</si>
  <si>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</si>
  <si>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</si>
  <si>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</si>
  <si>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</si>
  <si>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</si>
  <si>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IS_ACTIVE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</si>
  <si>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</si>
  <si>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</si>
  <si>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</si>
  <si>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</si>
  <si>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</si>
  <si>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</si>
  <si>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</si>
  <si>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</si>
  <si>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</si>
  <si>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</si>
  <si>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</si>
  <si>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</si>
  <si>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</si>
  <si>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</si>
  <si>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</si>
  <si>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</si>
  <si>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</si>
  <si>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</si>
  <si>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</si>
  <si>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</si>
  <si>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</si>
  <si>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</si>
  <si>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</si>
  <si>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</si>
  <si>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</si>
  <si>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</si>
  <si>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</si>
  <si>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</si>
  <si>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</si>
  <si>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</si>
  <si>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</si>
  <si>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</si>
  <si>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</si>
  <si>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</si>
  <si>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</si>
  <si>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bool?</t>
  </si>
  <si>
    <t>nvarchar(40)</t>
  </si>
  <si>
    <t>varchar(50)</t>
  </si>
  <si>
    <t>varchar(1)</t>
  </si>
  <si>
    <t>WORKING_DATE</t>
  </si>
  <si>
    <t>SHIFT</t>
  </si>
  <si>
    <t>varchar(40)</t>
  </si>
  <si>
    <t>SUPPLIER_NAME</t>
  </si>
  <si>
    <t>SUPPLIER_CODE</t>
  </si>
  <si>
    <t>varchar(10)</t>
  </si>
  <si>
    <t>ORDER_NO</t>
  </si>
  <si>
    <t>ORDER_DATETIME</t>
  </si>
  <si>
    <t>TRIP_NO</t>
  </si>
  <si>
    <t>TRUCK_NO</t>
  </si>
  <si>
    <t>EST_ARRIVAL_DATETIME</t>
  </si>
  <si>
    <t>STATUS</t>
  </si>
  <si>
    <t>TRUCK_UNLOADING_ID</t>
  </si>
  <si>
    <t>InvGpsDailyOrder</t>
  </si>
  <si>
    <t>Inventory.GPS</t>
  </si>
  <si>
    <t>Daily Order</t>
  </si>
  <si>
    <t>GENERATED_BY</t>
  </si>
  <si>
    <t>Y</t>
  </si>
  <si>
    <t>datetime2(7)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</si>
</sst>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D64" zoomScaleNormal="100" workbookViewId="0">
      <selection activeCell="E77" sqref="E77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45.8554687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70</v>
      </c>
    </row>
    <row r="2" spans="1:7" ht="15.75" x14ac:dyDescent="0.25">
      <c r="A2" s="1"/>
      <c r="B2" s="25" t="s">
        <v>192</v>
      </c>
    </row>
    <row r="3" spans="1:7" x14ac:dyDescent="0.25">
      <c r="A3" s="1"/>
      <c r="B3" s="1" t="s">
        <v>73</v>
      </c>
    </row>
    <row r="4" spans="1:7" x14ac:dyDescent="0.25">
      <c r="A4" s="1"/>
      <c r="B4" t="s">
        <v>72</v>
      </c>
    </row>
    <row r="5" spans="1:7" x14ac:dyDescent="0.25">
      <c r="A5" s="1"/>
      <c r="B5" t="s">
        <v>75</v>
      </c>
    </row>
    <row r="6" spans="1:7" x14ac:dyDescent="0.25">
      <c r="A6" s="1"/>
      <c r="B6" t="s">
        <v>83</v>
      </c>
    </row>
    <row r="7" spans="1:7" x14ac:dyDescent="0.25">
      <c r="A7" s="1"/>
      <c r="C7" s="2" t="s">
        <v>93</v>
      </c>
      <c r="D7" s="2"/>
      <c r="E7" s="2"/>
      <c r="F7" s="2" t="s">
        <v>101</v>
      </c>
      <c r="G7" s="2" t="s">
        <v>279</v>
      </c>
    </row>
    <row r="8" spans="1:7" x14ac:dyDescent="0.25">
      <c r="A8" s="1"/>
      <c r="C8" t="s">
        <v>85</v>
      </c>
      <c r="F8" s="1" t="s">
        <v>229</v>
      </c>
      <c r="G8" t="s">
        <v>229</v>
      </c>
    </row>
    <row r="9" spans="1:7" x14ac:dyDescent="0.25">
      <c r="A9" s="1"/>
      <c r="C9" t="s">
        <v>84</v>
      </c>
      <c r="F9" s="1" t="s">
        <v>94</v>
      </c>
      <c r="G9" t="s">
        <v>94</v>
      </c>
    </row>
    <row r="10" spans="1:7" x14ac:dyDescent="0.25">
      <c r="A10" s="1"/>
      <c r="D10" t="s">
        <v>85</v>
      </c>
      <c r="F10" s="1" t="s">
        <v>229</v>
      </c>
      <c r="G10" t="s">
        <v>280</v>
      </c>
    </row>
    <row r="11" spans="1:7" x14ac:dyDescent="0.25">
      <c r="A11" s="1"/>
      <c r="D11" t="s">
        <v>86</v>
      </c>
      <c r="F11" s="1" t="s">
        <v>95</v>
      </c>
      <c r="G11" t="s">
        <v>281</v>
      </c>
    </row>
    <row r="12" spans="1:7" x14ac:dyDescent="0.25">
      <c r="A12" s="1"/>
      <c r="D12" t="s">
        <v>87</v>
      </c>
      <c r="F12" s="1" t="s">
        <v>96</v>
      </c>
      <c r="G12" t="s">
        <v>282</v>
      </c>
    </row>
    <row r="13" spans="1:7" x14ac:dyDescent="0.25">
      <c r="A13" s="1"/>
      <c r="D13" t="s">
        <v>88</v>
      </c>
      <c r="F13" s="1" t="s">
        <v>97</v>
      </c>
      <c r="G13" t="s">
        <v>283</v>
      </c>
    </row>
    <row r="14" spans="1:7" x14ac:dyDescent="0.25">
      <c r="A14" s="1"/>
      <c r="D14" t="s">
        <v>89</v>
      </c>
      <c r="F14" s="1" t="s">
        <v>98</v>
      </c>
      <c r="G14" t="s">
        <v>284</v>
      </c>
    </row>
    <row r="15" spans="1:7" x14ac:dyDescent="0.25">
      <c r="A15" s="1"/>
      <c r="D15" t="s">
        <v>90</v>
      </c>
      <c r="F15" s="1" t="s">
        <v>99</v>
      </c>
      <c r="G15" t="s">
        <v>285</v>
      </c>
    </row>
    <row r="16" spans="1:7" ht="12" customHeight="1" x14ac:dyDescent="0.25">
      <c r="A16" s="1"/>
      <c r="D16" t="s">
        <v>265</v>
      </c>
      <c r="F16" s="1" t="s">
        <v>266</v>
      </c>
      <c r="G16" t="s">
        <v>286</v>
      </c>
    </row>
    <row r="17" spans="1:7" ht="12" customHeight="1" x14ac:dyDescent="0.25">
      <c r="A17" s="1"/>
      <c r="D17" t="s">
        <v>300</v>
      </c>
      <c r="F17" s="1" t="s">
        <v>301</v>
      </c>
      <c r="G17" t="s">
        <v>302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87</v>
      </c>
      <c r="F19" s="1" t="s">
        <v>96</v>
      </c>
      <c r="G19" t="s">
        <v>96</v>
      </c>
    </row>
    <row r="20" spans="1:7" x14ac:dyDescent="0.25">
      <c r="A20" s="1"/>
      <c r="D20" t="s">
        <v>91</v>
      </c>
      <c r="F20" s="1" t="s">
        <v>110</v>
      </c>
      <c r="G20" t="s">
        <v>287</v>
      </c>
    </row>
    <row r="21" spans="1:7" x14ac:dyDescent="0.25">
      <c r="A21" s="1"/>
      <c r="D21" t="s">
        <v>92</v>
      </c>
      <c r="F21" s="1" t="s">
        <v>100</v>
      </c>
      <c r="G21" t="s">
        <v>288</v>
      </c>
    </row>
    <row r="22" spans="1:7" x14ac:dyDescent="0.25">
      <c r="A22" s="1"/>
      <c r="C22" t="s">
        <v>88</v>
      </c>
      <c r="F22" s="1" t="s">
        <v>97</v>
      </c>
      <c r="G22" t="s">
        <v>97</v>
      </c>
    </row>
    <row r="23" spans="1:7" x14ac:dyDescent="0.25">
      <c r="A23" s="1"/>
      <c r="D23" t="s">
        <v>91</v>
      </c>
      <c r="F23" s="1" t="s">
        <v>110</v>
      </c>
      <c r="G23" t="s">
        <v>297</v>
      </c>
    </row>
    <row r="24" spans="1:7" x14ac:dyDescent="0.25">
      <c r="A24" s="1"/>
      <c r="C24" t="s">
        <v>86</v>
      </c>
      <c r="F24" s="1" t="s">
        <v>95</v>
      </c>
      <c r="G24" t="s">
        <v>95</v>
      </c>
    </row>
    <row r="25" spans="1:7" x14ac:dyDescent="0.25">
      <c r="A25" s="1"/>
      <c r="D25" t="s">
        <v>91</v>
      </c>
      <c r="F25" s="1" t="s">
        <v>110</v>
      </c>
      <c r="G25" t="s">
        <v>296</v>
      </c>
    </row>
    <row r="26" spans="1:7" x14ac:dyDescent="0.25">
      <c r="A26" s="1"/>
      <c r="C26" t="s">
        <v>89</v>
      </c>
      <c r="F26" s="1" t="s">
        <v>98</v>
      </c>
      <c r="G26" t="s">
        <v>98</v>
      </c>
    </row>
    <row r="27" spans="1:7" x14ac:dyDescent="0.25">
      <c r="A27" s="1"/>
      <c r="C27" t="s">
        <v>265</v>
      </c>
      <c r="F27" s="1" t="s">
        <v>266</v>
      </c>
      <c r="G27" t="s">
        <v>266</v>
      </c>
    </row>
    <row r="28" spans="1:7" x14ac:dyDescent="0.25">
      <c r="A28" s="1"/>
      <c r="D28" t="s">
        <v>267</v>
      </c>
      <c r="F28" s="1" t="s">
        <v>269</v>
      </c>
      <c r="G28" t="s">
        <v>289</v>
      </c>
    </row>
    <row r="29" spans="1:7" x14ac:dyDescent="0.25">
      <c r="A29" s="1"/>
      <c r="D29" t="s">
        <v>270</v>
      </c>
      <c r="F29" s="1" t="s">
        <v>268</v>
      </c>
      <c r="G29" t="s">
        <v>290</v>
      </c>
    </row>
    <row r="30" spans="1:7" x14ac:dyDescent="0.25">
      <c r="A30" s="1"/>
      <c r="D30" t="s">
        <v>271</v>
      </c>
      <c r="F30" s="1" t="s">
        <v>274</v>
      </c>
      <c r="G30" t="s">
        <v>291</v>
      </c>
    </row>
    <row r="31" spans="1:7" x14ac:dyDescent="0.25">
      <c r="A31" s="1"/>
      <c r="D31" t="s">
        <v>272</v>
      </c>
      <c r="F31" s="1" t="s">
        <v>275</v>
      </c>
      <c r="G31" t="s">
        <v>292</v>
      </c>
    </row>
    <row r="32" spans="1:7" x14ac:dyDescent="0.25">
      <c r="A32" s="1"/>
      <c r="D32" t="s">
        <v>273</v>
      </c>
      <c r="F32" s="1" t="s">
        <v>276</v>
      </c>
      <c r="G32" t="s">
        <v>293</v>
      </c>
    </row>
    <row r="33" spans="1:8" x14ac:dyDescent="0.25">
      <c r="A33" s="1"/>
      <c r="D33" t="s">
        <v>278</v>
      </c>
      <c r="F33" s="1" t="s">
        <v>277</v>
      </c>
      <c r="G33" t="s">
        <v>294</v>
      </c>
    </row>
    <row r="34" spans="1:8" x14ac:dyDescent="0.25">
      <c r="A34" s="1"/>
      <c r="C34" t="s">
        <v>300</v>
      </c>
      <c r="F34" s="1" t="s">
        <v>301</v>
      </c>
      <c r="G34" t="s">
        <v>301</v>
      </c>
    </row>
    <row r="35" spans="1:8" x14ac:dyDescent="0.25">
      <c r="A35" s="1"/>
      <c r="D35" t="s">
        <v>303</v>
      </c>
      <c r="F35" s="1" t="s">
        <v>304</v>
      </c>
      <c r="G35" t="s">
        <v>305</v>
      </c>
    </row>
    <row r="36" spans="1:8" x14ac:dyDescent="0.25">
      <c r="A36" s="1"/>
      <c r="D36" t="s">
        <v>92</v>
      </c>
      <c r="F36" s="1" t="s">
        <v>100</v>
      </c>
      <c r="G36" t="s">
        <v>306</v>
      </c>
    </row>
    <row r="37" spans="1:8" x14ac:dyDescent="0.25">
      <c r="A37" s="1"/>
      <c r="D37" t="s">
        <v>307</v>
      </c>
      <c r="F37" s="1" t="s">
        <v>308</v>
      </c>
      <c r="G37" t="s">
        <v>309</v>
      </c>
    </row>
    <row r="38" spans="1:8" x14ac:dyDescent="0.25">
      <c r="A38" s="1"/>
      <c r="D38" t="s">
        <v>310</v>
      </c>
      <c r="F38" s="1" t="s">
        <v>311</v>
      </c>
      <c r="G38" t="s">
        <v>312</v>
      </c>
    </row>
    <row r="39" spans="1:8" x14ac:dyDescent="0.25">
      <c r="A39" s="1"/>
      <c r="D39" t="s">
        <v>314</v>
      </c>
      <c r="F39" s="1" t="s">
        <v>315</v>
      </c>
      <c r="G39" t="s">
        <v>316</v>
      </c>
    </row>
    <row r="40" spans="1:8" x14ac:dyDescent="0.25">
      <c r="A40" s="1"/>
      <c r="C40" t="s">
        <v>313</v>
      </c>
      <c r="F40" s="1" t="s">
        <v>295</v>
      </c>
      <c r="G40" t="s">
        <v>295</v>
      </c>
    </row>
    <row r="41" spans="1:8" x14ac:dyDescent="0.25">
      <c r="A41" s="1"/>
      <c r="D41" t="s">
        <v>298</v>
      </c>
      <c r="F41" s="1" t="s">
        <v>298</v>
      </c>
      <c r="G41" t="s">
        <v>299</v>
      </c>
      <c r="H41" t="s">
        <v>317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82</v>
      </c>
    </row>
    <row r="53" spans="1:7" x14ac:dyDescent="0.25">
      <c r="A53" s="1"/>
      <c r="B53" t="s">
        <v>79</v>
      </c>
    </row>
    <row r="54" spans="1:7" x14ac:dyDescent="0.25">
      <c r="A54" s="1"/>
      <c r="C54" s="17" t="s">
        <v>76</v>
      </c>
    </row>
    <row r="55" spans="1:7" x14ac:dyDescent="0.25">
      <c r="A55" s="1"/>
      <c r="C55" s="16" t="s">
        <v>77</v>
      </c>
    </row>
    <row r="56" spans="1:7" x14ac:dyDescent="0.25">
      <c r="A56" s="1"/>
      <c r="C56" s="16" t="s">
        <v>78</v>
      </c>
    </row>
    <row r="57" spans="1:7" x14ac:dyDescent="0.25">
      <c r="A57" s="1"/>
      <c r="B57" t="s">
        <v>102</v>
      </c>
      <c r="C57" s="16"/>
    </row>
    <row r="58" spans="1:7" x14ac:dyDescent="0.25">
      <c r="A58" s="1"/>
      <c r="C58" s="16" t="s">
        <v>103</v>
      </c>
    </row>
    <row r="59" spans="1:7" x14ac:dyDescent="0.25">
      <c r="A59" s="1"/>
      <c r="C59" s="16" t="s">
        <v>104</v>
      </c>
    </row>
    <row r="60" spans="1:7" x14ac:dyDescent="0.25">
      <c r="A60" s="1"/>
      <c r="C60" s="16" t="s">
        <v>105</v>
      </c>
    </row>
    <row r="61" spans="1:7" x14ac:dyDescent="0.25">
      <c r="A61" s="1"/>
      <c r="C61" s="16" t="s">
        <v>107</v>
      </c>
    </row>
    <row r="62" spans="1:7" x14ac:dyDescent="0.25">
      <c r="A62" s="1"/>
      <c r="C62" s="16" t="s">
        <v>109</v>
      </c>
    </row>
    <row r="63" spans="1:7" x14ac:dyDescent="0.25">
      <c r="A63" s="1"/>
      <c r="C63" s="16" t="s">
        <v>108</v>
      </c>
    </row>
    <row r="64" spans="1:7" x14ac:dyDescent="0.25">
      <c r="A64" s="1"/>
      <c r="C64" s="16" t="s">
        <v>106</v>
      </c>
    </row>
    <row r="65" spans="2:14" ht="21" customHeight="1" x14ac:dyDescent="0.25">
      <c r="B65" s="19" t="s">
        <v>74</v>
      </c>
    </row>
    <row r="66" spans="2:14" ht="21" customHeight="1" x14ac:dyDescent="0.25">
      <c r="B66" s="59" t="s">
        <v>226</v>
      </c>
    </row>
    <row r="67" spans="2:14" ht="15.75" thickBot="1" x14ac:dyDescent="0.3">
      <c r="C67" s="1" t="s">
        <v>68</v>
      </c>
      <c r="D67" s="1" t="s">
        <v>202</v>
      </c>
      <c r="E67" s="1" t="s">
        <v>203</v>
      </c>
      <c r="F67" s="1" t="s">
        <v>194</v>
      </c>
      <c r="G67" s="1" t="s">
        <v>195</v>
      </c>
      <c r="H67" s="1" t="s">
        <v>196</v>
      </c>
      <c r="I67" s="1" t="s">
        <v>197</v>
      </c>
      <c r="J67" s="1" t="s">
        <v>201</v>
      </c>
      <c r="K67" s="1" t="s">
        <v>204</v>
      </c>
      <c r="L67" s="1" t="s">
        <v>205</v>
      </c>
      <c r="M67" s="1" t="s">
        <v>206</v>
      </c>
      <c r="N67" s="1" t="s">
        <v>222</v>
      </c>
    </row>
    <row r="68" spans="2:14" s="15" customFormat="1" ht="21.75" customHeight="1" thickBot="1" x14ac:dyDescent="0.3">
      <c r="B68" s="49" t="s">
        <v>221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[Table("InvGpsDailyOrder")]
	[Index(nameof(WorkingDate), Name="IX_InvGpsDailyOrder_WorkingDate")]
	[Index(nameof(SupplierCode), Name="IX_InvGpsDailyOrder_SupplierCode")]
	[Index(nameof(Status), Name="IX_InvGpsDailyOrder_Status")]
	[Index(nameof(TruckUnloadingId), Name="IX_InvGpsDailyOrder_TruckUnloadingId")]
	[Index(nameof(IsActive), Name="IX_InvGpsDailyOrder_IsActive")]	public class InvGpsDailyOrder: FullAuditedEntity&lt;long&gt;, IEntity&lt;long&gt;	
	{
		public const int MaxShiftLength = 40;
		public const int MaxSupplierNameLength = 40;
		public const int MaxSupplierCodeLength = 10;
		public const int MaxOrderNoLength = 50;
		public const int MaxTruckNoLength = 40;
		public const int MaxStatusLength = 50;
		public const int MaxGeneratedByLength = 10;
		public const int MaxIsActiveLength = 1;
		[Column(TypeName="date")]
		public virtual DateTime? WorkingDate { get; set; }
		[StringLength(MaxShiftLength)]
		public virtual string Shift { get; set; }
		[StringLength(MaxSupplierNameLength)]
		public virtual string SupplierName { get; set; }
		[StringLength(MaxSupplierCodeLength)]
		public virtual string SupplierCode { get; set; }
		[StringLength(MaxOrderNoLength)]
		public virtual string OrderNo { get; set; }
		[Column(TypeName="datetime2(7)")]
		public virtual DateTime? OrderDatetime { get; set; }
		public virtual int? TripNo { get; set; }
		[StringLength(MaxTruckNoLength)]
		public virtual string TruckNo { get; set; }
		[Column(TypeName="datetime2(7)")]
		public virtual DateTime? EstArrivalDatetime { get; set; }
		[StringLength(MaxStatusLength)]
		public virtual string Status { get; set; }
		[StringLength(MaxGeneratedByLength)]
		public virtual string GeneratedBy { get; set; }
		public virtual long? TruckUnloadingId { get; set; }
		[StringLength(MaxIsActiveLength)]
		public virtual string IsActive { get; set; }
	}
}
</v>
      </c>
      <c r="D68" s="48" t="str">
        <f>A.Backend!O7</f>
        <v xml:space="preserve">		public const string Pages_Inventory_GPS_InvGpsDailyOrder = "Pages.Inventory.GPS.InvGpsDailyOrder";
		public const string Pages_Inventory_GPS_InvGpsDailyOrder_CreateEdit = "Pages.Inventory.GPS.InvGpsDailyOrder.CreateEdit";
		public const string Pages_Inventory_GPS_InvGpsDailyOrder_Delete = "Pages.Inventory.GPS.InvGpsDailyOrder.Delete";
</v>
      </c>
      <c r="E68" s="48" t="str">
        <f>A.Backend!N7</f>
        <v xml:space="preserve">		var perInvGpsDailyOrder = PARENTS.CreateChildPermission(AppPermissions.Pages_Inventory_GPS_InvGpsDailyOrder, L( "InventoryGPSInvGpsDailyOrder"), multiTenancySides: MultiTenancySides.Tenant);
		perInvGpsDailyOrder.CreateChildPermission(AppPermissions.Pages_Inventory_GPS_InvGpsDailyOrder_CreateEdit, L( "InventoryGPSInvGpsDailyOrderCreateEdit"), multiTenancySides: MultiTenancySides.Tenant);
		perInvGpsDailyOrder.CreateChildPermission(AppPermissions.Pages_Inventory_GPS_InvGpsDailyOrder_Delete, L( "InventoryGPSInvGpsDailyOrderDelete"), multiTenancySides: MultiTenancySides.Tenant);</v>
      </c>
      <c r="F68" s="48" t="str">
        <f>A.Backend!K7</f>
        <v>public virtual DbSet&lt;InvGpsDailyOrder&gt; InvGpsDailyOrders { get; set; }</v>
      </c>
      <c r="G68" s="48" t="str">
        <f ca="1">A.Backend!L7</f>
        <v xml:space="preserve">namespace prod.Inventory.GPS
{
	public class InvGpsDailyOrderConsts	
	{
		public const int MaxShiftLength = 40;
		public const int MaxSupplierNameLength = 40;
		public const int MaxSupplierCodeLength = 10;
		public const int MaxOrderNoLength = 50;
		public const int MaxTruckNoLength = 40;
		public const int MaxStatusLength = 50;
		public const int MaxGeneratedByLength = 10;
		public const int MaxIsActiveLength = 1;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prod.Inventory.GPS.Dto
{
	public class InvGpsDailyOrderDto : EntityDto&lt;long?&gt;	
	{
		public virtual DateTime? WorkingDate { get; set; }
		public virtual string Shift { get; set; }
		public virtual string SupplierName { get; set; }
		public virtual string SupplierCode { get; set; }
		public virtual string OrderNo { get; set; }
		public virtual DateTime? OrderDatetime { get; set; }
		public virtual int? TripNo { get; set; }
		public virtual string TruckNo { get; set; }
		public virtual DateTime? EstArrivalDatetime { get; set; }
		public virtual string Status { get; set; }
		public virtual string GeneratedBy { get; set; }
		public virtual long? TruckUnloadingId { get; set; }
		public virtual string IsActive { get; set; }
	}
	public class CreateOrEditInvGpsDailyOrderDto : EntityDto&lt;long?&gt;	
	{
		public virtual DateTime? WorkingDate { get; set; }
		[StringLength(InvGpsDailyOrderConsts.MaxShiftLength)]
		public virtual string Shift { get; set; }
		[StringLength(InvGpsDailyOrderConsts.MaxSupplierNameLength)]
		public virtual string SupplierName { get; set; }
		[StringLength(InvGpsDailyOrderConsts.MaxSupplierCodeLength)]
		public virtual string SupplierCode { get; set; }
		[StringLength(InvGpsDailyOrderConsts.MaxOrderNoLength)]
		public virtual string OrderNo { get; set; }
		public virtual DateTime? OrderDatetime { get; set; }
		public virtual int? TripNo { get; set; }
		[StringLength(InvGpsDailyOrderConsts.MaxTruckNoLength)]
		public virtual string TruckNo { get; set; }
		public virtual DateTime? EstArrivalDatetime { get; set; }
		[StringLength(InvGpsDailyOrderConsts.MaxStatusLength)]
		public virtual string Status { get; set; }
		[StringLength(InvGpsDailyOrderConsts.MaxGeneratedByLength)]
		public virtual string GeneratedBy { get; set; }
		public virtual long? TruckUnloadingId { get; set; }
		[StringLength(InvGpsDailyOrderConsts.MaxIsActiveLength)]
		public virtual string IsActive { get; set; }
	}
	public class GetInvGpsDailyOrderInput : PagedAndSortedResultRequestDto	
	{
		public virtual string Shift { get; set; }
		public virtual string SupplierName { get; set; }
		public virtual string SupplierCode { get; set; }
		public virtual string OrderNo { get; set; }
		public virtual string TruckNo { get; set; }
		public virtual string Status { get; set; }
		public virtual string GeneratedBy { get; set; }
		public virtual string IsActive { get; set; }
	}
}
</v>
      </c>
      <c r="I68" s="48" t="str">
        <f ca="1">A.Backend!R7</f>
        <v xml:space="preserve">using Abp.Application.Services.Dto;
using System;
using System.ComponentModel.DataAnnotations;
namespace prod.Inventory.GPS.Dto
{
	public class InvGpsDailyOrderExportInput{
		public virtual DateTime? WorkingDate { get; set; }
		public virtual string Shift { get; set; }
		public virtual string SupplierName { get; set; }
		public virtual string SupplierCode { get; set; }
		public virtual string OrderNo { get; set; }
		public virtual DateTime? OrderDatetime { get; set; }
		public virtual int? TripNo { get; set; }
		public virtual string TruckNo { get; set; }
		public virtual DateTime? EstArrivalDatetime { get; set; }
		public virtual string Status { get; set; }
		public virtual string GeneratedBy { get; set; }
		public virtual long? TruckUnloadingId { get; set; }
		public virtual string IsActive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vovina.Inventory.GPS.Dto;
namespace prod.Inventory.GPS
{
	public interface IInvGpsDailyOrderAppService : IApplicationService
	{
		Task&lt;PagedResultDto&lt;InvGpsDailyOrderDto&gt;&gt; GetAll(GetInvGpsDailyOrderInput input);
		Task CreateOrEdit(CreateOrEditInvGpsDailyOrderDto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IInvGpsDailyOrderExcelExporter : IApplicationService
	{
		FileDto ExportToFile(List&lt;InvGpsDailyOrderDto&gt; invgpsdailyorder);
	}
}
</v>
      </c>
      <c r="L68" s="48" t="str">
        <f ca="1">A.Backend!T7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InvGpsDailyOrderExcelExporter : NpoiExcelExporterBase, IInvGpsDailyOrderExcelExporter
    {
        public InvGpsDailyOrderExcelExporter(ITempFileCacheManager tempFileCacheManager) : base(tempFileCacheManager) { }
        public FileDto ExportToFile(List&lt;InvGpsDailyOrderDto&gt; invgpsdailyorder)
        {
            return CreateExcelPackage(
				"InventoryGPSInvGpsDailyOrder.xlsx",
				excelPackage =&gt;
				 {
					var sheet = excelPackage.CreateSheet("InvGpsDailyOrder");
					AddHeader(
								sheet,
								("WorkingDate"),
								("Shift"),
								("SupplierName"),
								("SupplierCode"),
								("OrderNo"),
								("OrderDatetime"),
								("TripNo"),
								("TruckNo"),
								("EstArrivalDatetime"),
								("Status"),
								("GeneratedBy"),
								("TruckUnloadingId"),
								("IsActive"),
							   );
					AddObjects(
						 sheet, 1, invgpsdailyorder,                                       
								_ =&gt; _.WorkingDate,
								_ =&gt; _.Shift,
								_ =&gt; _.SupplierName,
								_ =&gt; _.SupplierCode,
								_ =&gt; _.OrderNo,
								_ =&gt; _.OrderDatetime,
								_ =&gt; _.TripNo,
								_ =&gt; _.TruckNo,
								_ =&gt; _.EstArrivalDatetime,
								_ =&gt; _.Status,
								_ =&gt; _.GeneratedBy,
								_ =&gt; _.TruckUnloadingId,
								_ =&gt; _.IsActive,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[AbpAuthorize(AppPermissions.Pages_Inventory_GPS_InvGpsDailyOrder)]
    public class InvGpsDailyOrderAppService : vovinaAppServiceBase, IInvGpsDailyOrderAppService
    {
        private readonly IDapperRepository&lt;InvGpsDailyOrder, long&gt; _dapperRepo;
        private readonly IRepository&lt;InvGpsDailyOrder, long&gt; _repo;
        private readonly IInvGpsDailyOrderExcelExporter _calendarListExcelExporter;
        public InvGpsDailyOrderAppService(IRepository&lt;InvGpsDailyOrder,long&gt; repo, 
                                         IDapperRepository&lt;InvGpsDailyOrder,long&gt; dapperRepo,
                                        IInvGpsDailyOrderExcelExporter calendarListExcelExporter
            )
        {
            _repo = repo;
            _dapperRepo = dapperRepo;
            _calendarListExcelExporter = calendarListExcelExporter;
        }
        [AbpAuthorize(AppPermissions.Pages_Inventory_GPS_InvGpsDailyOrder_CreateEdit)]
        public async Task CreateOrEdit(CreateOrEditInvGpsDailyOrderDto input)
        {
            if (input.Id == null) await Create(input);
            else await Update(input);
        }
        //CREATE
        private async Task Create(CreateOrEditInvGpsDailyOrderDto input)
        {          
            var mainObj = ObjectMapper.Map&lt;InvGpsDailyOrder&gt;(input);
            await CurrentUnitOfWork.GetDbContext&lt;vovinaDbContext&gt;().AddAsync(mainObj);
        }
        // EDIT
        private async Task Update(CreateOrEditInvGpsDailyOrderDto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[AbpAuthorize(AppPermissions.Pages_Inventory_GPS_InvGpsDailyOrder_Delete)]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Task&lt;PagedResultDto&lt;InvGpsDailyOrderDto&gt;&gt; GetAll(GetInvGpsDailyOrderInput input)
        {
            var filtered = _repo.GetAll()
				.WhereIf(!string.IsNullOrWhiteSpace(input.Shift), e =&gt; e.Shift.Contains(input.Shift))
				.WhereIf(!string.IsNullOrWhiteSpace(input.SupplierName), e =&gt; e.SupplierName.Contains(input.SupplierName))
				.WhereIf(!string.IsNullOrWhiteSpace(input.SupplierCode), e =&gt; e.SupplierCode.Contains(input.SupplierCode))
				.WhereIf(!string.IsNullOrWhiteSpace(input.OrderNo), e =&gt; e.OrderNo.Contains(input.OrderNo))
				.WhereIf(!string.IsNullOrWhiteSpace(input.TruckNo), e =&gt; e.TruckNo.Contains(input.TruckNo))
				.WhereIf(!string.IsNullOrWhiteSpace(input.Status), e =&gt; e.Status.Contains(input.Status))
				.WhereIf(!string.IsNullOrWhiteSpace(input.GeneratedBy), e =&gt; e.GeneratedBy.Contains(input.GeneratedBy))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InvGpsDailyOrderDto
                        {
							Id = o.Id,
							WorkingDate = o.WorkingDate,
							Shift = o.Shift,
							SupplierName = o.SupplierName,
							SupplierCode = o.SupplierCode,
							OrderNo = o.OrderNo,
							OrderDatetime = o.OrderDatetime,
							TripNo = o.TripNo,
							TruckNo = o.TruckNo,
							EstArrivalDatetime = o.EstArrivalDatetime,
							Status = o.Status,
							GeneratedBy = o.GeneratedBy,
							TruckUnloadingId = o.TruckUnloadingId,
							IsActive = o.IsActive,
                        };
            var totalCount = await filtered.CountAsync();
			var paged = system.PageBy(input);
            return new PagedResultDto&lt;InvGpsDailyOrderDto&gt;(
                totalCount,
                 await paged.ToListAsync()
            );
        }
        public async Task&lt;FileDto&gt; GetInvGpsDailyOrderToExcel(InvGpsDailyOrderExportInput input)
        {
            var query = from o in _repo.GetAll()
                        select new InvGpsDailyOrderDto
                        {
							Id = o.Id,
							WorkingDate = o.WorkingDate,
							Shift = o.Shift,
							SupplierName = o.SupplierName,
							SupplierCode = o.SupplierCode,
							OrderNo = o.OrderNo,
							OrderDatetime = o.OrderDatetime,
							TripNo = o.TripNo,
							TruckNo = o.TruckNo,
							EstArrivalDatetime = o.EstArrivalDatetime,
							Status = o.Status,
							GeneratedBy = o.GeneratedBy,
							TruckUnloadingId = o.TruckUnloadingId,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_dapperRepo.ExecuteAsync(InvGpsDailyOrderConsts.SP_MST_WPT_CALENDAR_GENERATE);
       // }
    }
}</v>
      </c>
      <c r="N68" s="58" t="str">
        <f>A.Backend!U7</f>
        <v xml:space="preserve">  configuration.CreateMap&lt;InvGpsDailyOrderDto, InvGpsDailyOrder&gt;();
  configuration.CreateMap&lt;InvGpsDailyOrder, InvGpsDailyOrderDto&gt;();
  configuration.CreateMap&lt;CreateOrEditInvGpsDailyOrderDto, InvGpsDailyOrder&gt;();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69</v>
      </c>
    </row>
    <row r="73" spans="2:14" ht="21" x14ac:dyDescent="0.35">
      <c r="B73" t="str">
        <f>B.Frontend!B8</f>
        <v>invgpsdailyorder</v>
      </c>
      <c r="C73" s="66" t="str">
        <f>"create folder " &amp;B73</f>
        <v>create folder invgpsdailyorder</v>
      </c>
      <c r="D73" s="66"/>
      <c r="E73" s="66"/>
      <c r="F73" s="66"/>
      <c r="G73" s="66"/>
      <c r="H73" s="66"/>
      <c r="I73" s="66"/>
      <c r="J73" s="66"/>
      <c r="K73" s="67" t="s">
        <v>223</v>
      </c>
      <c r="L73" s="67"/>
      <c r="M73" s="28"/>
    </row>
    <row r="74" spans="2:14" s="26" customFormat="1" ht="18" customHeight="1" x14ac:dyDescent="0.25">
      <c r="B74" s="56" t="s">
        <v>224</v>
      </c>
      <c r="C74" s="28" t="str">
        <f>B.Frontend!H14</f>
        <v>invgpsdailyorder.component.ts</v>
      </c>
      <c r="D74" s="28" t="str">
        <f>B.Frontend!I14</f>
        <v>invgpsdailyorder.component.html</v>
      </c>
      <c r="E74" s="28" t="str">
        <f>B.Frontend!J14</f>
        <v>invgpsdailyorder.component.less</v>
      </c>
      <c r="F74" s="28" t="str">
        <f>B.Frontend!K14</f>
        <v>create-or-edit-invgpsdailyorder-modal.component.html</v>
      </c>
      <c r="G74" s="28" t="str">
        <f>B.Frontend!L14</f>
        <v>create-or-edit-invgpsdailyorder-modal.component.ts</v>
      </c>
      <c r="H74" s="28" t="str">
        <f>B.Frontend!M14</f>
        <v>create-or-edit-invgpsdailyorder-modal.component.less</v>
      </c>
      <c r="I74" s="28" t="str">
        <f>B.Frontend!N14</f>
        <v>invgpsdailyorder.module.ts</v>
      </c>
      <c r="J74" s="28" t="str">
        <f>B.Frontend!O14</f>
        <v>invgpsdailyorder-routing.module.ts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227</v>
      </c>
    </row>
    <row r="75" spans="2:14" ht="21.75" customHeight="1" x14ac:dyDescent="0.25">
      <c r="B75" s="57" t="s">
        <v>221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InvGpsDailyOrderDto, InvGpsDailyOrderServiceProxy } from '@shared/service-proxies/service-proxies';
import { finalize } from 'rxjs/internal/operators/finalize';
import { CreateOrEditInvGpsDailyOrderModalComponent } from './create-or-edit-invgpsdailyorder-modal.component';
import { DatePipe } from '@angular/common';
import { FileDownloadService } from '@shared/utils/file-download.service';
import ceil from 'lodash-es/ceil';
import { Paginator } from 'primeng/paginator';
@Component({
    templateUrl: './invgpsdailyorder.component.html',
    styleUrls: ['./invgpsdailyorder.component.less'],
})
export class InvGpsDailyOrderComponent extends AppComponentBase implements OnInit {
    @ViewChild('createOrEditModalInvGpsDailyOrder', { static: true }) createOrEditModalInvGpsDailyOrder:| CreateOrEditInvGpsDailyOrderModalComponent|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InvGpsDailyOrderDto = new InvGpsDailyOrderDto();
    saveSelectedRow: InvGpsDailyOrderDto = new InvGpsDailyOrderDto();
    datas: InvGpsDailyOrderDto = new InvGpsDailyOrderDto();
    isLoading: boolean = false;
    dataParams: GridParams | undefined;
    rowData: any[] = [];
    gridApi!: GridApi;
    rowSelection = 'multiple';
    filter: string = '';
	pipe = new DatePipe('en-US');
	frameworkComponents: FrameworkComponent;
    	shift : string = '' ; 
	supplierName : string = '' ; 
	supplierCode : string = '' ; 
	orderNo : string = '' ; 
	truckNo : string = '' ; 
	status : string = '' ; 
	generatedBy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InvGpsDailyOrderServiceProxy,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Date'),headerTooltip: this.l('Working Date'),field: 'workingDate',flex: 1},
			{headerName: this.l('Shift'),headerTooltip: this.l('Shift'),field: 'shift',flex: 1},
			{headerName: this.l('Supplier Name'),headerTooltip: this.l('Supplier Name'),field: 'supplierName',flex: 1},
			{headerName: this.l('Supplier Code'),headerTooltip: this.l('Supplier Code'),field: 'supplierCode',flex: 1},
			{headerName: this.l('Order No'),headerTooltip: this.l('Order No'),field: 'orderNo',flex: 1},
			{headerName: this.l('Order Datetime'),headerTooltip: this.l('Order Datetime'),field: 'orderDatetime',flex: 1},
			{headerName: this.l('Trip No'),headerTooltip: this.l('Trip No'),field: 'tripNo',flex: 1},
			{headerName: this.l('Truck No'),headerTooltip: this.l('Truck No'),field: 'truckNo',flex: 1},
			{headerName: this.l('Est Arrival Datetime'),headerTooltip: this.l('Est Arrival Datetime'),field: 'estArrivalDatetime',flex: 1},
			{headerName: this.l('Status'),headerTooltip: this.l('Status'),field: 'status',flex: 1},
			{headerName: this.l('Generated By'),headerTooltip: this.l('Generated By'),field: 'generatedBy',flex: 1},
			{headerName: this.l('Truck Unloading Id'),headerTooltip: this.l('Truck Unloading Id'),field: 'truckUnloadingId',flex: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this.workingDate,
			this.shift,
			this.supplierName,
			this.supplierCode,
			this.tripNo,
			this.estArrivalDatetime,
			this.status,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shift : string = '' ; 
	supplierName : string = '' ; 
	supplierCode : string = '' ; 
	orderNo : string = '' ; 
	truckNo : string = '' ; 
	status : string = '' ; 
	generatedBy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this.workingDate,
			this.shift,
			this.supplierName,
			this.supplierCode,
			this.tripNo,
			this.estArrivalDatetime,
			this.status,
			'',
            this.paginationParams.skipCount,
            this.paginationParams.pageSize
        );
    }
    onChangeRowSelection(params: { api: { getSelectedRows: () =&gt; InvGpsDailyOrderDto[] } }) {
        this.saveSelectedRow = params.api.getSelectedRows()[0] ?? new InvGpsDailyOrderDto();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InvGpsDailyOrderDto):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this._service.getInvGpsDailyOrderToExcel(
			this.workingDate,
			this.shift,
			this.supplierName,
			this.supplierCode,
			this.tripNo,
			this.estArrivalDatetime,
			this.status,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Daily Order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[(ngModel)]='truckNo' name='truckNo'
									class='form-control' [placeholder]="l('Truck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[(ngModel)]='generatedBy' name='generatedBy'
									class='form-control' [placeholder]="l('Generated By')"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(click)="createOrEditModalInvGpsDailyOrder.show()"&gt;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(click)="createOrEditModalInvGpsDailyOrder.show(selectedRow)"&gt;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&lt;create-or-edit-invgpsdailyorder-modal
    #createOrEditModalInvGpsDailyOrder
    (modalSave)="callBackDataGrid(dataParams)"
    (modalClose)="onChangeRowSelection(dataParams)"
&gt;
&lt;/create-or-edit-invgpsdailyorder-modal&gt;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#createOrEditModalInvGpsDailyOrder="bs-modal"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InvGpsDailyOrder')}}&lt;/h3&gt;
                    &lt;h3 *ngIf="!rowdata.id"&gt;{{('Create New InvGpsDailyOrder')}}&lt;/h3&gt;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title'&gt;Order Datetime&lt;/label&gt;
						&lt;input type='text' class='col-md-10 form-control input-text' name='orderDatetime' 
						#datepicker='bsDatepicker' [(ngModel)]='rowdata.orderDatetime'  bsDatepicker &gt;
					&lt;/div&gt;
					&lt;div class='col-md-12 form-group row'&gt;
						&lt;label class='col-md-2 form-control title'&gt;Trip No&lt;/label&gt;
						&lt;input type='number' class='col-md-10 form-control input-text' name='TripNo' [(ngModel)]='rowdata.tripNo'&gt;
					&lt;/div&gt;
					&lt;div class='col-md-12 form-group row'&gt;
						&lt;label class='col-md-2 form-control title'&gt;Truck No&lt;/label&gt;
						&lt;input type='text' class='col-md-10 form-control input-text' name='TruckNo' [(ngModel)]='rowdata.truckNo'&gt;
					&lt;/div&gt;
					&lt;div class='col-md-12 form-group row'&gt;
						&lt;label class='col-md-2 form-control title'&gt;Est Arrival Datetime&lt;/label&gt;
						&lt;input type='text' class='col-md-10 form-control input-text' name='estArrivalDatetime' 
						#datepicker='bsDatepicker' [(ngModel)]='rowdata.estArrivalDatetime'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title'&gt;Generated By&lt;/label&gt;
						&lt;input type='text' class='col-md-10 form-control input-text' name='GeneratedBy' [(ngModel)]='rowdata.generatedBy'&gt;
					&lt;/div&gt;
					&lt;div class='col-md-12 form-group row'&gt;
						&lt;label class='col-md-2 form-control title'&gt;Truck Unloading Id&lt;/label&gt;
						&lt;input type='number' class='col-md-10 form-control input-text' name='TruckUnloadingId' [(ngModel)]='rowdata.truckUnloadingId'&gt;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CreateOrEditInvGpsDailyOrderDto, InvGpsDailyOrderServiceProxy } from '@shared/service-proxies/service-proxies';
import { BsDatepickerDirective } from 'ngx-bootstrap/datepicker';
@Component({
    selector: 'create-or-edit-invgpsdailyorder-modal',
    templateUrl: './create-or-edit-invgpsdailyorder-modal.component.html',
    styleUrls: ['./create-or-edit-invgpsdailyorder-modal.component.less']
    })
export class CreateOrEditInvGpsDailyOrderModalComponent extends AppComponentBase {
    @ViewChild('createOrEditModalInvGpsDailyOrder',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CreateOrEditInvGpsDailyOrderDto = new CreateOrEditInvGpsDailyOrderDto();
    active: boolean = false;
    saving: boolean = false;
    _isActive: boolean;
    constructor(
        injector: Injector,
        private _mstwptInvGpsDailyOrderService: InvGpsDailyOrderServiceProxy,
    ) 
    {
        super(injector);
    }
    show(rowdata?: CreateOrEditInvGpsDailyOrderDto): void {
        if (!rowdata) this.rowdata = new CreateOrEditInvGpsDailyOrderDto();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this._mstwptInvGpsDailyOrderService.createOrEdit(this.rowdata)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InvGpsDailyOrderRoutingModule } from './invgpsdailyorder-routing.module';
import { InvGpsDailyOrderComponent } from './invgpsdailyorder.component';
import { CreateOrEditInvGpsDailyOrderModalComponent } from './create-or-edit-invgpsdailyorder-modal.component';
@NgModule({
    declarations: [
       InvGpsDailyOrderComponent, 
        CreateOrEditInvGpsDailyOrderModalComponent
    ],
    imports: [
        AppSharedModule, InvGpsDailyOrderRoutingModule]
})
export class InvGpsDailyOrderModule {}</v>
      </c>
      <c r="J75" s="46" t="str">
        <f>B.Frontend!O10</f>
        <v>import {NgModule} from '@angular/core';
import {RouterModule, Routes} from '@angular/router';
import { InvGpsDailyOrderComponent } from './invgpsdailyorder.component';
const routes: Routes = [{
    path: '',
    component: InvGpsDailyOrderComponent,
    pathMatch: 'full'
}];
@NgModule({
    imports: [RouterModule.forChild(routes)],
    exports: [RouterModule],
})
export class InvGpsDailyOrderRoutingModule {}</v>
      </c>
      <c r="K75" s="46" t="str">
        <f>B.Frontend!P10</f>
        <v xml:space="preserve"> new AppMenuItem("InvGpsDailyOrder", "Pages.Inventory.GPS.InvGpsDailyOrder", "flaticon-book",   "/app/main/inventory/gps/invgpsdailyorder"),</v>
      </c>
      <c r="L75" s="47" t="str">
        <f>B.Frontend!Q10</f>
        <v>{
    path: 'inventory/gps/invgpsdailyorder',
    loadChildren: () =&gt; import('./inventory/gps/invgpsdailyorder/invgpsdailyorder.module').then(m =&gt; m.InvGpsDailyOrderModule),
    data: { permission: 'Pages.Inventory.GPS.InvGpsDailyOrder' }
},</v>
      </c>
      <c r="M75" s="45" t="str">
        <f>B.Frontend!R10</f>
        <v>ApiServiceProxies.InvGpsDailyOrderServiceProxy,</v>
      </c>
    </row>
    <row r="77" spans="2:14" x14ac:dyDescent="0.25">
      <c r="B77" s="1" t="s">
        <v>71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3"/>
  <sheetViews>
    <sheetView tabSelected="1" workbookViewId="0">
      <pane xSplit="1" topLeftCell="B1" activePane="topRight" state="frozen"/>
      <selection pane="topRight" activeCell="C15" sqref="C15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67</v>
      </c>
      <c r="C1" s="9" t="s">
        <v>50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vovina.Inventory.GPS.Dto;</v>
      </c>
      <c r="E1" s="9" t="s">
        <v>261</v>
      </c>
      <c r="F1" s="10" t="s">
        <v>234</v>
      </c>
      <c r="H1" s="10" t="s">
        <v>235</v>
      </c>
      <c r="J1" s="10" t="s">
        <v>236</v>
      </c>
      <c r="L1" s="10" t="s">
        <v>237</v>
      </c>
      <c r="M1" s="10" t="s">
        <v>238</v>
      </c>
      <c r="N1" s="10" t="s">
        <v>239</v>
      </c>
      <c r="O1" s="10" t="s">
        <v>240</v>
      </c>
      <c r="T1" s="9" t="s">
        <v>253</v>
      </c>
      <c r="U1" s="9" t="s">
        <v>225</v>
      </c>
      <c r="W1" s="9"/>
    </row>
    <row r="2" spans="1:23" s="10" customFormat="1" x14ac:dyDescent="0.25">
      <c r="A2" s="1" t="s">
        <v>12</v>
      </c>
      <c r="B2" s="27" t="s">
        <v>372</v>
      </c>
      <c r="C2" s="13" t="s">
        <v>37</v>
      </c>
      <c r="D2" s="13" t="s">
        <v>38</v>
      </c>
      <c r="E2" s="13" t="s">
        <v>39</v>
      </c>
      <c r="F2" s="13" t="s">
        <v>47</v>
      </c>
      <c r="G2" s="13" t="s">
        <v>45</v>
      </c>
      <c r="H2" s="13" t="s">
        <v>48</v>
      </c>
      <c r="I2" s="13" t="s">
        <v>42</v>
      </c>
      <c r="J2" s="13" t="s">
        <v>49</v>
      </c>
      <c r="K2" s="13" t="s">
        <v>51</v>
      </c>
      <c r="L2" s="13" t="s">
        <v>58</v>
      </c>
      <c r="M2" s="13" t="s">
        <v>57</v>
      </c>
      <c r="N2" s="13" t="s">
        <v>61</v>
      </c>
      <c r="O2" s="13" t="s">
        <v>81</v>
      </c>
      <c r="T2" s="10" t="s">
        <v>241</v>
      </c>
      <c r="V2" s="10" t="s">
        <v>242</v>
      </c>
      <c r="W2" s="9" t="s">
        <v>252</v>
      </c>
    </row>
    <row r="3" spans="1:23" s="10" customFormat="1" ht="33" customHeight="1" x14ac:dyDescent="0.25">
      <c r="A3" s="1" t="s">
        <v>5</v>
      </c>
      <c r="B3" s="27" t="s">
        <v>371</v>
      </c>
      <c r="C3" s="9" t="s">
        <v>40</v>
      </c>
      <c r="D3" s="9" t="s">
        <v>41</v>
      </c>
      <c r="E3" s="9" t="s">
        <v>36</v>
      </c>
      <c r="F3" s="10" t="str">
        <f>"J"&amp;COUNTA($A:$A)</f>
        <v>J21</v>
      </c>
      <c r="G3" s="4" t="s">
        <v>53</v>
      </c>
      <c r="H3" s="9" t="str">
        <f>"I"&amp;COUNTA($A:$A)</f>
        <v>I21</v>
      </c>
      <c r="I3" s="9" t="str">
        <f>REPT(CHAR(9),2)&amp;"[Required]"&amp;"
"</f>
        <v xml:space="preserve">		[Required]
</v>
      </c>
      <c r="J3" s="10" t="str">
        <f>"L"&amp;COUNTA($A:$A)</f>
        <v>L21</v>
      </c>
      <c r="K3" s="5" t="s">
        <v>52</v>
      </c>
      <c r="L3" s="10" t="str">
        <f>"M"&amp;COUNTA($A:$A)</f>
        <v>M21</v>
      </c>
      <c r="M3" s="10" t="str">
        <f>"N"&amp;COUNTA($A:$A)</f>
        <v>N21</v>
      </c>
      <c r="N3" s="10" t="str">
        <f>"O"&amp;COUNTA($A:$A)</f>
        <v>O21</v>
      </c>
      <c r="O3" s="10" t="str">
        <f>"P"&amp;COUNTA($A:$A)</f>
        <v>P21</v>
      </c>
      <c r="Q3" s="10" t="str">
        <f>RIGHT(B2,(LEN(B2)-FIND(".",B2,1)))</f>
        <v>GPS</v>
      </c>
      <c r="R3" s="29" t="str">
        <f>REPT(CHAR(9),1)&amp;"public class "&amp;B3&amp;"ExportInput"&amp;C3</f>
        <v xml:space="preserve">	public class InvGpsDailyOrderExportInput{
</v>
      </c>
      <c r="S3" s="10" t="str">
        <f>"namespace "&amp;$B$6&amp;".Exporting
"&amp;$C$3</f>
        <v xml:space="preserve">namespace prod.Inventory.GPS.Exporting
{
</v>
      </c>
      <c r="T3" s="10" t="str">
        <f>"T"&amp;COUNTA($A:$A)</f>
        <v>T21</v>
      </c>
      <c r="V3" s="10" t="str">
        <f>"V"&amp;COUNTA($A:$A)</f>
        <v>V21</v>
      </c>
      <c r="W3" s="9" t="str">
        <f>"W"&amp;COUNTA($A:$A)</f>
        <v>W21</v>
      </c>
    </row>
    <row r="4" spans="1:23" s="10" customFormat="1" ht="33" customHeight="1" x14ac:dyDescent="0.25">
      <c r="A4" s="1" t="s">
        <v>232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233</v>
      </c>
      <c r="B5" s="65" t="s">
        <v>371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prod.Inventory.GPS</v>
      </c>
      <c r="C6" s="10" t="str">
        <f>"namespace "&amp;$B$6&amp;"
"&amp;$C$3</f>
        <v xml:space="preserve">namespace prod.Inventory.GPS
{
</v>
      </c>
      <c r="D6" s="10" t="str">
        <f>REPT(CHAR(9),1)&amp;"public class "&amp;B3&amp;G3&amp;REPT(CHAR(9),1)&amp;"
"&amp;REPT(CHAR(9),1)&amp;C3</f>
        <v xml:space="preserve">	public class InvGpsDailyOrder: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InvGpsDailyOrderConsts	
	{
</v>
      </c>
      <c r="F6" s="10" t="str">
        <f>REPT(CHAR(9),1)&amp;"public class "&amp;B3&amp;"Dto"&amp;K3&amp;REPT(CHAR(9),1)&amp;"
"&amp;REPT(CHAR(9),1)&amp;C3</f>
        <v xml:space="preserve">	public class InvGpsDailyOrderDto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CreateOrEditInvGpsDailyOrderDto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GetInvGpsDailyOrderInput : PagedAndSortedResultRequestDto	
	{
</v>
      </c>
      <c r="I6" s="10"/>
      <c r="J6" s="1" t="s">
        <v>68</v>
      </c>
      <c r="K6" s="1" t="s">
        <v>62</v>
      </c>
      <c r="L6" s="1" t="s">
        <v>63</v>
      </c>
      <c r="M6" s="1" t="s">
        <v>64</v>
      </c>
      <c r="N6" s="1" t="s">
        <v>231</v>
      </c>
      <c r="O6" s="1" t="s">
        <v>230</v>
      </c>
      <c r="P6" s="1" t="s">
        <v>65</v>
      </c>
      <c r="Q6" s="1" t="s">
        <v>66</v>
      </c>
      <c r="R6" s="1" t="s">
        <v>198</v>
      </c>
      <c r="S6" s="1" t="s">
        <v>200</v>
      </c>
      <c r="T6" s="1" t="s">
        <v>199</v>
      </c>
      <c r="U6" s="1" t="s">
        <v>222</v>
      </c>
      <c r="W6" s="26"/>
    </row>
    <row r="7" spans="1:23" customFormat="1" ht="24.95" customHeight="1" x14ac:dyDescent="0.25">
      <c r="A7" s="1" t="s">
        <v>13</v>
      </c>
      <c r="B7" s="9" t="str">
        <f>B3</f>
        <v>InvGpsDailyOrder</v>
      </c>
      <c r="C7" s="10" t="str">
        <f>REPT(CHAR(9),1)&amp;"[Table("""&amp;B7&amp;""")]"&amp;"
"</f>
        <v xml:space="preserve">	[Table("InvGpsDailyOrder")]
</v>
      </c>
      <c r="D7" s="10"/>
      <c r="E7" s="10"/>
      <c r="F7" s="10"/>
      <c r="G7" s="10"/>
      <c r="H7" s="10"/>
      <c r="I7" s="10"/>
      <c r="J7" t="str">
        <f ca="1">SUBSTITUTE(SUBSTITUTE((B1&amp;C6&amp;C7&amp;K23&amp;D6&amp;I23&amp;E3&amp;J23&amp;""&amp;REPT(CHAR(9),1)&amp;D3&amp;D3),"WorkingPattern",$Q$3),"Master",$B$4)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[Table("InvGpsDailyOrder")]
	[Index(nameof(WorkingDate), Name="IX_InvGpsDailyOrder_WorkingDate")]
	[Index(nameof(SupplierCode), Name="IX_InvGpsDailyOrder_SupplierCode")]
	[Index(nameof(Status), Name="IX_InvGpsDailyOrder_Status")]
	[Index(nameof(TruckUnloadingId), Name="IX_InvGpsDailyOrder_TruckUnloadingId")]
	[Index(nameof(IsActive), Name="IX_InvGpsDailyOrder_IsActive")]	public class InvGpsDailyOrder: FullAuditedEntity&lt;long&gt;, IEntity&lt;long&gt;	
	{
		public const int MaxShiftLength = 40;
		public const int MaxSupplierNameLength = 40;
		public const int MaxSupplierCodeLength = 10;
		public const int MaxOrderNoLength = 50;
		public const int MaxTruckNoLength = 40;
		public const int MaxStatusLength = 50;
		public const int MaxGeneratedByLength = 10;
		public const int MaxIsActiveLength = 1;
		[Column(TypeName="date")]
		public virtual DateTime? WorkingDate { get; set; }
		[StringLength(MaxShiftLength)]
		public virtual string Shift { get; set; }
		[StringLength(MaxSupplierNameLength)]
		public virtual string SupplierName { get; set; }
		[StringLength(MaxSupplierCodeLength)]
		public virtual string SupplierCode { get; set; }
		[StringLength(MaxOrderNoLength)]
		public virtual string OrderNo { get; set; }
		[Column(TypeName="datetime2(7)")]
		public virtual DateTime? OrderDatetime { get; set; }
		public virtual int? TripNo { get; set; }
		[StringLength(MaxTruckNoLength)]
		public virtual string TruckNo { get; set; }
		[Column(TypeName="datetime2(7)")]
		public virtual DateTime? EstArrivalDatetime { get; set; }
		[StringLength(MaxStatusLength)]
		public virtual string Status { get; set; }
		[StringLength(MaxGeneratedByLength)]
		public virtual string GeneratedBy { get; set; }
		public virtual long? TruckUnloadingId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DbSet&lt;InvGpsDailyOrder&gt; InvGpsDailyOrders { get; set; }</v>
      </c>
      <c r="L7" t="str">
        <f ca="1">SUBSTITUTE(SUBSTITUTE((C6&amp;E6&amp;I23&amp;"
"&amp;REPT(CHAR(9),2)&amp;"// Define Store Name: Format SP_ + &lt;Store Name&gt; = &lt;Store Name&gt;
"&amp;E3&amp;REPT(CHAR(9),1)&amp;D3&amp;D3),"WorkingPattern",$Q$3),"Master",$B$4)</f>
        <v xml:space="preserve">namespace prod.Inventory.GPS
{
	public class InvGpsDailyOrderConsts	
	{
		public const int MaxShiftLength = 40;
		public const int MaxSupplierNameLength = 40;
		public const int MaxSupplierCodeLength = 10;
		public const int MaxOrderNoLength = 50;
		public const int MaxTruckNoLength = 40;
		public const int MaxStatusLength = 50;
		public const int MaxGeneratedByLength = 10;
		public const int MaxIsActiveLength = 1;
		// Define Store Name: Format SP_ + &lt;Store Name&gt; = &lt;Store Name&gt;
	}
}
</v>
      </c>
      <c r="M7" t="str">
        <f ca="1">SUBSTITUTE(SUBSTITUTE((C1&amp;"namespace "&amp;B6&amp;".Dto"&amp;E3&amp;C3&amp;F6&amp;M23&amp;E3&amp;REPT(CHAR(9),1)&amp;D3&amp;G6&amp;N23&amp;REPT(CHAR(9),1)&amp;D3&amp;H6&amp;O23&amp;"
"&amp;REPT(CHAR(9),1)&amp;D3&amp;D3),"WorkingPattern",$Q$3),"Master",$B$4)</f>
        <v xml:space="preserve">using Abp.Application.Services.Dto;
using System;
using System.ComponentModel.DataAnnotations;
namespace prod.Inventory.GPS.Dto
{
	public class InvGpsDailyOrderDto : EntityDto&lt;long?&gt;	
	{
		public virtual DateTime? WorkingDate { get; set; }
		public virtual string Shift { get; set; }
		public virtual string SupplierName { get; set; }
		public virtual string SupplierCode { get; set; }
		public virtual string OrderNo { get; set; }
		public virtual DateTime? OrderDatetime { get; set; }
		public virtual int? TripNo { get; set; }
		public virtual string TruckNo { get; set; }
		public virtual DateTime? EstArrivalDatetime { get; set; }
		public virtual string Status { get; set; }
		public virtual string GeneratedBy { get; set; }
		public virtual long? TruckUnloadingId { get; set; }
		public virtual string IsActive { get; set; }
	}
	public class CreateOrEditInvGpsDailyOrderDto : EntityDto&lt;long?&gt;	
	{
		public virtual DateTime? WorkingDate { get; set; }
		[StringLength(InvGpsDailyOrderConsts.MaxShiftLength)]
		public virtual string Shift { get; set; }
		[StringLength(InvGpsDailyOrderConsts.MaxSupplierNameLength)]
		public virtual string SupplierName { get; set; }
		[StringLength(InvGpsDailyOrderConsts.MaxSupplierCodeLength)]
		public virtual string SupplierCode { get; set; }
		[StringLength(InvGpsDailyOrderConsts.MaxOrderNoLength)]
		public virtual string OrderNo { get; set; }
		public virtual DateTime? OrderDatetime { get; set; }
		public virtual int? TripNo { get; set; }
		[StringLength(InvGpsDailyOrderConsts.MaxTruckNoLength)]
		public virtual string TruckNo { get; set; }
		public virtual DateTime? EstArrivalDatetime { get; set; }
		[StringLength(InvGpsDailyOrderConsts.MaxStatusLength)]
		public virtual string Status { get; set; }
		[StringLength(InvGpsDailyOrderConsts.MaxGeneratedByLength)]
		public virtual string GeneratedBy { get; set; }
		public virtual long? TruckUnloadingId { get; set; }
		[StringLength(InvGpsDailyOrderConsts.MaxIsActiveLength)]
		public virtual string IsActive { get; set; }
	}
	public class GetInvGpsDailyOrderInput : PagedAndSortedResultRequestDto	
	{
		public virtual string Shift { get; set; }
		public virtual string SupplierName { get; set; }
		public virtual string SupplierCode { get; set; }
		public virtual string OrderNo { get; set; }
		public virtual string TruckNo { get; set; }
		public virtual string Status { get; set; }
		public virtual string GeneratedBy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perInvGpsDailyOrder = PARENTS.CreateChildPermission(AppPermissions.Pages_Inventory_GPS_InvGpsDailyOrder, L( "InventoryGPSInvGpsDailyOrder"), multiTenancySides: MultiTenancySides.Tenant);
		perInvGpsDailyOrder.CreateChildPermission(AppPermissions.Pages_Inventory_GPS_InvGpsDailyOrder_CreateEdit, L( "InventoryGPSInvGpsDailyOrderCreateEdit"), multiTenancySides: MultiTenancySides.Tenant);
		perInvGpsDailyOrder.CreateChildPermission(AppPermissions.Pages_Inventory_GPS_InvGpsDailyOrder_Delete, L( "InventoryGPSInvGpsDailyOrderDelete"),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Pages_Inventory_GPS_InvGpsDailyOrder = "Pages.Inventory.GPS.InvGpsDailyOrder";
		public const string Pages_Inventory_GPS_InvGpsDailyOrder_CreateEdit = "Pages.Inventory.GPS.InvGpsDailyOrder.CreateEdit";
		public const string Pages_Inventory_GPS_InvGpsDailyOrder_Delete = "Pages.Inventory.GPS.InvGpsDailyOrder.Delete";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
{
	public interface IInvGpsDailyOrderAppService : IApplicationService
	{
		Task&lt;PagedResultDto&lt;InvGpsDailyOrderDto&gt;&gt; GetAll(GetInvGpsDailyOrderInput input);
		Task CreateOrEdit(CreateOrEditInvGpsDailyOrderDto input);
		Task Delete(EntityDto input);
	}
}
</v>
      </c>
      <c r="Q7" t="str">
        <f ca="1">SUBSTITUTE(SUBSTITUTE(SUBSTITUTE(SUBSTITUTE(SUBSTITUTE(SUBSTITUTE(E1,"MstWptCalendar",$B$3),"&lt;PROPERTIES&gt;",P23),"Calendar",$B$5),"WorkingPattern",$Q$3),"Master",$B$4),"&lt;PARAMS_SEARCH&gt;",$W$23)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[AbpAuthorize(AppPermissions.Pages_Inventory_GPS_InvGpsDailyOrder)]
    public class InvGpsDailyOrderAppService : vovinaAppServiceBase, IInvGpsDailyOrderAppService
    {
        private readonly IDapperRepository&lt;InvGpsDailyOrder, long&gt; _dapperRepo;
        private readonly IRepository&lt;InvGpsDailyOrder, long&gt; _repo;
        private readonly IInvGpsDailyOrderExcelExporter _calendarListExcelExporter;
        public InvGpsDailyOrderAppService(IRepository&lt;InvGpsDailyOrder,long&gt; repo, 
                                         IDapperRepository&lt;InvGpsDailyOrder,long&gt; dapperRepo,
                                        IInvGpsDailyOrderExcelExporter calendarListExcelExporter
            )
        {
            _repo = repo;
            _dapperRepo = dapperRepo;
            _calendarListExcelExporter = calendarListExcelExporter;
        }
        [AbpAuthorize(AppPermissions.Pages_Inventory_GPS_InvGpsDailyOrder_CreateEdit)]
        public async Task CreateOrEdit(CreateOrEditInvGpsDailyOrderDto input)
        {
            if (input.Id == null) await Create(input);
            else await Update(input);
        }
        //CREATE
        private async Task Create(CreateOrEditInvGpsDailyOrderDto input)
        {          
            var mainObj = ObjectMapper.Map&lt;InvGpsDailyOrder&gt;(input);
            await CurrentUnitOfWork.GetDbContext&lt;vovinaDbContext&gt;().AddAsync(mainObj);
        }
        // EDIT
        private async Task Update(CreateOrEditInvGpsDailyOrderDto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[AbpAuthorize(AppPermissions.Pages_Inventory_GPS_InvGpsDailyOrder_Delete)]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Task&lt;PagedResultDto&lt;InvGpsDailyOrderDto&gt;&gt; GetAll(GetInvGpsDailyOrderInput input)
        {
            var filtered = _repo.GetAll()
				.WhereIf(!string.IsNullOrWhiteSpace(input.Shift), e =&gt; e.Shift.Contains(input.Shift))
				.WhereIf(!string.IsNullOrWhiteSpace(input.SupplierName), e =&gt; e.SupplierName.Contains(input.SupplierName))
				.WhereIf(!string.IsNullOrWhiteSpace(input.SupplierCode), e =&gt; e.SupplierCode.Contains(input.SupplierCode))
				.WhereIf(!string.IsNullOrWhiteSpace(input.OrderNo), e =&gt; e.OrderNo.Contains(input.OrderNo))
				.WhereIf(!string.IsNullOrWhiteSpace(input.TruckNo), e =&gt; e.TruckNo.Contains(input.TruckNo))
				.WhereIf(!string.IsNullOrWhiteSpace(input.Status), e =&gt; e.Status.Contains(input.Status))
				.WhereIf(!string.IsNullOrWhiteSpace(input.GeneratedBy), e =&gt; e.GeneratedBy.Contains(input.GeneratedBy))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InvGpsDailyOrderDto
                        {
							Id = o.Id,
							WorkingDate = o.WorkingDate,
							Shift = o.Shift,
							SupplierName = o.SupplierName,
							SupplierCode = o.SupplierCode,
							OrderNo = o.OrderNo,
							OrderDatetime = o.OrderDatetime,
							TripNo = o.TripNo,
							TruckNo = o.TruckNo,
							EstArrivalDatetime = o.EstArrivalDatetime,
							Status = o.Status,
							GeneratedBy = o.GeneratedBy,
							TruckUnloadingId = o.TruckUnloadingId,
							IsActive = o.IsActive,
                        };
            var totalCount = await filtered.CountAsync();
			var paged = system.PageBy(input);
            return new PagedResultDto&lt;InvGpsDailyOrderDto&gt;(
                totalCount,
                 await paged.ToListAsync()
            );
        }
        public async Task&lt;FileDto&gt; GetInvGpsDailyOrderToExcel(InvGpsDailyOrderExportInput input)
        {
            var query = from o in _repo.GetAll()
                        select new InvGpsDailyOrderDto
                        {
							Id = o.Id,
							WorkingDate = o.WorkingDate,
							Shift = o.Shift,
							SupplierName = o.SupplierName,
							SupplierCode = o.SupplierCode,
							OrderNo = o.OrderNo,
							OrderDatetime = o.OrderDatetime,
							TripNo = o.TripNo,
							TruckNo = o.TruckNo,
							EstArrivalDatetime = o.EstArrivalDatetime,
							Status = o.Status,
							GeneratedBy = o.GeneratedBy,
							TruckUnloadingId = o.TruckUnloadingId,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_dapperRepo.ExecuteAsync(InvGpsDailyOrderConsts.SP_MST_WPT_CALENDAR_GENERATE);
       // }
    }
}</v>
      </c>
      <c r="R7" t="str">
        <f ca="1">SUBSTITUTE(SUBSTITUTE((C1&amp;"namespace "&amp;B6&amp;".Dto"&amp;E3&amp;C3&amp;R3&amp;M23&amp;E3&amp;REPT(CHAR(9),1)&amp;D3&amp;D3),"WorkingPattern",$Q$3),"Master",$B$4)</f>
        <v xml:space="preserve">using Abp.Application.Services.Dto;
using System;
using System.ComponentModel.DataAnnotations;
namespace prod.Inventory.GPS.Dto
{
	public class InvGpsDailyOrderExportInput{
		public virtual DateTime? WorkingDate { get; set; }
		public virtual string Shift { get; set; }
		public virtual string SupplierName { get; set; }
		public virtual string SupplierCode { get; set; }
		public virtual string OrderNo { get; set; }
		public virtual DateTime? OrderDatetime { get; set; }
		public virtual int? TripNo { get; set; }
		public virtual string TruckNo { get; set; }
		public virtual DateTime? EstArrivalDatetime { get; set; }
		public virtual string Status { get; set; }
		public virtual string GeneratedBy { get; set; }
		public virtual long? TruckUnloadingId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IInvGpsDailyOrderExcelExporter : IApplicationService
	{
		FileDto ExportToFile(List&lt;InvGpsDailyOrderDto&gt; invgpsdailyorder);
	}
}
</v>
      </c>
      <c r="T7" s="26" t="str">
        <f ca="1">SUBSTITUTE(SUBSTITUTE(SUBSTITUTE(SUBSTITUTE(SUBSTITUTE(SUBSTITUTE(SUBSTITUTE(T1,"MstWptCalendar",$B$3),"&lt;PROPERTIES1&gt;",V23),"&lt;PROPERTIES&gt;",T23),"Calendar",$B$5),"calendar",LOWER(B5)),"WorkingPattern",$Q$3),"Master",$B$4)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InvGpsDailyOrderExcelExporter : NpoiExcelExporterBase, IInvGpsDailyOrderExcelExporter
    {
        public InvGpsDailyOrderExcelExporter(ITempFileCacheManager tempFileCacheManager) : base(tempFileCacheManager) { }
        public FileDto ExportToFile(List&lt;InvGpsDailyOrderDto&gt; invgpsdailyorder)
        {
            return CreateExcelPackage(
				"InventoryGPSInvGpsDailyOrder.xlsx",
				excelPackage =&gt;
				 {
					var sheet = excelPackage.CreateSheet("InvGpsDailyOrder");
					AddHeader(
								sheet,
								("WorkingDate"),
								("Shift"),
								("SupplierName"),
								("SupplierCode"),
								("OrderNo"),
								("OrderDatetime"),
								("TripNo"),
								("TruckNo"),
								("EstArrivalDatetime"),
								("Status"),
								("GeneratedBy"),
								("TruckUnloadingId"),
								("IsActive"),
							   );
					AddObjects(
						 sheet, 1, invgpsdailyorder,                                       
								_ =&gt; _.WorkingDate,
								_ =&gt; _.Shift,
								_ =&gt; _.SupplierName,
								_ =&gt; _.SupplierCode,
								_ =&gt; _.OrderNo,
								_ =&gt; _.OrderDatetime,
								_ =&gt; _.TripNo,
								_ =&gt; _.TruckNo,
								_ =&gt; _.EstArrivalDatetime,
								_ =&gt; _.Status,
								_ =&gt; _.GeneratedBy,
								_ =&gt; _.TruckUnloadingId,
								_ =&gt; _.IsActive,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configuration.CreateMap&lt;InvGpsDailyOrderDto, InvGpsDailyOrder&gt;();
  configuration.CreateMap&lt;InvGpsDailyOrder, InvGpsDailyOrderDto&gt;();
  configuration.CreateMap&lt;CreateOrEditInvGpsDailyOrderDto, InvGpsDailyOrder&gt;();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34</v>
      </c>
      <c r="F8" s="2" t="s">
        <v>55</v>
      </c>
      <c r="G8" s="2" t="s">
        <v>9</v>
      </c>
      <c r="H8" s="2" t="s">
        <v>15</v>
      </c>
      <c r="I8" s="2" t="s">
        <v>46</v>
      </c>
      <c r="J8" s="2" t="s">
        <v>35</v>
      </c>
      <c r="K8" s="2" t="s">
        <v>43</v>
      </c>
      <c r="L8" s="2" t="s">
        <v>44</v>
      </c>
      <c r="M8" s="2" t="s">
        <v>59</v>
      </c>
      <c r="N8" s="2" t="s">
        <v>54</v>
      </c>
      <c r="O8" s="2" t="s">
        <v>60</v>
      </c>
      <c r="P8" s="18" t="s">
        <v>80</v>
      </c>
      <c r="W8" s="3"/>
    </row>
    <row r="9" spans="1:23" customFormat="1" ht="18.75" customHeight="1" x14ac:dyDescent="0.25">
      <c r="A9" s="28" t="s">
        <v>358</v>
      </c>
      <c r="B9" s="28" t="s">
        <v>2</v>
      </c>
      <c r="C9" t="s">
        <v>1</v>
      </c>
      <c r="D9" t="str">
        <f t="shared" ref="D9:D14" si="0">SUBSTITUTE(PROPER(A9),"_","")</f>
        <v>WorkingDate</v>
      </c>
      <c r="E9" t="str">
        <f t="shared" ref="E9:E14" si="1">IFERROR(LEFT(B9, FIND("(",B9)-1),B9)</f>
        <v>date</v>
      </c>
      <c r="F9" s="6" t="s">
        <v>2</v>
      </c>
      <c r="G9" t="str">
        <f t="shared" ref="G9:G14" si="2">IFERROR(MID(B9,FIND("(",B9) +1, FIND(")",B9) - FIND("(",B9) - 1),"")</f>
        <v/>
      </c>
      <c r="H9" t="str">
        <f>+VLOOKUP(E9,'Data Type Mapping'!A:B,2,)</f>
        <v>DateTime?</v>
      </c>
      <c r="I9" t="str">
        <f t="shared" ref="I9:I14" si="3">IF(H9="string",REPT(CHAR(9),2)&amp;"public const int Max"&amp;D9&amp;"Length = "&amp;G9&amp;";"&amp;$E$3,"" )</f>
        <v/>
      </c>
      <c r="J9" t="str">
        <f t="shared" ref="J9:J14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[Column(TypeName="date")]
		public virtual DateTime? WorkingDate { get; set; }
</v>
      </c>
      <c r="K9" s="6" t="s">
        <v>375</v>
      </c>
      <c r="L9" t="str">
        <f t="shared" ref="L9:L14" si="5">IF(K9="","",REPT(CHAR(9),1)&amp;"[Index(nameof("&amp;IF(D9="","",""&amp;D9)&amp;")"&amp;", Name="&amp;"""IX_"&amp;$B$7&amp;"_"&amp;D9&amp;""")]")</f>
        <v xml:space="preserve">	[Index(nameof(WorkingDate), Name="IX_InvGpsDailyOrder_WorkingDate")]</v>
      </c>
      <c r="M9" t="str">
        <f t="shared" ref="M9:M14" si="6">REPT(CHAR(9),2)&amp;"public virtual "&amp;IF(OR(H9="DateTime",H9="TimeSpan"),H9&amp;"?",H9)&amp;IF(C9="?","? "," ")&amp;D9&amp;" { get; set; }" &amp; "
"</f>
        <v xml:space="preserve">		public virtual DateTime? WorkingDate { get; set; }
</v>
      </c>
      <c r="N9" t="str">
        <f t="shared" ref="N9:N14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public virtual DateTime? WorkingDate { get; set; }
</v>
      </c>
      <c r="O9" t="str">
        <f t="shared" ref="O9:O14" si="8">IF(OR(H9="string",H9="DateTime",H9="int"),REPT(CHAR(9),2)&amp;"public virtual "&amp;IF(OR(H9="DateTime",H9="TimeSpan"),H9&amp;"?",H9)&amp;IF(C9="?","? "," ")&amp;D9&amp;" { get; set; }"&amp;$E$3,"")</f>
        <v/>
      </c>
      <c r="P9" t="str">
        <f t="shared" ref="P9:P14" si="9">REPT(CHAR(9),7)&amp;D9&amp;" = o." &amp;D9 &amp;","</f>
        <v xml:space="preserve">							WorkingDate = o.WorkingDate,</v>
      </c>
      <c r="T9" s="63" t="str">
        <f t="shared" ref="T9:T14" si="10">REPT(CHAR(9),8)&amp;"("""&amp;D9&amp;"""),"</f>
        <v xml:space="preserve">								("WorkingDate"),</v>
      </c>
      <c r="V9" s="64" t="str">
        <f t="shared" ref="V9:V14" si="11">REPT(CHAR(9),8)&amp;"_ =&gt; _."&amp;D9&amp;","</f>
        <v xml:space="preserve">								_ =&gt; _.WorkingDate,</v>
      </c>
      <c r="W9" s="63" t="str">
        <f t="shared" ref="W9:W14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/>
      </c>
    </row>
    <row r="10" spans="1:23" customFormat="1" ht="18.75" customHeight="1" x14ac:dyDescent="0.25">
      <c r="A10" s="28" t="s">
        <v>359</v>
      </c>
      <c r="B10" s="28" t="s">
        <v>360</v>
      </c>
      <c r="C10" t="s">
        <v>1</v>
      </c>
      <c r="D10" t="str">
        <f t="shared" si="0"/>
        <v>Shift</v>
      </c>
      <c r="E10" t="str">
        <f t="shared" si="1"/>
        <v>varchar</v>
      </c>
      <c r="F10" s="6"/>
      <c r="G10" t="str">
        <f t="shared" si="2"/>
        <v>40</v>
      </c>
      <c r="H10" t="str">
        <f>+VLOOKUP(E10,'Data Type Mapping'!A:B,2,)</f>
        <v>string</v>
      </c>
      <c r="I10" t="str">
        <f t="shared" si="3"/>
        <v xml:space="preserve">		public const int MaxShiftLength = 40;
</v>
      </c>
      <c r="J10" t="str">
        <f t="shared" si="4"/>
        <v xml:space="preserve">		[StringLength(MaxShiftLength)]
		public virtual string Shift { get; set; }
</v>
      </c>
      <c r="K10" s="6"/>
      <c r="L10" t="str">
        <f t="shared" si="5"/>
        <v/>
      </c>
      <c r="M10" t="str">
        <f t="shared" si="6"/>
        <v xml:space="preserve">		public virtual string Shift { get; set; }
</v>
      </c>
      <c r="N10" t="str">
        <f t="shared" si="7"/>
        <v xml:space="preserve">		[StringLength(InvGpsDailyOrderConsts.MaxShiftLength)]
		public virtual string Shift { get; set; }
</v>
      </c>
      <c r="O10" t="str">
        <f t="shared" si="8"/>
        <v xml:space="preserve">		public virtual string Shift { get; set; }
</v>
      </c>
      <c r="P10" t="str">
        <f t="shared" si="9"/>
        <v xml:space="preserve">							Shift = o.Shift,</v>
      </c>
      <c r="T10" s="63" t="str">
        <f t="shared" si="10"/>
        <v xml:space="preserve">								("Shift"),</v>
      </c>
      <c r="V10" s="64" t="str">
        <f t="shared" si="11"/>
        <v xml:space="preserve">								_ =&gt; _.Shift,</v>
      </c>
      <c r="W10" s="63" t="str">
        <f t="shared" si="12"/>
        <v xml:space="preserve">				.WhereIf(!string.IsNullOrWhiteSpace(input.Shift), e =&gt; e.Shift.Contains(input.Shift))</v>
      </c>
    </row>
    <row r="11" spans="1:23" customFormat="1" ht="18.75" customHeight="1" x14ac:dyDescent="0.25">
      <c r="A11" s="28" t="s">
        <v>361</v>
      </c>
      <c r="B11" s="28" t="s">
        <v>355</v>
      </c>
      <c r="C11" t="s">
        <v>1</v>
      </c>
      <c r="D11" t="str">
        <f t="shared" si="0"/>
        <v>SupplierName</v>
      </c>
      <c r="E11" t="str">
        <f t="shared" si="1"/>
        <v>nvarchar</v>
      </c>
      <c r="F11" s="6"/>
      <c r="G11" t="str">
        <f t="shared" si="2"/>
        <v>40</v>
      </c>
      <c r="H11" t="str">
        <f>+VLOOKUP(E11,'Data Type Mapping'!A:B,2,)</f>
        <v>string</v>
      </c>
      <c r="I11" t="str">
        <f t="shared" si="3"/>
        <v xml:space="preserve">		public const int MaxSupplierNameLength = 40;
</v>
      </c>
      <c r="J11" t="str">
        <f t="shared" si="4"/>
        <v xml:space="preserve">		[StringLength(MaxSupplierNameLength)]
		public virtual string SupplierName { get; set; }
</v>
      </c>
      <c r="K11" s="6"/>
      <c r="L11" t="str">
        <f t="shared" si="5"/>
        <v/>
      </c>
      <c r="M11" t="str">
        <f t="shared" si="6"/>
        <v xml:space="preserve">		public virtual string SupplierName { get; set; }
</v>
      </c>
      <c r="N11" t="str">
        <f t="shared" si="7"/>
        <v xml:space="preserve">		[StringLength(InvGpsDailyOrderConsts.MaxSupplierNameLength)]
		public virtual string SupplierName { get; set; }
</v>
      </c>
      <c r="O11" t="str">
        <f t="shared" si="8"/>
        <v xml:space="preserve">		public virtual string SupplierName { get; set; }
</v>
      </c>
      <c r="P11" t="str">
        <f t="shared" si="9"/>
        <v xml:space="preserve">							SupplierName = o.SupplierName,</v>
      </c>
      <c r="T11" s="63" t="str">
        <f t="shared" si="10"/>
        <v xml:space="preserve">								("SupplierName"),</v>
      </c>
      <c r="V11" s="64" t="str">
        <f t="shared" si="11"/>
        <v xml:space="preserve">								_ =&gt; _.SupplierName,</v>
      </c>
      <c r="W11" s="63" t="str">
        <f t="shared" si="12"/>
        <v xml:space="preserve">				.WhereIf(!string.IsNullOrWhiteSpace(input.SupplierName), e =&gt; e.SupplierName.Contains(input.SupplierName))</v>
      </c>
    </row>
    <row r="12" spans="1:23" customFormat="1" ht="18.75" customHeight="1" x14ac:dyDescent="0.25">
      <c r="A12" s="28" t="s">
        <v>362</v>
      </c>
      <c r="B12" s="28" t="s">
        <v>363</v>
      </c>
      <c r="C12" t="s">
        <v>1</v>
      </c>
      <c r="D12" t="str">
        <f t="shared" si="0"/>
        <v>SupplierCode</v>
      </c>
      <c r="E12" t="str">
        <f t="shared" si="1"/>
        <v>varchar</v>
      </c>
      <c r="F12" s="6"/>
      <c r="G12" t="str">
        <f t="shared" si="2"/>
        <v>10</v>
      </c>
      <c r="H12" t="str">
        <f>+VLOOKUP(E12,'Data Type Mapping'!A:B,2,)</f>
        <v>string</v>
      </c>
      <c r="I12" t="str">
        <f t="shared" si="3"/>
        <v xml:space="preserve">		public const int MaxSupplierCodeLength = 10;
</v>
      </c>
      <c r="J12" t="str">
        <f t="shared" si="4"/>
        <v xml:space="preserve">		[StringLength(MaxSupplierCodeLength)]
		public virtual string SupplierCode { get; set; }
</v>
      </c>
      <c r="K12" s="6" t="s">
        <v>375</v>
      </c>
      <c r="L12" t="str">
        <f t="shared" si="5"/>
        <v xml:space="preserve">	[Index(nameof(SupplierCode), Name="IX_InvGpsDailyOrder_SupplierCode")]</v>
      </c>
      <c r="M12" t="str">
        <f t="shared" si="6"/>
        <v xml:space="preserve">		public virtual string SupplierCode { get; set; }
</v>
      </c>
      <c r="N12" t="str">
        <f t="shared" si="7"/>
        <v xml:space="preserve">		[StringLength(InvGpsDailyOrderConsts.MaxSupplierCodeLength)]
		public virtual string SupplierCode { get; set; }
</v>
      </c>
      <c r="O12" t="str">
        <f t="shared" si="8"/>
        <v xml:space="preserve">		public virtual string SupplierCode { get; set; }
</v>
      </c>
      <c r="P12" t="str">
        <f t="shared" si="9"/>
        <v xml:space="preserve">							SupplierCode = o.SupplierCode,</v>
      </c>
      <c r="T12" s="63" t="str">
        <f t="shared" si="10"/>
        <v xml:space="preserve">								("SupplierCode"),</v>
      </c>
      <c r="V12" s="64" t="str">
        <f t="shared" si="11"/>
        <v xml:space="preserve">								_ =&gt; _.SupplierCode,</v>
      </c>
      <c r="W12" s="63" t="str">
        <f t="shared" si="12"/>
        <v xml:space="preserve">				.WhereIf(!string.IsNullOrWhiteSpace(input.SupplierCode), e =&gt; e.SupplierCode.Contains(input.SupplierCode))</v>
      </c>
    </row>
    <row r="13" spans="1:23" customFormat="1" ht="18.75" customHeight="1" x14ac:dyDescent="0.25">
      <c r="A13" s="28" t="s">
        <v>364</v>
      </c>
      <c r="B13" s="28" t="s">
        <v>356</v>
      </c>
      <c r="C13" t="s">
        <v>1</v>
      </c>
      <c r="D13" t="str">
        <f t="shared" si="0"/>
        <v>OrderNo</v>
      </c>
      <c r="E13" t="str">
        <f t="shared" si="1"/>
        <v>varchar</v>
      </c>
      <c r="F13" s="6"/>
      <c r="G13" t="str">
        <f t="shared" si="2"/>
        <v>50</v>
      </c>
      <c r="H13" t="str">
        <f>+VLOOKUP(E13,'Data Type Mapping'!A:B,2,)</f>
        <v>string</v>
      </c>
      <c r="I13" t="str">
        <f t="shared" si="3"/>
        <v xml:space="preserve">		public const int MaxOrderNoLength = 50;
</v>
      </c>
      <c r="J13" t="str">
        <f t="shared" si="4"/>
        <v xml:space="preserve">		[StringLength(MaxOrderNoLength)]
		public virtual string OrderNo { get; set; }
</v>
      </c>
      <c r="K13" s="6"/>
      <c r="L13" t="str">
        <f t="shared" si="5"/>
        <v/>
      </c>
      <c r="M13" t="str">
        <f t="shared" si="6"/>
        <v xml:space="preserve">		public virtual string OrderNo { get; set; }
</v>
      </c>
      <c r="N13" t="str">
        <f t="shared" si="7"/>
        <v xml:space="preserve">		[StringLength(InvGpsDailyOrderConsts.MaxOrderNoLength)]
		public virtual string OrderNo { get; set; }
</v>
      </c>
      <c r="O13" t="str">
        <f t="shared" si="8"/>
        <v xml:space="preserve">		public virtual string OrderNo { get; set; }
</v>
      </c>
      <c r="P13" t="str">
        <f t="shared" si="9"/>
        <v xml:space="preserve">							OrderNo = o.OrderNo,</v>
      </c>
      <c r="T13" s="63" t="str">
        <f t="shared" si="10"/>
        <v xml:space="preserve">								("OrderNo"),</v>
      </c>
      <c r="V13" s="64" t="str">
        <f t="shared" si="11"/>
        <v xml:space="preserve">								_ =&gt; _.OrderNo,</v>
      </c>
      <c r="W13" s="63" t="str">
        <f t="shared" si="12"/>
        <v xml:space="preserve">				.WhereIf(!string.IsNullOrWhiteSpace(input.OrderNo), e =&gt; e.OrderNo.Contains(input.OrderNo))</v>
      </c>
    </row>
    <row r="14" spans="1:23" customFormat="1" ht="18.75" customHeight="1" x14ac:dyDescent="0.25">
      <c r="A14" s="28" t="s">
        <v>365</v>
      </c>
      <c r="B14" s="28" t="s">
        <v>3</v>
      </c>
      <c r="C14" t="s">
        <v>1</v>
      </c>
      <c r="D14" t="str">
        <f t="shared" si="0"/>
        <v>OrderDatetime</v>
      </c>
      <c r="E14" t="str">
        <f t="shared" si="1"/>
        <v>datetime</v>
      </c>
      <c r="F14" s="6" t="s">
        <v>376</v>
      </c>
      <c r="G14" t="str">
        <f t="shared" si="2"/>
        <v/>
      </c>
      <c r="H14" t="str">
        <f>+VLOOKUP(E14,'Data Type Mapping'!A:B,2,)</f>
        <v>DateTime?</v>
      </c>
      <c r="I14" t="str">
        <f t="shared" si="3"/>
        <v/>
      </c>
      <c r="J14" t="str">
        <f t="shared" si="4"/>
        <v xml:space="preserve">		[Column(TypeName="datetime2(7)")]
		public virtual DateTime? OrderDatetime { get; set; }
</v>
      </c>
      <c r="K14" s="6"/>
      <c r="L14" t="str">
        <f t="shared" si="5"/>
        <v/>
      </c>
      <c r="M14" t="str">
        <f t="shared" si="6"/>
        <v xml:space="preserve">		public virtual DateTime? OrderDatetime { get; set; }
</v>
      </c>
      <c r="N14" t="str">
        <f t="shared" si="7"/>
        <v xml:space="preserve">		public virtual DateTime? OrderDatetime { get; set; }
</v>
      </c>
      <c r="O14" t="str">
        <f t="shared" si="8"/>
        <v/>
      </c>
      <c r="P14" t="str">
        <f t="shared" si="9"/>
        <v xml:space="preserve">							OrderDatetime = o.OrderDatetime,</v>
      </c>
      <c r="T14" s="63" t="str">
        <f t="shared" si="10"/>
        <v xml:space="preserve">								("OrderDatetime"),</v>
      </c>
      <c r="V14" s="64" t="str">
        <f t="shared" si="11"/>
        <v xml:space="preserve">								_ =&gt; _.OrderDatetime,</v>
      </c>
      <c r="W14" s="63" t="str">
        <f t="shared" si="12"/>
        <v/>
      </c>
    </row>
    <row r="15" spans="1:23" customFormat="1" ht="18.75" customHeight="1" x14ac:dyDescent="0.25">
      <c r="A15" s="28" t="s">
        <v>366</v>
      </c>
      <c r="B15" s="28" t="s">
        <v>4</v>
      </c>
      <c r="C15" t="s">
        <v>1</v>
      </c>
      <c r="D15" t="str">
        <f t="shared" ref="D15:D16" si="13">SUBSTITUTE(PROPER(A15),"_","")</f>
        <v>TripNo</v>
      </c>
      <c r="E15" t="str">
        <f t="shared" ref="E15:E16" si="14">IFERROR(LEFT(B15, FIND("(",B15)-1),B15)</f>
        <v>int</v>
      </c>
      <c r="F15" s="6"/>
      <c r="G15" t="str">
        <f t="shared" ref="G15:G16" si="15">IFERROR(MID(B15,FIND("(",B15) +1, FIND(")",B15) - FIND("(",B15) - 1),"")</f>
        <v/>
      </c>
      <c r="H15" t="str">
        <f>+VLOOKUP(E15,'Data Type Mapping'!A:B,2,)</f>
        <v>int?</v>
      </c>
      <c r="I15" t="str">
        <f t="shared" ref="I15:I16" si="16">IF(H15="string",REPT(CHAR(9),2)&amp;"public const int Max"&amp;D15&amp;"Length = "&amp;G15&amp;";"&amp;$E$3,"" )</f>
        <v/>
      </c>
      <c r="J15" t="str">
        <f t="shared" ref="J15:J16" si="17">IF(F15="","",REPT(CHAR(9),2)&amp;"[Column(TypeName="""&amp;F15&amp;""")]"&amp;$E$3)&amp;IF(C15="Checked","",$I$3)&amp;IF(H15="string",REPT(CHAR(9),2)&amp;"[StringLength(Max"&amp;D15&amp;"Length"&amp;")]"&amp;$E$3,"")&amp;REPT(CHAR(9),2)&amp;"public virtual "&amp;H15&amp;IF(C15="?","? "," ")&amp;D15&amp;" { get; set; }" &amp; "
"</f>
        <v xml:space="preserve">		public virtual int? TripNo { get; set; }
</v>
      </c>
      <c r="K15" s="6"/>
      <c r="L15" t="str">
        <f t="shared" ref="L15:L16" si="18">IF(K15="","",REPT(CHAR(9),1)&amp;"[Index(nameof("&amp;IF(D15="","",""&amp;D15)&amp;")"&amp;", Name="&amp;"""IX_"&amp;$B$7&amp;"_"&amp;D15&amp;""")]")</f>
        <v/>
      </c>
      <c r="M15" t="str">
        <f t="shared" ref="M15:M16" si="19">REPT(CHAR(9),2)&amp;"public virtual "&amp;IF(OR(H15="DateTime",H15="TimeSpan"),H15&amp;"?",H15)&amp;IF(C15="?","? "," ")&amp;D15&amp;" { get; set; }" &amp; "
"</f>
        <v xml:space="preserve">		public virtual int? TripNo { get; set; }
</v>
      </c>
      <c r="N15" t="str">
        <f t="shared" ref="N15:N16" si="20">IF(C15="Checked","",$I$3)&amp;IF(H15="string",REPT(CHAR(9),2)&amp;"[StringLength("&amp;$B$3&amp;"Consts.Max"&amp;D15&amp;"Length"&amp;")]"&amp;$E$3,"")&amp;REPT(CHAR(9),2)&amp;"public virtual "&amp;IF(OR(H15="DateTime",H15="TimeSpan"),H15&amp;"?",H15)&amp;IF(C15="?","? "," ")&amp;D15&amp;" { get; set; }" &amp; "
"</f>
        <v xml:space="preserve">		public virtual int? TripNo { get; set; }
</v>
      </c>
      <c r="O15" t="str">
        <f t="shared" ref="O15:O16" si="21">IF(OR(H15="string",H15="DateTime",H15="int"),REPT(CHAR(9),2)&amp;"public virtual "&amp;IF(OR(H15="DateTime",H15="TimeSpan"),H15&amp;"?",H15)&amp;IF(C15="?","? "," ")&amp;D15&amp;" { get; set; }"&amp;$E$3,"")</f>
        <v/>
      </c>
      <c r="P15" t="str">
        <f t="shared" ref="P15:P16" si="22">REPT(CHAR(9),7)&amp;D15&amp;" = o." &amp;D15 &amp;","</f>
        <v xml:space="preserve">							TripNo = o.TripNo,</v>
      </c>
      <c r="T15" s="63" t="str">
        <f t="shared" ref="T15:T16" si="23">REPT(CHAR(9),8)&amp;"("""&amp;D15&amp;"""),"</f>
        <v xml:space="preserve">								("TripNo"),</v>
      </c>
      <c r="V15" s="64" t="str">
        <f t="shared" ref="V15:V16" si="24">REPT(CHAR(9),8)&amp;"_ =&gt; _."&amp;D15&amp;","</f>
        <v xml:space="preserve">								_ =&gt; _.TripNo,</v>
      </c>
      <c r="W15" s="63" t="str">
        <f t="shared" ref="W15:W16" si="25">IF(H15="string",REPT(CHAR(9),4)&amp;".WhereIf(!string.IsNullOrWhiteSpace(input."&amp;D15&amp;"), e =&gt; e."&amp;D15&amp;".Contains(input."&amp;D15&amp;"))",IF(H15="DateTime",REPT(CHAR(9),4)&amp;".WhereIf(input."&amp;D15&amp;".HasValue, t =&gt; t."&amp;D15&amp;" == input."&amp;D15&amp;".Value)",""))</f>
        <v/>
      </c>
    </row>
    <row r="16" spans="1:23" customFormat="1" ht="18.75" customHeight="1" x14ac:dyDescent="0.25">
      <c r="A16" s="28" t="s">
        <v>367</v>
      </c>
      <c r="B16" s="28" t="s">
        <v>360</v>
      </c>
      <c r="C16" t="s">
        <v>1</v>
      </c>
      <c r="D16" t="str">
        <f t="shared" si="13"/>
        <v>TruckNo</v>
      </c>
      <c r="E16" t="str">
        <f t="shared" si="14"/>
        <v>varchar</v>
      </c>
      <c r="F16" s="6"/>
      <c r="G16" t="str">
        <f t="shared" si="15"/>
        <v>40</v>
      </c>
      <c r="H16" t="str">
        <f>+VLOOKUP(E16,'Data Type Mapping'!A:B,2,)</f>
        <v>string</v>
      </c>
      <c r="I16" t="str">
        <f t="shared" si="16"/>
        <v xml:space="preserve">		public const int MaxTruckNoLength = 40;
</v>
      </c>
      <c r="J16" t="str">
        <f t="shared" si="17"/>
        <v xml:space="preserve">		[StringLength(MaxTruckNoLength)]
		public virtual string TruckNo { get; set; }
</v>
      </c>
      <c r="K16" s="6"/>
      <c r="L16" t="str">
        <f t="shared" si="18"/>
        <v/>
      </c>
      <c r="M16" t="str">
        <f t="shared" si="19"/>
        <v xml:space="preserve">		public virtual string TruckNo { get; set; }
</v>
      </c>
      <c r="N16" t="str">
        <f t="shared" si="20"/>
        <v xml:space="preserve">		[StringLength(InvGpsDailyOrderConsts.MaxTruckNoLength)]
		public virtual string TruckNo { get; set; }
</v>
      </c>
      <c r="O16" t="str">
        <f t="shared" si="21"/>
        <v xml:space="preserve">		public virtual string TruckNo { get; set; }
</v>
      </c>
      <c r="P16" t="str">
        <f t="shared" si="22"/>
        <v xml:space="preserve">							TruckNo = o.TruckNo,</v>
      </c>
      <c r="T16" s="63" t="str">
        <f t="shared" si="23"/>
        <v xml:space="preserve">								("TruckNo"),</v>
      </c>
      <c r="V16" s="64" t="str">
        <f t="shared" si="24"/>
        <v xml:space="preserve">								_ =&gt; _.TruckNo,</v>
      </c>
      <c r="W16" s="63" t="str">
        <f t="shared" si="25"/>
        <v xml:space="preserve">				.WhereIf(!string.IsNullOrWhiteSpace(input.TruckNo), e =&gt; e.TruckNo.Contains(input.TruckNo))</v>
      </c>
    </row>
    <row r="17" spans="1:23" customFormat="1" ht="18.75" customHeight="1" x14ac:dyDescent="0.25">
      <c r="A17" s="28" t="s">
        <v>368</v>
      </c>
      <c r="B17" s="28" t="s">
        <v>3</v>
      </c>
      <c r="C17" t="s">
        <v>1</v>
      </c>
      <c r="D17" t="str">
        <f t="shared" ref="D17" si="26">SUBSTITUTE(PROPER(A17),"_","")</f>
        <v>EstArrivalDatetime</v>
      </c>
      <c r="E17" t="str">
        <f t="shared" ref="E17" si="27">IFERROR(LEFT(B17, FIND("(",B17)-1),B17)</f>
        <v>datetime</v>
      </c>
      <c r="F17" s="6" t="s">
        <v>376</v>
      </c>
      <c r="G17" t="str">
        <f t="shared" ref="G17" si="28">IFERROR(MID(B17,FIND("(",B17) +1, FIND(")",B17) - FIND("(",B17) - 1),"")</f>
        <v/>
      </c>
      <c r="H17" t="str">
        <f>+VLOOKUP(E17,'Data Type Mapping'!A:B,2,)</f>
        <v>DateTime?</v>
      </c>
      <c r="I17" t="str">
        <f t="shared" ref="I17" si="29">IF(H17="string",REPT(CHAR(9),2)&amp;"public const int Max"&amp;D17&amp;"Length = "&amp;G17&amp;";"&amp;$E$3,"" )</f>
        <v/>
      </c>
      <c r="J17" t="str">
        <f t="shared" ref="J17" si="30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[Column(TypeName="datetime2(7)")]
		public virtual DateTime? EstArrivalDatetime { get; set; }
</v>
      </c>
      <c r="K17" s="6"/>
      <c r="L17" t="str">
        <f t="shared" ref="L17" si="31">IF(K17="","",REPT(CHAR(9),1)&amp;"[Index(nameof("&amp;IF(D17="","",""&amp;D17)&amp;")"&amp;", Name="&amp;"""IX_"&amp;$B$7&amp;"_"&amp;D17&amp;""")]")</f>
        <v/>
      </c>
      <c r="M17" t="str">
        <f t="shared" ref="M17" si="32">REPT(CHAR(9),2)&amp;"public virtual "&amp;IF(OR(H17="DateTime",H17="TimeSpan"),H17&amp;"?",H17)&amp;IF(C17="?","? "," ")&amp;D17&amp;" { get; set; }" &amp; "
"</f>
        <v xml:space="preserve">		public virtual DateTime? EstArrivalDatetime { get; set; }
</v>
      </c>
      <c r="N17" t="str">
        <f t="shared" ref="N17" si="33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public virtual DateTime? EstArrivalDatetime { get; set; }
</v>
      </c>
      <c r="O17" t="str">
        <f t="shared" ref="O17" si="34">IF(OR(H17="string",H17="DateTime",H17="int"),REPT(CHAR(9),2)&amp;"public virtual "&amp;IF(OR(H17="DateTime",H17="TimeSpan"),H17&amp;"?",H17)&amp;IF(C17="?","? "," ")&amp;D17&amp;" { get; set; }"&amp;$E$3,"")</f>
        <v/>
      </c>
      <c r="P17" t="str">
        <f t="shared" ref="P17" si="35">REPT(CHAR(9),7)&amp;D17&amp;" = o." &amp;D17 &amp;","</f>
        <v xml:space="preserve">							EstArrivalDatetime = o.EstArrivalDatetime,</v>
      </c>
      <c r="T17" s="63" t="str">
        <f t="shared" ref="T17" si="36">REPT(CHAR(9),8)&amp;"("""&amp;D17&amp;"""),"</f>
        <v xml:space="preserve">								("EstArrivalDatetime"),</v>
      </c>
      <c r="V17" s="64" t="str">
        <f t="shared" ref="V17" si="37">REPT(CHAR(9),8)&amp;"_ =&gt; _."&amp;D17&amp;","</f>
        <v xml:space="preserve">								_ =&gt; _.EstArrivalDatetime,</v>
      </c>
      <c r="W17" s="63" t="str">
        <f t="shared" ref="W17" si="38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/>
      </c>
    </row>
    <row r="18" spans="1:23" customFormat="1" ht="18.75" customHeight="1" x14ac:dyDescent="0.25">
      <c r="A18" s="28" t="s">
        <v>369</v>
      </c>
      <c r="B18" s="28" t="s">
        <v>356</v>
      </c>
      <c r="C18" t="s">
        <v>1</v>
      </c>
      <c r="D18" t="str">
        <f t="shared" ref="D18:D20" si="39">SUBSTITUTE(PROPER(A18),"_","")</f>
        <v>Status</v>
      </c>
      <c r="E18" t="str">
        <f t="shared" ref="E18:E20" si="40">IFERROR(LEFT(B18, FIND("(",B18)-1),B18)</f>
        <v>varchar</v>
      </c>
      <c r="F18" s="6"/>
      <c r="G18" t="str">
        <f t="shared" ref="G18:G20" si="41">IFERROR(MID(B18,FIND("(",B18) +1, FIND(")",B18) - FIND("(",B18) - 1),"")</f>
        <v>50</v>
      </c>
      <c r="H18" t="str">
        <f>+VLOOKUP(E18,'Data Type Mapping'!A:B,2,)</f>
        <v>string</v>
      </c>
      <c r="I18" t="str">
        <f t="shared" ref="I18:I20" si="42">IF(H18="string",REPT(CHAR(9),2)&amp;"public const int Max"&amp;D18&amp;"Length = "&amp;G18&amp;";"&amp;$E$3,"" )</f>
        <v xml:space="preserve">		public const int MaxStatusLength = 50;
</v>
      </c>
      <c r="J18" t="str">
        <f t="shared" ref="J18:J20" si="43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[StringLength(MaxStatusLength)]
		public virtual string Status { get; set; }
</v>
      </c>
      <c r="K18" s="6" t="s">
        <v>375</v>
      </c>
      <c r="L18" t="str">
        <f t="shared" ref="L18:L20" si="44">IF(K18="","",REPT(CHAR(9),1)&amp;"[Index(nameof("&amp;IF(D18="","",""&amp;D18)&amp;")"&amp;", Name="&amp;"""IX_"&amp;$B$7&amp;"_"&amp;D18&amp;""")]")</f>
        <v xml:space="preserve">	[Index(nameof(Status), Name="IX_InvGpsDailyOrder_Status")]</v>
      </c>
      <c r="M18" t="str">
        <f t="shared" ref="M18:M20" si="45">REPT(CHAR(9),2)&amp;"public virtual "&amp;IF(OR(H18="DateTime",H18="TimeSpan"),H18&amp;"?",H18)&amp;IF(C18="?","? "," ")&amp;D18&amp;" { get; set; }" &amp; "
"</f>
        <v xml:space="preserve">		public virtual string Status { get; set; }
</v>
      </c>
      <c r="N18" t="str">
        <f t="shared" ref="N18:N20" si="46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[StringLength(InvGpsDailyOrderConsts.MaxStatusLength)]
		public virtual string Status { get; set; }
</v>
      </c>
      <c r="O18" t="str">
        <f t="shared" ref="O18:O20" si="47">IF(OR(H18="string",H18="DateTime",H18="int"),REPT(CHAR(9),2)&amp;"public virtual "&amp;IF(OR(H18="DateTime",H18="TimeSpan"),H18&amp;"?",H18)&amp;IF(C18="?","? "," ")&amp;D18&amp;" { get; set; }"&amp;$E$3,"")</f>
        <v xml:space="preserve">		public virtual string Status { get; set; }
</v>
      </c>
      <c r="P18" t="str">
        <f t="shared" ref="P18:P20" si="48">REPT(CHAR(9),7)&amp;D18&amp;" = o." &amp;D18 &amp;","</f>
        <v xml:space="preserve">							Status = o.Status,</v>
      </c>
      <c r="T18" s="63" t="str">
        <f t="shared" ref="T18:T20" si="49">REPT(CHAR(9),8)&amp;"("""&amp;D18&amp;"""),"</f>
        <v xml:space="preserve">								("Status"),</v>
      </c>
      <c r="V18" s="64" t="str">
        <f t="shared" ref="V18:V20" si="50">REPT(CHAR(9),8)&amp;"_ =&gt; _."&amp;D18&amp;","</f>
        <v xml:space="preserve">								_ =&gt; _.Status,</v>
      </c>
      <c r="W18" s="63" t="str">
        <f t="shared" ref="W18:W20" si="51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.WhereIf(!string.IsNullOrWhiteSpace(input.Status), e =&gt; e.Status.Contains(input.Status))</v>
      </c>
    </row>
    <row r="19" spans="1:23" customFormat="1" ht="18.75" customHeight="1" x14ac:dyDescent="0.25">
      <c r="A19" s="28" t="s">
        <v>374</v>
      </c>
      <c r="B19" s="28" t="s">
        <v>363</v>
      </c>
      <c r="C19" t="s">
        <v>1</v>
      </c>
      <c r="D19" t="str">
        <f t="shared" si="39"/>
        <v>GeneratedBy</v>
      </c>
      <c r="E19" t="str">
        <f t="shared" si="40"/>
        <v>varchar</v>
      </c>
      <c r="F19" s="6"/>
      <c r="G19" t="str">
        <f t="shared" si="41"/>
        <v>10</v>
      </c>
      <c r="H19" t="str">
        <f>+VLOOKUP(E19,'Data Type Mapping'!A:B,2,)</f>
        <v>string</v>
      </c>
      <c r="I19" t="str">
        <f t="shared" si="42"/>
        <v xml:space="preserve">		public const int MaxGeneratedByLength = 10;
</v>
      </c>
      <c r="J19" t="str">
        <f t="shared" si="43"/>
        <v xml:space="preserve">		[StringLength(MaxGeneratedByLength)]
		public virtual string GeneratedBy { get; set; }
</v>
      </c>
      <c r="K19" s="6"/>
      <c r="L19" t="str">
        <f t="shared" si="44"/>
        <v/>
      </c>
      <c r="M19" t="str">
        <f t="shared" si="45"/>
        <v xml:space="preserve">		public virtual string GeneratedBy { get; set; }
</v>
      </c>
      <c r="N19" t="str">
        <f t="shared" si="46"/>
        <v xml:space="preserve">		[StringLength(InvGpsDailyOrderConsts.MaxGeneratedByLength)]
		public virtual string GeneratedBy { get; set; }
</v>
      </c>
      <c r="O19" t="str">
        <f t="shared" si="47"/>
        <v xml:space="preserve">		public virtual string GeneratedBy { get; set; }
</v>
      </c>
      <c r="P19" t="str">
        <f t="shared" si="48"/>
        <v xml:space="preserve">							GeneratedBy = o.GeneratedBy,</v>
      </c>
      <c r="T19" s="63" t="str">
        <f t="shared" si="49"/>
        <v xml:space="preserve">								("GeneratedBy"),</v>
      </c>
      <c r="V19" s="64" t="str">
        <f t="shared" si="50"/>
        <v xml:space="preserve">								_ =&gt; _.GeneratedBy,</v>
      </c>
      <c r="W19" s="63" t="str">
        <f t="shared" si="51"/>
        <v xml:space="preserve">				.WhereIf(!string.IsNullOrWhiteSpace(input.GeneratedBy), e =&gt; e.GeneratedBy.Contains(input.GeneratedBy))</v>
      </c>
    </row>
    <row r="20" spans="1:23" customFormat="1" ht="18.75" customHeight="1" x14ac:dyDescent="0.25">
      <c r="A20" s="28" t="s">
        <v>370</v>
      </c>
      <c r="B20" s="28" t="s">
        <v>0</v>
      </c>
      <c r="C20" t="s">
        <v>1</v>
      </c>
      <c r="D20" t="str">
        <f t="shared" si="39"/>
        <v>TruckUnloadingId</v>
      </c>
      <c r="E20" t="str">
        <f t="shared" si="40"/>
        <v>bigint</v>
      </c>
      <c r="F20" s="6"/>
      <c r="G20" t="str">
        <f t="shared" si="41"/>
        <v/>
      </c>
      <c r="H20" t="str">
        <f>+VLOOKUP(E20,'Data Type Mapping'!A:B,2,)</f>
        <v>long?</v>
      </c>
      <c r="I20" t="str">
        <f t="shared" si="42"/>
        <v/>
      </c>
      <c r="J20" t="str">
        <f t="shared" si="43"/>
        <v xml:space="preserve">		public virtual long? TruckUnloadingId { get; set; }
</v>
      </c>
      <c r="K20" s="6" t="s">
        <v>375</v>
      </c>
      <c r="L20" t="str">
        <f t="shared" si="44"/>
        <v xml:space="preserve">	[Index(nameof(TruckUnloadingId), Name="IX_InvGpsDailyOrder_TruckUnloadingId")]</v>
      </c>
      <c r="M20" t="str">
        <f t="shared" si="45"/>
        <v xml:space="preserve">		public virtual long? TruckUnloadingId { get; set; }
</v>
      </c>
      <c r="N20" t="str">
        <f t="shared" si="46"/>
        <v xml:space="preserve">		public virtual long? TruckUnloadingId { get; set; }
</v>
      </c>
      <c r="O20" t="str">
        <f t="shared" si="47"/>
        <v/>
      </c>
      <c r="P20" t="str">
        <f t="shared" si="48"/>
        <v xml:space="preserve">							TruckUnloadingId = o.TruckUnloadingId,</v>
      </c>
      <c r="T20" s="63" t="str">
        <f t="shared" si="49"/>
        <v xml:space="preserve">								("TruckUnloadingId"),</v>
      </c>
      <c r="V20" s="64" t="str">
        <f t="shared" si="50"/>
        <v xml:space="preserve">								_ =&gt; _.TruckUnloadingId,</v>
      </c>
      <c r="W20" s="63" t="str">
        <f t="shared" si="51"/>
        <v/>
      </c>
    </row>
    <row r="21" spans="1:23" customFormat="1" ht="18.75" customHeight="1" x14ac:dyDescent="0.25">
      <c r="A21" s="28" t="s">
        <v>318</v>
      </c>
      <c r="B21" s="28" t="s">
        <v>357</v>
      </c>
      <c r="C21" t="s">
        <v>1</v>
      </c>
      <c r="D21" t="str">
        <f t="shared" ref="D21" si="52">SUBSTITUTE(PROPER(A21),"_","")</f>
        <v>IsActive</v>
      </c>
      <c r="E21" t="str">
        <f t="shared" ref="E21" si="53">IFERROR(LEFT(B21, FIND("(",B21)-1),B21)</f>
        <v>varchar</v>
      </c>
      <c r="F21" s="6"/>
      <c r="G21" t="str">
        <f t="shared" ref="G21" si="54">IFERROR(MID(B21,FIND("(",B21) +1, FIND(")",B21) - FIND("(",B21) - 1),"")</f>
        <v>1</v>
      </c>
      <c r="H21" t="str">
        <f>+VLOOKUP(E21,'Data Type Mapping'!A:B,2,)</f>
        <v>string</v>
      </c>
      <c r="I21" t="str">
        <f t="shared" ref="I21" si="55">IF(H21="string",REPT(CHAR(9),2)&amp;"public const int Max"&amp;D21&amp;"Length = "&amp;G21&amp;";"&amp;$E$3,"" )</f>
        <v xml:space="preserve">		public const int MaxIsActiveLength = 1;
</v>
      </c>
      <c r="J21" t="str">
        <f t="shared" ref="J21" si="56">IF(F21="","",REPT(CHAR(9),2)&amp;"[Column(TypeName="""&amp;F21&amp;""")]"&amp;$E$3)&amp;IF(C21="Checked","",$I$3)&amp;IF(H21="string",REPT(CHAR(9),2)&amp;"[StringLength(Max"&amp;D21&amp;"Length"&amp;")]"&amp;$E$3,"")&amp;REPT(CHAR(9),2)&amp;"public virtual "&amp;H21&amp;IF(C21="?","? "," ")&amp;D21&amp;" { get; set; }" &amp; "
"</f>
        <v xml:space="preserve">		[StringLength(MaxIsActiveLength)]
		public virtual string IsActive { get; set; }
</v>
      </c>
      <c r="K21" s="6" t="s">
        <v>375</v>
      </c>
      <c r="L21" t="str">
        <f t="shared" ref="L21" si="57">IF(K21="","",REPT(CHAR(9),1)&amp;"[Index(nameof("&amp;IF(D21="","",""&amp;D21)&amp;")"&amp;", Name="&amp;"""IX_"&amp;$B$7&amp;"_"&amp;D21&amp;""")]")</f>
        <v xml:space="preserve">	[Index(nameof(IsActive), Name="IX_InvGpsDailyOrder_IsActive")]</v>
      </c>
      <c r="M21" t="str">
        <f t="shared" ref="M21" si="58">REPT(CHAR(9),2)&amp;"public virtual "&amp;IF(OR(H21="DateTime",H21="TimeSpan"),H21&amp;"?",H21)&amp;IF(C21="?","? "," ")&amp;D21&amp;" { get; set; }" &amp; "
"</f>
        <v xml:space="preserve">		public virtual string IsActive { get; set; }
</v>
      </c>
      <c r="N21" t="str">
        <f t="shared" ref="N21" si="59">IF(C21="Checked","",$I$3)&amp;IF(H21="string",REPT(CHAR(9),2)&amp;"[StringLength("&amp;$B$3&amp;"Consts.Max"&amp;D21&amp;"Length"&amp;")]"&amp;$E$3,"")&amp;REPT(CHAR(9),2)&amp;"public virtual "&amp;IF(OR(H21="DateTime",H21="TimeSpan"),H21&amp;"?",H21)&amp;IF(C21="?","? "," ")&amp;D21&amp;" { get; set; }" &amp; "
"</f>
        <v xml:space="preserve">		[StringLength(InvGpsDailyOrderConsts.MaxIsActiveLength)]
		public virtual string IsActive { get; set; }
</v>
      </c>
      <c r="O21" t="str">
        <f t="shared" ref="O21" si="60">IF(OR(H21="string",H21="DateTime",H21="int"),REPT(CHAR(9),2)&amp;"public virtual "&amp;IF(OR(H21="DateTime",H21="TimeSpan"),H21&amp;"?",H21)&amp;IF(C21="?","? "," ")&amp;D21&amp;" { get; set; }"&amp;$E$3,"")</f>
        <v xml:space="preserve">		public virtual string IsActive { get; set; }
</v>
      </c>
      <c r="P21" t="str">
        <f t="shared" ref="P21" si="61">REPT(CHAR(9),7)&amp;D21&amp;" = o." &amp;D21 &amp;","</f>
        <v xml:space="preserve">							IsActive = o.IsActive,</v>
      </c>
      <c r="T21" s="63" t="str">
        <f t="shared" ref="T21" si="62">REPT(CHAR(9),8)&amp;"("""&amp;D21&amp;"""),"</f>
        <v xml:space="preserve">								("IsActive"),</v>
      </c>
      <c r="V21" s="64" t="str">
        <f t="shared" ref="V21" si="63">REPT(CHAR(9),8)&amp;"_ =&gt; _."&amp;D21&amp;","</f>
        <v xml:space="preserve">								_ =&gt; _.IsActive,</v>
      </c>
      <c r="W21" s="63" t="str">
        <f t="shared" ref="W21" si="64">IF(H21="string",REPT(CHAR(9),4)&amp;".WhereIf(!string.IsNullOrWhiteSpace(input."&amp;D21&amp;"), e =&gt; e."&amp;D21&amp;".Contains(input."&amp;D21&amp;"))",IF(H21="DateTime",REPT(CHAR(9),4)&amp;".WhereIf(input."&amp;D21&amp;".HasValue, t =&gt; t."&amp;D21&amp;" == input."&amp;D21&amp;".Value)",""))</f>
        <v xml:space="preserve">				.WhereIf(!string.IsNullOrWhiteSpace(input.IsActive), e =&gt; e.IsActive.Contains(input.IsActive))</v>
      </c>
    </row>
    <row r="23" spans="1:23" ht="45.75" customHeight="1" x14ac:dyDescent="0.25">
      <c r="H23" s="11"/>
      <c r="I23" s="31" t="str">
        <f ca="1">TEXTJOIN2("
", TRUE,INDIRECT( $H$1):INDIRECT( $H$3))</f>
        <v xml:space="preserve">		public const int MaxShiftLength = 40;
		public const int MaxSupplierNameLength = 40;
		public const int MaxSupplierCodeLength = 10;
		public const int MaxOrderNoLength = 50;
		public const int MaxTruckNoLength = 40;
		public const int MaxStatusLength = 50;
		public const int MaxGeneratedByLength = 10;
		public const int MaxIsActiveLength = 1;
</v>
      </c>
      <c r="J23" s="30" t="str">
        <f ca="1">TEXTJOIN2("
", TRUE,INDIRECT( $F$1):INDIRECT( $F$3))</f>
        <v xml:space="preserve">		[Column(TypeName="date")]
		public virtual DateTime? WorkingDate { get; set; }
		[StringLength(MaxShiftLength)]
		public virtual string Shift { get; set; }
		[StringLength(MaxSupplierNameLength)]
		public virtual string SupplierName { get; set; }
		[StringLength(MaxSupplierCodeLength)]
		public virtual string SupplierCode { get; set; }
		[StringLength(MaxOrderNoLength)]
		public virtual string OrderNo { get; set; }
		[Column(TypeName="datetime2(7)")]
		public virtual DateTime? OrderDatetime { get; set; }
		public virtual int? TripNo { get; set; }
		[StringLength(MaxTruckNoLength)]
		public virtual string TruckNo { get; set; }
		[Column(TypeName="datetime2(7)")]
		public virtual DateTime? EstArrivalDatetime { get; set; }
		[StringLength(MaxStatusLength)]
		public virtual string Status { get; set; }
		[StringLength(MaxGeneratedByLength)]
		public virtual string GeneratedBy { get; set; }
		public virtual long? TruckUnloadingId { get; set; }
		[StringLength(MaxIsActiveLength)]
		public virtual string IsActive { get; set; }
</v>
      </c>
      <c r="K23" s="32" t="str">
        <f ca="1">TEXTJOIN2("
", TRUE,INDIRECT( $J$1):INDIRECT( $J$3))</f>
        <v xml:space="preserve">	[Index(nameof(WorkingDate), Name="IX_InvGpsDailyOrder_WorkingDate")]
	[Index(nameof(SupplierCode), Name="IX_InvGpsDailyOrder_SupplierCode")]
	[Index(nameof(Status), Name="IX_InvGpsDailyOrder_Status")]
	[Index(nameof(TruckUnloadingId), Name="IX_InvGpsDailyOrder_TruckUnloadingId")]
	[Index(nameof(IsActive), Name="IX_InvGpsDailyOrder_IsActive")]</v>
      </c>
      <c r="L23" s="12" t="s">
        <v>56</v>
      </c>
      <c r="M23" s="33" t="str">
        <f ca="1">TEXTJOIN2("
",TRUE,INDIRECT( $L$1):INDIRECT($L$3))</f>
        <v xml:space="preserve">		public virtual DateTime? WorkingDate { get; set; }
		public virtual string Shift { get; set; }
		public virtual string SupplierName { get; set; }
		public virtual string SupplierCode { get; set; }
		public virtual string OrderNo { get; set; }
		public virtual DateTime? OrderDatetime { get; set; }
		public virtual int? TripNo { get; set; }
		public virtual string TruckNo { get; set; }
		public virtual DateTime? EstArrivalDatetime { get; set; }
		public virtual string Status { get; set; }
		public virtual string GeneratedBy { get; set; }
		public virtual long? TruckUnloadingId { get; set; }
		public virtual string IsActive { get; set; }
</v>
      </c>
      <c r="N23" s="30" t="str">
        <f ca="1">TEXTJOIN2("
",TRUE,INDIRECT( $M$1):INDIRECT($M$3))</f>
        <v xml:space="preserve">		public virtual DateTime? WorkingDate { get; set; }
		[StringLength(InvGpsDailyOrderConsts.MaxShiftLength)]
		public virtual string Shift { get; set; }
		[StringLength(InvGpsDailyOrderConsts.MaxSupplierNameLength)]
		public virtual string SupplierName { get; set; }
		[StringLength(InvGpsDailyOrderConsts.MaxSupplierCodeLength)]
		public virtual string SupplierCode { get; set; }
		[StringLength(InvGpsDailyOrderConsts.MaxOrderNoLength)]
		public virtual string OrderNo { get; set; }
		public virtual DateTime? OrderDatetime { get; set; }
		public virtual int? TripNo { get; set; }
		[StringLength(InvGpsDailyOrderConsts.MaxTruckNoLength)]
		public virtual string TruckNo { get; set; }
		public virtual DateTime? EstArrivalDatetime { get; set; }
		[StringLength(InvGpsDailyOrderConsts.MaxStatusLength)]
		public virtual string Status { get; set; }
		[StringLength(InvGpsDailyOrderConsts.MaxGeneratedByLength)]
		public virtual string GeneratedBy { get; set; }
		public virtual long? TruckUnloadingId { get; set; }
		[StringLength(InvGpsDailyOrderConsts.MaxIsActiveLength)]
		public virtual string IsActive { get; set; }
</v>
      </c>
      <c r="O23" s="30" t="str">
        <f ca="1">TEXTJOIN2("
",TRUE,INDIRECT( $N$1):INDIRECT($N$3))</f>
        <v xml:space="preserve">		public virtual string Shift { get; set; }
		public virtual string SupplierName { get; set; }
		public virtual string SupplierCode { get; set; }
		public virtual string OrderNo { get; set; }
		public virtual string TruckNo { get; set; }
		public virtual string Status { get; set; }
		public virtual string GeneratedBy { get; set; }
		public virtual string IsActive { get; set; }
</v>
      </c>
      <c r="P23" s="8" t="str">
        <f ca="1">TEXTJOIN2("
",TRUE,INDIRECT( $O$1):INDIRECT($O$3))</f>
        <v xml:space="preserve">							WorkingDate = o.WorkingDate,
							Shift = o.Shift,
							SupplierName = o.SupplierName,
							SupplierCode = o.SupplierCode,
							OrderNo = o.OrderNo,
							OrderDatetime = o.OrderDatetime,
							TripNo = o.TripNo,
							TruckNo = o.TruckNo,
							EstArrivalDatetime = o.EstArrivalDatetime,
							Status = o.Status,
							GeneratedBy = o.GeneratedBy,
							TruckUnloadingId = o.TruckUnloadingId,
							IsActive = o.IsActive,</v>
      </c>
      <c r="T23" s="8" t="str">
        <f ca="1">TEXTJOIN2("
",TRUE,INDIRECT( $T$2):INDIRECT($T$3))</f>
        <v xml:space="preserve">								("WorkingDate"),
								("Shift"),
								("SupplierName"),
								("SupplierCode"),
								("OrderNo"),
								("OrderDatetime"),
								("TripNo"),
								("TruckNo"),
								("EstArrivalDatetime"),
								("Status"),
								("GeneratedBy"),
								("TruckUnloadingId"),
								("IsActive"),</v>
      </c>
      <c r="V23" s="8" t="str">
        <f ca="1">TEXTJOIN2("
",TRUE,INDIRECT( $V$2):INDIRECT($V$3))</f>
        <v xml:space="preserve">								_ =&gt; _.WorkingDate,
								_ =&gt; _.Shift,
								_ =&gt; _.SupplierName,
								_ =&gt; _.SupplierCode,
								_ =&gt; _.OrderNo,
								_ =&gt; _.OrderDatetime,
								_ =&gt; _.TripNo,
								_ =&gt; _.TruckNo,
								_ =&gt; _.EstArrivalDatetime,
								_ =&gt; _.Status,
								_ =&gt; _.GeneratedBy,
								_ =&gt; _.TruckUnloadingId,
								_ =&gt; _.IsActive,</v>
      </c>
      <c r="W23" s="8" t="str">
        <f ca="1">TEXTJOIN2("
",TRUE,INDIRECT( $W$2):INDIRECT($W$3))</f>
        <v xml:space="preserve">				.WhereIf(!string.IsNullOrWhiteSpace(input.Shift), e =&gt; e.Shift.Contains(input.Shift))
				.WhereIf(!string.IsNullOrWhiteSpace(input.SupplierName), e =&gt; e.SupplierName.Contains(input.SupplierName))
				.WhereIf(!string.IsNullOrWhiteSpace(input.SupplierCode), e =&gt; e.SupplierCode.Contains(input.SupplierCode))
				.WhereIf(!string.IsNullOrWhiteSpace(input.OrderNo), e =&gt; e.OrderNo.Contains(input.OrderNo))
				.WhereIf(!string.IsNullOrWhiteSpace(input.TruckNo), e =&gt; e.TruckNo.Contains(input.TruckNo))
				.WhereIf(!string.IsNullOrWhiteSpace(input.Status), e =&gt; e.Status.Contains(input.Status))
				.WhereIf(!string.IsNullOrWhiteSpace(input.GeneratedBy), e =&gt; e.GeneratedBy.Contains(input.GeneratedBy))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"/>
  <sheetViews>
    <sheetView workbookViewId="0">
      <selection activeCell="E20" sqref="E2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35.5703125" customWidth="1"/>
    <col min="9" max="9" width="31.7109375" customWidth="1"/>
    <col min="10" max="10" width="22.28515625" customWidth="1"/>
    <col min="11" max="11" width="45.140625" customWidth="1"/>
    <col min="12" max="12" width="51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38" t="s">
        <v>207</v>
      </c>
      <c r="B1" s="39" t="s">
        <v>373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232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232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209</v>
      </c>
      <c r="B4" s="40" t="str">
        <f>A.Backend!Q3</f>
        <v>GPS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209</v>
      </c>
      <c r="B5" s="40" t="str">
        <f>LOWER(B4)</f>
        <v>gps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219</v>
      </c>
      <c r="B6" s="41" t="str">
        <f>A.Backend!B3</f>
        <v>InvGpsDailyOrder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210</v>
      </c>
      <c r="B7" s="40" t="str">
        <f>A.Backend!B5</f>
        <v>InvGpsDailyOrder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208</v>
      </c>
      <c r="B8" s="40" t="str">
        <f>LOWER(B7)</f>
        <v>invgpsdailyorder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211</v>
      </c>
      <c r="B9" s="51"/>
      <c r="C9" s="50"/>
      <c r="D9" s="50"/>
      <c r="E9" s="50"/>
      <c r="F9" s="50"/>
      <c r="G9" s="50"/>
      <c r="H9" s="42" t="s">
        <v>263</v>
      </c>
      <c r="I9" s="43" t="s">
        <v>264</v>
      </c>
      <c r="J9" s="42" t="s">
        <v>214</v>
      </c>
      <c r="K9" s="44" t="s">
        <v>251</v>
      </c>
      <c r="L9" s="43" t="s">
        <v>255</v>
      </c>
      <c r="M9" s="42" t="s">
        <v>244</v>
      </c>
      <c r="N9" s="42" t="s">
        <v>215</v>
      </c>
      <c r="O9" s="42" t="s">
        <v>216</v>
      </c>
      <c r="P9" s="43" t="s">
        <v>218</v>
      </c>
      <c r="Q9" s="42" t="s">
        <v>245</v>
      </c>
      <c r="R9" s="42" t="s">
        <v>228</v>
      </c>
      <c r="S9" s="28"/>
      <c r="T9" s="28"/>
      <c r="U9" s="28"/>
      <c r="V9" s="28"/>
    </row>
    <row r="10" spans="1:22" ht="18.75" customHeight="1" x14ac:dyDescent="0.25">
      <c r="A10" s="52" t="s">
        <v>212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InvGpsDailyOrderDto, InvGpsDailyOrderServiceProxy } from '@shared/service-proxies/service-proxies';
import { finalize } from 'rxjs/internal/operators/finalize';
import { CreateOrEditInvGpsDailyOrderModalComponent } from './create-or-edit-invgpsdailyorder-modal.component';
import { DatePipe } from '@angular/common';
import { FileDownloadService } from '@shared/utils/file-download.service';
import ceil from 'lodash-es/ceil';
import { Paginator } from 'primeng/paginator';
@Component({
    templateUrl: './invgpsdailyorder.component.html',
    styleUrls: ['./invgpsdailyorder.component.less'],
})
export class InvGpsDailyOrderComponent extends AppComponentBase implements OnInit {
    @ViewChild('createOrEditModalInvGpsDailyOrder', { static: true }) createOrEditModalInvGpsDailyOrder:| CreateOrEditInvGpsDailyOrderModalComponent|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InvGpsDailyOrderDto = new InvGpsDailyOrderDto();
    saveSelectedRow: InvGpsDailyOrderDto = new InvGpsDailyOrderDto();
    datas: InvGpsDailyOrderDto = new InvGpsDailyOrderDto();
    isLoading: boolean = false;
    dataParams: GridParams | undefined;
    rowData: any[] = [];
    gridApi!: GridApi;
    rowSelection = 'multiple';
    filter: string = '';
	pipe = new DatePipe('en-US');
	frameworkComponents: FrameworkComponent;
    	shift : string = '' ; 
	supplierName : string = '' ; 
	supplierCode : string = '' ; 
	orderNo : string = '' ; 
	truckNo : string = '' ; 
	status : string = '' ; 
	generatedBy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InvGpsDailyOrderServiceProxy,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this.l('Working Date'),headerTooltip: this.l('Working Date'),field: 'workingDate',flex: 1},
			{headerName: this.l('Shift'),headerTooltip: this.l('Shift'),field: 'shift',flex: 1},
			{headerName: this.l('Supplier Name'),headerTooltip: this.l('Supplier Name'),field: 'supplierName',flex: 1},
			{headerName: this.l('Supplier Code'),headerTooltip: this.l('Supplier Code'),field: 'supplierCode',flex: 1},
			{headerName: this.l('Order No'),headerTooltip: this.l('Order No'),field: 'orderNo',flex: 1},
			{headerName: this.l('Order Datetime'),headerTooltip: this.l('Order Datetime'),field: 'orderDatetime',flex: 1},
			{headerName: this.l('Trip No'),headerTooltip: this.l('Trip No'),field: 'tripNo',flex: 1},
			{headerName: this.l('Truck No'),headerTooltip: this.l('Truck No'),field: 'truckNo',flex: 1},
			{headerName: this.l('Est Arrival Datetime'),headerTooltip: this.l('Est Arrival Datetime'),field: 'estArrivalDatetime',flex: 1},
			{headerName: this.l('Status'),headerTooltip: this.l('Status'),field: 'status',flex: 1},
			{headerName: this.l('Generated By'),headerTooltip: this.l('Generated By'),field: 'generatedBy',flex: 1},
			{headerName: this.l('Truck Unloading Id'),headerTooltip: this.l('Truck Unloading Id'),field: 'truckUnloadingId',flex: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this.workingDate,
			this.shift,
			this.supplierName,
			this.supplierCode,
			this.tripNo,
			this.estArrivalDatetime,
			this.status,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shift : string = '' ; 
	supplierName : string = '' ; 
	supplierCode : string = '' ; 
	orderNo : string = '' ; 
	truckNo : string = '' ; 
	status : string = '' ; 
	generatedBy : string = '' ; 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this.workingDate,
			this.shift,
			this.supplierName,
			this.supplierCode,
			this.tripNo,
			this.estArrivalDatetime,
			this.status,
			'',
            this.paginationParams.skipCount,
            this.paginationParams.pageSize
        );
    }
    onChangeRowSelection(params: { api: { getSelectedRows: () =&gt; InvGpsDailyOrderDto[] } }) {
        this.saveSelectedRow = params.api.getSelectedRows()[0] ?? new InvGpsDailyOrderDto();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InvGpsDailyOrderDto):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this._service.getInvGpsDailyOrderToExcel(
			this.workingDate,
			this.shift,
			this.supplierName,
			this.supplierCode,
			this.tripNo,
			this.estArrivalDatetime,
			this.status,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Daily Order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[(ngModel)]='truckNo' name='truckNo'
									class='form-control' [placeholder]="l('Truck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[(ngModel)]='generatedBy' name='generatedBy'
									class='form-control' [placeholder]="l('Generated By')"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(click)="createOrEditModalInvGpsDailyOrder.show()"&gt;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(click)="createOrEditModalInvGpsDailyOrder.show(selectedRow)"&gt;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&lt;create-or-edit-invgpsdailyorder-modal
    #createOrEditModalInvGpsDailyOrder
    (modalSave)="callBackDataGrid(dataParams)"
    (modalClose)="onChangeRowSelection(dataParams)"
&gt;
&lt;/create-or-edit-invgpsdailyorder-modal&gt;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#createOrEditModalInvGpsDailyOrder="bs-modal"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InvGpsDailyOrder')}}&lt;/h3&gt;
                    &lt;h3 *ngIf="!rowdata.id"&gt;{{('Create New InvGpsDailyOrder')}}&lt;/h3&gt;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title'&gt;Order Datetime&lt;/label&gt;
						&lt;input type='text' class='col-md-10 form-control input-text' name='orderDatetime' 
						#datepicker='bsDatepicker' [(ngModel)]='rowdata.orderDatetime'  bsDatepicker &gt;
					&lt;/div&gt;
					&lt;div class='col-md-12 form-group row'&gt;
						&lt;label class='col-md-2 form-control title'&gt;Trip No&lt;/label&gt;
						&lt;input type='number' class='col-md-10 form-control input-text' name='TripNo' [(ngModel)]='rowdata.tripNo'&gt;
					&lt;/div&gt;
					&lt;div class='col-md-12 form-group row'&gt;
						&lt;label class='col-md-2 form-control title'&gt;Truck No&lt;/label&gt;
						&lt;input type='text' class='col-md-10 form-control input-text' name='TruckNo' [(ngModel)]='rowdata.truckNo'&gt;
					&lt;/div&gt;
					&lt;div class='col-md-12 form-group row'&gt;
						&lt;label class='col-md-2 form-control title'&gt;Est Arrival Datetime&lt;/label&gt;
						&lt;input type='text' class='col-md-10 form-control input-text' name='estArrivalDatetime' 
						#datepicker='bsDatepicker' [(ngModel)]='rowdata.estArrivalDatetime'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title'&gt;Generated By&lt;/label&gt;
						&lt;input type='text' class='col-md-10 form-control input-text' name='GeneratedBy' [(ngModel)]='rowdata.generatedBy'&gt;
					&lt;/div&gt;
					&lt;div class='col-md-12 form-group row'&gt;
						&lt;label class='col-md-2 form-control title'&gt;Truck Unloading Id&lt;/label&gt;
						&lt;input type='number' class='col-md-10 form-control input-text' name='TruckUnloadingId' [(ngModel)]='rowdata.truckUnloadingId'&gt;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CreateOrEditInvGpsDailyOrderDto, InvGpsDailyOrderServiceProxy } from '@shared/service-proxies/service-proxies';
import { BsDatepickerDirective } from 'ngx-bootstrap/datepicker';
@Component({
    selector: 'create-or-edit-invgpsdailyorder-modal',
    templateUrl: './create-or-edit-invgpsdailyorder-modal.component.html',
    styleUrls: ['./create-or-edit-invgpsdailyorder-modal.component.less']
    })
export class CreateOrEditInvGpsDailyOrderModalComponent extends AppComponentBase {
    @ViewChild('createOrEditModalInvGpsDailyOrder',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CreateOrEditInvGpsDailyOrderDto = new CreateOrEditInvGpsDailyOrderDto();
    active: boolean = false;
    saving: boolean = false;
    _isActive: boolean;
    constructor(
        injector: Injector,
        private _mstwptInvGpsDailyOrderService: InvGpsDailyOrderServiceProxy,
    ) 
    {
        super(injector);
    }
    show(rowdata?: CreateOrEditInvGpsDailyOrderDto): void {
        if (!rowdata) this.rowdata = new CreateOrEditInvGpsDailyOrderDto();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this._mstwptInvGpsDailyOrderService.createOrEdit(this.rowdata)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InvGpsDailyOrderRoutingModule } from './invgpsdailyorder-routing.module';
import { InvGpsDailyOrderComponent } from './invgpsdailyorder.component';
import { CreateOrEditInvGpsDailyOrderModalComponent } from './create-or-edit-invgpsdailyorder-modal.component';
@NgModule({
    declarations: [
       InvGpsDailyOrderComponent, 
        CreateOrEditInvGpsDailyOrderModalComponent
    ],
    imports: [
        AppSharedModule, InvGpsDailyOrderRoutingModule]
})
export class InvGpsDailyOrderModule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InvGpsDailyOrderComponent } from './invgpsdailyorder.component';
const routes: Routes = [{
    path: '',
    component: InvGpsDailyOrderComponent,
    pathMatch: 'full'
}];
@NgModule({
    imports: [RouterModule.forChild(routes)],
    exports: [RouterModule],
})
export class InvGpsDailyOrderRoutingModule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AppMenuItem("InvGpsDailyOrder", "Pages.Inventory.GPS.InvGpsDailyOrder", "flaticon-book",   "/app/main/inventory/gps/invgpsdailyorder"),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'inventory/gps/invgpsdailyorder',
    loadChildren: () =&gt; import('./inventory/gps/invgpsdailyorder/invgpsdailyorder.module').then(m =&gt; m.InvGpsDailyOrderModule),
    data: { permission: 'Pages.Inventory.GPS.InvGpsDailyOrder' }
},</v>
      </c>
      <c r="R10" s="47" t="str">
        <f>SUBSTITUTE(R9,"MstWptCalendar",$B$6)</f>
        <v>ApiServiceProxies.InvGpsDailyOrderServiceProxy,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243</v>
      </c>
      <c r="I11" s="28" t="s">
        <v>256</v>
      </c>
      <c r="J11" s="28"/>
      <c r="K11" s="28" t="s">
        <v>254</v>
      </c>
      <c r="L11" s="28" t="s">
        <v>257</v>
      </c>
      <c r="M11" s="35"/>
      <c r="N11" s="28"/>
      <c r="O11" s="28"/>
      <c r="P11" s="28"/>
      <c r="Q11" s="28"/>
      <c r="R11" s="28"/>
      <c r="S11" s="28" t="s">
        <v>248</v>
      </c>
      <c r="T11" s="28" t="s">
        <v>249</v>
      </c>
      <c r="U11" s="28" t="s">
        <v>258</v>
      </c>
      <c r="V11" s="28" t="s">
        <v>260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H27</v>
      </c>
      <c r="I12" s="28" t="str">
        <f>"I"&amp;COUNTA($A:$A)</f>
        <v>I27</v>
      </c>
      <c r="J12" s="28"/>
      <c r="K12" s="28" t="str">
        <f>"K"&amp;COUNTA($A:$A)</f>
        <v>K27</v>
      </c>
      <c r="L12" s="28" t="str">
        <f>"L"&amp;COUNTA($A:$A)</f>
        <v>L27</v>
      </c>
      <c r="M12" s="28"/>
      <c r="N12" s="28"/>
      <c r="O12" s="28"/>
      <c r="P12" s="28"/>
      <c r="Q12" s="28"/>
      <c r="R12" s="28"/>
      <c r="S12" s="28" t="str">
        <f>"S"&amp;COUNTA($A:$A)</f>
        <v>S27</v>
      </c>
      <c r="T12" s="28" t="str">
        <f>"T"&amp;COUNTA($A:$A)</f>
        <v>T27</v>
      </c>
      <c r="U12" s="28" t="str">
        <f>"U"&amp;COUNTA($A:$A)</f>
        <v>U27</v>
      </c>
      <c r="V12" s="28" t="str">
        <f>"V"&amp;COUNTA($A:$A)</f>
        <v>V27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this.l('Working Date'),headerTooltip: this.l('Working Date'),field: 'workingDate',flex: 1},
			{headerName: this.l('Shift'),headerTooltip: this.l('Shift'),field: 'shift',flex: 1},
			{headerName: this.l('Supplier Name'),headerTooltip: this.l('Supplier Name'),field: 'supplierName',flex: 1},
			{headerName: this.l('Supplier Code'),headerTooltip: this.l('Supplier Code'),field: 'supplierCode',flex: 1},
			{headerName: this.l('Order No'),headerTooltip: this.l('Order No'),field: 'orderNo',flex: 1},
			{headerName: this.l('Order Datetime'),headerTooltip: this.l('Order Datetime'),field: 'orderDatetime',flex: 1},
			{headerName: this.l('Trip No'),headerTooltip: this.l('Trip No'),field: 'tripNo',flex: 1},
			{headerName: this.l('Truck No'),headerTooltip: this.l('Truck No'),field: 'truckNo',flex: 1},
			{headerName: this.l('Est Arrival Datetime'),headerTooltip: this.l('Est Arrival Datetime'),field: 'estArrivalDatetime',flex: 1},
			{headerName: this.l('Status'),headerTooltip: this.l('Status'),field: 'status',flex: 1},
			{headerName: this.l('Generated By'),headerTooltip: this.l('Generated By'),field: 'generatedBy',flex: 1},
			{headerName: this.l('Truck Unloading Id'),headerTooltip: this.l('Truck Unloading Id'),field: 'truckUnloadingId',flex: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5" t="str">
        <f ca="1">TEXTJOIN2("
",TRUE,INDIRECT(I11):INDIRECT(I12))</f>
        <v xml:space="preserve">								&lt;div class='input-search'&gt;
									&lt;input [(ngModel)]='shift' name='shift'
									class='form-control' [placeholder]="l('Shift')"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[(ngModel)]='supplierCode' name='supplierCode'
									class='form-control' [placeholder]="l('Supplier Code')"
									type='text' (keyup.enter)='searchDatas()'&gt;
								&lt;/div&gt;
								&lt;div class='input-search'&gt;
									&lt;input [(ngModel)]='orderNo' name='orderNo'
									class='form-control' [placeholder]="l('Order No')"
									type='text' (keyup.enter)='searchDatas()'&gt;
								&lt;/div&gt;
								&lt;div class='input-search'&gt;
									&lt;input [(ngModel)]='truckNo' name='truckNo'
									class='form-control' [placeholder]="l('Truck No')"
									type='text' (keyup.enter)='searchDatas()'&gt;
								&lt;/div&gt;
								&lt;div class='input-search'&gt;
									&lt;input [(ngModel)]='status' name='status'
									class='form-control' [placeholder]="l('Status')"
									type='text' (keyup.enter)='searchDatas()'&gt;
								&lt;/div&gt;
								&lt;div class='input-search'&gt;
									&lt;input [(ngModel)]='generatedBy' name='generatedBy'
									class='form-control' [placeholder]="l('Generated By')"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title'&gt;Supplier Code&lt;/label&gt;
						&lt;input type='text' class='col-md-10 form-control input-text' name='SupplierCode' [(ngModel)]='rowdata.supplierCode'&gt;
					&lt;/div&gt;
					&lt;div class='col-md-12 form-group row'&gt;
						&lt;label class='col-md-2 form-control title'&gt;Order No&lt;/label&gt;
						&lt;input type='text' class='col-md-10 form-control input-text' name='OrderNo' [(ngModel)]='rowdata.orderNo'&gt;
					&lt;/div&gt;
					&lt;div class='col-md-12 form-group row'&gt;
						&lt;label class='col-md-2 form-control title'&gt;Order Datetime&lt;/label&gt;
						&lt;input type='text' class='col-md-10 form-control input-text' name='orderDatetime' 
						#datepicker='bsDatepicker' [(ngModel)]='rowdata.orderDatetime'  bsDatepicker &gt;
					&lt;/div&gt;
					&lt;div class='col-md-12 form-group row'&gt;
						&lt;label class='col-md-2 form-control title'&gt;Trip No&lt;/label&gt;
						&lt;input type='number' class='col-md-10 form-control input-text' name='TripNo' [(ngModel)]='rowdata.tripNo'&gt;
					&lt;/div&gt;
					&lt;div class='col-md-12 form-group row'&gt;
						&lt;label class='col-md-2 form-control title'&gt;Truck No&lt;/label&gt;
						&lt;input type='text' class='col-md-10 form-control input-text' name='TruckNo' [(ngModel)]='rowdata.truckNo'&gt;
					&lt;/div&gt;
					&lt;div class='col-md-12 form-group row'&gt;
						&lt;label class='col-md-2 form-control title'&gt;Est Arrival Datetime&lt;/label&gt;
						&lt;input type='text' class='col-md-10 form-control input-text' name='estArrivalDatetime' 
						#datepicker='bsDatepicker' [(ngModel)]='rowdata.estArrivalDatetime'  bsDatepicker &gt;
					&lt;/div&gt;
					&lt;div class='col-md-12 form-group row'&gt;
						&lt;label class='col-md-2 form-control title'&gt;Status&lt;/label&gt;
						&lt;input type='text' class='col-md-10 form-control input-text' name='Status' [(ngModel)]='rowdata.status'&gt;
					&lt;/div&gt;
					&lt;div class='col-md-12 form-group row'&gt;
						&lt;label class='col-md-2 form-control title'&gt;Generated By&lt;/label&gt;
						&lt;input type='text' class='col-md-10 form-control input-text' name='GeneratedBy' [(ngModel)]='rowdata.generatedBy'&gt;
					&lt;/div&gt;
					&lt;div class='col-md-12 form-group row'&gt;
						&lt;label class='col-md-2 form-control title'&gt;Truck Unloading Id&lt;/label&gt;
						&lt;input type='number' class='col-md-10 form-control input-text' name='TruckUnloadingId' [(ngModel)]='rowdata.truckUnloadingId'&gt;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shift : string = '' ; 
	supplierName : string = '' ; 
	supplierCode : string = '' ; 
	orderNo : string = '' ; 
	truckNo : string = '' ; 
	status : string = '' ; 
	generatedBy : string = '' ; 
</v>
      </c>
      <c r="T13" s="62" t="str">
        <f ca="1">TEXTJOIN2("
",TRUE,INDIRECT(T11):INDIRECT(T12))</f>
        <v xml:space="preserve">			this.workingDate,
			this.shift,
			this.supplierName,
			this.supplierCode,
			this.tripNo,
			this.estArrivalDatetime,
			this.status,
</v>
      </c>
      <c r="U13" s="62" t="str">
        <f ca="1">TEXTJOIN2("
",TRUE,INDIRECT(U11):INDIRECT(U12))</f>
        <v xml:space="preserve">	shift : string = '' ; 
	supplierName : string = '' ; 
	supplierCode : string = '' ; 
	orderNo : string = '' ; 
	truckNo : string = '' ; 
	status : string = '' ; 
	generatedBy : string = '' ; 
</v>
      </c>
      <c r="V13" s="28" t="str">
        <f ca="1">TEXTJOIN2("
",TRUE,INDIRECT(V11):INDIRECT(V12))</f>
        <v>isActive</v>
      </c>
    </row>
    <row r="14" spans="1:22" x14ac:dyDescent="0.25">
      <c r="A14" s="38" t="s">
        <v>213</v>
      </c>
      <c r="B14" s="28"/>
      <c r="C14" s="28"/>
      <c r="D14" s="28"/>
      <c r="E14" s="28"/>
      <c r="F14" s="28"/>
      <c r="G14" s="28"/>
      <c r="H14" s="36" t="str">
        <f>B8&amp;".component.ts"</f>
        <v>invgpsdailyorder.component.ts</v>
      </c>
      <c r="I14" s="37" t="str">
        <f>B8&amp;".component.html"</f>
        <v>invgpsdailyorder.component.html</v>
      </c>
      <c r="J14" s="36" t="str">
        <f>B8&amp;".component.less"</f>
        <v>invgpsdailyorder.component.less</v>
      </c>
      <c r="K14" s="37" t="str">
        <f>"create-or-edit-"&amp;B8&amp;"-modal.component.html"</f>
        <v>create-or-edit-invgpsdailyorder-modal.component.html</v>
      </c>
      <c r="L14" s="37" t="str">
        <f>"create-or-edit-"&amp;B8&amp;"-modal.component.ts"</f>
        <v>create-or-edit-invgpsdailyorder-modal.component.ts</v>
      </c>
      <c r="M14" s="37" t="str">
        <f>"create-or-edit-"&amp;B8&amp;"-modal.component.less"</f>
        <v>create-or-edit-invgpsdailyorder-modal.component.less</v>
      </c>
      <c r="N14" s="37" t="str">
        <f>B8&amp;".module.ts"</f>
        <v>invgpsdailyorder.module.ts</v>
      </c>
      <c r="O14" s="37" t="str">
        <f>B8&amp;"-routing.module.ts"</f>
        <v>invgpsdailyorder-routing.module.ts</v>
      </c>
      <c r="P14" s="37" t="s">
        <v>217</v>
      </c>
      <c r="Q14" s="37" t="s">
        <v>220</v>
      </c>
      <c r="R14" s="38" t="s">
        <v>227</v>
      </c>
      <c r="S14" s="37" t="s">
        <v>246</v>
      </c>
      <c r="T14" s="37" t="s">
        <v>247</v>
      </c>
      <c r="U14" s="37" t="s">
        <v>250</v>
      </c>
      <c r="V14" s="37" t="s">
        <v>259</v>
      </c>
    </row>
    <row r="15" spans="1:22" ht="15" customHeight="1" x14ac:dyDescent="0.25">
      <c r="A15" t="s">
        <v>358</v>
      </c>
      <c r="B15" s="28" t="str">
        <f t="shared" ref="B15" si="0">SUBSTITUTE(PROPER(A15),"_","")</f>
        <v>WorkingDate</v>
      </c>
      <c r="C15" s="28" t="str">
        <f t="shared" ref="C15" si="1">SUBSTITUTE(PROPER(A15),"_"," ")</f>
        <v>Working Date</v>
      </c>
      <c r="D15" s="28" t="str">
        <f t="shared" ref="D15" si="2">LOWER(LEFT(B15,1))&amp;RIGHT(B15,LEN(B15) - 1)</f>
        <v>workingDate</v>
      </c>
      <c r="E15" s="28" t="str">
        <f>A.Backend!H9</f>
        <v>DateTime?</v>
      </c>
      <c r="F15" s="28" t="str">
        <f>A.Backend!G9</f>
        <v/>
      </c>
      <c r="G15" s="28" t="str">
        <f t="shared" ref="G15" si="3">IF(E15="string"," : string = '' ; ",IF(OR(E15="DateTime",E15="TimeSpan")," : any ;",IF(E15="int"," : number = 0 ;","")))</f>
        <v/>
      </c>
      <c r="H15" s="35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this.l('Working Date'),headerTooltip: this.l('Working Date'),field: 'workingDate',flex: 1},</v>
      </c>
      <c r="I15" s="35" t="str">
        <f t="shared" ref="I15:I27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IF(AND(E15="string",F15 &lt;&gt;"1"),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/>
      </c>
      <c r="J15" s="28"/>
      <c r="K15" s="35" t="str">
        <f>IF(OR(E15="DateTime?",E15="TimeSpan?"),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IF(OR(E15="int?",E15="long?"),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title'&gt;Working Date&lt;/label&gt;
						&lt;input type='text' class='col-md-10 form-control input-text' name='workingDate' 
						#datepicker='bsDatepicker' [(ngModel)]='rowdata.workingDate'  bsDatepicker &gt;
					&lt;/div&gt;</v>
      </c>
      <c r="L15" s="56" t="str">
        <f t="shared" ref="L15" si="6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IF(AND(E15="string",F15 &lt;&gt;"1"),(REPT(CHAR(9),1)&amp;D15&amp;G15),"")</f>
        <v/>
      </c>
      <c r="T15" s="28" t="str">
        <f>IF(AND(E15="string",F15 &lt;&gt;"1"),(REPT(CHAR(9),3)&amp;"this."&amp;D14&amp;","),"")</f>
        <v/>
      </c>
      <c r="U15" s="28" t="str">
        <f>IF(AND(E15="string",F15 &lt;&gt;"1"),(REPT(CHAR(9),1)&amp;D15&amp;G15),"")</f>
        <v/>
      </c>
      <c r="V15" s="28" t="str">
        <f t="shared" ref="V15" si="7">IF(AND(E15="string",F15="1"),D15,"")</f>
        <v/>
      </c>
    </row>
    <row r="16" spans="1:22" ht="18" customHeight="1" x14ac:dyDescent="0.25">
      <c r="A16" t="s">
        <v>359</v>
      </c>
      <c r="B16" s="28" t="str">
        <f t="shared" ref="B16:B27" si="8">SUBSTITUTE(PROPER(A16),"_","")</f>
        <v>Shift</v>
      </c>
      <c r="C16" s="28" t="str">
        <f t="shared" ref="C16:C27" si="9">SUBSTITUTE(PROPER(A16),"_"," ")</f>
        <v>Shift</v>
      </c>
      <c r="D16" s="28" t="str">
        <f t="shared" ref="D16:D27" si="10">LOWER(LEFT(B16,1))&amp;RIGHT(B16,LEN(B16) - 1)</f>
        <v>shift</v>
      </c>
      <c r="E16" s="28" t="str">
        <f>A.Backend!H10</f>
        <v>string</v>
      </c>
      <c r="F16" s="28" t="str">
        <f>A.Backend!G10</f>
        <v>40</v>
      </c>
      <c r="G16" s="28" t="str">
        <f t="shared" ref="G16:G27" si="11">IF(E16="string"," : string = '' ; ",IF(OR(E16="DateTime",E16="TimeSpan")," : any ;",IF(E16="int"," : number = 0 ;","")))</f>
        <v xml:space="preserve"> : string = '' ; </v>
      </c>
      <c r="H16" s="35" t="str">
        <f t="shared" ref="H16:H27" si="12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this.l('Shift'),headerTooltip: this.l('Shift'),field: 'shift',flex: 1},</v>
      </c>
      <c r="I16" s="35" t="str">
        <f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IF(AND(E16="string",F16 &lt;&gt;"1"),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6" s="28"/>
      <c r="K16" s="35" t="str">
        <f t="shared" ref="K16:K27" si="13">IF(OR(E16="DateTime?",E16="TimeSpan?"),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IF(OR(E16="int?",E16="long?"),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6" s="56" t="str">
        <f t="shared" ref="L16" si="14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27" si="15">IF(AND(E16="string",F16 &lt;&gt;"1"),(REPT(CHAR(9),1)&amp;D16&amp;G16),"")</f>
        <v xml:space="preserve">	shift : string = '' ; </v>
      </c>
      <c r="T16" s="28" t="str">
        <f>IF(AND(E16="string",F16 &lt;&gt;"1"),(REPT(CHAR(9),3)&amp;"this."&amp;D15&amp;","),"")</f>
        <v xml:space="preserve">			this.workingDate,</v>
      </c>
      <c r="U16" s="28" t="str">
        <f t="shared" ref="U16:U27" si="16">IF(AND(E16="string",F16 &lt;&gt;"1"),(REPT(CHAR(9),1)&amp;D16&amp;G16),"")</f>
        <v xml:space="preserve">	shift : string = '' ; </v>
      </c>
      <c r="V16" s="28" t="str">
        <f t="shared" ref="V16:V27" si="17">IF(AND(E16="string",F16="1"),D16,"")</f>
        <v/>
      </c>
    </row>
    <row r="17" spans="1:22" ht="18" customHeight="1" x14ac:dyDescent="0.25">
      <c r="A17" t="s">
        <v>361</v>
      </c>
      <c r="B17" s="28" t="str">
        <f t="shared" si="8"/>
        <v>SupplierName</v>
      </c>
      <c r="C17" s="28" t="str">
        <f t="shared" si="9"/>
        <v>Supplier Name</v>
      </c>
      <c r="D17" s="28" t="str">
        <f t="shared" si="10"/>
        <v>supplierName</v>
      </c>
      <c r="E17" s="28" t="str">
        <f>A.Backend!H11</f>
        <v>string</v>
      </c>
      <c r="F17" s="28" t="str">
        <f>A.Backend!G11</f>
        <v>40</v>
      </c>
      <c r="G17" s="28" t="str">
        <f t="shared" si="11"/>
        <v xml:space="preserve"> : string = '' ; </v>
      </c>
      <c r="H17" s="35" t="str">
        <f t="shared" si="12"/>
        <v xml:space="preserve">			{headerName: this.l('Supplier Name'),headerTooltip: this.l('Supplier Name'),field: 'supplierName',flex: 1},</v>
      </c>
      <c r="I17" s="35" t="str">
        <f t="shared" si="5"/>
        <v xml:space="preserve">								&lt;div class='input-search'&gt;
									&lt;input [(ngModel)]='supplierName' name='supplierName'
									class='form-control' [placeholder]="l('Supplier Name')"
									type='text' (keyup.enter)='searchDatas()'&gt;
								&lt;/div&gt;</v>
      </c>
      <c r="J17" s="28"/>
      <c r="K17" s="35" t="str">
        <f t="shared" si="13"/>
        <v xml:space="preserve">					&lt;div class='col-md-12 form-group row'&gt;
						&lt;label class='col-md-2 form-control title'&gt;Supplier Name&lt;/label&gt;
						&lt;input type='text' class='col-md-10 form-control input-text' name='SupplierName' [(ngModel)]='rowdata.supplierName'&gt;
					&lt;/div&gt;</v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5"/>
        <v xml:space="preserve">	supplierName : string = '' ; </v>
      </c>
      <c r="T17" s="28" t="str">
        <f t="shared" ref="T17:T20" si="18">IF(AND(E17="string",F17 &lt;&gt;"1"),(REPT(CHAR(9),3)&amp;"this."&amp;D16&amp;","),"")</f>
        <v xml:space="preserve">			this.shift,</v>
      </c>
      <c r="U17" s="28" t="str">
        <f t="shared" si="16"/>
        <v xml:space="preserve">	supplierName : string = '' ; </v>
      </c>
      <c r="V17" s="28" t="str">
        <f t="shared" si="17"/>
        <v/>
      </c>
    </row>
    <row r="18" spans="1:22" ht="15" customHeight="1" x14ac:dyDescent="0.25">
      <c r="A18" t="s">
        <v>362</v>
      </c>
      <c r="B18" s="28" t="str">
        <f t="shared" si="8"/>
        <v>SupplierCode</v>
      </c>
      <c r="C18" s="28" t="str">
        <f t="shared" si="9"/>
        <v>Supplier Code</v>
      </c>
      <c r="D18" s="28" t="str">
        <f t="shared" si="10"/>
        <v>supplierCode</v>
      </c>
      <c r="E18" s="28" t="str">
        <f>A.Backend!H12</f>
        <v>string</v>
      </c>
      <c r="F18" s="28" t="str">
        <f>A.Backend!G12</f>
        <v>10</v>
      </c>
      <c r="G18" s="28" t="str">
        <f t="shared" si="11"/>
        <v xml:space="preserve"> : string = '' ; </v>
      </c>
      <c r="H18" s="35" t="str">
        <f t="shared" si="12"/>
        <v xml:space="preserve">			{headerName: this.l('Supplier Code'),headerTooltip: this.l('Supplier Code'),field: 'supplierCode',flex: 1},</v>
      </c>
      <c r="I18" s="35" t="str">
        <f t="shared" si="5"/>
        <v xml:space="preserve">								&lt;div class='input-search'&gt;
									&lt;input [(ngModel)]='supplierCode' name='supplierCode'
									class='form-control' [placeholder]="l('Supplier Code')"
									type='text' (keyup.enter)='searchDatas()'&gt;
								&lt;/div&gt;</v>
      </c>
      <c r="J18" s="28"/>
      <c r="K18" s="35" t="str">
        <f t="shared" si="13"/>
        <v xml:space="preserve">					&lt;div class='col-md-12 form-group row'&gt;
						&lt;label class='col-md-2 form-control title'&gt;Supplier Code&lt;/label&gt;
						&lt;input type='text' class='col-md-10 form-control input-text' name='SupplierCode' [(ngModel)]='rowdata.supplierCode'&gt;
					&lt;/div&gt;</v>
      </c>
      <c r="L18" s="56" t="str">
        <f t="shared" ref="L18:L27" si="19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5"/>
        <v xml:space="preserve">	supplierCode : string = '' ; </v>
      </c>
      <c r="T18" s="28" t="str">
        <f t="shared" si="18"/>
        <v xml:space="preserve">			this.supplierName,</v>
      </c>
      <c r="U18" s="28" t="str">
        <f t="shared" si="16"/>
        <v xml:space="preserve">	supplierCode : string = '' ; </v>
      </c>
      <c r="V18" s="28" t="str">
        <f t="shared" si="17"/>
        <v/>
      </c>
    </row>
    <row r="19" spans="1:22" ht="18" customHeight="1" x14ac:dyDescent="0.25">
      <c r="A19" t="s">
        <v>364</v>
      </c>
      <c r="B19" s="28" t="str">
        <f t="shared" si="8"/>
        <v>OrderNo</v>
      </c>
      <c r="C19" s="28" t="str">
        <f t="shared" si="9"/>
        <v>Order No</v>
      </c>
      <c r="D19" s="28" t="str">
        <f t="shared" si="10"/>
        <v>orderNo</v>
      </c>
      <c r="E19" s="28" t="str">
        <f>A.Backend!H13</f>
        <v>string</v>
      </c>
      <c r="F19" s="28" t="str">
        <f>A.Backend!G13</f>
        <v>50</v>
      </c>
      <c r="G19" s="28" t="str">
        <f t="shared" si="11"/>
        <v xml:space="preserve"> : string = '' ; </v>
      </c>
      <c r="H19" s="35" t="str">
        <f t="shared" si="12"/>
        <v xml:space="preserve">			{headerName: this.l('Order No'),headerTooltip: this.l('Order No'),field: 'orderNo',flex: 1},</v>
      </c>
      <c r="I19" s="35" t="str">
        <f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IF(AND(E19="string",F19 &lt;&gt;"1"),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[(ngModel)]='orderNo' name='orderNo'
									class='form-control' [placeholder]="l('Order No')"
									type='text' (keyup.enter)='searchDatas()'&gt;
								&lt;/div&gt;</v>
      </c>
      <c r="J19" s="28"/>
      <c r="K19" s="35" t="str">
        <f t="shared" si="13"/>
        <v xml:space="preserve">					&lt;div class='col-md-12 form-group row'&gt;
						&lt;label class='col-md-2 form-control title'&gt;Order No&lt;/label&gt;
						&lt;input type='text' class='col-md-10 form-control input-text' name='OrderNo' [(ngModel)]='rowdata.orderNo'&gt;
					&lt;/div&gt;</v>
      </c>
      <c r="L19" s="56" t="str">
        <f t="shared" si="19"/>
        <v/>
      </c>
      <c r="M19" s="28"/>
      <c r="N19" s="28"/>
      <c r="O19" s="28"/>
      <c r="P19" s="28"/>
      <c r="Q19" s="28"/>
      <c r="R19" s="28"/>
      <c r="S19" s="28" t="str">
        <f t="shared" si="15"/>
        <v xml:space="preserve">	orderNo : string = '' ; </v>
      </c>
      <c r="T19" s="28" t="str">
        <f t="shared" si="18"/>
        <v xml:space="preserve">			this.supplierCode,</v>
      </c>
      <c r="U19" s="28" t="str">
        <f t="shared" si="16"/>
        <v xml:space="preserve">	orderNo : string = '' ; </v>
      </c>
      <c r="V19" s="28" t="str">
        <f t="shared" si="17"/>
        <v/>
      </c>
    </row>
    <row r="20" spans="1:22" ht="15" customHeight="1" x14ac:dyDescent="0.25">
      <c r="A20" t="s">
        <v>365</v>
      </c>
      <c r="B20" s="28" t="str">
        <f t="shared" si="8"/>
        <v>OrderDatetime</v>
      </c>
      <c r="C20" s="28" t="str">
        <f t="shared" si="9"/>
        <v>Order Datetime</v>
      </c>
      <c r="D20" s="28" t="str">
        <f t="shared" si="10"/>
        <v>orderDatetime</v>
      </c>
      <c r="E20" s="28" t="str">
        <f>A.Backend!H14</f>
        <v>DateTime?</v>
      </c>
      <c r="F20" s="28" t="str">
        <f>A.Backend!G14</f>
        <v/>
      </c>
      <c r="G20" s="28" t="str">
        <f t="shared" si="11"/>
        <v/>
      </c>
      <c r="H20" s="35" t="str">
        <f t="shared" si="12"/>
        <v xml:space="preserve">			{headerName: this.l('Order Datetime'),headerTooltip: this.l('Order Datetime'),field: 'orderDatetime',flex: 1},</v>
      </c>
      <c r="I20" s="35" t="str">
        <f t="shared" si="5"/>
        <v/>
      </c>
      <c r="J20" s="28"/>
      <c r="K20" s="35" t="str">
        <f t="shared" si="13"/>
        <v xml:space="preserve">					&lt;div class='col-md-12 form-group row'&gt;
						&lt;label class='col-md-2 form-control title'&gt;Order Datetime&lt;/label&gt;
						&lt;input type='text' class='col-md-10 form-control input-text' name='orderDatetime' 
						#datepicker='bsDatepicker' [(ngModel)]='rowdata.orderDatetime'  bsDatepicker &gt;
					&lt;/div&gt;</v>
      </c>
      <c r="L20" s="56" t="str">
        <f t="shared" si="19"/>
        <v/>
      </c>
      <c r="M20" s="28"/>
      <c r="N20" s="28"/>
      <c r="O20" s="28"/>
      <c r="P20" s="28"/>
      <c r="Q20" s="28"/>
      <c r="R20" s="28"/>
      <c r="S20" s="28" t="str">
        <f t="shared" si="15"/>
        <v/>
      </c>
      <c r="T20" s="28" t="str">
        <f t="shared" si="18"/>
        <v/>
      </c>
      <c r="U20" s="28" t="str">
        <f t="shared" si="16"/>
        <v/>
      </c>
      <c r="V20" s="28" t="str">
        <f t="shared" si="17"/>
        <v/>
      </c>
    </row>
    <row r="21" spans="1:22" ht="18" customHeight="1" x14ac:dyDescent="0.25">
      <c r="A21" t="s">
        <v>366</v>
      </c>
      <c r="B21" s="28" t="str">
        <f t="shared" si="8"/>
        <v>TripNo</v>
      </c>
      <c r="C21" s="28" t="str">
        <f t="shared" si="9"/>
        <v>Trip No</v>
      </c>
      <c r="D21" s="28" t="str">
        <f t="shared" si="10"/>
        <v>tripNo</v>
      </c>
      <c r="E21" s="28" t="str">
        <f>A.Backend!H15</f>
        <v>int?</v>
      </c>
      <c r="F21" s="28" t="str">
        <f>A.Backend!G15</f>
        <v/>
      </c>
      <c r="G21" s="28" t="str">
        <f t="shared" ref="G21:G25" si="20">IF(E21="string"," : string = '' ; ",IF(OR(E21="DateTime",E21="TimeSpan")," : any ;",IF(E21="int"," : number = 0 ;","")))</f>
        <v/>
      </c>
      <c r="H21" s="35" t="str">
        <f t="shared" ref="H21:H25" si="21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this.l('Trip No'),headerTooltip: this.l('Trip No'),field: 'tripNo',flex: 1},</v>
      </c>
      <c r="I21" s="35" t="str">
        <f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IF(AND(E21="string",F21 &lt;&gt;"1"),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/>
      </c>
      <c r="J21" s="28"/>
      <c r="K21" s="35" t="str">
        <f t="shared" ref="K21:K25" si="22">IF(OR(E21="DateTime?",E21="TimeSpan?"),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IF(OR(E21="int?",E21="long?"),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title'&gt;Trip No&lt;/label&gt;
						&lt;input type='number' class='col-md-10 form-control input-text' name='TripNo' [(ngModel)]='rowdata.tripNo'&gt;
					&lt;/div&gt;</v>
      </c>
      <c r="L21" s="56" t="str">
        <f t="shared" si="19"/>
        <v/>
      </c>
      <c r="M21" s="28"/>
      <c r="N21" s="28"/>
      <c r="O21" s="28"/>
      <c r="P21" s="28"/>
      <c r="Q21" s="28"/>
      <c r="R21" s="28"/>
      <c r="S21" s="28" t="str">
        <f t="shared" ref="S21:S25" si="23">IF(AND(E21="string",F21 &lt;&gt;"1"),(REPT(CHAR(9),1)&amp;D21&amp;G21),"")</f>
        <v/>
      </c>
      <c r="T21" s="28" t="str">
        <f>IF(AND(E21="string",F21 &lt;&gt;"1"),(REPT(CHAR(9),3)&amp;"this."&amp;D20&amp;","),"")</f>
        <v/>
      </c>
      <c r="U21" s="28" t="str">
        <f t="shared" ref="U21:U25" si="24">IF(AND(E21="string",F21 &lt;&gt;"1"),(REPT(CHAR(9),1)&amp;D21&amp;G21),"")</f>
        <v/>
      </c>
      <c r="V21" s="28" t="str">
        <f t="shared" ref="V21:V25" si="25">IF(AND(E21="string",F21="1"),D21,"")</f>
        <v/>
      </c>
    </row>
    <row r="22" spans="1:22" ht="18" customHeight="1" x14ac:dyDescent="0.25">
      <c r="A22" t="s">
        <v>367</v>
      </c>
      <c r="B22" s="28" t="str">
        <f t="shared" si="8"/>
        <v>TruckNo</v>
      </c>
      <c r="C22" s="28" t="str">
        <f t="shared" si="9"/>
        <v>Truck No</v>
      </c>
      <c r="D22" s="28" t="str">
        <f t="shared" si="10"/>
        <v>truckNo</v>
      </c>
      <c r="E22" s="28" t="str">
        <f>A.Backend!H16</f>
        <v>string</v>
      </c>
      <c r="F22" s="28" t="str">
        <f>A.Backend!G16</f>
        <v>40</v>
      </c>
      <c r="G22" s="28" t="str">
        <f t="shared" si="20"/>
        <v xml:space="preserve"> : string = '' ; </v>
      </c>
      <c r="H22" s="35" t="str">
        <f t="shared" si="21"/>
        <v xml:space="preserve">			{headerName: this.l('Truck No'),headerTooltip: this.l('Truck No'),field: 'truckNo',flex: 1},</v>
      </c>
      <c r="I22" s="35" t="str">
        <f t="shared" ref="I22:I23" si="26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IF(AND(E22="string",F22 &lt;&gt;"1"),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[(ngModel)]='truckNo' name='truckNo'
									class='form-control' [placeholder]="l('Truck No')"
									type='text' (keyup.enter)='searchDatas()'&gt;
								&lt;/div&gt;</v>
      </c>
      <c r="J22" s="28"/>
      <c r="K22" s="35" t="str">
        <f t="shared" si="22"/>
        <v xml:space="preserve">					&lt;div class='col-md-12 form-group row'&gt;
						&lt;label class='col-md-2 form-control title'&gt;Truck No&lt;/label&gt;
						&lt;input type='text' class='col-md-10 form-control input-text' name='TruckNo' [(ngModel)]='rowdata.truckNo'&gt;
					&lt;/div&gt;</v>
      </c>
      <c r="L22" s="56" t="str">
        <f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3"/>
        <v xml:space="preserve">	truckNo : string = '' ; </v>
      </c>
      <c r="T22" s="28" t="str">
        <f t="shared" ref="T22:T25" si="27">IF(AND(E22="string",F22 &lt;&gt;"1"),(REPT(CHAR(9),3)&amp;"this."&amp;D21&amp;","),"")</f>
        <v xml:space="preserve">			this.tripNo,</v>
      </c>
      <c r="U22" s="28" t="str">
        <f t="shared" si="24"/>
        <v xml:space="preserve">	truckNo : string = '' ; </v>
      </c>
      <c r="V22" s="28" t="str">
        <f t="shared" si="25"/>
        <v/>
      </c>
    </row>
    <row r="23" spans="1:22" ht="15" customHeight="1" x14ac:dyDescent="0.25">
      <c r="A23" t="s">
        <v>368</v>
      </c>
      <c r="B23" s="28" t="str">
        <f t="shared" si="8"/>
        <v>EstArrivalDatetime</v>
      </c>
      <c r="C23" s="28" t="str">
        <f t="shared" si="9"/>
        <v>Est Arrival Datetime</v>
      </c>
      <c r="D23" s="28" t="str">
        <f t="shared" si="10"/>
        <v>estArrivalDatetime</v>
      </c>
      <c r="E23" s="28" t="str">
        <f>A.Backend!H17</f>
        <v>DateTime?</v>
      </c>
      <c r="F23" s="28" t="str">
        <f>A.Backend!G17</f>
        <v/>
      </c>
      <c r="G23" s="28" t="str">
        <f t="shared" si="20"/>
        <v/>
      </c>
      <c r="H23" s="35" t="str">
        <f t="shared" si="21"/>
        <v xml:space="preserve">			{headerName: this.l('Est Arrival Datetime'),headerTooltip: this.l('Est Arrival Datetime'),field: 'estArrivalDatetime',flex: 1},</v>
      </c>
      <c r="I23" s="35" t="str">
        <f t="shared" si="26"/>
        <v/>
      </c>
      <c r="J23" s="28"/>
      <c r="K23" s="35" t="str">
        <f t="shared" si="22"/>
        <v xml:space="preserve">					&lt;div class='col-md-12 form-group row'&gt;
						&lt;label class='col-md-2 form-control title'&gt;Est Arrival Datetime&lt;/label&gt;
						&lt;input type='text' class='col-md-10 form-control input-text' name='estArrivalDatetime' 
						#datepicker='bsDatepicker' [(ngModel)]='rowdata.estArrivalDatetime'  bsDatepicker &gt;
					&lt;/div&gt;</v>
      </c>
      <c r="L23" s="56" t="str">
        <f t="shared" ref="L23:L26" si="28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28"/>
      <c r="N23" s="28"/>
      <c r="O23" s="28"/>
      <c r="P23" s="28"/>
      <c r="Q23" s="28"/>
      <c r="R23" s="28"/>
      <c r="S23" s="28" t="str">
        <f t="shared" si="23"/>
        <v/>
      </c>
      <c r="T23" s="28" t="str">
        <f t="shared" si="27"/>
        <v/>
      </c>
      <c r="U23" s="28" t="str">
        <f t="shared" si="24"/>
        <v/>
      </c>
      <c r="V23" s="28" t="str">
        <f t="shared" si="25"/>
        <v/>
      </c>
    </row>
    <row r="24" spans="1:22" ht="18" customHeight="1" x14ac:dyDescent="0.25">
      <c r="A24" t="s">
        <v>369</v>
      </c>
      <c r="B24" s="28" t="str">
        <f t="shared" si="8"/>
        <v>Status</v>
      </c>
      <c r="C24" s="28" t="str">
        <f t="shared" si="9"/>
        <v>Status</v>
      </c>
      <c r="D24" s="28" t="str">
        <f t="shared" si="10"/>
        <v>status</v>
      </c>
      <c r="E24" s="28" t="str">
        <f>A.Backend!H18</f>
        <v>string</v>
      </c>
      <c r="F24" s="28" t="str">
        <f>A.Backend!G18</f>
        <v>50</v>
      </c>
      <c r="G24" s="28" t="str">
        <f t="shared" si="20"/>
        <v xml:space="preserve"> : string = '' ; </v>
      </c>
      <c r="H24" s="35" t="str">
        <f t="shared" si="21"/>
        <v xml:space="preserve">			{headerName: this.l('Status'),headerTooltip: this.l('Status'),field: 'status',flex: 1},</v>
      </c>
      <c r="I24" s="35" t="str">
        <f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IF(AND(E24="string",F24 &lt;&gt;"1"),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[(ngModel)]='status' name='status'
									class='form-control' [placeholder]="l('Status')"
									type='text' (keyup.enter)='searchDatas()'&gt;
								&lt;/div&gt;</v>
      </c>
      <c r="J24" s="28"/>
      <c r="K24" s="35" t="str">
        <f t="shared" si="22"/>
        <v xml:space="preserve">					&lt;div class='col-md-12 form-group row'&gt;
						&lt;label class='col-md-2 form-control title'&gt;Status&lt;/label&gt;
						&lt;input type='text' class='col-md-10 form-control input-text' name='Status' [(ngModel)]='rowdata.status'&gt;
					&lt;/div&gt;</v>
      </c>
      <c r="L24" s="56" t="str">
        <f t="shared" si="28"/>
        <v/>
      </c>
      <c r="M24" s="28"/>
      <c r="N24" s="28"/>
      <c r="O24" s="28"/>
      <c r="P24" s="28"/>
      <c r="Q24" s="28"/>
      <c r="R24" s="28"/>
      <c r="S24" s="28" t="str">
        <f t="shared" si="23"/>
        <v xml:space="preserve">	status : string = '' ; </v>
      </c>
      <c r="T24" s="28" t="str">
        <f t="shared" si="27"/>
        <v xml:space="preserve">			this.estArrivalDatetime,</v>
      </c>
      <c r="U24" s="28" t="str">
        <f t="shared" si="24"/>
        <v xml:space="preserve">	status : string = '' ; </v>
      </c>
      <c r="V24" s="28" t="str">
        <f t="shared" si="25"/>
        <v/>
      </c>
    </row>
    <row r="25" spans="1:22" ht="15" customHeight="1" x14ac:dyDescent="0.25">
      <c r="A25" t="s">
        <v>374</v>
      </c>
      <c r="B25" s="28" t="str">
        <f t="shared" si="8"/>
        <v>GeneratedBy</v>
      </c>
      <c r="C25" s="28" t="str">
        <f t="shared" si="9"/>
        <v>Generated By</v>
      </c>
      <c r="D25" s="28" t="str">
        <f t="shared" si="10"/>
        <v>generatedBy</v>
      </c>
      <c r="E25" s="28" t="str">
        <f>A.Backend!H19</f>
        <v>string</v>
      </c>
      <c r="F25" s="28" t="str">
        <f>A.Backend!G19</f>
        <v>10</v>
      </c>
      <c r="G25" s="28" t="str">
        <f t="shared" si="20"/>
        <v xml:space="preserve"> : string = '' ; </v>
      </c>
      <c r="H25" s="35" t="str">
        <f t="shared" si="21"/>
        <v xml:space="preserve">			{headerName: this.l('Generated By'),headerTooltip: this.l('Generated By'),field: 'generatedBy',flex: 1},</v>
      </c>
      <c r="I25" s="35" t="str">
        <f t="shared" ref="I25" si="29">IF(E25="DateTime",
REPT(CHAR(9),8)&amp;"&lt;div class='input-search'&gt;
"&amp;REPT(CHAR(9),9)&amp;"&lt;input type='text' [placeholder]=""l('"&amp;C25&amp;"')"" [(ngModel)]='"&amp;D25&amp;"' 
"&amp;REPT(CHAR(9),9)&amp;"name='"&amp;D25&amp;"'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IF(AND(E25="string",F25 &lt;&gt;"1"),
REPT(CHAR(9),8)&amp;"&lt;div class='input-search'&gt;
"&amp;REPT(CHAR(9),9)&amp;"&lt;input [(ngModel)]='"&amp;D25&amp;"' name='"&amp;D25&amp;"'
"&amp;REPT(CHAR(9),9)&amp;"class='form-control' [placeholder]=""l('"&amp;C25&amp;"')""
"&amp;REPT(CHAR(9),9)&amp;"type='text' (keyup.enter)='searchDatas()'&gt;
"&amp;REPT(CHAR(9),8)&amp;"&lt;/div&gt;",""))</f>
        <v xml:space="preserve">								&lt;div class='input-search'&gt;
									&lt;input [(ngModel)]='generatedBy' name='generatedBy'
									class='form-control' [placeholder]="l('Generated By')"
									type='text' (keyup.enter)='searchDatas()'&gt;
								&lt;/div&gt;</v>
      </c>
      <c r="J25" s="28"/>
      <c r="K25" s="35" t="str">
        <f t="shared" si="22"/>
        <v xml:space="preserve">					&lt;div class='col-md-12 form-group row'&gt;
						&lt;label class='col-md-2 form-control title'&gt;Generated By&lt;/label&gt;
						&lt;input type='text' class='col-md-10 form-control input-text' name='GeneratedBy' [(ngModel)]='rowdata.generatedBy'&gt;
					&lt;/div&gt;</v>
      </c>
      <c r="L25" s="56" t="str">
        <f t="shared" si="28"/>
        <v/>
      </c>
      <c r="M25" s="28"/>
      <c r="N25" s="28"/>
      <c r="O25" s="28"/>
      <c r="P25" s="28"/>
      <c r="Q25" s="28"/>
      <c r="R25" s="28"/>
      <c r="S25" s="28" t="str">
        <f t="shared" si="23"/>
        <v xml:space="preserve">	generatedBy : string = '' ; </v>
      </c>
      <c r="T25" s="28" t="str">
        <f t="shared" si="27"/>
        <v xml:space="preserve">			this.status,</v>
      </c>
      <c r="U25" s="28" t="str">
        <f t="shared" si="24"/>
        <v xml:space="preserve">	generatedBy : string = '' ; </v>
      </c>
      <c r="V25" s="28" t="str">
        <f t="shared" si="25"/>
        <v/>
      </c>
    </row>
    <row r="26" spans="1:22" ht="18" customHeight="1" x14ac:dyDescent="0.25">
      <c r="A26" t="s">
        <v>370</v>
      </c>
      <c r="B26" s="28" t="str">
        <f t="shared" si="8"/>
        <v>TruckUnloadingId</v>
      </c>
      <c r="C26" s="28" t="str">
        <f t="shared" si="9"/>
        <v>Truck Unloading Id</v>
      </c>
      <c r="D26" s="28" t="str">
        <f t="shared" si="10"/>
        <v>truckUnloadingId</v>
      </c>
      <c r="E26" s="28" t="str">
        <f>A.Backend!H20</f>
        <v>long?</v>
      </c>
      <c r="F26" s="28" t="str">
        <f>A.Backend!G20</f>
        <v/>
      </c>
      <c r="G26" s="28" t="str">
        <f t="shared" ref="G26" si="30">IF(E26="string"," : string = '' ; ",IF(OR(E26="DateTime",E26="TimeSpan")," : any ;",IF(E26="int"," : number = 0 ;","")))</f>
        <v/>
      </c>
      <c r="H26" s="35" t="str">
        <f t="shared" ref="H26" si="31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this.l('Truck Unloading Id'),headerTooltip: this.l('Truck Unloading Id'),field: 'truckUnloadingId',flex: 1},</v>
      </c>
      <c r="I26" s="35" t="str">
        <f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IF(AND(E26="string",F26 &lt;&gt;"1"),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/>
      </c>
      <c r="J26" s="28"/>
      <c r="K26" s="35" t="str">
        <f t="shared" ref="K26" si="32">IF(OR(E26="DateTime?",E26="TimeSpan?"),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IF(OR(E26="int?",E26="long?"),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title'&gt;Truck Unloading Id&lt;/label&gt;
						&lt;input type='number' class='col-md-10 form-control input-text' name='TruckUnloadingId' [(ngModel)]='rowdata.truckUnloadingId'&gt;
					&lt;/div&gt;</v>
      </c>
      <c r="L26" s="56" t="str">
        <f t="shared" si="28"/>
        <v/>
      </c>
      <c r="M26" s="28"/>
      <c r="N26" s="28"/>
      <c r="O26" s="28"/>
      <c r="P26" s="28"/>
      <c r="Q26" s="28"/>
      <c r="R26" s="28"/>
      <c r="S26" s="28" t="str">
        <f t="shared" ref="S26" si="33">IF(AND(E26="string",F26 &lt;&gt;"1"),(REPT(CHAR(9),1)&amp;D26&amp;G26),"")</f>
        <v/>
      </c>
      <c r="T26" s="28" t="str">
        <f>IF(AND(E26="string",F26 &lt;&gt;"1"),(REPT(CHAR(9),3)&amp;"this."&amp;D25&amp;","),"")</f>
        <v/>
      </c>
      <c r="U26" s="28" t="str">
        <f t="shared" ref="U26" si="34">IF(AND(E26="string",F26 &lt;&gt;"1"),(REPT(CHAR(9),1)&amp;D26&amp;G26),"")</f>
        <v/>
      </c>
      <c r="V26" s="28" t="str">
        <f t="shared" ref="V26" si="35">IF(AND(E26="string",F26="1"),D26,"")</f>
        <v/>
      </c>
    </row>
    <row r="27" spans="1:22" ht="18" customHeight="1" x14ac:dyDescent="0.25">
      <c r="A27" t="s">
        <v>318</v>
      </c>
      <c r="B27" s="28" t="str">
        <f t="shared" si="8"/>
        <v>IsActive</v>
      </c>
      <c r="C27" s="28" t="str">
        <f t="shared" si="9"/>
        <v>Is Active</v>
      </c>
      <c r="D27" s="28" t="str">
        <f t="shared" si="10"/>
        <v>isActive</v>
      </c>
      <c r="E27" s="28" t="str">
        <f>A.Backend!H21</f>
        <v>string</v>
      </c>
      <c r="F27" s="28" t="str">
        <f>A.Backend!G21</f>
        <v>1</v>
      </c>
      <c r="G27" s="28" t="str">
        <f t="shared" si="11"/>
        <v xml:space="preserve"> : string = '' ; </v>
      </c>
      <c r="H27" s="35" t="str">
        <f t="shared" si="12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7" s="35" t="str">
        <f t="shared" si="5"/>
        <v/>
      </c>
      <c r="J27" s="28"/>
      <c r="K27" s="35" t="str">
        <f t="shared" si="13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7" s="56" t="str">
        <f t="shared" si="19"/>
        <v/>
      </c>
      <c r="M27" s="28"/>
      <c r="N27" s="28"/>
      <c r="O27" s="28"/>
      <c r="P27" s="28"/>
      <c r="Q27" s="28"/>
      <c r="R27" s="28"/>
      <c r="S27" s="28" t="str">
        <f t="shared" si="15"/>
        <v/>
      </c>
      <c r="T27" s="28" t="str">
        <f>IF(AND(E27="string",F27 &lt;&gt;"1"),(REPT(CHAR(9),3)&amp;"this."&amp;D20&amp;","),"")</f>
        <v/>
      </c>
      <c r="U27" s="28" t="str">
        <f t="shared" si="16"/>
        <v/>
      </c>
      <c r="V27" s="28" t="str">
        <f t="shared" si="17"/>
        <v>isActive</v>
      </c>
    </row>
    <row r="29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C26" sqref="C26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354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262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189</v>
      </c>
      <c r="B2" s="23" t="s">
        <v>186</v>
      </c>
    </row>
    <row r="3" spans="1:2" x14ac:dyDescent="0.25">
      <c r="B3" s="20" t="s">
        <v>111</v>
      </c>
    </row>
    <row r="4" spans="1:2" x14ac:dyDescent="0.25">
      <c r="B4" s="20" t="s">
        <v>112</v>
      </c>
    </row>
    <row r="5" spans="1:2" x14ac:dyDescent="0.25">
      <c r="B5" s="20" t="s">
        <v>113</v>
      </c>
    </row>
    <row r="6" spans="1:2" x14ac:dyDescent="0.25">
      <c r="B6" s="20" t="s">
        <v>114</v>
      </c>
    </row>
    <row r="7" spans="1:2" x14ac:dyDescent="0.25">
      <c r="B7" s="20" t="s">
        <v>115</v>
      </c>
    </row>
    <row r="8" spans="1:2" x14ac:dyDescent="0.25">
      <c r="B8" s="20" t="s">
        <v>116</v>
      </c>
    </row>
    <row r="9" spans="1:2" x14ac:dyDescent="0.25">
      <c r="B9" s="20" t="s">
        <v>117</v>
      </c>
    </row>
    <row r="10" spans="1:2" x14ac:dyDescent="0.25">
      <c r="B10" s="20" t="s">
        <v>118</v>
      </c>
    </row>
    <row r="11" spans="1:2" x14ac:dyDescent="0.25">
      <c r="B11" s="20" t="s">
        <v>119</v>
      </c>
    </row>
    <row r="12" spans="1:2" x14ac:dyDescent="0.25">
      <c r="B12" s="20" t="s">
        <v>120</v>
      </c>
    </row>
    <row r="13" spans="1:2" x14ac:dyDescent="0.25">
      <c r="B13" s="20" t="s">
        <v>121</v>
      </c>
    </row>
    <row r="14" spans="1:2" x14ac:dyDescent="0.25">
      <c r="B14" s="20" t="s">
        <v>122</v>
      </c>
    </row>
    <row r="15" spans="1:2" x14ac:dyDescent="0.25">
      <c r="B15" s="20" t="s">
        <v>123</v>
      </c>
    </row>
    <row r="16" spans="1:2" x14ac:dyDescent="0.25">
      <c r="B16" s="20" t="s">
        <v>124</v>
      </c>
    </row>
    <row r="17" spans="1:3" x14ac:dyDescent="0.25">
      <c r="B17" s="20" t="s">
        <v>125</v>
      </c>
    </row>
    <row r="18" spans="1:3" x14ac:dyDescent="0.25">
      <c r="B18" s="20" t="s">
        <v>126</v>
      </c>
      <c r="C18" t="s">
        <v>188</v>
      </c>
    </row>
    <row r="19" spans="1:3" x14ac:dyDescent="0.25">
      <c r="B19" s="20" t="s">
        <v>127</v>
      </c>
    </row>
    <row r="20" spans="1:3" x14ac:dyDescent="0.25">
      <c r="B20" s="20" t="s">
        <v>128</v>
      </c>
    </row>
    <row r="21" spans="1:3" x14ac:dyDescent="0.25">
      <c r="B21" s="20" t="s">
        <v>129</v>
      </c>
    </row>
    <row r="22" spans="1:3" x14ac:dyDescent="0.25">
      <c r="B22" s="20" t="s">
        <v>130</v>
      </c>
      <c r="C22" t="s">
        <v>193</v>
      </c>
    </row>
    <row r="23" spans="1:3" x14ac:dyDescent="0.25">
      <c r="B23" s="20" t="s">
        <v>131</v>
      </c>
    </row>
    <row r="24" spans="1:3" x14ac:dyDescent="0.25">
      <c r="B24" s="20" t="s">
        <v>132</v>
      </c>
    </row>
    <row r="25" spans="1:3" x14ac:dyDescent="0.25">
      <c r="B25" s="20" t="s">
        <v>133</v>
      </c>
    </row>
    <row r="26" spans="1:3" x14ac:dyDescent="0.25">
      <c r="A26" s="22" t="s">
        <v>190</v>
      </c>
      <c r="B26" s="23" t="s">
        <v>187</v>
      </c>
    </row>
    <row r="27" spans="1:3" x14ac:dyDescent="0.25">
      <c r="B27" s="20" t="s">
        <v>134</v>
      </c>
    </row>
    <row r="28" spans="1:3" x14ac:dyDescent="0.25">
      <c r="B28" s="21" t="s">
        <v>135</v>
      </c>
    </row>
    <row r="29" spans="1:3" x14ac:dyDescent="0.25">
      <c r="B29" s="20" t="s">
        <v>136</v>
      </c>
    </row>
    <row r="30" spans="1:3" x14ac:dyDescent="0.25">
      <c r="B30" s="20" t="s">
        <v>137</v>
      </c>
    </row>
    <row r="31" spans="1:3" x14ac:dyDescent="0.25">
      <c r="B31" s="20" t="s">
        <v>138</v>
      </c>
    </row>
    <row r="32" spans="1:3" x14ac:dyDescent="0.25">
      <c r="B32" s="20" t="s">
        <v>139</v>
      </c>
    </row>
    <row r="33" spans="2:2" x14ac:dyDescent="0.25">
      <c r="B33" s="20" t="s">
        <v>140</v>
      </c>
    </row>
    <row r="34" spans="2:2" x14ac:dyDescent="0.25">
      <c r="B34" s="20" t="s">
        <v>141</v>
      </c>
    </row>
    <row r="35" spans="2:2" x14ac:dyDescent="0.25">
      <c r="B35" s="20" t="s">
        <v>142</v>
      </c>
    </row>
    <row r="36" spans="2:2" x14ac:dyDescent="0.25">
      <c r="B36" s="20" t="s">
        <v>143</v>
      </c>
    </row>
    <row r="37" spans="2:2" x14ac:dyDescent="0.25">
      <c r="B37" s="20" t="s">
        <v>144</v>
      </c>
    </row>
    <row r="38" spans="2:2" x14ac:dyDescent="0.25">
      <c r="B38" s="20" t="s">
        <v>145</v>
      </c>
    </row>
    <row r="39" spans="2:2" x14ac:dyDescent="0.25">
      <c r="B39" s="20" t="s">
        <v>146</v>
      </c>
    </row>
    <row r="40" spans="2:2" x14ac:dyDescent="0.25">
      <c r="B40" s="20" t="s">
        <v>147</v>
      </c>
    </row>
    <row r="41" spans="2:2" x14ac:dyDescent="0.25">
      <c r="B41" s="20" t="s">
        <v>148</v>
      </c>
    </row>
    <row r="42" spans="2:2" x14ac:dyDescent="0.25">
      <c r="B42" s="20" t="s">
        <v>149</v>
      </c>
    </row>
    <row r="43" spans="2:2" x14ac:dyDescent="0.25">
      <c r="B43" s="21" t="s">
        <v>150</v>
      </c>
    </row>
    <row r="44" spans="2:2" x14ac:dyDescent="0.25">
      <c r="B44" s="20" t="s">
        <v>136</v>
      </c>
    </row>
    <row r="45" spans="2:2" x14ac:dyDescent="0.25">
      <c r="B45" s="20" t="s">
        <v>151</v>
      </c>
    </row>
    <row r="46" spans="2:2" x14ac:dyDescent="0.25">
      <c r="B46" s="20" t="s">
        <v>152</v>
      </c>
    </row>
    <row r="47" spans="2:2" x14ac:dyDescent="0.25">
      <c r="B47" s="20" t="s">
        <v>153</v>
      </c>
    </row>
    <row r="48" spans="2:2" x14ac:dyDescent="0.25">
      <c r="B48" s="20" t="s">
        <v>154</v>
      </c>
    </row>
    <row r="49" spans="2:2" x14ac:dyDescent="0.25">
      <c r="B49" s="20" t="s">
        <v>137</v>
      </c>
    </row>
    <row r="50" spans="2:2" x14ac:dyDescent="0.25">
      <c r="B50" s="20" t="s">
        <v>138</v>
      </c>
    </row>
    <row r="51" spans="2:2" x14ac:dyDescent="0.25">
      <c r="B51" s="20" t="s">
        <v>139</v>
      </c>
    </row>
    <row r="52" spans="2:2" x14ac:dyDescent="0.25">
      <c r="B52" s="20" t="s">
        <v>140</v>
      </c>
    </row>
    <row r="53" spans="2:2" x14ac:dyDescent="0.25">
      <c r="B53" s="20" t="s">
        <v>141</v>
      </c>
    </row>
    <row r="54" spans="2:2" x14ac:dyDescent="0.25">
      <c r="B54" s="20" t="s">
        <v>142</v>
      </c>
    </row>
    <row r="55" spans="2:2" x14ac:dyDescent="0.25">
      <c r="B55" s="20" t="s">
        <v>143</v>
      </c>
    </row>
    <row r="56" spans="2:2" x14ac:dyDescent="0.25">
      <c r="B56" s="20" t="s">
        <v>155</v>
      </c>
    </row>
    <row r="57" spans="2:2" x14ac:dyDescent="0.25">
      <c r="B57" s="20" t="s">
        <v>156</v>
      </c>
    </row>
    <row r="58" spans="2:2" x14ac:dyDescent="0.25">
      <c r="B58" s="20" t="s">
        <v>144</v>
      </c>
    </row>
    <row r="59" spans="2:2" x14ac:dyDescent="0.25">
      <c r="B59" s="20" t="s">
        <v>145</v>
      </c>
    </row>
    <row r="60" spans="2:2" x14ac:dyDescent="0.25">
      <c r="B60" s="20" t="s">
        <v>157</v>
      </c>
    </row>
    <row r="61" spans="2:2" x14ac:dyDescent="0.25">
      <c r="B61" s="20" t="s">
        <v>158</v>
      </c>
    </row>
    <row r="62" spans="2:2" x14ac:dyDescent="0.25">
      <c r="B62" s="20" t="s">
        <v>159</v>
      </c>
    </row>
    <row r="63" spans="2:2" x14ac:dyDescent="0.25">
      <c r="B63" s="20" t="s">
        <v>154</v>
      </c>
    </row>
    <row r="64" spans="2:2" x14ac:dyDescent="0.25">
      <c r="B64" s="20" t="s">
        <v>146</v>
      </c>
    </row>
    <row r="65" spans="2:2" x14ac:dyDescent="0.25">
      <c r="B65" s="20" t="s">
        <v>147</v>
      </c>
    </row>
    <row r="66" spans="2:2" x14ac:dyDescent="0.25">
      <c r="B66" s="20" t="s">
        <v>160</v>
      </c>
    </row>
    <row r="67" spans="2:2" x14ac:dyDescent="0.25">
      <c r="B67" s="20" t="s">
        <v>154</v>
      </c>
    </row>
    <row r="68" spans="2:2" x14ac:dyDescent="0.25">
      <c r="B68" s="20" t="s">
        <v>148</v>
      </c>
    </row>
    <row r="69" spans="2:2" x14ac:dyDescent="0.25">
      <c r="B69" s="20" t="s">
        <v>161</v>
      </c>
    </row>
    <row r="70" spans="2:2" x14ac:dyDescent="0.25">
      <c r="B70" s="21" t="s">
        <v>162</v>
      </c>
    </row>
    <row r="71" spans="2:2" x14ac:dyDescent="0.25">
      <c r="B71" s="20" t="s">
        <v>136</v>
      </c>
    </row>
    <row r="72" spans="2:2" x14ac:dyDescent="0.25">
      <c r="B72" s="20" t="s">
        <v>137</v>
      </c>
    </row>
    <row r="73" spans="2:2" x14ac:dyDescent="0.25">
      <c r="B73" s="20" t="s">
        <v>138</v>
      </c>
    </row>
    <row r="74" spans="2:2" x14ac:dyDescent="0.25">
      <c r="B74" s="20" t="s">
        <v>139</v>
      </c>
    </row>
    <row r="75" spans="2:2" x14ac:dyDescent="0.25">
      <c r="B75" s="20" t="s">
        <v>143</v>
      </c>
    </row>
    <row r="76" spans="2:2" x14ac:dyDescent="0.25">
      <c r="B76" s="20" t="s">
        <v>145</v>
      </c>
    </row>
    <row r="77" spans="2:2" x14ac:dyDescent="0.25">
      <c r="B77" s="20" t="s">
        <v>146</v>
      </c>
    </row>
    <row r="78" spans="2:2" x14ac:dyDescent="0.25">
      <c r="B78" s="20" t="s">
        <v>147</v>
      </c>
    </row>
    <row r="79" spans="2:2" x14ac:dyDescent="0.25">
      <c r="B79" s="20" t="s">
        <v>148</v>
      </c>
    </row>
    <row r="80" spans="2:2" x14ac:dyDescent="0.25">
      <c r="B80" s="20" t="s">
        <v>161</v>
      </c>
    </row>
    <row r="81" spans="1:2" x14ac:dyDescent="0.25">
      <c r="B81" s="21" t="s">
        <v>163</v>
      </c>
    </row>
    <row r="82" spans="1:2" x14ac:dyDescent="0.25">
      <c r="B82" s="21" t="s">
        <v>164</v>
      </c>
    </row>
    <row r="83" spans="1:2" x14ac:dyDescent="0.25">
      <c r="B83" s="21" t="s">
        <v>165</v>
      </c>
    </row>
    <row r="84" spans="1:2" x14ac:dyDescent="0.25">
      <c r="B84" s="21" t="s">
        <v>166</v>
      </c>
    </row>
    <row r="85" spans="1:2" x14ac:dyDescent="0.25">
      <c r="B85" s="21" t="s">
        <v>167</v>
      </c>
    </row>
    <row r="86" spans="1:2" x14ac:dyDescent="0.25">
      <c r="B86" s="21" t="s">
        <v>168</v>
      </c>
    </row>
    <row r="87" spans="1:2" x14ac:dyDescent="0.25">
      <c r="B87" s="21" t="s">
        <v>169</v>
      </c>
    </row>
    <row r="88" spans="1:2" x14ac:dyDescent="0.25">
      <c r="A88" s="22" t="s">
        <v>191</v>
      </c>
      <c r="B88" s="24" t="s">
        <v>170</v>
      </c>
    </row>
    <row r="89" spans="1:2" x14ac:dyDescent="0.25">
      <c r="B89" s="20" t="s">
        <v>171</v>
      </c>
    </row>
    <row r="90" spans="1:2" x14ac:dyDescent="0.25">
      <c r="B90" s="20" t="s">
        <v>172</v>
      </c>
    </row>
    <row r="91" spans="1:2" x14ac:dyDescent="0.25">
      <c r="B91" s="20" t="s">
        <v>173</v>
      </c>
    </row>
    <row r="92" spans="1:2" x14ac:dyDescent="0.25">
      <c r="B92" s="20" t="s">
        <v>174</v>
      </c>
    </row>
    <row r="93" spans="1:2" x14ac:dyDescent="0.25">
      <c r="B93" s="20" t="s">
        <v>175</v>
      </c>
    </row>
    <row r="94" spans="1:2" x14ac:dyDescent="0.25">
      <c r="B94" s="20" t="s">
        <v>176</v>
      </c>
    </row>
    <row r="95" spans="1:2" x14ac:dyDescent="0.25">
      <c r="B95" s="20" t="s">
        <v>177</v>
      </c>
    </row>
    <row r="96" spans="1:2" x14ac:dyDescent="0.25">
      <c r="B96" s="20" t="s">
        <v>178</v>
      </c>
    </row>
    <row r="97" spans="2:2" x14ac:dyDescent="0.25">
      <c r="B97" s="20" t="s">
        <v>179</v>
      </c>
    </row>
    <row r="98" spans="2:2" x14ac:dyDescent="0.25">
      <c r="B98" s="20" t="s">
        <v>180</v>
      </c>
    </row>
    <row r="99" spans="2:2" x14ac:dyDescent="0.25">
      <c r="B99" s="20" t="s">
        <v>181</v>
      </c>
    </row>
    <row r="100" spans="2:2" x14ac:dyDescent="0.25">
      <c r="B100" s="20" t="s">
        <v>182</v>
      </c>
    </row>
    <row r="101" spans="2:2" x14ac:dyDescent="0.25">
      <c r="B101" s="20" t="s">
        <v>183</v>
      </c>
    </row>
    <row r="102" spans="2:2" x14ac:dyDescent="0.25">
      <c r="B102" s="20" t="s">
        <v>184</v>
      </c>
    </row>
    <row r="103" spans="2:2" x14ac:dyDescent="0.25">
      <c r="B103" s="20" t="s">
        <v>185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2023-05-06T11:25:04Z</dcterms:modified>
</cp:coreProperties>
</file>
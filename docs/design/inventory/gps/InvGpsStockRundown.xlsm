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gps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1" i="5" l="1"/>
  <c r="G21" i="5"/>
  <c r="F21" i="5"/>
  <c r="K21" i="5" s="1"/>
  <c r="E21" i="5"/>
  <c r="I21" i="5" s="1"/>
  <c r="C21" i="5"/>
  <c r="B21" i="5"/>
  <c r="D21" i="5" s="1"/>
  <c r="U21" i="5" l="1"/>
  <c r="T21" i="5"/>
  <c r="S21" i="5"/>
  <c r="V21" i="5"/>
  <c r="H21" i="5"/>
  <c r="L15" i="1"/>
  <c r="G15" i="1"/>
  <c r="E15" i="1"/>
  <c r="H15" i="1" s="1"/>
  <c r="D15" i="1"/>
  <c r="V15" i="1" s="1"/>
  <c r="W15" i="1" l="1"/>
  <c r="O15" i="1"/>
  <c r="J15" i="1"/>
  <c r="N15" i="1"/>
  <c r="M15" i="1"/>
  <c r="I15" i="1"/>
  <c r="P15" i="1"/>
  <c r="T15" i="1"/>
  <c r="C20" i="5" l="1"/>
  <c r="B20" i="5"/>
  <c r="D20" i="5" s="1"/>
  <c r="T20" i="5" s="1"/>
  <c r="C19" i="5"/>
  <c r="B19" i="5"/>
  <c r="D19" i="5" s="1"/>
  <c r="T19" i="5" s="1"/>
  <c r="C18" i="5"/>
  <c r="B18" i="5"/>
  <c r="D18" i="5" s="1"/>
  <c r="T18" i="5" s="1"/>
  <c r="C17" i="5"/>
  <c r="B17" i="5"/>
  <c r="D17" i="5" s="1"/>
  <c r="T17" i="5" s="1"/>
  <c r="C16" i="5"/>
  <c r="B16" i="5"/>
  <c r="D16" i="5" s="1"/>
  <c r="T16" i="5" s="1"/>
  <c r="C15" i="5"/>
  <c r="B15" i="5"/>
  <c r="D15" i="5" s="1"/>
  <c r="T15" i="5" s="1"/>
  <c r="B7" i="5" l="1"/>
  <c r="B6" i="5"/>
  <c r="B2" i="5"/>
  <c r="B8" i="5" l="1"/>
  <c r="B3" i="5"/>
  <c r="G14" i="1"/>
  <c r="F20" i="5" s="1"/>
  <c r="E14" i="1"/>
  <c r="H14" i="1" s="1"/>
  <c r="E20" i="5" s="1"/>
  <c r="D14" i="1"/>
  <c r="T14" i="1" s="1"/>
  <c r="L13" i="1"/>
  <c r="G13" i="1"/>
  <c r="F19" i="5" s="1"/>
  <c r="E13" i="1"/>
  <c r="H13" i="1" s="1"/>
  <c r="E19" i="5" s="1"/>
  <c r="D13" i="1"/>
  <c r="V13" i="1" s="1"/>
  <c r="L12" i="1"/>
  <c r="G12" i="1"/>
  <c r="F18" i="5" s="1"/>
  <c r="E12" i="1"/>
  <c r="H12" i="1" s="1"/>
  <c r="E18" i="5" s="1"/>
  <c r="D12" i="1"/>
  <c r="T12" i="1" s="1"/>
  <c r="L11" i="1"/>
  <c r="G11" i="1"/>
  <c r="F17" i="5" s="1"/>
  <c r="E11" i="1"/>
  <c r="H11" i="1" s="1"/>
  <c r="E17" i="5" s="1"/>
  <c r="D11" i="1"/>
  <c r="V11" i="1" s="1"/>
  <c r="L10" i="1"/>
  <c r="G10" i="1"/>
  <c r="F16" i="5" s="1"/>
  <c r="E10" i="1"/>
  <c r="H10" i="1" s="1"/>
  <c r="E16" i="5" s="1"/>
  <c r="D10" i="1"/>
  <c r="T10" i="1" s="1"/>
  <c r="L9" i="1"/>
  <c r="G9" i="1"/>
  <c r="F15" i="5" s="1"/>
  <c r="E9" i="1"/>
  <c r="H9" i="1" s="1"/>
  <c r="E15" i="5" s="1"/>
  <c r="D9" i="1"/>
  <c r="V9" i="1" s="1"/>
  <c r="H16" i="5" l="1"/>
  <c r="G16" i="5"/>
  <c r="S16" i="5" s="1"/>
  <c r="U16" i="5"/>
  <c r="K16" i="5"/>
  <c r="I16" i="5"/>
  <c r="U18" i="5"/>
  <c r="K18" i="5"/>
  <c r="I18" i="5"/>
  <c r="H18" i="5"/>
  <c r="G18" i="5"/>
  <c r="S18" i="5" s="1"/>
  <c r="H20" i="5"/>
  <c r="G20" i="5"/>
  <c r="S20" i="5" s="1"/>
  <c r="U20" i="5"/>
  <c r="K20" i="5"/>
  <c r="I20" i="5"/>
  <c r="G15" i="5"/>
  <c r="S15" i="5" s="1"/>
  <c r="U15" i="5"/>
  <c r="K15" i="5"/>
  <c r="I15" i="5"/>
  <c r="H15" i="5"/>
  <c r="I17" i="5"/>
  <c r="H17" i="5"/>
  <c r="G17" i="5"/>
  <c r="S17" i="5" s="1"/>
  <c r="U17" i="5"/>
  <c r="K17" i="5"/>
  <c r="G19" i="5"/>
  <c r="S19" i="5" s="1"/>
  <c r="U19" i="5"/>
  <c r="K19" i="5"/>
  <c r="I19" i="5"/>
  <c r="H19" i="5"/>
  <c r="L19" i="5"/>
  <c r="V19" i="5"/>
  <c r="L17" i="5"/>
  <c r="V17" i="5"/>
  <c r="V20" i="5"/>
  <c r="L20" i="5"/>
  <c r="I12" i="1"/>
  <c r="L18" i="5"/>
  <c r="V18" i="5"/>
  <c r="M14" i="1"/>
  <c r="I14" i="1"/>
  <c r="P9" i="1"/>
  <c r="P13" i="1"/>
  <c r="W9" i="1"/>
  <c r="M12" i="1"/>
  <c r="W13" i="1"/>
  <c r="O13" i="1"/>
  <c r="J13" i="1"/>
  <c r="N13" i="1"/>
  <c r="I13" i="1"/>
  <c r="M13" i="1"/>
  <c r="N12" i="1"/>
  <c r="V12" i="1"/>
  <c r="N14" i="1"/>
  <c r="V14" i="1"/>
  <c r="J12" i="1"/>
  <c r="O12" i="1"/>
  <c r="W12" i="1"/>
  <c r="T13" i="1"/>
  <c r="J14" i="1"/>
  <c r="O14" i="1"/>
  <c r="W14" i="1"/>
  <c r="P12" i="1"/>
  <c r="P14" i="1"/>
  <c r="P11" i="1"/>
  <c r="W11" i="1"/>
  <c r="O11" i="1"/>
  <c r="J11" i="1"/>
  <c r="N11" i="1"/>
  <c r="I11" i="1"/>
  <c r="M11" i="1"/>
  <c r="M10" i="1"/>
  <c r="N10" i="1"/>
  <c r="I10" i="1"/>
  <c r="W10" i="1"/>
  <c r="O10" i="1"/>
  <c r="J10" i="1"/>
  <c r="M9" i="1"/>
  <c r="T9" i="1"/>
  <c r="T11" i="1"/>
  <c r="V10" i="1"/>
  <c r="I9" i="1"/>
  <c r="N9" i="1"/>
  <c r="P10" i="1"/>
  <c r="J9" i="1"/>
  <c r="O9" i="1"/>
  <c r="B6" i="1" l="1"/>
  <c r="V16" i="5" l="1"/>
  <c r="L16" i="5"/>
  <c r="V15" i="5" l="1"/>
  <c r="L15" i="5"/>
  <c r="Q3" i="1" l="1"/>
  <c r="B4" i="5" s="1"/>
  <c r="B5" i="5" s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7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7" i="1"/>
  <c r="T7" i="1" l="1"/>
  <c r="W17" i="1"/>
  <c r="G6" i="1" l="1"/>
  <c r="K13" i="5"/>
  <c r="L13" i="5"/>
  <c r="H13" i="5"/>
  <c r="V13" i="5"/>
  <c r="U13" i="5"/>
  <c r="S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4" i="1" l="1"/>
  <c r="C7" i="1"/>
  <c r="P17" i="1"/>
  <c r="N17" i="1"/>
  <c r="O17" i="1"/>
  <c r="I17" i="1"/>
  <c r="J17" i="1"/>
  <c r="Q7" i="1" l="1"/>
  <c r="M68" i="3" s="1"/>
  <c r="L7" i="1"/>
  <c r="G68" i="3" s="1"/>
  <c r="K68" i="3"/>
  <c r="J68" i="3"/>
  <c r="M17" i="1"/>
  <c r="K1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<sst xmlns="http://schemas.openxmlformats.org/spreadsheetml/2006/main" count="459" uniqueCount="370">
  <si>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</si>
  <si>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</si>
  <si>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</si>
  <si>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</si>
  <si>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</si>
  <si>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</si>
  <si>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</si>
  <si>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</si>
  <si>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</si>
  <si>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</si>
  <si>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</si>
  <si>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</si>
  <si>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</si>
  <si>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</si>
  <si>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</si>
  <si>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</si>
  <si>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</si>
  <si>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</si>
  <si>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</si>
  <si>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</si>
  <si>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</si>
  <si>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</si>
  <si>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</si>
  <si>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</si>
  <si>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</si>
  <si>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</si>
  <si>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</si>
  <si>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</si>
  <si>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</si>
  <si>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</si>
  <si>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</si>
  <si>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</si>
  <si>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</si>
  <si>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</si>
  <si>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</si>
  <si>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</si>
  <si>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</si>
  <si>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</si>
  <si>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</si>
  <si>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</si>
  <si>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</si>
  <si>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</si>
  <si>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</si>
  <si>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</si>
  <si>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</si>
  <si>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</si>
  <si>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</si>
  <si>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</si>
  <si>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</si>
  <si>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</si>
  <si>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</si>
  <si>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</si>
  <si>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</si>
  <si>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</si>
  <si>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</si>
  <si>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</si>
  <si>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</si>
  <si>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</si>
  <si>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</si>
  <si>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</si>
  <si>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</si>
  <si>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</si>
  <si>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</si>
  <si>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</si>
  <si>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</si>
  <si>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</si>
  <si>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</si>
  <si>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</si>
  <si>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</si>
  <si>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</si>
  <si>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</si>
  <si>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</si>
  <si>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</si>
  <si>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</si>
  <si>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</si>
  <si>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</si>
  <si>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</si>
  <si>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</si>
  <si>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</si>
  <si>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</si>
  <si>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</si>
  <si>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</si>
  <si>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</si>
  <si>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</si>
  <si>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</si>
  <si>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</si>
  <si>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</si>
  <si>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</si>
  <si>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</si>
  <si>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</si>
  <si>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</si>
  <si>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</si>
  <si>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</si>
  <si>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</si>
  <si>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</si>
  <si>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</si>
  <si>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</si>
  <si>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</si>
  <si>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</si>
  <si>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</si>
  <si>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</si>
  <si>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</si>
  <si>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</si>
  <si>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</si>
  <si>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</si>
  <si>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</si>
  <si>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</si>
  <si>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</si>
  <si>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</si>
  <si>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</si>
  <si>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</si>
  <si>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</si>
  <si>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</si>
  <si>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</si>
  <si>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</si>
  <si>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</si>
  <si>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</si>
  <si>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</si>
  <si>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</si>
  <si>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</si>
  <si>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</si>
  <si>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</si>
  <si>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</si>
  <si>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</si>
  <si>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</si>
  <si>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</si>
  <si>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</si>
  <si>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</si>
  <si>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</si>
  <si>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</si>
  <si>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</si>
  <si>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</si>
  <si>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</si>
  <si>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</si>
  <si>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</si>
  <si>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</si>
  <si>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</si>
  <si>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</si>
  <si>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</si>
  <si>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</si>
  <si>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</si>
  <si>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</si>
  <si>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</si>
  <si>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</si>
  <si>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</si>
  <si>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</si>
  <si>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</si>
  <si>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</si>
  <si>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</si>
  <si>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</si>
  <si>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</si>
  <si>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</si>
  <si>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</si>
  <si>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</si>
  <si>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</si>
  <si>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</si>
  <si>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</si>
  <si>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</si>
  <si>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</si>
  <si>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</si>
  <si>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</si>
  <si>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</si>
  <si>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</si>
  <si>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</si>
  <si>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</si>
  <si>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</si>
  <si>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</si>
  <si>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</si>
  <si>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</si>
  <si>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</si>
  <si>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</si>
  <si>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</si>
  <si>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</si>
  <si>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</si>
  <si>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</si>
  <si>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</si>
  <si>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</si>
  <si>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</si>
  <si>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</si>
  <si>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</si>
  <si>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</si>
  <si>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</si>
  <si>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</si>
  <si>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</si>
  <si>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</si>
  <si>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</si>
  <si>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</si>
  <si>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</si>
  <si>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</si>
  <si>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</si>
  <si>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</si>
  <si>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</si>
  <si>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</si>
  <si>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</si>
  <si>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</si>
  <si>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</si>
  <si>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</si>
  <si>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</si>
  <si>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</si>
  <si>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</si>
  <si>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</si>
  <si>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</si>
  <si>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</si>
  <si>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</si>
  <si>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</si>
  <si>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</si>
  <si>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</si>
  <si>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</si>
  <si>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</si>
  <si>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</si>
  <si>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</si>
  <si>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</si>
  <si>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</si>
  <si>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</si>
  <si>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</si>
  <si>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</si>
  <si>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</si>
  <si>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</si>
  <si>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</si>
  <si>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</si>
  <si>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</si>
  <si>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</si>
  <si>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</si>
  <si>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</si>
  <si>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</si>
  <si>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</si>
  <si>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</si>
  <si>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</si>
  <si>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</si>
  <si>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</si>
  <si>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</si>
  <si>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</si>
  <si>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</si>
  <si>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</si>
  <si>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</si>
  <si>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</si>
  <si>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</si>
  <si>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</si>
  <si>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</si>
  <si>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</si>
  <si>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</si>
  <si>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</si>
  <si>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</si>
  <si>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</si>
  <si>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</si>
  <si>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</si>
  <si>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</si>
  <si>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</si>
  <si>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</si>
  <si>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</si>
  <si>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</si>
  <si>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</si>
  <si>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</si>
  <si>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</si>
  <si>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</si>
  <si>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</si>
  <si>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</si>
  <si>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</si>
  <si>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</si>
  <si>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</si>
  <si>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</si>
  <si>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</si>
  <si>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</si>
  <si>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</si>
  <si>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</si>
  <si>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</si>
  <si>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</si>
  <si>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</si>
  <si>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</si>
  <si>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</si>
  <si>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</si>
  <si>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</si>
  <si>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</si>
  <si>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</si>
  <si>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</si>
  <si>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</si>
  <si>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</si>
  <si>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</si>
  <si>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</si>
  <si>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</si>
  <si>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</si>
  <si>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</si>
  <si>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</si>
  <si>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</si>
  <si>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</si>
  <si>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</si>
  <si>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</si>
  <si>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</si>
  <si>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</si>
  <si>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</si>
  <si>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</si>
  <si>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</si>
  <si>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</si>
  <si>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</si>
  <si>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</si>
  <si>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</si>
  <si>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</si>
  <si>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</si>
  <si>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</si>
  <si>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</si>
  <si>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</si>
  <si>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</si>
  <si>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</si>
  <si>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</si>
  <si>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</si>
  <si>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</si>
  <si>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</si>
  <si>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</si>
  <si>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</si>
  <si>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</si>
  <si>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</si>
  <si>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</si>
  <si>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</si>
  <si>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</si>
  <si>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</si>
  <si>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</si>
  <si>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</si>
  <si>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</si>
  <si>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</si>
  <si>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</si>
  <si>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</si>
  <si>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</si>
  <si>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</si>
  <si>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</si>
  <si>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</si>
  <si>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</si>
  <si>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</si>
  <si>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</si>
  <si>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</si>
  <si>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</si>
  <si>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</si>
  <si>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</si>
  <si>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</si>
  <si>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</si>
  <si>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</si>
  <si>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</si>
  <si>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</si>
  <si>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</si>
  <si>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</si>
  <si>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</si>
  <si>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</si>
  <si>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</si>
  <si>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</si>
  <si>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</si>
  <si>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</si>
  <si>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</si>
  <si>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</si>
  <si>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</si>
  <si>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</si>
  <si>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</si>
  <si>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</si>
  <si>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</si>
  <si>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</si>
  <si>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</si>
  <si>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VARCHAR(20)</t>
  </si>
  <si>
    <t>INT</t>
  </si>
  <si>
    <t>VARCHAR(200)</t>
  </si>
  <si>
    <t>PART_NO</t>
  </si>
  <si>
    <t>PART_NAME</t>
  </si>
  <si>
    <t>PART_ID</t>
  </si>
  <si>
    <t>MATERIAL_ID</t>
  </si>
  <si>
    <t>QTY</t>
  </si>
  <si>
    <t>WORKING_DATE</t>
  </si>
  <si>
    <t>BIGINT</t>
  </si>
  <si>
    <t>DATETIME</t>
  </si>
  <si>
    <t>Drm Stock Rundown</t>
  </si>
  <si>
    <t>InvGpsStockRundown</t>
  </si>
  <si>
    <t>GpsStockRundown</t>
  </si>
  <si>
    <t>TRANSACTION_ID</t>
  </si>
  <si>
    <t>Inventory.GPS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</si>
</sst>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msPublish/docs/design/inventory/drm/InvDrmStockPartTransac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8">
          <cell r="G18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byte?</v>
          </cell>
        </row>
        <row r="7">
          <cell r="A7" t="str">
            <v>smallint</v>
          </cell>
          <cell r="B7" t="str">
            <v>int?</v>
          </cell>
        </row>
        <row r="8">
          <cell r="A8" t="str">
            <v>int</v>
          </cell>
          <cell r="B8" t="str">
            <v>int?</v>
          </cell>
        </row>
        <row r="9">
          <cell r="A9" t="str">
            <v>bigint</v>
          </cell>
          <cell r="B9" t="str">
            <v>long?</v>
          </cell>
        </row>
        <row r="10">
          <cell r="A10" t="str">
            <v>smallmoney</v>
          </cell>
          <cell r="B10" t="str">
            <v>decimal?</v>
          </cell>
        </row>
        <row r="11">
          <cell r="A11" t="str">
            <v>money</v>
          </cell>
          <cell r="B11" t="str">
            <v>decimal?</v>
          </cell>
        </row>
        <row r="12">
          <cell r="A12" t="str">
            <v>numeric</v>
          </cell>
          <cell r="B12" t="str">
            <v>decimal?</v>
          </cell>
        </row>
        <row r="13">
          <cell r="A13" t="str">
            <v>decimal</v>
          </cell>
          <cell r="B13" t="str">
            <v>decimal?</v>
          </cell>
        </row>
        <row r="14">
          <cell r="A14" t="str">
            <v>real</v>
          </cell>
          <cell r="B14" t="str">
            <v>decimal?</v>
          </cell>
        </row>
        <row r="15">
          <cell r="A15" t="str">
            <v>float</v>
          </cell>
          <cell r="B15" t="str">
            <v>decimal?</v>
          </cell>
        </row>
        <row r="16">
          <cell r="A16" t="str">
            <v>smalldatetime</v>
          </cell>
          <cell r="B16" t="str">
            <v>DateTime?</v>
          </cell>
        </row>
        <row r="17">
          <cell r="A17" t="str">
            <v>datetime</v>
          </cell>
          <cell r="B17" t="str">
            <v>DateTime?</v>
          </cell>
        </row>
        <row r="18">
          <cell r="A18" t="str">
            <v>datetime2</v>
          </cell>
          <cell r="B18" t="str">
            <v>DateTime?</v>
          </cell>
        </row>
        <row r="19">
          <cell r="A19" t="str">
            <v>date</v>
          </cell>
          <cell r="B19" t="str">
            <v>DateTime?</v>
          </cell>
        </row>
        <row r="20">
          <cell r="A20" t="str">
            <v>time</v>
          </cell>
          <cell r="B20" t="str">
            <v>TimeSpan?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B78" sqref="B78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[Table("InvGpsStockRundown")]
	public class InvGpsStockRundown: FullAuditedEntity&lt;long&gt;, IEntity&lt;long&gt;	
	{
		public const int MaxPartNoLength = 20;
		public const int MaxPartNameLength = 200;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	public virtual long? TransactionId { get; set; }
	}
}
</v>
      </c>
      <c r="D68" s="48" t="str">
        <f>A.Backend!O7</f>
        <v xml:space="preserve">		public const string Pages_Inventory_GPS_GpsStockRundown = "Pages.Inventory.GPS.GpsStockRundown";
		public const string Pages_Inventory_GPS_GpsStockRundown_CreateEdit = "Pages.Inventory.GPS.GpsStockRundown.CreateEdit";
		public const string Pages_Inventory_GPS_GpsStockRundown_Delete = "Pages.Inventory.GPS.GpsStockRundown.Delete";
</v>
      </c>
      <c r="E68" s="48" t="str">
        <f>A.Backend!N7</f>
        <v xml:space="preserve">		var perInvGpsStockRundown = PARENTS.CreateChildPermission(AppPermissions.Pages_Inventory_GPS_GpsStockRundown, L( "InventoryGPSGpsStockRundown"), multiTenancySides: MultiTenancySides.Tenant);
		perInvGpsStockRundown.CreateChildPermission(AppPermissions.Pages_Inventory_GPS_GpsStockRundown_CreateEdit, L( "InventoryGPSGpsStockRundownCreateEdit"), multiTenancySides: MultiTenancySides.Tenant);
		perInvGpsStockRundown.CreateChildPermission(AppPermissions.Pages_Inventory_GPS_GpsStockRundown_Delete, L( "InventoryGPSGpsStockRundownDelete"), multiTenancySides: MultiTenancySides.Tenant);</v>
      </c>
      <c r="F68" s="48" t="str">
        <f>A.Backend!K7</f>
        <v>public virtual DbSet&lt;InvGpsStockRundown&gt; InvGpsStockRundowns { get; set; }</v>
      </c>
      <c r="G68" s="48" t="str">
        <f ca="1">A.Backend!L7</f>
        <v xml:space="preserve">namespace prod.Inventory.GPS
{
	public class InvGpsStockRundownConsts	
	{
		public const int MaxPartNoLength = 20;
		public const int MaxPartNameLength = 200;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prod.Inventory.GPS.Dto
{
	public class InvGpsStockRundownDto : EntityDto&lt;long?&gt;	
	{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long? TransactionId { get; set; }
	}
	public class CreateOrEditInvGpsStockRundownDto : EntityDto&lt;long?&gt;	
	{
		[StringLength(InvGpsStockRundownConsts.MaxPartNoLength)]
		public virtual string PartNo { get; set; }
		[StringLength(InvGpsStockRundownConsts.MaxPartNameLength)]
		public virtual string PartName { get; set; }
		public virtual long? PartId { get; set; }
		public virtual long? MaterialId { get; set; }
		public virtual int? Qty { get; set; }
		public virtual DateTime? WorkingDate { get; set; }
		public virtual long? TransactionId { get; set; }
	}
	public class GetInvGpsStockRundownInput : PagedAndSortedResultRequestDto	
	{
		public virtual string PartNo { get; set; }
		public virtual string PartName { get; set; }
	}
}
</v>
      </c>
      <c r="I68" s="48" t="str">
        <f ca="1">A.Backend!R7</f>
        <v xml:space="preserve">using Abp.Application.Services.Dto;
using System;
using System.ComponentModel.DataAnnotations;
namespace prod.Inventory.GPS.Dto
{
	public class InvGpsStockRundownExportInput{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long? TransactionId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vovina.Inventory.GPS.Dto;
namespace prod.Inventory.GPS
{
	public interface IInvGpsStockRundownAppService : IApplicationService
	{
		Task&lt;PagedResultDto&lt;InvGpsStockRundownDto&gt;&gt; GetAll(GetInvGpsStockRundownInput input);
		Task CreateOrEdit(CreateOrEditInvGpsStockRundownDto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IInvGpsStockRundownExcelExporter : IApplicationService
	{
		FileDto ExportToFile(List&lt;InvGpsStockRundownDto&gt; invgpsstockrundown);
	}
}
</v>
      </c>
      <c r="L68" s="48" t="str">
        <f ca="1">A.Backend!T7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InvGpsStockRundownExcelExporter : NpoiExcelExporterBase, IInvGpsStockRundownExcelExporter
    {
        public InvGpsStockRundownExcelExporter(ITempFileCacheManager tempFileCacheManager) : base(tempFileCacheManager) { }
        public FileDto ExportToFile(List&lt;InvGpsStockRundownDto&gt; gpsstockrundown)
        {
            return CreateExcelPackage(
				"InventoryGPSGpsStockRundown.xlsx",
				excelPackage =&gt;
				 {
					var sheet = excelPackage.CreateSheet("GpsStockRundown");
					AddHeader(
								sheet,
								("PartNo"),
								("PartName"),
								("PartId"),
								("MaterialId"),
								("Qty"),
								("WorkingDate"),
								("TransactionId"),
							   );
					AddObjects(
						 sheet, 1, gpsstockrundown,                                       
								_ =&gt; _.PartNo,
								_ =&gt; _.PartName,
								_ =&gt; _.PartId,
								_ =&gt; _.MaterialId,
								_ =&gt; _.Qty,
								_ =&gt; _.WorkingDate,
								_ =&gt; _.TransactionId,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[AbpAuthorize(AppPermissions.Pages_Inventory_GPS_GpsStockRundown)]
    public class InvGpsStockRundownAppService : vovinaAppServiceBase, IInvGpsStockRundownAppService
    {
        private readonly IDapperRepository&lt;InvGpsStockRundown, long&gt; _dapperRepo;
        private readonly IRepository&lt;InvGpsStockRundown, long&gt; _repo;
        private readonly IInvGpsStockRundownExcelExporter _calendarListExcelExporter;
        public InvGpsStockRundownAppService(IRepository&lt;InvGpsStockRundown,long&gt; repo, 
                                         IDapperRepository&lt;InvGpsStockRundown,long&gt; dapperRepo,
                                        IInvGpsStockRundownExcelExporter calendarListExcelExporter
            )
        {
            _repo = repo;
            _dapperRepo = dapperRepo;
            _calendarListExcelExporter = calendarListExcelExporter;
        }
        [AbpAuthorize(AppPermissions.Pages_Inventory_GPS_GpsStockRundown_CreateEdit)]
        public async Task CreateOrEdit(CreateOrEditInvGpsStockRundownDto input)
        {
            if (input.Id == null) await Create(input);
            else await Update(input);
        }
        //CREATE
        private async Task Create(CreateOrEditInvGpsStockRundownDto input)
        {          
            var mainObj = ObjectMapper.Map&lt;InvGpsStockRundown&gt;(input);
            await CurrentUnitOfWork.GetDbContext&lt;vovinaDbContext&gt;().AddAsync(mainObj);
        }
        // EDIT
        private async Task Update(CreateOrEditInvGpsStockRundownDto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[AbpAuthorize(AppPermissions.Pages_Inventory_GPS_GpsStockRundown_Delete)]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Task&lt;PagedResultDto&lt;InvGpsStockRundownDto&gt;&gt; GetAll(GetInvGpsStockRundownInput input)
        {
            var filtered = _repo.GetAll()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InvGpsStockRundownDto
                        {
							Id = o.Id,
							PartNo = o.PartNo,
							PartName = o.PartName,
							PartId = o.PartId,
							MaterialId = o.MaterialId,
							Qty = o.Qty,
							WorkingDate = o.WorkingDate,
							TransactionId = o.TransactionId,
                        };
            var totalCount = await filtered.CountAsync();
			var paged = system.PageBy(input);
            return new PagedResultDto&lt;InvGpsStockRundownDto&gt;(
                totalCount,
                 await paged.ToListAsync()
            );
        }
        public async Task&lt;FileDto&gt; GetGpsStockRundownToExcel(InvGpsStockRundownExportInput input)
        {
            var query = from o in _repo.GetAll()
                        select new InvGpsStockRundownDto
                        {
							Id = o.Id,
							PartNo = o.PartNo,
							PartName = o.PartName,
							PartId = o.PartId,
							MaterialId = o.MaterialId,
							Qty = o.Qty,
							WorkingDate = o.WorkingDate,
							TransactionId = o.TransactionId,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_dapperRepo.ExecuteAsync(InvGpsStockRundownConsts.SP_MST_WPT_CALENDAR_GENERATE);
       // }
    }
}</v>
      </c>
      <c r="N68" s="58" t="str">
        <f>A.Backend!U7</f>
        <v xml:space="preserve">  configuration.CreateMap&lt;InvGpsStockRundownDto, InvGpsStockRundown&gt;();
  configuration.CreateMap&lt;InvGpsStockRundown, InvGpsStockRundownDto&gt;();
  configuration.CreateMap&lt;CreateOrEditInvGpsStockRundownDto, InvGpsStockRundown&gt;();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gpsstockrundown</v>
      </c>
      <c r="C73" s="66" t="str">
        <f>"create folder " &amp;B73</f>
        <v>create folder gpsstockrundown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gpsstockrundown.component.ts</v>
      </c>
      <c r="D74" s="28" t="str">
        <f>B.Frontend!I14</f>
        <v>gpsstockrundown.component.html</v>
      </c>
      <c r="E74" s="28" t="str">
        <f>B.Frontend!J14</f>
        <v>gpsstockrundown.component.less</v>
      </c>
      <c r="F74" s="28" t="str">
        <f>B.Frontend!K14</f>
        <v>create-or-edit-gpsstockrundown-modal.component.html</v>
      </c>
      <c r="G74" s="28" t="str">
        <f>B.Frontend!L14</f>
        <v>create-or-edit-gpsstockrundown-modal.component.ts</v>
      </c>
      <c r="H74" s="28" t="str">
        <f>B.Frontend!M14</f>
        <v>create-or-edit-gpsstockrundown-modal.component.less</v>
      </c>
      <c r="I74" s="28" t="str">
        <f>B.Frontend!N14</f>
        <v>gpsstockrundown.module.ts</v>
      </c>
      <c r="J74" s="28" t="str">
        <f>B.Frontend!O14</f>
        <v>gpsstockrundown-routing.module.ts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InvGpsStockRundownDto, InvGpsStockRundownServiceProxy } from '@shared/service-proxies/service-proxies';
import { finalize } from 'rxjs/internal/operators/finalize';
import { CreateOrEditGpsStockRundownModalComponent } from './create-or-edit-gpsstockrundown-modal.component';
import { DatePipe } from '@angular/common';
import { FileDownloadService } from '@shared/utils/file-download.service';
import ceil from 'lodash-es/ceil';
import { Paginator } from 'primeng/paginator';
@Component({
    templateUrl: './gpsstockrundown.component.html',
    styleUrls: ['./gpsstockrundown.component.less'],
})
export class GpsStockRundownComponent extends AppComponentBase implements OnInit {
    @ViewChild('createOrEditModalGpsStockRundown', { static: true }) createOrEditModalGpsStockRundown:| CreateOrEditGpsStockRundownModalComponent|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InvGpsStockRundownDto = new InvGpsStockRundownDto();
    saveSelectedRow: InvGpsStockRundownDto = new InvGpsStockRundownDto();
    datas: InvGpsStockRundownDto = new InvGpsStockRundownDto();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partId
	materialId
	qty
	workingDate
	transactionId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InvGpsStockRundownServiceProxy,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this.l('Transaction Id'),headerTooltip: this.l('Transaction Id'),field: 'transactionId',flex: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this.partId,
			this.materialId,
			this.qty,
			this.workingDate,
			this.transactionId,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this.partName = '',
		this.partId = '',
		this.materialId = '',
		this.qty = '',
		this.workingDate = '',
		this.transactionId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this.partId,
			this.materialId,
			this.qty,
			this.workingDate,
			this.transactionId,
			'',
            this.paginationParams.skipCount,
            this.paginationParams.pageSize
        );
    }
    onChangeRowSelection(params: { api: { getSelectedRows: () =&gt; InvGpsStockRundownDto[] } }) {
        this.saveSelectedRow = params.api.getSelectedRows()[0] ?? new InvGpsStockRundownDto();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InvGpsStockRundownDto):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this._service.getGpsStockRundownToExcel(
			this.partNo,
			this.partName,
			this.partId,
			this.materialId,
			this.qty,
			this.workingDate,
			this.transactionId,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Rundown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(click)="createOrEditModalGpsStockRundown.show()"&gt;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(click)="createOrEditModalGpsStockRundown.show(selectedRow)"&gt;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&lt;create-or-edit-gpsstockrundown-modal
    #createOrEditModalGpsStockRundown
    (modalSave)="callBackDataGrid(dataParams)"
    (modalClose)="onChangeRowSelection(dataParams)"
&gt;
&lt;/create-or-edit-gpsstockrundown-modal&gt;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#createOrEditModalGpsStockRundown="bs-modal"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GpsStockRundown')}}&lt;/h3&gt;
                    &lt;h3 *ngIf="!rowdata.id"&gt;{{('Create New GpsStockRundown')}}&lt;/h3&gt;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CreateOrEditInvGpsStockRundownDto, InvGpsStockRundownServiceProxy } from '@shared/service-proxies/service-proxies';
import { BsDatepickerDirective } from 'ngx-bootstrap/datepicker';
@Component({
    selector: 'create-or-edit-gpsstockrundown-modal',
    templateUrl: './create-or-edit-gpsstockrundown-modal.component.html',
    styleUrls: ['./create-or-edit-gpsstockrundown-modal.component.less']
    })
export class CreateOrEditGpsStockRundownModalComponent extends AppComponentBase {
    @ViewChild('createOrEditModalGpsStockRundown',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CreateOrEditInvGpsStockRundownDto = new CreateOrEditInvGpsStockRundownDto();
    active: boolean = false;
    saving: boolean = false;
    _: boolean;
    constructor(
        injector: Injector,
        private _mstwptGpsStockRundownService: InvGpsStockRundownServiceProxy,
    ) 
    {
        super(injector);
    }
    show(rowdata?: CreateOrEditInvGpsStockRundownDto): void {
        if (!rowdata) this.rowdata = new CreateOrEditInvGpsStockRundownDto();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this._mstwptGpsStockRundownService.createOrEdit(this.rowdata)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GpsStockRundownRoutingModule } from './gpsstockrundown-routing.module';
import { GpsStockRundownComponent } from './gpsstockrundown.component';
import { CreateOrEditGpsStockRundownModalComponent } from './create-or-edit-gpsstockrundown-modal.component';
@NgModule({
    declarations: [
       GpsStockRundownComponent, 
        CreateOrEditGpsStockRundownModalComponent
    ],
    imports: [
        AppSharedModule, GpsStockRundownRoutingModule]
})
export class GpsStockRundownModule {}</v>
      </c>
      <c r="J75" s="46" t="str">
        <f>B.Frontend!O10</f>
        <v>import {NgModule} from '@angular/core';
import {RouterModule, Routes} from '@angular/router';
import { GpsStockRundownComponent } from './gpsstockrundown.component';
const routes: Routes = [{
    path: '',
    component: GpsStockRundownComponent,
    pathMatch: 'full'
}];
@NgModule({
    imports: [RouterModule.forChild(routes)],
    exports: [RouterModule],
})
export class GpsStockRundownRoutingModule {}</v>
      </c>
      <c r="K75" s="46" t="str">
        <f>B.Frontend!P10</f>
        <v xml:space="preserve"> new AppMenuItem("GpsStockRundown", "Pages.Inventory.GPS.GpsStockRundown", "flaticon-book",   "/app/main/inventory/gps/gpsstockrundown"),</v>
      </c>
      <c r="L75" s="47" t="str">
        <f>B.Frontend!Q10</f>
        <v>{
    path: 'inventory/gps/gpsstockrundown',
    loadChildren: () =&gt; import('./inventory/gps/gpsstockrundown/gpsstockrundown.module').then(m =&gt; m.GpsStockRundownModule),
    data: { permission: 'Pages.Inventory.GPS.GpsStockRundown' }
},</v>
      </c>
      <c r="M75" s="45" t="str">
        <f>B.Frontend!R10</f>
        <v>ApiServiceProxies.InvGpsStockRundownServiceProxy,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workbookViewId="0">
      <pane xSplit="1" topLeftCell="B1" activePane="topRight" state="frozen"/>
      <selection pane="topRight" activeCell="A15" sqref="A15"/>
    </sheetView>
  </sheetViews>
  <sheetFormatPr defaultColWidth="9.28515625" defaultRowHeight="15" x14ac:dyDescent="0.25"/>
  <cols>
    <col min="1" max="1" width="20.71093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71093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71093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28515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28515625" style="7" customWidth="1"/>
    <col min="23" max="23" width="27.7109375" style="8" customWidth="1"/>
    <col min="24" max="16384" width="9.28515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vovina.Inventory.GPS.Dto;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369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366</v>
      </c>
      <c r="C3" s="9" t="s">
        <v>41</v>
      </c>
      <c r="D3" s="9" t="s">
        <v>42</v>
      </c>
      <c r="E3" s="9" t="s">
        <v>37</v>
      </c>
      <c r="F3" s="10" t="str">
        <f>"J"&amp;COUNTA($A:$A)</f>
        <v>J15</v>
      </c>
      <c r="G3" s="4" t="s">
        <v>54</v>
      </c>
      <c r="H3" s="9" t="str">
        <f>"I"&amp;COUNTA($A:$A)</f>
        <v>I15</v>
      </c>
      <c r="I3" s="9" t="str">
        <f>REPT(CHAR(9),2)&amp;"[Required]"&amp;"
"</f>
        <v xml:space="preserve">		[Required]
</v>
      </c>
      <c r="J3" s="10" t="str">
        <f>"L"&amp;COUNTA($A:$A)</f>
        <v>L15</v>
      </c>
      <c r="K3" s="5" t="s">
        <v>53</v>
      </c>
      <c r="L3" s="10" t="str">
        <f>"M"&amp;COUNTA($A:$A)</f>
        <v>M15</v>
      </c>
      <c r="M3" s="10" t="str">
        <f>"N"&amp;COUNTA($A:$A)</f>
        <v>N15</v>
      </c>
      <c r="N3" s="10" t="str">
        <f>"O"&amp;COUNTA($A:$A)</f>
        <v>O15</v>
      </c>
      <c r="O3" s="10" t="str">
        <f>"P"&amp;COUNTA($A:$A)</f>
        <v>P15</v>
      </c>
      <c r="Q3" s="10" t="str">
        <f>RIGHT(B2,(LEN(B2)-FIND(".",B2,1)))</f>
        <v>GPS</v>
      </c>
      <c r="R3" s="29" t="str">
        <f>REPT(CHAR(9),1)&amp;"public class "&amp;B3&amp;"ExportInput"&amp;C3</f>
        <v xml:space="preserve">	public class InvGpsStockRundownExportInput{
</v>
      </c>
      <c r="S3" s="10" t="str">
        <f>"namespace "&amp;$B$6&amp;".Exporting
"&amp;$C$3</f>
        <v xml:space="preserve">namespace prod.Inventory.GPS.Exporting
{
</v>
      </c>
      <c r="T3" s="10" t="str">
        <f>"T"&amp;COUNTA($A:$A)</f>
        <v>T15</v>
      </c>
      <c r="V3" s="10" t="str">
        <f>"V"&amp;COUNTA($A:$A)</f>
        <v>V15</v>
      </c>
      <c r="W3" s="9" t="str">
        <f>"W"&amp;COUNTA($A:$A)</f>
        <v>W15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15" customHeight="1" x14ac:dyDescent="0.25">
      <c r="A6" s="1" t="s">
        <v>6</v>
      </c>
      <c r="B6" s="9" t="str">
        <f>"prod."&amp;B2</f>
        <v>prod.Inventory.GPS</v>
      </c>
      <c r="C6" s="10" t="str">
        <f>"namespace "&amp;$B$6&amp;"
"&amp;$C$3</f>
        <v xml:space="preserve">namespace prod.Inventory.GPS
{
</v>
      </c>
      <c r="D6" s="10" t="str">
        <f>REPT(CHAR(9),1)&amp;"public class "&amp;B3&amp;G3&amp;REPT(CHAR(9),1)&amp;"
"&amp;REPT(CHAR(9),1)&amp;C3</f>
        <v xml:space="preserve">	public class InvGpsStockRundown: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InvGpsStockRundownConsts	
	{
</v>
      </c>
      <c r="F6" s="10" t="str">
        <f>REPT(CHAR(9),1)&amp;"public class "&amp;B3&amp;"Dto"&amp;K3&amp;REPT(CHAR(9),1)&amp;"
"&amp;REPT(CHAR(9),1)&amp;C3</f>
        <v xml:space="preserve">	public class InvGpsStockRundownDto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CreateOrEditInvGpsStockRundownDto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GetInvGpsStockRundownInput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15" customHeight="1" x14ac:dyDescent="0.25">
      <c r="A7" s="1" t="s">
        <v>13</v>
      </c>
      <c r="B7" s="9" t="str">
        <f>B3</f>
        <v>InvGpsStockRundown</v>
      </c>
      <c r="C7" s="10" t="str">
        <f>REPT(CHAR(9),1)&amp;"[Table("""&amp;B7&amp;""")]"&amp;"
"</f>
        <v xml:space="preserve">	[Table("InvGpsStockRundown")]
</v>
      </c>
      <c r="D7" s="10"/>
      <c r="E7" s="10"/>
      <c r="F7" s="10"/>
      <c r="G7" s="10"/>
      <c r="H7" s="10"/>
      <c r="I7" s="10"/>
      <c r="J7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[Table("InvGpsStockRundown")]
	public class InvGpsStockRundown: FullAuditedEntity&lt;long&gt;, IEntity&lt;long&gt;	
	{
		public const int MaxPartNoLength = 20;
		public const int MaxPartNameLength = 200;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	public virtual long? TransactionId { get; set; }
	}
}
</v>
      </c>
      <c r="K7" t="str">
        <f>SUBSTITUTE(SUBSTITUTE(("public virtual DbSet&lt;"&amp;B3&amp;"&gt; "&amp;B3&amp;"s { get; set; }"),"WorkingPattern",$Q$3),"Master",$B$4)</f>
        <v>public virtual DbSet&lt;InvGpsStockRundown&gt; InvGpsStockRundowns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prod.Inventory.GPS
{
	public class InvGpsStockRundownConsts	
	{
		public const int MaxPartNoLength = 20;
		public const int MaxPartNameLength = 200;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prod.Inventory.GPS.Dto
{
	public class InvGpsStockRundownDto : EntityDto&lt;long?&gt;	
	{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long? TransactionId { get; set; }
	}
	public class CreateOrEditInvGpsStockRundownDto : EntityDto&lt;long?&gt;	
	{
		[StringLength(InvGpsStockRundownConsts.MaxPartNoLength)]
		public virtual string PartNo { get; set; }
		[StringLength(InvGpsStockRundownConsts.MaxPartNameLength)]
		public virtual string PartName { get; set; }
		public virtual long? PartId { get; set; }
		public virtual long? MaterialId { get; set; }
		public virtual int? Qty { get; set; }
		public virtual DateTime? WorkingDate { get; set; }
		public virtual long? TransactionId { get; set; }
	}
	public class GetInvGpsStockRundownInput : PagedAndSortedResultRequestDto	
	{
		public virtual string PartNo { get; set; }
		public virtual string PartName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perInvGpsStockRundown = PARENTS.CreateChildPermission(AppPermissions.Pages_Inventory_GPS_GpsStockRundown, L( "InventoryGPSGpsStockRundown"), multiTenancySides: MultiTenancySides.Tenant);
		perInvGpsStockRundown.CreateChildPermission(AppPermissions.Pages_Inventory_GPS_GpsStockRundown_CreateEdit, L( "InventoryGPSGpsStockRundownCreateEdit"), multiTenancySides: MultiTenancySides.Tenant);
		perInvGpsStockRundown.CreateChildPermission(AppPermissions.Pages_Inventory_GPS_GpsStockRundown_Delete, L( "InventoryGPSGpsStockRundownDelete"),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Pages_Inventory_GPS_GpsStockRundown = "Pages.Inventory.GPS.GpsStockRundown";
		public const string Pages_Inventory_GPS_GpsStockRundown_CreateEdit = "Pages.Inventory.GPS.GpsStockRundown.CreateEdit";
		public const string Pages_Inventory_GPS_GpsStockRundown_Delete = "Pages.Inventory.GPS.GpsStockRundown.Delete";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
{
	public interface IInvGpsStockRundownAppService : IApplicationService
	{
		Task&lt;PagedResultDto&lt;InvGpsStockRundownDto&gt;&gt; GetAll(GetInvGpsStockRundownInput input);
		Task CreateOrEdit(CreateOrEditInvGpsStockRundownDto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[AbpAuthorize(AppPermissions.Pages_Inventory_GPS_GpsStockRundown)]
    public class InvGpsStockRundownAppService : vovinaAppServiceBase, IInvGpsStockRundownAppService
    {
        private readonly IDapperRepository&lt;InvGpsStockRundown, long&gt; _dapperRepo;
        private readonly IRepository&lt;InvGpsStockRundown, long&gt; _repo;
        private readonly IInvGpsStockRundownExcelExporter _calendarListExcelExporter;
        public InvGpsStockRundownAppService(IRepository&lt;InvGpsStockRundown,long&gt; repo, 
                                         IDapperRepository&lt;InvGpsStockRundown,long&gt; dapperRepo,
                                        IInvGpsStockRundownExcelExporter calendarListExcelExporter
            )
        {
            _repo = repo;
            _dapperRepo = dapperRepo;
            _calendarListExcelExporter = calendarListExcelExporter;
        }
        [AbpAuthorize(AppPermissions.Pages_Inventory_GPS_GpsStockRundown_CreateEdit)]
        public async Task CreateOrEdit(CreateOrEditInvGpsStockRundownDto input)
        {
            if (input.Id == null) await Create(input);
            else await Update(input);
        }
        //CREATE
        private async Task Create(CreateOrEditInvGpsStockRundownDto input)
        {          
            var mainObj = ObjectMapper.Map&lt;InvGpsStockRundown&gt;(input);
            await CurrentUnitOfWork.GetDbContext&lt;vovinaDbContext&gt;().AddAsync(mainObj);
        }
        // EDIT
        private async Task Update(CreateOrEditInvGpsStockRundownDto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[AbpAuthorize(AppPermissions.Pages_Inventory_GPS_GpsStockRundown_Delete)]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Task&lt;PagedResultDto&lt;InvGpsStockRundownDto&gt;&gt; GetAll(GetInvGpsStockRundownInput input)
        {
            var filtered = _repo.GetAll()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InvGpsStockRundownDto
                        {
							Id = o.Id,
							PartNo = o.PartNo,
							PartName = o.PartName,
							PartId = o.PartId,
							MaterialId = o.MaterialId,
							Qty = o.Qty,
							WorkingDate = o.WorkingDate,
							TransactionId = o.TransactionId,
                        };
            var totalCount = await filtered.CountAsync();
			var paged = system.PageBy(input);
            return new PagedResultDto&lt;InvGpsStockRundownDto&gt;(
                totalCount,
                 await paged.ToListAsync()
            );
        }
        public async Task&lt;FileDto&gt; GetGpsStockRundownToExcel(InvGpsStockRundownExportInput input)
        {
            var query = from o in _repo.GetAll()
                        select new InvGpsStockRundownDto
                        {
							Id = o.Id,
							PartNo = o.PartNo,
							PartName = o.PartName,
							PartId = o.PartId,
							MaterialId = o.MaterialId,
							Qty = o.Qty,
							WorkingDate = o.WorkingDate,
							TransactionId = o.TransactionId,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_dapperRepo.ExecuteAsync(InvGpsStockRundownConsts.SP_MST_WPT_CALENDAR_GENERATE);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prod.Inventory.GPS.Dto
{
	public class InvGpsStockRundownExportInput{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long? TransactionId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IInvGpsStockRundownExcelExporter : IApplicationService
	{
		FileDto ExportToFile(List&lt;InvGpsStockRundownDto&gt; invgpsstockrundown);
	}
}
</v>
      </c>
      <c r="T7" s="26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InvGpsStockRundownExcelExporter : NpoiExcelExporterBase, IInvGpsStockRundownExcelExporter
    {
        public InvGpsStockRundownExcelExporter(ITempFileCacheManager tempFileCacheManager) : base(tempFileCacheManager) { }
        public FileDto ExportToFile(List&lt;InvGpsStockRundownDto&gt; gpsstockrundown)
        {
            return CreateExcelPackage(
				"InventoryGPSGpsStockRundown.xlsx",
				excelPackage =&gt;
				 {
					var sheet = excelPackage.CreateSheet("GpsStockRundown");
					AddHeader(
								sheet,
								("PartNo"),
								("PartName"),
								("PartId"),
								("MaterialId"),
								("Qty"),
								("WorkingDate"),
								("TransactionId"),
							   );
					AddObjects(
						 sheet, 1, gpsstockrundown,                                       
								_ =&gt; _.PartNo,
								_ =&gt; _.PartName,
								_ =&gt; _.PartId,
								_ =&gt; _.MaterialId,
								_ =&gt; _.Qty,
								_ =&gt; _.WorkingDate,
								_ =&gt; _.TransactionId,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configuration.CreateMap&lt;InvGpsStockRundownDto, InvGpsStockRundown&gt;();
  configuration.CreateMap&lt;InvGpsStockRundown, InvGpsStockRundownDto&gt;();
  configuration.CreateMap&lt;CreateOrEditInvGpsStockRundownDto, InvGpsStockRundown&gt;();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357</v>
      </c>
      <c r="B9" t="s">
        <v>354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[StringLength(InvGpsStockRundownConsts.MaxPartNoLength)]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25">
      <c r="A10" t="s">
        <v>358</v>
      </c>
      <c r="B10" t="s">
        <v>356</v>
      </c>
      <c r="C10" t="s">
        <v>1</v>
      </c>
      <c r="D10" t="str">
        <f t="shared" ref="D10:D15" si="13">SUBSTITUTE(PROPER(A10),"_","")</f>
        <v>PartName</v>
      </c>
      <c r="E10" t="str">
        <f t="shared" ref="E10:E15" si="14">IFERROR(LEFT(B10, FIND("(",B10)-1),B10)</f>
        <v>VARCHAR</v>
      </c>
      <c r="F10" s="6"/>
      <c r="G10" t="str">
        <f t="shared" ref="G10:G15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5" si="16">IF(H10="string",REPT(CHAR(9),2)&amp;"public const int Max"&amp;D10&amp;"Length = "&amp;G10&amp;";"&amp;$E$3,"" )</f>
        <v xml:space="preserve">		public const int MaxPartNameLength = 200;
</v>
      </c>
      <c r="J10" t="str">
        <f t="shared" ref="J10:J15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[StringLength(MaxPartNameLength)]
		public virtual string PartName { get; set; }
</v>
      </c>
      <c r="K10" s="6"/>
      <c r="L10" t="str">
        <f t="shared" ref="L10:L15" si="18">IF(K10="","",REPT(CHAR(9),1)&amp;"[Index(nameof("&amp;IF(D10="","",""&amp;D10)&amp;")"&amp;", Name="&amp;"""IX_"&amp;$B$7&amp;"_"&amp;D10&amp;""")]")</f>
        <v/>
      </c>
      <c r="M10" t="str">
        <f t="shared" ref="M10:M15" si="19">REPT(CHAR(9),2)&amp;"public virtual "&amp;IF(OR(H10="DateTime",H10="TimeSpan"),H10&amp;"?",H10)&amp;IF(C10="?","? "," ")&amp;D10&amp;" { get; set; }" &amp; "
"</f>
        <v xml:space="preserve">		public virtual string PartName { get; set; }
</v>
      </c>
      <c r="N10" t="str">
        <f t="shared" ref="N10:N15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[StringLength(InvGpsStockRundownConsts.MaxPartNameLength)]
		public virtual string PartName { get; set; }
</v>
      </c>
      <c r="O10" t="str">
        <f t="shared" ref="O10:O15" si="21">IF(OR(H10="string",H10="DateTime",H10="int"),REPT(CHAR(9),2)&amp;"public virtual "&amp;IF(OR(H10="DateTime",H10="TimeSpan"),H10&amp;"?",H10)&amp;IF(C10="?","? "," ")&amp;D10&amp;" { get; set; }"&amp;$E$3,"")</f>
        <v xml:space="preserve">		public virtual string PartName { get; set; }
</v>
      </c>
      <c r="P10" t="str">
        <f t="shared" ref="P10:P15" si="22">REPT(CHAR(9),7)&amp;D10&amp;" = o." &amp;D10 &amp;","</f>
        <v xml:space="preserve">							PartName = o.PartName,</v>
      </c>
      <c r="T10" s="63" t="str">
        <f t="shared" ref="T10:T15" si="23">REPT(CHAR(9),8)&amp;"("""&amp;D10&amp;"""),"</f>
        <v xml:space="preserve">								("PartName"),</v>
      </c>
      <c r="V10" s="64" t="str">
        <f t="shared" ref="V10:V15" si="24">REPT(CHAR(9),8)&amp;"_ =&gt; _."&amp;D10&amp;","</f>
        <v xml:space="preserve">								_ =&gt; _.PartName,</v>
      </c>
      <c r="W10" s="63" t="str">
        <f t="shared" ref="W10:W15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.WhereIf(!string.IsNullOrWhiteSpace(input.PartName), e =&gt; e.PartName.Contains(input.PartName))</v>
      </c>
    </row>
    <row r="11" spans="1:23" customFormat="1" ht="18.75" customHeight="1" x14ac:dyDescent="0.25">
      <c r="A11" t="s">
        <v>359</v>
      </c>
      <c r="B11" t="s">
        <v>363</v>
      </c>
      <c r="C11" t="s">
        <v>1</v>
      </c>
      <c r="D11" t="str">
        <f t="shared" si="13"/>
        <v>PartId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PartId { get; set; }
</v>
      </c>
      <c r="K11" s="6"/>
      <c r="L11" t="str">
        <f t="shared" si="18"/>
        <v/>
      </c>
      <c r="M11" t="str">
        <f t="shared" si="19"/>
        <v xml:space="preserve">		public virtual long? PartId { get; set; }
</v>
      </c>
      <c r="N11" t="str">
        <f t="shared" si="20"/>
        <v xml:space="preserve">		public virtual long? PartId { get; set; }
</v>
      </c>
      <c r="O11" t="str">
        <f t="shared" si="21"/>
        <v/>
      </c>
      <c r="P11" t="str">
        <f t="shared" si="22"/>
        <v xml:space="preserve">							PartId = o.PartId,</v>
      </c>
      <c r="T11" s="63" t="str">
        <f t="shared" si="23"/>
        <v xml:space="preserve">								("PartId"),</v>
      </c>
      <c r="V11" s="64" t="str">
        <f t="shared" si="24"/>
        <v xml:space="preserve">								_ =&gt; _.PartId,</v>
      </c>
      <c r="W11" s="63" t="str">
        <f t="shared" si="25"/>
        <v/>
      </c>
    </row>
    <row r="12" spans="1:23" customFormat="1" ht="18.75" customHeight="1" x14ac:dyDescent="0.25">
      <c r="A12" t="s">
        <v>360</v>
      </c>
      <c r="B12" t="s">
        <v>363</v>
      </c>
      <c r="C12" t="s">
        <v>1</v>
      </c>
      <c r="D12" t="str">
        <f t="shared" si="13"/>
        <v>MaterialId</v>
      </c>
      <c r="E12" t="str">
        <f t="shared" si="14"/>
        <v>BIGINT</v>
      </c>
      <c r="F12" s="6"/>
      <c r="G12" t="str">
        <f t="shared" si="15"/>
        <v/>
      </c>
      <c r="H12" t="str">
        <f>+VLOOKUP(E12,'Data Type Mapping'!A:B,2,)</f>
        <v>long?</v>
      </c>
      <c r="I12" t="str">
        <f t="shared" si="16"/>
        <v/>
      </c>
      <c r="J12" t="str">
        <f t="shared" si="17"/>
        <v xml:space="preserve">		public virtual long? MaterialId { get; set; }
</v>
      </c>
      <c r="K12" s="6"/>
      <c r="L12" t="str">
        <f t="shared" si="18"/>
        <v/>
      </c>
      <c r="M12" t="str">
        <f t="shared" si="19"/>
        <v xml:space="preserve">		public virtual long? MaterialId { get; set; }
</v>
      </c>
      <c r="N12" t="str">
        <f t="shared" si="20"/>
        <v xml:space="preserve">		public virtual long? MaterialId { get; set; }
</v>
      </c>
      <c r="O12" t="str">
        <f t="shared" si="21"/>
        <v/>
      </c>
      <c r="P12" t="str">
        <f t="shared" si="22"/>
        <v xml:space="preserve">							MaterialId = o.MaterialId,</v>
      </c>
      <c r="T12" s="63" t="str">
        <f t="shared" si="23"/>
        <v xml:space="preserve">								("MaterialId"),</v>
      </c>
      <c r="V12" s="64" t="str">
        <f t="shared" si="24"/>
        <v xml:space="preserve">								_ =&gt; _.MaterialId,</v>
      </c>
      <c r="W12" s="63" t="str">
        <f t="shared" si="25"/>
        <v/>
      </c>
    </row>
    <row r="13" spans="1:23" customFormat="1" ht="18.75" customHeight="1" x14ac:dyDescent="0.25">
      <c r="A13" t="s">
        <v>361</v>
      </c>
      <c r="B13" t="s">
        <v>355</v>
      </c>
      <c r="C13" t="s">
        <v>1</v>
      </c>
      <c r="D13" t="str">
        <f t="shared" si="13"/>
        <v>Qty</v>
      </c>
      <c r="E13" t="str">
        <f t="shared" si="14"/>
        <v>INT</v>
      </c>
      <c r="F13" s="6"/>
      <c r="G13" t="str">
        <f t="shared" si="15"/>
        <v/>
      </c>
      <c r="H13" t="str">
        <f>+VLOOKUP(E13,'Data Type Mapping'!A:B,2,)</f>
        <v>int?</v>
      </c>
      <c r="I13" t="str">
        <f t="shared" si="16"/>
        <v/>
      </c>
      <c r="J13" t="str">
        <f t="shared" si="17"/>
        <v xml:space="preserve">		public virtual int? Qty { get; set; }
</v>
      </c>
      <c r="K13" s="6"/>
      <c r="L13" t="str">
        <f t="shared" si="18"/>
        <v/>
      </c>
      <c r="M13" t="str">
        <f t="shared" si="19"/>
        <v xml:space="preserve">		public virtual int? Qty { get; set; }
</v>
      </c>
      <c r="N13" t="str">
        <f t="shared" si="20"/>
        <v xml:space="preserve">		public virtual int? Qty { get; set; }
</v>
      </c>
      <c r="O13" t="str">
        <f t="shared" si="21"/>
        <v/>
      </c>
      <c r="P13" t="str">
        <f t="shared" si="22"/>
        <v xml:space="preserve">							Qty = o.Qty,</v>
      </c>
      <c r="T13" s="63" t="str">
        <f t="shared" si="23"/>
        <v xml:space="preserve">								("Qty"),</v>
      </c>
      <c r="V13" s="64" t="str">
        <f t="shared" si="24"/>
        <v xml:space="preserve">								_ =&gt; _.Qty,</v>
      </c>
      <c r="W13" s="63" t="str">
        <f t="shared" si="25"/>
        <v/>
      </c>
    </row>
    <row r="14" spans="1:23" customFormat="1" ht="18.75" customHeight="1" x14ac:dyDescent="0.25">
      <c r="A14" t="s">
        <v>362</v>
      </c>
      <c r="B14" t="s">
        <v>364</v>
      </c>
      <c r="C14" t="s">
        <v>1</v>
      </c>
      <c r="D14" t="str">
        <f t="shared" si="13"/>
        <v>WorkingDate</v>
      </c>
      <c r="E14" t="str">
        <f t="shared" si="14"/>
        <v>DATETIME</v>
      </c>
      <c r="F14" s="6"/>
      <c r="G14" t="str">
        <f t="shared" si="15"/>
        <v/>
      </c>
      <c r="H14" t="str">
        <f>+VLOOKUP(E14,'Data Type Mapping'!A:B,2,)</f>
        <v>DateTime?</v>
      </c>
      <c r="I14" t="str">
        <f t="shared" si="16"/>
        <v/>
      </c>
      <c r="J14" t="str">
        <f t="shared" si="17"/>
        <v xml:space="preserve">		public virtual DateTime? WorkingDate { get; set; }
</v>
      </c>
      <c r="K14" s="6"/>
      <c r="L14" t="str">
        <f t="shared" si="18"/>
        <v/>
      </c>
      <c r="M14" t="str">
        <f t="shared" si="19"/>
        <v xml:space="preserve">		public virtual DateTime? WorkingDate { get; set; }
</v>
      </c>
      <c r="N14" t="str">
        <f t="shared" si="20"/>
        <v xml:space="preserve">		public virtual DateTime? WorkingDate { get; set; }
</v>
      </c>
      <c r="O14" t="str">
        <f t="shared" si="21"/>
        <v/>
      </c>
      <c r="P14" t="str">
        <f t="shared" si="22"/>
        <v xml:space="preserve">							WorkingDate = o.WorkingDate,</v>
      </c>
      <c r="T14" s="63" t="str">
        <f t="shared" si="23"/>
        <v xml:space="preserve">								("WorkingDate"),</v>
      </c>
      <c r="V14" s="64" t="str">
        <f t="shared" si="24"/>
        <v xml:space="preserve">								_ =&gt; _.WorkingDate,</v>
      </c>
      <c r="W14" s="63" t="str">
        <f t="shared" si="25"/>
        <v/>
      </c>
    </row>
    <row r="15" spans="1:23" customFormat="1" ht="18.75" customHeight="1" x14ac:dyDescent="0.25">
      <c r="A15" t="s">
        <v>368</v>
      </c>
      <c r="B15" t="s">
        <v>363</v>
      </c>
      <c r="C15" t="s">
        <v>1</v>
      </c>
      <c r="D15" t="str">
        <f t="shared" si="13"/>
        <v>TransactionId</v>
      </c>
      <c r="E15" t="str">
        <f t="shared" si="14"/>
        <v>BIGINT</v>
      </c>
      <c r="F15" s="6"/>
      <c r="G15" t="str">
        <f t="shared" si="15"/>
        <v/>
      </c>
      <c r="H15" t="str">
        <f>+VLOOKUP(E15,'[1]Data Type Mapping'!A:B,2,)</f>
        <v>long?</v>
      </c>
      <c r="I15" t="str">
        <f t="shared" si="16"/>
        <v/>
      </c>
      <c r="J15" t="str">
        <f t="shared" si="17"/>
        <v xml:space="preserve">		public virtual long? TransactionId { get; set; }
</v>
      </c>
      <c r="K15" s="6"/>
      <c r="L15" t="str">
        <f t="shared" si="18"/>
        <v/>
      </c>
      <c r="M15" t="str">
        <f t="shared" si="19"/>
        <v xml:space="preserve">		public virtual long? TransactionId { get; set; }
</v>
      </c>
      <c r="N15" t="str">
        <f t="shared" si="20"/>
        <v xml:space="preserve">		public virtual long? TransactionId { get; set; }
</v>
      </c>
      <c r="O15" t="str">
        <f t="shared" si="21"/>
        <v/>
      </c>
      <c r="P15" t="str">
        <f t="shared" si="22"/>
        <v xml:space="preserve">							TransactionId = o.TransactionId,</v>
      </c>
      <c r="T15" s="63" t="str">
        <f t="shared" si="23"/>
        <v xml:space="preserve">								("TransactionId"),</v>
      </c>
      <c r="V15" s="64" t="str">
        <f t="shared" si="24"/>
        <v xml:space="preserve">								_ =&gt; _.TransactionId,</v>
      </c>
      <c r="W15" s="63" t="str">
        <f t="shared" si="25"/>
        <v/>
      </c>
    </row>
    <row r="17" spans="8:23" ht="45.75" customHeight="1" x14ac:dyDescent="0.25">
      <c r="H17" s="11"/>
      <c r="I17" s="31" t="str">
        <f ca="1">TEXTJOIN2("
", TRUE,INDIRECT( $H$1):INDIRECT( $H$3))</f>
        <v xml:space="preserve">		public const int MaxPartNoLength = 20;
		public const int MaxPartNameLength = 200;
</v>
      </c>
      <c r="J17" s="30" t="str">
        <f ca="1">TEXTJOIN2("
", TRUE,INDIRECT( $F$1):INDIRECT( $F$3))</f>
        <v xml:space="preserve">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	public virtual long? TransactionId { get; set; }
</v>
      </c>
      <c r="K17" s="32" t="str">
        <f ca="1">TEXTJOIN2("
", TRUE,INDIRECT( $J$1):INDIRECT( $J$3))</f>
        <v/>
      </c>
      <c r="L17" s="12" t="s">
        <v>57</v>
      </c>
      <c r="M17" s="33" t="str">
        <f ca="1">TEXTJOIN2("
",TRUE,INDIRECT( $L$1):INDIRECT($L$3))</f>
        <v xml:space="preserve">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long? TransactionId { get; set; }
</v>
      </c>
      <c r="N17" s="30" t="str">
        <f ca="1">TEXTJOIN2("
",TRUE,INDIRECT( $M$1):INDIRECT($M$3))</f>
        <v xml:space="preserve">		[StringLength(InvGpsStockRundownConsts.MaxPartNoLength)]
		public virtual string PartNo { get; set; }
		[StringLength(InvGpsStockRundownConsts.MaxPartNameLength)]
		public virtual string PartName { get; set; }
		public virtual long? PartId { get; set; }
		public virtual long? MaterialId { get; set; }
		public virtual int? Qty { get; set; }
		public virtual DateTime? WorkingDate { get; set; }
		public virtual long? TransactionId { get; set; }
</v>
      </c>
      <c r="O17" s="30" t="str">
        <f ca="1">TEXTJOIN2("
",TRUE,INDIRECT( $N$1):INDIRECT($N$3))</f>
        <v xml:space="preserve">		public virtual string PartNo { get; set; }
		public virtual string PartName { get; set; }
</v>
      </c>
      <c r="P17" s="8" t="str">
        <f ca="1">TEXTJOIN2("
",TRUE,INDIRECT( $O$1):INDIRECT($O$3))</f>
        <v xml:space="preserve">							PartNo = o.PartNo,
							PartName = o.PartName,
							PartId = o.PartId,
							MaterialId = o.MaterialId,
							Qty = o.Qty,
							WorkingDate = o.WorkingDate,
							TransactionId = o.TransactionId,</v>
      </c>
      <c r="T17" s="8" t="str">
        <f ca="1">TEXTJOIN2("
",TRUE,INDIRECT( $T$2):INDIRECT($T$3))</f>
        <v xml:space="preserve">								("PartNo"),
								("PartName"),
								("PartId"),
								("MaterialId"),
								("Qty"),
								("WorkingDate"),
								("TransactionId"),</v>
      </c>
      <c r="V17" s="8" t="str">
        <f ca="1">TEXTJOIN2("
",TRUE,INDIRECT( $V$2):INDIRECT($V$3))</f>
        <v xml:space="preserve">								_ =&gt; _.PartNo,
								_ =&gt; _.PartName,
								_ =&gt; _.PartId,
								_ =&gt; _.MaterialId,
								_ =&gt; _.Qty,
								_ =&gt; _.WorkingDate,
								_ =&gt; _.TransactionId,</v>
      </c>
      <c r="W17" s="8" t="str">
        <f ca="1">TEXTJOIN2("
",TRUE,INDIRECT( $W$2):INDIRECT($W$3))</f>
        <v xml:space="preserve">				.WhereIf(!string.IsNullOrWhiteSpace(input.PartNo), e =&gt; e.PartNo.Contains(input.PartNo))
				.WhereIf(!string.IsNullOrWhiteSpace(input.PartName), e =&gt; e.PartName.Contains(input.PartName))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tabSelected="1" workbookViewId="0">
      <selection activeCell="B26" sqref="B26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ht="30" x14ac:dyDescent="0.25">
      <c r="A1" s="38" t="s">
        <v>208</v>
      </c>
      <c r="B1" s="65" t="s">
        <v>365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GPS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gps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InvGpsStockRundown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GpsStockRundown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gpsstockrundown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InvGpsStockRundownDto, InvGpsStockRundownServiceProxy } from '@shared/service-proxies/service-proxies';
import { finalize } from 'rxjs/internal/operators/finalize';
import { CreateOrEditGpsStockRundownModalComponent } from './create-or-edit-gpsstockrundown-modal.component';
import { DatePipe } from '@angular/common';
import { FileDownloadService } from '@shared/utils/file-download.service';
import ceil from 'lodash-es/ceil';
import { Paginator } from 'primeng/paginator';
@Component({
    templateUrl: './gpsstockrundown.component.html',
    styleUrls: ['./gpsstockrundown.component.less'],
})
export class GpsStockRundownComponent extends AppComponentBase implements OnInit {
    @ViewChild('createOrEditModalGpsStockRundown', { static: true }) createOrEditModalGpsStockRundown:| CreateOrEditGpsStockRundownModalComponent|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InvGpsStockRundownDto = new InvGpsStockRundownDto();
    saveSelectedRow: InvGpsStockRundownDto = new InvGpsStockRundownDto();
    datas: InvGpsStockRundownDto = new InvGpsStockRundownDto();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partId
	materialId
	qty
	workingDate
	transactionId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InvGpsStockRundownServiceProxy,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this.l('Transaction Id'),headerTooltip: this.l('Transaction Id'),field: 'transactionId',flex: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this.partId,
			this.materialId,
			this.qty,
			this.workingDate,
			this.transactionId,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this.partName = '',
		this.partId = '',
		this.materialId = '',
		this.qty = '',
		this.workingDate = '',
		this.transactionId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this.partId,
			this.materialId,
			this.qty,
			this.workingDate,
			this.transactionId,
			'',
            this.paginationParams.skipCount,
            this.paginationParams.pageSize
        );
    }
    onChangeRowSelection(params: { api: { getSelectedRows: () =&gt; InvGpsStockRundownDto[] } }) {
        this.saveSelectedRow = params.api.getSelectedRows()[0] ?? new InvGpsStockRundownDto();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InvGpsStockRundownDto):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this._service.getGpsStockRundownToExcel(
			this.partNo,
			this.partName,
			this.partId,
			this.materialId,
			this.qty,
			this.workingDate,
			this.transactionId,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Rundown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(click)="createOrEditModalGpsStockRundown.show()"&gt;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(click)="createOrEditModalGpsStockRundown.show(selectedRow)"&gt;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&lt;create-or-edit-gpsstockrundown-modal
    #createOrEditModalGpsStockRundown
    (modalSave)="callBackDataGrid(dataParams)"
    (modalClose)="onChangeRowSelection(dataParams)"
&gt;
&lt;/create-or-edit-gpsstockrundown-modal&gt;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#createOrEditModalGpsStockRundown="bs-modal"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GpsStockRundown')}}&lt;/h3&gt;
                    &lt;h3 *ngIf="!rowdata.id"&gt;{{('Create New GpsStockRundown')}}&lt;/h3&gt;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CreateOrEditInvGpsStockRundownDto, InvGpsStockRundownServiceProxy } from '@shared/service-proxies/service-proxies';
import { BsDatepickerDirective } from 'ngx-bootstrap/datepicker';
@Component({
    selector: 'create-or-edit-gpsstockrundown-modal',
    templateUrl: './create-or-edit-gpsstockrundown-modal.component.html',
    styleUrls: ['./create-or-edit-gpsstockrundown-modal.component.less']
    })
export class CreateOrEditGpsStockRundownModalComponent extends AppComponentBase {
    @ViewChild('createOrEditModalGpsStockRundown',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CreateOrEditInvGpsStockRundownDto = new CreateOrEditInvGpsStockRundownDto();
    active: boolean = false;
    saving: boolean = false;
    _: boolean;
    constructor(
        injector: Injector,
        private _mstwptGpsStockRundownService: InvGpsStockRundownServiceProxy,
    ) 
    {
        super(injector);
    }
    show(rowdata?: CreateOrEditInvGpsStockRundownDto): void {
        if (!rowdata) this.rowdata = new CreateOrEditInvGpsStockRundownDto();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this._mstwptGpsStockRundownService.createOrEdit(this.rowdata)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GpsStockRundownRoutingModule } from './gpsstockrundown-routing.module';
import { GpsStockRundownComponent } from './gpsstockrundown.component';
import { CreateOrEditGpsStockRundownModalComponent } from './create-or-edit-gpsstockrundown-modal.component';
@NgModule({
    declarations: [
       GpsStockRundownComponent, 
        CreateOrEditGpsStockRundownModalComponent
    ],
    imports: [
        AppSharedModule, GpsStockRundownRoutingModule]
})
export class GpsStockRundownModule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GpsStockRundownComponent } from './gpsstockrundown.component';
const routes: Routes = [{
    path: '',
    component: GpsStockRundownComponent,
    pathMatch: 'full'
}];
@NgModule({
    imports: [RouterModule.forChild(routes)],
    exports: [RouterModule],
})
export class GpsStockRundownRoutingModule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AppMenuItem("GpsStockRundown", "Pages.Inventory.GPS.GpsStockRundown", "flaticon-book",   "/app/main/inventory/gps/gpsstockrundown"),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'inventory/gps/gpsstockrundown',
    loadChildren: () =&gt; import('./inventory/gps/gpsstockrundown/gpsstockrundown.module').then(m =&gt; m.GpsStockRundownModule),
    data: { permission: 'Pages.Inventory.GPS.GpsStockRundown' }
},</v>
      </c>
      <c r="R10" s="47" t="str">
        <f>SUBSTITUTE(R9,"MstWptCalendar",$B$6)</f>
        <v>ApiServiceProxies.InvGpsStockRundownServiceProxy,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H21</v>
      </c>
      <c r="I12" s="28" t="str">
        <f>"I"&amp;COUNTA($A:$A)</f>
        <v>I21</v>
      </c>
      <c r="J12" s="28"/>
      <c r="K12" s="28" t="str">
        <f>"K"&amp;COUNTA($A:$A)</f>
        <v>K21</v>
      </c>
      <c r="L12" s="28" t="str">
        <f>"L"&amp;COUNTA($A:$A)</f>
        <v>L21</v>
      </c>
      <c r="M12" s="28"/>
      <c r="N12" s="28"/>
      <c r="O12" s="28"/>
      <c r="P12" s="28"/>
      <c r="Q12" s="28"/>
      <c r="R12" s="28"/>
      <c r="S12" s="28" t="str">
        <f>"S"&amp;COUNTA($A:$A)</f>
        <v>S21</v>
      </c>
      <c r="T12" s="28" t="str">
        <f>"T"&amp;COUNTA($A:$A)</f>
        <v>T21</v>
      </c>
      <c r="U12" s="28" t="str">
        <f>"U"&amp;COUNTA($A:$A)</f>
        <v>U21</v>
      </c>
      <c r="V12" s="28" t="str">
        <f>"V"&amp;COUNTA($A:$A)</f>
        <v>V21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this.l('Transaction Id'),headerTooltip: this.l('Transaction Id'),field: 'transactionId',flex: 1},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partName : string = '' ; 
	partId
	materialId
	qty
	workingDate
	transactionId</v>
      </c>
      <c r="T13" s="62" t="str">
        <f ca="1">TEXTJOIN2("
",TRUE,INDIRECT(T11):INDIRECT(T12))</f>
        <v xml:space="preserve">			this.partNo,
			this.partName,
			this.partId,
			this.materialId,
			this.qty,
			this.workingDate,
			this.transactionId,</v>
      </c>
      <c r="U13" s="62" t="str">
        <f ca="1">TEXTJOIN2("
",TRUE,INDIRECT(U11):INDIRECT(U12))</f>
        <v xml:space="preserve">		this.partNo = '',
		this.partName = '',
		this.partId = '',
		this.materialId = '',
		this.qty = '',
		this.workingDate = '',
		this.transactionId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gpsstockrundown.component.ts</v>
      </c>
      <c r="I14" s="37" t="str">
        <f>B8&amp;".component.html"</f>
        <v>gpsstockrundown.component.html</v>
      </c>
      <c r="J14" s="36" t="str">
        <f>B8&amp;".component.less"</f>
        <v>gpsstockrundown.component.less</v>
      </c>
      <c r="K14" s="37" t="str">
        <f>"create-or-edit-"&amp;B8&amp;"-modal.component.html"</f>
        <v>create-or-edit-gpsstockrundown-modal.component.html</v>
      </c>
      <c r="L14" s="37" t="str">
        <f>"create-or-edit-"&amp;B8&amp;"-modal.component.ts"</f>
        <v>create-or-edit-gpsstockrundown-modal.component.ts</v>
      </c>
      <c r="M14" s="37" t="str">
        <f>"create-or-edit-"&amp;B8&amp;"-modal.component.less"</f>
        <v>create-or-edit-gpsstockrundown-modal.component.less</v>
      </c>
      <c r="N14" s="37" t="str">
        <f>B8&amp;".module.ts"</f>
        <v>gpsstockrundown.module.ts</v>
      </c>
      <c r="O14" s="37" t="str">
        <f>B8&amp;"-routing.module.ts"</f>
        <v>gpsstockrundown-routing.module.ts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357</v>
      </c>
      <c r="B15" s="28" t="str">
        <f t="shared" ref="B15:B18" si="0">SUBSTITUTE(PROPER(A15),"_","")</f>
        <v>PartNo</v>
      </c>
      <c r="C15" s="28" t="str">
        <f t="shared" ref="C15:C18" si="1">SUBSTITUTE(PROPER(A15),"_"," ")</f>
        <v>Part No</v>
      </c>
      <c r="D15" s="28" t="str">
        <f t="shared" ref="D15:D18" si="2">LOWER(LEFT(B15,1))&amp;RIGHT(B15,LEN(B15) - 1)</f>
        <v>partNo</v>
      </c>
      <c r="E15" s="28" t="str">
        <f>A.Backend!H9</f>
        <v>string</v>
      </c>
      <c r="F15" s="28" t="str">
        <f>A.Backend!G9</f>
        <v>20</v>
      </c>
      <c r="G15" s="28" t="str">
        <f t="shared" ref="G15:G20" si="3">IF(E15="string"," : string = '' ; ",IF(OR(E15="DateTime",E15="TimeSpan")," : any ;",IF(E15="int"," : number = 0 ;","")))</f>
        <v xml:space="preserve"> : string = '' ; </v>
      </c>
      <c r="H15" s="35" t="str">
        <f t="shared" ref="H15:H20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0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20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18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 t="shared" ref="S15:S20" si="8">REPT(CHAR(9),1)&amp;D15&amp;G15</f>
        <v xml:space="preserve">	partNo : string = '' ; </v>
      </c>
      <c r="T15" s="28" t="str">
        <f t="shared" ref="T15:T20" si="9">REPT(CHAR(9),3)&amp;"this."&amp;D15&amp;","</f>
        <v xml:space="preserve">			this.partNo,</v>
      </c>
      <c r="U15" s="28" t="str">
        <f t="shared" ref="U15:U20" si="10">IF(E15="int",REPT(CHAR(9),2)&amp;"this."&amp;D15&amp;" = 0,",REPT(CHAR(9),2)&amp;"this."&amp;D15&amp;" = '',")</f>
        <v xml:space="preserve">		this.partNo = '',</v>
      </c>
      <c r="V15" s="28" t="str">
        <f t="shared" ref="V15:V20" si="11">IF(AND(E15="string",F15="1"),D15,"")</f>
        <v/>
      </c>
    </row>
    <row r="16" spans="1:22" ht="18" customHeight="1" x14ac:dyDescent="0.25">
      <c r="A16" t="s">
        <v>358</v>
      </c>
      <c r="B16" s="28" t="str">
        <f t="shared" si="0"/>
        <v>PartName</v>
      </c>
      <c r="C16" s="28" t="str">
        <f t="shared" si="1"/>
        <v>Part Name</v>
      </c>
      <c r="D16" s="28" t="str">
        <f t="shared" si="2"/>
        <v>partName</v>
      </c>
      <c r="E16" s="28" t="str">
        <f>A.Backend!H10</f>
        <v>string</v>
      </c>
      <c r="F16" s="28" t="str">
        <f>A.Backend!G10</f>
        <v>200</v>
      </c>
      <c r="G16" s="28" t="str">
        <f t="shared" si="3"/>
        <v xml:space="preserve"> : string = '' ; </v>
      </c>
      <c r="H16" s="35" t="str">
        <f t="shared" si="4"/>
        <v xml:space="preserve">			{headerName: this.l('Part Name'),headerTooltip: this.l('Part Name'),field: 'partName',flex: 1},</v>
      </c>
      <c r="I16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si="8"/>
        <v xml:space="preserve">	partName : string = '' ; </v>
      </c>
      <c r="T16" s="28" t="str">
        <f t="shared" si="9"/>
        <v xml:space="preserve">			this.partName,</v>
      </c>
      <c r="U16" s="28" t="str">
        <f t="shared" si="10"/>
        <v xml:space="preserve">		this.partName = '',</v>
      </c>
      <c r="V16" s="28" t="str">
        <f t="shared" si="11"/>
        <v/>
      </c>
    </row>
    <row r="17" spans="1:22" ht="15" customHeight="1" x14ac:dyDescent="0.25">
      <c r="A17" t="s">
        <v>359</v>
      </c>
      <c r="B17" s="28" t="str">
        <f t="shared" si="0"/>
        <v>PartId</v>
      </c>
      <c r="C17" s="28" t="str">
        <f t="shared" si="1"/>
        <v>Part Id</v>
      </c>
      <c r="D17" s="28" t="str">
        <f t="shared" si="2"/>
        <v>partId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this.l('Part Id'),headerTooltip: this.l('Part Id'),field: 'partId',flex: 1},</v>
      </c>
      <c r="I17" s="35" t="str">
        <f t="shared" si="5"/>
        <v/>
      </c>
      <c r="J17" s="28"/>
      <c r="K17" s="35" t="str">
        <f t="shared" si="6"/>
        <v/>
      </c>
      <c r="L17" s="56" t="str">
        <f t="shared" si="7"/>
        <v/>
      </c>
      <c r="M17" s="28"/>
      <c r="N17" s="28"/>
      <c r="O17" s="28"/>
      <c r="P17" s="28"/>
      <c r="Q17" s="28"/>
      <c r="R17" s="28"/>
      <c r="S17" s="28" t="str">
        <f t="shared" si="8"/>
        <v xml:space="preserve">	partId</v>
      </c>
      <c r="T17" s="28" t="str">
        <f t="shared" si="9"/>
        <v xml:space="preserve">			this.partId,</v>
      </c>
      <c r="U17" s="28" t="str">
        <f t="shared" si="10"/>
        <v xml:space="preserve">		this.partId = '',</v>
      </c>
      <c r="V17" s="28" t="str">
        <f t="shared" si="11"/>
        <v/>
      </c>
    </row>
    <row r="18" spans="1:22" ht="18" customHeight="1" x14ac:dyDescent="0.25">
      <c r="A18" t="s">
        <v>360</v>
      </c>
      <c r="B18" s="28" t="str">
        <f t="shared" si="0"/>
        <v>MaterialId</v>
      </c>
      <c r="C18" s="28" t="str">
        <f t="shared" si="1"/>
        <v>Material Id</v>
      </c>
      <c r="D18" s="28" t="str">
        <f t="shared" si="2"/>
        <v>materialId</v>
      </c>
      <c r="E18" s="28" t="str">
        <f>A.Backend!H12</f>
        <v>long?</v>
      </c>
      <c r="F18" s="28" t="str">
        <f>A.Backend!G12</f>
        <v/>
      </c>
      <c r="G18" s="28" t="str">
        <f t="shared" si="3"/>
        <v/>
      </c>
      <c r="H18" s="35" t="str">
        <f t="shared" si="4"/>
        <v xml:space="preserve">			{headerName: this.l('Material Id'),headerTooltip: this.l('Material Id'),field: 'materialId',flex: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si="7"/>
        <v/>
      </c>
      <c r="M18" s="28"/>
      <c r="N18" s="28"/>
      <c r="O18" s="28"/>
      <c r="P18" s="28"/>
      <c r="Q18" s="28"/>
      <c r="R18" s="28"/>
      <c r="S18" s="28" t="str">
        <f t="shared" si="8"/>
        <v xml:space="preserve">	materialId</v>
      </c>
      <c r="T18" s="28" t="str">
        <f t="shared" si="9"/>
        <v xml:space="preserve">			this.materialId,</v>
      </c>
      <c r="U18" s="28" t="str">
        <f t="shared" si="10"/>
        <v xml:space="preserve">		this.materialId = '',</v>
      </c>
      <c r="V18" s="28" t="str">
        <f t="shared" si="11"/>
        <v/>
      </c>
    </row>
    <row r="19" spans="1:22" ht="18" customHeight="1" x14ac:dyDescent="0.25">
      <c r="A19" t="s">
        <v>361</v>
      </c>
      <c r="B19" s="28" t="str">
        <f>SUBSTITUTE(PROPER(A19),"_","")</f>
        <v>Qty</v>
      </c>
      <c r="C19" s="28" t="str">
        <f>SUBSTITUTE(PROPER(A19),"_"," ")</f>
        <v>Qty</v>
      </c>
      <c r="D19" s="28" t="str">
        <f>LOWER(LEFT(B19,1))&amp;RIGHT(B19,LEN(B19) - 1)</f>
        <v>qty</v>
      </c>
      <c r="E19" s="28" t="str">
        <f>A.Backend!H13</f>
        <v>int?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this.l('Qty'),headerTooltip: this.l('Qty'),field: 'qty',flex: 1},</v>
      </c>
      <c r="I19" s="35" t="str">
        <f t="shared" si="5"/>
        <v/>
      </c>
      <c r="J19" s="28"/>
      <c r="K19" s="35" t="str">
        <f t="shared" si="6"/>
        <v/>
      </c>
      <c r="L19" s="56" t="str">
        <f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28"/>
      <c r="N19" s="28"/>
      <c r="O19" s="28"/>
      <c r="P19" s="28"/>
      <c r="Q19" s="28"/>
      <c r="R19" s="28"/>
      <c r="S19" s="28" t="str">
        <f t="shared" si="8"/>
        <v xml:space="preserve">	qty</v>
      </c>
      <c r="T19" s="28" t="str">
        <f t="shared" si="9"/>
        <v xml:space="preserve">			this.qty,</v>
      </c>
      <c r="U19" s="28" t="str">
        <f t="shared" si="10"/>
        <v xml:space="preserve">		this.qty = '',</v>
      </c>
      <c r="V19" s="28" t="str">
        <f t="shared" si="11"/>
        <v/>
      </c>
    </row>
    <row r="20" spans="1:22" ht="15" customHeight="1" x14ac:dyDescent="0.25">
      <c r="A20" t="s">
        <v>362</v>
      </c>
      <c r="B20" s="28" t="str">
        <f t="shared" ref="B20" si="12">SUBSTITUTE(PROPER(A20),"_","")</f>
        <v>WorkingDate</v>
      </c>
      <c r="C20" s="28" t="str">
        <f t="shared" ref="C20" si="13">SUBSTITUTE(PROPER(A20),"_"," ")</f>
        <v>Working Date</v>
      </c>
      <c r="D20" s="28" t="str">
        <f t="shared" ref="D20" si="14">LOWER(LEFT(B20,1))&amp;RIGHT(B20,LEN(B20) - 1)</f>
        <v>workingDate</v>
      </c>
      <c r="E20" s="28" t="str">
        <f>A.Backend!H14</f>
        <v>DateTime?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this.l('Working Date'),headerTooltip: this.l('Working Date'),field: 'workingDate',flex: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ref="L20" si="15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8"/>
        <v xml:space="preserve">	workingDate</v>
      </c>
      <c r="T20" s="28" t="str">
        <f t="shared" si="9"/>
        <v xml:space="preserve">			this.workingDate,</v>
      </c>
      <c r="U20" s="28" t="str">
        <f t="shared" si="10"/>
        <v xml:space="preserve">		this.workingDate = '',</v>
      </c>
      <c r="V20" s="28" t="str">
        <f t="shared" si="11"/>
        <v/>
      </c>
    </row>
    <row r="21" spans="1:22" ht="15" customHeight="1" x14ac:dyDescent="0.25">
      <c r="A21" t="s">
        <v>368</v>
      </c>
      <c r="B21" s="28" t="str">
        <f t="shared" ref="B21" si="16">SUBSTITUTE(PROPER(A21),"_","")</f>
        <v>TransactionId</v>
      </c>
      <c r="C21" s="28" t="str">
        <f t="shared" ref="C21" si="17">SUBSTITUTE(PROPER(A21),"_"," ")</f>
        <v>Transaction Id</v>
      </c>
      <c r="D21" s="28" t="str">
        <f t="shared" ref="D21" si="18">LOWER(LEFT(B21,1))&amp;RIGHT(B21,LEN(B21) - 1)</f>
        <v>transactionId</v>
      </c>
      <c r="E21" s="28" t="str">
        <f>A.Backend!H15</f>
        <v>long?</v>
      </c>
      <c r="F21" s="28" t="str">
        <f>A.Backend!G15</f>
        <v/>
      </c>
      <c r="G21" s="28" t="str">
        <f t="shared" ref="G21" si="19">IF(E21="string"," : string = '' ; ",IF(OR(E21="DateTime",E21="TimeSpan")," : any ;",IF(E21="int"," : number = 0 ;","")))</f>
        <v/>
      </c>
      <c r="H21" s="35" t="str">
        <f t="shared" ref="H21" si="20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this.l('Transaction Id'),headerTooltip: this.l('Transaction Id'),field: 'transactionId',flex: 1},</v>
      </c>
      <c r="I21" s="35" t="str">
        <f t="shared" ref="I21" si="21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 t="shared" ref="K21" si="22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/>
      </c>
      <c r="L21" s="56" t="str">
        <f t="shared" ref="L21" si="23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ref="S21" si="24">REPT(CHAR(9),1)&amp;D21&amp;G21</f>
        <v xml:space="preserve">	transactionId</v>
      </c>
      <c r="T21" s="28" t="str">
        <f t="shared" ref="T21" si="25">REPT(CHAR(9),3)&amp;"this."&amp;D21&amp;","</f>
        <v xml:space="preserve">			this.transactionId,</v>
      </c>
      <c r="U21" s="28" t="str">
        <f t="shared" ref="U21" si="26">IF(E21="int",REPT(CHAR(9),2)&amp;"this."&amp;D21&amp;" = 0,",REPT(CHAR(9),2)&amp;"this."&amp;D21&amp;" = '',")</f>
        <v xml:space="preserve">		this.transactionId = '',</v>
      </c>
      <c r="V21" s="28" t="str">
        <f t="shared" ref="V21" si="27">IF(AND(E21="string",F21="1"),D21,"")</f>
        <v/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2023-07-28T10:01:53Z</dcterms:modified>
</cp:coreProperties>
</file>
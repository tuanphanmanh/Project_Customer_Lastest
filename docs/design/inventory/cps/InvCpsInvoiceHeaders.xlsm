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inventory\cps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1" l="1"/>
  <c r="C24" i="5" l="1"/>
  <c r="B24" i="5"/>
  <c r="D24" i="5" s="1"/>
  <c r="C23" i="5"/>
  <c r="B23" i="5"/>
  <c r="D23" i="5" s="1"/>
  <c r="C22" i="5"/>
  <c r="B22" i="5"/>
  <c r="D22" i="5" s="1"/>
  <c r="L12" i="1"/>
  <c r="G12" i="1"/>
  <c r="F18" i="5" s="1"/>
  <c r="H12" i="1"/>
  <c r="E18" i="5" s="1"/>
  <c r="D12" i="1"/>
  <c r="P12" i="1" s="1"/>
  <c r="L17" i="1"/>
  <c r="G17" i="1"/>
  <c r="F23" i="5" s="1"/>
  <c r="E17" i="1"/>
  <c r="H17" i="1" s="1"/>
  <c r="W17" i="1" s="1"/>
  <c r="D17" i="1"/>
  <c r="P17" i="1" s="1"/>
  <c r="L16" i="1"/>
  <c r="G16" i="1"/>
  <c r="F22" i="5" s="1"/>
  <c r="E16" i="1"/>
  <c r="H16" i="1" s="1"/>
  <c r="E22" i="5" s="1"/>
  <c r="D16" i="1"/>
  <c r="T16" i="1" s="1"/>
  <c r="L15" i="1"/>
  <c r="G15" i="1"/>
  <c r="F21" i="5" s="1"/>
  <c r="E15" i="1"/>
  <c r="H15" i="1" s="1"/>
  <c r="E21" i="5" s="1"/>
  <c r="D15" i="1"/>
  <c r="V15" i="1" s="1"/>
  <c r="L14" i="1"/>
  <c r="G14" i="1"/>
  <c r="F20" i="5" s="1"/>
  <c r="E14" i="1"/>
  <c r="H14" i="1" s="1"/>
  <c r="E20" i="5" s="1"/>
  <c r="D14" i="1"/>
  <c r="V14" i="1" s="1"/>
  <c r="L13" i="1"/>
  <c r="G13" i="1"/>
  <c r="F19" i="5" s="1"/>
  <c r="E13" i="1"/>
  <c r="H13" i="1" s="1"/>
  <c r="E19" i="5" s="1"/>
  <c r="D13" i="1"/>
  <c r="P13" i="1" s="1"/>
  <c r="L11" i="1"/>
  <c r="G11" i="1"/>
  <c r="F17" i="5" s="1"/>
  <c r="E11" i="1"/>
  <c r="H11" i="1" s="1"/>
  <c r="E17" i="5" s="1"/>
  <c r="D11" i="1"/>
  <c r="T11" i="1" s="1"/>
  <c r="S19" i="5" l="1"/>
  <c r="T19" i="5"/>
  <c r="G19" i="5"/>
  <c r="U19" i="5" s="1"/>
  <c r="I19" i="5"/>
  <c r="G21" i="5"/>
  <c r="G20" i="5"/>
  <c r="G22" i="5"/>
  <c r="V22" i="5"/>
  <c r="H22" i="5"/>
  <c r="L22" i="5"/>
  <c r="I22" i="5"/>
  <c r="K22" i="5"/>
  <c r="S22" i="5"/>
  <c r="T22" i="5"/>
  <c r="U22" i="5"/>
  <c r="T18" i="5"/>
  <c r="G18" i="5"/>
  <c r="U18" i="5" s="1"/>
  <c r="I18" i="5"/>
  <c r="G17" i="5"/>
  <c r="E23" i="5"/>
  <c r="M14" i="1"/>
  <c r="I12" i="1"/>
  <c r="T12" i="1"/>
  <c r="V23" i="5"/>
  <c r="V12" i="1"/>
  <c r="W12" i="1"/>
  <c r="M12" i="1"/>
  <c r="J12" i="1"/>
  <c r="N12" i="1"/>
  <c r="O12" i="1"/>
  <c r="T13" i="1"/>
  <c r="T17" i="1"/>
  <c r="V17" i="1"/>
  <c r="V16" i="1"/>
  <c r="P16" i="1"/>
  <c r="V13" i="1"/>
  <c r="W13" i="1"/>
  <c r="P11" i="1"/>
  <c r="N16" i="1"/>
  <c r="M16" i="1"/>
  <c r="O16" i="1"/>
  <c r="W16" i="1"/>
  <c r="J16" i="1"/>
  <c r="I16" i="1"/>
  <c r="N11" i="1"/>
  <c r="M11" i="1"/>
  <c r="I11" i="1"/>
  <c r="W11" i="1"/>
  <c r="J11" i="1"/>
  <c r="O11" i="1"/>
  <c r="O15" i="1"/>
  <c r="N15" i="1"/>
  <c r="W15" i="1"/>
  <c r="J15" i="1"/>
  <c r="I15" i="1"/>
  <c r="M15" i="1"/>
  <c r="I13" i="1"/>
  <c r="N14" i="1"/>
  <c r="P15" i="1"/>
  <c r="M13" i="1"/>
  <c r="O14" i="1"/>
  <c r="T15" i="1"/>
  <c r="M17" i="1"/>
  <c r="J14" i="1"/>
  <c r="W14" i="1"/>
  <c r="I17" i="1"/>
  <c r="V11" i="1"/>
  <c r="N13" i="1"/>
  <c r="P14" i="1"/>
  <c r="N17" i="1"/>
  <c r="T14" i="1"/>
  <c r="O17" i="1"/>
  <c r="O13" i="1"/>
  <c r="I14" i="1"/>
  <c r="J13" i="1"/>
  <c r="J17" i="1"/>
  <c r="C19" i="5"/>
  <c r="H19" i="5" s="1"/>
  <c r="B19" i="5"/>
  <c r="D19" i="5" s="1"/>
  <c r="T20" i="5" s="1"/>
  <c r="C18" i="5"/>
  <c r="B18" i="5"/>
  <c r="D18" i="5" s="1"/>
  <c r="C17" i="5"/>
  <c r="K17" i="5" s="1"/>
  <c r="B17" i="5"/>
  <c r="D17" i="5" s="1"/>
  <c r="I17" i="5" s="1"/>
  <c r="L18" i="1"/>
  <c r="G18" i="1"/>
  <c r="F24" i="5" s="1"/>
  <c r="E18" i="1"/>
  <c r="H18" i="1" s="1"/>
  <c r="E24" i="5" s="1"/>
  <c r="D18" i="1"/>
  <c r="V18" i="1" s="1"/>
  <c r="L10" i="1"/>
  <c r="G10" i="1"/>
  <c r="F16" i="5" s="1"/>
  <c r="E10" i="1"/>
  <c r="H10" i="1" s="1"/>
  <c r="E16" i="5" s="1"/>
  <c r="D10" i="1"/>
  <c r="T10" i="1" s="1"/>
  <c r="H18" i="5" l="1"/>
  <c r="K18" i="5"/>
  <c r="K19" i="5"/>
  <c r="H17" i="5"/>
  <c r="S17" i="5"/>
  <c r="U17" i="5"/>
  <c r="S18" i="5"/>
  <c r="G23" i="5"/>
  <c r="H23" i="5"/>
  <c r="I23" i="5"/>
  <c r="K23" i="5"/>
  <c r="S23" i="5"/>
  <c r="T23" i="5"/>
  <c r="U23" i="5"/>
  <c r="U24" i="5"/>
  <c r="G24" i="5"/>
  <c r="H24" i="5"/>
  <c r="V24" i="5"/>
  <c r="I24" i="5"/>
  <c r="K24" i="5"/>
  <c r="S24" i="5"/>
  <c r="T24" i="5"/>
  <c r="L23" i="5"/>
  <c r="G16" i="5"/>
  <c r="L24" i="5"/>
  <c r="W10" i="1"/>
  <c r="V19" i="5"/>
  <c r="L18" i="5"/>
  <c r="L17" i="5"/>
  <c r="V17" i="5"/>
  <c r="V18" i="5"/>
  <c r="L19" i="5"/>
  <c r="V10" i="1"/>
  <c r="M18" i="1"/>
  <c r="O18" i="1"/>
  <c r="W18" i="1"/>
  <c r="J18" i="1"/>
  <c r="I18" i="1"/>
  <c r="N18" i="1"/>
  <c r="N10" i="1"/>
  <c r="P18" i="1"/>
  <c r="O10" i="1"/>
  <c r="T18" i="1"/>
  <c r="M10" i="1"/>
  <c r="P10" i="1"/>
  <c r="I10" i="1"/>
  <c r="J10" i="1"/>
  <c r="B16" i="5" l="1"/>
  <c r="D16" i="5" s="1"/>
  <c r="C16" i="5"/>
  <c r="B20" i="5"/>
  <c r="D20" i="5" s="1"/>
  <c r="C20" i="5"/>
  <c r="B21" i="5"/>
  <c r="D21" i="5" s="1"/>
  <c r="C21" i="5"/>
  <c r="B25" i="5"/>
  <c r="D25" i="5" s="1"/>
  <c r="C25" i="5"/>
  <c r="K20" i="5" l="1"/>
  <c r="H20" i="5"/>
  <c r="H21" i="5"/>
  <c r="K21" i="5"/>
  <c r="T17" i="5"/>
  <c r="I16" i="5"/>
  <c r="I21" i="5"/>
  <c r="S21" i="5"/>
  <c r="U21" i="5"/>
  <c r="T21" i="5"/>
  <c r="I20" i="5"/>
  <c r="S20" i="5"/>
  <c r="U20" i="5"/>
  <c r="S16" i="5"/>
  <c r="H16" i="5"/>
  <c r="K16" i="5"/>
  <c r="U16" i="5"/>
  <c r="L19" i="1"/>
  <c r="G19" i="1"/>
  <c r="F25" i="5" s="1"/>
  <c r="E19" i="1"/>
  <c r="H19" i="1" s="1"/>
  <c r="E25" i="5" s="1"/>
  <c r="D19" i="1"/>
  <c r="V19" i="1" s="1"/>
  <c r="G25" i="5" l="1"/>
  <c r="H25" i="5"/>
  <c r="I25" i="5"/>
  <c r="K25" i="5"/>
  <c r="S25" i="5"/>
  <c r="T25" i="5"/>
  <c r="U25" i="5"/>
  <c r="W19" i="1"/>
  <c r="P19" i="1"/>
  <c r="T19" i="1"/>
  <c r="I19" i="1"/>
  <c r="N19" i="1"/>
  <c r="M19" i="1"/>
  <c r="J19" i="1"/>
  <c r="O19" i="1"/>
  <c r="B7" i="5"/>
  <c r="B6" i="5"/>
  <c r="B2" i="5"/>
  <c r="V25" i="5" l="1"/>
  <c r="B8" i="5"/>
  <c r="B3" i="5"/>
  <c r="L25" i="5" l="1"/>
  <c r="B6" i="1" l="1"/>
  <c r="C15" i="5" l="1"/>
  <c r="B15" i="5"/>
  <c r="D15" i="5" s="1"/>
  <c r="T16" i="5" s="1"/>
  <c r="L20" i="5" l="1"/>
  <c r="V20" i="5"/>
  <c r="G9" i="1"/>
  <c r="F15" i="5" s="1"/>
  <c r="E9" i="1"/>
  <c r="H9" i="1" s="1"/>
  <c r="E15" i="5" s="1"/>
  <c r="D9" i="1"/>
  <c r="V9" i="1" s="1"/>
  <c r="K15" i="5" l="1"/>
  <c r="T15" i="5"/>
  <c r="I15" i="5"/>
  <c r="H15" i="5"/>
  <c r="G15" i="5"/>
  <c r="S15" i="5" s="1"/>
  <c r="V15" i="5"/>
  <c r="L15" i="5"/>
  <c r="W9" i="1"/>
  <c r="P9" i="1"/>
  <c r="T9" i="1"/>
  <c r="I9" i="1"/>
  <c r="N9" i="1"/>
  <c r="M9" i="1"/>
  <c r="J9" i="1"/>
  <c r="O9" i="1"/>
  <c r="U15" i="5" l="1"/>
  <c r="Q3" i="1"/>
  <c r="B4" i="5" s="1"/>
  <c r="B5" i="5" s="1"/>
  <c r="V21" i="5" l="1"/>
  <c r="L21" i="5"/>
  <c r="V16" i="5"/>
  <c r="L16" i="5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1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5"/>
  <c r="T21" i="1"/>
  <c r="T7" i="1" l="1"/>
  <c r="W21" i="1"/>
  <c r="G6" i="1" l="1"/>
  <c r="I13" i="5"/>
  <c r="L13" i="5"/>
  <c r="S13" i="5"/>
  <c r="H13" i="5"/>
  <c r="U13" i="5"/>
  <c r="K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C7" i="1"/>
  <c r="N21" i="1"/>
  <c r="O21" i="1"/>
  <c r="J21" i="1"/>
  <c r="I21" i="1"/>
  <c r="P21" i="1"/>
  <c r="Q7" i="1" l="1"/>
  <c r="M68" i="3" s="1"/>
  <c r="L7" i="1"/>
  <c r="G68" i="3" s="1"/>
  <c r="K68" i="3"/>
  <c r="J68" i="3"/>
  <c r="M21" i="1"/>
  <c r="K21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<sst xmlns="http://schemas.openxmlformats.org/spreadsheetml/2006/main" count="544" uniqueCount="428">
  <si>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</si>
  <si>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</si>
  <si>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</si>
  <si>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</si>
  <si>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</si>
  <si>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</si>
  <si>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</si>
  <si>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</si>
  <si>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</si>
  <si>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</si>
  <si>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</si>
  <si>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</si>
  <si>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</si>
  <si>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</si>
  <si>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</si>
  <si>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</si>
  <si>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</si>
  <si>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</si>
  <si>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</si>
  <si>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</si>
  <si>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</si>
  <si>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</si>
  <si>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</si>
  <si>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</si>
  <si>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</si>
  <si>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</si>
  <si>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</si>
  <si>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</si>
  <si>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</si>
  <si>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</si>
  <si>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</si>
  <si>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</si>
  <si>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</si>
  <si>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</si>
  <si>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</si>
  <si>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</si>
  <si>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</si>
  <si>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</si>
  <si>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</si>
  <si>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</si>
  <si>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</si>
  <si>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</si>
  <si>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</si>
  <si>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</si>
  <si>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</si>
  <si>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</si>
  <si>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</si>
  <si>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</si>
  <si>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</si>
  <si>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</si>
  <si>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</si>
  <si>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</si>
  <si>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</si>
  <si>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</si>
  <si>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</si>
  <si>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</si>
  <si>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</si>
  <si>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</si>
  <si>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</si>
  <si>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</si>
  <si>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</si>
  <si>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</si>
  <si>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</si>
  <si>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</si>
  <si>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</si>
  <si>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</si>
  <si>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</si>
  <si>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</si>
  <si>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</si>
  <si>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</si>
  <si>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</si>
  <si>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</si>
  <si>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</si>
  <si>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</si>
  <si>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</si>
  <si>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</si>
  <si>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</si>
  <si>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</si>
  <si>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</si>
  <si>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</si>
  <si>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</si>
  <si>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</si>
  <si>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</si>
  <si>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</si>
  <si>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</si>
  <si>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</si>
  <si>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</si>
  <si>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</si>
  <si>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</si>
  <si>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</si>
  <si>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</si>
  <si>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</si>
  <si>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</si>
  <si>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</si>
  <si>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</si>
  <si>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</si>
  <si>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</si>
  <si>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</si>
  <si>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</si>
  <si>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</si>
  <si>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</si>
  <si>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</si>
  <si>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</si>
  <si>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</si>
  <si>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</si>
  <si>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</si>
  <si>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</si>
  <si>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</si>
  <si>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</si>
  <si>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</si>
  <si>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</si>
  <si>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</si>
  <si>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</si>
  <si>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</si>
  <si>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</si>
  <si>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</si>
  <si>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</si>
  <si>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</si>
  <si>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</si>
  <si>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</si>
  <si>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</si>
  <si>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</si>
  <si>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</si>
  <si>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</si>
  <si>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</si>
  <si>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</si>
  <si>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</si>
  <si>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</si>
  <si>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</si>
  <si>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</si>
  <si>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</si>
  <si>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</si>
  <si>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</si>
  <si>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</si>
  <si>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</si>
  <si>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</si>
  <si>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</si>
  <si>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</si>
  <si>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</si>
  <si>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</si>
  <si>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</si>
  <si>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</si>
  <si>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</si>
  <si>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</si>
  <si>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</si>
  <si>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</si>
  <si>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</si>
  <si>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</si>
  <si>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</si>
  <si>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</si>
  <si>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</si>
  <si>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</si>
  <si>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</si>
  <si>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</si>
  <si>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</si>
  <si>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</si>
  <si>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</si>
  <si>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</si>
  <si>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</si>
  <si>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</si>
  <si>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</si>
  <si>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</si>
  <si>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</si>
  <si>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</si>
  <si>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</si>
  <si>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</si>
  <si>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</si>
  <si>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</si>
  <si>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</si>
  <si>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</si>
  <si>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</si>
  <si>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</si>
  <si>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</si>
  <si>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</si>
  <si>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</si>
  <si>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</si>
  <si>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</si>
  <si>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</si>
  <si>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</si>
  <si>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</si>
  <si>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</si>
  <si>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</si>
  <si>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</si>
  <si>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</si>
  <si>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</si>
  <si>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</si>
  <si>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</si>
  <si>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</si>
  <si>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</si>
  <si>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</si>
  <si>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</si>
  <si>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</si>
  <si>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</si>
  <si>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</si>
  <si>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</si>
  <si>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</si>
  <si>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</si>
  <si>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</si>
  <si>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</si>
  <si>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</si>
  <si>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</si>
  <si>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</si>
  <si>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</si>
  <si>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</si>
  <si>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</si>
  <si>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</si>
  <si>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</si>
  <si>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</si>
  <si>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</si>
  <si>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</si>
  <si>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</si>
  <si>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</si>
  <si>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</si>
  <si>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</si>
  <si>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</si>
  <si>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</si>
  <si>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</si>
  <si>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</si>
  <si>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</si>
  <si>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</si>
  <si>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</si>
  <si>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</si>
  <si>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</si>
  <si>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</si>
  <si>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</si>
  <si>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</si>
  <si>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</si>
  <si>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</si>
  <si>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</si>
  <si>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</si>
  <si>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</si>
  <si>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</si>
  <si>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</si>
  <si>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</si>
  <si>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</si>
  <si>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</si>
  <si>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</si>
  <si>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</si>
  <si>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</si>
  <si>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</si>
  <si>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</si>
  <si>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</si>
  <si>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</si>
  <si>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</si>
  <si>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</si>
  <si>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</si>
  <si>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</si>
  <si>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</si>
  <si>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</si>
  <si>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</si>
  <si>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</si>
  <si>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</si>
  <si>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</si>
  <si>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</si>
  <si>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</si>
  <si>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</si>
  <si>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</si>
  <si>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</si>
  <si>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</si>
  <si>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</si>
  <si>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</si>
  <si>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</si>
  <si>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</si>
  <si>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</si>
  <si>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</si>
  <si>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</si>
  <si>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</si>
  <si>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</si>
  <si>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</si>
  <si>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</si>
  <si>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</si>
  <si>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</si>
  <si>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</si>
  <si>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</si>
  <si>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</si>
  <si>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</si>
  <si>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</si>
  <si>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</si>
  <si>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</si>
  <si>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</si>
  <si>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</si>
  <si>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</si>
  <si>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</si>
  <si>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</si>
  <si>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</si>
  <si>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</si>
  <si>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</si>
  <si>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</si>
  <si>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</si>
  <si>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</si>
  <si>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</si>
  <si>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</si>
  <si>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</si>
  <si>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</si>
  <si>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</si>
  <si>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</si>
  <si>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</si>
  <si>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</si>
  <si>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</si>
  <si>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</si>
  <si>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</si>
  <si>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</si>
  <si>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</si>
  <si>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</si>
  <si>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</si>
  <si>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</si>
  <si>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</si>
  <si>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</si>
  <si>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</si>
  <si>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</si>
  <si>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</si>
  <si>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</si>
  <si>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</si>
  <si>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</si>
  <si>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</si>
  <si>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</si>
  <si>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</si>
  <si>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</si>
  <si>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</si>
  <si>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</si>
  <si>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</si>
  <si>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</si>
  <si>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</si>
  <si>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</si>
  <si>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</si>
  <si>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</si>
  <si>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</si>
  <si>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</si>
  <si>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</si>
  <si>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</si>
  <si>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</si>
  <si>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</si>
  <si>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</si>
  <si>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</si>
  <si>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</si>
  <si>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</si>
  <si>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</si>
  <si>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</si>
  <si>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</si>
  <si>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</si>
  <si>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</si>
  <si>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</si>
  <si>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</si>
  <si>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</si>
  <si>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</si>
  <si>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</si>
  <si>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</si>
  <si>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</si>
  <si>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</si>
  <si>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</si>
  <si>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</si>
  <si>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</si>
  <si>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</si>
  <si>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</si>
  <si>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</si>
  <si>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varchar(1)</t>
  </si>
  <si>
    <t>Decimal(18,5)</t>
  </si>
  <si>
    <t>nvarchar(40)</t>
  </si>
  <si>
    <t>nvarchar(50)</t>
  </si>
  <si>
    <t>Description</t>
  </si>
  <si>
    <t>nvarchar(10)</t>
  </si>
  <si>
    <t>Datetime</t>
  </si>
  <si>
    <t>nvarchar(255)</t>
  </si>
  <si>
    <t>nvarchar(15)</t>
  </si>
  <si>
    <t>InvCpsInvoiceHeaders</t>
  </si>
  <si>
    <t>InvoiceHeaders</t>
  </si>
  <si>
    <t>Cps Invoice Headers</t>
  </si>
  <si>
    <t>CPS</t>
  </si>
  <si>
    <t>Cps</t>
  </si>
  <si>
    <t>InvCps</t>
  </si>
  <si>
    <t>Invoice_Num</t>
  </si>
  <si>
    <t>Invoice_Symbol</t>
  </si>
  <si>
    <t>Invoice_Date</t>
  </si>
  <si>
    <t>Vendor_Id</t>
  </si>
  <si>
    <t>Vendor_Name</t>
  </si>
  <si>
    <t>Currency_Code</t>
  </si>
  <si>
    <t>Invoice_Amount</t>
  </si>
  <si>
    <t>Amount_Vat</t>
  </si>
  <si>
    <t>Tax_Rate</t>
  </si>
  <si>
    <t>Inventory.CPS</t>
  </si>
  <si>
    <t>Search</t>
  </si>
  <si>
    <t>Field</t>
  </si>
  <si>
    <t>Type</t>
  </si>
  <si>
    <t>Source</t>
  </si>
  <si>
    <t>Note</t>
  </si>
  <si>
    <t>PO Number</t>
  </si>
  <si>
    <t>Text Box</t>
  </si>
  <si>
    <t>Inventory Group</t>
  </si>
  <si>
    <t>ComboBox</t>
  </si>
  <si>
    <t>MST_INV_CPS_INVENTORY_GROUP_GETALL</t>
  </si>
  <si>
    <t>Supplier</t>
  </si>
  <si>
    <t>MST_INV_CPS_SUPPLIERS_GETALL</t>
  </si>
  <si>
    <t>Date Picker</t>
  </si>
  <si>
    <t>Mặc định = now() -30</t>
  </si>
  <si>
    <t>Part No</t>
  </si>
  <si>
    <t>Part Name</t>
  </si>
  <si>
    <t>STT</t>
  </si>
  <si>
    <t>Vendor Name</t>
  </si>
  <si>
    <t>format tiền</t>
  </si>
  <si>
    <t>Unit Price</t>
  </si>
  <si>
    <t>Quantity</t>
  </si>
  <si>
    <t>là trường Item Description</t>
  </si>
  <si>
    <t>Invoice No</t>
  </si>
  <si>
    <t>Invoice Symbol</t>
  </si>
  <si>
    <t>Invoice Date</t>
  </si>
  <si>
    <t>From Date</t>
  </si>
  <si>
    <t>To Date</t>
  </si>
  <si>
    <t>Vat Invoice No</t>
  </si>
  <si>
    <t>Vat Registration Number</t>
  </si>
  <si>
    <t>Amount</t>
  </si>
  <si>
    <t>Currency</t>
  </si>
  <si>
    <t>Grid Invoice Headers</t>
  </si>
  <si>
    <t>Grid Invoice Lines</t>
  </si>
  <si>
    <t>Quantity PO</t>
  </si>
  <si>
    <t>Amout VAT</t>
  </si>
  <si>
    <t>Tax Rate</t>
  </si>
  <si>
    <t>Format Qty</t>
  </si>
  <si>
    <t>Mặc định là GPS, value = id, text= Productgroupname, thêm chọn Tất cả, Tất cả value = -1</t>
  </si>
  <si>
    <t>Mặc định là tất cả, value = id, text= SupplierName thêm chọn Tất cả, Tất cả value = -1</t>
  </si>
  <si>
    <t>InvoiceNum</t>
  </si>
  <si>
    <t>CreationTime, format date</t>
  </si>
  <si>
    <t>Productgroupname</t>
  </si>
  <si>
    <t>SupplierName</t>
  </si>
  <si>
    <t>VatregistrationInvoice</t>
  </si>
  <si>
    <t>VatregistrationNum</t>
  </si>
  <si>
    <t>INV_CPS_INVOICE_HEADERS_SEARCH</t>
  </si>
  <si>
    <t>QuantityOrder,Format Qty</t>
  </si>
  <si>
    <t>INV_CPS_INVOICE_LINES_GETBYID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</si>
</sst>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93"/>
  <sheetViews>
    <sheetView tabSelected="1" topLeftCell="B73" zoomScaleNormal="100" workbookViewId="0">
      <selection activeCell="B91" sqref="B91"/>
    </sheetView>
  </sheetViews>
  <sheetFormatPr defaultColWidth="8.81640625" defaultRowHeight="14.5" x14ac:dyDescent="0.35"/>
  <cols>
    <col min="1" max="1" width="3.453125" customWidth="1"/>
    <col min="2" max="2" width="18.453125" customWidth="1"/>
    <col min="3" max="5" width="26.1796875" customWidth="1"/>
    <col min="6" max="6" width="45.81640625" customWidth="1"/>
    <col min="7" max="10" width="26.1796875" customWidth="1"/>
    <col min="11" max="11" width="26.453125" customWidth="1"/>
    <col min="12" max="12" width="27.7265625" customWidth="1"/>
    <col min="13" max="13" width="25.453125" customWidth="1"/>
    <col min="14" max="18" width="18.453125" customWidth="1"/>
  </cols>
  <sheetData>
    <row r="1" spans="1:7" ht="23.5" x14ac:dyDescent="0.55000000000000004">
      <c r="A1" s="14" t="s">
        <v>70</v>
      </c>
    </row>
    <row r="2" spans="1:7" ht="15.5" x14ac:dyDescent="0.35">
      <c r="A2" s="1"/>
      <c r="B2" s="25" t="s">
        <v>192</v>
      </c>
    </row>
    <row r="3" spans="1:7" x14ac:dyDescent="0.35">
      <c r="A3" s="1"/>
      <c r="B3" s="1" t="s">
        <v>73</v>
      </c>
    </row>
    <row r="4" spans="1:7" x14ac:dyDescent="0.35">
      <c r="A4" s="1"/>
      <c r="B4" t="s">
        <v>72</v>
      </c>
    </row>
    <row r="5" spans="1:7" x14ac:dyDescent="0.35">
      <c r="A5" s="1"/>
      <c r="B5" t="s">
        <v>75</v>
      </c>
    </row>
    <row r="6" spans="1:7" x14ac:dyDescent="0.35">
      <c r="A6" s="1"/>
      <c r="B6" t="s">
        <v>83</v>
      </c>
    </row>
    <row r="7" spans="1:7" x14ac:dyDescent="0.3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35">
      <c r="A8" s="1"/>
      <c r="C8" t="s">
        <v>85</v>
      </c>
      <c r="F8" s="1" t="s">
        <v>229</v>
      </c>
      <c r="G8" t="s">
        <v>229</v>
      </c>
    </row>
    <row r="9" spans="1:7" x14ac:dyDescent="0.35">
      <c r="A9" s="1"/>
      <c r="C9" t="s">
        <v>84</v>
      </c>
      <c r="F9" s="1" t="s">
        <v>94</v>
      </c>
      <c r="G9" t="s">
        <v>94</v>
      </c>
    </row>
    <row r="10" spans="1:7" x14ac:dyDescent="0.35">
      <c r="A10" s="1"/>
      <c r="D10" t="s">
        <v>85</v>
      </c>
      <c r="F10" s="1" t="s">
        <v>229</v>
      </c>
      <c r="G10" t="s">
        <v>280</v>
      </c>
    </row>
    <row r="11" spans="1:7" x14ac:dyDescent="0.35">
      <c r="A11" s="1"/>
      <c r="D11" t="s">
        <v>86</v>
      </c>
      <c r="F11" s="1" t="s">
        <v>95</v>
      </c>
      <c r="G11" t="s">
        <v>281</v>
      </c>
    </row>
    <row r="12" spans="1:7" x14ac:dyDescent="0.35">
      <c r="A12" s="1"/>
      <c r="D12" t="s">
        <v>87</v>
      </c>
      <c r="F12" s="1" t="s">
        <v>96</v>
      </c>
      <c r="G12" t="s">
        <v>282</v>
      </c>
    </row>
    <row r="13" spans="1:7" x14ac:dyDescent="0.35">
      <c r="A13" s="1"/>
      <c r="D13" t="s">
        <v>88</v>
      </c>
      <c r="F13" s="1" t="s">
        <v>97</v>
      </c>
      <c r="G13" t="s">
        <v>283</v>
      </c>
    </row>
    <row r="14" spans="1:7" x14ac:dyDescent="0.35">
      <c r="A14" s="1"/>
      <c r="D14" t="s">
        <v>89</v>
      </c>
      <c r="F14" s="1" t="s">
        <v>98</v>
      </c>
      <c r="G14" t="s">
        <v>284</v>
      </c>
    </row>
    <row r="15" spans="1:7" x14ac:dyDescent="0.35">
      <c r="A15" s="1"/>
      <c r="D15" t="s">
        <v>90</v>
      </c>
      <c r="F15" s="1" t="s">
        <v>99</v>
      </c>
      <c r="G15" t="s">
        <v>285</v>
      </c>
    </row>
    <row r="16" spans="1:7" ht="12" customHeight="1" x14ac:dyDescent="0.3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35">
      <c r="A17" s="1"/>
      <c r="D17" t="s">
        <v>300</v>
      </c>
      <c r="F17" s="1" t="s">
        <v>301</v>
      </c>
      <c r="G17" t="s">
        <v>302</v>
      </c>
    </row>
    <row r="18" spans="1:7" x14ac:dyDescent="0.35">
      <c r="A18" s="1"/>
      <c r="D18" t="s">
        <v>345</v>
      </c>
      <c r="F18" s="1" t="s">
        <v>347</v>
      </c>
      <c r="G18" t="s">
        <v>346</v>
      </c>
    </row>
    <row r="19" spans="1:7" x14ac:dyDescent="0.35">
      <c r="A19" s="1"/>
      <c r="C19" t="s">
        <v>87</v>
      </c>
      <c r="F19" s="1" t="s">
        <v>96</v>
      </c>
      <c r="G19" t="s">
        <v>96</v>
      </c>
    </row>
    <row r="20" spans="1:7" x14ac:dyDescent="0.35">
      <c r="A20" s="1"/>
      <c r="D20" t="s">
        <v>91</v>
      </c>
      <c r="F20" s="1" t="s">
        <v>110</v>
      </c>
      <c r="G20" t="s">
        <v>287</v>
      </c>
    </row>
    <row r="21" spans="1:7" x14ac:dyDescent="0.35">
      <c r="A21" s="1"/>
      <c r="D21" t="s">
        <v>92</v>
      </c>
      <c r="F21" s="1" t="s">
        <v>100</v>
      </c>
      <c r="G21" t="s">
        <v>288</v>
      </c>
    </row>
    <row r="22" spans="1:7" x14ac:dyDescent="0.35">
      <c r="A22" s="1"/>
      <c r="C22" t="s">
        <v>88</v>
      </c>
      <c r="F22" s="1" t="s">
        <v>97</v>
      </c>
      <c r="G22" t="s">
        <v>97</v>
      </c>
    </row>
    <row r="23" spans="1:7" x14ac:dyDescent="0.35">
      <c r="A23" s="1"/>
      <c r="D23" t="s">
        <v>91</v>
      </c>
      <c r="F23" s="1" t="s">
        <v>110</v>
      </c>
      <c r="G23" t="s">
        <v>297</v>
      </c>
    </row>
    <row r="24" spans="1:7" x14ac:dyDescent="0.35">
      <c r="A24" s="1"/>
      <c r="C24" t="s">
        <v>86</v>
      </c>
      <c r="F24" s="1" t="s">
        <v>95</v>
      </c>
      <c r="G24" t="s">
        <v>95</v>
      </c>
    </row>
    <row r="25" spans="1:7" x14ac:dyDescent="0.35">
      <c r="A25" s="1"/>
      <c r="D25" t="s">
        <v>91</v>
      </c>
      <c r="F25" s="1" t="s">
        <v>110</v>
      </c>
      <c r="G25" t="s">
        <v>296</v>
      </c>
    </row>
    <row r="26" spans="1:7" x14ac:dyDescent="0.35">
      <c r="A26" s="1"/>
      <c r="C26" t="s">
        <v>89</v>
      </c>
      <c r="F26" s="1" t="s">
        <v>98</v>
      </c>
      <c r="G26" t="s">
        <v>98</v>
      </c>
    </row>
    <row r="27" spans="1:7" x14ac:dyDescent="0.35">
      <c r="A27" s="1"/>
      <c r="C27" t="s">
        <v>265</v>
      </c>
      <c r="F27" s="1" t="s">
        <v>266</v>
      </c>
      <c r="G27" t="s">
        <v>266</v>
      </c>
    </row>
    <row r="28" spans="1:7" x14ac:dyDescent="0.35">
      <c r="A28" s="1"/>
      <c r="D28" t="s">
        <v>267</v>
      </c>
      <c r="F28" s="1" t="s">
        <v>269</v>
      </c>
      <c r="G28" t="s">
        <v>289</v>
      </c>
    </row>
    <row r="29" spans="1:7" x14ac:dyDescent="0.35">
      <c r="A29" s="1"/>
      <c r="D29" t="s">
        <v>270</v>
      </c>
      <c r="F29" s="1" t="s">
        <v>268</v>
      </c>
      <c r="G29" t="s">
        <v>290</v>
      </c>
    </row>
    <row r="30" spans="1:7" x14ac:dyDescent="0.35">
      <c r="A30" s="1"/>
      <c r="D30" t="s">
        <v>271</v>
      </c>
      <c r="F30" s="1" t="s">
        <v>274</v>
      </c>
      <c r="G30" t="s">
        <v>291</v>
      </c>
    </row>
    <row r="31" spans="1:7" x14ac:dyDescent="0.35">
      <c r="A31" s="1"/>
      <c r="D31" t="s">
        <v>272</v>
      </c>
      <c r="F31" s="1" t="s">
        <v>275</v>
      </c>
      <c r="G31" t="s">
        <v>292</v>
      </c>
    </row>
    <row r="32" spans="1:7" x14ac:dyDescent="0.35">
      <c r="A32" s="1"/>
      <c r="D32" t="s">
        <v>273</v>
      </c>
      <c r="F32" s="1" t="s">
        <v>276</v>
      </c>
      <c r="G32" t="s">
        <v>293</v>
      </c>
    </row>
    <row r="33" spans="1:8" x14ac:dyDescent="0.35">
      <c r="A33" s="1"/>
      <c r="D33" t="s">
        <v>278</v>
      </c>
      <c r="F33" s="1" t="s">
        <v>277</v>
      </c>
      <c r="G33" t="s">
        <v>294</v>
      </c>
    </row>
    <row r="34" spans="1:8" x14ac:dyDescent="0.35">
      <c r="A34" s="1"/>
      <c r="C34" t="s">
        <v>300</v>
      </c>
      <c r="F34" s="1" t="s">
        <v>301</v>
      </c>
      <c r="G34" t="s">
        <v>301</v>
      </c>
    </row>
    <row r="35" spans="1:8" x14ac:dyDescent="0.35">
      <c r="A35" s="1"/>
      <c r="D35" t="s">
        <v>303</v>
      </c>
      <c r="F35" s="1" t="s">
        <v>304</v>
      </c>
      <c r="G35" t="s">
        <v>305</v>
      </c>
    </row>
    <row r="36" spans="1:8" x14ac:dyDescent="0.35">
      <c r="A36" s="1"/>
      <c r="D36" t="s">
        <v>92</v>
      </c>
      <c r="F36" s="1" t="s">
        <v>100</v>
      </c>
      <c r="G36" t="s">
        <v>306</v>
      </c>
    </row>
    <row r="37" spans="1:8" x14ac:dyDescent="0.35">
      <c r="A37" s="1"/>
      <c r="D37" t="s">
        <v>307</v>
      </c>
      <c r="F37" s="1" t="s">
        <v>308</v>
      </c>
      <c r="G37" t="s">
        <v>309</v>
      </c>
    </row>
    <row r="38" spans="1:8" x14ac:dyDescent="0.35">
      <c r="A38" s="1"/>
      <c r="D38" t="s">
        <v>310</v>
      </c>
      <c r="F38" s="1" t="s">
        <v>311</v>
      </c>
      <c r="G38" t="s">
        <v>312</v>
      </c>
    </row>
    <row r="39" spans="1:8" x14ac:dyDescent="0.35">
      <c r="A39" s="1"/>
      <c r="D39" t="s">
        <v>314</v>
      </c>
      <c r="F39" s="1" t="s">
        <v>315</v>
      </c>
      <c r="G39" t="s">
        <v>316</v>
      </c>
    </row>
    <row r="40" spans="1:8" x14ac:dyDescent="0.35">
      <c r="A40" s="1"/>
      <c r="C40" t="s">
        <v>313</v>
      </c>
      <c r="F40" s="1" t="s">
        <v>295</v>
      </c>
      <c r="G40" t="s">
        <v>295</v>
      </c>
    </row>
    <row r="41" spans="1:8" x14ac:dyDescent="0.3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35">
      <c r="A42" s="1"/>
      <c r="C42" t="s">
        <v>319</v>
      </c>
      <c r="F42" s="1" t="s">
        <v>332</v>
      </c>
      <c r="G42" t="s">
        <v>332</v>
      </c>
    </row>
    <row r="43" spans="1:8" x14ac:dyDescent="0.35">
      <c r="A43" s="1"/>
      <c r="D43" t="s">
        <v>320</v>
      </c>
      <c r="F43" s="1" t="s">
        <v>326</v>
      </c>
      <c r="G43" t="s">
        <v>333</v>
      </c>
    </row>
    <row r="44" spans="1:8" x14ac:dyDescent="0.35">
      <c r="A44" s="1"/>
      <c r="D44" t="s">
        <v>322</v>
      </c>
      <c r="F44" s="1" t="s">
        <v>327</v>
      </c>
      <c r="G44" t="s">
        <v>334</v>
      </c>
    </row>
    <row r="45" spans="1:8" x14ac:dyDescent="0.35">
      <c r="A45" s="1"/>
      <c r="D45" t="s">
        <v>321</v>
      </c>
      <c r="F45" s="1" t="s">
        <v>328</v>
      </c>
      <c r="G45" t="s">
        <v>335</v>
      </c>
    </row>
    <row r="46" spans="1:8" x14ac:dyDescent="0.35">
      <c r="A46" s="1"/>
      <c r="D46" t="s">
        <v>324</v>
      </c>
      <c r="F46" s="1" t="s">
        <v>329</v>
      </c>
      <c r="G46" t="s">
        <v>336</v>
      </c>
    </row>
    <row r="47" spans="1:8" x14ac:dyDescent="0.35">
      <c r="A47" s="1"/>
      <c r="D47" t="s">
        <v>342</v>
      </c>
      <c r="F47" s="1" t="s">
        <v>343</v>
      </c>
      <c r="G47" t="s">
        <v>344</v>
      </c>
    </row>
    <row r="48" spans="1:8" x14ac:dyDescent="0.35">
      <c r="A48" s="1"/>
      <c r="D48" t="s">
        <v>325</v>
      </c>
      <c r="F48" s="1" t="s">
        <v>330</v>
      </c>
      <c r="G48" t="s">
        <v>337</v>
      </c>
    </row>
    <row r="49" spans="1:7" x14ac:dyDescent="0.35">
      <c r="A49" s="1"/>
      <c r="D49" t="s">
        <v>323</v>
      </c>
      <c r="F49" s="1" t="s">
        <v>331</v>
      </c>
      <c r="G49" t="s">
        <v>338</v>
      </c>
    </row>
    <row r="50" spans="1:7" x14ac:dyDescent="0.35">
      <c r="A50" s="1"/>
      <c r="D50" t="s">
        <v>339</v>
      </c>
      <c r="F50" s="1" t="s">
        <v>340</v>
      </c>
      <c r="G50" t="s">
        <v>341</v>
      </c>
    </row>
    <row r="51" spans="1:7" x14ac:dyDescent="0.35">
      <c r="A51" s="1"/>
      <c r="D51" t="s">
        <v>367</v>
      </c>
      <c r="F51" s="1" t="s">
        <v>368</v>
      </c>
      <c r="G51" t="s">
        <v>369</v>
      </c>
    </row>
    <row r="52" spans="1:7" x14ac:dyDescent="0.35">
      <c r="A52" s="1"/>
      <c r="B52" t="s">
        <v>82</v>
      </c>
    </row>
    <row r="53" spans="1:7" x14ac:dyDescent="0.35">
      <c r="A53" s="1"/>
      <c r="B53" t="s">
        <v>79</v>
      </c>
    </row>
    <row r="54" spans="1:7" x14ac:dyDescent="0.35">
      <c r="A54" s="1"/>
      <c r="C54" s="17" t="s">
        <v>76</v>
      </c>
    </row>
    <row r="55" spans="1:7" x14ac:dyDescent="0.35">
      <c r="A55" s="1"/>
      <c r="C55" s="16" t="s">
        <v>77</v>
      </c>
    </row>
    <row r="56" spans="1:7" x14ac:dyDescent="0.35">
      <c r="A56" s="1"/>
      <c r="C56" s="16" t="s">
        <v>78</v>
      </c>
    </row>
    <row r="57" spans="1:7" x14ac:dyDescent="0.35">
      <c r="A57" s="1"/>
      <c r="B57" t="s">
        <v>102</v>
      </c>
      <c r="C57" s="16"/>
    </row>
    <row r="58" spans="1:7" x14ac:dyDescent="0.35">
      <c r="A58" s="1"/>
      <c r="C58" s="16" t="s">
        <v>103</v>
      </c>
    </row>
    <row r="59" spans="1:7" x14ac:dyDescent="0.35">
      <c r="A59" s="1"/>
      <c r="C59" s="16" t="s">
        <v>104</v>
      </c>
    </row>
    <row r="60" spans="1:7" x14ac:dyDescent="0.35">
      <c r="A60" s="1"/>
      <c r="C60" s="16" t="s">
        <v>105</v>
      </c>
    </row>
    <row r="61" spans="1:7" x14ac:dyDescent="0.35">
      <c r="A61" s="1"/>
      <c r="C61" s="16" t="s">
        <v>107</v>
      </c>
    </row>
    <row r="62" spans="1:7" x14ac:dyDescent="0.35">
      <c r="A62" s="1"/>
      <c r="C62" s="16" t="s">
        <v>109</v>
      </c>
    </row>
    <row r="63" spans="1:7" x14ac:dyDescent="0.35">
      <c r="A63" s="1"/>
      <c r="C63" s="16" t="s">
        <v>108</v>
      </c>
    </row>
    <row r="64" spans="1:7" x14ac:dyDescent="0.35">
      <c r="A64" s="1"/>
      <c r="C64" s="16" t="s">
        <v>106</v>
      </c>
    </row>
    <row r="65" spans="2:14" ht="21" customHeight="1" x14ac:dyDescent="0.35">
      <c r="B65" s="19" t="s">
        <v>74</v>
      </c>
    </row>
    <row r="66" spans="2:14" ht="21" customHeight="1" x14ac:dyDescent="0.35">
      <c r="B66" s="59" t="s">
        <v>226</v>
      </c>
    </row>
    <row r="67" spans="2:14" ht="15" thickBot="1" x14ac:dyDescent="0.4">
      <c r="C67" s="1" t="s">
        <v>68</v>
      </c>
      <c r="D67" s="1" t="s">
        <v>202</v>
      </c>
      <c r="E67" s="1" t="s">
        <v>203</v>
      </c>
      <c r="F67" s="1" t="s">
        <v>194</v>
      </c>
      <c r="G67" s="1" t="s">
        <v>195</v>
      </c>
      <c r="H67" s="1" t="s">
        <v>196</v>
      </c>
      <c r="I67" s="1" t="s">
        <v>197</v>
      </c>
      <c r="J67" s="1" t="s">
        <v>201</v>
      </c>
      <c r="K67" s="1" t="s">
        <v>204</v>
      </c>
      <c r="L67" s="1" t="s">
        <v>205</v>
      </c>
      <c r="M67" s="1" t="s">
        <v>206</v>
      </c>
      <c r="N67" s="1" t="s">
        <v>222</v>
      </c>
    </row>
    <row r="68" spans="2:14" s="15" customFormat="1" ht="21.75" customHeight="1" thickBot="1" x14ac:dyDescent="0.4">
      <c r="B68" s="49" t="s">
        <v>221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prod.Inventory.CPS
{
	[Table("InvCpsInvoiceHeaders")]
	public class InvCpsInvoiceHeaders: FullAuditedEntity&lt;long&gt;, IEntity&lt;long&gt;	
	{
		public const int MaxInvoiceNumLength = 50;
		public const int MaxInvoiceSymbolLength = 10;
		public const int MaxDescriptionLength = 40;
		public const int MaxVendorNameLength = 255;
		public const int MaxCurrencyCodeLength = 15;
		public const int MaxIsActiveLength = 1;
		[StringLength(MaxInvoiceNumLength)]
		public virtual string InvoiceNum { get; set; }
		[StringLength(MaxInvoiceSymbolLength)]
		public virtual string InvoiceSymbol { get; set; }
		[StringLength(MaxDescriptionLength)]
		public virtual string Description { get; set; }
		public virtual DateTime? InvoiceDate { get; set; }
		public virtual long? VendorId { get; set; }
		[StringLength(MaxVendorNameLength)]
		public virtual string VendorName { get; set; }
		[StringLength(MaxCurrencyCodeLength)]
		public virtual string CurrencyCode { get; set; }
		public virtual decimal? InvoiceAmount { get; set; }
		public virtual decimal? AmountVat { get; set; }
		public virtual decimal? TaxRate { get; set; }
		[StringLength(MaxIsActiveLength)]
		public virtual string IsActive { get; set; }
	}
}
</v>
      </c>
      <c r="D68" s="48" t="str">
        <f>A.Backend!O7</f>
        <v xml:space="preserve">		public const string Pages_Inventory_CPS_InvoiceHeaders = "Pages.Inventory.CPS.InvoiceHeaders";
		public const string Pages_Inventory_CPS_InvoiceHeaders_CreateEdit = "Pages.Inventory.CPS.InvoiceHeaders.CreateEdit";
		public const string Pages_Inventory_CPS_InvoiceHeaders_Delete = "Pages.Inventory.CPS.InvoiceHeaders.Delete";
</v>
      </c>
      <c r="E68" s="48" t="str">
        <f>A.Backend!N7</f>
        <v xml:space="preserve">		var perInvCpsInvoiceHeaders = PARENTS.CreateChildPermission(AppPermissions.Pages_Inventory_CPS_InvoiceHeaders, L( "InventoryCPSInvoiceHeaders"), multiTenancySides: MultiTenancySides.Tenant);
		perInvCpsInvoiceHeaders.CreateChildPermission(AppPermissions.Pages_Inventory_CPS_InvoiceHeaders_CreateEdit, L( "InventoryCPSInvoiceHeadersCreateEdit"), multiTenancySides: MultiTenancySides.Tenant);
		perInvCpsInvoiceHeaders.CreateChildPermission(AppPermissions.Pages_Inventory_CPS_InvoiceHeaders_Delete, L( "InventoryCPSInvoiceHeadersDelete"), multiTenancySides: MultiTenancySides.Tenant);</v>
      </c>
      <c r="F68" s="48" t="str">
        <f>A.Backend!K7</f>
        <v>public virtual DbSet&lt;InvCpsInvoiceHeaders&gt; InvCpsInvoiceHeaderss { get; set; }</v>
      </c>
      <c r="G68" s="48" t="str">
        <f ca="1">A.Backend!L7</f>
        <v xml:space="preserve">namespace prod.Inventory.CPS
{
	public class InvCpsInvoiceHeadersConsts	
	{
		public const int MaxInvoiceNumLength = 50;
		public const int MaxInvoiceSymbolLength = 10;
		public const int MaxDescriptionLength = 40;
		public const int MaxVendorNameLength = 255;
		public const int MaxCurrencyCodeLength = 15;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prod.Inventory.CPS.Dto
{
	public class InvCpsInvoiceHeadersDto : EntityDto&lt;long?&gt;	
	{
		public virtual string InvoiceNum { get; set; }
		public virtual string InvoiceSymbol { get; set; }
		public virtual string Description { get; set; }
		public virtual DateTime? InvoiceDate { get; set; }
		public virtual long? VendorId { get; set; }
		public virtual string VendorName { get; set; }
		public virtual string CurrencyCode { get; set; }
		public virtual decimal? InvoiceAmount { get; set; }
		public virtual decimal? AmountVat { get; set; }
		public virtual decimal? TaxRate { get; set; }
		public virtual string IsActive { get; set; }
	}
	public class CreateOrEditInvCpsInvoiceHeadersDto : EntityDto&lt;long?&gt;	
	{
		[StringLength(InvCpsInvoiceHeadersConsts.MaxInvoiceNumLength)]
		public virtual string InvoiceNum { get; set; }
		[StringLength(InvCpsInvoiceHeadersConsts.MaxInvoiceSymbolLength)]
		public virtual string InvoiceSymbol { get; set; }
		[StringLength(InvCpsInvoiceHeadersConsts.MaxDescriptionLength)]
		public virtual string Description { get; set; }
		public virtual DateTime? InvoiceDate { get; set; }
		public virtual long? VendorId { get; set; }
		[StringLength(InvCpsInvoiceHeadersConsts.MaxVendorNameLength)]
		public virtual string VendorName { get; set; }
		[StringLength(InvCpsInvoiceHeadersConsts.MaxCurrencyCodeLength)]
		public virtual string CurrencyCode { get; set; }
		public virtual decimal? InvoiceAmount { get; set; }
		public virtual decimal? AmountVat { get; set; }
		public virtual decimal? TaxRate { get; set; }
		[StringLength(InvCpsInvoiceHeadersConsts.MaxIsActiveLength)]
		public virtual string IsActive { get; set; }
	}
	public class GetInvCpsInvoiceHeadersInput : PagedAndSortedResultRequestDto	
	{
		public virtual string InvoiceNum { get; set; }
		public virtual string InvoiceSymbol { get; set; }
		public virtual string Description { get; set; }
		public virtual string VendorName { get; set; }
		public virtual string CurrencyCode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prod.Inventory.CPS.Dto
{
	public class InvCpsInvoiceHeadersExportInput{
		public virtual string InvoiceNum { get; set; }
		public virtual string InvoiceSymbol { get; set; }
		public virtual string Description { get; set; }
		public virtual DateTime? InvoiceDate { get; set; }
		public virtual long? VendorId { get; set; }
		public virtual string VendorName { get; set; }
		public virtual string CurrencyCode { get; set; }
		public virtual decimal? InvoiceAmount { get; set; }
		public virtual decimal? AmountVat { get; set; }
		public virtual decimal? TaxRate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vovina.Inventory.CPS.Dto;
namespace prod.Inventory.CPS
{
	public interface IInvCpsInvoiceHeadersAppService : IApplicationService
	{
		Task&lt;PagedResultDto&lt;InvCpsInvoiceHeadersDto&gt;&gt; GetAll(GetInvCpsInvoiceHeadersInput input);
		Task CreateOrEdit(CreateOrEditInvCpsInvoiceHeadersDto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vovina.Inventory.CPS.Dto;
namespace prod.Inventory.CPS.Exporting
{
	public interface IInvCpsInvoiceHeadersExcelExporter : IApplicationService
	{
		FileDto ExportToFile(List&lt;InvCpsInvoiceHeadersDto&gt; invcpsinvoiceheaders);
	}
}
</v>
      </c>
      <c r="L68" s="48" t="str">
        <f ca="1">A.Backend!T7</f>
        <v>using System.Collections.Generic;
using vovina.DataExporting.Excel.NPOI;
using vovina.Dto;
using vovina.Inventory.CPS.Exporting;
using vovina.Inventory.CPS.Dto;
using vovina.Storage;
using vovina.Inventory.CPS.Dto;
namespace vovina.Inventory.CPS.Exporting
{
    public class InvCpsInvoiceHeadersExcelExporter : NpoiExcelExporterBase, IInvCpsInvoiceHeadersExcelExporter
    {
        public InvCpsInvoiceHeadersExcelExporter(ITempFileCacheManager tempFileCacheManager) : base(tempFileCacheManager) { }
        public FileDto ExportToFile(List&lt;InvCpsInvoiceHeadersDto&gt; invoiceheaders)
        {
            return CreateExcelPackage(
				"InventoryCPSInvoiceHeaders.xlsx",
				excelPackage =&gt;
				 {
					var sheet = excelPackage.CreateSheet("InvoiceHeaders");
					AddHeader(
								sheet,
								("InvoiceNum"),
								("InvoiceSymbol"),
								("Description"),
								("InvoiceDate"),
								("VendorId"),
								("VendorName"),
								("CurrencyCode"),
								("InvoiceAmount"),
								("AmountVat"),
								("TaxRate"),
								("IsActive"),
							   );
					AddObjects(
						 sheet, 1, invoiceheaders,                                       
								_ =&gt; _.InvoiceNum,
								_ =&gt; _.InvoiceSymbol,
								_ =&gt; _.Description,
								_ =&gt; _.InvoiceDate,
								_ =&gt; _.VendorId,
								_ =&gt; _.VendorName,
								_ =&gt; _.CurrencyCode,
								_ =&gt; _.InvoiceAmount,
								_ =&gt; _.AmountVat,
								_ =&gt; _.TaxRate,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vovina.Inventory.CPS.Dto;
using vovina.Inventory.CPS.Exporting;
namespace vovina.Inventory.CPS
{
    [AbpAuthorize(AppPermissions.Pages_Inventory_CPS_InvoiceHeaders)]
    public class InvCpsInvoiceHeadersAppService : vovinaAppServiceBase, IInvCpsInvoiceHeadersAppService
    {
        private readonly IDapperRepository&lt;InvCpsInvoiceHeaders, long&gt; _dapperRepo;
        private readonly IRepository&lt;InvCpsInvoiceHeaders, long&gt; _repo;
        private readonly IInvCpsInvoiceHeadersExcelExporter _calendarListExcelExporter;
        public InvCpsInvoiceHeadersAppService(IRepository&lt;InvCpsInvoiceHeaders,long&gt; repo, 
                                         IDapperRepository&lt;InvCpsInvoiceHeaders,long&gt; dapperRepo,
                                        IInvCpsInvoiceHeadersExcelExporter calendarListExcelExporter
            )
        {
            _repo = repo;
            _dapperRepo = dapperRepo;
            _calendarListExcelExporter = calendarListExcelExporter;
        }
        [AbpAuthorize(AppPermissions.Pages_Inventory_CPS_InvoiceHeaders_CreateEdit)]
        public async Task CreateOrEdit(CreateOrEditInvCpsInvoiceHeadersDto input)
        {
            if (input.Id == null) await Create(input);
            else await Update(input);
        }
        //CREATE
        private async Task Create(CreateOrEditInvCpsInvoiceHeadersDto input)
        {          
            var mainObj = ObjectMapper.Map&lt;InvCpsInvoiceHeaders&gt;(input);
            await CurrentUnitOfWork.GetDbContext&lt;vovinaDbContext&gt;().AddAsync(mainObj);
        }
        // EDIT
        private async Task Update(CreateOrEditInvCpsInvoiceHeadersDto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[AbpAuthorize(AppPermissions.Pages_Inventory_CPS_InvoiceHeaders_Delete)]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Task&lt;PagedResultDto&lt;InvCpsInvoiceHeadersDto&gt;&gt; GetAll(GetInvCpsInvoiceHeadersInput input)
        {
            var filtered = _repo.GetAll()
				.WhereIf(!string.IsNullOrWhiteSpace(input.InvoiceNum), e =&gt; e.InvoiceNum.Contains(input.InvoiceNum))
				.WhereIf(!string.IsNullOrWhiteSpace(input.InvoiceSymbol), e =&gt; e.InvoiceSymbol.Contains(input.InvoiceSymbol))
				.WhereIf(!string.IsNullOrWhiteSpace(input.Description), e =&gt; e.Description.Contains(input.Description))
				.WhereIf(!string.IsNullOrWhiteSpace(input.VendorName), e =&gt; e.VendorName.Contains(input.VendorName))
				.WhereIf(!string.IsNullOrWhiteSpace(input.CurrencyCode), e =&gt; e.CurrencyCode.Contains(input.CurrencyCode))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InvCpsInvoiceHeadersDto
                        {
							Id = o.Id,
							InvoiceNum = o.InvoiceNum,
							InvoiceSymbol = o.InvoiceSymbol,
							Description = o.Description,
							InvoiceDate = o.InvoiceDate,
							VendorId = o.VendorId,
							VendorName = o.VendorName,
							CurrencyCode = o.CurrencyCode,
							InvoiceAmount = o.InvoiceAmount,
							AmountVat = o.AmountVat,
							TaxRate = o.TaxRate,
							IsActive = o.IsActive,
                        };
            var totalCount = await filtered.CountAsync();
			var paged = system.PageBy(input);
            return new PagedResultDto&lt;InvCpsInvoiceHeadersDto&gt;(
                totalCount,
                 await paged.ToListAsync()
            );
        }
        public async Task&lt;FileDto&gt; GetInvoiceHeadersToExcel(InvCpsInvoiceHeadersExportInput input)
        {
            var query = from o in _repo.GetAll()
                        select new InvCpsInvoiceHeadersDto
                        {
							Id = o.Id,
							InvoiceNum = o.InvoiceNum,
							InvoiceSymbol = o.InvoiceSymbol,
							Description = o.Description,
							InvoiceDate = o.InvoiceDate,
							VendorId = o.VendorId,
							VendorName = o.VendorName,
							CurrencyCode = o.CurrencyCode,
							InvoiceAmount = o.InvoiceAmount,
							AmountVat = o.AmountVat,
							TaxRate = o.TaxRate,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_dapperRepo.ExecuteAsync(InvCpsInvoiceHeadersConsts.SP_MST_WPT_CALENDAR_GENERATE);
       // }
    }
}</v>
      </c>
      <c r="N68" s="58" t="str">
        <f>A.Backend!U7</f>
        <v xml:space="preserve">  configuration.CreateMap&lt;InvCpsInvoiceHeadersDto, InvCpsInvoiceHeaders&gt;();
  configuration.CreateMap&lt;InvCpsInvoiceHeaders, InvCpsInvoiceHeadersDto&gt;();
  configuration.CreateMap&lt;CreateOrEditInvCpsInvoiceHeadersDto, InvCpsInvoiceHeaders&gt;();</v>
      </c>
    </row>
    <row r="69" spans="2:14" s="15" customFormat="1" ht="21.75" customHeight="1" x14ac:dyDescent="0.35">
      <c r="C69" s="60"/>
      <c r="H69" s="61"/>
      <c r="I69" s="61"/>
      <c r="M69" s="61"/>
    </row>
    <row r="70" spans="2:14" s="15" customFormat="1" ht="21.75" customHeight="1" x14ac:dyDescent="0.35"/>
    <row r="71" spans="2:14" s="15" customFormat="1" ht="21.75" customHeight="1" x14ac:dyDescent="0.35"/>
    <row r="72" spans="2:14" x14ac:dyDescent="0.35">
      <c r="B72" s="1" t="s">
        <v>69</v>
      </c>
    </row>
    <row r="73" spans="2:14" ht="21" x14ac:dyDescent="0.5">
      <c r="B73" t="str">
        <f>B.Frontend!B8</f>
        <v>invoiceheaders</v>
      </c>
      <c r="C73" s="66" t="str">
        <f>"create folder " &amp;B73</f>
        <v>create folder invoiceheaders</v>
      </c>
      <c r="D73" s="66"/>
      <c r="E73" s="66"/>
      <c r="F73" s="66"/>
      <c r="G73" s="66"/>
      <c r="H73" s="66"/>
      <c r="I73" s="66"/>
      <c r="J73" s="66"/>
      <c r="K73" s="67" t="s">
        <v>223</v>
      </c>
      <c r="L73" s="67"/>
      <c r="M73" s="28"/>
    </row>
    <row r="74" spans="2:14" s="26" customFormat="1" ht="18" customHeight="1" x14ac:dyDescent="0.35">
      <c r="B74" s="56" t="s">
        <v>224</v>
      </c>
      <c r="C74" s="28" t="str">
        <f>B.Frontend!H14</f>
        <v>invoiceheaders.component.ts</v>
      </c>
      <c r="D74" s="28" t="str">
        <f>B.Frontend!I14</f>
        <v>invoiceheaders.component.html</v>
      </c>
      <c r="E74" s="28" t="str">
        <f>B.Frontend!J14</f>
        <v>invoiceheaders.component.less</v>
      </c>
      <c r="F74" s="28" t="str">
        <f>B.Frontend!K14</f>
        <v>create-or-edit-invoiceheaders-modal.component.html</v>
      </c>
      <c r="G74" s="28" t="str">
        <f>B.Frontend!L14</f>
        <v>create-or-edit-invoiceheaders-modal.component.ts</v>
      </c>
      <c r="H74" s="28" t="str">
        <f>B.Frontend!M14</f>
        <v>create-or-edit-invoiceheaders-modal.component.less</v>
      </c>
      <c r="I74" s="28" t="str">
        <f>B.Frontend!N14</f>
        <v>invoiceheaders.module.ts</v>
      </c>
      <c r="J74" s="28" t="str">
        <f>B.Frontend!O14</f>
        <v>invoiceheaders-routing.module.ts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227</v>
      </c>
    </row>
    <row r="75" spans="2:14" ht="21.75" customHeight="1" x14ac:dyDescent="0.35">
      <c r="B75" s="57" t="s">
        <v>221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InvCpsInvoiceHeadersDto, InvCpsInvoiceHeadersServiceProxy } from '@shared/service-proxies/service-proxies';
import { finalize } from 'rxjs/internal/operators/finalize';
import { CreateOrEditInvoiceHeadersModalComponent } from './create-or-edit-invoiceheaders-modal.component';
import { DatePipe } from '@angular/common';
import { FileDownloadService } from '@shared/utils/file-download.service';
import ceil from 'lodash-es/ceil';
import { Paginator } from 'primeng/paginator';
@Component({
    templateUrl: './invoiceheaders.component.html',
    styleUrls: ['./invoiceheaders.component.less'],
})
export class InvoiceHeadersComponent extends AppComponentBase implements OnInit {
    @ViewChild('createOrEditModalInvoiceHeaders', { static: true }) createOrEditModalInvoiceHeaders:| CreateOrEditInvoiceHeadersModalComponent|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InvCpsInvoiceHeadersDto = new InvCpsInvoiceHeadersDto();
    saveSelectedRow: InvCpsInvoiceHeadersDto = new InvCpsInvoiceHeadersDto();
    datas: InvCpsInvoiceHeadersDto = new InvCpsInvoiceHeadersDto();
    isLoading: boolean = false;
    dataParams: GridParams | undefined;
    rowData: any[] = [];
    gridApi!: GridApi;
    rowSelection = 'multiple';
    filter: string = '';
	pipe = new DatePipe('en-US');
	frameworkComponents: FrameworkComponent;
    	invoiceNum : string = '' ; 
	invoiceSymbol : string = '' ; 
	description : string = '' ; 
	vendorName : string = '' ; 
	currencyCode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InvCpsInvoiceHeadersServiceProxy,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this.l('Invoice Num'),headerTooltip: this.l('Invoice Num'),field: 'invoiceNum',flex: 1},
			{headerName: this.l('Invoice Symbol'),headerTooltip: this.l('Invoice Symbol'),field: 'invoiceSymbol',flex: 1},
			{headerName: this.l('Description'),headerTooltip: this.l('Description'),field: 'description',flex: 1},
			{headerName: this.l('Invoice Date'),headerTooltip: this.l('Invoice Date'),field: 'invoiceDate',flex: 1},
			{headerName: this.l('Vendor Id'),headerTooltip: this.l('Vendor Id'),field: 'vendorId',flex: 1},
			{headerName: this.l('Vendor Name'),headerTooltip: this.l('Vendor Name'),field: 'vendorName',flex: 1},
			{headerName: this.l('Currency Code'),headerTooltip: this.l('Currency Code'),field: 'currencyCode',flex: 1},
			{headerName: this.l('Invoice Amount'),headerTooltip: this.l('Invoice Amount'),field: 'invoiceAmount',flex: 1},
			{headerName: this.l('Amount Vat'),headerTooltip: this.l('Amount Vat'),field: 'amountVat',flex: 1},
			{headerName: this.l('Tax Rate'),headerTooltip: this.l('Tax Rate'),field: 'taxRate',flex: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this.invoiceNum,
			this.invoiceSymbol,
			this.vendorId,
			this.vendorName,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invoiceNum : string = '' ; 
	invoiceSymbol : string = '' ; 
	description : string = '' ; 
	vendorName : string = '' ; 
	currencyCode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this.invoiceNum,
			this.invoiceSymbol,
			this.vendorId,
			this.vendorName,
			'',
            this.paginationParams.skipCount,
            this.paginationParams.pageSize
        );
    }
    onChangeRowSelection(params: { api: { getSelectedRows: () =&gt; InvCpsInvoiceHeadersDto[] } }) {
        this.saveSelectedRow = params.api.getSelectedRows()[0] ?? new InvCpsInvoiceHeadersDto();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InvCpsInvoiceHeadersDto):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this._service.getInvoiceHeadersToExcel(
			this.,
			this.invoiceNum,
			this.invoiceSymbol,
			this.vendorId,
			this.vendorName,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Cps Invoice Headers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[(ngModel)]='invoiceNum' name='invoiceNum'
									class='form-control' [placeholder]="l('Invoice Num')"
									type='text' (keyup.enter)='searchDatas()'&gt;
								&lt;/div&gt;
								&lt;div class='input-search'&gt;
									&lt;input [(ngModel)]='invoiceSymbol' name='invoiceSymbol'
									class='form-control' [placeholder]="l('Invoice Symbol')"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[(ngModel)]='vendorName' name='vendorName'
									class='form-control' [placeholder]="l('Vendor Name')"
									type='text' (keyup.enter)='searchDatas()'&gt;
								&lt;/div&gt;
								&lt;div class='input-search'&gt;
									&lt;input [(ngModel)]='currencyCode' name='currencyCode'
									class='form-control' [placeholder]="l('Currency Code')"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(click)="createOrEditModalInvoiceHeaders.show()"&gt;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(click)="createOrEditModalInvoiceHeaders.show(selectedRow)"&gt;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&lt;create-or-edit-invoiceheaders-modal
    #createOrEditModalInvoiceHeaders
    (modalSave)="callBackDataGrid(dataParams)"
    (modalClose)="onChangeRowSelection(dataParams)"
&gt;
&lt;/create-or-edit-invoiceheaders-modal&gt;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#createOrEditModalInvoiceHeaders="bs-modal"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InvoiceHeaders')}}&lt;/h3&gt;
                    &lt;h3 *ngIf="!rowdata.id"&gt;{{('Create New InvoiceHeaders')}}&lt;/h3&gt;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title'&gt;Invoice Num&lt;/label&gt;
						&lt;input type='text' class='col-md-10 form-control input-text' name='InvoiceNum' [(ngModel)]='rowdata.invoiceNum'&gt;
					&lt;/div&gt;
					&lt;div class='col-md-12 form-group row'&gt;
						&lt;label class='col-md-2 form-control title'&gt;Invoice Symbol&lt;/label&gt;
						&lt;input type='text' class='col-md-10 form-control input-text' name='InvoiceSymbol' [(ngModel)]='rowdata.invoiceSymbol'&gt;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title'&gt;Invoice Date&lt;/label&gt;
						&lt;input type='text' class='col-md-10 form-control input-text' name='invoiceDate' 
						#datepicker='bsDatepicker' [(ngModel)]='rowdata.invoiceDate'  bsDatepicker &gt;
					&lt;/div&gt;
					&lt;div class='col-md-12 form-group row'&gt;
						&lt;label class='col-md-2 form-control title'&gt;Vendor Id&lt;/label&gt;
						&lt;input type='number' class='col-md-10 form-control input-text' name='VendorId' [(ngModel)]='rowdata.vendorId'&gt;
					&lt;/div&gt;
					&lt;div class='col-md-12 form-group row'&gt;
						&lt;label class='col-md-2 form-control title'&gt;Vendor Name&lt;/label&gt;
						&lt;input type='text' class='col-md-10 form-control input-text' name='VendorName' [(ngModel)]='rowdata.vendorName'&gt;
					&lt;/div&gt;
					&lt;div class='col-md-12 form-group row'&gt;
						&lt;label class='col-md-2 form-control title'&gt;Currency Code&lt;/label&gt;
						&lt;input type='text' class='col-md-10 form-control input-text' name='CurrencyCode' [(ngModel)]='rowdata.currencyCode'&gt;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CreateOrEditInvCpsInvoiceHeadersDto, InvCpsInvoiceHeadersServiceProxy } from '@shared/service-proxies/service-proxies';
import { BsDatepickerDirective } from 'ngx-bootstrap/datepicker';
@Component({
    selector: 'create-or-edit-invoiceheaders-modal',
    templateUrl: './create-or-edit-invoiceheaders-modal.component.html',
    styleUrls: ['./create-or-edit-invoiceheaders-modal.component.less']
    })
export class CreateOrEditInvoiceHeadersModalComponent extends AppComponentBase {
    @ViewChild('createOrEditModalInvoiceHeaders',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CreateOrEditInvCpsInvoiceHeadersDto = new CreateOrEditInvCpsInvoiceHeadersDto();
    active: boolean = false;
    saving: boolean = false;
    _isActive: boolean;
    constructor(
        injector: Injector,
        private _mstwptInvoiceHeadersService: InvCpsInvoiceHeadersServiceProxy,
    ) 
    {
        super(injector);
    }
    show(rowdata?: CreateOrEditInvCpsInvoiceHeadersDto): void {
        if (!rowdata) this.rowdata = new CreateOrEditInvCpsInvoiceHeadersDto();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this._mstwptInvoiceHeadersService.createOrEdit(this.rowdata)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InvoiceHeadersRoutingModule } from './invoiceheaders-routing.module';
import { InvoiceHeadersComponent } from './invoiceheaders.component';
import { CreateOrEditInvoiceHeadersModalComponent } from './create-or-edit-invoiceheaders-modal.component';
@NgModule({
    declarations: [
       InvoiceHeadersComponent, 
        CreateOrEditInvoiceHeadersModalComponent
    ],
    imports: [
        AppSharedModule, InvoiceHeadersRoutingModule]
})
export class InvoiceHeadersModule {}</v>
      </c>
      <c r="J75" s="46" t="str">
        <f>B.Frontend!O10</f>
        <v>import {NgModule} from '@angular/core';
import {RouterModule, Routes} from '@angular/router';
import { InvoiceHeadersComponent } from './invoiceheaders.component';
const routes: Routes = [{
    path: '',
    component: InvoiceHeadersComponent,
    pathMatch: 'full'
}];
@NgModule({
    imports: [RouterModule.forChild(routes)],
    exports: [RouterModule],
})
export class InvoiceHeadersRoutingModule {}</v>
      </c>
      <c r="K75" s="46" t="str">
        <f>B.Frontend!P10</f>
        <v xml:space="preserve"> new AppMenuItem("InvoiceHeaders", "Pages.Inventory.CPS.InvoiceHeaders", "flaticon-book",   "/app/main/inventory/cps/invoiceheaders"),</v>
      </c>
      <c r="L75" s="47" t="str">
        <f>B.Frontend!Q10</f>
        <v>{
    path: 'inventory/cps/invoiceheaders',
    loadChildren: () =&gt; import('./inventory/cps/invoiceheaders/invoiceheaders.module').then(m =&gt; m.InvoiceHeadersModule),
    data: { permission: 'Pages.Inventory.CPS.InvoiceHeaders' }
},</v>
      </c>
      <c r="M75" s="45" t="str">
        <f>B.Frontend!R10</f>
        <v>ApiServiceProxies.InvCpsInvoiceHeadersServiceProxy,</v>
      </c>
    </row>
    <row r="77" spans="2:14" x14ac:dyDescent="0.35">
      <c r="B77" s="1" t="s">
        <v>71</v>
      </c>
    </row>
    <row r="78" spans="2:14" x14ac:dyDescent="0.35">
      <c r="B78" s="1" t="s">
        <v>380</v>
      </c>
      <c r="C78" s="1" t="s">
        <v>381</v>
      </c>
      <c r="D78" s="1" t="s">
        <v>382</v>
      </c>
      <c r="E78" s="1" t="s">
        <v>383</v>
      </c>
      <c r="F78" s="1" t="s">
        <v>384</v>
      </c>
    </row>
    <row r="79" spans="2:14" x14ac:dyDescent="0.35">
      <c r="C79" t="s">
        <v>385</v>
      </c>
      <c r="D79" t="s">
        <v>386</v>
      </c>
    </row>
    <row r="80" spans="2:14" x14ac:dyDescent="0.35">
      <c r="C80" t="s">
        <v>387</v>
      </c>
      <c r="D80" t="s">
        <v>388</v>
      </c>
      <c r="E80" s="1" t="s">
        <v>389</v>
      </c>
      <c r="F80" t="s">
        <v>417</v>
      </c>
    </row>
    <row r="81" spans="2:13" x14ac:dyDescent="0.35">
      <c r="C81" t="s">
        <v>390</v>
      </c>
      <c r="D81" t="s">
        <v>388</v>
      </c>
      <c r="E81" s="1" t="s">
        <v>391</v>
      </c>
      <c r="F81" t="s">
        <v>418</v>
      </c>
    </row>
    <row r="82" spans="2:13" x14ac:dyDescent="0.35">
      <c r="C82" t="s">
        <v>405</v>
      </c>
      <c r="D82" t="s">
        <v>392</v>
      </c>
      <c r="F82" t="s">
        <v>393</v>
      </c>
    </row>
    <row r="83" spans="2:13" x14ac:dyDescent="0.35">
      <c r="C83" t="s">
        <v>406</v>
      </c>
      <c r="D83" t="s">
        <v>392</v>
      </c>
    </row>
    <row r="84" spans="2:13" x14ac:dyDescent="0.35">
      <c r="C84" t="s">
        <v>402</v>
      </c>
      <c r="D84" t="s">
        <v>386</v>
      </c>
    </row>
    <row r="85" spans="2:13" x14ac:dyDescent="0.35">
      <c r="C85" t="s">
        <v>403</v>
      </c>
      <c r="D85" t="s">
        <v>386</v>
      </c>
    </row>
    <row r="86" spans="2:13" x14ac:dyDescent="0.35">
      <c r="C86" t="s">
        <v>394</v>
      </c>
      <c r="D86" t="s">
        <v>386</v>
      </c>
    </row>
    <row r="87" spans="2:13" x14ac:dyDescent="0.35">
      <c r="C87" t="s">
        <v>395</v>
      </c>
      <c r="D87" t="s">
        <v>386</v>
      </c>
    </row>
    <row r="88" spans="2:13" x14ac:dyDescent="0.35">
      <c r="B88" s="1" t="s">
        <v>411</v>
      </c>
      <c r="E88" s="1" t="s">
        <v>425</v>
      </c>
    </row>
    <row r="89" spans="2:13" x14ac:dyDescent="0.35">
      <c r="C89" s="1" t="s">
        <v>396</v>
      </c>
      <c r="D89" s="1" t="s">
        <v>403</v>
      </c>
      <c r="E89" s="1" t="s">
        <v>402</v>
      </c>
      <c r="F89" s="1" t="s">
        <v>404</v>
      </c>
      <c r="G89" s="1" t="s">
        <v>387</v>
      </c>
      <c r="H89" s="1" t="s">
        <v>397</v>
      </c>
      <c r="I89" s="1" t="s">
        <v>407</v>
      </c>
      <c r="J89" s="1" t="s">
        <v>408</v>
      </c>
      <c r="K89" s="1" t="s">
        <v>409</v>
      </c>
      <c r="L89" s="1" t="s">
        <v>410</v>
      </c>
    </row>
    <row r="90" spans="2:13" x14ac:dyDescent="0.35">
      <c r="E90" t="s">
        <v>419</v>
      </c>
      <c r="F90" t="s">
        <v>420</v>
      </c>
      <c r="G90" t="s">
        <v>421</v>
      </c>
      <c r="H90" t="s">
        <v>422</v>
      </c>
      <c r="I90" t="s">
        <v>423</v>
      </c>
      <c r="J90" t="s">
        <v>424</v>
      </c>
      <c r="K90" t="s">
        <v>398</v>
      </c>
    </row>
    <row r="91" spans="2:13" x14ac:dyDescent="0.35">
      <c r="B91" s="1" t="s">
        <v>412</v>
      </c>
      <c r="E91" t="s">
        <v>427</v>
      </c>
    </row>
    <row r="92" spans="2:13" x14ac:dyDescent="0.35">
      <c r="C92" s="1" t="s">
        <v>396</v>
      </c>
      <c r="D92" s="1" t="s">
        <v>385</v>
      </c>
      <c r="E92" s="1" t="s">
        <v>394</v>
      </c>
      <c r="F92" s="1" t="s">
        <v>395</v>
      </c>
      <c r="G92" s="1" t="s">
        <v>400</v>
      </c>
      <c r="H92" s="1" t="s">
        <v>413</v>
      </c>
      <c r="I92" s="1" t="s">
        <v>399</v>
      </c>
      <c r="J92" s="1" t="s">
        <v>409</v>
      </c>
      <c r="K92" s="1" t="s">
        <v>414</v>
      </c>
      <c r="L92" s="1" t="s">
        <v>415</v>
      </c>
      <c r="M92" s="1" t="s">
        <v>384</v>
      </c>
    </row>
    <row r="93" spans="2:13" x14ac:dyDescent="0.35">
      <c r="F93" t="s">
        <v>401</v>
      </c>
      <c r="G93" t="s">
        <v>416</v>
      </c>
      <c r="H93" t="s">
        <v>426</v>
      </c>
      <c r="I93" t="s">
        <v>398</v>
      </c>
      <c r="J93" t="s">
        <v>398</v>
      </c>
      <c r="K93" t="s">
        <v>398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1"/>
  <sheetViews>
    <sheetView workbookViewId="0">
      <pane xSplit="1" topLeftCell="B1" activePane="topRight" state="frozen"/>
      <selection pane="topRight" activeCell="B21" sqref="B21"/>
    </sheetView>
  </sheetViews>
  <sheetFormatPr defaultColWidth="9.1796875" defaultRowHeight="14.5" x14ac:dyDescent="0.35"/>
  <cols>
    <col min="1" max="1" width="20.81640625" style="7" customWidth="1"/>
    <col min="2" max="2" width="20.453125" style="8" customWidth="1"/>
    <col min="3" max="3" width="19.453125" style="7" customWidth="1"/>
    <col min="4" max="4" width="23.453125" style="7" customWidth="1"/>
    <col min="5" max="5" width="14.453125" style="7" customWidth="1"/>
    <col min="6" max="6" width="14.81640625" style="7" customWidth="1"/>
    <col min="7" max="7" width="17.26953125" style="7" bestFit="1" customWidth="1"/>
    <col min="8" max="8" width="15" style="7" customWidth="1"/>
    <col min="9" max="9" width="16" style="7" customWidth="1"/>
    <col min="10" max="10" width="15.81640625" style="7" customWidth="1"/>
    <col min="11" max="11" width="16" style="7" customWidth="1"/>
    <col min="12" max="12" width="16.7265625" style="7" customWidth="1"/>
    <col min="13" max="13" width="17.453125" style="7" customWidth="1"/>
    <col min="14" max="14" width="16.1796875" style="7" customWidth="1"/>
    <col min="15" max="15" width="14.7265625" style="7" customWidth="1"/>
    <col min="16" max="16" width="16" style="7" customWidth="1"/>
    <col min="17" max="17" width="15.7265625" style="7" customWidth="1"/>
    <col min="18" max="18" width="19.453125" style="7" customWidth="1"/>
    <col min="19" max="19" width="20.453125" style="7" customWidth="1"/>
    <col min="20" max="20" width="17" style="7" customWidth="1"/>
    <col min="21" max="21" width="14" style="7" customWidth="1"/>
    <col min="22" max="22" width="15.1796875" style="7" customWidth="1"/>
    <col min="23" max="23" width="27.81640625" style="8" customWidth="1"/>
    <col min="24" max="16384" width="9.1796875" style="7"/>
  </cols>
  <sheetData>
    <row r="1" spans="1:23" s="10" customFormat="1" ht="14.25" customHeight="1" x14ac:dyDescent="0.3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vovina.Inventory.CPS.Dto;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35">
      <c r="A2" s="1" t="s">
        <v>12</v>
      </c>
      <c r="B2" s="27" t="s">
        <v>379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35">
      <c r="A3" s="1" t="s">
        <v>5</v>
      </c>
      <c r="B3" s="27" t="s">
        <v>364</v>
      </c>
      <c r="C3" s="9" t="s">
        <v>40</v>
      </c>
      <c r="D3" s="9" t="s">
        <v>41</v>
      </c>
      <c r="E3" s="9" t="s">
        <v>36</v>
      </c>
      <c r="F3" s="10" t="str">
        <f>"J"&amp;COUNTA($A:$A)</f>
        <v>J19</v>
      </c>
      <c r="G3" s="4" t="s">
        <v>53</v>
      </c>
      <c r="H3" s="9" t="str">
        <f>"I"&amp;COUNTA($A:$A)</f>
        <v>I19</v>
      </c>
      <c r="I3" s="9" t="str">
        <f>REPT(CHAR(9),2)&amp;"[Required]"&amp;"
"</f>
        <v xml:space="preserve">		[Required]
</v>
      </c>
      <c r="J3" s="10" t="str">
        <f>"L"&amp;COUNTA($A:$A)</f>
        <v>L19</v>
      </c>
      <c r="K3" s="5" t="s">
        <v>52</v>
      </c>
      <c r="L3" s="10" t="str">
        <f>"M"&amp;COUNTA($A:$A)</f>
        <v>M19</v>
      </c>
      <c r="M3" s="10" t="str">
        <f>"N"&amp;COUNTA($A:$A)</f>
        <v>N19</v>
      </c>
      <c r="N3" s="10" t="str">
        <f>"O"&amp;COUNTA($A:$A)</f>
        <v>O19</v>
      </c>
      <c r="O3" s="10" t="str">
        <f>"P"&amp;COUNTA($A:$A)</f>
        <v>P19</v>
      </c>
      <c r="Q3" s="10" t="str">
        <f>RIGHT(B2,(LEN(B2)-FIND(".",B2,1)))</f>
        <v>CPS</v>
      </c>
      <c r="R3" s="29" t="str">
        <f>REPT(CHAR(9),1)&amp;"public class "&amp;B3&amp;"ExportInput"&amp;C3</f>
        <v xml:space="preserve">	public class InvCpsInvoiceHeadersExportInput{
</v>
      </c>
      <c r="S3" s="10" t="str">
        <f>"namespace "&amp;$B$6&amp;".Exporting
"&amp;$C$3</f>
        <v xml:space="preserve">namespace prod.Inventory.CPS.Exporting
{
</v>
      </c>
      <c r="T3" s="10" t="str">
        <f>"T"&amp;COUNTA($A:$A)</f>
        <v>T19</v>
      </c>
      <c r="V3" s="10" t="str">
        <f>"V"&amp;COUNTA($A:$A)</f>
        <v>V19</v>
      </c>
      <c r="W3" s="9" t="str">
        <f>"W"&amp;COUNTA($A:$A)</f>
        <v>W19</v>
      </c>
    </row>
    <row r="4" spans="1:23" s="10" customFormat="1" ht="33" customHeight="1" x14ac:dyDescent="0.35">
      <c r="A4" s="1" t="s">
        <v>232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35">
      <c r="A5" s="1" t="s">
        <v>233</v>
      </c>
      <c r="B5" s="65" t="s">
        <v>365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" customHeight="1" x14ac:dyDescent="0.35">
      <c r="A6" s="1" t="s">
        <v>6</v>
      </c>
      <c r="B6" s="9" t="str">
        <f>"prod."&amp;B2</f>
        <v>prod.Inventory.CPS</v>
      </c>
      <c r="C6" s="10" t="str">
        <f>"namespace "&amp;$B$6&amp;"
"&amp;$C$3</f>
        <v xml:space="preserve">namespace prod.Inventory.CPS
{
</v>
      </c>
      <c r="D6" s="10" t="str">
        <f>REPT(CHAR(9),1)&amp;"public class "&amp;B3&amp;G3&amp;REPT(CHAR(9),1)&amp;"
"&amp;REPT(CHAR(9),1)&amp;C3</f>
        <v xml:space="preserve">	public class InvCpsInvoiceHeaders: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InvCpsInvoiceHeadersConsts	
	{
</v>
      </c>
      <c r="F6" s="10" t="str">
        <f>REPT(CHAR(9),1)&amp;"public class "&amp;B3&amp;"Dto"&amp;K3&amp;REPT(CHAR(9),1)&amp;"
"&amp;REPT(CHAR(9),1)&amp;C3</f>
        <v xml:space="preserve">	public class InvCpsInvoiceHeadersDto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CreateOrEditInvCpsInvoiceHeadersDto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GetInvCpsInvoiceHeadersInput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5" customHeight="1" x14ac:dyDescent="0.35">
      <c r="A7" s="1" t="s">
        <v>13</v>
      </c>
      <c r="B7" s="9" t="str">
        <f>B3</f>
        <v>InvCpsInvoiceHeaders</v>
      </c>
      <c r="C7" s="10" t="str">
        <f>REPT(CHAR(9),1)&amp;"[Table("""&amp;B7&amp;""")]"&amp;"
"</f>
        <v xml:space="preserve">	[Table("InvCpsInvoiceHeaders")]
</v>
      </c>
      <c r="D7" s="10"/>
      <c r="E7" s="10"/>
      <c r="F7" s="10"/>
      <c r="G7" s="10"/>
      <c r="H7" s="10"/>
      <c r="I7" s="10"/>
      <c r="J7" t="str">
        <f ca="1">SUBSTITUTE(SUBSTITUTE((B1&amp;C6&amp;C7&amp;K21&amp;D6&amp;I21&amp;E3&amp;J21&amp;""&amp;REPT(CHAR(9),1)&amp;D3&amp;D3),"WorkingPattern",$Q$3),"Master",$B$4)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prod.Inventory.CPS
{
	[Table("InvCpsInvoiceHeaders")]
	public class InvCpsInvoiceHeaders: FullAuditedEntity&lt;long&gt;, IEntity&lt;long&gt;	
	{
		public const int MaxInvoiceNumLength = 50;
		public const int MaxInvoiceSymbolLength = 10;
		public const int MaxDescriptionLength = 40;
		public const int MaxVendorNameLength = 255;
		public const int MaxCurrencyCodeLength = 15;
		public const int MaxIsActiveLength = 1;
		[StringLength(MaxInvoiceNumLength)]
		public virtual string InvoiceNum { get; set; }
		[StringLength(MaxInvoiceSymbolLength)]
		public virtual string InvoiceSymbol { get; set; }
		[StringLength(MaxDescriptionLength)]
		public virtual string Description { get; set; }
		public virtual DateTime? InvoiceDate { get; set; }
		public virtual long? VendorId { get; set; }
		[StringLength(MaxVendorNameLength)]
		public virtual string VendorName { get; set; }
		[StringLength(MaxCurrencyCodeLength)]
		public virtual string CurrencyCode { get; set; }
		public virtual decimal? InvoiceAmount { get; set; }
		public virtual decimal? AmountVat { get; set; }
		public virtual decimal? TaxRate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DbSet&lt;InvCpsInvoiceHeaders&gt; InvCpsInvoiceHeaderss { get; set; }</v>
      </c>
      <c r="L7" t="str">
        <f ca="1">SUBSTITUTE(SUBSTITUTE((C6&amp;E6&amp;I21&amp;"
"&amp;REPT(CHAR(9),2)&amp;"// Define Store Name: Format SP_ + &lt;Store Name&gt; = &lt;Store Name&gt;
"&amp;E3&amp;REPT(CHAR(9),1)&amp;D3&amp;D3),"WorkingPattern",$Q$3),"Master",$B$4)</f>
        <v xml:space="preserve">namespace prod.Inventory.CPS
{
	public class InvCpsInvoiceHeadersConsts	
	{
		public const int MaxInvoiceNumLength = 50;
		public const int MaxInvoiceSymbolLength = 10;
		public const int MaxDescriptionLength = 40;
		public const int MaxVendorNameLength = 255;
		public const int MaxCurrencyCodeLength = 15;
		public const int MaxIsActiveLength = 1;
		// Define Store Name: Format SP_ + &lt;Store Name&gt; = &lt;Store Name&gt;
	}
}
</v>
      </c>
      <c r="M7" t="str">
        <f ca="1">SUBSTITUTE(SUBSTITUTE((C1&amp;"namespace "&amp;B6&amp;".Dto"&amp;E3&amp;C3&amp;F6&amp;M21&amp;E3&amp;REPT(CHAR(9),1)&amp;D3&amp;G6&amp;N21&amp;REPT(CHAR(9),1)&amp;D3&amp;H6&amp;O21&amp;"
"&amp;REPT(CHAR(9),1)&amp;D3&amp;D3),"WorkingPattern",$Q$3),"Master",$B$4)</f>
        <v xml:space="preserve">using Abp.Application.Services.Dto;
using System;
using System.ComponentModel.DataAnnotations;
namespace prod.Inventory.CPS.Dto
{
	public class InvCpsInvoiceHeadersDto : EntityDto&lt;long?&gt;	
	{
		public virtual string InvoiceNum { get; set; }
		public virtual string InvoiceSymbol { get; set; }
		public virtual string Description { get; set; }
		public virtual DateTime? InvoiceDate { get; set; }
		public virtual long? VendorId { get; set; }
		public virtual string VendorName { get; set; }
		public virtual string CurrencyCode { get; set; }
		public virtual decimal? InvoiceAmount { get; set; }
		public virtual decimal? AmountVat { get; set; }
		public virtual decimal? TaxRate { get; set; }
		public virtual string IsActive { get; set; }
	}
	public class CreateOrEditInvCpsInvoiceHeadersDto : EntityDto&lt;long?&gt;	
	{
		[StringLength(InvCpsInvoiceHeadersConsts.MaxInvoiceNumLength)]
		public virtual string InvoiceNum { get; set; }
		[StringLength(InvCpsInvoiceHeadersConsts.MaxInvoiceSymbolLength)]
		public virtual string InvoiceSymbol { get; set; }
		[StringLength(InvCpsInvoiceHeadersConsts.MaxDescriptionLength)]
		public virtual string Description { get; set; }
		public virtual DateTime? InvoiceDate { get; set; }
		public virtual long? VendorId { get; set; }
		[StringLength(InvCpsInvoiceHeadersConsts.MaxVendorNameLength)]
		public virtual string VendorName { get; set; }
		[StringLength(InvCpsInvoiceHeadersConsts.MaxCurrencyCodeLength)]
		public virtual string CurrencyCode { get; set; }
		public virtual decimal? InvoiceAmount { get; set; }
		public virtual decimal? AmountVat { get; set; }
		public virtual decimal? TaxRate { get; set; }
		[StringLength(InvCpsInvoiceHeadersConsts.MaxIsActiveLength)]
		public virtual string IsActive { get; set; }
	}
	public class GetInvCpsInvoiceHeadersInput : PagedAndSortedResultRequestDto	
	{
		public virtual string InvoiceNum { get; set; }
		public virtual string InvoiceSymbol { get; set; }
		public virtual string Description { get; set; }
		public virtual string VendorName { get; set; }
		public virtual string CurrencyCode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perInvCpsInvoiceHeaders = PARENTS.CreateChildPermission(AppPermissions.Pages_Inventory_CPS_InvoiceHeaders, L( "InventoryCPSInvoiceHeaders"), multiTenancySides: MultiTenancySides.Tenant);
		perInvCpsInvoiceHeaders.CreateChildPermission(AppPermissions.Pages_Inventory_CPS_InvoiceHeaders_CreateEdit, L( "InventoryCPSInvoiceHeadersCreateEdit"), multiTenancySides: MultiTenancySides.Tenant);
		perInvCpsInvoiceHeaders.CreateChildPermission(AppPermissions.Pages_Inventory_CPS_InvoiceHeaders_Delete, L( "InventoryCPSInvoiceHeadersDelete"),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Pages_Inventory_CPS_InvoiceHeaders = "Pages.Inventory.CPS.InvoiceHeaders";
		public const string Pages_Inventory_CPS_InvoiceHeaders_CreateEdit = "Pages.Inventory.CPS.InvoiceHeaders.CreateEdit";
		public const string Pages_Inventory_CPS_InvoiceHeaders_Delete = "Pages.Inventory.CPS.InvoiceHeaders.Delete";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vovina.Inventory.CPS.Dto;
namespace prod.Inventory.CPS
{
	public interface IInvCpsInvoiceHeadersAppService : IApplicationService
	{
		Task&lt;PagedResultDto&lt;InvCpsInvoiceHeadersDto&gt;&gt; GetAll(GetInvCpsInvoiceHeadersInput input);
		Task CreateOrEdit(CreateOrEditInvCpsInvoiceHeadersDto input);
		Task Delete(EntityDto input);
	}
}
</v>
      </c>
      <c r="Q7" t="str">
        <f ca="1">SUBSTITUTE(SUBSTITUTE(SUBSTITUTE(SUBSTITUTE(SUBSTITUTE(SUBSTITUTE(E1,"MstWptCalendar",$B$3),"&lt;PROPERTIES&gt;",P21),"Calendar",$B$5),"WorkingPattern",$Q$3),"Master",$B$4),"&lt;PARAMS_SEARCH&gt;",$W$21)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vovina.Inventory.CPS.Dto;
using vovina.Inventory.CPS.Exporting;
namespace vovina.Inventory.CPS
{
    [AbpAuthorize(AppPermissions.Pages_Inventory_CPS_InvoiceHeaders)]
    public class InvCpsInvoiceHeadersAppService : vovinaAppServiceBase, IInvCpsInvoiceHeadersAppService
    {
        private readonly IDapperRepository&lt;InvCpsInvoiceHeaders, long&gt; _dapperRepo;
        private readonly IRepository&lt;InvCpsInvoiceHeaders, long&gt; _repo;
        private readonly IInvCpsInvoiceHeadersExcelExporter _calendarListExcelExporter;
        public InvCpsInvoiceHeadersAppService(IRepository&lt;InvCpsInvoiceHeaders,long&gt; repo, 
                                         IDapperRepository&lt;InvCpsInvoiceHeaders,long&gt; dapperRepo,
                                        IInvCpsInvoiceHeadersExcelExporter calendarListExcelExporter
            )
        {
            _repo = repo;
            _dapperRepo = dapperRepo;
            _calendarListExcelExporter = calendarListExcelExporter;
        }
        [AbpAuthorize(AppPermissions.Pages_Inventory_CPS_InvoiceHeaders_CreateEdit)]
        public async Task CreateOrEdit(CreateOrEditInvCpsInvoiceHeadersDto input)
        {
            if (input.Id == null) await Create(input);
            else await Update(input);
        }
        //CREATE
        private async Task Create(CreateOrEditInvCpsInvoiceHeadersDto input)
        {          
            var mainObj = ObjectMapper.Map&lt;InvCpsInvoiceHeaders&gt;(input);
            await CurrentUnitOfWork.GetDbContext&lt;vovinaDbContext&gt;().AddAsync(mainObj);
        }
        // EDIT
        private async Task Update(CreateOrEditInvCpsInvoiceHeadersDto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[AbpAuthorize(AppPermissions.Pages_Inventory_CPS_InvoiceHeaders_Delete)]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Task&lt;PagedResultDto&lt;InvCpsInvoiceHeadersDto&gt;&gt; GetAll(GetInvCpsInvoiceHeadersInput input)
        {
            var filtered = _repo.GetAll()
				.WhereIf(!string.IsNullOrWhiteSpace(input.InvoiceNum), e =&gt; e.InvoiceNum.Contains(input.InvoiceNum))
				.WhereIf(!string.IsNullOrWhiteSpace(input.InvoiceSymbol), e =&gt; e.InvoiceSymbol.Contains(input.InvoiceSymbol))
				.WhereIf(!string.IsNullOrWhiteSpace(input.Description), e =&gt; e.Description.Contains(input.Description))
				.WhereIf(!string.IsNullOrWhiteSpace(input.VendorName), e =&gt; e.VendorName.Contains(input.VendorName))
				.WhereIf(!string.IsNullOrWhiteSpace(input.CurrencyCode), e =&gt; e.CurrencyCode.Contains(input.CurrencyCode))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InvCpsInvoiceHeadersDto
                        {
							Id = o.Id,
							InvoiceNum = o.InvoiceNum,
							InvoiceSymbol = o.InvoiceSymbol,
							Description = o.Description,
							InvoiceDate = o.InvoiceDate,
							VendorId = o.VendorId,
							VendorName = o.VendorName,
							CurrencyCode = o.CurrencyCode,
							InvoiceAmount = o.InvoiceAmount,
							AmountVat = o.AmountVat,
							TaxRate = o.TaxRate,
							IsActive = o.IsActive,
                        };
            var totalCount = await filtered.CountAsync();
			var paged = system.PageBy(input);
            return new PagedResultDto&lt;InvCpsInvoiceHeadersDto&gt;(
                totalCount,
                 await paged.ToListAsync()
            );
        }
        public async Task&lt;FileDto&gt; GetInvoiceHeadersToExcel(InvCpsInvoiceHeadersExportInput input)
        {
            var query = from o in _repo.GetAll()
                        select new InvCpsInvoiceHeadersDto
                        {
							Id = o.Id,
							InvoiceNum = o.InvoiceNum,
							InvoiceSymbol = o.InvoiceSymbol,
							Description = o.Description,
							InvoiceDate = o.InvoiceDate,
							VendorId = o.VendorId,
							VendorName = o.VendorName,
							CurrencyCode = o.CurrencyCode,
							InvoiceAmount = o.InvoiceAmount,
							AmountVat = o.AmountVat,
							TaxRate = o.TaxRate,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_dapperRepo.ExecuteAsync(InvCpsInvoiceHeadersConsts.SP_MST_WPT_CALENDAR_GENERATE);
       // }
    }
}</v>
      </c>
      <c r="R7" t="str">
        <f ca="1">SUBSTITUTE(SUBSTITUTE((C1&amp;"namespace "&amp;B6&amp;".Dto"&amp;E3&amp;C3&amp;R3&amp;M21&amp;E3&amp;REPT(CHAR(9),1)&amp;D3&amp;D3),"WorkingPattern",$Q$3),"Master",$B$4)</f>
        <v xml:space="preserve">using Abp.Application.Services.Dto;
using System;
using System.ComponentModel.DataAnnotations;
namespace prod.Inventory.CPS.Dto
{
	public class InvCpsInvoiceHeadersExportInput{
		public virtual string InvoiceNum { get; set; }
		public virtual string InvoiceSymbol { get; set; }
		public virtual string Description { get; set; }
		public virtual DateTime? InvoiceDate { get; set; }
		public virtual long? VendorId { get; set; }
		public virtual string VendorName { get; set; }
		public virtual string CurrencyCode { get; set; }
		public virtual decimal? InvoiceAmount { get; set; }
		public virtual decimal? AmountVat { get; set; }
		public virtual decimal? TaxRate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vovina.Inventory.CPS.Dto;
namespace prod.Inventory.CPS.Exporting
{
	public interface IInvCpsInvoiceHeadersExcelExporter : IApplicationService
	{
		FileDto ExportToFile(List&lt;InvCpsInvoiceHeadersDto&gt; invcpsinvoiceheaders);
	}
}
</v>
      </c>
      <c r="T7" s="26" t="str">
        <f ca="1">SUBSTITUTE(SUBSTITUTE(SUBSTITUTE(SUBSTITUTE(SUBSTITUTE(SUBSTITUTE(SUBSTITUTE(T1,"MstWptCalendar",$B$3),"&lt;PROPERTIES1&gt;",V21),"&lt;PROPERTIES&gt;",T21),"Calendar",$B$5),"calendar",LOWER(B5)),"WorkingPattern",$Q$3),"Master",$B$4)</f>
        <v>using System.Collections.Generic;
using vovina.DataExporting.Excel.NPOI;
using vovina.Dto;
using vovina.Inventory.CPS.Exporting;
using vovina.Inventory.CPS.Dto;
using vovina.Storage;
using vovina.Inventory.CPS.Dto;
namespace vovina.Inventory.CPS.Exporting
{
    public class InvCpsInvoiceHeadersExcelExporter : NpoiExcelExporterBase, IInvCpsInvoiceHeadersExcelExporter
    {
        public InvCpsInvoiceHeadersExcelExporter(ITempFileCacheManager tempFileCacheManager) : base(tempFileCacheManager) { }
        public FileDto ExportToFile(List&lt;InvCpsInvoiceHeadersDto&gt; invoiceheaders)
        {
            return CreateExcelPackage(
				"InventoryCPSInvoiceHeaders.xlsx",
				excelPackage =&gt;
				 {
					var sheet = excelPackage.CreateSheet("InvoiceHeaders");
					AddHeader(
								sheet,
								("InvoiceNum"),
								("InvoiceSymbol"),
								("Description"),
								("InvoiceDate"),
								("VendorId"),
								("VendorName"),
								("CurrencyCode"),
								("InvoiceAmount"),
								("AmountVat"),
								("TaxRate"),
								("IsActive"),
							   );
					AddObjects(
						 sheet, 1, invoiceheaders,                                       
								_ =&gt; _.InvoiceNum,
								_ =&gt; _.InvoiceSymbol,
								_ =&gt; _.Description,
								_ =&gt; _.InvoiceDate,
								_ =&gt; _.VendorId,
								_ =&gt; _.VendorName,
								_ =&gt; _.CurrencyCode,
								_ =&gt; _.InvoiceAmount,
								_ =&gt; _.AmountVat,
								_ =&gt; _.TaxRate,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configuration.CreateMap&lt;InvCpsInvoiceHeadersDto, InvCpsInvoiceHeaders&gt;();
  configuration.CreateMap&lt;InvCpsInvoiceHeaders, InvCpsInvoiceHeadersDto&gt;();
  configuration.CreateMap&lt;CreateOrEditInvCpsInvoiceHeadersDto, InvCpsInvoiceHeaders&gt;();</v>
      </c>
      <c r="V7" s="26"/>
      <c r="W7" s="26"/>
    </row>
    <row r="8" spans="1:23" s="2" customFormat="1" x14ac:dyDescent="0.3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35">
      <c r="A9" s="28" t="s">
        <v>370</v>
      </c>
      <c r="B9" s="28" t="s">
        <v>358</v>
      </c>
      <c r="C9" t="s">
        <v>1</v>
      </c>
      <c r="D9" t="str">
        <f t="shared" ref="D9:D18" si="0">SUBSTITUTE(PROPER(A9),"_","")</f>
        <v>InvoiceNum</v>
      </c>
      <c r="E9" t="str">
        <f t="shared" ref="E9:E18" si="1">IFERROR(LEFT(B9, FIND("(",B9)-1),B9)</f>
        <v>nvarchar</v>
      </c>
      <c r="F9" s="6"/>
      <c r="G9" t="str">
        <f t="shared" ref="G9:G18" si="2">IFERROR(MID(B9,FIND("(",B9) +1, FIND(")",B9) - FIND("(",B9) - 1),"")</f>
        <v>50</v>
      </c>
      <c r="H9" t="str">
        <f>+VLOOKUP(E9,'Data Type Mapping'!A:B,2,)</f>
        <v>string</v>
      </c>
      <c r="I9" t="str">
        <f t="shared" ref="I9:I18" si="3">IF(H9="string",REPT(CHAR(9),2)&amp;"public const int Max"&amp;D9&amp;"Length = "&amp;G9&amp;";"&amp;$E$3,"" )</f>
        <v xml:space="preserve">		public const int MaxInvoiceNumLength = 50;
</v>
      </c>
      <c r="J9" t="str">
        <f t="shared" ref="J9:J18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[StringLength(MaxInvoiceNumLength)]
		public virtual string InvoiceNum { get; set; }
</v>
      </c>
      <c r="K9" s="6"/>
      <c r="L9" t="str">
        <f t="shared" ref="L9:L18" si="5">IF(K9="","",REPT(CHAR(9),1)&amp;"[Index(nameof("&amp;IF(D9="","",""&amp;D9)&amp;")"&amp;", Name="&amp;"""IX_"&amp;$B$7&amp;"_"&amp;D9&amp;""")]")</f>
        <v/>
      </c>
      <c r="M9" t="str">
        <f t="shared" ref="M9:M18" si="6">REPT(CHAR(9),2)&amp;"public virtual "&amp;IF(OR(H9="DateTime",H9="TimeSpan"),H9&amp;"?",H9)&amp;IF(C9="?","? "," ")&amp;D9&amp;" { get; set; }" &amp; "
"</f>
        <v xml:space="preserve">		public virtual string InvoiceNum { get; set; }
</v>
      </c>
      <c r="N9" t="str">
        <f t="shared" ref="N9:N18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[StringLength(InvCpsInvoiceHeadersConsts.MaxInvoiceNumLength)]
		public virtual string InvoiceNum { get; set; }
</v>
      </c>
      <c r="O9" t="str">
        <f t="shared" ref="O9:O18" si="8">IF(OR(H9="string",H9="DateTime",H9="int"),REPT(CHAR(9),2)&amp;"public virtual "&amp;IF(OR(H9="DateTime",H9="TimeSpan"),H9&amp;"?",H9)&amp;IF(C9="?","? "," ")&amp;D9&amp;" { get; set; }"&amp;$E$3,"")</f>
        <v xml:space="preserve">		public virtual string InvoiceNum { get; set; }
</v>
      </c>
      <c r="P9" t="str">
        <f t="shared" ref="P9:P18" si="9">REPT(CHAR(9),7)&amp;D9&amp;" = o." &amp;D9 &amp;","</f>
        <v xml:space="preserve">							InvoiceNum = o.InvoiceNum,</v>
      </c>
      <c r="T9" s="63" t="str">
        <f t="shared" ref="T9:T18" si="10">REPT(CHAR(9),8)&amp;"("""&amp;D9&amp;"""),"</f>
        <v xml:space="preserve">								("InvoiceNum"),</v>
      </c>
      <c r="V9" s="64" t="str">
        <f t="shared" ref="V9:V18" si="11">REPT(CHAR(9),8)&amp;"_ =&gt; _."&amp;D9&amp;","</f>
        <v xml:space="preserve">								_ =&gt; _.InvoiceNum,</v>
      </c>
      <c r="W9" s="63" t="str">
        <f t="shared" ref="W9:W18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.WhereIf(!string.IsNullOrWhiteSpace(input.InvoiceNum), e =&gt; e.InvoiceNum.Contains(input.InvoiceNum))</v>
      </c>
    </row>
    <row r="10" spans="1:23" customFormat="1" ht="18.75" customHeight="1" x14ac:dyDescent="0.35">
      <c r="A10" s="28" t="s">
        <v>371</v>
      </c>
      <c r="B10" s="28" t="s">
        <v>360</v>
      </c>
      <c r="C10" t="s">
        <v>1</v>
      </c>
      <c r="D10" t="str">
        <f t="shared" si="0"/>
        <v>InvoiceSymbol</v>
      </c>
      <c r="E10" t="str">
        <f t="shared" si="1"/>
        <v>nvarchar</v>
      </c>
      <c r="F10" s="6"/>
      <c r="G10" t="str">
        <f t="shared" si="2"/>
        <v>10</v>
      </c>
      <c r="H10" t="str">
        <f>+VLOOKUP(E10,'Data Type Mapping'!A:B,2,)</f>
        <v>string</v>
      </c>
      <c r="I10" t="str">
        <f t="shared" si="3"/>
        <v xml:space="preserve">		public const int MaxInvoiceSymbolLength = 10;
</v>
      </c>
      <c r="J10" t="str">
        <f t="shared" si="4"/>
        <v xml:space="preserve">		[StringLength(MaxInvoiceSymbolLength)]
		public virtual string InvoiceSymbol { get; set; }
</v>
      </c>
      <c r="K10" s="6"/>
      <c r="L10" t="str">
        <f t="shared" si="5"/>
        <v/>
      </c>
      <c r="M10" t="str">
        <f t="shared" si="6"/>
        <v xml:space="preserve">		public virtual string InvoiceSymbol { get; set; }
</v>
      </c>
      <c r="N10" t="str">
        <f t="shared" si="7"/>
        <v xml:space="preserve">		[StringLength(InvCpsInvoiceHeadersConsts.MaxInvoiceSymbolLength)]
		public virtual string InvoiceSymbol { get; set; }
</v>
      </c>
      <c r="O10" t="str">
        <f t="shared" si="8"/>
        <v xml:space="preserve">		public virtual string InvoiceSymbol { get; set; }
</v>
      </c>
      <c r="P10" t="str">
        <f t="shared" si="9"/>
        <v xml:space="preserve">							InvoiceSymbol = o.InvoiceSymbol,</v>
      </c>
      <c r="T10" s="63" t="str">
        <f t="shared" si="10"/>
        <v xml:space="preserve">								("InvoiceSymbol"),</v>
      </c>
      <c r="V10" s="64" t="str">
        <f t="shared" si="11"/>
        <v xml:space="preserve">								_ =&gt; _.InvoiceSymbol,</v>
      </c>
      <c r="W10" s="63" t="str">
        <f t="shared" si="12"/>
        <v xml:space="preserve">				.WhereIf(!string.IsNullOrWhiteSpace(input.InvoiceSymbol), e =&gt; e.InvoiceSymbol.Contains(input.InvoiceSymbol))</v>
      </c>
    </row>
    <row r="11" spans="1:23" customFormat="1" ht="18.75" customHeight="1" x14ac:dyDescent="0.35">
      <c r="A11" s="28" t="s">
        <v>359</v>
      </c>
      <c r="B11" s="28" t="s">
        <v>357</v>
      </c>
      <c r="C11" t="s">
        <v>1</v>
      </c>
      <c r="D11" t="str">
        <f t="shared" ref="D11:D17" si="13">SUBSTITUTE(PROPER(A11),"_","")</f>
        <v>Description</v>
      </c>
      <c r="E11" t="str">
        <f t="shared" ref="E11:E17" si="14">IFERROR(LEFT(B11, FIND("(",B11)-1),B11)</f>
        <v>nvarchar</v>
      </c>
      <c r="F11" s="6"/>
      <c r="G11" t="str">
        <f t="shared" ref="G11:G17" si="15">IFERROR(MID(B11,FIND("(",B11) +1, FIND(")",B11) - FIND("(",B11) - 1),"")</f>
        <v>40</v>
      </c>
      <c r="H11" t="str">
        <f>+VLOOKUP(E11,'Data Type Mapping'!A:B,2,)</f>
        <v>string</v>
      </c>
      <c r="I11" t="str">
        <f t="shared" ref="I11:I17" si="16">IF(H11="string",REPT(CHAR(9),2)&amp;"public const int Max"&amp;D11&amp;"Length = "&amp;G11&amp;";"&amp;$E$3,"" )</f>
        <v xml:space="preserve">		public const int MaxDescriptionLength = 40;
</v>
      </c>
      <c r="J11" t="str">
        <f t="shared" ref="J11:J17" si="17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[StringLength(MaxDescriptionLength)]
		public virtual string Description { get; set; }
</v>
      </c>
      <c r="K11" s="6"/>
      <c r="L11" t="str">
        <f t="shared" ref="L11:L17" si="18">IF(K11="","",REPT(CHAR(9),1)&amp;"[Index(nameof("&amp;IF(D11="","",""&amp;D11)&amp;")"&amp;", Name="&amp;"""IX_"&amp;$B$7&amp;"_"&amp;D11&amp;""")]")</f>
        <v/>
      </c>
      <c r="M11" t="str">
        <f t="shared" ref="M11:M17" si="19">REPT(CHAR(9),2)&amp;"public virtual "&amp;IF(OR(H11="DateTime",H11="TimeSpan"),H11&amp;"?",H11)&amp;IF(C11="?","? "," ")&amp;D11&amp;" { get; set; }" &amp; "
"</f>
        <v xml:space="preserve">		public virtual string Description { get; set; }
</v>
      </c>
      <c r="N11" t="str">
        <f t="shared" ref="N11:N17" si="20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[StringLength(InvCpsInvoiceHeadersConsts.MaxDescriptionLength)]
		public virtual string Description { get; set; }
</v>
      </c>
      <c r="O11" t="str">
        <f t="shared" ref="O11:O17" si="21">IF(OR(H11="string",H11="DateTime",H11="int"),REPT(CHAR(9),2)&amp;"public virtual "&amp;IF(OR(H11="DateTime",H11="TimeSpan"),H11&amp;"?",H11)&amp;IF(C11="?","? "," ")&amp;D11&amp;" { get; set; }"&amp;$E$3,"")</f>
        <v xml:space="preserve">		public virtual string Description { get; set; }
</v>
      </c>
      <c r="P11" t="str">
        <f t="shared" ref="P11:P17" si="22">REPT(CHAR(9),7)&amp;D11&amp;" = o." &amp;D11 &amp;","</f>
        <v xml:space="preserve">							Description = o.Description,</v>
      </c>
      <c r="T11" s="63" t="str">
        <f t="shared" ref="T11:T17" si="23">REPT(CHAR(9),8)&amp;"("""&amp;D11&amp;"""),"</f>
        <v xml:space="preserve">								("Description"),</v>
      </c>
      <c r="V11" s="64" t="str">
        <f t="shared" ref="V11:V17" si="24">REPT(CHAR(9),8)&amp;"_ =&gt; _."&amp;D11&amp;","</f>
        <v xml:space="preserve">								_ =&gt; _.Description,</v>
      </c>
      <c r="W11" s="63" t="str">
        <f t="shared" ref="W11:W17" si="25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.WhereIf(!string.IsNullOrWhiteSpace(input.Description), e =&gt; e.Description.Contains(input.Description))</v>
      </c>
    </row>
    <row r="12" spans="1:23" customFormat="1" ht="18.75" customHeight="1" x14ac:dyDescent="0.35">
      <c r="A12" s="28" t="s">
        <v>372</v>
      </c>
      <c r="B12" s="28" t="s">
        <v>361</v>
      </c>
      <c r="C12" t="s">
        <v>1</v>
      </c>
      <c r="D12" t="str">
        <f t="shared" ref="D12" si="26">SUBSTITUTE(PROPER(A12),"_","")</f>
        <v>InvoiceDate</v>
      </c>
      <c r="E12" t="str">
        <f t="shared" si="14"/>
        <v>Datetime</v>
      </c>
      <c r="F12" s="6"/>
      <c r="G12" t="str">
        <f t="shared" ref="G12" si="27">IFERROR(MID(B12,FIND("(",B12) +1, FIND(")",B12) - FIND("(",B12) - 1),"")</f>
        <v/>
      </c>
      <c r="H12" t="str">
        <f>+VLOOKUP(E12,'Data Type Mapping'!A:B,2,)</f>
        <v>DateTime?</v>
      </c>
      <c r="I12" t="str">
        <f t="shared" ref="I12" si="28">IF(H12="string",REPT(CHAR(9),2)&amp;"public const int Max"&amp;D12&amp;"Length = "&amp;G12&amp;";"&amp;$E$3,"" )</f>
        <v/>
      </c>
      <c r="J12" t="str">
        <f t="shared" ref="J12" si="29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DateTime? InvoiceDate { get; set; }
</v>
      </c>
      <c r="K12" s="6"/>
      <c r="L12" t="str">
        <f t="shared" ref="L12" si="30">IF(K12="","",REPT(CHAR(9),1)&amp;"[Index(nameof("&amp;IF(D12="","",""&amp;D12)&amp;")"&amp;", Name="&amp;"""IX_"&amp;$B$7&amp;"_"&amp;D12&amp;""")]")</f>
        <v/>
      </c>
      <c r="M12" t="str">
        <f t="shared" ref="M12" si="31">REPT(CHAR(9),2)&amp;"public virtual "&amp;IF(OR(H12="DateTime",H12="TimeSpan"),H12&amp;"?",H12)&amp;IF(C12="?","? "," ")&amp;D12&amp;" { get; set; }" &amp; "
"</f>
        <v xml:space="preserve">		public virtual DateTime? InvoiceDate { get; set; }
</v>
      </c>
      <c r="N12" t="str">
        <f t="shared" ref="N12" si="32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DateTime? InvoiceDate { get; set; }
</v>
      </c>
      <c r="O12" t="str">
        <f t="shared" ref="O12" si="33">IF(OR(H12="string",H12="DateTime",H12="int"),REPT(CHAR(9),2)&amp;"public virtual "&amp;IF(OR(H12="DateTime",H12="TimeSpan"),H12&amp;"?",H12)&amp;IF(C12="?","? "," ")&amp;D12&amp;" { get; set; }"&amp;$E$3,"")</f>
        <v/>
      </c>
      <c r="P12" t="str">
        <f t="shared" ref="P12" si="34">REPT(CHAR(9),7)&amp;D12&amp;" = o." &amp;D12 &amp;","</f>
        <v xml:space="preserve">							InvoiceDate = o.InvoiceDate,</v>
      </c>
      <c r="T12" s="63" t="str">
        <f t="shared" ref="T12" si="35">REPT(CHAR(9),8)&amp;"("""&amp;D12&amp;"""),"</f>
        <v xml:space="preserve">								("InvoiceDate"),</v>
      </c>
      <c r="V12" s="64" t="str">
        <f t="shared" ref="V12" si="36">REPT(CHAR(9),8)&amp;"_ =&gt; _."&amp;D12&amp;","</f>
        <v xml:space="preserve">								_ =&gt; _.InvoiceDate,</v>
      </c>
      <c r="W12" s="63" t="str">
        <f t="shared" ref="W12" si="37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/>
      </c>
    </row>
    <row r="13" spans="1:23" customFormat="1" ht="18.75" customHeight="1" x14ac:dyDescent="0.35">
      <c r="A13" s="28" t="s">
        <v>373</v>
      </c>
      <c r="B13" s="28" t="s">
        <v>0</v>
      </c>
      <c r="C13" t="s">
        <v>1</v>
      </c>
      <c r="D13" t="str">
        <f t="shared" si="13"/>
        <v>VendorId</v>
      </c>
      <c r="E13" t="str">
        <f t="shared" si="14"/>
        <v>bigint</v>
      </c>
      <c r="F13" s="6"/>
      <c r="G13" t="str">
        <f t="shared" si="15"/>
        <v/>
      </c>
      <c r="H13" t="str">
        <f>+VLOOKUP(E13,'Data Type Mapping'!A:B,2,)</f>
        <v>long?</v>
      </c>
      <c r="I13" t="str">
        <f t="shared" si="16"/>
        <v/>
      </c>
      <c r="J13" t="str">
        <f t="shared" si="17"/>
        <v xml:space="preserve">		public virtual long? VendorId { get; set; }
</v>
      </c>
      <c r="K13" s="6"/>
      <c r="L13" t="str">
        <f t="shared" si="18"/>
        <v/>
      </c>
      <c r="M13" t="str">
        <f t="shared" si="19"/>
        <v xml:space="preserve">		public virtual long? VendorId { get; set; }
</v>
      </c>
      <c r="N13" t="str">
        <f t="shared" si="20"/>
        <v xml:space="preserve">		public virtual long? VendorId { get; set; }
</v>
      </c>
      <c r="O13" t="str">
        <f t="shared" si="21"/>
        <v/>
      </c>
      <c r="P13" t="str">
        <f t="shared" si="22"/>
        <v xml:space="preserve">							VendorId = o.VendorId,</v>
      </c>
      <c r="T13" s="63" t="str">
        <f t="shared" si="23"/>
        <v xml:space="preserve">								("VendorId"),</v>
      </c>
      <c r="V13" s="64" t="str">
        <f t="shared" si="24"/>
        <v xml:space="preserve">								_ =&gt; _.VendorId,</v>
      </c>
      <c r="W13" s="63" t="str">
        <f t="shared" si="25"/>
        <v/>
      </c>
    </row>
    <row r="14" spans="1:23" customFormat="1" ht="18.75" customHeight="1" x14ac:dyDescent="0.35">
      <c r="A14" s="28" t="s">
        <v>374</v>
      </c>
      <c r="B14" s="28" t="s">
        <v>362</v>
      </c>
      <c r="C14" t="s">
        <v>1</v>
      </c>
      <c r="D14" t="str">
        <f t="shared" si="13"/>
        <v>VendorName</v>
      </c>
      <c r="E14" t="str">
        <f t="shared" si="14"/>
        <v>nvarchar</v>
      </c>
      <c r="F14" s="6"/>
      <c r="G14" t="str">
        <f t="shared" si="15"/>
        <v>255</v>
      </c>
      <c r="H14" t="str">
        <f>+VLOOKUP(E14,'Data Type Mapping'!A:B,2,)</f>
        <v>string</v>
      </c>
      <c r="I14" t="str">
        <f t="shared" si="16"/>
        <v xml:space="preserve">		public const int MaxVendorNameLength = 255;
</v>
      </c>
      <c r="J14" t="str">
        <f t="shared" si="17"/>
        <v xml:space="preserve">		[StringLength(MaxVendorNameLength)]
		public virtual string VendorName { get; set; }
</v>
      </c>
      <c r="K14" s="6"/>
      <c r="L14" t="str">
        <f t="shared" si="18"/>
        <v/>
      </c>
      <c r="M14" t="str">
        <f t="shared" si="19"/>
        <v xml:space="preserve">		public virtual string VendorName { get; set; }
</v>
      </c>
      <c r="N14" t="str">
        <f t="shared" si="20"/>
        <v xml:space="preserve">		[StringLength(InvCpsInvoiceHeadersConsts.MaxVendorNameLength)]
		public virtual string VendorName { get; set; }
</v>
      </c>
      <c r="O14" t="str">
        <f t="shared" si="21"/>
        <v xml:space="preserve">		public virtual string VendorName { get; set; }
</v>
      </c>
      <c r="P14" t="str">
        <f t="shared" si="22"/>
        <v xml:space="preserve">							VendorName = o.VendorName,</v>
      </c>
      <c r="T14" s="63" t="str">
        <f t="shared" si="23"/>
        <v xml:space="preserve">								("VendorName"),</v>
      </c>
      <c r="V14" s="64" t="str">
        <f t="shared" si="24"/>
        <v xml:space="preserve">								_ =&gt; _.VendorName,</v>
      </c>
      <c r="W14" s="63" t="str">
        <f t="shared" si="25"/>
        <v xml:space="preserve">				.WhereIf(!string.IsNullOrWhiteSpace(input.VendorName), e =&gt; e.VendorName.Contains(input.VendorName))</v>
      </c>
    </row>
    <row r="15" spans="1:23" customFormat="1" ht="18.75" customHeight="1" x14ac:dyDescent="0.35">
      <c r="A15" s="28" t="s">
        <v>375</v>
      </c>
      <c r="B15" s="28" t="s">
        <v>363</v>
      </c>
      <c r="C15" t="s">
        <v>1</v>
      </c>
      <c r="D15" t="str">
        <f t="shared" si="13"/>
        <v>CurrencyCode</v>
      </c>
      <c r="E15" t="str">
        <f t="shared" si="14"/>
        <v>nvarchar</v>
      </c>
      <c r="F15" s="6"/>
      <c r="G15" t="str">
        <f t="shared" si="15"/>
        <v>15</v>
      </c>
      <c r="H15" t="str">
        <f>+VLOOKUP(E15,'Data Type Mapping'!A:B,2,)</f>
        <v>string</v>
      </c>
      <c r="I15" t="str">
        <f t="shared" si="16"/>
        <v xml:space="preserve">		public const int MaxCurrencyCodeLength = 15;
</v>
      </c>
      <c r="J15" t="str">
        <f t="shared" si="17"/>
        <v xml:space="preserve">		[StringLength(MaxCurrencyCodeLength)]
		public virtual string CurrencyCode { get; set; }
</v>
      </c>
      <c r="K15" s="6"/>
      <c r="L15" t="str">
        <f t="shared" si="18"/>
        <v/>
      </c>
      <c r="M15" t="str">
        <f t="shared" si="19"/>
        <v xml:space="preserve">		public virtual string CurrencyCode { get; set; }
</v>
      </c>
      <c r="N15" t="str">
        <f t="shared" si="20"/>
        <v xml:space="preserve">		[StringLength(InvCpsInvoiceHeadersConsts.MaxCurrencyCodeLength)]
		public virtual string CurrencyCode { get; set; }
</v>
      </c>
      <c r="O15" t="str">
        <f t="shared" si="21"/>
        <v xml:space="preserve">		public virtual string CurrencyCode { get; set; }
</v>
      </c>
      <c r="P15" t="str">
        <f t="shared" si="22"/>
        <v xml:space="preserve">							CurrencyCode = o.CurrencyCode,</v>
      </c>
      <c r="T15" s="63" t="str">
        <f t="shared" si="23"/>
        <v xml:space="preserve">								("CurrencyCode"),</v>
      </c>
      <c r="V15" s="64" t="str">
        <f t="shared" si="24"/>
        <v xml:space="preserve">								_ =&gt; _.CurrencyCode,</v>
      </c>
      <c r="W15" s="63" t="str">
        <f t="shared" si="25"/>
        <v xml:space="preserve">				.WhereIf(!string.IsNullOrWhiteSpace(input.CurrencyCode), e =&gt; e.CurrencyCode.Contains(input.CurrencyCode))</v>
      </c>
    </row>
    <row r="16" spans="1:23" customFormat="1" ht="18.75" customHeight="1" x14ac:dyDescent="0.35">
      <c r="A16" s="28" t="s">
        <v>376</v>
      </c>
      <c r="B16" s="28" t="s">
        <v>356</v>
      </c>
      <c r="C16" t="s">
        <v>1</v>
      </c>
      <c r="D16" t="str">
        <f t="shared" si="13"/>
        <v>InvoiceAmount</v>
      </c>
      <c r="E16" t="str">
        <f t="shared" si="14"/>
        <v>Decimal</v>
      </c>
      <c r="F16" s="6"/>
      <c r="G16" t="str">
        <f t="shared" si="15"/>
        <v>18,5</v>
      </c>
      <c r="H16" t="str">
        <f>+VLOOKUP(E16,'Data Type Mapping'!A:B,2,)</f>
        <v>decimal?</v>
      </c>
      <c r="I16" t="str">
        <f t="shared" si="16"/>
        <v/>
      </c>
      <c r="J16" t="str">
        <f t="shared" si="17"/>
        <v xml:space="preserve">		public virtual decimal? InvoiceAmount { get; set; }
</v>
      </c>
      <c r="K16" s="6"/>
      <c r="L16" t="str">
        <f t="shared" si="18"/>
        <v/>
      </c>
      <c r="M16" t="str">
        <f t="shared" si="19"/>
        <v xml:space="preserve">		public virtual decimal? InvoiceAmount { get; set; }
</v>
      </c>
      <c r="N16" t="str">
        <f t="shared" si="20"/>
        <v xml:space="preserve">		public virtual decimal? InvoiceAmount { get; set; }
</v>
      </c>
      <c r="O16" t="str">
        <f t="shared" si="21"/>
        <v/>
      </c>
      <c r="P16" t="str">
        <f t="shared" si="22"/>
        <v xml:space="preserve">							InvoiceAmount = o.InvoiceAmount,</v>
      </c>
      <c r="T16" s="63" t="str">
        <f t="shared" si="23"/>
        <v xml:space="preserve">								("InvoiceAmount"),</v>
      </c>
      <c r="V16" s="64" t="str">
        <f t="shared" si="24"/>
        <v xml:space="preserve">								_ =&gt; _.InvoiceAmount,</v>
      </c>
      <c r="W16" s="63" t="str">
        <f t="shared" si="25"/>
        <v/>
      </c>
    </row>
    <row r="17" spans="1:23" customFormat="1" ht="18.75" customHeight="1" x14ac:dyDescent="0.35">
      <c r="A17" s="28" t="s">
        <v>377</v>
      </c>
      <c r="B17" s="28" t="s">
        <v>356</v>
      </c>
      <c r="C17" t="s">
        <v>1</v>
      </c>
      <c r="D17" t="str">
        <f t="shared" si="13"/>
        <v>AmountVat</v>
      </c>
      <c r="E17" t="str">
        <f t="shared" si="14"/>
        <v>Decimal</v>
      </c>
      <c r="F17" s="6"/>
      <c r="G17" t="str">
        <f t="shared" si="15"/>
        <v>18,5</v>
      </c>
      <c r="H17" t="str">
        <f>+VLOOKUP(E17,'Data Type Mapping'!A:B,2,)</f>
        <v>decimal?</v>
      </c>
      <c r="I17" t="str">
        <f t="shared" si="16"/>
        <v/>
      </c>
      <c r="J17" t="str">
        <f t="shared" si="17"/>
        <v xml:space="preserve">		public virtual decimal? AmountVat { get; set; }
</v>
      </c>
      <c r="K17" s="6"/>
      <c r="L17" t="str">
        <f t="shared" si="18"/>
        <v/>
      </c>
      <c r="M17" t="str">
        <f t="shared" si="19"/>
        <v xml:space="preserve">		public virtual decimal? AmountVat { get; set; }
</v>
      </c>
      <c r="N17" t="str">
        <f t="shared" si="20"/>
        <v xml:space="preserve">		public virtual decimal? AmountVat { get; set; }
</v>
      </c>
      <c r="O17" t="str">
        <f t="shared" si="21"/>
        <v/>
      </c>
      <c r="P17" t="str">
        <f t="shared" si="22"/>
        <v xml:space="preserve">							AmountVat = o.AmountVat,</v>
      </c>
      <c r="T17" s="63" t="str">
        <f t="shared" si="23"/>
        <v xml:space="preserve">								("AmountVat"),</v>
      </c>
      <c r="V17" s="64" t="str">
        <f t="shared" si="24"/>
        <v xml:space="preserve">								_ =&gt; _.AmountVat,</v>
      </c>
      <c r="W17" s="63" t="str">
        <f t="shared" si="25"/>
        <v/>
      </c>
    </row>
    <row r="18" spans="1:23" customFormat="1" ht="18.75" customHeight="1" x14ac:dyDescent="0.35">
      <c r="A18" s="28" t="s">
        <v>378</v>
      </c>
      <c r="B18" s="28" t="s">
        <v>356</v>
      </c>
      <c r="C18" t="s">
        <v>1</v>
      </c>
      <c r="D18" t="str">
        <f t="shared" si="0"/>
        <v>TaxRate</v>
      </c>
      <c r="E18" t="str">
        <f t="shared" si="1"/>
        <v>Decimal</v>
      </c>
      <c r="F18" s="6"/>
      <c r="G18" t="str">
        <f t="shared" si="2"/>
        <v>18,5</v>
      </c>
      <c r="H18" t="str">
        <f>+VLOOKUP(E18,'Data Type Mapping'!A:B,2,)</f>
        <v>decimal?</v>
      </c>
      <c r="I18" t="str">
        <f t="shared" si="3"/>
        <v/>
      </c>
      <c r="J18" t="str">
        <f t="shared" si="4"/>
        <v xml:space="preserve">		public virtual decimal? TaxRate { get; set; }
</v>
      </c>
      <c r="K18" s="6"/>
      <c r="L18" t="str">
        <f t="shared" si="5"/>
        <v/>
      </c>
      <c r="M18" t="str">
        <f t="shared" si="6"/>
        <v xml:space="preserve">		public virtual decimal? TaxRate { get; set; }
</v>
      </c>
      <c r="N18" t="str">
        <f t="shared" si="7"/>
        <v xml:space="preserve">		public virtual decimal? TaxRate { get; set; }
</v>
      </c>
      <c r="O18" t="str">
        <f t="shared" si="8"/>
        <v/>
      </c>
      <c r="P18" t="str">
        <f t="shared" si="9"/>
        <v xml:space="preserve">							TaxRate = o.TaxRate,</v>
      </c>
      <c r="T18" s="63" t="str">
        <f t="shared" si="10"/>
        <v xml:space="preserve">								("TaxRate"),</v>
      </c>
      <c r="V18" s="64" t="str">
        <f t="shared" si="11"/>
        <v xml:space="preserve">								_ =&gt; _.TaxRate,</v>
      </c>
      <c r="W18" s="63" t="str">
        <f t="shared" si="12"/>
        <v/>
      </c>
    </row>
    <row r="19" spans="1:23" customFormat="1" ht="18.75" customHeight="1" x14ac:dyDescent="0.35">
      <c r="A19" s="28" t="s">
        <v>318</v>
      </c>
      <c r="B19" s="28" t="s">
        <v>355</v>
      </c>
      <c r="C19" t="s">
        <v>1</v>
      </c>
      <c r="D19" t="str">
        <f t="shared" ref="D19" si="38">SUBSTITUTE(PROPER(A19),"_","")</f>
        <v>IsActive</v>
      </c>
      <c r="E19" t="str">
        <f t="shared" ref="E19" si="39">IFERROR(LEFT(B19, FIND("(",B19)-1),B19)</f>
        <v>varchar</v>
      </c>
      <c r="F19" s="6"/>
      <c r="G19" t="str">
        <f t="shared" ref="G19" si="40">IFERROR(MID(B19,FIND("(",B19) +1, FIND(")",B19) - FIND("(",B19) - 1),"")</f>
        <v>1</v>
      </c>
      <c r="H19" t="str">
        <f>+VLOOKUP(E19,'Data Type Mapping'!A:B,2,)</f>
        <v>string</v>
      </c>
      <c r="I19" t="str">
        <f t="shared" ref="I19" si="41">IF(H19="string",REPT(CHAR(9),2)&amp;"public const int Max"&amp;D19&amp;"Length = "&amp;G19&amp;";"&amp;$E$3,"" )</f>
        <v xml:space="preserve">		public const int MaxIsActiveLength = 1;
</v>
      </c>
      <c r="J19" t="str">
        <f t="shared" ref="J19" si="42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[StringLength(MaxIsActiveLength)]
		public virtual string IsActive { get; set; }
</v>
      </c>
      <c r="K19" s="6"/>
      <c r="L19" t="str">
        <f t="shared" ref="L19" si="43">IF(K19="","",REPT(CHAR(9),1)&amp;"[Index(nameof("&amp;IF(D19="","",""&amp;D19)&amp;")"&amp;", Name="&amp;"""IX_"&amp;$B$7&amp;"_"&amp;D19&amp;""")]")</f>
        <v/>
      </c>
      <c r="M19" t="str">
        <f t="shared" ref="M19" si="44">REPT(CHAR(9),2)&amp;"public virtual "&amp;IF(OR(H19="DateTime",H19="TimeSpan"),H19&amp;"?",H19)&amp;IF(C19="?","? "," ")&amp;D19&amp;" { get; set; }" &amp; "
"</f>
        <v xml:space="preserve">		public virtual string IsActive { get; set; }
</v>
      </c>
      <c r="N19" t="str">
        <f t="shared" ref="N19" si="45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[StringLength(InvCpsInvoiceHeadersConsts.MaxIsActiveLength)]
		public virtual string IsActive { get; set; }
</v>
      </c>
      <c r="O19" t="str">
        <f t="shared" ref="O19" si="46">IF(OR(H19="string",H19="DateTime",H19="int"),REPT(CHAR(9),2)&amp;"public virtual "&amp;IF(OR(H19="DateTime",H19="TimeSpan"),H19&amp;"?",H19)&amp;IF(C19="?","? "," ")&amp;D19&amp;" { get; set; }"&amp;$E$3,"")</f>
        <v xml:space="preserve">		public virtual string IsActive { get; set; }
</v>
      </c>
      <c r="P19" t="str">
        <f t="shared" ref="P19" si="47">REPT(CHAR(9),7)&amp;D19&amp;" = o." &amp;D19 &amp;","</f>
        <v xml:space="preserve">							IsActive = o.IsActive,</v>
      </c>
      <c r="T19" s="63" t="str">
        <f t="shared" ref="T19" si="48">REPT(CHAR(9),8)&amp;"("""&amp;D19&amp;"""),"</f>
        <v xml:space="preserve">								("IsActive"),</v>
      </c>
      <c r="V19" s="64" t="str">
        <f t="shared" ref="V19" si="49">REPT(CHAR(9),8)&amp;"_ =&gt; _."&amp;D19&amp;","</f>
        <v xml:space="preserve">								_ =&gt; _.IsActive,</v>
      </c>
      <c r="W19" s="63" t="str">
        <f t="shared" ref="W19" si="50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.WhereIf(!string.IsNullOrWhiteSpace(input.IsActive), e =&gt; e.IsActive.Contains(input.IsActive))</v>
      </c>
    </row>
    <row r="21" spans="1:23" ht="45.75" customHeight="1" x14ac:dyDescent="0.35">
      <c r="H21" s="11"/>
      <c r="I21" s="31" t="str">
        <f ca="1">TEXTJOIN2("
", TRUE,INDIRECT( $H$1):INDIRECT( $H$3))</f>
        <v xml:space="preserve">		public const int MaxInvoiceNumLength = 50;
		public const int MaxInvoiceSymbolLength = 10;
		public const int MaxDescriptionLength = 40;
		public const int MaxVendorNameLength = 255;
		public const int MaxCurrencyCodeLength = 15;
		public const int MaxIsActiveLength = 1;
</v>
      </c>
      <c r="J21" s="30" t="str">
        <f ca="1">TEXTJOIN2("
", TRUE,INDIRECT( $F$1):INDIRECT( $F$3))</f>
        <v xml:space="preserve">		[StringLength(MaxInvoiceNumLength)]
		public virtual string InvoiceNum { get; set; }
		[StringLength(MaxInvoiceSymbolLength)]
		public virtual string InvoiceSymbol { get; set; }
		[StringLength(MaxDescriptionLength)]
		public virtual string Description { get; set; }
		public virtual DateTime? InvoiceDate { get; set; }
		public virtual long? VendorId { get; set; }
		[StringLength(MaxVendorNameLength)]
		public virtual string VendorName { get; set; }
		[StringLength(MaxCurrencyCodeLength)]
		public virtual string CurrencyCode { get; set; }
		public virtual decimal? InvoiceAmount { get; set; }
		public virtual decimal? AmountVat { get; set; }
		public virtual decimal? TaxRate { get; set; }
		[StringLength(MaxIsActiveLength)]
		public virtual string IsActive { get; set; }
</v>
      </c>
      <c r="K21" s="32" t="str">
        <f ca="1">TEXTJOIN2("
", TRUE,INDIRECT( $J$1):INDIRECT( $J$3))</f>
        <v/>
      </c>
      <c r="L21" s="12" t="s">
        <v>56</v>
      </c>
      <c r="M21" s="33" t="str">
        <f ca="1">TEXTJOIN2("
",TRUE,INDIRECT( $L$1):INDIRECT($L$3))</f>
        <v xml:space="preserve">		public virtual string InvoiceNum { get; set; }
		public virtual string InvoiceSymbol { get; set; }
		public virtual string Description { get; set; }
		public virtual DateTime? InvoiceDate { get; set; }
		public virtual long? VendorId { get; set; }
		public virtual string VendorName { get; set; }
		public virtual string CurrencyCode { get; set; }
		public virtual decimal? InvoiceAmount { get; set; }
		public virtual decimal? AmountVat { get; set; }
		public virtual decimal? TaxRate { get; set; }
		public virtual string IsActive { get; set; }
</v>
      </c>
      <c r="N21" s="30" t="str">
        <f ca="1">TEXTJOIN2("
",TRUE,INDIRECT( $M$1):INDIRECT($M$3))</f>
        <v xml:space="preserve">		[StringLength(InvCpsInvoiceHeadersConsts.MaxInvoiceNumLength)]
		public virtual string InvoiceNum { get; set; }
		[StringLength(InvCpsInvoiceHeadersConsts.MaxInvoiceSymbolLength)]
		public virtual string InvoiceSymbol { get; set; }
		[StringLength(InvCpsInvoiceHeadersConsts.MaxDescriptionLength)]
		public virtual string Description { get; set; }
		public virtual DateTime? InvoiceDate { get; set; }
		public virtual long? VendorId { get; set; }
		[StringLength(InvCpsInvoiceHeadersConsts.MaxVendorNameLength)]
		public virtual string VendorName { get; set; }
		[StringLength(InvCpsInvoiceHeadersConsts.MaxCurrencyCodeLength)]
		public virtual string CurrencyCode { get; set; }
		public virtual decimal? InvoiceAmount { get; set; }
		public virtual decimal? AmountVat { get; set; }
		public virtual decimal? TaxRate { get; set; }
		[StringLength(InvCpsInvoiceHeadersConsts.MaxIsActiveLength)]
		public virtual string IsActive { get; set; }
</v>
      </c>
      <c r="O21" s="30" t="str">
        <f ca="1">TEXTJOIN2("
",TRUE,INDIRECT( $N$1):INDIRECT($N$3))</f>
        <v xml:space="preserve">		public virtual string InvoiceNum { get; set; }
		public virtual string InvoiceSymbol { get; set; }
		public virtual string Description { get; set; }
		public virtual string VendorName { get; set; }
		public virtual string CurrencyCode { get; set; }
		public virtual string IsActive { get; set; }
</v>
      </c>
      <c r="P21" s="8" t="str">
        <f ca="1">TEXTJOIN2("
",TRUE,INDIRECT( $O$1):INDIRECT($O$3))</f>
        <v xml:space="preserve">							InvoiceNum = o.InvoiceNum,
							InvoiceSymbol = o.InvoiceSymbol,
							Description = o.Description,
							InvoiceDate = o.InvoiceDate,
							VendorId = o.VendorId,
							VendorName = o.VendorName,
							CurrencyCode = o.CurrencyCode,
							InvoiceAmount = o.InvoiceAmount,
							AmountVat = o.AmountVat,
							TaxRate = o.TaxRate,
							IsActive = o.IsActive,</v>
      </c>
      <c r="T21" s="8" t="str">
        <f ca="1">TEXTJOIN2("
",TRUE,INDIRECT( $T$2):INDIRECT($T$3))</f>
        <v xml:space="preserve">								("InvoiceNum"),
								("InvoiceSymbol"),
								("Description"),
								("InvoiceDate"),
								("VendorId"),
								("VendorName"),
								("CurrencyCode"),
								("InvoiceAmount"),
								("AmountVat"),
								("TaxRate"),
								("IsActive"),</v>
      </c>
      <c r="V21" s="8" t="str">
        <f ca="1">TEXTJOIN2("
",TRUE,INDIRECT( $V$2):INDIRECT($V$3))</f>
        <v xml:space="preserve">								_ =&gt; _.InvoiceNum,
								_ =&gt; _.InvoiceSymbol,
								_ =&gt; _.Description,
								_ =&gt; _.InvoiceDate,
								_ =&gt; _.VendorId,
								_ =&gt; _.VendorName,
								_ =&gt; _.CurrencyCode,
								_ =&gt; _.InvoiceAmount,
								_ =&gt; _.AmountVat,
								_ =&gt; _.TaxRate,
								_ =&gt; _.IsActive,</v>
      </c>
      <c r="W21" s="8" t="str">
        <f ca="1">TEXTJOIN2("
",TRUE,INDIRECT( $W$2):INDIRECT($W$3))</f>
        <v xml:space="preserve">				.WhereIf(!string.IsNullOrWhiteSpace(input.InvoiceNum), e =&gt; e.InvoiceNum.Contains(input.InvoiceNum))
				.WhereIf(!string.IsNullOrWhiteSpace(input.InvoiceSymbol), e =&gt; e.InvoiceSymbol.Contains(input.InvoiceSymbol))
				.WhereIf(!string.IsNullOrWhiteSpace(input.Description), e =&gt; e.Description.Contains(input.Description))
				.WhereIf(!string.IsNullOrWhiteSpace(input.VendorName), e =&gt; e.VendorName.Contains(input.VendorName))
				.WhereIf(!string.IsNullOrWhiteSpace(input.CurrencyCode), e =&gt; e.CurrencyCode.Contains(input.CurrencyCode))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7"/>
  <sheetViews>
    <sheetView topLeftCell="A10" workbookViewId="0">
      <selection activeCell="A15" sqref="A15:A24"/>
    </sheetView>
  </sheetViews>
  <sheetFormatPr defaultColWidth="8.81640625" defaultRowHeight="14.5" x14ac:dyDescent="0.35"/>
  <cols>
    <col min="1" max="1" width="17.7265625" customWidth="1"/>
    <col min="2" max="2" width="15.453125" customWidth="1"/>
    <col min="3" max="3" width="16.81640625" customWidth="1"/>
    <col min="4" max="7" width="15.1796875" customWidth="1"/>
    <col min="8" max="8" width="35.54296875" customWidth="1"/>
    <col min="9" max="9" width="31.7265625" customWidth="1"/>
    <col min="10" max="10" width="22.26953125" customWidth="1"/>
    <col min="11" max="11" width="45.1796875" customWidth="1"/>
    <col min="12" max="12" width="51.7265625" customWidth="1"/>
    <col min="13" max="13" width="23.453125" customWidth="1"/>
    <col min="14" max="15" width="20.453125" customWidth="1"/>
    <col min="16" max="16" width="25.81640625" customWidth="1"/>
    <col min="17" max="18" width="25.453125" customWidth="1"/>
    <col min="19" max="19" width="24" customWidth="1"/>
    <col min="20" max="20" width="19.1796875" customWidth="1"/>
    <col min="21" max="21" width="19.81640625" customWidth="1"/>
    <col min="22" max="22" width="13.7265625" customWidth="1"/>
  </cols>
  <sheetData>
    <row r="1" spans="1:22" ht="29" x14ac:dyDescent="0.35">
      <c r="A1" s="38" t="s">
        <v>207</v>
      </c>
      <c r="B1" s="39" t="s">
        <v>366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5">
      <c r="A2" s="38" t="s">
        <v>232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5">
      <c r="A3" s="38" t="s">
        <v>232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5">
      <c r="A4" s="38" t="s">
        <v>209</v>
      </c>
      <c r="B4" s="40" t="str">
        <f>A.Backend!Q3</f>
        <v>CPS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5">
      <c r="A5" s="38" t="s">
        <v>209</v>
      </c>
      <c r="B5" s="40" t="str">
        <f>LOWER(B4)</f>
        <v>cps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5">
      <c r="A6" s="38" t="s">
        <v>219</v>
      </c>
      <c r="B6" s="41" t="str">
        <f>A.Backend!B3</f>
        <v>InvCpsInvoiceHeaders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5">
      <c r="A7" s="38" t="s">
        <v>210</v>
      </c>
      <c r="B7" s="40" t="str">
        <f>A.Backend!B5</f>
        <v>InvoiceHeaders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5">
      <c r="A8" s="38" t="s">
        <v>208</v>
      </c>
      <c r="B8" s="40" t="str">
        <f>LOWER(B7)</f>
        <v>invoiceheaders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3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InvCpsInvoiceHeadersDto, InvCpsInvoiceHeadersServiceProxy } from '@shared/service-proxies/service-proxies';
import { finalize } from 'rxjs/internal/operators/finalize';
import { CreateOrEditInvoiceHeadersModalComponent } from './create-or-edit-invoiceheaders-modal.component';
import { DatePipe } from '@angular/common';
import { FileDownloadService } from '@shared/utils/file-download.service';
import ceil from 'lodash-es/ceil';
import { Paginator } from 'primeng/paginator';
@Component({
    templateUrl: './invoiceheaders.component.html',
    styleUrls: ['./invoiceheaders.component.less'],
})
export class InvoiceHeadersComponent extends AppComponentBase implements OnInit {
    @ViewChild('createOrEditModalInvoiceHeaders', { static: true }) createOrEditModalInvoiceHeaders:| CreateOrEditInvoiceHeadersModalComponent|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InvCpsInvoiceHeadersDto = new InvCpsInvoiceHeadersDto();
    saveSelectedRow: InvCpsInvoiceHeadersDto = new InvCpsInvoiceHeadersDto();
    datas: InvCpsInvoiceHeadersDto = new InvCpsInvoiceHeadersDto();
    isLoading: boolean = false;
    dataParams: GridParams | undefined;
    rowData: any[] = [];
    gridApi!: GridApi;
    rowSelection = 'multiple';
    filter: string = '';
	pipe = new DatePipe('en-US');
	frameworkComponents: FrameworkComponent;
    	invoiceNum : string = '' ; 
	invoiceSymbol : string = '' ; 
	description : string = '' ; 
	vendorName : string = '' ; 
	currencyCode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InvCpsInvoiceHeadersServiceProxy,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this.l('Invoice Num'),headerTooltip: this.l('Invoice Num'),field: 'invoiceNum',flex: 1},
			{headerName: this.l('Invoice Symbol'),headerTooltip: this.l('Invoice Symbol'),field: 'invoiceSymbol',flex: 1},
			{headerName: this.l('Description'),headerTooltip: this.l('Description'),field: 'description',flex: 1},
			{headerName: this.l('Invoice Date'),headerTooltip: this.l('Invoice Date'),field: 'invoiceDate',flex: 1},
			{headerName: this.l('Vendor Id'),headerTooltip: this.l('Vendor Id'),field: 'vendorId',flex: 1},
			{headerName: this.l('Vendor Name'),headerTooltip: this.l('Vendor Name'),field: 'vendorName',flex: 1},
			{headerName: this.l('Currency Code'),headerTooltip: this.l('Currency Code'),field: 'currencyCode',flex: 1},
			{headerName: this.l('Invoice Amount'),headerTooltip: this.l('Invoice Amount'),field: 'invoiceAmount',flex: 1},
			{headerName: this.l('Amount Vat'),headerTooltip: this.l('Amount Vat'),field: 'amountVat',flex: 1},
			{headerName: this.l('Tax Rate'),headerTooltip: this.l('Tax Rate'),field: 'taxRate',flex: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this.invoiceNum,
			this.invoiceSymbol,
			this.vendorId,
			this.vendorName,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invoiceNum : string = '' ; 
	invoiceSymbol : string = '' ; 
	description : string = '' ; 
	vendorName : string = '' ; 
	currencyCode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this.invoiceNum,
			this.invoiceSymbol,
			this.vendorId,
			this.vendorName,
			'',
            this.paginationParams.skipCount,
            this.paginationParams.pageSize
        );
    }
    onChangeRowSelection(params: { api: { getSelectedRows: () =&gt; InvCpsInvoiceHeadersDto[] } }) {
        this.saveSelectedRow = params.api.getSelectedRows()[0] ?? new InvCpsInvoiceHeadersDto();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InvCpsInvoiceHeadersDto):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this._service.getInvoiceHeadersToExcel(
			this.,
			this.invoiceNum,
			this.invoiceSymbol,
			this.vendorId,
			this.vendorName,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Cps Invoice Headers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[(ngModel)]='invoiceNum' name='invoiceNum'
									class='form-control' [placeholder]="l('Invoice Num')"
									type='text' (keyup.enter)='searchDatas()'&gt;
								&lt;/div&gt;
								&lt;div class='input-search'&gt;
									&lt;input [(ngModel)]='invoiceSymbol' name='invoiceSymbol'
									class='form-control' [placeholder]="l('Invoice Symbol')"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[(ngModel)]='vendorName' name='vendorName'
									class='form-control' [placeholder]="l('Vendor Name')"
									type='text' (keyup.enter)='searchDatas()'&gt;
								&lt;/div&gt;
								&lt;div class='input-search'&gt;
									&lt;input [(ngModel)]='currencyCode' name='currencyCode'
									class='form-control' [placeholder]="l('Currency Code')"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(click)="createOrEditModalInvoiceHeaders.show()"&gt;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(click)="createOrEditModalInvoiceHeaders.show(selectedRow)"&gt;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&lt;create-or-edit-invoiceheaders-modal
    #createOrEditModalInvoiceHeaders
    (modalSave)="callBackDataGrid(dataParams)"
    (modalClose)="onChangeRowSelection(dataParams)"
&gt;
&lt;/create-or-edit-invoiceheaders-modal&gt;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#createOrEditModalInvoiceHeaders="bs-modal"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InvoiceHeaders')}}&lt;/h3&gt;
                    &lt;h3 *ngIf="!rowdata.id"&gt;{{('Create New InvoiceHeaders')}}&lt;/h3&gt;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title'&gt;Invoice Num&lt;/label&gt;
						&lt;input type='text' class='col-md-10 form-control input-text' name='InvoiceNum' [(ngModel)]='rowdata.invoiceNum'&gt;
					&lt;/div&gt;
					&lt;div class='col-md-12 form-group row'&gt;
						&lt;label class='col-md-2 form-control title'&gt;Invoice Symbol&lt;/label&gt;
						&lt;input type='text' class='col-md-10 form-control input-text' name='InvoiceSymbol' [(ngModel)]='rowdata.invoiceSymbol'&gt;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title'&gt;Invoice Date&lt;/label&gt;
						&lt;input type='text' class='col-md-10 form-control input-text' name='invoiceDate' 
						#datepicker='bsDatepicker' [(ngModel)]='rowdata.invoiceDate'  bsDatepicker &gt;
					&lt;/div&gt;
					&lt;div class='col-md-12 form-group row'&gt;
						&lt;label class='col-md-2 form-control title'&gt;Vendor Id&lt;/label&gt;
						&lt;input type='number' class='col-md-10 form-control input-text' name='VendorId' [(ngModel)]='rowdata.vendorId'&gt;
					&lt;/div&gt;
					&lt;div class='col-md-12 form-group row'&gt;
						&lt;label class='col-md-2 form-control title'&gt;Vendor Name&lt;/label&gt;
						&lt;input type='text' class='col-md-10 form-control input-text' name='VendorName' [(ngModel)]='rowdata.vendorName'&gt;
					&lt;/div&gt;
					&lt;div class='col-md-12 form-group row'&gt;
						&lt;label class='col-md-2 form-control title'&gt;Currency Code&lt;/label&gt;
						&lt;input type='text' class='col-md-10 form-control input-text' name='CurrencyCode' [(ngModel)]='rowdata.currencyCode'&gt;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CreateOrEditInvCpsInvoiceHeadersDto, InvCpsInvoiceHeadersServiceProxy } from '@shared/service-proxies/service-proxies';
import { BsDatepickerDirective } from 'ngx-bootstrap/datepicker';
@Component({
    selector: 'create-or-edit-invoiceheaders-modal',
    templateUrl: './create-or-edit-invoiceheaders-modal.component.html',
    styleUrls: ['./create-or-edit-invoiceheaders-modal.component.less']
    })
export class CreateOrEditInvoiceHeadersModalComponent extends AppComponentBase {
    @ViewChild('createOrEditModalInvoiceHeaders',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CreateOrEditInvCpsInvoiceHeadersDto = new CreateOrEditInvCpsInvoiceHeadersDto();
    active: boolean = false;
    saving: boolean = false;
    _isActive: boolean;
    constructor(
        injector: Injector,
        private _mstwptInvoiceHeadersService: InvCpsInvoiceHeadersServiceProxy,
    ) 
    {
        super(injector);
    }
    show(rowdata?: CreateOrEditInvCpsInvoiceHeadersDto): void {
        if (!rowdata) this.rowdata = new CreateOrEditInvCpsInvoiceHeadersDto();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this._mstwptInvoiceHeadersService.createOrEdit(this.rowdata)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InvoiceHeadersRoutingModule } from './invoiceheaders-routing.module';
import { InvoiceHeadersComponent } from './invoiceheaders.component';
import { CreateOrEditInvoiceHeadersModalComponent } from './create-or-edit-invoiceheaders-modal.component';
@NgModule({
    declarations: [
       InvoiceHeadersComponent, 
        CreateOrEditInvoiceHeadersModalComponent
    ],
    imports: [
        AppSharedModule, InvoiceHeadersRoutingModule]
})
export class InvoiceHeadersModule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InvoiceHeadersComponent } from './invoiceheaders.component';
const routes: Routes = [{
    path: '',
    component: InvoiceHeadersComponent,
    pathMatch: 'full'
}];
@NgModule({
    imports: [RouterModule.forChild(routes)],
    exports: [RouterModule],
})
export class InvoiceHeadersRoutingModule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AppMenuItem("InvoiceHeaders", "Pages.Inventory.CPS.InvoiceHeaders", "flaticon-book",   "/app/main/inventory/cps/invoiceheaders"),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'inventory/cps/invoiceheaders',
    loadChildren: () =&gt; import('./inventory/cps/invoiceheaders/invoiceheaders.module').then(m =&gt; m.InvoiceHeadersModule),
    data: { permission: 'Pages.Inventory.CPS.InvoiceHeaders' }
},</v>
      </c>
      <c r="R10" s="47" t="str">
        <f>SUBSTITUTE(R9,"MstWptCalendar",$B$6)</f>
        <v>ApiServiceProxies.InvCpsInvoiceHeadersServiceProxy,</v>
      </c>
      <c r="S10" s="28"/>
      <c r="T10" s="28"/>
      <c r="U10" s="28"/>
      <c r="V10" s="28"/>
    </row>
    <row r="11" spans="1:22" x14ac:dyDescent="0.3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3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H25</v>
      </c>
      <c r="I12" s="28" t="str">
        <f>"I"&amp;COUNTA($A:$A)</f>
        <v>I25</v>
      </c>
      <c r="J12" s="28"/>
      <c r="K12" s="28" t="str">
        <f>"K"&amp;COUNTA($A:$A)</f>
        <v>K25</v>
      </c>
      <c r="L12" s="28" t="str">
        <f>"L"&amp;COUNTA($A:$A)</f>
        <v>L25</v>
      </c>
      <c r="M12" s="28"/>
      <c r="N12" s="28"/>
      <c r="O12" s="28"/>
      <c r="P12" s="28"/>
      <c r="Q12" s="28"/>
      <c r="R12" s="28"/>
      <c r="S12" s="28" t="str">
        <f>"S"&amp;COUNTA($A:$A)</f>
        <v>S25</v>
      </c>
      <c r="T12" s="28" t="str">
        <f>"T"&amp;COUNTA($A:$A)</f>
        <v>T25</v>
      </c>
      <c r="U12" s="28" t="str">
        <f>"U"&amp;COUNTA($A:$A)</f>
        <v>U25</v>
      </c>
      <c r="V12" s="28" t="str">
        <f>"V"&amp;COUNTA($A:$A)</f>
        <v>V25</v>
      </c>
    </row>
    <row r="13" spans="1:22" ht="17.25" customHeight="1" x14ac:dyDescent="0.3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this.l('Invoice Num'),headerTooltip: this.l('Invoice Num'),field: 'invoiceNum',flex: 1},
			{headerName: this.l('Invoice Symbol'),headerTooltip: this.l('Invoice Symbol'),field: 'invoiceSymbol',flex: 1},
			{headerName: this.l('Description'),headerTooltip: this.l('Description'),field: 'description',flex: 1},
			{headerName: this.l('Invoice Date'),headerTooltip: this.l('Invoice Date'),field: 'invoiceDate',flex: 1},
			{headerName: this.l('Vendor Id'),headerTooltip: this.l('Vendor Id'),field: 'vendorId',flex: 1},
			{headerName: this.l('Vendor Name'),headerTooltip: this.l('Vendor Name'),field: 'vendorName',flex: 1},
			{headerName: this.l('Currency Code'),headerTooltip: this.l('Currency Code'),field: 'currencyCode',flex: 1},
			{headerName: this.l('Invoice Amount'),headerTooltip: this.l('Invoice Amount'),field: 'invoiceAmount',flex: 1},
			{headerName: this.l('Amount Vat'),headerTooltip: this.l('Amount Vat'),field: 'amountVat',flex: 1},
			{headerName: this.l('Tax Rate'),headerTooltip: this.l('Tax Rate'),field: 'taxRate',flex: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[(ngModel)]='invoiceNum' name='invoiceNum'
									class='form-control' [placeholder]="l('Invoice Num')"
									type='text' (keyup.enter)='searchDatas()'&gt;
								&lt;/div&gt;
								&lt;div class='input-search'&gt;
									&lt;input [(ngModel)]='invoiceSymbol' name='invoiceSymbol'
									class='form-control' [placeholder]="l('Invoice Symbol')"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[(ngModel)]='vendorName' name='vendorName'
									class='form-control' [placeholder]="l('Vendor Name')"
									type='text' (keyup.enter)='searchDatas()'&gt;
								&lt;/div&gt;
								&lt;div class='input-search'&gt;
									&lt;input [(ngModel)]='currencyCode' name='currencyCode'
									class='form-control' [placeholder]="l('Currency Code')"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title'&gt;Invoice Num&lt;/label&gt;
						&lt;input type='text' class='col-md-10 form-control input-text' name='InvoiceNum' [(ngModel)]='rowdata.invoiceNum'&gt;
					&lt;/div&gt;
					&lt;div class='col-md-12 form-group row'&gt;
						&lt;label class='col-md-2 form-control title'&gt;Invoice Symbol&lt;/label&gt;
						&lt;input type='text' class='col-md-10 form-control input-text' name='InvoiceSymbol' [(ngModel)]='rowdata.invoiceSymbol'&gt;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title'&gt;Invoice Date&lt;/label&gt;
						&lt;input type='text' class='col-md-10 form-control input-text' name='invoiceDate' 
						#datepicker='bsDatepicker' [(ngModel)]='rowdata.invoiceDate'  bsDatepicker &gt;
					&lt;/div&gt;
					&lt;div class='col-md-12 form-group row'&gt;
						&lt;label class='col-md-2 form-control title'&gt;Vendor Id&lt;/label&gt;
						&lt;input type='number' class='col-md-10 form-control input-text' name='VendorId' [(ngModel)]='rowdata.vendorId'&gt;
					&lt;/div&gt;
					&lt;div class='col-md-12 form-group row'&gt;
						&lt;label class='col-md-2 form-control title'&gt;Vendor Name&lt;/label&gt;
						&lt;input type='text' class='col-md-10 form-control input-text' name='VendorName' [(ngModel)]='rowdata.vendorName'&gt;
					&lt;/div&gt;
					&lt;div class='col-md-12 form-group row'&gt;
						&lt;label class='col-md-2 form-control title'&gt;Currency Code&lt;/label&gt;
						&lt;input type='text' class='col-md-10 form-control input-text' name='CurrencyCode' [(ngModel)]='rowdata.currencyCode'&gt;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invoiceNum : string = '' ; 
	invoiceSymbol : string = '' ; 
	description : string = '' ; 
	vendorName : string = '' ; 
	currencyCode : string = '' ; 
</v>
      </c>
      <c r="T13" s="62" t="str">
        <f ca="1">TEXTJOIN2("
",TRUE,INDIRECT(T11):INDIRECT(T12))</f>
        <v xml:space="preserve">			this.,
			this.invoiceNum,
			this.invoiceSymbol,
			this.vendorId,
			this.vendorName,
</v>
      </c>
      <c r="U13" s="62" t="str">
        <f ca="1">TEXTJOIN2("
",TRUE,INDIRECT(U11):INDIRECT(U12))</f>
        <v xml:space="preserve">	invoiceNum : string = '' ; 
	invoiceSymbol : string = '' ; 
	description : string = '' ; 
	vendorName : string = '' ; 
	currencyCode : string = '' ; 
</v>
      </c>
      <c r="V13" s="28" t="str">
        <f ca="1">TEXTJOIN2("
",TRUE,INDIRECT(V11):INDIRECT(V12))</f>
        <v>isActive</v>
      </c>
    </row>
    <row r="14" spans="1:22" x14ac:dyDescent="0.3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invoiceheaders.component.ts</v>
      </c>
      <c r="I14" s="37" t="str">
        <f>B8&amp;".component.html"</f>
        <v>invoiceheaders.component.html</v>
      </c>
      <c r="J14" s="36" t="str">
        <f>B8&amp;".component.less"</f>
        <v>invoiceheaders.component.less</v>
      </c>
      <c r="K14" s="37" t="str">
        <f>"create-or-edit-"&amp;B8&amp;"-modal.component.html"</f>
        <v>create-or-edit-invoiceheaders-modal.component.html</v>
      </c>
      <c r="L14" s="37" t="str">
        <f>"create-or-edit-"&amp;B8&amp;"-modal.component.ts"</f>
        <v>create-or-edit-invoiceheaders-modal.component.ts</v>
      </c>
      <c r="M14" s="37" t="str">
        <f>"create-or-edit-"&amp;B8&amp;"-modal.component.less"</f>
        <v>create-or-edit-invoiceheaders-modal.component.less</v>
      </c>
      <c r="N14" s="37" t="str">
        <f>B8&amp;".module.ts"</f>
        <v>invoiceheaders.module.ts</v>
      </c>
      <c r="O14" s="37" t="str">
        <f>B8&amp;"-routing.module.ts"</f>
        <v>invoiceheaders-routing.module.ts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35">
      <c r="A15" s="28" t="s">
        <v>370</v>
      </c>
      <c r="B15" s="28" t="str">
        <f t="shared" ref="B15" si="0">SUBSTITUTE(PROPER(A15),"_","")</f>
        <v>InvoiceNum</v>
      </c>
      <c r="C15" s="28" t="str">
        <f t="shared" ref="C15" si="1">SUBSTITUTE(PROPER(A15),"_"," ")</f>
        <v>Invoice Num</v>
      </c>
      <c r="D15" s="28" t="str">
        <f t="shared" ref="D15:D25" si="2">LOWER(LEFT(B15,1))&amp;RIGHT(B15,LEN(B15) - 1)</f>
        <v>invoiceNum</v>
      </c>
      <c r="E15" s="28" t="str">
        <f>A.Backend!H9</f>
        <v>string</v>
      </c>
      <c r="F15" s="28" t="str">
        <f>A.Backend!G9</f>
        <v>50</v>
      </c>
      <c r="G15" s="28" t="str">
        <f t="shared" ref="G15:G25" si="3">IF(E15="string"," : string = '' ; ",IF(OR(E15="DateTime",E15="TimeSpan")," : any ;",IF(E15="int"," : number = 0 ;","")))</f>
        <v xml:space="preserve"> : string = '' ; </v>
      </c>
      <c r="H15" s="35" t="str">
        <f t="shared" ref="H15:H2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this.l('Invoice Num'),headerTooltip: this.l('Invoice Num'),field: 'invoiceNum',flex: 1},</v>
      </c>
      <c r="I15" s="35" t="str">
        <f t="shared" ref="I15:I2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[(ngModel)]='invoiceNum' name='invoiceNum'
									class='form-control' [placeholder]="l('Invoice Num')"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title'&gt;Invoice Num&lt;/label&gt;
						&lt;input type='text' class='col-md-10 form-control input-text' name='InvoiceNum' [(ngModel)]='rowdata.invoiceNum'&gt;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invoiceNum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invoiceNum : string = '' ; </v>
      </c>
      <c r="V15" s="28" t="str">
        <f t="shared" ref="V15" si="7">IF(AND(E15="string",F15="1"),D15,"")</f>
        <v/>
      </c>
    </row>
    <row r="16" spans="1:22" ht="18" customHeight="1" x14ac:dyDescent="0.35">
      <c r="A16" s="28" t="s">
        <v>371</v>
      </c>
      <c r="B16" s="28" t="str">
        <f t="shared" ref="B16:B25" si="8">SUBSTITUTE(PROPER(A16),"_","")</f>
        <v>InvoiceSymbol</v>
      </c>
      <c r="C16" s="28" t="str">
        <f t="shared" ref="C16:C25" si="9">SUBSTITUTE(PROPER(A16),"_"," ")</f>
        <v>Invoice Symbol</v>
      </c>
      <c r="D16" s="28" t="str">
        <f t="shared" si="2"/>
        <v>invoiceSymbol</v>
      </c>
      <c r="E16" s="28" t="str">
        <f>A.Backend!H10</f>
        <v>string</v>
      </c>
      <c r="F16" s="28" t="str">
        <f>A.Backend!G10</f>
        <v>10</v>
      </c>
      <c r="G16" s="28" t="str">
        <f t="shared" si="3"/>
        <v xml:space="preserve"> : string = '' ; </v>
      </c>
      <c r="H16" s="35" t="str">
        <f t="shared" si="4"/>
        <v xml:space="preserve">			{headerName: this.l('Invoice Symbol'),headerTooltip: this.l('Invoice Symbol'),field: 'invoiceSymbol',flex: 1},</v>
      </c>
      <c r="I16" s="35" t="str">
        <f t="shared" si="5"/>
        <v xml:space="preserve">								&lt;div class='input-search'&gt;
									&lt;input [(ngModel)]='invoiceSymbol' name='invoiceSymbol'
									class='form-control' [placeholder]="l('Invoice Symbol')"
									type='text' (keyup.enter)='searchDatas()'&gt;
								&lt;/div&gt;</v>
      </c>
      <c r="J16" s="28"/>
      <c r="K16" s="35" t="str">
        <f t="shared" ref="K16:K25" si="10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title'&gt;Invoice Symbol&lt;/label&gt;
						&lt;input type='text' class='col-md-10 form-control input-text' name='InvoiceSymbol' [(ngModel)]='rowdata.invoiceSymbol'&gt;
					&lt;/div&gt;</v>
      </c>
      <c r="L16" s="56" t="str">
        <f t="shared" ref="L16" si="11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5" si="12">IF(AND(E16="string",F16 &lt;&gt;"1"),(REPT(CHAR(9),1)&amp;D16&amp;G16),"")</f>
        <v xml:space="preserve">	invoiceSymbol : string = '' ; </v>
      </c>
      <c r="T16" s="28" t="str">
        <f t="shared" ref="T16:T24" si="13">IF(AND(E16="string",F16 &lt;&gt;"1"),(REPT(CHAR(9),3)&amp;"this."&amp;D15&amp;","),"")</f>
        <v xml:space="preserve">			this.invoiceNum,</v>
      </c>
      <c r="U16" s="28" t="str">
        <f t="shared" ref="U16:U25" si="14">IF(AND(E16="string",F16 &lt;&gt;"1"),(REPT(CHAR(9),1)&amp;D16&amp;G16),"")</f>
        <v xml:space="preserve">	invoiceSymbol : string = '' ; </v>
      </c>
      <c r="V16" s="28" t="str">
        <f t="shared" ref="V16:V25" si="15">IF(AND(E16="string",F16="1"),D16,"")</f>
        <v/>
      </c>
    </row>
    <row r="17" spans="1:22" ht="18" customHeight="1" x14ac:dyDescent="0.35">
      <c r="A17" s="28" t="s">
        <v>359</v>
      </c>
      <c r="B17" s="28" t="str">
        <f t="shared" ref="B17:B19" si="16">SUBSTITUTE(PROPER(A17),"_","")</f>
        <v>Description</v>
      </c>
      <c r="C17" s="28" t="str">
        <f t="shared" ref="C17:C19" si="17">SUBSTITUTE(PROPER(A17),"_"," ")</f>
        <v>Description</v>
      </c>
      <c r="D17" s="28" t="str">
        <f t="shared" si="2"/>
        <v>description</v>
      </c>
      <c r="E17" s="28" t="str">
        <f>A.Backend!H11</f>
        <v>string</v>
      </c>
      <c r="F17" s="28" t="str">
        <f>A.Backend!G11</f>
        <v>40</v>
      </c>
      <c r="G17" s="28" t="str">
        <f t="shared" si="3"/>
        <v xml:space="preserve"> : string = '' ; </v>
      </c>
      <c r="H17" s="35" t="str">
        <f t="shared" si="4"/>
        <v xml:space="preserve">			{headerName: this.l('Description'),headerTooltip: this.l('Description'),field: 'description',flex: 1},</v>
      </c>
      <c r="I17" s="35" t="str">
        <f t="shared" si="5"/>
        <v xml:space="preserve">								&lt;div class='input-search'&gt;
									&lt;input [(ngModel)]='description' name='description'
									class='form-control' [placeholder]="l('Description')"
									type='text' (keyup.enter)='searchDatas()'&gt;
								&lt;/div&gt;</v>
      </c>
      <c r="J17" s="28"/>
      <c r="K17" s="35" t="str">
        <f t="shared" si="10"/>
        <v xml:space="preserve">					&lt;div class='col-md-12 form-group row'&gt;
						&lt;label class='col-md-2 form-control title'&gt;Description&lt;/label&gt;
						&lt;input type='text' class='col-md-10 form-control input-text' name='Description' [(ngModel)]='rowdata.description'&gt;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2"/>
        <v xml:space="preserve">	description : string = '' ; </v>
      </c>
      <c r="T17" s="28" t="str">
        <f t="shared" si="13"/>
        <v xml:space="preserve">			this.invoiceSymbol,</v>
      </c>
      <c r="U17" s="28" t="str">
        <f t="shared" si="14"/>
        <v xml:space="preserve">	description : string = '' ; </v>
      </c>
      <c r="V17" s="28" t="str">
        <f t="shared" ref="V17:V19" si="18">IF(AND(E17="string",F17="1"),D17,"")</f>
        <v/>
      </c>
    </row>
    <row r="18" spans="1:22" ht="15" customHeight="1" x14ac:dyDescent="0.35">
      <c r="A18" s="28" t="s">
        <v>372</v>
      </c>
      <c r="B18" s="28" t="str">
        <f t="shared" si="16"/>
        <v>InvoiceDate</v>
      </c>
      <c r="C18" s="28" t="str">
        <f t="shared" si="17"/>
        <v>Invoice Date</v>
      </c>
      <c r="D18" s="28" t="str">
        <f t="shared" si="2"/>
        <v>invoiceDate</v>
      </c>
      <c r="E18" s="28" t="str">
        <f>A.Backend!H12</f>
        <v>DateTime?</v>
      </c>
      <c r="F18" s="28" t="str">
        <f>A.Backend!G12</f>
        <v/>
      </c>
      <c r="G18" s="28" t="str">
        <f t="shared" si="3"/>
        <v/>
      </c>
      <c r="H18" s="35" t="str">
        <f t="shared" si="4"/>
        <v xml:space="preserve">			{headerName: this.l('Invoice Date'),headerTooltip: this.l('Invoice Date'),field: 'invoiceDate',flex: 1},</v>
      </c>
      <c r="I18" s="35" t="str">
        <f t="shared" si="5"/>
        <v/>
      </c>
      <c r="J18" s="28"/>
      <c r="K18" s="35" t="str">
        <f t="shared" si="10"/>
        <v xml:space="preserve">					&lt;div class='col-md-12 form-group row'&gt;
						&lt;label class='col-md-2 form-control title'&gt;Invoice Date&lt;/label&gt;
						&lt;input type='text' class='col-md-10 form-control input-text' name='invoiceDate' 
						#datepicker='bsDatepicker' [(ngModel)]='rowdata.invoiceDate'  bsDatepicker &gt;
					&lt;/div&gt;</v>
      </c>
      <c r="L18" s="56" t="str">
        <f t="shared" ref="L18:L19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2"/>
        <v/>
      </c>
      <c r="T18" s="28" t="str">
        <f t="shared" si="13"/>
        <v/>
      </c>
      <c r="U18" s="28" t="str">
        <f t="shared" si="14"/>
        <v/>
      </c>
      <c r="V18" s="28" t="str">
        <f t="shared" si="18"/>
        <v/>
      </c>
    </row>
    <row r="19" spans="1:22" ht="18" customHeight="1" x14ac:dyDescent="0.35">
      <c r="A19" s="28" t="s">
        <v>373</v>
      </c>
      <c r="B19" s="28" t="str">
        <f t="shared" si="16"/>
        <v>VendorId</v>
      </c>
      <c r="C19" s="28" t="str">
        <f t="shared" si="17"/>
        <v>Vendor Id</v>
      </c>
      <c r="D19" s="28" t="str">
        <f t="shared" si="2"/>
        <v>vendorId</v>
      </c>
      <c r="E19" s="28" t="str">
        <f>A.Backend!H13</f>
        <v>long?</v>
      </c>
      <c r="F19" s="28" t="str">
        <f>A.Backend!G13</f>
        <v/>
      </c>
      <c r="G19" s="28" t="str">
        <f t="shared" si="3"/>
        <v/>
      </c>
      <c r="H19" s="35" t="str">
        <f t="shared" si="4"/>
        <v xml:space="preserve">			{headerName: this.l('Vendor Id'),headerTooltip: this.l('Vendor Id'),field: 'vendorId',flex: 1},</v>
      </c>
      <c r="I19" s="35" t="str">
        <f t="shared" si="5"/>
        <v/>
      </c>
      <c r="J19" s="28"/>
      <c r="K19" s="35" t="str">
        <f t="shared" si="10"/>
        <v xml:space="preserve">					&lt;div class='col-md-12 form-group row'&gt;
						&lt;label class='col-md-2 form-control title'&gt;Vendor Id&lt;/label&gt;
						&lt;input type='number' class='col-md-10 form-control input-text' name='VendorId' [(ngModel)]='rowdata.vendorId'&gt;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2"/>
        <v/>
      </c>
      <c r="T19" s="28" t="str">
        <f t="shared" si="13"/>
        <v/>
      </c>
      <c r="U19" s="28" t="str">
        <f t="shared" si="14"/>
        <v/>
      </c>
      <c r="V19" s="28" t="str">
        <f t="shared" si="18"/>
        <v/>
      </c>
    </row>
    <row r="20" spans="1:22" ht="18" customHeight="1" x14ac:dyDescent="0.35">
      <c r="A20" s="28" t="s">
        <v>374</v>
      </c>
      <c r="B20" s="28" t="str">
        <f t="shared" si="8"/>
        <v>VendorName</v>
      </c>
      <c r="C20" s="28" t="str">
        <f t="shared" si="9"/>
        <v>Vendor Name</v>
      </c>
      <c r="D20" s="28" t="str">
        <f t="shared" si="2"/>
        <v>vendorName</v>
      </c>
      <c r="E20" s="28" t="str">
        <f>A.Backend!H14</f>
        <v>string</v>
      </c>
      <c r="F20" s="28" t="str">
        <f>A.Backend!G14</f>
        <v>255</v>
      </c>
      <c r="G20" s="28" t="str">
        <f t="shared" si="3"/>
        <v xml:space="preserve"> : string = '' ; </v>
      </c>
      <c r="H20" s="35" t="str">
        <f t="shared" si="4"/>
        <v xml:space="preserve">			{headerName: this.l('Vendor Name'),headerTooltip: this.l('Vendor Name'),field: 'vendorName',flex: 1},</v>
      </c>
      <c r="I20" s="35" t="str">
        <f t="shared" si="5"/>
        <v xml:space="preserve">								&lt;div class='input-search'&gt;
									&lt;input [(ngModel)]='vendorName' name='vendorName'
									class='form-control' [placeholder]="l('Vendor Name')"
									type='text' (keyup.enter)='searchDatas()'&gt;
								&lt;/div&gt;</v>
      </c>
      <c r="J20" s="28"/>
      <c r="K20" s="35" t="str">
        <f t="shared" si="10"/>
        <v xml:space="preserve">					&lt;div class='col-md-12 form-group row'&gt;
						&lt;label class='col-md-2 form-control title'&gt;Vendor Name&lt;/label&gt;
						&lt;input type='text' class='col-md-10 form-control input-text' name='VendorName' [(ngModel)]='rowdata.vendorName'&gt;
					&lt;/div&gt;</v>
      </c>
      <c r="L20" s="56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 t="shared" si="12"/>
        <v xml:space="preserve">	vendorName : string = '' ; </v>
      </c>
      <c r="T20" s="28" t="str">
        <f t="shared" si="13"/>
        <v xml:space="preserve">			this.vendorId,</v>
      </c>
      <c r="U20" s="28" t="str">
        <f t="shared" si="14"/>
        <v xml:space="preserve">	vendorName : string = '' ; </v>
      </c>
      <c r="V20" s="28" t="str">
        <f t="shared" si="15"/>
        <v/>
      </c>
    </row>
    <row r="21" spans="1:22" ht="15" customHeight="1" x14ac:dyDescent="0.35">
      <c r="A21" s="28" t="s">
        <v>375</v>
      </c>
      <c r="B21" s="28" t="str">
        <f t="shared" si="8"/>
        <v>CurrencyCode</v>
      </c>
      <c r="C21" s="28" t="str">
        <f t="shared" si="9"/>
        <v>Currency Code</v>
      </c>
      <c r="D21" s="28" t="str">
        <f t="shared" si="2"/>
        <v>currencyCode</v>
      </c>
      <c r="E21" s="28" t="str">
        <f>A.Backend!H15</f>
        <v>string</v>
      </c>
      <c r="F21" s="28" t="str">
        <f>A.Backend!G15</f>
        <v>15</v>
      </c>
      <c r="G21" s="28" t="str">
        <f t="shared" si="3"/>
        <v xml:space="preserve"> : string = '' ; </v>
      </c>
      <c r="H21" s="35" t="str">
        <f t="shared" si="4"/>
        <v xml:space="preserve">			{headerName: this.l('Currency Code'),headerTooltip: this.l('Currency Code'),field: 'currencyCode',flex: 1},</v>
      </c>
      <c r="I21" s="35" t="str">
        <f t="shared" si="5"/>
        <v xml:space="preserve">								&lt;div class='input-search'&gt;
									&lt;input [(ngModel)]='currencyCode' name='currencyCode'
									class='form-control' [placeholder]="l('Currency Code')"
									type='text' (keyup.enter)='searchDatas()'&gt;
								&lt;/div&gt;</v>
      </c>
      <c r="J21" s="28"/>
      <c r="K21" s="35" t="str">
        <f t="shared" si="10"/>
        <v xml:space="preserve">					&lt;div class='col-md-12 form-group row'&gt;
						&lt;label class='col-md-2 form-control title'&gt;Currency Code&lt;/label&gt;
						&lt;input type='text' class='col-md-10 form-control input-text' name='CurrencyCode' [(ngModel)]='rowdata.currencyCode'&gt;
					&lt;/div&gt;</v>
      </c>
      <c r="L21" s="56" t="str">
        <f t="shared" ref="L21:L25" si="20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28"/>
      <c r="N21" s="28"/>
      <c r="O21" s="28"/>
      <c r="P21" s="28"/>
      <c r="Q21" s="28"/>
      <c r="R21" s="28"/>
      <c r="S21" s="28" t="str">
        <f t="shared" si="12"/>
        <v xml:space="preserve">	currencyCode : string = '' ; </v>
      </c>
      <c r="T21" s="28" t="str">
        <f t="shared" si="13"/>
        <v xml:space="preserve">			this.vendorName,</v>
      </c>
      <c r="U21" s="28" t="str">
        <f t="shared" si="14"/>
        <v xml:space="preserve">	currencyCode : string = '' ; </v>
      </c>
      <c r="V21" s="28" t="str">
        <f t="shared" si="15"/>
        <v/>
      </c>
    </row>
    <row r="22" spans="1:22" ht="18" customHeight="1" x14ac:dyDescent="0.35">
      <c r="A22" s="28" t="s">
        <v>376</v>
      </c>
      <c r="B22" s="28" t="str">
        <f t="shared" si="8"/>
        <v>InvoiceAmount</v>
      </c>
      <c r="C22" s="28" t="str">
        <f t="shared" si="9"/>
        <v>Invoice Amount</v>
      </c>
      <c r="D22" s="28" t="str">
        <f t="shared" si="2"/>
        <v>invoiceAmount</v>
      </c>
      <c r="E22" s="28" t="str">
        <f>A.Backend!H16</f>
        <v>decimal?</v>
      </c>
      <c r="F22" s="28" t="str">
        <f>A.Backend!G16</f>
        <v>18,5</v>
      </c>
      <c r="G22" s="28" t="str">
        <f t="shared" si="3"/>
        <v/>
      </c>
      <c r="H22" s="35" t="str">
        <f t="shared" si="4"/>
        <v xml:space="preserve">			{headerName: this.l('Invoice Amount'),headerTooltip: this.l('Invoice Amount'),field: 'invoiceAmount',flex: 1},</v>
      </c>
      <c r="I22" s="35" t="str">
        <f t="shared" si="5"/>
        <v/>
      </c>
      <c r="J22" s="28"/>
      <c r="K22" s="35" t="str">
        <f t="shared" si="10"/>
        <v/>
      </c>
      <c r="L22" s="56" t="str">
        <f t="shared" si="20"/>
        <v/>
      </c>
      <c r="M22" s="28"/>
      <c r="N22" s="28"/>
      <c r="O22" s="28"/>
      <c r="P22" s="28"/>
      <c r="Q22" s="28"/>
      <c r="R22" s="28"/>
      <c r="S22" s="28" t="str">
        <f t="shared" si="12"/>
        <v/>
      </c>
      <c r="T22" s="28" t="str">
        <f t="shared" si="13"/>
        <v/>
      </c>
      <c r="U22" s="28" t="str">
        <f t="shared" si="14"/>
        <v/>
      </c>
      <c r="V22" s="28" t="str">
        <f t="shared" si="15"/>
        <v/>
      </c>
    </row>
    <row r="23" spans="1:22" ht="15" customHeight="1" x14ac:dyDescent="0.35">
      <c r="A23" s="28" t="s">
        <v>377</v>
      </c>
      <c r="B23" s="28" t="str">
        <f t="shared" si="8"/>
        <v>AmountVat</v>
      </c>
      <c r="C23" s="28" t="str">
        <f t="shared" si="9"/>
        <v>Amount Vat</v>
      </c>
      <c r="D23" s="28" t="str">
        <f t="shared" si="2"/>
        <v>amountVat</v>
      </c>
      <c r="E23" s="28" t="str">
        <f>A.Backend!H17</f>
        <v>decimal?</v>
      </c>
      <c r="F23" s="28" t="str">
        <f>A.Backend!G17</f>
        <v>18,5</v>
      </c>
      <c r="G23" s="28" t="str">
        <f t="shared" si="3"/>
        <v/>
      </c>
      <c r="H23" s="35" t="str">
        <f t="shared" si="4"/>
        <v xml:space="preserve">			{headerName: this.l('Amount Vat'),headerTooltip: this.l('Amount Vat'),field: 'amountVat',flex: 1},</v>
      </c>
      <c r="I23" s="35" t="str">
        <f t="shared" si="5"/>
        <v/>
      </c>
      <c r="J23" s="28"/>
      <c r="K23" s="35" t="str">
        <f t="shared" si="10"/>
        <v/>
      </c>
      <c r="L23" s="56" t="str">
        <f t="shared" si="20"/>
        <v/>
      </c>
      <c r="M23" s="28"/>
      <c r="N23" s="28"/>
      <c r="O23" s="28"/>
      <c r="P23" s="28"/>
      <c r="Q23" s="28"/>
      <c r="R23" s="28"/>
      <c r="S23" s="28" t="str">
        <f t="shared" si="12"/>
        <v/>
      </c>
      <c r="T23" s="28" t="str">
        <f t="shared" si="13"/>
        <v/>
      </c>
      <c r="U23" s="28" t="str">
        <f t="shared" si="14"/>
        <v/>
      </c>
      <c r="V23" s="28" t="str">
        <f t="shared" si="15"/>
        <v/>
      </c>
    </row>
    <row r="24" spans="1:22" ht="18" customHeight="1" x14ac:dyDescent="0.35">
      <c r="A24" s="28" t="s">
        <v>378</v>
      </c>
      <c r="B24" s="28" t="str">
        <f t="shared" si="8"/>
        <v>TaxRate</v>
      </c>
      <c r="C24" s="28" t="str">
        <f t="shared" si="9"/>
        <v>Tax Rate</v>
      </c>
      <c r="D24" s="28" t="str">
        <f t="shared" si="2"/>
        <v>taxRate</v>
      </c>
      <c r="E24" s="28" t="str">
        <f>A.Backend!H18</f>
        <v>decimal?</v>
      </c>
      <c r="F24" s="28" t="str">
        <f>A.Backend!G18</f>
        <v>18,5</v>
      </c>
      <c r="G24" s="28" t="str">
        <f t="shared" si="3"/>
        <v/>
      </c>
      <c r="H24" s="35" t="str">
        <f t="shared" si="4"/>
        <v xml:space="preserve">			{headerName: this.l('Tax Rate'),headerTooltip: this.l('Tax Rate'),field: 'taxRate',flex: 1},</v>
      </c>
      <c r="I24" s="35" t="str">
        <f t="shared" si="5"/>
        <v/>
      </c>
      <c r="J24" s="28"/>
      <c r="K24" s="35" t="str">
        <f t="shared" si="10"/>
        <v/>
      </c>
      <c r="L24" s="56" t="str">
        <f t="shared" si="20"/>
        <v/>
      </c>
      <c r="M24" s="28"/>
      <c r="N24" s="28"/>
      <c r="O24" s="28"/>
      <c r="P24" s="28"/>
      <c r="Q24" s="28"/>
      <c r="R24" s="28"/>
      <c r="S24" s="28" t="str">
        <f t="shared" si="12"/>
        <v/>
      </c>
      <c r="T24" s="28" t="str">
        <f t="shared" si="13"/>
        <v/>
      </c>
      <c r="U24" s="28" t="str">
        <f t="shared" si="14"/>
        <v/>
      </c>
      <c r="V24" s="28" t="str">
        <f t="shared" si="15"/>
        <v/>
      </c>
    </row>
    <row r="25" spans="1:22" ht="18" customHeight="1" x14ac:dyDescent="0.35">
      <c r="A25" s="28" t="s">
        <v>318</v>
      </c>
      <c r="B25" s="28" t="str">
        <f t="shared" si="8"/>
        <v>IsActive</v>
      </c>
      <c r="C25" s="28" t="str">
        <f t="shared" si="9"/>
        <v>Is Active</v>
      </c>
      <c r="D25" s="28" t="str">
        <f t="shared" si="2"/>
        <v>isActive</v>
      </c>
      <c r="E25" s="28" t="str">
        <f>A.Backend!H19</f>
        <v>string</v>
      </c>
      <c r="F25" s="28" t="str">
        <f>A.Backend!G19</f>
        <v>1</v>
      </c>
      <c r="G25" s="28" t="str">
        <f t="shared" si="3"/>
        <v xml:space="preserve"> : string = '' ; </v>
      </c>
      <c r="H25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5" s="35" t="str">
        <f t="shared" si="5"/>
        <v/>
      </c>
      <c r="J25" s="28"/>
      <c r="K25" s="35" t="str">
        <f t="shared" si="10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5" s="56" t="str">
        <f t="shared" si="20"/>
        <v/>
      </c>
      <c r="M25" s="28"/>
      <c r="N25" s="28"/>
      <c r="O25" s="28"/>
      <c r="P25" s="28"/>
      <c r="Q25" s="28"/>
      <c r="R25" s="28"/>
      <c r="S25" s="28" t="str">
        <f t="shared" si="12"/>
        <v/>
      </c>
      <c r="T25" s="28" t="str">
        <f>IF(AND(E25="string",F25 &lt;&gt;"1"),(REPT(CHAR(9),3)&amp;"this."&amp;#REF!&amp;","),"")</f>
        <v/>
      </c>
      <c r="U25" s="28" t="str">
        <f t="shared" si="14"/>
        <v/>
      </c>
      <c r="V25" s="28" t="str">
        <f t="shared" si="15"/>
        <v>isActive</v>
      </c>
    </row>
    <row r="27" spans="1:22" ht="17.25" customHeight="1" x14ac:dyDescent="0.3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1640625" defaultRowHeight="14.5" x14ac:dyDescent="0.35"/>
  <cols>
    <col min="1" max="1" width="22.453125" bestFit="1" customWidth="1"/>
    <col min="2" max="2" width="29.81640625" bestFit="1" customWidth="1"/>
  </cols>
  <sheetData>
    <row r="1" spans="1:2" x14ac:dyDescent="0.35">
      <c r="A1" s="1" t="s">
        <v>16</v>
      </c>
      <c r="B1" s="1" t="s">
        <v>17</v>
      </c>
    </row>
    <row r="2" spans="1:2" x14ac:dyDescent="0.35">
      <c r="A2" t="s">
        <v>19</v>
      </c>
      <c r="B2" t="s">
        <v>32</v>
      </c>
    </row>
    <row r="3" spans="1:2" x14ac:dyDescent="0.35">
      <c r="A3" t="s">
        <v>18</v>
      </c>
      <c r="B3" t="s">
        <v>32</v>
      </c>
    </row>
    <row r="4" spans="1:2" x14ac:dyDescent="0.35">
      <c r="A4" t="s">
        <v>20</v>
      </c>
      <c r="B4" t="s">
        <v>21</v>
      </c>
    </row>
    <row r="5" spans="1:2" x14ac:dyDescent="0.35">
      <c r="A5" t="s">
        <v>22</v>
      </c>
      <c r="B5" t="s">
        <v>354</v>
      </c>
    </row>
    <row r="6" spans="1:2" x14ac:dyDescent="0.35">
      <c r="A6" t="s">
        <v>23</v>
      </c>
      <c r="B6" t="s">
        <v>353</v>
      </c>
    </row>
    <row r="7" spans="1:2" x14ac:dyDescent="0.35">
      <c r="A7" t="s">
        <v>24</v>
      </c>
      <c r="B7" t="s">
        <v>348</v>
      </c>
    </row>
    <row r="8" spans="1:2" x14ac:dyDescent="0.35">
      <c r="A8" t="s">
        <v>4</v>
      </c>
      <c r="B8" t="s">
        <v>348</v>
      </c>
    </row>
    <row r="9" spans="1:2" x14ac:dyDescent="0.35">
      <c r="A9" t="s">
        <v>0</v>
      </c>
      <c r="B9" t="s">
        <v>349</v>
      </c>
    </row>
    <row r="10" spans="1:2" x14ac:dyDescent="0.35">
      <c r="A10" t="s">
        <v>25</v>
      </c>
      <c r="B10" t="s">
        <v>352</v>
      </c>
    </row>
    <row r="11" spans="1:2" x14ac:dyDescent="0.35">
      <c r="A11" t="s">
        <v>26</v>
      </c>
      <c r="B11" t="s">
        <v>352</v>
      </c>
    </row>
    <row r="12" spans="1:2" x14ac:dyDescent="0.35">
      <c r="A12" t="s">
        <v>27</v>
      </c>
      <c r="B12" t="s">
        <v>352</v>
      </c>
    </row>
    <row r="13" spans="1:2" x14ac:dyDescent="0.35">
      <c r="A13" t="s">
        <v>28</v>
      </c>
      <c r="B13" t="s">
        <v>352</v>
      </c>
    </row>
    <row r="14" spans="1:2" x14ac:dyDescent="0.35">
      <c r="A14" t="s">
        <v>29</v>
      </c>
      <c r="B14" t="s">
        <v>352</v>
      </c>
    </row>
    <row r="15" spans="1:2" x14ac:dyDescent="0.35">
      <c r="A15" t="s">
        <v>30</v>
      </c>
      <c r="B15" t="s">
        <v>352</v>
      </c>
    </row>
    <row r="16" spans="1:2" x14ac:dyDescent="0.35">
      <c r="A16" t="s">
        <v>31</v>
      </c>
      <c r="B16" t="s">
        <v>350</v>
      </c>
    </row>
    <row r="17" spans="1:2" x14ac:dyDescent="0.35">
      <c r="A17" t="s">
        <v>3</v>
      </c>
      <c r="B17" t="s">
        <v>350</v>
      </c>
    </row>
    <row r="18" spans="1:2" x14ac:dyDescent="0.35">
      <c r="A18" t="s">
        <v>33</v>
      </c>
      <c r="B18" t="s">
        <v>350</v>
      </c>
    </row>
    <row r="19" spans="1:2" x14ac:dyDescent="0.35">
      <c r="A19" t="s">
        <v>2</v>
      </c>
      <c r="B19" t="s">
        <v>350</v>
      </c>
    </row>
    <row r="20" spans="1:2" x14ac:dyDescent="0.35">
      <c r="A20" t="s">
        <v>262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1640625" defaultRowHeight="15.5" x14ac:dyDescent="0.35"/>
  <cols>
    <col min="1" max="1" width="14.26953125" customWidth="1"/>
    <col min="2" max="2" width="71.7265625" style="20" customWidth="1"/>
  </cols>
  <sheetData>
    <row r="2" spans="1:2" x14ac:dyDescent="0.35">
      <c r="A2" s="22" t="s">
        <v>189</v>
      </c>
      <c r="B2" s="23" t="s">
        <v>186</v>
      </c>
    </row>
    <row r="3" spans="1:2" x14ac:dyDescent="0.35">
      <c r="B3" s="20" t="s">
        <v>111</v>
      </c>
    </row>
    <row r="4" spans="1:2" x14ac:dyDescent="0.35">
      <c r="B4" s="20" t="s">
        <v>112</v>
      </c>
    </row>
    <row r="5" spans="1:2" x14ac:dyDescent="0.35">
      <c r="B5" s="20" t="s">
        <v>113</v>
      </c>
    </row>
    <row r="6" spans="1:2" x14ac:dyDescent="0.35">
      <c r="B6" s="20" t="s">
        <v>114</v>
      </c>
    </row>
    <row r="7" spans="1:2" x14ac:dyDescent="0.35">
      <c r="B7" s="20" t="s">
        <v>115</v>
      </c>
    </row>
    <row r="8" spans="1:2" x14ac:dyDescent="0.35">
      <c r="B8" s="20" t="s">
        <v>116</v>
      </c>
    </row>
    <row r="9" spans="1:2" x14ac:dyDescent="0.35">
      <c r="B9" s="20" t="s">
        <v>117</v>
      </c>
    </row>
    <row r="10" spans="1:2" x14ac:dyDescent="0.35">
      <c r="B10" s="20" t="s">
        <v>118</v>
      </c>
    </row>
    <row r="11" spans="1:2" x14ac:dyDescent="0.35">
      <c r="B11" s="20" t="s">
        <v>119</v>
      </c>
    </row>
    <row r="12" spans="1:2" x14ac:dyDescent="0.35">
      <c r="B12" s="20" t="s">
        <v>120</v>
      </c>
    </row>
    <row r="13" spans="1:2" x14ac:dyDescent="0.35">
      <c r="B13" s="20" t="s">
        <v>121</v>
      </c>
    </row>
    <row r="14" spans="1:2" x14ac:dyDescent="0.35">
      <c r="B14" s="20" t="s">
        <v>122</v>
      </c>
    </row>
    <row r="15" spans="1:2" x14ac:dyDescent="0.35">
      <c r="B15" s="20" t="s">
        <v>123</v>
      </c>
    </row>
    <row r="16" spans="1:2" x14ac:dyDescent="0.35">
      <c r="B16" s="20" t="s">
        <v>124</v>
      </c>
    </row>
    <row r="17" spans="1:3" x14ac:dyDescent="0.35">
      <c r="B17" s="20" t="s">
        <v>125</v>
      </c>
    </row>
    <row r="18" spans="1:3" x14ac:dyDescent="0.35">
      <c r="B18" s="20" t="s">
        <v>126</v>
      </c>
      <c r="C18" t="s">
        <v>188</v>
      </c>
    </row>
    <row r="19" spans="1:3" x14ac:dyDescent="0.35">
      <c r="B19" s="20" t="s">
        <v>127</v>
      </c>
    </row>
    <row r="20" spans="1:3" x14ac:dyDescent="0.35">
      <c r="B20" s="20" t="s">
        <v>128</v>
      </c>
    </row>
    <row r="21" spans="1:3" x14ac:dyDescent="0.35">
      <c r="B21" s="20" t="s">
        <v>129</v>
      </c>
    </row>
    <row r="22" spans="1:3" x14ac:dyDescent="0.35">
      <c r="B22" s="20" t="s">
        <v>130</v>
      </c>
      <c r="C22" t="s">
        <v>193</v>
      </c>
    </row>
    <row r="23" spans="1:3" x14ac:dyDescent="0.35">
      <c r="B23" s="20" t="s">
        <v>131</v>
      </c>
    </row>
    <row r="24" spans="1:3" x14ac:dyDescent="0.35">
      <c r="B24" s="20" t="s">
        <v>132</v>
      </c>
    </row>
    <row r="25" spans="1:3" x14ac:dyDescent="0.35">
      <c r="B25" s="20" t="s">
        <v>133</v>
      </c>
    </row>
    <row r="26" spans="1:3" x14ac:dyDescent="0.35">
      <c r="A26" s="22" t="s">
        <v>190</v>
      </c>
      <c r="B26" s="23" t="s">
        <v>187</v>
      </c>
    </row>
    <row r="27" spans="1:3" x14ac:dyDescent="0.35">
      <c r="B27" s="20" t="s">
        <v>134</v>
      </c>
    </row>
    <row r="28" spans="1:3" x14ac:dyDescent="0.35">
      <c r="B28" s="21" t="s">
        <v>135</v>
      </c>
    </row>
    <row r="29" spans="1:3" x14ac:dyDescent="0.35">
      <c r="B29" s="20" t="s">
        <v>136</v>
      </c>
    </row>
    <row r="30" spans="1:3" x14ac:dyDescent="0.35">
      <c r="B30" s="20" t="s">
        <v>137</v>
      </c>
    </row>
    <row r="31" spans="1:3" x14ac:dyDescent="0.35">
      <c r="B31" s="20" t="s">
        <v>138</v>
      </c>
    </row>
    <row r="32" spans="1:3" x14ac:dyDescent="0.35">
      <c r="B32" s="20" t="s">
        <v>139</v>
      </c>
    </row>
    <row r="33" spans="2:2" x14ac:dyDescent="0.35">
      <c r="B33" s="20" t="s">
        <v>140</v>
      </c>
    </row>
    <row r="34" spans="2:2" x14ac:dyDescent="0.35">
      <c r="B34" s="20" t="s">
        <v>141</v>
      </c>
    </row>
    <row r="35" spans="2:2" x14ac:dyDescent="0.35">
      <c r="B35" s="20" t="s">
        <v>142</v>
      </c>
    </row>
    <row r="36" spans="2:2" x14ac:dyDescent="0.35">
      <c r="B36" s="20" t="s">
        <v>143</v>
      </c>
    </row>
    <row r="37" spans="2:2" x14ac:dyDescent="0.35">
      <c r="B37" s="20" t="s">
        <v>144</v>
      </c>
    </row>
    <row r="38" spans="2:2" x14ac:dyDescent="0.35">
      <c r="B38" s="20" t="s">
        <v>145</v>
      </c>
    </row>
    <row r="39" spans="2:2" x14ac:dyDescent="0.35">
      <c r="B39" s="20" t="s">
        <v>146</v>
      </c>
    </row>
    <row r="40" spans="2:2" x14ac:dyDescent="0.35">
      <c r="B40" s="20" t="s">
        <v>147</v>
      </c>
    </row>
    <row r="41" spans="2:2" x14ac:dyDescent="0.35">
      <c r="B41" s="20" t="s">
        <v>148</v>
      </c>
    </row>
    <row r="42" spans="2:2" x14ac:dyDescent="0.35">
      <c r="B42" s="20" t="s">
        <v>149</v>
      </c>
    </row>
    <row r="43" spans="2:2" x14ac:dyDescent="0.35">
      <c r="B43" s="21" t="s">
        <v>150</v>
      </c>
    </row>
    <row r="44" spans="2:2" x14ac:dyDescent="0.35">
      <c r="B44" s="20" t="s">
        <v>136</v>
      </c>
    </row>
    <row r="45" spans="2:2" x14ac:dyDescent="0.35">
      <c r="B45" s="20" t="s">
        <v>151</v>
      </c>
    </row>
    <row r="46" spans="2:2" x14ac:dyDescent="0.35">
      <c r="B46" s="20" t="s">
        <v>152</v>
      </c>
    </row>
    <row r="47" spans="2:2" x14ac:dyDescent="0.35">
      <c r="B47" s="20" t="s">
        <v>153</v>
      </c>
    </row>
    <row r="48" spans="2:2" x14ac:dyDescent="0.35">
      <c r="B48" s="20" t="s">
        <v>154</v>
      </c>
    </row>
    <row r="49" spans="2:2" x14ac:dyDescent="0.35">
      <c r="B49" s="20" t="s">
        <v>137</v>
      </c>
    </row>
    <row r="50" spans="2:2" x14ac:dyDescent="0.35">
      <c r="B50" s="20" t="s">
        <v>138</v>
      </c>
    </row>
    <row r="51" spans="2:2" x14ac:dyDescent="0.35">
      <c r="B51" s="20" t="s">
        <v>139</v>
      </c>
    </row>
    <row r="52" spans="2:2" x14ac:dyDescent="0.35">
      <c r="B52" s="20" t="s">
        <v>140</v>
      </c>
    </row>
    <row r="53" spans="2:2" x14ac:dyDescent="0.35">
      <c r="B53" s="20" t="s">
        <v>141</v>
      </c>
    </row>
    <row r="54" spans="2:2" x14ac:dyDescent="0.35">
      <c r="B54" s="20" t="s">
        <v>142</v>
      </c>
    </row>
    <row r="55" spans="2:2" x14ac:dyDescent="0.35">
      <c r="B55" s="20" t="s">
        <v>143</v>
      </c>
    </row>
    <row r="56" spans="2:2" x14ac:dyDescent="0.35">
      <c r="B56" s="20" t="s">
        <v>155</v>
      </c>
    </row>
    <row r="57" spans="2:2" x14ac:dyDescent="0.35">
      <c r="B57" s="20" t="s">
        <v>156</v>
      </c>
    </row>
    <row r="58" spans="2:2" x14ac:dyDescent="0.35">
      <c r="B58" s="20" t="s">
        <v>144</v>
      </c>
    </row>
    <row r="59" spans="2:2" x14ac:dyDescent="0.35">
      <c r="B59" s="20" t="s">
        <v>145</v>
      </c>
    </row>
    <row r="60" spans="2:2" x14ac:dyDescent="0.35">
      <c r="B60" s="20" t="s">
        <v>157</v>
      </c>
    </row>
    <row r="61" spans="2:2" x14ac:dyDescent="0.35">
      <c r="B61" s="20" t="s">
        <v>158</v>
      </c>
    </row>
    <row r="62" spans="2:2" x14ac:dyDescent="0.35">
      <c r="B62" s="20" t="s">
        <v>159</v>
      </c>
    </row>
    <row r="63" spans="2:2" x14ac:dyDescent="0.35">
      <c r="B63" s="20" t="s">
        <v>154</v>
      </c>
    </row>
    <row r="64" spans="2:2" x14ac:dyDescent="0.35">
      <c r="B64" s="20" t="s">
        <v>146</v>
      </c>
    </row>
    <row r="65" spans="2:2" x14ac:dyDescent="0.35">
      <c r="B65" s="20" t="s">
        <v>147</v>
      </c>
    </row>
    <row r="66" spans="2:2" x14ac:dyDescent="0.35">
      <c r="B66" s="20" t="s">
        <v>160</v>
      </c>
    </row>
    <row r="67" spans="2:2" x14ac:dyDescent="0.35">
      <c r="B67" s="20" t="s">
        <v>154</v>
      </c>
    </row>
    <row r="68" spans="2:2" x14ac:dyDescent="0.35">
      <c r="B68" s="20" t="s">
        <v>148</v>
      </c>
    </row>
    <row r="69" spans="2:2" x14ac:dyDescent="0.35">
      <c r="B69" s="20" t="s">
        <v>161</v>
      </c>
    </row>
    <row r="70" spans="2:2" x14ac:dyDescent="0.35">
      <c r="B70" s="21" t="s">
        <v>162</v>
      </c>
    </row>
    <row r="71" spans="2:2" x14ac:dyDescent="0.35">
      <c r="B71" s="20" t="s">
        <v>136</v>
      </c>
    </row>
    <row r="72" spans="2:2" x14ac:dyDescent="0.35">
      <c r="B72" s="20" t="s">
        <v>137</v>
      </c>
    </row>
    <row r="73" spans="2:2" x14ac:dyDescent="0.35">
      <c r="B73" s="20" t="s">
        <v>138</v>
      </c>
    </row>
    <row r="74" spans="2:2" x14ac:dyDescent="0.35">
      <c r="B74" s="20" t="s">
        <v>139</v>
      </c>
    </row>
    <row r="75" spans="2:2" x14ac:dyDescent="0.35">
      <c r="B75" s="20" t="s">
        <v>143</v>
      </c>
    </row>
    <row r="76" spans="2:2" x14ac:dyDescent="0.35">
      <c r="B76" s="20" t="s">
        <v>145</v>
      </c>
    </row>
    <row r="77" spans="2:2" x14ac:dyDescent="0.35">
      <c r="B77" s="20" t="s">
        <v>146</v>
      </c>
    </row>
    <row r="78" spans="2:2" x14ac:dyDescent="0.35">
      <c r="B78" s="20" t="s">
        <v>147</v>
      </c>
    </row>
    <row r="79" spans="2:2" x14ac:dyDescent="0.35">
      <c r="B79" s="20" t="s">
        <v>148</v>
      </c>
    </row>
    <row r="80" spans="2:2" x14ac:dyDescent="0.35">
      <c r="B80" s="20" t="s">
        <v>161</v>
      </c>
    </row>
    <row r="81" spans="1:2" x14ac:dyDescent="0.35">
      <c r="B81" s="21" t="s">
        <v>163</v>
      </c>
    </row>
    <row r="82" spans="1:2" x14ac:dyDescent="0.35">
      <c r="B82" s="21" t="s">
        <v>164</v>
      </c>
    </row>
    <row r="83" spans="1:2" x14ac:dyDescent="0.35">
      <c r="B83" s="21" t="s">
        <v>165</v>
      </c>
    </row>
    <row r="84" spans="1:2" x14ac:dyDescent="0.35">
      <c r="B84" s="21" t="s">
        <v>166</v>
      </c>
    </row>
    <row r="85" spans="1:2" x14ac:dyDescent="0.35">
      <c r="B85" s="21" t="s">
        <v>167</v>
      </c>
    </row>
    <row r="86" spans="1:2" x14ac:dyDescent="0.35">
      <c r="B86" s="21" t="s">
        <v>168</v>
      </c>
    </row>
    <row r="87" spans="1:2" x14ac:dyDescent="0.35">
      <c r="B87" s="21" t="s">
        <v>169</v>
      </c>
    </row>
    <row r="88" spans="1:2" x14ac:dyDescent="0.35">
      <c r="A88" s="22" t="s">
        <v>191</v>
      </c>
      <c r="B88" s="24" t="s">
        <v>170</v>
      </c>
    </row>
    <row r="89" spans="1:2" x14ac:dyDescent="0.35">
      <c r="B89" s="20" t="s">
        <v>171</v>
      </c>
    </row>
    <row r="90" spans="1:2" x14ac:dyDescent="0.35">
      <c r="B90" s="20" t="s">
        <v>172</v>
      </c>
    </row>
    <row r="91" spans="1:2" x14ac:dyDescent="0.35">
      <c r="B91" s="20" t="s">
        <v>173</v>
      </c>
    </row>
    <row r="92" spans="1:2" x14ac:dyDescent="0.35">
      <c r="B92" s="20" t="s">
        <v>174</v>
      </c>
    </row>
    <row r="93" spans="1:2" x14ac:dyDescent="0.35">
      <c r="B93" s="20" t="s">
        <v>175</v>
      </c>
    </row>
    <row r="94" spans="1:2" x14ac:dyDescent="0.35">
      <c r="B94" s="20" t="s">
        <v>176</v>
      </c>
    </row>
    <row r="95" spans="1:2" x14ac:dyDescent="0.35">
      <c r="B95" s="20" t="s">
        <v>177</v>
      </c>
    </row>
    <row r="96" spans="1:2" x14ac:dyDescent="0.35">
      <c r="B96" s="20" t="s">
        <v>178</v>
      </c>
    </row>
    <row r="97" spans="2:2" x14ac:dyDescent="0.35">
      <c r="B97" s="20" t="s">
        <v>179</v>
      </c>
    </row>
    <row r="98" spans="2:2" x14ac:dyDescent="0.35">
      <c r="B98" s="20" t="s">
        <v>180</v>
      </c>
    </row>
    <row r="99" spans="2:2" x14ac:dyDescent="0.35">
      <c r="B99" s="20" t="s">
        <v>181</v>
      </c>
    </row>
    <row r="100" spans="2:2" x14ac:dyDescent="0.35">
      <c r="B100" s="20" t="s">
        <v>182</v>
      </c>
    </row>
    <row r="101" spans="2:2" x14ac:dyDescent="0.35">
      <c r="B101" s="20" t="s">
        <v>183</v>
      </c>
    </row>
    <row r="102" spans="2:2" x14ac:dyDescent="0.35">
      <c r="B102" s="20" t="s">
        <v>184</v>
      </c>
    </row>
    <row r="103" spans="2:2" x14ac:dyDescent="0.3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2023-05-10T03:53:07Z</dcterms:modified>
</cp:coreProperties>
</file>
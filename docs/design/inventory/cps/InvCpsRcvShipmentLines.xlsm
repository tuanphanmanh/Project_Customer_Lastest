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H:\ProdNew\docs\design\inventory\cps\"/>
    </mc:Choice>
  </mc:AlternateContent>
  <bookViews>
    <workbookView xWindow="-120" yWindow="-120" windowWidth="19440" windowHeight="15000" activeTab="1"/>
  </bookViews>
  <sheets>
    <sheet name="Dev Guide" sheetId="3" r:id="rId1"/>
    <sheet name="A.Backend" sheetId="1" r:id="rId2"/>
    <sheet name="B.Frontend" sheetId="5" r:id="rId3"/>
    <sheet name="Data Type Mapping" sheetId="2" r:id="rId4"/>
    <sheet name="Directory Tree" sheetId="6" r:id="rId5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23" i="5" l="1"/>
  <c r="C26" i="5"/>
  <c r="B26" i="5"/>
  <c r="D26" i="5" s="1"/>
  <c r="C25" i="5"/>
  <c r="B25" i="5"/>
  <c r="D25" i="5" s="1"/>
  <c r="C24" i="5"/>
  <c r="B24" i="5"/>
  <c r="D24" i="5" s="1"/>
  <c r="C23" i="5"/>
  <c r="B23" i="5"/>
  <c r="D23" i="5" s="1"/>
  <c r="C22" i="5"/>
  <c r="B22" i="5"/>
  <c r="D22" i="5" s="1"/>
  <c r="C28" i="5"/>
  <c r="B28" i="5"/>
  <c r="D28" i="5" s="1"/>
  <c r="L12" i="1"/>
  <c r="G12" i="1"/>
  <c r="F18" i="5" s="1"/>
  <c r="E12" i="1"/>
  <c r="H12" i="1" s="1"/>
  <c r="E18" i="5" s="1"/>
  <c r="D12" i="1"/>
  <c r="P12" i="1" s="1"/>
  <c r="L17" i="1"/>
  <c r="G17" i="1"/>
  <c r="E17" i="1"/>
  <c r="H17" i="1" s="1"/>
  <c r="W17" i="1" s="1"/>
  <c r="D17" i="1"/>
  <c r="P17" i="1" s="1"/>
  <c r="L16" i="1"/>
  <c r="G16" i="1"/>
  <c r="F22" i="5" s="1"/>
  <c r="E16" i="1"/>
  <c r="H16" i="1" s="1"/>
  <c r="E22" i="5" s="1"/>
  <c r="D16" i="1"/>
  <c r="T16" i="1" s="1"/>
  <c r="L15" i="1"/>
  <c r="G15" i="1"/>
  <c r="F21" i="5" s="1"/>
  <c r="E15" i="1"/>
  <c r="H15" i="1" s="1"/>
  <c r="E21" i="5" s="1"/>
  <c r="D15" i="1"/>
  <c r="V15" i="1" s="1"/>
  <c r="L14" i="1"/>
  <c r="G14" i="1"/>
  <c r="F20" i="5" s="1"/>
  <c r="E14" i="1"/>
  <c r="H14" i="1" s="1"/>
  <c r="E20" i="5" s="1"/>
  <c r="D14" i="1"/>
  <c r="V14" i="1" s="1"/>
  <c r="L13" i="1"/>
  <c r="G13" i="1"/>
  <c r="F19" i="5" s="1"/>
  <c r="E13" i="1"/>
  <c r="H13" i="1" s="1"/>
  <c r="E19" i="5" s="1"/>
  <c r="D13" i="1"/>
  <c r="P13" i="1" s="1"/>
  <c r="L11" i="1"/>
  <c r="G11" i="1"/>
  <c r="F17" i="5" s="1"/>
  <c r="E11" i="1"/>
  <c r="H11" i="1" s="1"/>
  <c r="E17" i="5" s="1"/>
  <c r="D11" i="1"/>
  <c r="T11" i="1" s="1"/>
  <c r="T20" i="5" l="1"/>
  <c r="G20" i="5"/>
  <c r="T17" i="5"/>
  <c r="U17" i="5"/>
  <c r="G17" i="5"/>
  <c r="I17" i="5"/>
  <c r="S17" i="5"/>
  <c r="K19" i="5"/>
  <c r="S19" i="5"/>
  <c r="T19" i="5"/>
  <c r="U19" i="5"/>
  <c r="G19" i="5"/>
  <c r="I19" i="5"/>
  <c r="G22" i="5"/>
  <c r="S22" i="5" s="1"/>
  <c r="H22" i="5"/>
  <c r="L22" i="5"/>
  <c r="I22" i="5"/>
  <c r="K22" i="5"/>
  <c r="V22" i="5"/>
  <c r="T18" i="5"/>
  <c r="G21" i="5"/>
  <c r="S18" i="5"/>
  <c r="E23" i="5"/>
  <c r="K18" i="5"/>
  <c r="I18" i="5"/>
  <c r="G18" i="5"/>
  <c r="U18" i="5"/>
  <c r="M14" i="1"/>
  <c r="I12" i="1"/>
  <c r="T12" i="1"/>
  <c r="V12" i="1"/>
  <c r="W12" i="1"/>
  <c r="M12" i="1"/>
  <c r="J12" i="1"/>
  <c r="N12" i="1"/>
  <c r="O12" i="1"/>
  <c r="T13" i="1"/>
  <c r="T17" i="1"/>
  <c r="V17" i="1"/>
  <c r="V16" i="1"/>
  <c r="P16" i="1"/>
  <c r="V13" i="1"/>
  <c r="W13" i="1"/>
  <c r="P11" i="1"/>
  <c r="N16" i="1"/>
  <c r="M16" i="1"/>
  <c r="O16" i="1"/>
  <c r="W16" i="1"/>
  <c r="J16" i="1"/>
  <c r="I16" i="1"/>
  <c r="N11" i="1"/>
  <c r="M11" i="1"/>
  <c r="I11" i="1"/>
  <c r="W11" i="1"/>
  <c r="J11" i="1"/>
  <c r="O11" i="1"/>
  <c r="O15" i="1"/>
  <c r="N15" i="1"/>
  <c r="W15" i="1"/>
  <c r="J15" i="1"/>
  <c r="I15" i="1"/>
  <c r="M15" i="1"/>
  <c r="I13" i="1"/>
  <c r="N14" i="1"/>
  <c r="P15" i="1"/>
  <c r="M13" i="1"/>
  <c r="O14" i="1"/>
  <c r="T15" i="1"/>
  <c r="M17" i="1"/>
  <c r="J14" i="1"/>
  <c r="W14" i="1"/>
  <c r="I17" i="1"/>
  <c r="V11" i="1"/>
  <c r="N13" i="1"/>
  <c r="P14" i="1"/>
  <c r="N17" i="1"/>
  <c r="T14" i="1"/>
  <c r="O17" i="1"/>
  <c r="O13" i="1"/>
  <c r="I14" i="1"/>
  <c r="J13" i="1"/>
  <c r="J17" i="1"/>
  <c r="C19" i="5"/>
  <c r="B19" i="5"/>
  <c r="D19" i="5" s="1"/>
  <c r="C18" i="5"/>
  <c r="B18" i="5"/>
  <c r="D18" i="5" s="1"/>
  <c r="C17" i="5"/>
  <c r="B17" i="5"/>
  <c r="D17" i="5" s="1"/>
  <c r="L21" i="1"/>
  <c r="G21" i="1"/>
  <c r="F27" i="5" s="1"/>
  <c r="E21" i="1"/>
  <c r="H21" i="1" s="1"/>
  <c r="E27" i="5" s="1"/>
  <c r="D21" i="1"/>
  <c r="V21" i="1" s="1"/>
  <c r="L20" i="1"/>
  <c r="G20" i="1"/>
  <c r="F26" i="5" s="1"/>
  <c r="E20" i="1"/>
  <c r="H20" i="1" s="1"/>
  <c r="E26" i="5" s="1"/>
  <c r="V26" i="5" s="1"/>
  <c r="D20" i="1"/>
  <c r="T20" i="1" s="1"/>
  <c r="L19" i="1"/>
  <c r="G19" i="1"/>
  <c r="F25" i="5" s="1"/>
  <c r="E19" i="1"/>
  <c r="H19" i="1" s="1"/>
  <c r="E25" i="5" s="1"/>
  <c r="L25" i="5" s="1"/>
  <c r="D19" i="1"/>
  <c r="V19" i="1" s="1"/>
  <c r="L18" i="1"/>
  <c r="G18" i="1"/>
  <c r="F24" i="5" s="1"/>
  <c r="E18" i="1"/>
  <c r="H18" i="1" s="1"/>
  <c r="E24" i="5" s="1"/>
  <c r="L24" i="5" s="1"/>
  <c r="D18" i="1"/>
  <c r="V18" i="1" s="1"/>
  <c r="L10" i="1"/>
  <c r="G10" i="1"/>
  <c r="F16" i="5" s="1"/>
  <c r="E10" i="1"/>
  <c r="H10" i="1" s="1"/>
  <c r="E16" i="5" s="1"/>
  <c r="D10" i="1"/>
  <c r="T10" i="1" s="1"/>
  <c r="H19" i="5" l="1"/>
  <c r="H18" i="5"/>
  <c r="H17" i="5"/>
  <c r="K17" i="5"/>
  <c r="U22" i="5"/>
  <c r="G23" i="5"/>
  <c r="H23" i="5"/>
  <c r="I23" i="5"/>
  <c r="K23" i="5"/>
  <c r="S23" i="5"/>
  <c r="T23" i="5"/>
  <c r="U23" i="5"/>
  <c r="L23" i="5"/>
  <c r="G24" i="5"/>
  <c r="S24" i="5" s="1"/>
  <c r="H24" i="5"/>
  <c r="V24" i="5"/>
  <c r="I24" i="5"/>
  <c r="K24" i="5"/>
  <c r="T24" i="5"/>
  <c r="S26" i="5"/>
  <c r="T26" i="5"/>
  <c r="U26" i="5"/>
  <c r="G26" i="5"/>
  <c r="H26" i="5"/>
  <c r="I26" i="5"/>
  <c r="L26" i="5"/>
  <c r="K26" i="5"/>
  <c r="V23" i="5"/>
  <c r="U16" i="5"/>
  <c r="G16" i="5"/>
  <c r="I16" i="5"/>
  <c r="S16" i="5"/>
  <c r="T16" i="5"/>
  <c r="T25" i="5"/>
  <c r="U25" i="5"/>
  <c r="G25" i="5"/>
  <c r="H25" i="5"/>
  <c r="I25" i="5"/>
  <c r="K25" i="5"/>
  <c r="S25" i="5"/>
  <c r="S27" i="5"/>
  <c r="T27" i="5"/>
  <c r="U27" i="5"/>
  <c r="G27" i="5"/>
  <c r="I27" i="5"/>
  <c r="V25" i="5"/>
  <c r="W10" i="1"/>
  <c r="V19" i="5"/>
  <c r="L18" i="5"/>
  <c r="L17" i="5"/>
  <c r="V17" i="5"/>
  <c r="V18" i="5"/>
  <c r="L19" i="5"/>
  <c r="V20" i="1"/>
  <c r="O19" i="1"/>
  <c r="P19" i="1"/>
  <c r="T19" i="1"/>
  <c r="V10" i="1"/>
  <c r="W21" i="1"/>
  <c r="J21" i="1"/>
  <c r="I21" i="1"/>
  <c r="O21" i="1"/>
  <c r="N21" i="1"/>
  <c r="M21" i="1"/>
  <c r="I20" i="1"/>
  <c r="O20" i="1"/>
  <c r="N20" i="1"/>
  <c r="M20" i="1"/>
  <c r="W20" i="1"/>
  <c r="J20" i="1"/>
  <c r="M18" i="1"/>
  <c r="O18" i="1"/>
  <c r="W18" i="1"/>
  <c r="J18" i="1"/>
  <c r="I18" i="1"/>
  <c r="N18" i="1"/>
  <c r="N10" i="1"/>
  <c r="P18" i="1"/>
  <c r="I19" i="1"/>
  <c r="O10" i="1"/>
  <c r="T18" i="1"/>
  <c r="J19" i="1"/>
  <c r="W19" i="1"/>
  <c r="M10" i="1"/>
  <c r="P10" i="1"/>
  <c r="P21" i="1"/>
  <c r="M19" i="1"/>
  <c r="T21" i="1"/>
  <c r="I10" i="1"/>
  <c r="P20" i="1"/>
  <c r="N19" i="1"/>
  <c r="J10" i="1"/>
  <c r="C27" i="5"/>
  <c r="H27" i="5" s="1"/>
  <c r="B27" i="5"/>
  <c r="D27" i="5" s="1"/>
  <c r="K27" i="5" l="1"/>
  <c r="U24" i="5"/>
  <c r="B16" i="5"/>
  <c r="D16" i="5" s="1"/>
  <c r="C16" i="5"/>
  <c r="B20" i="5"/>
  <c r="D20" i="5" s="1"/>
  <c r="C20" i="5"/>
  <c r="B21" i="5"/>
  <c r="D21" i="5" s="1"/>
  <c r="C21" i="5"/>
  <c r="B29" i="5"/>
  <c r="D29" i="5" s="1"/>
  <c r="C29" i="5"/>
  <c r="H21" i="5" l="1"/>
  <c r="K21" i="5"/>
  <c r="T22" i="5"/>
  <c r="I21" i="5"/>
  <c r="U21" i="5"/>
  <c r="S21" i="5"/>
  <c r="K20" i="5"/>
  <c r="H20" i="5"/>
  <c r="S20" i="5"/>
  <c r="U20" i="5"/>
  <c r="T21" i="5"/>
  <c r="I20" i="5"/>
  <c r="H16" i="5"/>
  <c r="K16" i="5"/>
  <c r="L23" i="1"/>
  <c r="G23" i="1"/>
  <c r="F29" i="5" s="1"/>
  <c r="E23" i="1"/>
  <c r="H23" i="1" s="1"/>
  <c r="E29" i="5" s="1"/>
  <c r="D23" i="1"/>
  <c r="V23" i="1" s="1"/>
  <c r="G29" i="5" l="1"/>
  <c r="H29" i="5"/>
  <c r="I29" i="5"/>
  <c r="K29" i="5"/>
  <c r="S29" i="5"/>
  <c r="T29" i="5"/>
  <c r="U29" i="5"/>
  <c r="W23" i="1"/>
  <c r="P23" i="1"/>
  <c r="T23" i="1"/>
  <c r="I23" i="1"/>
  <c r="N23" i="1"/>
  <c r="M23" i="1"/>
  <c r="J23" i="1"/>
  <c r="O23" i="1"/>
  <c r="B7" i="5"/>
  <c r="B6" i="5"/>
  <c r="B2" i="5"/>
  <c r="V29" i="5" l="1"/>
  <c r="B8" i="5"/>
  <c r="B3" i="5"/>
  <c r="L29" i="5" l="1"/>
  <c r="B6" i="1" l="1"/>
  <c r="C15" i="5" l="1"/>
  <c r="B15" i="5"/>
  <c r="D15" i="5" s="1"/>
  <c r="L20" i="5" l="1"/>
  <c r="V20" i="5"/>
  <c r="L27" i="5"/>
  <c r="V27" i="5"/>
  <c r="G9" i="1"/>
  <c r="F15" i="5" s="1"/>
  <c r="E9" i="1"/>
  <c r="H9" i="1" s="1"/>
  <c r="E15" i="5" s="1"/>
  <c r="D9" i="1"/>
  <c r="V9" i="1" s="1"/>
  <c r="K15" i="5" l="1"/>
  <c r="T15" i="5"/>
  <c r="I15" i="5"/>
  <c r="H15" i="5"/>
  <c r="G15" i="5"/>
  <c r="S15" i="5" s="1"/>
  <c r="V15" i="5"/>
  <c r="L15" i="5"/>
  <c r="W9" i="1"/>
  <c r="P9" i="1"/>
  <c r="T9" i="1"/>
  <c r="I9" i="1"/>
  <c r="N9" i="1"/>
  <c r="M9" i="1"/>
  <c r="J9" i="1"/>
  <c r="O9" i="1"/>
  <c r="U15" i="5" l="1"/>
  <c r="Q3" i="1"/>
  <c r="B4" i="5" s="1"/>
  <c r="B5" i="5" s="1"/>
  <c r="G22" i="1" l="1"/>
  <c r="F28" i="5" s="1"/>
  <c r="E22" i="1"/>
  <c r="H22" i="1" s="1"/>
  <c r="E28" i="5" s="1"/>
  <c r="D22" i="1"/>
  <c r="T22" i="1" s="1"/>
  <c r="I28" i="5" l="1"/>
  <c r="K28" i="5"/>
  <c r="S28" i="5"/>
  <c r="T28" i="5"/>
  <c r="U28" i="5"/>
  <c r="G28" i="5"/>
  <c r="H28" i="5"/>
  <c r="L28" i="5"/>
  <c r="V28" i="5"/>
  <c r="V21" i="5"/>
  <c r="L21" i="5"/>
  <c r="V16" i="5"/>
  <c r="L16" i="5"/>
  <c r="P22" i="1"/>
  <c r="V22" i="1"/>
  <c r="W22" i="1"/>
  <c r="J22" i="1"/>
  <c r="I22" i="1"/>
  <c r="O22" i="1"/>
  <c r="N22" i="1"/>
  <c r="M22" i="1"/>
  <c r="W3" i="1" l="1"/>
  <c r="V3" i="1"/>
  <c r="U7" i="1" l="1"/>
  <c r="T3" i="1" l="1"/>
  <c r="F3" i="1"/>
  <c r="O7" i="1" l="1"/>
  <c r="N7" i="1"/>
  <c r="E68" i="3" s="1"/>
  <c r="K7" i="1"/>
  <c r="H6" i="1"/>
  <c r="R10" i="5" l="1"/>
  <c r="M75" i="3" s="1"/>
  <c r="N68" i="3" l="1"/>
  <c r="P10" i="5" l="1"/>
  <c r="K75" i="3" s="1"/>
  <c r="Q10" i="5"/>
  <c r="L75" i="3" s="1"/>
  <c r="B73" i="3"/>
  <c r="C73" i="3" s="1"/>
  <c r="M14" i="5"/>
  <c r="H74" i="3" s="1"/>
  <c r="L14" i="5"/>
  <c r="G74" i="3" s="1"/>
  <c r="K14" i="5"/>
  <c r="F74" i="3" s="1"/>
  <c r="L74" i="3"/>
  <c r="K74" i="3"/>
  <c r="O14" i="5"/>
  <c r="J74" i="3" s="1"/>
  <c r="N14" i="5"/>
  <c r="I74" i="3" s="1"/>
  <c r="J14" i="5"/>
  <c r="E74" i="3" s="1"/>
  <c r="I14" i="5"/>
  <c r="D74" i="3" s="1"/>
  <c r="H14" i="5"/>
  <c r="C74" i="3" s="1"/>
  <c r="O10" i="5"/>
  <c r="J75" i="3" s="1"/>
  <c r="N10" i="5"/>
  <c r="I75" i="3" s="1"/>
  <c r="M10" i="5"/>
  <c r="H75" i="3" s="1"/>
  <c r="J10" i="5"/>
  <c r="E75" i="3" s="1"/>
  <c r="N3" i="1" l="1"/>
  <c r="M3" i="1"/>
  <c r="O3" i="1"/>
  <c r="V25" i="1"/>
  <c r="K12" i="5" l="1"/>
  <c r="H12" i="5"/>
  <c r="V12" i="5"/>
  <c r="T12" i="5"/>
  <c r="U12" i="5"/>
  <c r="I12" i="5"/>
  <c r="L12" i="5"/>
  <c r="S12" i="5"/>
  <c r="V13" i="5"/>
  <c r="R3" i="1" l="1"/>
  <c r="D1" i="1"/>
  <c r="F6" i="1"/>
  <c r="T13" i="5"/>
  <c r="T25" i="1"/>
  <c r="T7" i="1" l="1"/>
  <c r="W25" i="1"/>
  <c r="G6" i="1" l="1"/>
  <c r="K13" i="5"/>
  <c r="I13" i="5"/>
  <c r="H13" i="5"/>
  <c r="U13" i="5"/>
  <c r="S13" i="5"/>
  <c r="L13" i="5"/>
  <c r="K10" i="5" l="1"/>
  <c r="F75" i="3" s="1"/>
  <c r="I10" i="5"/>
  <c r="D75" i="3" s="1"/>
  <c r="H10" i="5"/>
  <c r="C75" i="3" s="1"/>
  <c r="L10" i="5"/>
  <c r="G75" i="3" s="1"/>
  <c r="L68" i="3"/>
  <c r="D68" i="3"/>
  <c r="D6" i="1"/>
  <c r="L3" i="1" l="1"/>
  <c r="J3" i="1"/>
  <c r="H3" i="1"/>
  <c r="C6" i="1" l="1"/>
  <c r="P7" i="1" s="1"/>
  <c r="S3" i="1"/>
  <c r="S7" i="1" s="1"/>
  <c r="E6" i="1"/>
  <c r="F68" i="3"/>
  <c r="I3" i="1" l="1"/>
  <c r="B7" i="1"/>
  <c r="L9" i="1" l="1"/>
  <c r="L22" i="1"/>
  <c r="C7" i="1"/>
  <c r="O25" i="1"/>
  <c r="J25" i="1"/>
  <c r="I25" i="1"/>
  <c r="N25" i="1"/>
  <c r="P25" i="1"/>
  <c r="Q7" i="1" l="1"/>
  <c r="M68" i="3" s="1"/>
  <c r="L7" i="1"/>
  <c r="G68" i="3" s="1"/>
  <c r="K68" i="3"/>
  <c r="J68" i="3"/>
  <c r="K25" i="1"/>
  <c r="M25" i="1"/>
  <c r="R7" i="1" l="1"/>
  <c r="I68" i="3" s="1"/>
  <c r="M7" i="1"/>
  <c r="H68" i="3" s="1"/>
  <c r="J7" i="1"/>
  <c r="C68" i="3" s="1"/>
</calcChain>
</file>

<file path=xl/comments1.xml><?xml version="1.0" encoding="utf-8"?>
<comments xmlns="http://schemas.openxmlformats.org/spreadsheetml/2006/main">
  <authors>
    <author>S_member</author>
    <author>Quang Trung</author>
  </authors>
  <commentList>
    <comment ref="C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</t>
        </r>
      </text>
    </comment>
    <comment ref="D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E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F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EF Core</t>
        </r>
      </text>
    </comment>
    <comment ref="G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H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I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J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K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L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M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N67" authorId="1" shapeId="0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</t>
        </r>
      </text>
    </comment>
  </commentList>
</comments>
</file>

<file path=xl/sharedStrings.xml><?xml version="1.0" encoding="utf-8"?>
<sst xmlns="http://schemas.openxmlformats.org/spreadsheetml/2006/main" count="494" uniqueCount="381">
  <si>
    <t>bigint</t>
  </si>
  <si>
    <t>Checked</t>
  </si>
  <si>
    <t>date</t>
  </si>
  <si>
    <t>datetime</t>
  </si>
  <si>
    <t>int</t>
  </si>
  <si>
    <t>Class Name</t>
  </si>
  <si>
    <t xml:space="preserve">Name Space </t>
  </si>
  <si>
    <t>Field Name</t>
  </si>
  <si>
    <t>Data Type</t>
  </si>
  <si>
    <t>Length</t>
  </si>
  <si>
    <t xml:space="preserve">Allow Null? </t>
  </si>
  <si>
    <t>Import</t>
  </si>
  <si>
    <t>Folder Name</t>
  </si>
  <si>
    <t>Table</t>
  </si>
  <si>
    <t>Field Name Normalized</t>
  </si>
  <si>
    <t>Dot Net Data Type</t>
  </si>
  <si>
    <t>SQL Server data type</t>
  </si>
  <si>
    <t>CLR data type (.NET Framework)</t>
  </si>
  <si>
    <t>varchar</t>
  </si>
  <si>
    <t>nvarchar</t>
  </si>
  <si>
    <t>uniqueidentifier</t>
  </si>
  <si>
    <t>Guid</t>
  </si>
  <si>
    <t>bit</t>
  </si>
  <si>
    <t>tinyint</t>
  </si>
  <si>
    <t>smallint</t>
  </si>
  <si>
    <t>smallmoney</t>
  </si>
  <si>
    <t>money</t>
  </si>
  <si>
    <t>numeric</t>
  </si>
  <si>
    <t>decimal</t>
  </si>
  <si>
    <t>real</t>
  </si>
  <si>
    <t>float</t>
  </si>
  <si>
    <t>smalldatetime</t>
  </si>
  <si>
    <t>string</t>
  </si>
  <si>
    <t>datetime2</t>
  </si>
  <si>
    <t>SQL Data Type</t>
  </si>
  <si>
    <t>Property</t>
  </si>
  <si>
    <t xml:space="preserve">
</t>
  </si>
  <si>
    <t>Ngoặc nhọn trái</t>
  </si>
  <si>
    <t>Ngoặc nhọn phải</t>
  </si>
  <si>
    <t>Xuống dòng</t>
  </si>
  <si>
    <t xml:space="preserve">{
</t>
  </si>
  <si>
    <t xml:space="preserve">}
</t>
  </si>
  <si>
    <t>Required</t>
  </si>
  <si>
    <t>Index?</t>
  </si>
  <si>
    <t xml:space="preserve">Index </t>
  </si>
  <si>
    <t>Base Classes (Entity)</t>
  </si>
  <si>
    <t>Const</t>
  </si>
  <si>
    <t>End Field (Property)</t>
  </si>
  <si>
    <t>End Field (Consts)</t>
  </si>
  <si>
    <t>End Field (Index)</t>
  </si>
  <si>
    <t xml:space="preserve">using Abp.Application.Services.Dto;
using System;
using System.ComponentModel.DataAnnotations;
</t>
  </si>
  <si>
    <t>Base Classes DTO</t>
  </si>
  <si>
    <t xml:space="preserve"> : EntityDto&lt;long?&gt;</t>
  </si>
  <si>
    <t>: FullAuditedEntity&lt;long&gt;, IEntity&lt;long&gt;</t>
  </si>
  <si>
    <t>DTO Property (Create/Update)</t>
  </si>
  <si>
    <t>Force SQL Type</t>
  </si>
  <si>
    <t>_</t>
  </si>
  <si>
    <t>End Field (Dto Create/Update)</t>
  </si>
  <si>
    <t>End Field (Dto Get)</t>
  </si>
  <si>
    <t>DTO Property (Get)</t>
  </si>
  <si>
    <t>DTO Property (Filter)</t>
  </si>
  <si>
    <t>End Field (Dto Filter)</t>
  </si>
  <si>
    <t>2) DB Context</t>
  </si>
  <si>
    <t>3) Consts Class</t>
  </si>
  <si>
    <t xml:space="preserve">4) DTO Classes </t>
  </si>
  <si>
    <t>7) Interface</t>
  </si>
  <si>
    <t>8) Services</t>
  </si>
  <si>
    <t xml:space="preserve">using Abp.Domain.Entities;
using Abp.Domain.Entities.Auditing;
using Microsoft.EntityFrameworkCore;
using System;
using System.ComponentModel.DataAnnotations;
using System.ComponentModel.DataAnnotations.Schema;
</t>
  </si>
  <si>
    <t>1) Add Entity</t>
  </si>
  <si>
    <t>2) Front-End Template</t>
  </si>
  <si>
    <t>DEVELOPER GUIDE</t>
  </si>
  <si>
    <t>3) Comment Template</t>
  </si>
  <si>
    <t>Điền các ô màu xanh</t>
  </si>
  <si>
    <t>1) Back-End Template (Sheet A.Backend)</t>
  </si>
  <si>
    <t>Copy Output theo thứ tự dưới đây vào các file tương ứng</t>
  </si>
  <si>
    <t>Thay đổi ô màu vàng nếu cần</t>
  </si>
  <si>
    <t>Ví dụ:</t>
  </si>
  <si>
    <t xml:space="preserve">- DateTime đều chuyển thành datetime -&gt; nếu muốn chuyển thành date hoặc datetime2 thì phải chỉ định rõ </t>
  </si>
  <si>
    <t>- string chuyển thành varchar -&gt; nếu muốn chuyển nvarchar thì ghi nvarchar ở cột này</t>
  </si>
  <si>
    <r>
      <t>Cột</t>
    </r>
    <r>
      <rPr>
        <b/>
        <sz val="11"/>
        <color theme="1"/>
        <rFont val="Calibri"/>
        <family val="2"/>
        <scheme val="minor"/>
      </rPr>
      <t xml:space="preserve"> "Force SQL Type"</t>
    </r>
    <r>
      <rPr>
        <sz val="11"/>
        <color theme="1"/>
        <rFont val="Calibri"/>
        <family val="2"/>
        <scheme val="minor"/>
      </rPr>
      <t xml:space="preserve"> dùng để chuyển kiểu dữ liệu về kiểu bắt buộc như date, nvarchar của SQL Server</t>
    </r>
  </si>
  <si>
    <t>Cột này để copy vào Service Get</t>
  </si>
  <si>
    <t>End Field (Service GetAll)</t>
  </si>
  <si>
    <r>
      <t xml:space="preserve">Cột </t>
    </r>
    <r>
      <rPr>
        <b/>
        <sz val="11"/>
        <color theme="1"/>
        <rFont val="Calibri"/>
        <family val="2"/>
        <scheme val="minor"/>
      </rPr>
      <t>"Field Name" không cần trường Id</t>
    </r>
    <r>
      <rPr>
        <sz val="11"/>
        <color theme="1"/>
        <rFont val="Calibri"/>
        <family val="2"/>
        <scheme val="minor"/>
      </rPr>
      <t>, trường này sẽ mặc định cho tất cả các entity</t>
    </r>
  </si>
  <si>
    <t>Điền "Folder Name" - Chính là Module lớn. Ví dụ của Production Andon</t>
  </si>
  <si>
    <t>Master</t>
  </si>
  <si>
    <t>Common</t>
  </si>
  <si>
    <t>Frame</t>
  </si>
  <si>
    <t>Painting</t>
  </si>
  <si>
    <t>Welding</t>
  </si>
  <si>
    <t>Interface</t>
  </si>
  <si>
    <t>WorkingPattern</t>
  </si>
  <si>
    <t>Andon</t>
  </si>
  <si>
    <t>Bumper</t>
  </si>
  <si>
    <t>Module chính</t>
  </si>
  <si>
    <t>Mst</t>
  </si>
  <si>
    <t>Frm</t>
  </si>
  <si>
    <t>Pts</t>
  </si>
  <si>
    <t>Wld</t>
  </si>
  <si>
    <t>Inf</t>
  </si>
  <si>
    <t>Wpt</t>
  </si>
  <si>
    <t>Bmp</t>
  </si>
  <si>
    <t>Tên viết tắt</t>
  </si>
  <si>
    <r>
      <t xml:space="preserve">Cột </t>
    </r>
    <r>
      <rPr>
        <b/>
        <sz val="11"/>
        <color theme="1"/>
        <rFont val="Calibri"/>
        <family val="2"/>
        <scheme val="minor"/>
      </rPr>
      <t>"Index?"</t>
    </r>
    <r>
      <rPr>
        <sz val="11"/>
        <color theme="1"/>
        <rFont val="Calibri"/>
        <family val="2"/>
        <scheme val="minor"/>
      </rPr>
      <t xml:space="preserve"> dùng để xác định trường đó có được đánh index hay không. Tốt nhất là theo quy tắc sau: </t>
    </r>
  </si>
  <si>
    <t>Trường Code</t>
  </si>
  <si>
    <t>Trường ForeignKey</t>
  </si>
  <si>
    <t>Trường Status</t>
  </si>
  <si>
    <t>Trường IsActive</t>
  </si>
  <si>
    <t>Trường Type</t>
  </si>
  <si>
    <t>Trường Start/End Date</t>
  </si>
  <si>
    <t xml:space="preserve">Trường liên quan đến Sorting (thường hay nằm trong mệnh đề Order By) </t>
  </si>
  <si>
    <t>Ado</t>
  </si>
  <si>
    <t>|   \---src</t>
  </si>
  <si>
    <t>|       +---account</t>
  </si>
  <si>
    <t>|       +---app</t>
  </si>
  <si>
    <t>|       |   +---admin</t>
  </si>
  <si>
    <t>|       |   +---main</t>
  </si>
  <si>
    <t>|       |   |   +---common</t>
  </si>
  <si>
    <t>|       |   |   +---frame</t>
  </si>
  <si>
    <t>|       |   |   +---interface</t>
  </si>
  <si>
    <t>|       |   |   +---master</t>
  </si>
  <si>
    <t>|       |   |   |   +---common</t>
  </si>
  <si>
    <t>|       |   |   |   +---frame</t>
  </si>
  <si>
    <t>|       |   |   |   +---interface</t>
  </si>
  <si>
    <t>|       |   |   |   +---painting</t>
  </si>
  <si>
    <t>|       |   |   |   +---welding</t>
  </si>
  <si>
    <t>|       |   |   |   \---workingpattern</t>
  </si>
  <si>
    <t>|       |   |   |       +---calendar</t>
  </si>
  <si>
    <t>|       |   |   |       \---shop</t>
  </si>
  <si>
    <t>|       |   |   \---painting</t>
  </si>
  <si>
    <t>|       |   |       \---andon</t>
  </si>
  <si>
    <t>|       |   |           \---scaninfo</t>
  </si>
  <si>
    <t>|       |   |   +---welding</t>
  </si>
  <si>
    <t>|       |   |   +---workingpattern</t>
  </si>
  <si>
    <t>|       |   \---shared</t>
  </si>
  <si>
    <t>|   +---src</t>
  </si>
  <si>
    <t>|   |   +---vovina.Application</t>
  </si>
  <si>
    <t>|   |   |   +---Common</t>
  </si>
  <si>
    <t>|   |   |   +---Frame</t>
  </si>
  <si>
    <t>|   |   |   +---Interface</t>
  </si>
  <si>
    <t>|   |   |   +---Master</t>
  </si>
  <si>
    <t>|   |   |   |   +---Common</t>
  </si>
  <si>
    <t>|   |   |   |   +---Frame</t>
  </si>
  <si>
    <t>|   |   |   |   +---Interface</t>
  </si>
  <si>
    <t>|   |   |   |   +---Painting</t>
  </si>
  <si>
    <t>|   |   |   |   +---Welding</t>
  </si>
  <si>
    <t>|   |   |   |   \---WorkingPattern</t>
  </si>
  <si>
    <t>|   |   |   +---Painting</t>
  </si>
  <si>
    <t>|   |   |   |   \---Andon</t>
  </si>
  <si>
    <t>|   |   |   +---Welding</t>
  </si>
  <si>
    <t>|   |   |   +---WorkingPattern</t>
  </si>
  <si>
    <t>|   |   +---vovina.Application.Shared</t>
  </si>
  <si>
    <t>|   |   |   |   +---Dto</t>
  </si>
  <si>
    <t>|   |   |   |   \---Loging</t>
  </si>
  <si>
    <t>|   |   |   |       \---SqlAuditLog</t>
  </si>
  <si>
    <t>|   |   |   |           \---Dto</t>
  </si>
  <si>
    <t>|   |   |   |   |   \---PaintingProcess</t>
  </si>
  <si>
    <t>|   |   |   |   |       \---Dto</t>
  </si>
  <si>
    <t>|   |   |   |       +---Calendar</t>
  </si>
  <si>
    <t>|   |   |   |       |   \---Dto</t>
  </si>
  <si>
    <t>|   |   |   |       \---Shop</t>
  </si>
  <si>
    <t>|   |   |   |       \---ScanInfo</t>
  </si>
  <si>
    <t>|   |   |   \---WorkingPattern</t>
  </si>
  <si>
    <t>|   |   +---vovina.Core</t>
  </si>
  <si>
    <t>|   |   +---vovina.Core.Shared</t>
  </si>
  <si>
    <t>|   |   +---vovina.EntityFrameworkCore</t>
  </si>
  <si>
    <t>|   |   +---vovina.GraphQL</t>
  </si>
  <si>
    <t>|   |   +---vovina.Migrator</t>
  </si>
  <si>
    <t>|   |   +---vovina.Web.Core</t>
  </si>
  <si>
    <t>|   |   +---vovina.Web.Host</t>
  </si>
  <si>
    <t>|   |   \---vovina.Web.Public</t>
  </si>
  <si>
    <t>\---docs</t>
  </si>
  <si>
    <t xml:space="preserve">    \---design</t>
  </si>
  <si>
    <t xml:space="preserve">        +---common</t>
  </si>
  <si>
    <t xml:space="preserve">        +---frame</t>
  </si>
  <si>
    <t xml:space="preserve">        +---interface</t>
  </si>
  <si>
    <t xml:space="preserve">        +---master</t>
  </si>
  <si>
    <t xml:space="preserve">        |   +---common</t>
  </si>
  <si>
    <t xml:space="preserve">        |   +---frame</t>
  </si>
  <si>
    <t xml:space="preserve">        |   +---interface</t>
  </si>
  <si>
    <t xml:space="preserve">        |   +---painting</t>
  </si>
  <si>
    <t xml:space="preserve">        |   +---welding</t>
  </si>
  <si>
    <t xml:space="preserve">        |   \---workingpattern</t>
  </si>
  <si>
    <t xml:space="preserve">        +---painting</t>
  </si>
  <si>
    <t xml:space="preserve">        |   \---andon</t>
  </si>
  <si>
    <t xml:space="preserve">        +---welding</t>
  </si>
  <si>
    <t xml:space="preserve">        \---workingpattern</t>
  </si>
  <si>
    <t>+---angular</t>
  </si>
  <si>
    <t>+---aspnet-core</t>
  </si>
  <si>
    <t xml:space="preserve">&lt;&lt;&lt; Đật tên thư mục theo tên của component. Ví dụ: MstWptCalendar -&gt; chỉ cần đặt là "calendar" vì nó đã nằm trong thư mục Master.WorkingPattern rồi </t>
  </si>
  <si>
    <t>1. FRONT END</t>
  </si>
  <si>
    <t>2. BACK END</t>
  </si>
  <si>
    <t>3. DOCUMENT</t>
  </si>
  <si>
    <r>
      <t xml:space="preserve">Tham khảo Sheet </t>
    </r>
    <r>
      <rPr>
        <b/>
        <sz val="12"/>
        <color rgb="FFFF0000"/>
        <rFont val="Calibri"/>
        <family val="2"/>
        <scheme val="minor"/>
      </rPr>
      <t>Directory Tree</t>
    </r>
    <r>
      <rPr>
        <sz val="12"/>
        <color rgb="FFFF0000"/>
        <rFont val="Calibri"/>
        <family val="2"/>
        <scheme val="minor"/>
      </rPr>
      <t xml:space="preserve"> để hiểu cấu trúc thư mục </t>
    </r>
  </si>
  <si>
    <t>&lt;&lt;&lt; scaninfo</t>
  </si>
  <si>
    <t>4) DB Context</t>
  </si>
  <si>
    <t>5) Consts Class</t>
  </si>
  <si>
    <t xml:space="preserve">6) DTO Classes </t>
  </si>
  <si>
    <t>7)ToExcelInput</t>
  </si>
  <si>
    <t>9)EXportInput</t>
  </si>
  <si>
    <t>11)ExportService</t>
  </si>
  <si>
    <t>10)InterfaceExport</t>
  </si>
  <si>
    <t>8) Interface</t>
  </si>
  <si>
    <t>2)AppPermissions</t>
  </si>
  <si>
    <t>3)AppAuthorizationProvider</t>
  </si>
  <si>
    <t>9) interface Export</t>
  </si>
  <si>
    <t>10) Export Service</t>
  </si>
  <si>
    <t>11) Services</t>
  </si>
  <si>
    <t>Full Name</t>
  </si>
  <si>
    <t>Name Normal</t>
  </si>
  <si>
    <t>Menu Name</t>
  </si>
  <si>
    <t>NameFront</t>
  </si>
  <si>
    <t>example code</t>
  </si>
  <si>
    <t>code copy</t>
  </si>
  <si>
    <t>Filde Name</t>
  </si>
  <si>
    <t>.input-search{
    width: 250px;
    border-radius: 10px;
    margin-left: 10px;
}
.btn-search{
    width: 50px;
    margin-left: 10px;
}</t>
  </si>
  <si>
    <t>import {NgModule} from '@angular/core';
import {AppSharedModule} from '@app/shared/app-shared.module';
import { CalendarRoutingModule } from './calendar-routing.module';
import { CalendarComponent } from './calendar.component';
import { CreateOrEditCalendarModalComponent } from './create-or-edit-calendar-modal.component';
@NgModule({
    declarations: [
       CalendarComponent, 
        CreateOrEditCalendarModalComponent
    ],
    imports: [
        AppSharedModule, CalendarRoutingModule]
})
export class CalendarModule {}</t>
  </si>
  <si>
    <t>import {NgModule} from '@angular/core';
import {RouterModule, Routes} from '@angular/router';
import { CalendarComponent } from './calendar.component';
const routes: Routes = [{
    path: '',
    component: CalendarComponent,
    pathMatch: 'full'
}];
@NgModule({
    imports: [RouterModule.forChild(routes)],
    exports: [RouterModule],
})
export class CalendarRoutingModule {}</t>
  </si>
  <si>
    <t>app.navigation.service.ts</t>
  </si>
  <si>
    <t xml:space="preserve"> new AppMenuItem("Calendar", "Pages.Master.WorkingPattern.Calendar", "flaticon-book",   "/app/main/master/workingpattern/calendar"),</t>
  </si>
  <si>
    <t>NameBack</t>
  </si>
  <si>
    <t>main.routing.module.ts</t>
  </si>
  <si>
    <t>COPY CODE</t>
  </si>
  <si>
    <t>12)CustomDtoMapper</t>
  </si>
  <si>
    <t>Copy to file -&gt; create menu</t>
  </si>
  <si>
    <t>Create file</t>
  </si>
  <si>
    <t xml:space="preserve">  configuration.CreateMap&lt;MstWptCalendarDto, MstWptCalendar&gt;();
  configuration.CreateMap&lt;MstWptCalendar, MstWptCalendarDto&gt;();
  configuration.CreateMap&lt;CreateOrEditMstWptCalendarDto, MstWptCalendar&gt;();</t>
  </si>
  <si>
    <t>1)Back- End Template</t>
  </si>
  <si>
    <t>service-proxy.module.ts</t>
  </si>
  <si>
    <t>ApiServiceProxies.MstWptCalendarServiceProxy,</t>
  </si>
  <si>
    <t>Cmm</t>
  </si>
  <si>
    <t>6) AppPermissions</t>
  </si>
  <si>
    <t xml:space="preserve">5) AppAuthorizationProvider </t>
  </si>
  <si>
    <t>Local Name</t>
  </si>
  <si>
    <t>Name</t>
  </si>
  <si>
    <t>J9</t>
  </si>
  <si>
    <t>I9</t>
  </si>
  <si>
    <t>L9</t>
  </si>
  <si>
    <t>M9</t>
  </si>
  <si>
    <t>N9</t>
  </si>
  <si>
    <t>O9</t>
  </si>
  <si>
    <t>P9</t>
  </si>
  <si>
    <t>T9</t>
  </si>
  <si>
    <t>V9</t>
  </si>
  <si>
    <t>H15</t>
  </si>
  <si>
    <t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t>
  </si>
  <si>
    <t>{
    path: 'master/workingpattern/calendar',
    loadChildren: () =&gt; import('./master/workingpattern/calendar/calendar.module').then(m =&gt; m.CalendarModule),
    data: { permission: 'Pages.Master.WorkingPattern.Calendar' }
},</t>
  </si>
  <si>
    <t>declare</t>
  </si>
  <si>
    <t>param</t>
  </si>
  <si>
    <t>S15</t>
  </si>
  <si>
    <t>T15</t>
  </si>
  <si>
    <t>clearparams</t>
  </si>
  <si>
    <t>&lt;div bsModal #createOrEditModalCalendar="bs-modal"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Calendar')}}&lt;/h3&gt;
                    &lt;h3 *ngIf="!rowdata.id"&gt;{{('Create New Calendar')}}&lt;/h3&gt;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&lt;PROPERTIES&gt;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t>
  </si>
  <si>
    <t>W9</t>
  </si>
  <si>
    <t>using System.Collections.Generic;
using vovina.DataExporting.Excel.NPOI;
using vovina.Dto;
using vovina.Master.WorkingPattern.Exporting;
using vovina.Master.WorkingPattern.Dto;
using vovina.Storage;
using vovina.Master.WorkingPattern.Dto;
namespace vovina.Master.WorkingPattern.Exporting
{
    public class MstWptCalendarExcelExporter : NpoiExcelExporterBase, IMstWptCalendarExcelExporter
    {
        public MstWptCalendarExcelExporter(ITempFileCacheManager tempFileCacheManager) : base(tempFileCacheManager) { }
        public FileDto ExportToFile(List&lt;MstWptCalendarDto&gt; calendar)
        {
            return CreateExcelPackage(
				"MasterWorkingPatternCalendar.xlsx",
				excelPackage =&gt;
				 {
					var sheet = excelPackage.CreateSheet("Calendar");
					AddHeader(
								sheet,
&lt;PROPERTIES&gt;
							   );
					AddObjects(
						 sheet, 1, calendar,                                       
&lt;PROPERTIES1&gt;
								);
			for (var i = 0; i &lt; 8; i++)
				{
					sheet.AutoSizeColumn(i);
				}
			});
        }
    }
}</t>
  </si>
  <si>
    <t>K15</t>
  </si>
  <si>
    <t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CreateOrEditMstWptCalendarDto, MstWptCalendarServiceProxy } from '@shared/service-proxies/service-proxies';
import { BsDatepickerDirective } from 'ngx-bootstrap/datepicker';
@Component({
    selector: 'create-or-edit-calendar-modal',
    templateUrl: './create-or-edit-calendar-modal.component.html',
    styleUrls: ['./create-or-edit-calendar-modal.component.less']
    })
export class CreateOrEditCalendarModalComponent extends AppComponentBase {
    @ViewChild('createOrEditModalCalendar',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CreateOrEditMstWptCalendarDto = new CreateOrEditMstWptCalendarDto();
    active: boolean = false;
    saving: boolean = false;
    _isActive: boolean;
    constructor(
        injector: Injector,
        private _mstwptCalendarService: MstWptCalendarServiceProxy,
    ) 
    {
        super(injector);
    }
    show(rowdata?: CreateOrEditMstWptCalendarDto): void {
        if (!rowdata) this.rowdata = new CreateOrEditMstWptCalendarDto();
        else this.rowdata = rowdata;
&lt;VIEWDATETIME&gt;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this._mstwptCalendarService.createOrEdit(this.rowdata)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t>
  </si>
  <si>
    <t>I15</t>
  </si>
  <si>
    <t>L15</t>
  </si>
  <si>
    <t>U15</t>
  </si>
  <si>
    <t>active</t>
  </si>
  <si>
    <t>V15</t>
  </si>
  <si>
    <t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vovina.Master.WorkingPattern.Dto;
using vovina.Master.WorkingPattern.Exporting;
namespace vovina.Master.WorkingPattern
{
    [AbpAuthorize(AppPermissions.Pages_Master_WorkingPattern_Calendar)]
    public class MstWptCalendarAppService : vovinaAppServiceBase, IMstWptCalendarAppService
    {
        private readonly IDapperRepository&lt;MstWptCalendar, long&gt; _dapperRepo;
        private readonly IRepository&lt;MstWptCalendar, long&gt; _repo;
        private readonly IMstWptCalendarExcelExporter _calendarListExcelExporter;
        public MstWptCalendarAppService(IRepository&lt;MstWptCalendar,long&gt; repo, 
                                         IDapperRepository&lt;MstWptCalendar,long&gt; dapperRepo,
                                        IMstWptCalendarExcelExporter calendarListExcelExporter
            )
        {
            _repo = repo;
            _dapperRepo = dapperRepo;
            _calendarListExcelExporter = calendarListExcelExporter;
        }
        [AbpAuthorize(AppPermissions.Pages_Master_WorkingPattern_Calendar_CreateEdit)]
        public async Task CreateOrEdit(CreateOrEditMstWptCalendarDto input)
        {
            if (input.Id == null) await Create(input);
            else await Update(input);
        }
        //CREATE
        private async Task Create(CreateOrEditMstWptCalendarDto input)
        {          
            var mainObj = ObjectMapper.Map&lt;MstWptCalendar&gt;(input);
            await CurrentUnitOfWork.GetDbContext&lt;vovinaDbContext&gt;().AddAsync(mainObj);
        }
        // EDIT
        private async Task Update(CreateOrEditMstWptCalendarDto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[AbpAuthorize(AppPermissions.Pages_Master_WorkingPattern_Calendar_Delete)]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Task&lt;PagedResultDto&lt;MstWptCalendarDto&gt;&gt; GetAll(GetMstWptCalendarInput input)
        {
            var filtered = _repo.GetAll()
&lt;PARAMS_SEARCH&gt;                   
				;
            var pageAndFiltered = filtered.OrderBy(s =&gt; s.Id);
            var system = from o in pageAndFiltered
                         select new MstWptCalendarDto
                        {
							Id = o.Id,
&lt;PROPERTIES&gt;
                        };
            var totalCount = await filtered.CountAsync();
			var paged = system.PageBy(input);
            return new PagedResultDto&lt;MstWptCalendarDto&gt;(
                totalCount,
                 await paged.ToListAsync()
            );
        }
        public async Task&lt;FileDto&gt; GetCalendarToExcel(MstWptCalendarExportInput input)
        {
            var query = from o in _repo.GetAll()
                        select new MstWptCalendarDto
                        {
							Id = o.Id,
&lt;PROPERTIES&gt;
                        };
            var exportToExcel = await query.ToListAsync();
            return _calendarListExcelExporter.ExportToFile(exportToExcel);
        }
       // public async Task GenerateAsync()
      //  {
        //    await _dapperRepo.ExecuteAsync(MstWptCalendarConsts.SP_MST_WPT_CALENDAR_GENERATE);
       // }
    }
}</t>
  </si>
  <si>
    <t>time</t>
  </si>
  <si>
    <t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MstWptCalendarDto, MstWptCalendarServiceProxy } from '@shared/service-proxies/service-proxies';
import { finalize } from 'rxjs/internal/operators/finalize';
import { CreateOrEditCalendarModalComponent } from './create-or-edit-calendar-modal.component';
import { DatePipe } from '@angular/common';
import { FileDownloadService } from '@shared/utils/file-download.service';
import ceil from 'lodash-es/ceil';
import { Paginator } from 'primeng/paginator';
@Component({
    templateUrl: './calendar.component.html',
    styleUrls: ['./calendar.component.less'],
})
export class CalendarComponent extends AppComponentBase implements OnInit {
    @ViewChild('createOrEditModalCalendar', { static: true }) createOrEditModalCalendar:| CreateOrEditCalendarModalComponent|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MstWptCalendarDto = new MstWptCalendarDto();
    saveSelectedRow: MstWptCalendarDto = new MstWptCalendarDto();
    datas: MstWptCalendarDto = new MstWptCalendarDto();
    isLoading: boolean = false;
    dataParams: GridParams | undefined;
    rowData: any[] = [];
    gridApi!: GridApi;
    rowSelection = 'multiple';
    filter: string = '';
	pipe = new DatePipe('en-US');
	frameworkComponents: FrameworkComponent;
    &lt;DECLARE&gt;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MstWptCalendarServiceProxy,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&lt;PROPERTIES&gt;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&lt;PARAMS&gt;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&lt;CLEARPARAMS&gt;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&lt;PARAMS&gt;
			'',
            this.paginationParams.skipCount,
            this.paginationParams.pageSize
        );
    }
    onChangeRowSelection(params: { api: { getSelectedRows: () =&gt; MstWptCalendarDto[] } }) {
        this.saveSelectedRow = params.api.getSelectedRows()[0] ?? new MstWptCalendarDto();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MstWptCalendarDto):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this._service.getCalendarToExcel(
&lt;PARAMS&gt;
            )
            .subscribe((result) =&gt; {
                this._fileDownloadService.downloadTempFile(result);
        });
    }
}</t>
  </si>
  <si>
    <t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&lt;FULL_TITLE&gt;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&lt;PROPERTIES&gt;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(click)="createOrEditModalCalendar.show()"&gt;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(click)="createOrEditModalCalendar.show(selectedRow)"&gt;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&lt;create-or-edit-calendar-modal
    #createOrEditModalCalendar
    (modalSave)="callBackDataGrid(dataParams)"
    (modalClose)="onChangeRowSelection(dataParams)"
&gt;
&lt;/create-or-edit-calendar-modal&gt;</t>
  </si>
  <si>
    <t>LogW</t>
  </si>
  <si>
    <t>Lgw</t>
  </si>
  <si>
    <t>Devanning</t>
  </si>
  <si>
    <t>Lup</t>
  </si>
  <si>
    <t>Dvn</t>
  </si>
  <si>
    <t>LotUnpacking</t>
  </si>
  <si>
    <t>LotMaking</t>
  </si>
  <si>
    <t>PxPUnpacking</t>
  </si>
  <si>
    <t>ModuleWH</t>
  </si>
  <si>
    <t>Lmk</t>
  </si>
  <si>
    <t>Pup</t>
  </si>
  <si>
    <t>Mwh</t>
  </si>
  <si>
    <t>Pik</t>
  </si>
  <si>
    <t>Picking</t>
  </si>
  <si>
    <t>Viết tắt dài (đầy đủ)</t>
  </si>
  <si>
    <t>MstCmm</t>
  </si>
  <si>
    <t>MstFrm</t>
  </si>
  <si>
    <t>MstPts</t>
  </si>
  <si>
    <t>MstWld</t>
  </si>
  <si>
    <t>MstInf</t>
  </si>
  <si>
    <t>MstWpt</t>
  </si>
  <si>
    <t>MstLgw</t>
  </si>
  <si>
    <t>PtsAdo</t>
  </si>
  <si>
    <t>PtsBmp</t>
  </si>
  <si>
    <t>LgwDvn</t>
  </si>
  <si>
    <t>LgwLup</t>
  </si>
  <si>
    <t>LgwLmk</t>
  </si>
  <si>
    <t>LgwPup</t>
  </si>
  <si>
    <t>LgwMwh</t>
  </si>
  <si>
    <t>LgwPik</t>
  </si>
  <si>
    <t>Pln</t>
  </si>
  <si>
    <t>FrmAdo</t>
  </si>
  <si>
    <t>WldAdo</t>
  </si>
  <si>
    <t>Ccr</t>
  </si>
  <si>
    <t>PlnCcr</t>
  </si>
  <si>
    <t>LogA</t>
  </si>
  <si>
    <t>Lga</t>
  </si>
  <si>
    <t>MstLga</t>
  </si>
  <si>
    <t>LotDirectSupply</t>
  </si>
  <si>
    <t>Lds</t>
  </si>
  <si>
    <t>LgaLds</t>
  </si>
  <si>
    <t>LgaBmp</t>
  </si>
  <si>
    <t>Ekanban</t>
  </si>
  <si>
    <t>Ekb</t>
  </si>
  <si>
    <t>LgaEkb</t>
  </si>
  <si>
    <t>BigPart2x2</t>
  </si>
  <si>
    <t>Bp2</t>
  </si>
  <si>
    <t>LgaBp2</t>
  </si>
  <si>
    <t>Plan</t>
  </si>
  <si>
    <t>Barcode</t>
  </si>
  <si>
    <t>Bar</t>
  </si>
  <si>
    <t>LgaBar</t>
  </si>
  <si>
    <t>CCR Plan</t>
  </si>
  <si>
    <t>IS_ACTIVE</t>
  </si>
  <si>
    <t>Inventory</t>
  </si>
  <si>
    <t>CKD</t>
  </si>
  <si>
    <t>PIO</t>
  </si>
  <si>
    <t>GPS</t>
  </si>
  <si>
    <t>SPP</t>
  </si>
  <si>
    <t>Inhouse</t>
  </si>
  <si>
    <t>LSP</t>
  </si>
  <si>
    <t>Ckd</t>
  </si>
  <si>
    <t>Gps</t>
  </si>
  <si>
    <t>Pio</t>
  </si>
  <si>
    <t>Inh</t>
  </si>
  <si>
    <t>Lsp</t>
  </si>
  <si>
    <t>Spp</t>
  </si>
  <si>
    <t>Inv</t>
  </si>
  <si>
    <t>InvCkd</t>
  </si>
  <si>
    <t>InvGps</t>
  </si>
  <si>
    <t>InvPio</t>
  </si>
  <si>
    <t>InvInh</t>
  </si>
  <si>
    <t>InvLsp</t>
  </si>
  <si>
    <t>InvSpp</t>
  </si>
  <si>
    <t>EXP</t>
  </si>
  <si>
    <t>Exp</t>
  </si>
  <si>
    <t>InvExp</t>
  </si>
  <si>
    <t>CBU</t>
  </si>
  <si>
    <t>Cbu</t>
  </si>
  <si>
    <t>InvCbu</t>
  </si>
  <si>
    <t>TPL</t>
  </si>
  <si>
    <t>MstTpl</t>
  </si>
  <si>
    <t>Tpl</t>
  </si>
  <si>
    <t>int?</t>
  </si>
  <si>
    <t>long?</t>
  </si>
  <si>
    <t>DateTime?</t>
  </si>
  <si>
    <t>TimeSpan?</t>
  </si>
  <si>
    <t>decimal?</t>
  </si>
  <si>
    <t>byte?</t>
  </si>
  <si>
    <t>bool?</t>
  </si>
  <si>
    <t>varchar(1)</t>
  </si>
  <si>
    <t>nvarchar(240)</t>
  </si>
  <si>
    <t>PoHeaderId</t>
  </si>
  <si>
    <t>decimal(18,5)</t>
  </si>
  <si>
    <t>nvarchar(25)</t>
  </si>
  <si>
    <t>nvarchar(255)</t>
  </si>
  <si>
    <t>InvCpsRcvShipmentLines</t>
  </si>
  <si>
    <t>RcvShipmentLines</t>
  </si>
  <si>
    <t>Cps Rcv ShipmentLines</t>
  </si>
  <si>
    <t>CPS</t>
  </si>
  <si>
    <t>Cps</t>
  </si>
  <si>
    <t>InvCps</t>
  </si>
  <si>
    <t>Shipment_Header_Id</t>
  </si>
  <si>
    <t>Line_Num</t>
  </si>
  <si>
    <t>Category_Id</t>
  </si>
  <si>
    <t>Quantity_Shipped</t>
  </si>
  <si>
    <t>Quantity_Received</t>
  </si>
  <si>
    <t>Unit_Of_Measure</t>
  </si>
  <si>
    <t>Part_No</t>
  </si>
  <si>
    <t>Item_Description</t>
  </si>
  <si>
    <t>Item_Id</t>
  </si>
  <si>
    <t>Shipment_Line_Status_Code</t>
  </si>
  <si>
    <t>Po_Line_Id</t>
  </si>
  <si>
    <t>Po_Line_Shipment_Id</t>
  </si>
  <si>
    <t>Employee_Id</t>
  </si>
  <si>
    <t>Inventory.CPS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</si>
</sst>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5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theme="1"/>
      <name val="Lucida Console"/>
      <family val="3"/>
    </font>
    <font>
      <sz val="12"/>
      <color theme="1"/>
      <name val="Lucida Console"/>
      <family val="3"/>
    </font>
    <font>
      <sz val="12"/>
      <color rgb="FFFF0000"/>
      <name val="Calibri"/>
      <family val="2"/>
      <scheme val="minor"/>
    </font>
    <font>
      <b/>
      <sz val="16"/>
      <color theme="5" tint="-0.249977111117893"/>
      <name val="Calibri"/>
      <family val="2"/>
      <scheme val="minor"/>
    </font>
    <font>
      <b/>
      <sz val="14"/>
      <color theme="5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9"/>
      <color rgb="FF000000"/>
      <name val="Tahoma"/>
      <family val="2"/>
    </font>
    <font>
      <sz val="9"/>
      <color rgb="FF000000"/>
      <name val="Tahoma"/>
      <family val="2"/>
    </font>
  </fonts>
  <fills count="14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59999389629810485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68">
    <xf numFmtId="0" fontId="0" fillId="0" borderId="0" xfId="0"/>
    <xf numFmtId="0" fontId="2" fillId="0" borderId="0" xfId="0" applyFont="1"/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3" borderId="0" xfId="0" applyFill="1" applyAlignment="1">
      <alignment wrapText="1"/>
    </xf>
    <xf numFmtId="0" fontId="0" fillId="3" borderId="0" xfId="0" applyFill="1"/>
    <xf numFmtId="0" fontId="0" fillId="5" borderId="0" xfId="0" applyFill="1"/>
    <xf numFmtId="0" fontId="0" fillId="4" borderId="0" xfId="0" applyFill="1"/>
    <xf numFmtId="0" fontId="0" fillId="4" borderId="0" xfId="0" applyFill="1" applyAlignment="1">
      <alignment wrapText="1"/>
    </xf>
    <xf numFmtId="0" fontId="0" fillId="7" borderId="0" xfId="0" applyFill="1" applyAlignment="1">
      <alignment wrapText="1"/>
    </xf>
    <xf numFmtId="0" fontId="0" fillId="7" borderId="0" xfId="0" applyFill="1"/>
    <xf numFmtId="0" fontId="3" fillId="4" borderId="0" xfId="0" applyFont="1" applyFill="1"/>
    <xf numFmtId="0" fontId="0" fillId="4" borderId="0" xfId="0" applyFill="1" applyAlignment="1">
      <alignment horizontal="center"/>
    </xf>
    <xf numFmtId="0" fontId="2" fillId="7" borderId="0" xfId="0" applyFont="1" applyFill="1"/>
    <xf numFmtId="0" fontId="6" fillId="0" borderId="0" xfId="0" applyFont="1"/>
    <xf numFmtId="0" fontId="0" fillId="0" borderId="0" xfId="0" applyAlignment="1">
      <alignment vertical="center"/>
    </xf>
    <xf numFmtId="0" fontId="0" fillId="0" borderId="0" xfId="0" quotePrefix="1"/>
    <xf numFmtId="0" fontId="7" fillId="0" borderId="0" xfId="0" applyFont="1"/>
    <xf numFmtId="0" fontId="8" fillId="2" borderId="0" xfId="0" applyFont="1" applyFill="1"/>
    <xf numFmtId="0" fontId="9" fillId="9" borderId="0" xfId="0" applyFont="1" applyFill="1"/>
    <xf numFmtId="0" fontId="11" fillId="0" borderId="0" xfId="0" applyFont="1"/>
    <xf numFmtId="0" fontId="11" fillId="10" borderId="0" xfId="0" applyFont="1" applyFill="1"/>
    <xf numFmtId="0" fontId="0" fillId="11" borderId="0" xfId="0" applyFill="1"/>
    <xf numFmtId="0" fontId="10" fillId="11" borderId="0" xfId="0" quotePrefix="1" applyFont="1" applyFill="1"/>
    <xf numFmtId="0" fontId="11" fillId="11" borderId="0" xfId="0" applyFont="1" applyFill="1"/>
    <xf numFmtId="0" fontId="12" fillId="0" borderId="0" xfId="0" applyFont="1"/>
    <xf numFmtId="0" fontId="0" fillId="0" borderId="0" xfId="0" applyAlignment="1">
      <alignment wrapText="1"/>
    </xf>
    <xf numFmtId="0" fontId="0" fillId="8" borderId="2" xfId="0" applyFill="1" applyBorder="1" applyAlignment="1">
      <alignment wrapText="1"/>
    </xf>
    <xf numFmtId="0" fontId="0" fillId="0" borderId="3" xfId="0" applyBorder="1"/>
    <xf numFmtId="0" fontId="0" fillId="7" borderId="0" xfId="0" applyFill="1" applyAlignment="1">
      <alignment horizontal="center" wrapText="1"/>
    </xf>
    <xf numFmtId="0" fontId="0" fillId="6" borderId="0" xfId="0" applyFill="1" applyAlignment="1">
      <alignment wrapText="1"/>
    </xf>
    <xf numFmtId="0" fontId="3" fillId="6" borderId="0" xfId="0" applyFont="1" applyFill="1" applyAlignment="1">
      <alignment wrapText="1"/>
    </xf>
    <xf numFmtId="0" fontId="3" fillId="4" borderId="0" xfId="0" applyFont="1" applyFill="1" applyAlignment="1">
      <alignment horizontal="center" wrapText="1"/>
    </xf>
    <xf numFmtId="0" fontId="0" fillId="6" borderId="0" xfId="0" applyFill="1" applyAlignment="1">
      <alignment horizontal="center" wrapText="1"/>
    </xf>
    <xf numFmtId="0" fontId="0" fillId="0" borderId="3" xfId="0" applyBorder="1" applyAlignment="1">
      <alignment horizontal="left" vertical="top"/>
    </xf>
    <xf numFmtId="0" fontId="0" fillId="0" borderId="3" xfId="0" applyBorder="1" applyAlignment="1">
      <alignment vertical="top" wrapText="1"/>
    </xf>
    <xf numFmtId="0" fontId="0" fillId="12" borderId="3" xfId="0" applyFill="1" applyBorder="1" applyAlignment="1">
      <alignment horizontal="center"/>
    </xf>
    <xf numFmtId="0" fontId="0" fillId="12" borderId="3" xfId="0" applyFill="1" applyBorder="1" applyAlignment="1">
      <alignment horizontal="center" vertical="center"/>
    </xf>
    <xf numFmtId="0" fontId="0" fillId="12" borderId="3" xfId="0" applyFill="1" applyBorder="1"/>
    <xf numFmtId="0" fontId="0" fillId="3" borderId="3" xfId="0" applyFill="1" applyBorder="1" applyAlignment="1">
      <alignment horizontal="left" vertical="top" wrapText="1"/>
    </xf>
    <xf numFmtId="0" fontId="0" fillId="3" borderId="3" xfId="0" applyFill="1" applyBorder="1" applyAlignment="1">
      <alignment horizontal="left" vertical="top"/>
    </xf>
    <xf numFmtId="0" fontId="0" fillId="3" borderId="3" xfId="0" applyFill="1" applyBorder="1"/>
    <xf numFmtId="0" fontId="0" fillId="11" borderId="3" xfId="0" applyFill="1" applyBorder="1" applyAlignment="1">
      <alignment vertical="top" wrapText="1"/>
    </xf>
    <xf numFmtId="0" fontId="0" fillId="11" borderId="3" xfId="0" applyFill="1" applyBorder="1" applyAlignment="1">
      <alignment horizontal="left" vertical="top" wrapText="1"/>
    </xf>
    <xf numFmtId="0" fontId="0" fillId="11" borderId="3" xfId="0" applyFill="1" applyBorder="1" applyAlignment="1">
      <alignment wrapText="1"/>
    </xf>
    <xf numFmtId="0" fontId="0" fillId="10" borderId="3" xfId="0" applyFill="1" applyBorder="1" applyAlignment="1">
      <alignment vertical="top" wrapText="1"/>
    </xf>
    <xf numFmtId="0" fontId="0" fillId="10" borderId="3" xfId="0" applyFill="1" applyBorder="1"/>
    <xf numFmtId="0" fontId="0" fillId="10" borderId="3" xfId="0" applyFill="1" applyBorder="1" applyAlignment="1">
      <alignment wrapText="1"/>
    </xf>
    <xf numFmtId="0" fontId="0" fillId="10" borderId="1" xfId="0" applyFill="1" applyBorder="1"/>
    <xf numFmtId="0" fontId="2" fillId="13" borderId="0" xfId="0" applyFont="1" applyFill="1" applyAlignment="1">
      <alignment vertical="center"/>
    </xf>
    <xf numFmtId="0" fontId="0" fillId="11" borderId="3" xfId="0" applyFill="1" applyBorder="1"/>
    <xf numFmtId="0" fontId="0" fillId="11" borderId="3" xfId="0" applyFill="1" applyBorder="1" applyAlignment="1">
      <alignment horizontal="left" vertical="top"/>
    </xf>
    <xf numFmtId="0" fontId="0" fillId="10" borderId="3" xfId="0" applyFill="1" applyBorder="1" applyAlignment="1">
      <alignment horizontal="left" vertical="center"/>
    </xf>
    <xf numFmtId="0" fontId="0" fillId="10" borderId="3" xfId="0" applyFill="1" applyBorder="1" applyAlignment="1">
      <alignment horizontal="left" vertical="top"/>
    </xf>
    <xf numFmtId="0" fontId="0" fillId="9" borderId="3" xfId="0" applyFill="1" applyBorder="1"/>
    <xf numFmtId="0" fontId="0" fillId="10" borderId="4" xfId="0" applyFill="1" applyBorder="1" applyAlignment="1">
      <alignment wrapText="1"/>
    </xf>
    <xf numFmtId="0" fontId="0" fillId="0" borderId="3" xfId="0" applyBorder="1" applyAlignment="1">
      <alignment wrapText="1"/>
    </xf>
    <xf numFmtId="0" fontId="2" fillId="13" borderId="3" xfId="0" applyFont="1" applyFill="1" applyBorder="1" applyAlignment="1">
      <alignment vertical="center"/>
    </xf>
    <xf numFmtId="0" fontId="0" fillId="10" borderId="4" xfId="0" applyFill="1" applyBorder="1" applyAlignment="1">
      <alignment vertical="top" wrapText="1"/>
    </xf>
    <xf numFmtId="0" fontId="15" fillId="9" borderId="0" xfId="0" applyFont="1" applyFill="1"/>
    <xf numFmtId="0" fontId="16" fillId="3" borderId="0" xfId="0" applyFont="1" applyFill="1" applyAlignment="1">
      <alignment vertical="center"/>
    </xf>
    <xf numFmtId="0" fontId="0" fillId="3" borderId="0" xfId="0" applyFill="1" applyAlignment="1">
      <alignment vertical="center"/>
    </xf>
    <xf numFmtId="0" fontId="0" fillId="0" borderId="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/>
    </xf>
    <xf numFmtId="0" fontId="0" fillId="8" borderId="0" xfId="0" applyFill="1" applyAlignment="1">
      <alignment wrapText="1"/>
    </xf>
    <xf numFmtId="0" fontId="13" fillId="0" borderId="3" xfId="0" applyFont="1" applyBorder="1" applyAlignment="1">
      <alignment horizontal="center"/>
    </xf>
    <xf numFmtId="0" fontId="14" fillId="0" borderId="3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N77"/>
  <sheetViews>
    <sheetView topLeftCell="A55" zoomScaleNormal="100" workbookViewId="0">
      <selection activeCell="F68" sqref="F68"/>
    </sheetView>
  </sheetViews>
  <sheetFormatPr defaultColWidth="8.85546875" defaultRowHeight="15" x14ac:dyDescent="0.25"/>
  <cols>
    <col min="1" max="1" width="3.42578125" customWidth="1"/>
    <col min="2" max="2" width="18.42578125" customWidth="1"/>
    <col min="3" max="5" width="26.140625" customWidth="1"/>
    <col min="6" max="6" width="45.85546875" customWidth="1"/>
    <col min="7" max="10" width="26.140625" customWidth="1"/>
    <col min="11" max="11" width="26.42578125" customWidth="1"/>
    <col min="12" max="12" width="27.7109375" customWidth="1"/>
    <col min="13" max="13" width="25.42578125" customWidth="1"/>
    <col min="14" max="18" width="18.42578125" customWidth="1"/>
  </cols>
  <sheetData>
    <row r="1" spans="1:7" ht="23.25" x14ac:dyDescent="0.35">
      <c r="A1" s="14" t="s">
        <v>70</v>
      </c>
    </row>
    <row r="2" spans="1:7" ht="15.75" x14ac:dyDescent="0.25">
      <c r="A2" s="1"/>
      <c r="B2" s="25" t="s">
        <v>192</v>
      </c>
    </row>
    <row r="3" spans="1:7" x14ac:dyDescent="0.25">
      <c r="A3" s="1"/>
      <c r="B3" s="1" t="s">
        <v>73</v>
      </c>
    </row>
    <row r="4" spans="1:7" x14ac:dyDescent="0.25">
      <c r="A4" s="1"/>
      <c r="B4" t="s">
        <v>72</v>
      </c>
    </row>
    <row r="5" spans="1:7" x14ac:dyDescent="0.25">
      <c r="A5" s="1"/>
      <c r="B5" t="s">
        <v>75</v>
      </c>
    </row>
    <row r="6" spans="1:7" x14ac:dyDescent="0.25">
      <c r="A6" s="1"/>
      <c r="B6" t="s">
        <v>83</v>
      </c>
    </row>
    <row r="7" spans="1:7" x14ac:dyDescent="0.25">
      <c r="A7" s="1"/>
      <c r="C7" s="2" t="s">
        <v>93</v>
      </c>
      <c r="D7" s="2"/>
      <c r="E7" s="2"/>
      <c r="F7" s="2" t="s">
        <v>101</v>
      </c>
      <c r="G7" s="2" t="s">
        <v>279</v>
      </c>
    </row>
    <row r="8" spans="1:7" x14ac:dyDescent="0.25">
      <c r="A8" s="1"/>
      <c r="C8" t="s">
        <v>85</v>
      </c>
      <c r="F8" s="1" t="s">
        <v>229</v>
      </c>
      <c r="G8" t="s">
        <v>229</v>
      </c>
    </row>
    <row r="9" spans="1:7" x14ac:dyDescent="0.25">
      <c r="A9" s="1"/>
      <c r="C9" t="s">
        <v>84</v>
      </c>
      <c r="F9" s="1" t="s">
        <v>94</v>
      </c>
      <c r="G9" t="s">
        <v>94</v>
      </c>
    </row>
    <row r="10" spans="1:7" x14ac:dyDescent="0.25">
      <c r="A10" s="1"/>
      <c r="D10" t="s">
        <v>85</v>
      </c>
      <c r="F10" s="1" t="s">
        <v>229</v>
      </c>
      <c r="G10" t="s">
        <v>280</v>
      </c>
    </row>
    <row r="11" spans="1:7" x14ac:dyDescent="0.25">
      <c r="A11" s="1"/>
      <c r="D11" t="s">
        <v>86</v>
      </c>
      <c r="F11" s="1" t="s">
        <v>95</v>
      </c>
      <c r="G11" t="s">
        <v>281</v>
      </c>
    </row>
    <row r="12" spans="1:7" x14ac:dyDescent="0.25">
      <c r="A12" s="1"/>
      <c r="D12" t="s">
        <v>87</v>
      </c>
      <c r="F12" s="1" t="s">
        <v>96</v>
      </c>
      <c r="G12" t="s">
        <v>282</v>
      </c>
    </row>
    <row r="13" spans="1:7" x14ac:dyDescent="0.25">
      <c r="A13" s="1"/>
      <c r="D13" t="s">
        <v>88</v>
      </c>
      <c r="F13" s="1" t="s">
        <v>97</v>
      </c>
      <c r="G13" t="s">
        <v>283</v>
      </c>
    </row>
    <row r="14" spans="1:7" x14ac:dyDescent="0.25">
      <c r="A14" s="1"/>
      <c r="D14" t="s">
        <v>89</v>
      </c>
      <c r="F14" s="1" t="s">
        <v>98</v>
      </c>
      <c r="G14" t="s">
        <v>284</v>
      </c>
    </row>
    <row r="15" spans="1:7" x14ac:dyDescent="0.25">
      <c r="A15" s="1"/>
      <c r="D15" t="s">
        <v>90</v>
      </c>
      <c r="F15" s="1" t="s">
        <v>99</v>
      </c>
      <c r="G15" t="s">
        <v>285</v>
      </c>
    </row>
    <row r="16" spans="1:7" ht="12" customHeight="1" x14ac:dyDescent="0.25">
      <c r="A16" s="1"/>
      <c r="D16" t="s">
        <v>265</v>
      </c>
      <c r="F16" s="1" t="s">
        <v>266</v>
      </c>
      <c r="G16" t="s">
        <v>286</v>
      </c>
    </row>
    <row r="17" spans="1:7" ht="12" customHeight="1" x14ac:dyDescent="0.25">
      <c r="A17" s="1"/>
      <c r="D17" t="s">
        <v>300</v>
      </c>
      <c r="F17" s="1" t="s">
        <v>301</v>
      </c>
      <c r="G17" t="s">
        <v>302</v>
      </c>
    </row>
    <row r="18" spans="1:7" x14ac:dyDescent="0.25">
      <c r="A18" s="1"/>
      <c r="D18" t="s">
        <v>345</v>
      </c>
      <c r="F18" s="1" t="s">
        <v>347</v>
      </c>
      <c r="G18" t="s">
        <v>346</v>
      </c>
    </row>
    <row r="19" spans="1:7" x14ac:dyDescent="0.25">
      <c r="A19" s="1"/>
      <c r="C19" t="s">
        <v>87</v>
      </c>
      <c r="F19" s="1" t="s">
        <v>96</v>
      </c>
      <c r="G19" t="s">
        <v>96</v>
      </c>
    </row>
    <row r="20" spans="1:7" x14ac:dyDescent="0.25">
      <c r="A20" s="1"/>
      <c r="D20" t="s">
        <v>91</v>
      </c>
      <c r="F20" s="1" t="s">
        <v>110</v>
      </c>
      <c r="G20" t="s">
        <v>287</v>
      </c>
    </row>
    <row r="21" spans="1:7" x14ac:dyDescent="0.25">
      <c r="A21" s="1"/>
      <c r="D21" t="s">
        <v>92</v>
      </c>
      <c r="F21" s="1" t="s">
        <v>100</v>
      </c>
      <c r="G21" t="s">
        <v>288</v>
      </c>
    </row>
    <row r="22" spans="1:7" x14ac:dyDescent="0.25">
      <c r="A22" s="1"/>
      <c r="C22" t="s">
        <v>88</v>
      </c>
      <c r="F22" s="1" t="s">
        <v>97</v>
      </c>
      <c r="G22" t="s">
        <v>97</v>
      </c>
    </row>
    <row r="23" spans="1:7" x14ac:dyDescent="0.25">
      <c r="A23" s="1"/>
      <c r="D23" t="s">
        <v>91</v>
      </c>
      <c r="F23" s="1" t="s">
        <v>110</v>
      </c>
      <c r="G23" t="s">
        <v>297</v>
      </c>
    </row>
    <row r="24" spans="1:7" x14ac:dyDescent="0.25">
      <c r="A24" s="1"/>
      <c r="C24" t="s">
        <v>86</v>
      </c>
      <c r="F24" s="1" t="s">
        <v>95</v>
      </c>
      <c r="G24" t="s">
        <v>95</v>
      </c>
    </row>
    <row r="25" spans="1:7" x14ac:dyDescent="0.25">
      <c r="A25" s="1"/>
      <c r="D25" t="s">
        <v>91</v>
      </c>
      <c r="F25" s="1" t="s">
        <v>110</v>
      </c>
      <c r="G25" t="s">
        <v>296</v>
      </c>
    </row>
    <row r="26" spans="1:7" x14ac:dyDescent="0.25">
      <c r="A26" s="1"/>
      <c r="C26" t="s">
        <v>89</v>
      </c>
      <c r="F26" s="1" t="s">
        <v>98</v>
      </c>
      <c r="G26" t="s">
        <v>98</v>
      </c>
    </row>
    <row r="27" spans="1:7" x14ac:dyDescent="0.25">
      <c r="A27" s="1"/>
      <c r="C27" t="s">
        <v>265</v>
      </c>
      <c r="F27" s="1" t="s">
        <v>266</v>
      </c>
      <c r="G27" t="s">
        <v>266</v>
      </c>
    </row>
    <row r="28" spans="1:7" x14ac:dyDescent="0.25">
      <c r="A28" s="1"/>
      <c r="D28" t="s">
        <v>267</v>
      </c>
      <c r="F28" s="1" t="s">
        <v>269</v>
      </c>
      <c r="G28" t="s">
        <v>289</v>
      </c>
    </row>
    <row r="29" spans="1:7" x14ac:dyDescent="0.25">
      <c r="A29" s="1"/>
      <c r="D29" t="s">
        <v>270</v>
      </c>
      <c r="F29" s="1" t="s">
        <v>268</v>
      </c>
      <c r="G29" t="s">
        <v>290</v>
      </c>
    </row>
    <row r="30" spans="1:7" x14ac:dyDescent="0.25">
      <c r="A30" s="1"/>
      <c r="D30" t="s">
        <v>271</v>
      </c>
      <c r="F30" s="1" t="s">
        <v>274</v>
      </c>
      <c r="G30" t="s">
        <v>291</v>
      </c>
    </row>
    <row r="31" spans="1:7" x14ac:dyDescent="0.25">
      <c r="A31" s="1"/>
      <c r="D31" t="s">
        <v>272</v>
      </c>
      <c r="F31" s="1" t="s">
        <v>275</v>
      </c>
      <c r="G31" t="s">
        <v>292</v>
      </c>
    </row>
    <row r="32" spans="1:7" x14ac:dyDescent="0.25">
      <c r="A32" s="1"/>
      <c r="D32" t="s">
        <v>273</v>
      </c>
      <c r="F32" s="1" t="s">
        <v>276</v>
      </c>
      <c r="G32" t="s">
        <v>293</v>
      </c>
    </row>
    <row r="33" spans="1:8" x14ac:dyDescent="0.25">
      <c r="A33" s="1"/>
      <c r="D33" t="s">
        <v>278</v>
      </c>
      <c r="F33" s="1" t="s">
        <v>277</v>
      </c>
      <c r="G33" t="s">
        <v>294</v>
      </c>
    </row>
    <row r="34" spans="1:8" x14ac:dyDescent="0.25">
      <c r="A34" s="1"/>
      <c r="C34" t="s">
        <v>300</v>
      </c>
      <c r="F34" s="1" t="s">
        <v>301</v>
      </c>
      <c r="G34" t="s">
        <v>301</v>
      </c>
    </row>
    <row r="35" spans="1:8" x14ac:dyDescent="0.25">
      <c r="A35" s="1"/>
      <c r="D35" t="s">
        <v>303</v>
      </c>
      <c r="F35" s="1" t="s">
        <v>304</v>
      </c>
      <c r="G35" t="s">
        <v>305</v>
      </c>
    </row>
    <row r="36" spans="1:8" x14ac:dyDescent="0.25">
      <c r="A36" s="1"/>
      <c r="D36" t="s">
        <v>92</v>
      </c>
      <c r="F36" s="1" t="s">
        <v>100</v>
      </c>
      <c r="G36" t="s">
        <v>306</v>
      </c>
    </row>
    <row r="37" spans="1:8" x14ac:dyDescent="0.25">
      <c r="A37" s="1"/>
      <c r="D37" t="s">
        <v>307</v>
      </c>
      <c r="F37" s="1" t="s">
        <v>308</v>
      </c>
      <c r="G37" t="s">
        <v>309</v>
      </c>
    </row>
    <row r="38" spans="1:8" x14ac:dyDescent="0.25">
      <c r="A38" s="1"/>
      <c r="D38" t="s">
        <v>310</v>
      </c>
      <c r="F38" s="1" t="s">
        <v>311</v>
      </c>
      <c r="G38" t="s">
        <v>312</v>
      </c>
    </row>
    <row r="39" spans="1:8" x14ac:dyDescent="0.25">
      <c r="A39" s="1"/>
      <c r="D39" t="s">
        <v>314</v>
      </c>
      <c r="F39" s="1" t="s">
        <v>315</v>
      </c>
      <c r="G39" t="s">
        <v>316</v>
      </c>
    </row>
    <row r="40" spans="1:8" x14ac:dyDescent="0.25">
      <c r="A40" s="1"/>
      <c r="C40" t="s">
        <v>313</v>
      </c>
      <c r="F40" s="1" t="s">
        <v>295</v>
      </c>
      <c r="G40" t="s">
        <v>295</v>
      </c>
    </row>
    <row r="41" spans="1:8" x14ac:dyDescent="0.25">
      <c r="A41" s="1"/>
      <c r="D41" t="s">
        <v>298</v>
      </c>
      <c r="F41" s="1" t="s">
        <v>298</v>
      </c>
      <c r="G41" t="s">
        <v>299</v>
      </c>
      <c r="H41" t="s">
        <v>317</v>
      </c>
    </row>
    <row r="42" spans="1:8" x14ac:dyDescent="0.25">
      <c r="A42" s="1"/>
      <c r="C42" t="s">
        <v>319</v>
      </c>
      <c r="F42" s="1" t="s">
        <v>332</v>
      </c>
      <c r="G42" t="s">
        <v>332</v>
      </c>
    </row>
    <row r="43" spans="1:8" x14ac:dyDescent="0.25">
      <c r="A43" s="1"/>
      <c r="D43" t="s">
        <v>320</v>
      </c>
      <c r="F43" s="1" t="s">
        <v>326</v>
      </c>
      <c r="G43" t="s">
        <v>333</v>
      </c>
    </row>
    <row r="44" spans="1:8" x14ac:dyDescent="0.25">
      <c r="A44" s="1"/>
      <c r="D44" t="s">
        <v>322</v>
      </c>
      <c r="F44" s="1" t="s">
        <v>327</v>
      </c>
      <c r="G44" t="s">
        <v>334</v>
      </c>
    </row>
    <row r="45" spans="1:8" x14ac:dyDescent="0.25">
      <c r="A45" s="1"/>
      <c r="D45" t="s">
        <v>321</v>
      </c>
      <c r="F45" s="1" t="s">
        <v>328</v>
      </c>
      <c r="G45" t="s">
        <v>335</v>
      </c>
    </row>
    <row r="46" spans="1:8" x14ac:dyDescent="0.25">
      <c r="A46" s="1"/>
      <c r="D46" t="s">
        <v>324</v>
      </c>
      <c r="F46" s="1" t="s">
        <v>329</v>
      </c>
      <c r="G46" t="s">
        <v>336</v>
      </c>
    </row>
    <row r="47" spans="1:8" x14ac:dyDescent="0.25">
      <c r="A47" s="1"/>
      <c r="D47" t="s">
        <v>342</v>
      </c>
      <c r="F47" s="1" t="s">
        <v>343</v>
      </c>
      <c r="G47" t="s">
        <v>344</v>
      </c>
    </row>
    <row r="48" spans="1:8" x14ac:dyDescent="0.25">
      <c r="A48" s="1"/>
      <c r="D48" t="s">
        <v>325</v>
      </c>
      <c r="F48" s="1" t="s">
        <v>330</v>
      </c>
      <c r="G48" t="s">
        <v>337</v>
      </c>
    </row>
    <row r="49" spans="1:7" x14ac:dyDescent="0.25">
      <c r="A49" s="1"/>
      <c r="D49" t="s">
        <v>323</v>
      </c>
      <c r="F49" s="1" t="s">
        <v>331</v>
      </c>
      <c r="G49" t="s">
        <v>338</v>
      </c>
    </row>
    <row r="50" spans="1:7" x14ac:dyDescent="0.25">
      <c r="A50" s="1"/>
      <c r="D50" t="s">
        <v>339</v>
      </c>
      <c r="F50" s="1" t="s">
        <v>340</v>
      </c>
      <c r="G50" t="s">
        <v>341</v>
      </c>
    </row>
    <row r="51" spans="1:7" x14ac:dyDescent="0.25">
      <c r="A51" s="1"/>
      <c r="D51" t="s">
        <v>364</v>
      </c>
      <c r="F51" s="1" t="s">
        <v>365</v>
      </c>
      <c r="G51" t="s">
        <v>366</v>
      </c>
    </row>
    <row r="52" spans="1:7" x14ac:dyDescent="0.25">
      <c r="A52" s="1"/>
      <c r="B52" t="s">
        <v>82</v>
      </c>
    </row>
    <row r="53" spans="1:7" x14ac:dyDescent="0.25">
      <c r="A53" s="1"/>
      <c r="B53" t="s">
        <v>79</v>
      </c>
    </row>
    <row r="54" spans="1:7" x14ac:dyDescent="0.25">
      <c r="A54" s="1"/>
      <c r="C54" s="17" t="s">
        <v>76</v>
      </c>
    </row>
    <row r="55" spans="1:7" x14ac:dyDescent="0.25">
      <c r="A55" s="1"/>
      <c r="C55" s="16" t="s">
        <v>77</v>
      </c>
    </row>
    <row r="56" spans="1:7" x14ac:dyDescent="0.25">
      <c r="A56" s="1"/>
      <c r="C56" s="16" t="s">
        <v>78</v>
      </c>
    </row>
    <row r="57" spans="1:7" x14ac:dyDescent="0.25">
      <c r="A57" s="1"/>
      <c r="B57" t="s">
        <v>102</v>
      </c>
      <c r="C57" s="16"/>
    </row>
    <row r="58" spans="1:7" x14ac:dyDescent="0.25">
      <c r="A58" s="1"/>
      <c r="C58" s="16" t="s">
        <v>103</v>
      </c>
    </row>
    <row r="59" spans="1:7" x14ac:dyDescent="0.25">
      <c r="A59" s="1"/>
      <c r="C59" s="16" t="s">
        <v>104</v>
      </c>
    </row>
    <row r="60" spans="1:7" x14ac:dyDescent="0.25">
      <c r="A60" s="1"/>
      <c r="C60" s="16" t="s">
        <v>105</v>
      </c>
    </row>
    <row r="61" spans="1:7" x14ac:dyDescent="0.25">
      <c r="A61" s="1"/>
      <c r="C61" s="16" t="s">
        <v>107</v>
      </c>
    </row>
    <row r="62" spans="1:7" x14ac:dyDescent="0.25">
      <c r="A62" s="1"/>
      <c r="C62" s="16" t="s">
        <v>109</v>
      </c>
    </row>
    <row r="63" spans="1:7" x14ac:dyDescent="0.25">
      <c r="A63" s="1"/>
      <c r="C63" s="16" t="s">
        <v>108</v>
      </c>
    </row>
    <row r="64" spans="1:7" x14ac:dyDescent="0.25">
      <c r="A64" s="1"/>
      <c r="C64" s="16" t="s">
        <v>106</v>
      </c>
    </row>
    <row r="65" spans="2:14" ht="21" customHeight="1" x14ac:dyDescent="0.25">
      <c r="B65" s="19" t="s">
        <v>74</v>
      </c>
    </row>
    <row r="66" spans="2:14" ht="21" customHeight="1" x14ac:dyDescent="0.25">
      <c r="B66" s="59" t="s">
        <v>226</v>
      </c>
    </row>
    <row r="67" spans="2:14" ht="15.75" thickBot="1" x14ac:dyDescent="0.3">
      <c r="C67" s="1" t="s">
        <v>68</v>
      </c>
      <c r="D67" s="1" t="s">
        <v>202</v>
      </c>
      <c r="E67" s="1" t="s">
        <v>203</v>
      </c>
      <c r="F67" s="1" t="s">
        <v>194</v>
      </c>
      <c r="G67" s="1" t="s">
        <v>195</v>
      </c>
      <c r="H67" s="1" t="s">
        <v>196</v>
      </c>
      <c r="I67" s="1" t="s">
        <v>197</v>
      </c>
      <c r="J67" s="1" t="s">
        <v>201</v>
      </c>
      <c r="K67" s="1" t="s">
        <v>204</v>
      </c>
      <c r="L67" s="1" t="s">
        <v>205</v>
      </c>
      <c r="M67" s="1" t="s">
        <v>206</v>
      </c>
      <c r="N67" s="1" t="s">
        <v>222</v>
      </c>
    </row>
    <row r="68" spans="2:14" s="15" customFormat="1" ht="21.75" customHeight="1" thickBot="1" x14ac:dyDescent="0.3">
      <c r="B68" s="49" t="s">
        <v>221</v>
      </c>
      <c r="C68" s="48" t="str">
        <f ca="1">A.Backend!J7</f>
        <v xml:space="preserve">using Abp.Domain.Entities;
using Abp.Domain.Entities.Auditing;
using Microsoft.EntityFrameworkCore;
using System;
using System.ComponentModel.DataAnnotations;
using System.ComponentModel.DataAnnotations.Schema;
namespace prod.Inventory.CPS
{
	[Table("InvCpsRcvShipmentLines")]
	public class InvCpsRcvShipmentLines: FullAuditedEntity&lt;long&gt;, IEntity&lt;long&gt;	
	{
		public const int MaxUnitOfMeasureLength = 25;
		public const int MaxPartNoLength = 255;
		public const int MaxItemDescriptionLength = 240;
		public const int MaxShipmentLineStatusCodeLength = 25;
		public const int MaxIsActiveLength = 1;
		public virtual long? ShipmentHeaderId { get; set; }
		public virtual int? LineNum { get; set; }
		public virtual long? CategoryId { get; set; }
		public virtual decimal? QuantityShipped { get; set; }
		public virtual decimal? QuantityReceived { get; set; }
		[StringLength(MaxUnitOfMeasureLength)]
		public virtual string UnitOfMeasure { get; set; }
		[StringLength(MaxPartNoLength)]
		public virtual string PartNo { get; set; }
		[StringLength(MaxItemDescriptionLength)]
		public virtual string ItemDescription { get; set; }
		public virtual long? ItemId { get; set; }
		[StringLength(MaxShipmentLineStatusCodeLength)]
		public virtual string ShipmentLineStatusCode { get; set; }
		public virtual long? Poheaderid { get; set; }
		public virtual long? PoLineId { get; set; }
		public virtual long? PoLineShipmentId { get; set; }
		public virtual long? EmployeeId { get; set; }
		[StringLength(MaxIsActiveLength)]
		public virtual string IsActive { get; set; }
	}
}
</v>
      </c>
      <c r="D68" s="48" t="str">
        <f>A.Backend!O7</f>
        <v xml:space="preserve">		public const string Pages_Inventory_CPS_RcvShipmentLines = "Pages.Inventory.CPS.RcvShipmentLines";
		public const string Pages_Inventory_CPS_RcvShipmentLines_CreateEdit = "Pages.Inventory.CPS.RcvShipmentLines.CreateEdit";
		public const string Pages_Inventory_CPS_RcvShipmentLines_Delete = "Pages.Inventory.CPS.RcvShipmentLines.Delete";
</v>
      </c>
      <c r="E68" s="48" t="str">
        <f>A.Backend!N7</f>
        <v xml:space="preserve">		var perInvCpsRcvShipmentLines = PARENTS.CreateChildPermission(AppPermissions.Pages_Inventory_CPS_RcvShipmentLines, L( "InventoryCPSRcvShipmentLines"), multiTenancySides: MultiTenancySides.Tenant);
		perInvCpsRcvShipmentLines.CreateChildPermission(AppPermissions.Pages_Inventory_CPS_RcvShipmentLines_CreateEdit, L( "InventoryCPSRcvShipmentLinesCreateEdit"), multiTenancySides: MultiTenancySides.Tenant);
		perInvCpsRcvShipmentLines.CreateChildPermission(AppPermissions.Pages_Inventory_CPS_RcvShipmentLines_Delete, L( "InventoryCPSRcvShipmentLinesDelete"), multiTenancySides: MultiTenancySides.Tenant);</v>
      </c>
      <c r="F68" s="48" t="str">
        <f>A.Backend!K7</f>
        <v>public virtual DbSet&lt;InvCpsRcvShipmentLines&gt; InvCpsRcvShipmentLiness { get; set; }</v>
      </c>
      <c r="G68" s="48" t="str">
        <f ca="1">A.Backend!L7</f>
        <v xml:space="preserve">namespace prod.Inventory.CPS
{
	public class InvCpsRcvShipmentLinesConsts	
	{
		public const int MaxUnitOfMeasureLength = 25;
		public const int MaxPartNoLength = 255;
		public const int MaxItemDescriptionLength = 240;
		public const int MaxShipmentLineStatusCodeLength = 25;
		public const int MaxIsActiveLength = 1;
		// Define Store Name: Format SP_ + &lt;Store Name&gt; = &lt;Store Name&gt;
	}
}
</v>
      </c>
      <c r="H68" s="48" t="str">
        <f ca="1">A.Backend!M7</f>
        <v xml:space="preserve">using Abp.Application.Services.Dto;
using System;
using System.ComponentModel.DataAnnotations;
namespace prod.Inventory.CPS.Dto
{
	public class InvCpsRcvShipmentLinesDto : EntityDto&lt;long?&gt;	
	{
		public virtual long? ShipmentHeaderId { get; set; }
		public virtual int? LineNum { get; set; }
		public virtual long? CategoryId { get; set; }
		public virtual decimal? QuantityShipped { get; set; }
		public virtual decimal? QuantityReceived { get; set; }
		public virtual string UnitOfMeasure { get; set; }
		public virtual string PartNo { get; set; }
		public virtual string ItemDescription { get; set; }
		public virtual long? ItemId { get; set; }
		public virtual string ShipmentLineStatusCode { get; set; }
		public virtual long? Poheaderid { get; set; }
		public virtual long? PoLineId { get; set; }
		public virtual long? PoLineShipmentId { get; set; }
		public virtual long? EmployeeId { get; set; }
		public virtual string IsActive { get; set; }
	}
	public class CreateOrEditInvCpsRcvShipmentLinesDto : EntityDto&lt;long?&gt;	
	{
		public virtual long? ShipmentHeaderId { get; set; }
		public virtual int? LineNum { get; set; }
		public virtual long? CategoryId { get; set; }
		public virtual decimal? QuantityShipped { get; set; }
		public virtual decimal? QuantityReceived { get; set; }
		[StringLength(InvCpsRcvShipmentLinesConsts.MaxUnitOfMeasureLength)]
		public virtual string UnitOfMeasure { get; set; }
		[StringLength(InvCpsRcvShipmentLinesConsts.MaxPartNoLength)]
		public virtual string PartNo { get; set; }
		[StringLength(InvCpsRcvShipmentLinesConsts.MaxItemDescriptionLength)]
		public virtual string ItemDescription { get; set; }
		public virtual long? ItemId { get; set; }
		[StringLength(InvCpsRcvShipmentLinesConsts.MaxShipmentLineStatusCodeLength)]
		public virtual string ShipmentLineStatusCode { get; set; }
		public virtual long? Poheaderid { get; set; }
		public virtual long? PoLineId { get; set; }
		public virtual long? PoLineShipmentId { get; set; }
		public virtual long? EmployeeId { get; set; }
		[StringLength(InvCpsRcvShipmentLinesConsts.MaxIsActiveLength)]
		public virtual string IsActive { get; set; }
	}
	public class GetInvCpsRcvShipmentLinesInput : PagedAndSortedResultRequestDto	
	{
		public virtual string UnitOfMeasure { get; set; }
		public virtual string PartNo { get; set; }
		public virtual string ItemDescription { get; set; }
		public virtual string ShipmentLineStatusCode { get; set; }
		public virtual string IsActive { get; set; }
	}
}
</v>
      </c>
      <c r="I68" s="48" t="str">
        <f ca="1">A.Backend!R7</f>
        <v xml:space="preserve">using Abp.Application.Services.Dto;
using System;
using System.ComponentModel.DataAnnotations;
namespace prod.Inventory.CPS.Dto
{
	public class InvCpsRcvShipmentLinesExportInput{
		public virtual long? ShipmentHeaderId { get; set; }
		public virtual int? LineNum { get; set; }
		public virtual long? CategoryId { get; set; }
		public virtual decimal? QuantityShipped { get; set; }
		public virtual decimal? QuantityReceived { get; set; }
		public virtual string UnitOfMeasure { get; set; }
		public virtual string PartNo { get; set; }
		public virtual string ItemDescription { get; set; }
		public virtual long? ItemId { get; set; }
		public virtual string ShipmentLineStatusCode { get; set; }
		public virtual long? Poheaderid { get; set; }
		public virtual long? PoLineId { get; set; }
		public virtual long? PoLineShipmentId { get; set; }
		public virtual long? EmployeeId { get; set; }
		public virtual string IsActive { get; set; }
	}
}
</v>
      </c>
      <c r="J68" s="48" t="str">
        <f>A.Backend!P7</f>
        <v xml:space="preserve">using Abp.Application.Services;
using Abp.Application.Services.Dto;
using System.Collections.Generic;using vovina.Dto;
using System.Threading.Tasks;
using vovina.Inventory.CPS.Dto;
namespace prod.Inventory.CPS
{
	public interface IInvCpsRcvShipmentLinesAppService : IApplicationService
	{
		Task&lt;PagedResultDto&lt;InvCpsRcvShipmentLinesDto&gt;&gt; GetAll(GetInvCpsRcvShipmentLinesInput input);
		Task CreateOrEdit(CreateOrEditInvCpsRcvShipmentLinesDto input);
		Task Delete(EntityDto input);
	}
}
</v>
      </c>
      <c r="K68" s="48" t="str">
        <f>A.Backend!S7</f>
        <v xml:space="preserve">using Abp.Application.Services;
using Abp.Application.Services.Dto;
using System.Collections.Generic;using vovina.Dto;
using System.Threading.Tasks;
using vovina.Inventory.CPS.Dto;
namespace prod.Inventory.CPS.Exporting
{
	public interface IInvCpsRcvShipmentLinesExcelExporter : IApplicationService
	{
		FileDto ExportToFile(List&lt;InvCpsRcvShipmentLinesDto&gt; invcpsrcvshipmentlines);
	}
}
</v>
      </c>
      <c r="L68" s="48" t="str">
        <f ca="1">A.Backend!T7</f>
        <v>using System.Collections.Generic;
using vovina.DataExporting.Excel.NPOI;
using vovina.Dto;
using vovina.Inventory.CPS.Exporting;
using vovina.Inventory.CPS.Dto;
using vovina.Storage;
using vovina.Inventory.CPS.Dto;
namespace vovina.Inventory.CPS.Exporting
{
    public class InvCpsRcvShipmentLinesExcelExporter : NpoiExcelExporterBase, IInvCpsRcvShipmentLinesExcelExporter
    {
        public InvCpsRcvShipmentLinesExcelExporter(ITempFileCacheManager tempFileCacheManager) : base(tempFileCacheManager) { }
        public FileDto ExportToFile(List&lt;InvCpsRcvShipmentLinesDto&gt; rcvshipmentlines)
        {
            return CreateExcelPackage(
				"InventoryCPSRcvShipmentLines.xlsx",
				excelPackage =&gt;
				 {
					var sheet = excelPackage.CreateSheet("RcvShipmentLines");
					AddHeader(
								sheet,
								("ShipmentHeaderId"),
								("LineNum"),
								("CategoryId"),
								("QuantityShipped"),
								("QuantityReceived"),
								("UnitOfMeasure"),
								("PartNo"),
								("ItemDescription"),
								("ItemId"),
								("ShipmentLineStatusCode"),
								("Poheaderid"),
								("PoLineId"),
								("PoLineShipmentId"),
								("EmployeeId"),
								("IsActive"),
							   );
					AddObjects(
						 sheet, 1, rcvshipmentlines,                                       
								_ =&gt; _.ShipmentHeaderId,
								_ =&gt; _.LineNum,
								_ =&gt; _.CategoryId,
								_ =&gt; _.QuantityShipped,
								_ =&gt; _.QuantityReceived,
								_ =&gt; _.UnitOfMeasure,
								_ =&gt; _.PartNo,
								_ =&gt; _.ItemDescription,
								_ =&gt; _.ItemId,
								_ =&gt; _.ShipmentLineStatusCode,
								_ =&gt; _.Poheaderid,
								_ =&gt; _.PoLineId,
								_ =&gt; _.PoLineShipmentId,
								_ =&gt; _.EmployeeId,
								_ =&gt; _.IsActive,
								);
			for (var i = 0; i &lt; 8; i++)
				{
					sheet.AutoSizeColumn(i);
				}
			});
        }
    }
}</v>
      </c>
      <c r="M68" s="55" t="str">
        <f ca="1">A.Backend!Q7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vovina.Inventory.CPS.Dto;
using vovina.Inventory.CPS.Exporting;
namespace vovina.Inventory.CPS
{
    [AbpAuthorize(AppPermissions.Pages_Inventory_CPS_RcvShipmentLines)]
    public class InvCpsRcvShipmentLinesAppService : vovinaAppServiceBase, IInvCpsRcvShipmentLinesAppService
    {
        private readonly IDapperRepository&lt;InvCpsRcvShipmentLines, long&gt; _dapperRepo;
        private readonly IRepository&lt;InvCpsRcvShipmentLines, long&gt; _repo;
        private readonly IInvCpsRcvShipmentLinesExcelExporter _calendarListExcelExporter;
        public InvCpsRcvShipmentLinesAppService(IRepository&lt;InvCpsRcvShipmentLines,long&gt; repo, 
                                         IDapperRepository&lt;InvCpsRcvShipmentLines,long&gt; dapperRepo,
                                        IInvCpsRcvShipmentLinesExcelExporter calendarListExcelExporter
            )
        {
            _repo = repo;
            _dapperRepo = dapperRepo;
            _calendarListExcelExporter = calendarListExcelExporter;
        }
        [AbpAuthorize(AppPermissions.Pages_Inventory_CPS_RcvShipmentLines_CreateEdit)]
        public async Task CreateOrEdit(CreateOrEditInvCpsRcvShipmentLinesDto input)
        {
            if (input.Id == null) await Create(input);
            else await Update(input);
        }
        //CREATE
        private async Task Create(CreateOrEditInvCpsRcvShipmentLinesDto input)
        {          
            var mainObj = ObjectMapper.Map&lt;InvCpsRcvShipmentLines&gt;(input);
            await CurrentUnitOfWork.GetDbContext&lt;vovinaDbContext&gt;().AddAsync(mainObj);
        }
        // EDIT
        private async Task Update(CreateOrEditInvCpsRcvShipmentLinesDto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[AbpAuthorize(AppPermissions.Pages_Inventory_CPS_RcvShipmentLines_Delete)]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Task&lt;PagedResultDto&lt;InvCpsRcvShipmentLinesDto&gt;&gt; GetAll(GetInvCpsRcvShipmentLinesInput input)
        {
            var filtered = _repo.GetAll()
				.WhereIf(!string.IsNullOrWhiteSpace(input.UnitOfMeasure), e =&gt; e.UnitOfMeasure.Contains(input.UnitOfMeasure))
				.WhereIf(!string.IsNullOrWhiteSpace(input.PartNo), e =&gt; e.PartNo.Contains(input.PartNo))
				.WhereIf(!string.IsNullOrWhiteSpace(input.ItemDescription), e =&gt; e.ItemDescription.Contains(input.ItemDescription))
				.WhereIf(!string.IsNullOrWhiteSpace(input.ShipmentLineStatusCode), e =&gt; e.ShipmentLineStatusCode.Contains(input.ShipmentLineStatusCode))
				.WhereIf(!string.IsNullOrWhiteSpace(input.IsActive), e =&gt; e.IsActive.Contains(input.IsActive))                   
				;
            var pageAndFiltered = filtered.OrderBy(s =&gt; s.Id);
            var system = from o in pageAndFiltered
                         select new InvCpsRcvShipmentLinesDto
                        {
							Id = o.Id,
							ShipmentHeaderId = o.ShipmentHeaderId,
							LineNum = o.LineNum,
							CategoryId = o.CategoryId,
							QuantityShipped = o.QuantityShipped,
							QuantityReceived = o.QuantityReceived,
							UnitOfMeasure = o.UnitOfMeasure,
							PartNo = o.PartNo,
							ItemDescription = o.ItemDescription,
							ItemId = o.ItemId,
							ShipmentLineStatusCode = o.ShipmentLineStatusCode,
							Poheaderid = o.Poheaderid,
							PoLineId = o.PoLineId,
							PoLineShipmentId = o.PoLineShipmentId,
							EmployeeId = o.EmployeeId,
							IsActive = o.IsActive,
                        };
            var totalCount = await filtered.CountAsync();
			var paged = system.PageBy(input);
            return new PagedResultDto&lt;InvCpsRcvShipmentLinesDto&gt;(
                totalCount,
                 await paged.ToListAsync()
            );
        }
        public async Task&lt;FileDto&gt; GetRcvShipmentLinesToExcel(InvCpsRcvShipmentLinesExportInput input)
        {
            var query = from o in _repo.GetAll()
                        select new InvCpsRcvShipmentLinesDto
                        {
							Id = o.Id,
							ShipmentHeaderId = o.ShipmentHeaderId,
							LineNum = o.LineNum,
							CategoryId = o.CategoryId,
							QuantityShipped = o.QuantityShipped,
							QuantityReceived = o.QuantityReceived,
							UnitOfMeasure = o.UnitOfMeasure,
							PartNo = o.PartNo,
							ItemDescription = o.ItemDescription,
							ItemId = o.ItemId,
							ShipmentLineStatusCode = o.ShipmentLineStatusCode,
							Poheaderid = o.Poheaderid,
							PoLineId = o.PoLineId,
							PoLineShipmentId = o.PoLineShipmentId,
							EmployeeId = o.EmployeeId,
							IsActive = o.IsActive,
                        };
            var exportToExcel = await query.ToListAsync();
            return _calendarListExcelExporter.ExportToFile(exportToExcel);
        }
       // public async Task GenerateAsync()
      //  {
        //    await _dapperRepo.ExecuteAsync(InvCpsRcvShipmentLinesConsts.SP_MST_WPT_CALENDAR_GENERATE);
       // }
    }
}</v>
      </c>
      <c r="N68" s="58" t="str">
        <f>A.Backend!U7</f>
        <v xml:space="preserve">  configuration.CreateMap&lt;InvCpsRcvShipmentLinesDto, InvCpsRcvShipmentLines&gt;();
  configuration.CreateMap&lt;InvCpsRcvShipmentLines, InvCpsRcvShipmentLinesDto&gt;();
  configuration.CreateMap&lt;CreateOrEditInvCpsRcvShipmentLinesDto, InvCpsRcvShipmentLines&gt;();</v>
      </c>
    </row>
    <row r="69" spans="2:14" s="15" customFormat="1" ht="21.75" customHeight="1" x14ac:dyDescent="0.25">
      <c r="C69" s="60"/>
      <c r="H69" s="61"/>
      <c r="I69" s="61"/>
      <c r="M69" s="61"/>
    </row>
    <row r="70" spans="2:14" s="15" customFormat="1" ht="21.75" customHeight="1" x14ac:dyDescent="0.25"/>
    <row r="71" spans="2:14" s="15" customFormat="1" ht="21.75" customHeight="1" x14ac:dyDescent="0.25"/>
    <row r="72" spans="2:14" x14ac:dyDescent="0.25">
      <c r="B72" s="1" t="s">
        <v>69</v>
      </c>
    </row>
    <row r="73" spans="2:14" ht="21" x14ac:dyDescent="0.35">
      <c r="B73" t="str">
        <f>B.Frontend!B8</f>
        <v>rcvshipmentlines</v>
      </c>
      <c r="C73" s="66" t="str">
        <f>"create folder " &amp;B73</f>
        <v>create folder rcvshipmentlines</v>
      </c>
      <c r="D73" s="66"/>
      <c r="E73" s="66"/>
      <c r="F73" s="66"/>
      <c r="G73" s="66"/>
      <c r="H73" s="66"/>
      <c r="I73" s="66"/>
      <c r="J73" s="66"/>
      <c r="K73" s="67" t="s">
        <v>223</v>
      </c>
      <c r="L73" s="67"/>
      <c r="M73" s="28"/>
    </row>
    <row r="74" spans="2:14" s="26" customFormat="1" ht="18" customHeight="1" x14ac:dyDescent="0.25">
      <c r="B74" s="56" t="s">
        <v>224</v>
      </c>
      <c r="C74" s="28" t="str">
        <f>B.Frontend!H14</f>
        <v>rcvshipmentlines.component.ts</v>
      </c>
      <c r="D74" s="28" t="str">
        <f>B.Frontend!I14</f>
        <v>rcvshipmentlines.component.html</v>
      </c>
      <c r="E74" s="28" t="str">
        <f>B.Frontend!J14</f>
        <v>rcvshipmentlines.component.less</v>
      </c>
      <c r="F74" s="28" t="str">
        <f>B.Frontend!K14</f>
        <v>create-or-edit-rcvshipmentlines-modal.component.html</v>
      </c>
      <c r="G74" s="28" t="str">
        <f>B.Frontend!L14</f>
        <v>create-or-edit-rcvshipmentlines-modal.component.ts</v>
      </c>
      <c r="H74" s="28" t="str">
        <f>B.Frontend!M14</f>
        <v>create-or-edit-rcvshipmentlines-modal.component.less</v>
      </c>
      <c r="I74" s="28" t="str">
        <f>B.Frontend!N14</f>
        <v>rcvshipmentlines.module.ts</v>
      </c>
      <c r="J74" s="28" t="str">
        <f>B.Frontend!O14</f>
        <v>rcvshipmentlines-routing.module.ts</v>
      </c>
      <c r="K74" s="28" t="str">
        <f>B.Frontend!P14</f>
        <v>app.navigation.service.ts</v>
      </c>
      <c r="L74" s="28" t="str">
        <f>B.Frontend!Q14</f>
        <v>main.routing.module.ts</v>
      </c>
      <c r="M74" s="56" t="s">
        <v>227</v>
      </c>
    </row>
    <row r="75" spans="2:14" ht="21.75" customHeight="1" x14ac:dyDescent="0.25">
      <c r="B75" s="57" t="s">
        <v>221</v>
      </c>
      <c r="C75" s="46" t="str">
        <f ca="1">B.Frontend!H10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InvCpsRcvShipmentLinesDto, InvCpsRcvShipmentLinesServiceProxy } from '@shared/service-proxies/service-proxies';
import { finalize } from 'rxjs/internal/operators/finalize';
import { CreateOrEditRcvShipmentLinesModalComponent } from './create-or-edit-rcvshipmentlines-modal.component';
import { DatePipe } from '@angular/common';
import { FileDownloadService } from '@shared/utils/file-download.service';
import ceil from 'lodash-es/ceil';
import { Paginator } from 'primeng/paginator';
@Component({
    templateUrl: './rcvshipmentlines.component.html',
    styleUrls: ['./rcvshipmentlines.component.less'],
})
export class RcvShipmentLinesComponent extends AppComponentBase implements OnInit {
    @ViewChild('createOrEditModalRcvShipmentLines', { static: true }) createOrEditModalRcvShipmentLines:| CreateOrEditRcvShipmentLinesModalComponent|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InvCpsRcvShipmentLinesDto = new InvCpsRcvShipmentLinesDto();
    saveSelectedRow: InvCpsRcvShipmentLinesDto = new InvCpsRcvShipmentLinesDto();
    datas: InvCpsRcvShipmentLinesDto = new InvCpsRcvShipmentLinesDto();
    isLoading: boolean = false;
    dataParams: GridParams | undefined;
    rowData: any[] = [];
    gridApi!: GridApi;
    rowSelection = 'multiple';
    filter: string = '';
	pipe = new DatePipe('en-US');
	frameworkComponents: FrameworkComponent;
    	unitOfMeasure : string = '' ; 
	partNo : string = '' ; 
	itemDescription : string = '' ; 
	shipmentLineStatusCode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InvCpsRcvShipmentLinesServiceProxy,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this.l('Shipment Header Id'),headerTooltip: this.l('Shipment Header Id'),field: 'shipmentHeaderId',flex: 1},
			{headerName: this.l('Line Num'),headerTooltip: this.l('Line Num'),field: 'lineNum',flex: 1},
			{headerName: this.l('Category Id'),headerTooltip: this.l('Category Id'),field: 'categoryId',flex: 1},
			{headerName: this.l('Quantity Shipped'),headerTooltip: this.l('Quantity Shipped'),field: 'quantityShipped',flex: 1},
			{headerName: this.l('Quantity Received'),headerTooltip: this.l('Quantity Received'),field: 'quantityReceived',flex: 1},
			{headerName: this.l('Unit Of Measure'),headerTooltip: this.l('Unit Of Measure'),field: 'unitOfMeasure',flex: 1},
			{headerName: this.l('Part No'),headerTooltip: this.l('Part No'),field: 'partNo',flex: 1},
			{headerName: this.l('Item Description'),headerTooltip: this.l('Item Description'),field: 'itemDescription',flex: 1},
			{headerName: this.l('Item Id'),headerTooltip: this.l('Item Id'),field: 'itemId',flex: 1},
			{headerName: this.l('Shipment Line Status Code'),headerTooltip: this.l('Shipment Line Status Code'),field: 'shipmentLineStatusCode',flex: 1},
			{headerName: this.l('Poheaderid'),headerTooltip: this.l('Poheaderid'),field: 'poheaderid',flex: 1},
			{headerName: this.l('Po Line Id'),headerTooltip: this.l('Po Line Id'),field: 'poLineId',flex: 1},
			{headerName: this.l('Po Line Shipment Id'),headerTooltip: this.l('Po Line Shipment Id'),field: 'poLineShipmentId',flex: 1},
			{headerName: this.l('Employee Id'),headerTooltip: this.l('Employee Id'),field: 'employeeId',flex: 1},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this.quantityReceived,
			this.unitOfMeasure,
			this.partNo,
			this.itemId,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	unitOfMeasure : string = '' ; 
	partNo : string = '' ; 
	itemDescription : string = '' ; 
	shipmentLineStatusCode : string = '' ; 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this.quantityReceived,
			this.unitOfMeasure,
			this.partNo,
			this.itemId,
			'',
            this.paginationParams.skipCount,
            this.paginationParams.pageSize
        );
    }
    onChangeRowSelection(params: { api: { getSelectedRows: () =&gt; InvCpsRcvShipmentLinesDto[] } }) {
        this.saveSelectedRow = params.api.getSelectedRows()[0] ?? new InvCpsRcvShipmentLinesDto();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InvCpsRcvShipmentLinesDto):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this._service.getRcvShipmentLinesToExcel(
			this.quantityReceived,
			this.unitOfMeasure,
			this.partNo,
			this.itemId,
            )
            .subscribe((result) =&gt; {
                this._fileDownloadService.downloadTempFile(result);
        });
    }
}</v>
      </c>
      <c r="D75" s="46" t="str">
        <f ca="1">B.Frontend!I10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Cps Rcv ShipmentLines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[(ngModel)]='unitOfMeasure' name='unitOfMeasure'
									class='form-control' [placeholder]="l('Unit Of Measure')"
									type='text' (keyup.enter)='searchDatas()'&gt;
								&lt;/div&gt;
								&lt;div class='input-search'&gt;
									&lt;input [(ngModel)]='partNo' name='partNo'
									class='form-control' [placeholder]="l('Part No')"
									type='text' (keyup.enter)='searchDatas()'&gt;
								&lt;/div&gt;
								&lt;div class='input-search'&gt;
									&lt;input [(ngModel)]='itemDescription' name='itemDescription'
									class='form-control' [placeholder]="l('Item Description')"
									type='text' (keyup.enter)='searchDatas()'&gt;
								&lt;/div&gt;
								&lt;div class='input-search'&gt;
									&lt;input [(ngModel)]='shipmentLineStatusCode' name='shipmentLineStatusCode'
									class='form-control' [placeholder]="l('Shipment Line Status Code')"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(click)="createOrEditModalRcvShipmentLines.show()"&gt;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(click)="createOrEditModalRcvShipmentLines.show(selectedRow)"&gt;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&lt;create-or-edit-rcvshipmentlines-modal
    #createOrEditModalRcvShipmentLines
    (modalSave)="callBackDataGrid(dataParams)"
    (modalClose)="onChangeRowSelection(dataParams)"
&gt;
&lt;/create-or-edit-rcvshipmentlines-modal&gt;</v>
      </c>
      <c r="E75" s="46" t="str">
        <f>B.Frontend!J10</f>
        <v>.input-search{
    width: 250px;
    border-radius: 10px;
    margin-left: 10px;
}
.btn-search{
    width: 50px;
    margin-left: 10px;
}</v>
      </c>
      <c r="F75" s="46" t="str">
        <f ca="1">B.Frontend!K10</f>
        <v>&lt;div bsModal #createOrEditModalRcvShipmentLines="bs-modal"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RcvShipmentLines')}}&lt;/h3&gt;
                    &lt;h3 *ngIf="!rowdata.id"&gt;{{('Create New RcvShipmentLines')}}&lt;/h3&gt;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title'&gt;Shipment Header Id&lt;/label&gt;
						&lt;input type='number' class='col-md-10 form-control input-text' name='ShipmentHeaderId' [(ngModel)]='rowdata.shipmentHeaderId'&gt;
					&lt;/div&gt;
					&lt;div class='col-md-12 form-group row'&gt;
						&lt;label class='col-md-2 form-control title'&gt;Line Num&lt;/label&gt;
						&lt;input type='number' class='col-md-10 form-control input-text' name='LineNum' [(ngModel)]='rowdata.lineNum'&gt;
					&lt;/div&gt;
					&lt;div class='col-md-12 form-group row'&gt;
						&lt;label class='col-md-2 form-control title'&gt;Category Id&lt;/label&gt;
						&lt;input type='number' class='col-md-10 form-control input-text' name='CategoryId' [(ngModel)]='rowdata.categoryId'&gt;
					&lt;/div&gt;
					&lt;div class='col-md-12 form-group row'&gt;
						&lt;label class='col-md-2 form-control title'&gt;Unit Of Measure&lt;/label&gt;
						&lt;input type='text' class='col-md-10 form-control input-text' name='UnitOfMeasure' [(ngModel)]='rowdata.unitOfMeasure'&gt;
					&lt;/div&gt;
					&lt;div class='col-md-12 form-group row'&gt;
						&lt;label class='col-md-2 form-control title'&gt;Part No&lt;/label&gt;
						&lt;input type='text' class='col-md-10 form-control input-text' name='PartNo' [(ngModel)]='rowdata.partNo'&gt;
					&lt;/div&gt;
					&lt;div class='col-md-12 form-group row'&gt;
						&lt;label class='col-md-2 form-control title'&gt;Item Description&lt;/label&gt;
						&lt;input type='text' class='col-md-10 form-control input-text' name='ItemDescription' [(ngModel)]='rowdata.itemDescription'&gt;
					&lt;/div&gt;
					&lt;div class='col-md-12 form-group row'&gt;
						&lt;label class='col-md-2 form-control title'&gt;Item Id&lt;/label&gt;
						&lt;input type='number' class='col-md-10 form-control input-text' name='ItemId' [(ngModel)]='rowdata.itemId'&gt;
					&lt;/div&gt;
					&lt;div class='col-md-12 form-group row'&gt;
						&lt;label class='col-md-2 form-control title'&gt;Shipment Line Status Code&lt;/label&gt;
						&lt;input type='text' class='col-md-10 form-control input-text' name='ShipmentLineStatusCode' [(ngModel)]='rowdata.shipmentLineStatusCode'&gt;
					&lt;/div&gt;
					&lt;div class='col-md-12 form-group row'&gt;
						&lt;label class='col-md-2 form-control title'&gt;Poheaderid&lt;/label&gt;
						&lt;input type='number' class='col-md-10 form-control input-text' name='Poheaderid' [(ngModel)]='rowdata.poheaderid'&gt;
					&lt;/div&gt;
					&lt;div class='col-md-12 form-group row'&gt;
						&lt;label class='col-md-2 form-control title'&gt;Po Line Id&lt;/label&gt;
						&lt;input type='number' class='col-md-10 form-control input-text' name='PoLineId' [(ngModel)]='rowdata.poLineId'&gt;
					&lt;/div&gt;
					&lt;div class='col-md-12 form-group row'&gt;
						&lt;label class='col-md-2 form-control title'&gt;Po Line Shipment Id&lt;/label&gt;
						&lt;input type='number' class='col-md-10 form-control input-text' name='PoLineShipmentId' [(ngModel)]='rowdata.poLineShipmentId'&gt;
					&lt;/div&gt;
					&lt;div class='col-md-12 form-group row'&gt;
						&lt;label class='col-md-2 form-control title'&gt;Employee Id&lt;/label&gt;
						&lt;input type='number' class='col-md-10 form-control input-text' name='EmployeeId' [(ngModel)]='rowdata.employeeId'&gt;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G75" s="46" t="str">
        <f ca="1">B.Frontend!L10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CreateOrEditInvCpsRcvShipmentLinesDto, InvCpsRcvShipmentLinesServiceProxy } from '@shared/service-proxies/service-proxies';
import { BsDatepickerDirective } from 'ngx-bootstrap/datepicker';
@Component({
    selector: 'create-or-edit-rcvshipmentlines-modal',
    templateUrl: './create-or-edit-rcvshipmentlines-modal.component.html',
    styleUrls: ['./create-or-edit-rcvshipmentlines-modal.component.less']
    })
export class CreateOrEditRcvShipmentLinesModalComponent extends AppComponentBase {
    @ViewChild('createOrEditModalRcvShipmentLines',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CreateOrEditInvCpsRcvShipmentLinesDto = new CreateOrEditInvCpsRcvShipmentLinesDto();
    active: boolean = false;
    saving: boolean = false;
    _isActive: boolean;
    constructor(
        injector: Injector,
        private _mstwptRcvShipmentLinesService: InvCpsRcvShipmentLinesServiceProxy,
    ) 
    {
        super(injector);
    }
    show(rowdata?: CreateOrEditInvCpsRcvShipmentLinesDto): void {
        if (!rowdata) this.rowdata = new CreateOrEditInvCpsRcvShipmentLinesDto();
        else this.rowdata = rowdata;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this._mstwptRcvShipmentLinesService.createOrEdit(this.rowdata)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H75" s="46" t="str">
        <f>B.Frontend!M10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I75" s="46" t="str">
        <f>B.Frontend!N10</f>
        <v>import {NgModule} from '@angular/core';
import {AppSharedModule} from '@app/shared/app-shared.module';
import { RcvShipmentLinesRoutingModule } from './rcvshipmentlines-routing.module';
import { RcvShipmentLinesComponent } from './rcvshipmentlines.component';
import { CreateOrEditRcvShipmentLinesModalComponent } from './create-or-edit-rcvshipmentlines-modal.component';
@NgModule({
    declarations: [
       RcvShipmentLinesComponent, 
        CreateOrEditRcvShipmentLinesModalComponent
    ],
    imports: [
        AppSharedModule, RcvShipmentLinesRoutingModule]
})
export class RcvShipmentLinesModule {}</v>
      </c>
      <c r="J75" s="46" t="str">
        <f>B.Frontend!O10</f>
        <v>import {NgModule} from '@angular/core';
import {RouterModule, Routes} from '@angular/router';
import { RcvShipmentLinesComponent } from './rcvshipmentlines.component';
const routes: Routes = [{
    path: '',
    component: RcvShipmentLinesComponent,
    pathMatch: 'full'
}];
@NgModule({
    imports: [RouterModule.forChild(routes)],
    exports: [RouterModule],
})
export class RcvShipmentLinesRoutingModule {}</v>
      </c>
      <c r="K75" s="46" t="str">
        <f>B.Frontend!P10</f>
        <v xml:space="preserve"> new AppMenuItem("RcvShipmentLines", "Pages.Inventory.CPS.RcvShipmentLines", "flaticon-book",   "/app/main/inventory/cps/rcvshipmentlines"),</v>
      </c>
      <c r="L75" s="47" t="str">
        <f>B.Frontend!Q10</f>
        <v>{
    path: 'inventory/cps/rcvshipmentlines',
    loadChildren: () =&gt; import('./inventory/cps/rcvshipmentlines/rcvshipmentlines.module').then(m =&gt; m.RcvShipmentLinesModule),
    data: { permission: 'Pages.Inventory.CPS.RcvShipmentLines' }
},</v>
      </c>
      <c r="M75" s="45" t="str">
        <f>B.Frontend!R10</f>
        <v>ApiServiceProxies.InvCpsRcvShipmentLinesServiceProxy,</v>
      </c>
    </row>
    <row r="77" spans="2:14" x14ac:dyDescent="0.25">
      <c r="B77" s="1" t="s">
        <v>71</v>
      </c>
    </row>
  </sheetData>
  <mergeCells count="2">
    <mergeCell ref="C73:J73"/>
    <mergeCell ref="K73:L73"/>
  </mergeCell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W25"/>
  <sheetViews>
    <sheetView tabSelected="1" workbookViewId="0">
      <pane xSplit="1" topLeftCell="B1" activePane="topRight" state="frozen"/>
      <selection pane="topRight" activeCell="B2" sqref="B2"/>
    </sheetView>
  </sheetViews>
  <sheetFormatPr defaultColWidth="9.140625" defaultRowHeight="15" x14ac:dyDescent="0.25"/>
  <cols>
    <col min="1" max="1" width="20.85546875" style="7" customWidth="1"/>
    <col min="2" max="2" width="20.42578125" style="8" customWidth="1"/>
    <col min="3" max="3" width="19.42578125" style="7" customWidth="1"/>
    <col min="4" max="4" width="23.42578125" style="7" customWidth="1"/>
    <col min="5" max="5" width="14.42578125" style="7" customWidth="1"/>
    <col min="6" max="6" width="14.85546875" style="7" customWidth="1"/>
    <col min="7" max="7" width="17.28515625" style="7" bestFit="1" customWidth="1"/>
    <col min="8" max="8" width="15" style="7" customWidth="1"/>
    <col min="9" max="9" width="16" style="7" customWidth="1"/>
    <col min="10" max="10" width="15.85546875" style="7" customWidth="1"/>
    <col min="11" max="11" width="16" style="7" customWidth="1"/>
    <col min="12" max="12" width="16.7109375" style="7" customWidth="1"/>
    <col min="13" max="13" width="17.42578125" style="7" customWidth="1"/>
    <col min="14" max="14" width="16.140625" style="7" customWidth="1"/>
    <col min="15" max="15" width="14.7109375" style="7" customWidth="1"/>
    <col min="16" max="16" width="16" style="7" customWidth="1"/>
    <col min="17" max="17" width="15.7109375" style="7" customWidth="1"/>
    <col min="18" max="18" width="19.42578125" style="7" customWidth="1"/>
    <col min="19" max="19" width="20.42578125" style="7" customWidth="1"/>
    <col min="20" max="20" width="17" style="7" customWidth="1"/>
    <col min="21" max="21" width="14" style="7" customWidth="1"/>
    <col min="22" max="22" width="15.140625" style="7" customWidth="1"/>
    <col min="23" max="23" width="27.85546875" style="8" customWidth="1"/>
    <col min="24" max="16384" width="9.140625" style="7"/>
  </cols>
  <sheetData>
    <row r="1" spans="1:23" s="10" customFormat="1" ht="14.25" customHeight="1" x14ac:dyDescent="0.25">
      <c r="A1" s="1" t="s">
        <v>11</v>
      </c>
      <c r="B1" s="9" t="s">
        <v>67</v>
      </c>
      <c r="C1" s="9" t="s">
        <v>50</v>
      </c>
      <c r="D1" s="9" t="str">
        <f>"using Abp.Application.Services;
using Abp.Application.Services.Dto;
using System.Collections.Generic;using vovina.Dto;
using System.Threading.Tasks;
"&amp;"using vovina."&amp;B2&amp;".Dto;"</f>
        <v>using Abp.Application.Services;
using Abp.Application.Services.Dto;
using System.Collections.Generic;using vovina.Dto;
using System.Threading.Tasks;
using vovina.Inventory.CPS.Dto;</v>
      </c>
      <c r="E1" s="9" t="s">
        <v>261</v>
      </c>
      <c r="F1" s="10" t="s">
        <v>234</v>
      </c>
      <c r="H1" s="10" t="s">
        <v>235</v>
      </c>
      <c r="J1" s="10" t="s">
        <v>236</v>
      </c>
      <c r="L1" s="10" t="s">
        <v>237</v>
      </c>
      <c r="M1" s="10" t="s">
        <v>238</v>
      </c>
      <c r="N1" s="10" t="s">
        <v>239</v>
      </c>
      <c r="O1" s="10" t="s">
        <v>240</v>
      </c>
      <c r="T1" s="9" t="s">
        <v>253</v>
      </c>
      <c r="U1" s="9" t="s">
        <v>225</v>
      </c>
      <c r="W1" s="9"/>
    </row>
    <row r="2" spans="1:23" s="10" customFormat="1" x14ac:dyDescent="0.25">
      <c r="A2" s="1" t="s">
        <v>12</v>
      </c>
      <c r="B2" s="27" t="s">
        <v>380</v>
      </c>
      <c r="C2" s="13" t="s">
        <v>37</v>
      </c>
      <c r="D2" s="13" t="s">
        <v>38</v>
      </c>
      <c r="E2" s="13" t="s">
        <v>39</v>
      </c>
      <c r="F2" s="13" t="s">
        <v>47</v>
      </c>
      <c r="G2" s="13" t="s">
        <v>45</v>
      </c>
      <c r="H2" s="13" t="s">
        <v>48</v>
      </c>
      <c r="I2" s="13" t="s">
        <v>42</v>
      </c>
      <c r="J2" s="13" t="s">
        <v>49</v>
      </c>
      <c r="K2" s="13" t="s">
        <v>51</v>
      </c>
      <c r="L2" s="13" t="s">
        <v>58</v>
      </c>
      <c r="M2" s="13" t="s">
        <v>57</v>
      </c>
      <c r="N2" s="13" t="s">
        <v>61</v>
      </c>
      <c r="O2" s="13" t="s">
        <v>81</v>
      </c>
      <c r="T2" s="10" t="s">
        <v>241</v>
      </c>
      <c r="V2" s="10" t="s">
        <v>242</v>
      </c>
      <c r="W2" s="9" t="s">
        <v>252</v>
      </c>
    </row>
    <row r="3" spans="1:23" s="10" customFormat="1" ht="33" customHeight="1" x14ac:dyDescent="0.25">
      <c r="A3" s="1" t="s">
        <v>5</v>
      </c>
      <c r="B3" s="27" t="s">
        <v>361</v>
      </c>
      <c r="C3" s="9" t="s">
        <v>40</v>
      </c>
      <c r="D3" s="9" t="s">
        <v>41</v>
      </c>
      <c r="E3" s="9" t="s">
        <v>36</v>
      </c>
      <c r="F3" s="10" t="str">
        <f>"J"&amp;COUNTA($A:$A)</f>
        <v>J23</v>
      </c>
      <c r="G3" s="4" t="s">
        <v>53</v>
      </c>
      <c r="H3" s="9" t="str">
        <f>"I"&amp;COUNTA($A:$A)</f>
        <v>I23</v>
      </c>
      <c r="I3" s="9" t="str">
        <f>REPT(CHAR(9),2)&amp;"[Required]"&amp;"
"</f>
        <v xml:space="preserve">		[Required]
</v>
      </c>
      <c r="J3" s="10" t="str">
        <f>"L"&amp;COUNTA($A:$A)</f>
        <v>L23</v>
      </c>
      <c r="K3" s="5" t="s">
        <v>52</v>
      </c>
      <c r="L3" s="10" t="str">
        <f>"M"&amp;COUNTA($A:$A)</f>
        <v>M23</v>
      </c>
      <c r="M3" s="10" t="str">
        <f>"N"&amp;COUNTA($A:$A)</f>
        <v>N23</v>
      </c>
      <c r="N3" s="10" t="str">
        <f>"O"&amp;COUNTA($A:$A)</f>
        <v>O23</v>
      </c>
      <c r="O3" s="10" t="str">
        <f>"P"&amp;COUNTA($A:$A)</f>
        <v>P23</v>
      </c>
      <c r="Q3" s="10" t="str">
        <f>RIGHT(B2,(LEN(B2)-FIND(".",B2,1)))</f>
        <v>CPS</v>
      </c>
      <c r="R3" s="29" t="str">
        <f>REPT(CHAR(9),1)&amp;"public class "&amp;B3&amp;"ExportInput"&amp;C3</f>
        <v xml:space="preserve">	public class InvCpsRcvShipmentLinesExportInput{
</v>
      </c>
      <c r="S3" s="10" t="str">
        <f>"namespace "&amp;$B$6&amp;".Exporting
"&amp;$C$3</f>
        <v xml:space="preserve">namespace prod.Inventory.CPS.Exporting
{
</v>
      </c>
      <c r="T3" s="10" t="str">
        <f>"T"&amp;COUNTA($A:$A)</f>
        <v>T23</v>
      </c>
      <c r="V3" s="10" t="str">
        <f>"V"&amp;COUNTA($A:$A)</f>
        <v>V23</v>
      </c>
      <c r="W3" s="9" t="str">
        <f>"W"&amp;COUNTA($A:$A)</f>
        <v>W23</v>
      </c>
    </row>
    <row r="4" spans="1:23" s="10" customFormat="1" ht="33" customHeight="1" x14ac:dyDescent="0.25">
      <c r="A4" s="1" t="s">
        <v>232</v>
      </c>
      <c r="B4" s="65" t="s">
        <v>319</v>
      </c>
      <c r="C4" s="9"/>
      <c r="D4" s="9"/>
      <c r="E4" s="9"/>
      <c r="G4" s="4"/>
      <c r="H4" s="9"/>
      <c r="I4" s="9"/>
      <c r="K4" s="5"/>
      <c r="R4" s="29"/>
      <c r="W4" s="9"/>
    </row>
    <row r="5" spans="1:23" s="10" customFormat="1" ht="33" customHeight="1" x14ac:dyDescent="0.25">
      <c r="A5" s="1" t="s">
        <v>233</v>
      </c>
      <c r="B5" s="65" t="s">
        <v>362</v>
      </c>
      <c r="C5" s="9"/>
      <c r="D5" s="9"/>
      <c r="E5" s="9"/>
      <c r="G5" s="4"/>
      <c r="H5" s="9"/>
      <c r="I5" s="9"/>
      <c r="K5" s="5"/>
      <c r="R5" s="29"/>
      <c r="W5" s="9"/>
    </row>
    <row r="6" spans="1:23" customFormat="1" ht="24.95" customHeight="1" x14ac:dyDescent="0.25">
      <c r="A6" s="1" t="s">
        <v>6</v>
      </c>
      <c r="B6" s="9" t="str">
        <f>"prod."&amp;B2</f>
        <v>prod.Inventory.CPS</v>
      </c>
      <c r="C6" s="10" t="str">
        <f>"namespace "&amp;$B$6&amp;"
"&amp;$C$3</f>
        <v xml:space="preserve">namespace prod.Inventory.CPS
{
</v>
      </c>
      <c r="D6" s="10" t="str">
        <f>REPT(CHAR(9),1)&amp;"public class "&amp;B3&amp;G3&amp;REPT(CHAR(9),1)&amp;"
"&amp;REPT(CHAR(9),1)&amp;C3</f>
        <v xml:space="preserve">	public class InvCpsRcvShipmentLines: FullAuditedEntity&lt;long&gt;, IEntity&lt;long&gt;	
	{
</v>
      </c>
      <c r="E6" s="10" t="str">
        <f>REPT(CHAR(9),1)&amp;"public class "&amp;B3&amp;"Consts"&amp;REPT(CHAR(9),1)&amp;"
"&amp;REPT(CHAR(9),1)&amp;C3</f>
        <v xml:space="preserve">	public class InvCpsRcvShipmentLinesConsts	
	{
</v>
      </c>
      <c r="F6" s="10" t="str">
        <f>REPT(CHAR(9),1)&amp;"public class "&amp;B3&amp;"Dto"&amp;K3&amp;REPT(CHAR(9),1)&amp;"
"&amp;REPT(CHAR(9),1)&amp;C3</f>
        <v xml:space="preserve">	public class InvCpsRcvShipmentLinesDto : EntityDto&lt;long?&gt;	
	{
</v>
      </c>
      <c r="G6" s="10" t="str">
        <f>REPT(CHAR(9),1)&amp;"public class CreateOrEdit"&amp;B3&amp;"Dto"&amp;K3&amp;REPT(CHAR(9),1)&amp;"
"&amp;REPT(CHAR(9),1)&amp;C3</f>
        <v xml:space="preserve">	public class CreateOrEditInvCpsRcvShipmentLinesDto : EntityDto&lt;long?&gt;	
	{
</v>
      </c>
      <c r="H6" s="10" t="str">
        <f>REPT(CHAR(9),1)&amp;"public class Get"&amp;B3&amp;"Input : PagedAndSortedResultRequestDto"&amp;REPT(CHAR(9),1)&amp;"
"&amp;REPT(CHAR(9),1)&amp;C3</f>
        <v xml:space="preserve">	public class GetInvCpsRcvShipmentLinesInput : PagedAndSortedResultRequestDto	
	{
</v>
      </c>
      <c r="I6" s="10"/>
      <c r="J6" s="1" t="s">
        <v>68</v>
      </c>
      <c r="K6" s="1" t="s">
        <v>62</v>
      </c>
      <c r="L6" s="1" t="s">
        <v>63</v>
      </c>
      <c r="M6" s="1" t="s">
        <v>64</v>
      </c>
      <c r="N6" s="1" t="s">
        <v>231</v>
      </c>
      <c r="O6" s="1" t="s">
        <v>230</v>
      </c>
      <c r="P6" s="1" t="s">
        <v>65</v>
      </c>
      <c r="Q6" s="1" t="s">
        <v>66</v>
      </c>
      <c r="R6" s="1" t="s">
        <v>198</v>
      </c>
      <c r="S6" s="1" t="s">
        <v>200</v>
      </c>
      <c r="T6" s="1" t="s">
        <v>199</v>
      </c>
      <c r="U6" s="1" t="s">
        <v>222</v>
      </c>
      <c r="W6" s="26"/>
    </row>
    <row r="7" spans="1:23" customFormat="1" ht="24.95" customHeight="1" x14ac:dyDescent="0.25">
      <c r="A7" s="1" t="s">
        <v>13</v>
      </c>
      <c r="B7" s="9" t="str">
        <f>B3</f>
        <v>InvCpsRcvShipmentLines</v>
      </c>
      <c r="C7" s="10" t="str">
        <f>REPT(CHAR(9),1)&amp;"[Table("""&amp;B7&amp;""")]"&amp;"
"</f>
        <v xml:space="preserve">	[Table("InvCpsRcvShipmentLines")]
</v>
      </c>
      <c r="D7" s="10"/>
      <c r="E7" s="10"/>
      <c r="F7" s="10"/>
      <c r="G7" s="10"/>
      <c r="H7" s="10"/>
      <c r="I7" s="10"/>
      <c r="J7" t="str">
        <f ca="1">SUBSTITUTE(SUBSTITUTE((B1&amp;C6&amp;C7&amp;K25&amp;D6&amp;I25&amp;E3&amp;J25&amp;""&amp;REPT(CHAR(9),1)&amp;D3&amp;D3),"WorkingPattern",$Q$3),"Master",$B$4)</f>
        <v xml:space="preserve">using Abp.Domain.Entities;
using Abp.Domain.Entities.Auditing;
using Microsoft.EntityFrameworkCore;
using System;
using System.ComponentModel.DataAnnotations;
using System.ComponentModel.DataAnnotations.Schema;
namespace prod.Inventory.CPS
{
	[Table("InvCpsRcvShipmentLines")]
	public class InvCpsRcvShipmentLines: FullAuditedEntity&lt;long&gt;, IEntity&lt;long&gt;	
	{
		public const int MaxUnitOfMeasureLength = 25;
		public const int MaxPartNoLength = 255;
		public const int MaxItemDescriptionLength = 240;
		public const int MaxShipmentLineStatusCodeLength = 25;
		public const int MaxIsActiveLength = 1;
		public virtual long? ShipmentHeaderId { get; set; }
		public virtual int? LineNum { get; set; }
		public virtual long? CategoryId { get; set; }
		public virtual decimal? QuantityShipped { get; set; }
		public virtual decimal? QuantityReceived { get; set; }
		[StringLength(MaxUnitOfMeasureLength)]
		public virtual string UnitOfMeasure { get; set; }
		[StringLength(MaxPartNoLength)]
		public virtual string PartNo { get; set; }
		[StringLength(MaxItemDescriptionLength)]
		public virtual string ItemDescription { get; set; }
		public virtual long? ItemId { get; set; }
		[StringLength(MaxShipmentLineStatusCodeLength)]
		public virtual string ShipmentLineStatusCode { get; set; }
		public virtual long? Poheaderid { get; set; }
		public virtual long? PoLineId { get; set; }
		public virtual long? PoLineShipmentId { get; set; }
		public virtual long? EmployeeId { get; set; }
		[StringLength(MaxIsActiveLength)]
		public virtual string IsActive { get; set; }
	}
}
</v>
      </c>
      <c r="K7" t="str">
        <f>SUBSTITUTE(SUBSTITUTE(("public virtual DbSet&lt;"&amp;B3&amp;"&gt; "&amp;B3&amp;"s { get; set; }"),"WorkingPattern",$Q$3),"Master",$B$4)</f>
        <v>public virtual DbSet&lt;InvCpsRcvShipmentLines&gt; InvCpsRcvShipmentLiness { get; set; }</v>
      </c>
      <c r="L7" t="str">
        <f ca="1">SUBSTITUTE(SUBSTITUTE((C6&amp;E6&amp;I25&amp;"
"&amp;REPT(CHAR(9),2)&amp;"// Define Store Name: Format SP_ + &lt;Store Name&gt; = &lt;Store Name&gt;
"&amp;E3&amp;REPT(CHAR(9),1)&amp;D3&amp;D3),"WorkingPattern",$Q$3),"Master",$B$4)</f>
        <v xml:space="preserve">namespace prod.Inventory.CPS
{
	public class InvCpsRcvShipmentLinesConsts	
	{
		public const int MaxUnitOfMeasureLength = 25;
		public const int MaxPartNoLength = 255;
		public const int MaxItemDescriptionLength = 240;
		public const int MaxShipmentLineStatusCodeLength = 25;
		public const int MaxIsActiveLength = 1;
		// Define Store Name: Format SP_ + &lt;Store Name&gt; = &lt;Store Name&gt;
	}
}
</v>
      </c>
      <c r="M7" t="str">
        <f ca="1">SUBSTITUTE(SUBSTITUTE((C1&amp;"namespace "&amp;B6&amp;".Dto"&amp;E3&amp;C3&amp;F6&amp;M25&amp;E3&amp;REPT(CHAR(9),1)&amp;D3&amp;G6&amp;N25&amp;REPT(CHAR(9),1)&amp;D3&amp;H6&amp;O25&amp;"
"&amp;REPT(CHAR(9),1)&amp;D3&amp;D3),"WorkingPattern",$Q$3),"Master",$B$4)</f>
        <v xml:space="preserve">using Abp.Application.Services.Dto;
using System;
using System.ComponentModel.DataAnnotations;
namespace prod.Inventory.CPS.Dto
{
	public class InvCpsRcvShipmentLinesDto : EntityDto&lt;long?&gt;	
	{
		public virtual long? ShipmentHeaderId { get; set; }
		public virtual int? LineNum { get; set; }
		public virtual long? CategoryId { get; set; }
		public virtual decimal? QuantityShipped { get; set; }
		public virtual decimal? QuantityReceived { get; set; }
		public virtual string UnitOfMeasure { get; set; }
		public virtual string PartNo { get; set; }
		public virtual string ItemDescription { get; set; }
		public virtual long? ItemId { get; set; }
		public virtual string ShipmentLineStatusCode { get; set; }
		public virtual long? Poheaderid { get; set; }
		public virtual long? PoLineId { get; set; }
		public virtual long? PoLineShipmentId { get; set; }
		public virtual long? EmployeeId { get; set; }
		public virtual string IsActive { get; set; }
	}
	public class CreateOrEditInvCpsRcvShipmentLinesDto : EntityDto&lt;long?&gt;	
	{
		public virtual long? ShipmentHeaderId { get; set; }
		public virtual int? LineNum { get; set; }
		public virtual long? CategoryId { get; set; }
		public virtual decimal? QuantityShipped { get; set; }
		public virtual decimal? QuantityReceived { get; set; }
		[StringLength(InvCpsRcvShipmentLinesConsts.MaxUnitOfMeasureLength)]
		public virtual string UnitOfMeasure { get; set; }
		[StringLength(InvCpsRcvShipmentLinesConsts.MaxPartNoLength)]
		public virtual string PartNo { get; set; }
		[StringLength(InvCpsRcvShipmentLinesConsts.MaxItemDescriptionLength)]
		public virtual string ItemDescription { get; set; }
		public virtual long? ItemId { get; set; }
		[StringLength(InvCpsRcvShipmentLinesConsts.MaxShipmentLineStatusCodeLength)]
		public virtual string ShipmentLineStatusCode { get; set; }
		public virtual long? Poheaderid { get; set; }
		public virtual long? PoLineId { get; set; }
		public virtual long? PoLineShipmentId { get; set; }
		public virtual long? EmployeeId { get; set; }
		[StringLength(InvCpsRcvShipmentLinesConsts.MaxIsActiveLength)]
		public virtual string IsActive { get; set; }
	}
	public class GetInvCpsRcvShipmentLinesInput : PagedAndSortedResultRequestDto	
	{
		public virtual string UnitOfMeasure { get; set; }
		public virtual string PartNo { get; set; }
		public virtual string ItemDescription { get; set; }
		public virtual string ShipmentLineStatusCode { get; set; }
		public virtual string IsActive { get; set; }
	}
}
</v>
      </c>
      <c r="N7" t="str">
        <f>SUBSTITUTE(SUBSTITUTE((REPT(CHAR(9),2)&amp;"var per"&amp;B3&amp;" = PARENTS.CreateChildPermission(AppPermissions.Pages_"&amp;SUBSTITUTE(B2,".","_")&amp;"_"&amp;B5&amp;", L( """&amp;SUBSTITUTE(B2,".","")&amp;B5&amp;"""), multiTenancySides: MultiTenancySides.Tenant);"
&amp;E3&amp;REPT(CHAR(9),2)&amp;"per"&amp;B3&amp;".CreateChildPermission(AppPermissions.Pages_"&amp;SUBSTITUTE(B2,".","_")&amp;"_"&amp;B5&amp;"_CreateEdit, L( """&amp;SUBSTITUTE(B2,".","")&amp;B5&amp;"CreateEdit"&amp;"""), multiTenancySides: MultiTenancySides.Tenant);"
&amp;E3&amp;REPT(CHAR(9),2)&amp;"per"&amp;B3&amp;".CreateChildPermission(AppPermissions.Pages_"&amp;SUBSTITUTE(B2,".","_")&amp;"_"&amp;B5&amp;"_Delete, L( """&amp;SUBSTITUTE(B2,".","")&amp;B5&amp;"Delete"&amp;"""), multiTenancySides: MultiTenancySides.Tenant);"),"WorkingPattern",$Q$3),"Master",$B$4)</f>
        <v xml:space="preserve">		var perInvCpsRcvShipmentLines = PARENTS.CreateChildPermission(AppPermissions.Pages_Inventory_CPS_RcvShipmentLines, L( "InventoryCPSRcvShipmentLines"), multiTenancySides: MultiTenancySides.Tenant);
		perInvCpsRcvShipmentLines.CreateChildPermission(AppPermissions.Pages_Inventory_CPS_RcvShipmentLines_CreateEdit, L( "InventoryCPSRcvShipmentLinesCreateEdit"), multiTenancySides: MultiTenancySides.Tenant);
		perInvCpsRcvShipmentLines.CreateChildPermission(AppPermissions.Pages_Inventory_CPS_RcvShipmentLines_Delete, L( "InventoryCPSRcvShipmentLinesDelete"), multiTenancySides: MultiTenancySides.Tenant);</v>
      </c>
      <c r="O7" s="26" t="str">
        <f>SUBSTITUTE(SUBSTITUTE((REPT(CHAR(9),2)&amp;"public const string Pages_"&amp;SUBSTITUTE(B2,".","_")&amp;"_"&amp;B5&amp;" = ""Pages."&amp;B2&amp;"."&amp;B5&amp;""";"
&amp;E3&amp;REPT(CHAR(9),2)&amp;"public const string Pages_"&amp;SUBSTITUTE(B2,".","_")&amp;"_"&amp;B5&amp;"_CreateEdit"&amp;" = ""Pages."&amp;B2&amp;"."&amp;B5&amp;".CreateEdit"";"
&amp;E3&amp;REPT(CHAR(9),2)&amp;"public const string Pages_"&amp;SUBSTITUTE(B2,".","_")&amp;"_"&amp;B5&amp;"_Delete"&amp;" = ""Pages."&amp;B2&amp;"."&amp;B5&amp;".Delete"";
"),"WorkingPattern",$Q$3),"Master",$B$4)</f>
        <v xml:space="preserve">		public const string Pages_Inventory_CPS_RcvShipmentLines = "Pages.Inventory.CPS.RcvShipmentLines";
		public const string Pages_Inventory_CPS_RcvShipmentLines_CreateEdit = "Pages.Inventory.CPS.RcvShipmentLines.CreateEdit";
		public const string Pages_Inventory_CPS_RcvShipmentLines_Delete = "Pages.Inventory.CPS.RcvShipmentLines.Delete";
</v>
      </c>
      <c r="P7" t="str">
        <f>SUBSTITUTE(SUBSTITUTE((D1&amp;E3&amp;E3
&amp;C6
&amp;REPT(CHAR(9),1)&amp;"public interface I"&amp;B3&amp;"AppService : IApplicationService"&amp;E3&amp;REPT(CHAR(9),1)&amp;C3
&amp;REPT(CHAR(9),2)&amp;"Task&lt;PagedResultDto&lt;"&amp;B3&amp;"Dto&gt;&gt; GetAll(Get"&amp;B3&amp;"Input input);"&amp;E3&amp;E3
&amp;REPT(CHAR(9),2)&amp;"Task CreateOrEdit(CreateOrEdit"&amp;B3&amp;"Dto input);"&amp;E3&amp;E3
&amp;REPT(CHAR(9),2)&amp;"Task Delete(EntityDto input);"&amp;E3&amp;E3
&amp;REPT(CHAR(9),1)&amp;D3&amp;D3),"WorkingPattern",$Q$3),"Master",$B$4)</f>
        <v xml:space="preserve">using Abp.Application.Services;
using Abp.Application.Services.Dto;
using System.Collections.Generic;using vovina.Dto;
using System.Threading.Tasks;
using vovina.Inventory.CPS.Dto;
namespace prod.Inventory.CPS
{
	public interface IInvCpsRcvShipmentLinesAppService : IApplicationService
	{
		Task&lt;PagedResultDto&lt;InvCpsRcvShipmentLinesDto&gt;&gt; GetAll(GetInvCpsRcvShipmentLinesInput input);
		Task CreateOrEdit(CreateOrEditInvCpsRcvShipmentLinesDto input);
		Task Delete(EntityDto input);
	}
}
</v>
      </c>
      <c r="Q7" t="str">
        <f ca="1">SUBSTITUTE(SUBSTITUTE(SUBSTITUTE(SUBSTITUTE(SUBSTITUTE(SUBSTITUTE(E1,"MstWptCalendar",$B$3),"&lt;PROPERTIES&gt;",P25),"Calendar",$B$5),"WorkingPattern",$Q$3),"Master",$B$4),"&lt;PARAMS_SEARCH&gt;",$W$25)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vovina.Inventory.CPS.Dto;
using vovina.Inventory.CPS.Exporting;
namespace vovina.Inventory.CPS
{
    [AbpAuthorize(AppPermissions.Pages_Inventory_CPS_RcvShipmentLines)]
    public class InvCpsRcvShipmentLinesAppService : vovinaAppServiceBase, IInvCpsRcvShipmentLinesAppService
    {
        private readonly IDapperRepository&lt;InvCpsRcvShipmentLines, long&gt; _dapperRepo;
        private readonly IRepository&lt;InvCpsRcvShipmentLines, long&gt; _repo;
        private readonly IInvCpsRcvShipmentLinesExcelExporter _calendarListExcelExporter;
        public InvCpsRcvShipmentLinesAppService(IRepository&lt;InvCpsRcvShipmentLines,long&gt; repo, 
                                         IDapperRepository&lt;InvCpsRcvShipmentLines,long&gt; dapperRepo,
                                        IInvCpsRcvShipmentLinesExcelExporter calendarListExcelExporter
            )
        {
            _repo = repo;
            _dapperRepo = dapperRepo;
            _calendarListExcelExporter = calendarListExcelExporter;
        }
        [AbpAuthorize(AppPermissions.Pages_Inventory_CPS_RcvShipmentLines_CreateEdit)]
        public async Task CreateOrEdit(CreateOrEditInvCpsRcvShipmentLinesDto input)
        {
            if (input.Id == null) await Create(input);
            else await Update(input);
        }
        //CREATE
        private async Task Create(CreateOrEditInvCpsRcvShipmentLinesDto input)
        {          
            var mainObj = ObjectMapper.Map&lt;InvCpsRcvShipmentLines&gt;(input);
            await CurrentUnitOfWork.GetDbContext&lt;vovinaDbContext&gt;().AddAsync(mainObj);
        }
        // EDIT
        private async Task Update(CreateOrEditInvCpsRcvShipmentLinesDto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[AbpAuthorize(AppPermissions.Pages_Inventory_CPS_RcvShipmentLines_Delete)]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Task&lt;PagedResultDto&lt;InvCpsRcvShipmentLinesDto&gt;&gt; GetAll(GetInvCpsRcvShipmentLinesInput input)
        {
            var filtered = _repo.GetAll()
				.WhereIf(!string.IsNullOrWhiteSpace(input.UnitOfMeasure), e =&gt; e.UnitOfMeasure.Contains(input.UnitOfMeasure))
				.WhereIf(!string.IsNullOrWhiteSpace(input.PartNo), e =&gt; e.PartNo.Contains(input.PartNo))
				.WhereIf(!string.IsNullOrWhiteSpace(input.ItemDescription), e =&gt; e.ItemDescription.Contains(input.ItemDescription))
				.WhereIf(!string.IsNullOrWhiteSpace(input.ShipmentLineStatusCode), e =&gt; e.ShipmentLineStatusCode.Contains(input.ShipmentLineStatusCode))
				.WhereIf(!string.IsNullOrWhiteSpace(input.IsActive), e =&gt; e.IsActive.Contains(input.IsActive))                   
				;
            var pageAndFiltered = filtered.OrderBy(s =&gt; s.Id);
            var system = from o in pageAndFiltered
                         select new InvCpsRcvShipmentLinesDto
                        {
							Id = o.Id,
							ShipmentHeaderId = o.ShipmentHeaderId,
							LineNum = o.LineNum,
							CategoryId = o.CategoryId,
							QuantityShipped = o.QuantityShipped,
							QuantityReceived = o.QuantityReceived,
							UnitOfMeasure = o.UnitOfMeasure,
							PartNo = o.PartNo,
							ItemDescription = o.ItemDescription,
							ItemId = o.ItemId,
							ShipmentLineStatusCode = o.ShipmentLineStatusCode,
							Poheaderid = o.Poheaderid,
							PoLineId = o.PoLineId,
							PoLineShipmentId = o.PoLineShipmentId,
							EmployeeId = o.EmployeeId,
							IsActive = o.IsActive,
                        };
            var totalCount = await filtered.CountAsync();
			var paged = system.PageBy(input);
            return new PagedResultDto&lt;InvCpsRcvShipmentLinesDto&gt;(
                totalCount,
                 await paged.ToListAsync()
            );
        }
        public async Task&lt;FileDto&gt; GetRcvShipmentLinesToExcel(InvCpsRcvShipmentLinesExportInput input)
        {
            var query = from o in _repo.GetAll()
                        select new InvCpsRcvShipmentLinesDto
                        {
							Id = o.Id,
							ShipmentHeaderId = o.ShipmentHeaderId,
							LineNum = o.LineNum,
							CategoryId = o.CategoryId,
							QuantityShipped = o.QuantityShipped,
							QuantityReceived = o.QuantityReceived,
							UnitOfMeasure = o.UnitOfMeasure,
							PartNo = o.PartNo,
							ItemDescription = o.ItemDescription,
							ItemId = o.ItemId,
							ShipmentLineStatusCode = o.ShipmentLineStatusCode,
							Poheaderid = o.Poheaderid,
							PoLineId = o.PoLineId,
							PoLineShipmentId = o.PoLineShipmentId,
							EmployeeId = o.EmployeeId,
							IsActive = o.IsActive,
                        };
            var exportToExcel = await query.ToListAsync();
            return _calendarListExcelExporter.ExportToFile(exportToExcel);
        }
       // public async Task GenerateAsync()
      //  {
        //    await _dapperRepo.ExecuteAsync(InvCpsRcvShipmentLinesConsts.SP_MST_WPT_CALENDAR_GENERATE);
       // }
    }
}</v>
      </c>
      <c r="R7" t="str">
        <f ca="1">SUBSTITUTE(SUBSTITUTE((C1&amp;"namespace "&amp;B6&amp;".Dto"&amp;E3&amp;C3&amp;R3&amp;M25&amp;E3&amp;REPT(CHAR(9),1)&amp;D3&amp;D3),"WorkingPattern",$Q$3),"Master",$B$4)</f>
        <v xml:space="preserve">using Abp.Application.Services.Dto;
using System;
using System.ComponentModel.DataAnnotations;
namespace prod.Inventory.CPS.Dto
{
	public class InvCpsRcvShipmentLinesExportInput{
		public virtual long? ShipmentHeaderId { get; set; }
		public virtual int? LineNum { get; set; }
		public virtual long? CategoryId { get; set; }
		public virtual decimal? QuantityShipped { get; set; }
		public virtual decimal? QuantityReceived { get; set; }
		public virtual string UnitOfMeasure { get; set; }
		public virtual string PartNo { get; set; }
		public virtual string ItemDescription { get; set; }
		public virtual long? ItemId { get; set; }
		public virtual string ShipmentLineStatusCode { get; set; }
		public virtual long? Poheaderid { get; set; }
		public virtual long? PoLineId { get; set; }
		public virtual long? PoLineShipmentId { get; set; }
		public virtual long? EmployeeId { get; set; }
		public virtual string IsActive { get; set; }
	}
}
</v>
      </c>
      <c r="S7" t="str">
        <f>SUBSTITUTE(SUBSTITUTE((D1&amp;E3&amp;E3&amp;S3
&amp;REPT(CHAR(9),1)&amp;"public interface I"&amp;B3&amp;"ExcelExporter : IApplicationService"&amp;E3&amp;REPT(CHAR(9),1)&amp;C3&amp;REPT(CHAR(9),2)&amp;"FileDto ExportToFile(List&lt;"&amp;B3&amp;"Dto&gt; "&amp;LOWER(B3)&amp;");
"&amp;E3&amp;REPT(CHAR(9),1)&amp;D3&amp;D3),"WorkingPattern",$Q$3),"Master",$B$4)</f>
        <v xml:space="preserve">using Abp.Application.Services;
using Abp.Application.Services.Dto;
using System.Collections.Generic;using vovina.Dto;
using System.Threading.Tasks;
using vovina.Inventory.CPS.Dto;
namespace prod.Inventory.CPS.Exporting
{
	public interface IInvCpsRcvShipmentLinesExcelExporter : IApplicationService
	{
		FileDto ExportToFile(List&lt;InvCpsRcvShipmentLinesDto&gt; invcpsrcvshipmentlines);
	}
}
</v>
      </c>
      <c r="T7" s="26" t="str">
        <f ca="1">SUBSTITUTE(SUBSTITUTE(SUBSTITUTE(SUBSTITUTE(SUBSTITUTE(SUBSTITUTE(SUBSTITUTE(T1,"MstWptCalendar",$B$3),"&lt;PROPERTIES1&gt;",V25),"&lt;PROPERTIES&gt;",T25),"Calendar",$B$5),"calendar",LOWER(B5)),"WorkingPattern",$Q$3),"Master",$B$4)</f>
        <v>using System.Collections.Generic;
using vovina.DataExporting.Excel.NPOI;
using vovina.Dto;
using vovina.Inventory.CPS.Exporting;
using vovina.Inventory.CPS.Dto;
using vovina.Storage;
using vovina.Inventory.CPS.Dto;
namespace vovina.Inventory.CPS.Exporting
{
    public class InvCpsRcvShipmentLinesExcelExporter : NpoiExcelExporterBase, IInvCpsRcvShipmentLinesExcelExporter
    {
        public InvCpsRcvShipmentLinesExcelExporter(ITempFileCacheManager tempFileCacheManager) : base(tempFileCacheManager) { }
        public FileDto ExportToFile(List&lt;InvCpsRcvShipmentLinesDto&gt; rcvshipmentlines)
        {
            return CreateExcelPackage(
				"InventoryCPSRcvShipmentLines.xlsx",
				excelPackage =&gt;
				 {
					var sheet = excelPackage.CreateSheet("RcvShipmentLines");
					AddHeader(
								sheet,
								("ShipmentHeaderId"),
								("LineNum"),
								("CategoryId"),
								("QuantityShipped"),
								("QuantityReceived"),
								("UnitOfMeasure"),
								("PartNo"),
								("ItemDescription"),
								("ItemId"),
								("ShipmentLineStatusCode"),
								("Poheaderid"),
								("PoLineId"),
								("PoLineShipmentId"),
								("EmployeeId"),
								("IsActive"),
							   );
					AddObjects(
						 sheet, 1, rcvshipmentlines,                                       
								_ =&gt; _.ShipmentHeaderId,
								_ =&gt; _.LineNum,
								_ =&gt; _.CategoryId,
								_ =&gt; _.QuantityShipped,
								_ =&gt; _.QuantityReceived,
								_ =&gt; _.UnitOfMeasure,
								_ =&gt; _.PartNo,
								_ =&gt; _.ItemDescription,
								_ =&gt; _.ItemId,
								_ =&gt; _.ShipmentLineStatusCode,
								_ =&gt; _.Poheaderid,
								_ =&gt; _.PoLineId,
								_ =&gt; _.PoLineShipmentId,
								_ =&gt; _.EmployeeId,
								_ =&gt; _.IsActive,
								);
			for (var i = 0; i &lt; 8; i++)
				{
					sheet.AutoSizeColumn(i);
				}
			});
        }
    }
}</v>
      </c>
      <c r="U7" s="26" t="str">
        <f>SUBSTITUTE(SUBSTITUTE(U1,"MstWptCalendar",$B$3),"Master",$B$4)</f>
        <v xml:space="preserve">  configuration.CreateMap&lt;InvCpsRcvShipmentLinesDto, InvCpsRcvShipmentLines&gt;();
  configuration.CreateMap&lt;InvCpsRcvShipmentLines, InvCpsRcvShipmentLinesDto&gt;();
  configuration.CreateMap&lt;CreateOrEditInvCpsRcvShipmentLinesDto, InvCpsRcvShipmentLines&gt;();</v>
      </c>
      <c r="V7" s="26"/>
      <c r="W7" s="26"/>
    </row>
    <row r="8" spans="1:23" s="2" customFormat="1" x14ac:dyDescent="0.25">
      <c r="A8" s="2" t="s">
        <v>7</v>
      </c>
      <c r="B8" s="3" t="s">
        <v>8</v>
      </c>
      <c r="C8" s="2" t="s">
        <v>10</v>
      </c>
      <c r="D8" s="2" t="s">
        <v>14</v>
      </c>
      <c r="E8" s="2" t="s">
        <v>34</v>
      </c>
      <c r="F8" s="2" t="s">
        <v>55</v>
      </c>
      <c r="G8" s="2" t="s">
        <v>9</v>
      </c>
      <c r="H8" s="2" t="s">
        <v>15</v>
      </c>
      <c r="I8" s="2" t="s">
        <v>46</v>
      </c>
      <c r="J8" s="2" t="s">
        <v>35</v>
      </c>
      <c r="K8" s="2" t="s">
        <v>43</v>
      </c>
      <c r="L8" s="2" t="s">
        <v>44</v>
      </c>
      <c r="M8" s="2" t="s">
        <v>59</v>
      </c>
      <c r="N8" s="2" t="s">
        <v>54</v>
      </c>
      <c r="O8" s="2" t="s">
        <v>60</v>
      </c>
      <c r="P8" s="18" t="s">
        <v>80</v>
      </c>
      <c r="W8" s="3"/>
    </row>
    <row r="9" spans="1:23" customFormat="1" ht="18.75" customHeight="1" x14ac:dyDescent="0.25">
      <c r="A9" s="28" t="s">
        <v>367</v>
      </c>
      <c r="B9" s="28" t="s">
        <v>0</v>
      </c>
      <c r="C9" t="s">
        <v>1</v>
      </c>
      <c r="D9" t="str">
        <f t="shared" ref="D9:D21" si="0">SUBSTITUTE(PROPER(A9),"_","")</f>
        <v>ShipmentHeaderId</v>
      </c>
      <c r="E9" t="str">
        <f t="shared" ref="E9:E21" si="1">IFERROR(LEFT(B9, FIND("(",B9)-1),B9)</f>
        <v>bigint</v>
      </c>
      <c r="F9" s="6"/>
      <c r="G9" t="str">
        <f t="shared" ref="G9:G21" si="2">IFERROR(MID(B9,FIND("(",B9) +1, FIND(")",B9) - FIND("(",B9) - 1),"")</f>
        <v/>
      </c>
      <c r="H9" t="str">
        <f>+VLOOKUP(E9,'Data Type Mapping'!A:B,2,)</f>
        <v>long?</v>
      </c>
      <c r="I9" t="str">
        <f t="shared" ref="I9:I21" si="3">IF(H9="string",REPT(CHAR(9),2)&amp;"public const int Max"&amp;D9&amp;"Length = "&amp;G9&amp;";"&amp;$E$3,"" )</f>
        <v/>
      </c>
      <c r="J9" t="str">
        <f t="shared" ref="J9:J21" si="4">IF(F9="","",REPT(CHAR(9),2)&amp;"[Column(TypeName="""&amp;F9&amp;""")]"&amp;$E$3)&amp;IF(C9="Checked","",$I$3)&amp;IF(H9="string",REPT(CHAR(9),2)&amp;"[StringLength(Max"&amp;D9&amp;"Length"&amp;")]"&amp;$E$3,"")&amp;REPT(CHAR(9),2)&amp;"public virtual "&amp;H9&amp;IF(C9="?","? "," ")&amp;D9&amp;" { get; set; }" &amp; "
"</f>
        <v xml:space="preserve">		public virtual long? ShipmentHeaderId { get; set; }
</v>
      </c>
      <c r="K9" s="6"/>
      <c r="L9" t="str">
        <f t="shared" ref="L9:L21" si="5">IF(K9="","",REPT(CHAR(9),1)&amp;"[Index(nameof("&amp;IF(D9="","",""&amp;D9)&amp;")"&amp;", Name="&amp;"""IX_"&amp;$B$7&amp;"_"&amp;D9&amp;""")]")</f>
        <v/>
      </c>
      <c r="M9" t="str">
        <f t="shared" ref="M9:M21" si="6">REPT(CHAR(9),2)&amp;"public virtual "&amp;IF(OR(H9="DateTime",H9="TimeSpan"),H9&amp;"?",H9)&amp;IF(C9="?","? "," ")&amp;D9&amp;" { get; set; }" &amp; "
"</f>
        <v xml:space="preserve">		public virtual long? ShipmentHeaderId { get; set; }
</v>
      </c>
      <c r="N9" t="str">
        <f t="shared" ref="N9:N21" si="7">IF(C9="Checked","",$I$3)&amp;IF(H9="string",REPT(CHAR(9),2)&amp;"[StringLength("&amp;$B$3&amp;"Consts.Max"&amp;D9&amp;"Length"&amp;")]"&amp;$E$3,"")&amp;REPT(CHAR(9),2)&amp;"public virtual "&amp;IF(OR(H9="DateTime",H9="TimeSpan"),H9&amp;"?",H9)&amp;IF(C9="?","? "," ")&amp;D9&amp;" { get; set; }" &amp; "
"</f>
        <v xml:space="preserve">		public virtual long? ShipmentHeaderId { get; set; }
</v>
      </c>
      <c r="O9" t="str">
        <f t="shared" ref="O9:O21" si="8">IF(OR(H9="string",H9="DateTime",H9="int"),REPT(CHAR(9),2)&amp;"public virtual "&amp;IF(OR(H9="DateTime",H9="TimeSpan"),H9&amp;"?",H9)&amp;IF(C9="?","? "," ")&amp;D9&amp;" { get; set; }"&amp;$E$3,"")</f>
        <v/>
      </c>
      <c r="P9" t="str">
        <f t="shared" ref="P9:P21" si="9">REPT(CHAR(9),7)&amp;D9&amp;" = o." &amp;D9 &amp;","</f>
        <v xml:space="preserve">							ShipmentHeaderId = o.ShipmentHeaderId,</v>
      </c>
      <c r="T9" s="63" t="str">
        <f t="shared" ref="T9:T21" si="10">REPT(CHAR(9),8)&amp;"("""&amp;D9&amp;"""),"</f>
        <v xml:space="preserve">								("ShipmentHeaderId"),</v>
      </c>
      <c r="V9" s="64" t="str">
        <f t="shared" ref="V9:V21" si="11">REPT(CHAR(9),8)&amp;"_ =&gt; _."&amp;D9&amp;","</f>
        <v xml:space="preserve">								_ =&gt; _.ShipmentHeaderId,</v>
      </c>
      <c r="W9" s="63" t="str">
        <f t="shared" ref="W9:W21" si="12">IF(H9="string",REPT(CHAR(9),4)&amp;".WhereIf(!string.IsNullOrWhiteSpace(input."&amp;D9&amp;"), e =&gt; e."&amp;D9&amp;".Contains(input."&amp;D9&amp;"))",IF(H9="DateTime",REPT(CHAR(9),4)&amp;".WhereIf(input."&amp;D9&amp;".HasValue, t =&gt; t."&amp;D9&amp;" == input."&amp;D9&amp;".Value)",""))</f>
        <v/>
      </c>
    </row>
    <row r="10" spans="1:23" customFormat="1" ht="18.75" customHeight="1" x14ac:dyDescent="0.25">
      <c r="A10" s="28" t="s">
        <v>368</v>
      </c>
      <c r="B10" s="28" t="s">
        <v>4</v>
      </c>
      <c r="C10" t="s">
        <v>1</v>
      </c>
      <c r="D10" t="str">
        <f t="shared" si="0"/>
        <v>LineNum</v>
      </c>
      <c r="E10" t="str">
        <f t="shared" si="1"/>
        <v>int</v>
      </c>
      <c r="F10" s="6"/>
      <c r="G10" t="str">
        <f t="shared" si="2"/>
        <v/>
      </c>
      <c r="H10" t="str">
        <f>+VLOOKUP(E10,'Data Type Mapping'!A:B,2,)</f>
        <v>int?</v>
      </c>
      <c r="I10" t="str">
        <f t="shared" si="3"/>
        <v/>
      </c>
      <c r="J10" t="str">
        <f t="shared" si="4"/>
        <v xml:space="preserve">		public virtual int? LineNum { get; set; }
</v>
      </c>
      <c r="K10" s="6"/>
      <c r="L10" t="str">
        <f t="shared" si="5"/>
        <v/>
      </c>
      <c r="M10" t="str">
        <f t="shared" si="6"/>
        <v xml:space="preserve">		public virtual int? LineNum { get; set; }
</v>
      </c>
      <c r="N10" t="str">
        <f t="shared" si="7"/>
        <v xml:space="preserve">		public virtual int? LineNum { get; set; }
</v>
      </c>
      <c r="O10" t="str">
        <f t="shared" si="8"/>
        <v/>
      </c>
      <c r="P10" t="str">
        <f t="shared" si="9"/>
        <v xml:space="preserve">							LineNum = o.LineNum,</v>
      </c>
      <c r="T10" s="63" t="str">
        <f t="shared" si="10"/>
        <v xml:space="preserve">								("LineNum"),</v>
      </c>
      <c r="V10" s="64" t="str">
        <f t="shared" si="11"/>
        <v xml:space="preserve">								_ =&gt; _.LineNum,</v>
      </c>
      <c r="W10" s="63" t="str">
        <f t="shared" si="12"/>
        <v/>
      </c>
    </row>
    <row r="11" spans="1:23" customFormat="1" ht="18.75" customHeight="1" x14ac:dyDescent="0.25">
      <c r="A11" s="28" t="s">
        <v>369</v>
      </c>
      <c r="B11" s="28" t="s">
        <v>0</v>
      </c>
      <c r="C11" t="s">
        <v>1</v>
      </c>
      <c r="D11" t="str">
        <f t="shared" ref="D11:D17" si="13">SUBSTITUTE(PROPER(A11),"_","")</f>
        <v>CategoryId</v>
      </c>
      <c r="E11" t="str">
        <f t="shared" ref="E11:E17" si="14">IFERROR(LEFT(B11, FIND("(",B11)-1),B11)</f>
        <v>bigint</v>
      </c>
      <c r="F11" s="6"/>
      <c r="G11" t="str">
        <f t="shared" ref="G11:G17" si="15">IFERROR(MID(B11,FIND("(",B11) +1, FIND(")",B11) - FIND("(",B11) - 1),"")</f>
        <v/>
      </c>
      <c r="H11" t="str">
        <f>+VLOOKUP(E11,'Data Type Mapping'!A:B,2,)</f>
        <v>long?</v>
      </c>
      <c r="I11" t="str">
        <f t="shared" ref="I11:I17" si="16">IF(H11="string",REPT(CHAR(9),2)&amp;"public const int Max"&amp;D11&amp;"Length = "&amp;G11&amp;";"&amp;$E$3,"" )</f>
        <v/>
      </c>
      <c r="J11" t="str">
        <f t="shared" ref="J11:J17" si="17">IF(F11="","",REPT(CHAR(9),2)&amp;"[Column(TypeName="""&amp;F11&amp;""")]"&amp;$E$3)&amp;IF(C11="Checked","",$I$3)&amp;IF(H11="string",REPT(CHAR(9),2)&amp;"[StringLength(Max"&amp;D11&amp;"Length"&amp;")]"&amp;$E$3,"")&amp;REPT(CHAR(9),2)&amp;"public virtual "&amp;H11&amp;IF(C11="?","? "," ")&amp;D11&amp;" { get; set; }" &amp; "
"</f>
        <v xml:space="preserve">		public virtual long? CategoryId { get; set; }
</v>
      </c>
      <c r="K11" s="6"/>
      <c r="L11" t="str">
        <f t="shared" ref="L11:L17" si="18">IF(K11="","",REPT(CHAR(9),1)&amp;"[Index(nameof("&amp;IF(D11="","",""&amp;D11)&amp;")"&amp;", Name="&amp;"""IX_"&amp;$B$7&amp;"_"&amp;D11&amp;""")]")</f>
        <v/>
      </c>
      <c r="M11" t="str">
        <f t="shared" ref="M11:M17" si="19">REPT(CHAR(9),2)&amp;"public virtual "&amp;IF(OR(H11="DateTime",H11="TimeSpan"),H11&amp;"?",H11)&amp;IF(C11="?","? "," ")&amp;D11&amp;" { get; set; }" &amp; "
"</f>
        <v xml:space="preserve">		public virtual long? CategoryId { get; set; }
</v>
      </c>
      <c r="N11" t="str">
        <f t="shared" ref="N11:N17" si="20">IF(C11="Checked","",$I$3)&amp;IF(H11="string",REPT(CHAR(9),2)&amp;"[StringLength("&amp;$B$3&amp;"Consts.Max"&amp;D11&amp;"Length"&amp;")]"&amp;$E$3,"")&amp;REPT(CHAR(9),2)&amp;"public virtual "&amp;IF(OR(H11="DateTime",H11="TimeSpan"),H11&amp;"?",H11)&amp;IF(C11="?","? "," ")&amp;D11&amp;" { get; set; }" &amp; "
"</f>
        <v xml:space="preserve">		public virtual long? CategoryId { get; set; }
</v>
      </c>
      <c r="O11" t="str">
        <f t="shared" ref="O11:O17" si="21">IF(OR(H11="string",H11="DateTime",H11="int"),REPT(CHAR(9),2)&amp;"public virtual "&amp;IF(OR(H11="DateTime",H11="TimeSpan"),H11&amp;"?",H11)&amp;IF(C11="?","? "," ")&amp;D11&amp;" { get; set; }"&amp;$E$3,"")</f>
        <v/>
      </c>
      <c r="P11" t="str">
        <f t="shared" ref="P11:P17" si="22">REPT(CHAR(9),7)&amp;D11&amp;" = o." &amp;D11 &amp;","</f>
        <v xml:space="preserve">							CategoryId = o.CategoryId,</v>
      </c>
      <c r="T11" s="63" t="str">
        <f t="shared" ref="T11:T17" si="23">REPT(CHAR(9),8)&amp;"("""&amp;D11&amp;"""),"</f>
        <v xml:space="preserve">								("CategoryId"),</v>
      </c>
      <c r="V11" s="64" t="str">
        <f t="shared" ref="V11:V17" si="24">REPT(CHAR(9),8)&amp;"_ =&gt; _."&amp;D11&amp;","</f>
        <v xml:space="preserve">								_ =&gt; _.CategoryId,</v>
      </c>
      <c r="W11" s="63" t="str">
        <f t="shared" ref="W11:W17" si="25">IF(H11="string",REPT(CHAR(9),4)&amp;".WhereIf(!string.IsNullOrWhiteSpace(input."&amp;D11&amp;"), e =&gt; e."&amp;D11&amp;".Contains(input."&amp;D11&amp;"))",IF(H11="DateTime",REPT(CHAR(9),4)&amp;".WhereIf(input."&amp;D11&amp;".HasValue, t =&gt; t."&amp;D11&amp;" == input."&amp;D11&amp;".Value)",""))</f>
        <v/>
      </c>
    </row>
    <row r="12" spans="1:23" customFormat="1" ht="18.75" customHeight="1" x14ac:dyDescent="0.25">
      <c r="A12" s="28" t="s">
        <v>370</v>
      </c>
      <c r="B12" s="28" t="s">
        <v>358</v>
      </c>
      <c r="C12" t="s">
        <v>1</v>
      </c>
      <c r="D12" t="str">
        <f t="shared" ref="D12" si="26">SUBSTITUTE(PROPER(A12),"_","")</f>
        <v>QuantityShipped</v>
      </c>
      <c r="E12" t="str">
        <f t="shared" ref="E12" si="27">IFERROR(LEFT(B12, FIND("(",B12)-1),B12)</f>
        <v>decimal</v>
      </c>
      <c r="F12" s="6"/>
      <c r="G12" t="str">
        <f t="shared" ref="G12" si="28">IFERROR(MID(B12,FIND("(",B12) +1, FIND(")",B12) - FIND("(",B12) - 1),"")</f>
        <v>18,5</v>
      </c>
      <c r="H12" t="str">
        <f>+VLOOKUP(E12,'Data Type Mapping'!A:B,2,)</f>
        <v>decimal?</v>
      </c>
      <c r="I12" t="str">
        <f t="shared" ref="I12" si="29">IF(H12="string",REPT(CHAR(9),2)&amp;"public const int Max"&amp;D12&amp;"Length = "&amp;G12&amp;";"&amp;$E$3,"" )</f>
        <v/>
      </c>
      <c r="J12" t="str">
        <f t="shared" ref="J12" si="30">IF(F12="","",REPT(CHAR(9),2)&amp;"[Column(TypeName="""&amp;F12&amp;""")]"&amp;$E$3)&amp;IF(C12="Checked","",$I$3)&amp;IF(H12="string",REPT(CHAR(9),2)&amp;"[StringLength(Max"&amp;D12&amp;"Length"&amp;")]"&amp;$E$3,"")&amp;REPT(CHAR(9),2)&amp;"public virtual "&amp;H12&amp;IF(C12="?","? "," ")&amp;D12&amp;" { get; set; }" &amp; "
"</f>
        <v xml:space="preserve">		public virtual decimal? QuantityShipped { get; set; }
</v>
      </c>
      <c r="K12" s="6"/>
      <c r="L12" t="str">
        <f t="shared" ref="L12" si="31">IF(K12="","",REPT(CHAR(9),1)&amp;"[Index(nameof("&amp;IF(D12="","",""&amp;D12)&amp;")"&amp;", Name="&amp;"""IX_"&amp;$B$7&amp;"_"&amp;D12&amp;""")]")</f>
        <v/>
      </c>
      <c r="M12" t="str">
        <f t="shared" ref="M12" si="32">REPT(CHAR(9),2)&amp;"public virtual "&amp;IF(OR(H12="DateTime",H12="TimeSpan"),H12&amp;"?",H12)&amp;IF(C12="?","? "," ")&amp;D12&amp;" { get; set; }" &amp; "
"</f>
        <v xml:space="preserve">		public virtual decimal? QuantityShipped { get; set; }
</v>
      </c>
      <c r="N12" t="str">
        <f t="shared" ref="N12" si="33">IF(C12="Checked","",$I$3)&amp;IF(H12="string",REPT(CHAR(9),2)&amp;"[StringLength("&amp;$B$3&amp;"Consts.Max"&amp;D12&amp;"Length"&amp;")]"&amp;$E$3,"")&amp;REPT(CHAR(9),2)&amp;"public virtual "&amp;IF(OR(H12="DateTime",H12="TimeSpan"),H12&amp;"?",H12)&amp;IF(C12="?","? "," ")&amp;D12&amp;" { get; set; }" &amp; "
"</f>
        <v xml:space="preserve">		public virtual decimal? QuantityShipped { get; set; }
</v>
      </c>
      <c r="O12" t="str">
        <f t="shared" ref="O12" si="34">IF(OR(H12="string",H12="DateTime",H12="int"),REPT(CHAR(9),2)&amp;"public virtual "&amp;IF(OR(H12="DateTime",H12="TimeSpan"),H12&amp;"?",H12)&amp;IF(C12="?","? "," ")&amp;D12&amp;" { get; set; }"&amp;$E$3,"")</f>
        <v/>
      </c>
      <c r="P12" t="str">
        <f t="shared" ref="P12" si="35">REPT(CHAR(9),7)&amp;D12&amp;" = o." &amp;D12 &amp;","</f>
        <v xml:space="preserve">							QuantityShipped = o.QuantityShipped,</v>
      </c>
      <c r="T12" s="63" t="str">
        <f t="shared" ref="T12" si="36">REPT(CHAR(9),8)&amp;"("""&amp;D12&amp;"""),"</f>
        <v xml:space="preserve">								("QuantityShipped"),</v>
      </c>
      <c r="V12" s="64" t="str">
        <f t="shared" ref="V12" si="37">REPT(CHAR(9),8)&amp;"_ =&gt; _."&amp;D12&amp;","</f>
        <v xml:space="preserve">								_ =&gt; _.QuantityShipped,</v>
      </c>
      <c r="W12" s="63" t="str">
        <f t="shared" ref="W12" si="38">IF(H12="string",REPT(CHAR(9),4)&amp;".WhereIf(!string.IsNullOrWhiteSpace(input."&amp;D12&amp;"), e =&gt; e."&amp;D12&amp;".Contains(input."&amp;D12&amp;"))",IF(H12="DateTime",REPT(CHAR(9),4)&amp;".WhereIf(input."&amp;D12&amp;".HasValue, t =&gt; t."&amp;D12&amp;" == input."&amp;D12&amp;".Value)",""))</f>
        <v/>
      </c>
    </row>
    <row r="13" spans="1:23" customFormat="1" ht="18.75" customHeight="1" x14ac:dyDescent="0.25">
      <c r="A13" s="28" t="s">
        <v>371</v>
      </c>
      <c r="B13" s="28" t="s">
        <v>358</v>
      </c>
      <c r="C13" t="s">
        <v>1</v>
      </c>
      <c r="D13" t="str">
        <f t="shared" si="13"/>
        <v>QuantityReceived</v>
      </c>
      <c r="E13" t="str">
        <f t="shared" si="14"/>
        <v>decimal</v>
      </c>
      <c r="F13" s="6"/>
      <c r="G13" t="str">
        <f t="shared" si="15"/>
        <v>18,5</v>
      </c>
      <c r="H13" t="str">
        <f>+VLOOKUP(E13,'Data Type Mapping'!A:B,2,)</f>
        <v>decimal?</v>
      </c>
      <c r="I13" t="str">
        <f t="shared" si="16"/>
        <v/>
      </c>
      <c r="J13" t="str">
        <f t="shared" si="17"/>
        <v xml:space="preserve">		public virtual decimal? QuantityReceived { get; set; }
</v>
      </c>
      <c r="K13" s="6"/>
      <c r="L13" t="str">
        <f t="shared" si="18"/>
        <v/>
      </c>
      <c r="M13" t="str">
        <f t="shared" si="19"/>
        <v xml:space="preserve">		public virtual decimal? QuantityReceived { get; set; }
</v>
      </c>
      <c r="N13" t="str">
        <f t="shared" si="20"/>
        <v xml:space="preserve">		public virtual decimal? QuantityReceived { get; set; }
</v>
      </c>
      <c r="O13" t="str">
        <f t="shared" si="21"/>
        <v/>
      </c>
      <c r="P13" t="str">
        <f t="shared" si="22"/>
        <v xml:space="preserve">							QuantityReceived = o.QuantityReceived,</v>
      </c>
      <c r="T13" s="63" t="str">
        <f t="shared" si="23"/>
        <v xml:space="preserve">								("QuantityReceived"),</v>
      </c>
      <c r="V13" s="64" t="str">
        <f t="shared" si="24"/>
        <v xml:space="preserve">								_ =&gt; _.QuantityReceived,</v>
      </c>
      <c r="W13" s="63" t="str">
        <f t="shared" si="25"/>
        <v/>
      </c>
    </row>
    <row r="14" spans="1:23" customFormat="1" ht="18.75" customHeight="1" x14ac:dyDescent="0.25">
      <c r="A14" s="28" t="s">
        <v>372</v>
      </c>
      <c r="B14" s="28" t="s">
        <v>359</v>
      </c>
      <c r="C14" t="s">
        <v>1</v>
      </c>
      <c r="D14" t="str">
        <f t="shared" si="13"/>
        <v>UnitOfMeasure</v>
      </c>
      <c r="E14" t="str">
        <f t="shared" si="14"/>
        <v>nvarchar</v>
      </c>
      <c r="F14" s="6"/>
      <c r="G14" t="str">
        <f t="shared" si="15"/>
        <v>25</v>
      </c>
      <c r="H14" t="str">
        <f>+VLOOKUP(E14,'Data Type Mapping'!A:B,2,)</f>
        <v>string</v>
      </c>
      <c r="I14" t="str">
        <f t="shared" si="16"/>
        <v xml:space="preserve">		public const int MaxUnitOfMeasureLength = 25;
</v>
      </c>
      <c r="J14" t="str">
        <f t="shared" si="17"/>
        <v xml:space="preserve">		[StringLength(MaxUnitOfMeasureLength)]
		public virtual string UnitOfMeasure { get; set; }
</v>
      </c>
      <c r="K14" s="6"/>
      <c r="L14" t="str">
        <f t="shared" si="18"/>
        <v/>
      </c>
      <c r="M14" t="str">
        <f t="shared" si="19"/>
        <v xml:space="preserve">		public virtual string UnitOfMeasure { get; set; }
</v>
      </c>
      <c r="N14" t="str">
        <f t="shared" si="20"/>
        <v xml:space="preserve">		[StringLength(InvCpsRcvShipmentLinesConsts.MaxUnitOfMeasureLength)]
		public virtual string UnitOfMeasure { get; set; }
</v>
      </c>
      <c r="O14" t="str">
        <f t="shared" si="21"/>
        <v xml:space="preserve">		public virtual string UnitOfMeasure { get; set; }
</v>
      </c>
      <c r="P14" t="str">
        <f t="shared" si="22"/>
        <v xml:space="preserve">							UnitOfMeasure = o.UnitOfMeasure,</v>
      </c>
      <c r="T14" s="63" t="str">
        <f t="shared" si="23"/>
        <v xml:space="preserve">								("UnitOfMeasure"),</v>
      </c>
      <c r="V14" s="64" t="str">
        <f t="shared" si="24"/>
        <v xml:space="preserve">								_ =&gt; _.UnitOfMeasure,</v>
      </c>
      <c r="W14" s="63" t="str">
        <f t="shared" si="25"/>
        <v xml:space="preserve">				.WhereIf(!string.IsNullOrWhiteSpace(input.UnitOfMeasure), e =&gt; e.UnitOfMeasure.Contains(input.UnitOfMeasure))</v>
      </c>
    </row>
    <row r="15" spans="1:23" customFormat="1" ht="18.75" customHeight="1" x14ac:dyDescent="0.25">
      <c r="A15" s="28" t="s">
        <v>373</v>
      </c>
      <c r="B15" s="28" t="s">
        <v>360</v>
      </c>
      <c r="C15" t="s">
        <v>1</v>
      </c>
      <c r="D15" t="str">
        <f t="shared" si="13"/>
        <v>PartNo</v>
      </c>
      <c r="E15" t="str">
        <f t="shared" si="14"/>
        <v>nvarchar</v>
      </c>
      <c r="F15" s="6"/>
      <c r="G15" t="str">
        <f t="shared" si="15"/>
        <v>255</v>
      </c>
      <c r="H15" t="str">
        <f>+VLOOKUP(E15,'Data Type Mapping'!A:B,2,)</f>
        <v>string</v>
      </c>
      <c r="I15" t="str">
        <f t="shared" si="16"/>
        <v xml:space="preserve">		public const int MaxPartNoLength = 255;
</v>
      </c>
      <c r="J15" t="str">
        <f t="shared" si="17"/>
        <v xml:space="preserve">		[StringLength(MaxPartNoLength)]
		public virtual string PartNo { get; set; }
</v>
      </c>
      <c r="K15" s="6"/>
      <c r="L15" t="str">
        <f t="shared" si="18"/>
        <v/>
      </c>
      <c r="M15" t="str">
        <f t="shared" si="19"/>
        <v xml:space="preserve">		public virtual string PartNo { get; set; }
</v>
      </c>
      <c r="N15" t="str">
        <f t="shared" si="20"/>
        <v xml:space="preserve">		[StringLength(InvCpsRcvShipmentLinesConsts.MaxPartNoLength)]
		public virtual string PartNo { get; set; }
</v>
      </c>
      <c r="O15" t="str">
        <f t="shared" si="21"/>
        <v xml:space="preserve">		public virtual string PartNo { get; set; }
</v>
      </c>
      <c r="P15" t="str">
        <f t="shared" si="22"/>
        <v xml:space="preserve">							PartNo = o.PartNo,</v>
      </c>
      <c r="T15" s="63" t="str">
        <f t="shared" si="23"/>
        <v xml:space="preserve">								("PartNo"),</v>
      </c>
      <c r="V15" s="64" t="str">
        <f t="shared" si="24"/>
        <v xml:space="preserve">								_ =&gt; _.PartNo,</v>
      </c>
      <c r="W15" s="63" t="str">
        <f t="shared" si="25"/>
        <v xml:space="preserve">				.WhereIf(!string.IsNullOrWhiteSpace(input.PartNo), e =&gt; e.PartNo.Contains(input.PartNo))</v>
      </c>
    </row>
    <row r="16" spans="1:23" customFormat="1" ht="18.75" customHeight="1" x14ac:dyDescent="0.25">
      <c r="A16" s="28" t="s">
        <v>374</v>
      </c>
      <c r="B16" s="28" t="s">
        <v>356</v>
      </c>
      <c r="C16" t="s">
        <v>1</v>
      </c>
      <c r="D16" t="str">
        <f t="shared" si="13"/>
        <v>ItemDescription</v>
      </c>
      <c r="E16" t="str">
        <f t="shared" si="14"/>
        <v>nvarchar</v>
      </c>
      <c r="F16" s="6"/>
      <c r="G16" t="str">
        <f t="shared" si="15"/>
        <v>240</v>
      </c>
      <c r="H16" t="str">
        <f>+VLOOKUP(E16,'Data Type Mapping'!A:B,2,)</f>
        <v>string</v>
      </c>
      <c r="I16" t="str">
        <f t="shared" si="16"/>
        <v xml:space="preserve">		public const int MaxItemDescriptionLength = 240;
</v>
      </c>
      <c r="J16" t="str">
        <f t="shared" si="17"/>
        <v xml:space="preserve">		[StringLength(MaxItemDescriptionLength)]
		public virtual string ItemDescription { get; set; }
</v>
      </c>
      <c r="K16" s="6"/>
      <c r="L16" t="str">
        <f t="shared" si="18"/>
        <v/>
      </c>
      <c r="M16" t="str">
        <f t="shared" si="19"/>
        <v xml:space="preserve">		public virtual string ItemDescription { get; set; }
</v>
      </c>
      <c r="N16" t="str">
        <f t="shared" si="20"/>
        <v xml:space="preserve">		[StringLength(InvCpsRcvShipmentLinesConsts.MaxItemDescriptionLength)]
		public virtual string ItemDescription { get; set; }
</v>
      </c>
      <c r="O16" t="str">
        <f t="shared" si="21"/>
        <v xml:space="preserve">		public virtual string ItemDescription { get; set; }
</v>
      </c>
      <c r="P16" t="str">
        <f t="shared" si="22"/>
        <v xml:space="preserve">							ItemDescription = o.ItemDescription,</v>
      </c>
      <c r="T16" s="63" t="str">
        <f t="shared" si="23"/>
        <v xml:space="preserve">								("ItemDescription"),</v>
      </c>
      <c r="V16" s="64" t="str">
        <f t="shared" si="24"/>
        <v xml:space="preserve">								_ =&gt; _.ItemDescription,</v>
      </c>
      <c r="W16" s="63" t="str">
        <f t="shared" si="25"/>
        <v xml:space="preserve">				.WhereIf(!string.IsNullOrWhiteSpace(input.ItemDescription), e =&gt; e.ItemDescription.Contains(input.ItemDescription))</v>
      </c>
    </row>
    <row r="17" spans="1:23" customFormat="1" ht="18.75" customHeight="1" x14ac:dyDescent="0.25">
      <c r="A17" s="28" t="s">
        <v>375</v>
      </c>
      <c r="B17" s="28" t="s">
        <v>0</v>
      </c>
      <c r="C17" t="s">
        <v>1</v>
      </c>
      <c r="D17" t="str">
        <f t="shared" si="13"/>
        <v>ItemId</v>
      </c>
      <c r="E17" t="str">
        <f t="shared" si="14"/>
        <v>bigint</v>
      </c>
      <c r="F17" s="6"/>
      <c r="G17" t="str">
        <f t="shared" si="15"/>
        <v/>
      </c>
      <c r="H17" t="str">
        <f>+VLOOKUP(E17,'Data Type Mapping'!A:B,2,)</f>
        <v>long?</v>
      </c>
      <c r="I17" t="str">
        <f t="shared" si="16"/>
        <v/>
      </c>
      <c r="J17" t="str">
        <f t="shared" si="17"/>
        <v xml:space="preserve">		public virtual long? ItemId { get; set; }
</v>
      </c>
      <c r="K17" s="6"/>
      <c r="L17" t="str">
        <f t="shared" si="18"/>
        <v/>
      </c>
      <c r="M17" t="str">
        <f t="shared" si="19"/>
        <v xml:space="preserve">		public virtual long? ItemId { get; set; }
</v>
      </c>
      <c r="N17" t="str">
        <f t="shared" si="20"/>
        <v xml:space="preserve">		public virtual long? ItemId { get; set; }
</v>
      </c>
      <c r="O17" t="str">
        <f t="shared" si="21"/>
        <v/>
      </c>
      <c r="P17" t="str">
        <f t="shared" si="22"/>
        <v xml:space="preserve">							ItemId = o.ItemId,</v>
      </c>
      <c r="T17" s="63" t="str">
        <f t="shared" si="23"/>
        <v xml:space="preserve">								("ItemId"),</v>
      </c>
      <c r="V17" s="64" t="str">
        <f t="shared" si="24"/>
        <v xml:space="preserve">								_ =&gt; _.ItemId,</v>
      </c>
      <c r="W17" s="63" t="str">
        <f t="shared" si="25"/>
        <v/>
      </c>
    </row>
    <row r="18" spans="1:23" customFormat="1" ht="18.75" customHeight="1" x14ac:dyDescent="0.25">
      <c r="A18" s="28" t="s">
        <v>376</v>
      </c>
      <c r="B18" s="28" t="s">
        <v>359</v>
      </c>
      <c r="C18" t="s">
        <v>1</v>
      </c>
      <c r="D18" t="str">
        <f t="shared" si="0"/>
        <v>ShipmentLineStatusCode</v>
      </c>
      <c r="E18" t="str">
        <f t="shared" si="1"/>
        <v>nvarchar</v>
      </c>
      <c r="F18" s="6"/>
      <c r="G18" t="str">
        <f t="shared" si="2"/>
        <v>25</v>
      </c>
      <c r="H18" t="str">
        <f>+VLOOKUP(E18,'Data Type Mapping'!A:B,2,)</f>
        <v>string</v>
      </c>
      <c r="I18" t="str">
        <f t="shared" si="3"/>
        <v xml:space="preserve">		public const int MaxShipmentLineStatusCodeLength = 25;
</v>
      </c>
      <c r="J18" t="str">
        <f t="shared" si="4"/>
        <v xml:space="preserve">		[StringLength(MaxShipmentLineStatusCodeLength)]
		public virtual string ShipmentLineStatusCode { get; set; }
</v>
      </c>
      <c r="K18" s="6"/>
      <c r="L18" t="str">
        <f t="shared" si="5"/>
        <v/>
      </c>
      <c r="M18" t="str">
        <f t="shared" si="6"/>
        <v xml:space="preserve">		public virtual string ShipmentLineStatusCode { get; set; }
</v>
      </c>
      <c r="N18" t="str">
        <f t="shared" si="7"/>
        <v xml:space="preserve">		[StringLength(InvCpsRcvShipmentLinesConsts.MaxShipmentLineStatusCodeLength)]
		public virtual string ShipmentLineStatusCode { get; set; }
</v>
      </c>
      <c r="O18" t="str">
        <f t="shared" si="8"/>
        <v xml:space="preserve">		public virtual string ShipmentLineStatusCode { get; set; }
</v>
      </c>
      <c r="P18" t="str">
        <f t="shared" si="9"/>
        <v xml:space="preserve">							ShipmentLineStatusCode = o.ShipmentLineStatusCode,</v>
      </c>
      <c r="T18" s="63" t="str">
        <f t="shared" si="10"/>
        <v xml:space="preserve">								("ShipmentLineStatusCode"),</v>
      </c>
      <c r="V18" s="64" t="str">
        <f t="shared" si="11"/>
        <v xml:space="preserve">								_ =&gt; _.ShipmentLineStatusCode,</v>
      </c>
      <c r="W18" s="63" t="str">
        <f t="shared" si="12"/>
        <v xml:space="preserve">				.WhereIf(!string.IsNullOrWhiteSpace(input.ShipmentLineStatusCode), e =&gt; e.ShipmentLineStatusCode.Contains(input.ShipmentLineStatusCode))</v>
      </c>
    </row>
    <row r="19" spans="1:23" customFormat="1" ht="18.75" customHeight="1" x14ac:dyDescent="0.25">
      <c r="A19" s="28" t="s">
        <v>357</v>
      </c>
      <c r="B19" s="28" t="s">
        <v>0</v>
      </c>
      <c r="C19" t="s">
        <v>1</v>
      </c>
      <c r="D19" t="str">
        <f t="shared" si="0"/>
        <v>Poheaderid</v>
      </c>
      <c r="E19" t="str">
        <f t="shared" si="1"/>
        <v>bigint</v>
      </c>
      <c r="F19" s="6"/>
      <c r="G19" t="str">
        <f t="shared" si="2"/>
        <v/>
      </c>
      <c r="H19" t="str">
        <f>+VLOOKUP(E19,'Data Type Mapping'!A:B,2,)</f>
        <v>long?</v>
      </c>
      <c r="I19" t="str">
        <f t="shared" si="3"/>
        <v/>
      </c>
      <c r="J19" t="str">
        <f t="shared" si="4"/>
        <v xml:space="preserve">		public virtual long? Poheaderid { get; set; }
</v>
      </c>
      <c r="K19" s="6"/>
      <c r="L19" t="str">
        <f t="shared" si="5"/>
        <v/>
      </c>
      <c r="M19" t="str">
        <f t="shared" si="6"/>
        <v xml:space="preserve">		public virtual long? Poheaderid { get; set; }
</v>
      </c>
      <c r="N19" t="str">
        <f t="shared" si="7"/>
        <v xml:space="preserve">		public virtual long? Poheaderid { get; set; }
</v>
      </c>
      <c r="O19" t="str">
        <f t="shared" si="8"/>
        <v/>
      </c>
      <c r="P19" t="str">
        <f t="shared" si="9"/>
        <v xml:space="preserve">							Poheaderid = o.Poheaderid,</v>
      </c>
      <c r="T19" s="63" t="str">
        <f t="shared" si="10"/>
        <v xml:space="preserve">								("Poheaderid"),</v>
      </c>
      <c r="V19" s="64" t="str">
        <f t="shared" si="11"/>
        <v xml:space="preserve">								_ =&gt; _.Poheaderid,</v>
      </c>
      <c r="W19" s="63" t="str">
        <f t="shared" si="12"/>
        <v/>
      </c>
    </row>
    <row r="20" spans="1:23" customFormat="1" ht="18.75" customHeight="1" x14ac:dyDescent="0.25">
      <c r="A20" s="28" t="s">
        <v>377</v>
      </c>
      <c r="B20" s="28" t="s">
        <v>0</v>
      </c>
      <c r="C20" t="s">
        <v>1</v>
      </c>
      <c r="D20" t="str">
        <f t="shared" si="0"/>
        <v>PoLineId</v>
      </c>
      <c r="E20" t="str">
        <f t="shared" si="1"/>
        <v>bigint</v>
      </c>
      <c r="F20" s="6"/>
      <c r="G20" t="str">
        <f t="shared" si="2"/>
        <v/>
      </c>
      <c r="H20" t="str">
        <f>+VLOOKUP(E20,'Data Type Mapping'!A:B,2,)</f>
        <v>long?</v>
      </c>
      <c r="I20" t="str">
        <f t="shared" si="3"/>
        <v/>
      </c>
      <c r="J20" t="str">
        <f t="shared" si="4"/>
        <v xml:space="preserve">		public virtual long? PoLineId { get; set; }
</v>
      </c>
      <c r="K20" s="6"/>
      <c r="L20" t="str">
        <f t="shared" si="5"/>
        <v/>
      </c>
      <c r="M20" t="str">
        <f t="shared" si="6"/>
        <v xml:space="preserve">		public virtual long? PoLineId { get; set; }
</v>
      </c>
      <c r="N20" t="str">
        <f t="shared" si="7"/>
        <v xml:space="preserve">		public virtual long? PoLineId { get; set; }
</v>
      </c>
      <c r="O20" t="str">
        <f t="shared" si="8"/>
        <v/>
      </c>
      <c r="P20" t="str">
        <f t="shared" si="9"/>
        <v xml:space="preserve">							PoLineId = o.PoLineId,</v>
      </c>
      <c r="T20" s="63" t="str">
        <f t="shared" si="10"/>
        <v xml:space="preserve">								("PoLineId"),</v>
      </c>
      <c r="V20" s="64" t="str">
        <f t="shared" si="11"/>
        <v xml:space="preserve">								_ =&gt; _.PoLineId,</v>
      </c>
      <c r="W20" s="63" t="str">
        <f t="shared" si="12"/>
        <v/>
      </c>
    </row>
    <row r="21" spans="1:23" customFormat="1" ht="18.75" customHeight="1" x14ac:dyDescent="0.25">
      <c r="A21" s="28" t="s">
        <v>378</v>
      </c>
      <c r="B21" s="28" t="s">
        <v>0</v>
      </c>
      <c r="C21" t="s">
        <v>1</v>
      </c>
      <c r="D21" t="str">
        <f t="shared" si="0"/>
        <v>PoLineShipmentId</v>
      </c>
      <c r="E21" t="str">
        <f t="shared" si="1"/>
        <v>bigint</v>
      </c>
      <c r="F21" s="6"/>
      <c r="G21" t="str">
        <f t="shared" si="2"/>
        <v/>
      </c>
      <c r="H21" t="str">
        <f>+VLOOKUP(E21,'Data Type Mapping'!A:B,2,)</f>
        <v>long?</v>
      </c>
      <c r="I21" t="str">
        <f t="shared" si="3"/>
        <v/>
      </c>
      <c r="J21" t="str">
        <f t="shared" si="4"/>
        <v xml:space="preserve">		public virtual long? PoLineShipmentId { get; set; }
</v>
      </c>
      <c r="K21" s="6"/>
      <c r="L21" t="str">
        <f t="shared" si="5"/>
        <v/>
      </c>
      <c r="M21" t="str">
        <f t="shared" si="6"/>
        <v xml:space="preserve">		public virtual long? PoLineShipmentId { get; set; }
</v>
      </c>
      <c r="N21" t="str">
        <f t="shared" si="7"/>
        <v xml:space="preserve">		public virtual long? PoLineShipmentId { get; set; }
</v>
      </c>
      <c r="O21" t="str">
        <f t="shared" si="8"/>
        <v/>
      </c>
      <c r="P21" t="str">
        <f t="shared" si="9"/>
        <v xml:space="preserve">							PoLineShipmentId = o.PoLineShipmentId,</v>
      </c>
      <c r="T21" s="63" t="str">
        <f t="shared" si="10"/>
        <v xml:space="preserve">								("PoLineShipmentId"),</v>
      </c>
      <c r="V21" s="64" t="str">
        <f t="shared" si="11"/>
        <v xml:space="preserve">								_ =&gt; _.PoLineShipmentId,</v>
      </c>
      <c r="W21" s="63" t="str">
        <f t="shared" si="12"/>
        <v/>
      </c>
    </row>
    <row r="22" spans="1:23" customFormat="1" ht="18.75" customHeight="1" x14ac:dyDescent="0.25">
      <c r="A22" s="28" t="s">
        <v>379</v>
      </c>
      <c r="B22" s="28" t="s">
        <v>0</v>
      </c>
      <c r="C22" t="s">
        <v>1</v>
      </c>
      <c r="D22" t="str">
        <f t="shared" ref="D22" si="39">SUBSTITUTE(PROPER(A22),"_","")</f>
        <v>EmployeeId</v>
      </c>
      <c r="E22" t="str">
        <f t="shared" ref="E22" si="40">IFERROR(LEFT(B22, FIND("(",B22)-1),B22)</f>
        <v>bigint</v>
      </c>
      <c r="F22" s="6"/>
      <c r="G22" t="str">
        <f t="shared" ref="G22" si="41">IFERROR(MID(B22,FIND("(",B22) +1, FIND(")",B22) - FIND("(",B22) - 1),"")</f>
        <v/>
      </c>
      <c r="H22" t="str">
        <f>+VLOOKUP(E22,'Data Type Mapping'!A:B,2,)</f>
        <v>long?</v>
      </c>
      <c r="I22" t="str">
        <f t="shared" ref="I22" si="42">IF(H22="string",REPT(CHAR(9),2)&amp;"public const int Max"&amp;D22&amp;"Length = "&amp;G22&amp;";"&amp;$E$3,"" )</f>
        <v/>
      </c>
      <c r="J22" t="str">
        <f t="shared" ref="J22" si="43">IF(F22="","",REPT(CHAR(9),2)&amp;"[Column(TypeName="""&amp;F22&amp;""")]"&amp;$E$3)&amp;IF(C22="Checked","",$I$3)&amp;IF(H22="string",REPT(CHAR(9),2)&amp;"[StringLength(Max"&amp;D22&amp;"Length"&amp;")]"&amp;$E$3,"")&amp;REPT(CHAR(9),2)&amp;"public virtual "&amp;H22&amp;IF(C22="?","? "," ")&amp;D22&amp;" { get; set; }" &amp; "
"</f>
        <v xml:space="preserve">		public virtual long? EmployeeId { get; set; }
</v>
      </c>
      <c r="K22" s="6"/>
      <c r="L22" t="str">
        <f t="shared" ref="L22" si="44">IF(K22="","",REPT(CHAR(9),1)&amp;"[Index(nameof("&amp;IF(D22="","",""&amp;D22)&amp;")"&amp;", Name="&amp;"""IX_"&amp;$B$7&amp;"_"&amp;D22&amp;""")]")</f>
        <v/>
      </c>
      <c r="M22" t="str">
        <f t="shared" ref="M22" si="45">REPT(CHAR(9),2)&amp;"public virtual "&amp;IF(OR(H22="DateTime",H22="TimeSpan"),H22&amp;"?",H22)&amp;IF(C22="?","? "," ")&amp;D22&amp;" { get; set; }" &amp; "
"</f>
        <v xml:space="preserve">		public virtual long? EmployeeId { get; set; }
</v>
      </c>
      <c r="N22" t="str">
        <f t="shared" ref="N22" si="46">IF(C22="Checked","",$I$3)&amp;IF(H22="string",REPT(CHAR(9),2)&amp;"[StringLength("&amp;$B$3&amp;"Consts.Max"&amp;D22&amp;"Length"&amp;")]"&amp;$E$3,"")&amp;REPT(CHAR(9),2)&amp;"public virtual "&amp;IF(OR(H22="DateTime",H22="TimeSpan"),H22&amp;"?",H22)&amp;IF(C22="?","? "," ")&amp;D22&amp;" { get; set; }" &amp; "
"</f>
        <v xml:space="preserve">		public virtual long? EmployeeId { get; set; }
</v>
      </c>
      <c r="O22" t="str">
        <f t="shared" ref="O22" si="47">IF(OR(H22="string",H22="DateTime",H22="int"),REPT(CHAR(9),2)&amp;"public virtual "&amp;IF(OR(H22="DateTime",H22="TimeSpan"),H22&amp;"?",H22)&amp;IF(C22="?","? "," ")&amp;D22&amp;" { get; set; }"&amp;$E$3,"")</f>
        <v/>
      </c>
      <c r="P22" t="str">
        <f t="shared" ref="P22" si="48">REPT(CHAR(9),7)&amp;D22&amp;" = o." &amp;D22 &amp;","</f>
        <v xml:space="preserve">							EmployeeId = o.EmployeeId,</v>
      </c>
      <c r="T22" s="63" t="str">
        <f t="shared" ref="T22" si="49">REPT(CHAR(9),8)&amp;"("""&amp;D22&amp;"""),"</f>
        <v xml:space="preserve">								("EmployeeId"),</v>
      </c>
      <c r="V22" s="64" t="str">
        <f t="shared" ref="V22" si="50">REPT(CHAR(9),8)&amp;"_ =&gt; _."&amp;D22&amp;","</f>
        <v xml:space="preserve">								_ =&gt; _.EmployeeId,</v>
      </c>
      <c r="W22" s="63" t="str">
        <f t="shared" ref="W22" si="51">IF(H22="string",REPT(CHAR(9),4)&amp;".WhereIf(!string.IsNullOrWhiteSpace(input."&amp;D22&amp;"), e =&gt; e."&amp;D22&amp;".Contains(input."&amp;D22&amp;"))",IF(H22="DateTime",REPT(CHAR(9),4)&amp;".WhereIf(input."&amp;D22&amp;".HasValue, t =&gt; t."&amp;D22&amp;" == input."&amp;D22&amp;".Value)",""))</f>
        <v/>
      </c>
    </row>
    <row r="23" spans="1:23" customFormat="1" ht="18.75" customHeight="1" x14ac:dyDescent="0.25">
      <c r="A23" s="28" t="s">
        <v>318</v>
      </c>
      <c r="B23" s="28" t="s">
        <v>355</v>
      </c>
      <c r="C23" t="s">
        <v>1</v>
      </c>
      <c r="D23" t="str">
        <f t="shared" ref="D23" si="52">SUBSTITUTE(PROPER(A23),"_","")</f>
        <v>IsActive</v>
      </c>
      <c r="E23" t="str">
        <f t="shared" ref="E23" si="53">IFERROR(LEFT(B23, FIND("(",B23)-1),B23)</f>
        <v>varchar</v>
      </c>
      <c r="F23" s="6"/>
      <c r="G23" t="str">
        <f t="shared" ref="G23" si="54">IFERROR(MID(B23,FIND("(",B23) +1, FIND(")",B23) - FIND("(",B23) - 1),"")</f>
        <v>1</v>
      </c>
      <c r="H23" t="str">
        <f>+VLOOKUP(E23,'Data Type Mapping'!A:B,2,)</f>
        <v>string</v>
      </c>
      <c r="I23" t="str">
        <f t="shared" ref="I23" si="55">IF(H23="string",REPT(CHAR(9),2)&amp;"public const int Max"&amp;D23&amp;"Length = "&amp;G23&amp;";"&amp;$E$3,"" )</f>
        <v xml:space="preserve">		public const int MaxIsActiveLength = 1;
</v>
      </c>
      <c r="J23" t="str">
        <f t="shared" ref="J23" si="56">IF(F23="","",REPT(CHAR(9),2)&amp;"[Column(TypeName="""&amp;F23&amp;""")]"&amp;$E$3)&amp;IF(C23="Checked","",$I$3)&amp;IF(H23="string",REPT(CHAR(9),2)&amp;"[StringLength(Max"&amp;D23&amp;"Length"&amp;")]"&amp;$E$3,"")&amp;REPT(CHAR(9),2)&amp;"public virtual "&amp;H23&amp;IF(C23="?","? "," ")&amp;D23&amp;" { get; set; }" &amp; "
"</f>
        <v xml:space="preserve">		[StringLength(MaxIsActiveLength)]
		public virtual string IsActive { get; set; }
</v>
      </c>
      <c r="K23" s="6"/>
      <c r="L23" t="str">
        <f t="shared" ref="L23" si="57">IF(K23="","",REPT(CHAR(9),1)&amp;"[Index(nameof("&amp;IF(D23="","",""&amp;D23)&amp;")"&amp;", Name="&amp;"""IX_"&amp;$B$7&amp;"_"&amp;D23&amp;""")]")</f>
        <v/>
      </c>
      <c r="M23" t="str">
        <f t="shared" ref="M23" si="58">REPT(CHAR(9),2)&amp;"public virtual "&amp;IF(OR(H23="DateTime",H23="TimeSpan"),H23&amp;"?",H23)&amp;IF(C23="?","? "," ")&amp;D23&amp;" { get; set; }" &amp; "
"</f>
        <v xml:space="preserve">		public virtual string IsActive { get; set; }
</v>
      </c>
      <c r="N23" t="str">
        <f t="shared" ref="N23" si="59">IF(C23="Checked","",$I$3)&amp;IF(H23="string",REPT(CHAR(9),2)&amp;"[StringLength("&amp;$B$3&amp;"Consts.Max"&amp;D23&amp;"Length"&amp;")]"&amp;$E$3,"")&amp;REPT(CHAR(9),2)&amp;"public virtual "&amp;IF(OR(H23="DateTime",H23="TimeSpan"),H23&amp;"?",H23)&amp;IF(C23="?","? "," ")&amp;D23&amp;" { get; set; }" &amp; "
"</f>
        <v xml:space="preserve">		[StringLength(InvCpsRcvShipmentLinesConsts.MaxIsActiveLength)]
		public virtual string IsActive { get; set; }
</v>
      </c>
      <c r="O23" t="str">
        <f t="shared" ref="O23" si="60">IF(OR(H23="string",H23="DateTime",H23="int"),REPT(CHAR(9),2)&amp;"public virtual "&amp;IF(OR(H23="DateTime",H23="TimeSpan"),H23&amp;"?",H23)&amp;IF(C23="?","? "," ")&amp;D23&amp;" { get; set; }"&amp;$E$3,"")</f>
        <v xml:space="preserve">		public virtual string IsActive { get; set; }
</v>
      </c>
      <c r="P23" t="str">
        <f t="shared" ref="P23" si="61">REPT(CHAR(9),7)&amp;D23&amp;" = o." &amp;D23 &amp;","</f>
        <v xml:space="preserve">							IsActive = o.IsActive,</v>
      </c>
      <c r="T23" s="63" t="str">
        <f t="shared" ref="T23" si="62">REPT(CHAR(9),8)&amp;"("""&amp;D23&amp;"""),"</f>
        <v xml:space="preserve">								("IsActive"),</v>
      </c>
      <c r="V23" s="64" t="str">
        <f t="shared" ref="V23" si="63">REPT(CHAR(9),8)&amp;"_ =&gt; _."&amp;D23&amp;","</f>
        <v xml:space="preserve">								_ =&gt; _.IsActive,</v>
      </c>
      <c r="W23" s="63" t="str">
        <f t="shared" ref="W23" si="64">IF(H23="string",REPT(CHAR(9),4)&amp;".WhereIf(!string.IsNullOrWhiteSpace(input."&amp;D23&amp;"), e =&gt; e."&amp;D23&amp;".Contains(input."&amp;D23&amp;"))",IF(H23="DateTime",REPT(CHAR(9),4)&amp;".WhereIf(input."&amp;D23&amp;".HasValue, t =&gt; t."&amp;D23&amp;" == input."&amp;D23&amp;".Value)",""))</f>
        <v xml:space="preserve">				.WhereIf(!string.IsNullOrWhiteSpace(input.IsActive), e =&gt; e.IsActive.Contains(input.IsActive))</v>
      </c>
    </row>
    <row r="25" spans="1:23" ht="45.75" customHeight="1" x14ac:dyDescent="0.25">
      <c r="H25" s="11"/>
      <c r="I25" s="31" t="str">
        <f ca="1">TEXTJOIN2("
", TRUE,INDIRECT( $H$1):INDIRECT( $H$3))</f>
        <v xml:space="preserve">		public const int MaxUnitOfMeasureLength = 25;
		public const int MaxPartNoLength = 255;
		public const int MaxItemDescriptionLength = 240;
		public const int MaxShipmentLineStatusCodeLength = 25;
		public const int MaxIsActiveLength = 1;
</v>
      </c>
      <c r="J25" s="30" t="str">
        <f ca="1">TEXTJOIN2("
", TRUE,INDIRECT( $F$1):INDIRECT( $F$3))</f>
        <v xml:space="preserve">		public virtual long? ShipmentHeaderId { get; set; }
		public virtual int? LineNum { get; set; }
		public virtual long? CategoryId { get; set; }
		public virtual decimal? QuantityShipped { get; set; }
		public virtual decimal? QuantityReceived { get; set; }
		[StringLength(MaxUnitOfMeasureLength)]
		public virtual string UnitOfMeasure { get; set; }
		[StringLength(MaxPartNoLength)]
		public virtual string PartNo { get; set; }
		[StringLength(MaxItemDescriptionLength)]
		public virtual string ItemDescription { get; set; }
		public virtual long? ItemId { get; set; }
		[StringLength(MaxShipmentLineStatusCodeLength)]
		public virtual string ShipmentLineStatusCode { get; set; }
		public virtual long? Poheaderid { get; set; }
		public virtual long? PoLineId { get; set; }
		public virtual long? PoLineShipmentId { get; set; }
		public virtual long? EmployeeId { get; set; }
		[StringLength(MaxIsActiveLength)]
		public virtual string IsActive { get; set; }
</v>
      </c>
      <c r="K25" s="32" t="str">
        <f ca="1">TEXTJOIN2("
", TRUE,INDIRECT( $J$1):INDIRECT( $J$3))</f>
        <v/>
      </c>
      <c r="L25" s="12" t="s">
        <v>56</v>
      </c>
      <c r="M25" s="33" t="str">
        <f ca="1">TEXTJOIN2("
",TRUE,INDIRECT( $L$1):INDIRECT($L$3))</f>
        <v xml:space="preserve">		public virtual long? ShipmentHeaderId { get; set; }
		public virtual int? LineNum { get; set; }
		public virtual long? CategoryId { get; set; }
		public virtual decimal? QuantityShipped { get; set; }
		public virtual decimal? QuantityReceived { get; set; }
		public virtual string UnitOfMeasure { get; set; }
		public virtual string PartNo { get; set; }
		public virtual string ItemDescription { get; set; }
		public virtual long? ItemId { get; set; }
		public virtual string ShipmentLineStatusCode { get; set; }
		public virtual long? Poheaderid { get; set; }
		public virtual long? PoLineId { get; set; }
		public virtual long? PoLineShipmentId { get; set; }
		public virtual long? EmployeeId { get; set; }
		public virtual string IsActive { get; set; }
</v>
      </c>
      <c r="N25" s="30" t="str">
        <f ca="1">TEXTJOIN2("
",TRUE,INDIRECT( $M$1):INDIRECT($M$3))</f>
        <v xml:space="preserve">		public virtual long? ShipmentHeaderId { get; set; }
		public virtual int? LineNum { get; set; }
		public virtual long? CategoryId { get; set; }
		public virtual decimal? QuantityShipped { get; set; }
		public virtual decimal? QuantityReceived { get; set; }
		[StringLength(InvCpsRcvShipmentLinesConsts.MaxUnitOfMeasureLength)]
		public virtual string UnitOfMeasure { get; set; }
		[StringLength(InvCpsRcvShipmentLinesConsts.MaxPartNoLength)]
		public virtual string PartNo { get; set; }
		[StringLength(InvCpsRcvShipmentLinesConsts.MaxItemDescriptionLength)]
		public virtual string ItemDescription { get; set; }
		public virtual long? ItemId { get; set; }
		[StringLength(InvCpsRcvShipmentLinesConsts.MaxShipmentLineStatusCodeLength)]
		public virtual string ShipmentLineStatusCode { get; set; }
		public virtual long? Poheaderid { get; set; }
		public virtual long? PoLineId { get; set; }
		public virtual long? PoLineShipmentId { get; set; }
		public virtual long? EmployeeId { get; set; }
		[StringLength(InvCpsRcvShipmentLinesConsts.MaxIsActiveLength)]
		public virtual string IsActive { get; set; }
</v>
      </c>
      <c r="O25" s="30" t="str">
        <f ca="1">TEXTJOIN2("
",TRUE,INDIRECT( $N$1):INDIRECT($N$3))</f>
        <v xml:space="preserve">		public virtual string UnitOfMeasure { get; set; }
		public virtual string PartNo { get; set; }
		public virtual string ItemDescription { get; set; }
		public virtual string ShipmentLineStatusCode { get; set; }
		public virtual string IsActive { get; set; }
</v>
      </c>
      <c r="P25" s="8" t="str">
        <f ca="1">TEXTJOIN2("
",TRUE,INDIRECT( $O$1):INDIRECT($O$3))</f>
        <v xml:space="preserve">							ShipmentHeaderId = o.ShipmentHeaderId,
							LineNum = o.LineNum,
							CategoryId = o.CategoryId,
							QuantityShipped = o.QuantityShipped,
							QuantityReceived = o.QuantityReceived,
							UnitOfMeasure = o.UnitOfMeasure,
							PartNo = o.PartNo,
							ItemDescription = o.ItemDescription,
							ItemId = o.ItemId,
							ShipmentLineStatusCode = o.ShipmentLineStatusCode,
							Poheaderid = o.Poheaderid,
							PoLineId = o.PoLineId,
							PoLineShipmentId = o.PoLineShipmentId,
							EmployeeId = o.EmployeeId,
							IsActive = o.IsActive,</v>
      </c>
      <c r="T25" s="8" t="str">
        <f ca="1">TEXTJOIN2("
",TRUE,INDIRECT( $T$2):INDIRECT($T$3))</f>
        <v xml:space="preserve">								("ShipmentHeaderId"),
								("LineNum"),
								("CategoryId"),
								("QuantityShipped"),
								("QuantityReceived"),
								("UnitOfMeasure"),
								("PartNo"),
								("ItemDescription"),
								("ItemId"),
								("ShipmentLineStatusCode"),
								("Poheaderid"),
								("PoLineId"),
								("PoLineShipmentId"),
								("EmployeeId"),
								("IsActive"),</v>
      </c>
      <c r="V25" s="8" t="str">
        <f ca="1">TEXTJOIN2("
",TRUE,INDIRECT( $V$2):INDIRECT($V$3))</f>
        <v xml:space="preserve">								_ =&gt; _.ShipmentHeaderId,
								_ =&gt; _.LineNum,
								_ =&gt; _.CategoryId,
								_ =&gt; _.QuantityShipped,
								_ =&gt; _.QuantityReceived,
								_ =&gt; _.UnitOfMeasure,
								_ =&gt; _.PartNo,
								_ =&gt; _.ItemDescription,
								_ =&gt; _.ItemId,
								_ =&gt; _.ShipmentLineStatusCode,
								_ =&gt; _.Poheaderid,
								_ =&gt; _.PoLineId,
								_ =&gt; _.PoLineShipmentId,
								_ =&gt; _.EmployeeId,
								_ =&gt; _.IsActive,</v>
      </c>
      <c r="W25" s="8" t="str">
        <f ca="1">TEXTJOIN2("
",TRUE,INDIRECT( $W$2):INDIRECT($W$3))</f>
        <v xml:space="preserve">				.WhereIf(!string.IsNullOrWhiteSpace(input.UnitOfMeasure), e =&gt; e.UnitOfMeasure.Contains(input.UnitOfMeasure))
				.WhereIf(!string.IsNullOrWhiteSpace(input.PartNo), e =&gt; e.PartNo.Contains(input.PartNo))
				.WhereIf(!string.IsNullOrWhiteSpace(input.ItemDescription), e =&gt; e.ItemDescription.Contains(input.ItemDescription))
				.WhereIf(!string.IsNullOrWhiteSpace(input.ShipmentLineStatusCode), e =&gt; e.ShipmentLineStatusCode.Contains(input.ShipmentLineStatusCode))
				.WhereIf(!string.IsNullOrWhiteSpace(input.IsActive), e =&gt; e.IsActive.Contains(input.IsActive))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31"/>
  <sheetViews>
    <sheetView workbookViewId="0">
      <selection activeCell="A15" sqref="A15:A28"/>
    </sheetView>
  </sheetViews>
  <sheetFormatPr defaultColWidth="8.85546875" defaultRowHeight="15" x14ac:dyDescent="0.25"/>
  <cols>
    <col min="1" max="1" width="17.7109375" customWidth="1"/>
    <col min="2" max="2" width="15.42578125" customWidth="1"/>
    <col min="3" max="3" width="16.85546875" customWidth="1"/>
    <col min="4" max="7" width="15.140625" customWidth="1"/>
    <col min="8" max="8" width="35.5703125" customWidth="1"/>
    <col min="9" max="9" width="31.7109375" customWidth="1"/>
    <col min="10" max="10" width="22.28515625" customWidth="1"/>
    <col min="11" max="11" width="45.140625" customWidth="1"/>
    <col min="12" max="12" width="51.7109375" customWidth="1"/>
    <col min="13" max="13" width="23.42578125" customWidth="1"/>
    <col min="14" max="15" width="20.42578125" customWidth="1"/>
    <col min="16" max="16" width="25.85546875" customWidth="1"/>
    <col min="17" max="18" width="25.42578125" customWidth="1"/>
    <col min="19" max="19" width="24" customWidth="1"/>
    <col min="20" max="20" width="19.140625" customWidth="1"/>
    <col min="21" max="21" width="19.85546875" customWidth="1"/>
    <col min="22" max="22" width="13.7109375" customWidth="1"/>
  </cols>
  <sheetData>
    <row r="1" spans="1:22" ht="30" x14ac:dyDescent="0.25">
      <c r="A1" s="38" t="s">
        <v>207</v>
      </c>
      <c r="B1" s="39" t="s">
        <v>363</v>
      </c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</row>
    <row r="2" spans="1:22" x14ac:dyDescent="0.25">
      <c r="A2" s="38" t="s">
        <v>232</v>
      </c>
      <c r="B2" s="39" t="str">
        <f>A.Backend!B4</f>
        <v>Inventory</v>
      </c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</row>
    <row r="3" spans="1:22" x14ac:dyDescent="0.25">
      <c r="A3" s="38" t="s">
        <v>232</v>
      </c>
      <c r="B3" s="39" t="str">
        <f>LOWER(B2)</f>
        <v>inventory</v>
      </c>
      <c r="C3" s="28"/>
      <c r="D3" s="28"/>
      <c r="E3" s="28"/>
      <c r="F3" s="28"/>
      <c r="G3" s="28"/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</row>
    <row r="4" spans="1:22" x14ac:dyDescent="0.25">
      <c r="A4" s="38" t="s">
        <v>209</v>
      </c>
      <c r="B4" s="40" t="str">
        <f>A.Backend!Q3</f>
        <v>CPS</v>
      </c>
      <c r="C4" s="28"/>
      <c r="D4" s="28"/>
      <c r="E4" s="28"/>
      <c r="F4" s="28"/>
      <c r="G4" s="28"/>
      <c r="H4" s="28"/>
      <c r="I4" s="28"/>
      <c r="J4" s="28"/>
      <c r="K4" s="28"/>
      <c r="L4" s="28"/>
      <c r="M4" s="28"/>
      <c r="N4" s="28"/>
      <c r="O4" s="28"/>
      <c r="P4" s="28"/>
      <c r="Q4" s="28"/>
      <c r="R4" s="28"/>
    </row>
    <row r="5" spans="1:22" x14ac:dyDescent="0.25">
      <c r="A5" s="38" t="s">
        <v>209</v>
      </c>
      <c r="B5" s="40" t="str">
        <f>LOWER(B4)</f>
        <v>cps</v>
      </c>
      <c r="C5" s="28"/>
      <c r="D5" s="28"/>
      <c r="E5" s="28"/>
      <c r="F5" s="28"/>
      <c r="G5" s="28"/>
      <c r="H5" s="28"/>
      <c r="I5" s="28"/>
      <c r="J5" s="28"/>
      <c r="K5" s="28"/>
      <c r="L5" s="28"/>
      <c r="M5" s="28"/>
      <c r="N5" s="28"/>
      <c r="O5" s="28"/>
      <c r="P5" s="28"/>
      <c r="Q5" s="28"/>
      <c r="R5" s="28"/>
    </row>
    <row r="6" spans="1:22" x14ac:dyDescent="0.25">
      <c r="A6" s="38" t="s">
        <v>219</v>
      </c>
      <c r="B6" s="41" t="str">
        <f>A.Backend!B3</f>
        <v>InvCpsRcvShipmentLines</v>
      </c>
      <c r="C6" s="28"/>
      <c r="D6" s="28"/>
      <c r="E6" s="28"/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28"/>
      <c r="R6" s="28"/>
    </row>
    <row r="7" spans="1:22" x14ac:dyDescent="0.25">
      <c r="A7" s="38" t="s">
        <v>210</v>
      </c>
      <c r="B7" s="40" t="str">
        <f>A.Backend!B5</f>
        <v>RcvShipmentLines</v>
      </c>
      <c r="C7" s="28"/>
      <c r="D7" s="28"/>
      <c r="E7" s="28"/>
      <c r="F7" s="28"/>
      <c r="G7" s="28"/>
      <c r="H7" s="28"/>
      <c r="I7" s="28"/>
      <c r="J7" s="28"/>
      <c r="K7" s="28"/>
      <c r="L7" s="28"/>
      <c r="M7" s="28"/>
      <c r="N7" s="28"/>
      <c r="O7" s="28"/>
      <c r="P7" s="28"/>
      <c r="Q7" s="28"/>
      <c r="R7" s="28"/>
    </row>
    <row r="8" spans="1:22" x14ac:dyDescent="0.25">
      <c r="A8" s="38" t="s">
        <v>208</v>
      </c>
      <c r="B8" s="40" t="str">
        <f>LOWER(B7)</f>
        <v>rcvshipmentlines</v>
      </c>
      <c r="C8" s="28"/>
      <c r="D8" s="28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  <c r="Q8" s="28"/>
      <c r="R8" s="28"/>
    </row>
    <row r="9" spans="1:22" ht="18.75" customHeight="1" x14ac:dyDescent="0.25">
      <c r="A9" s="50" t="s">
        <v>211</v>
      </c>
      <c r="B9" s="51"/>
      <c r="C9" s="50"/>
      <c r="D9" s="50"/>
      <c r="E9" s="50"/>
      <c r="F9" s="50"/>
      <c r="G9" s="50"/>
      <c r="H9" s="42" t="s">
        <v>263</v>
      </c>
      <c r="I9" s="43" t="s">
        <v>264</v>
      </c>
      <c r="J9" s="42" t="s">
        <v>214</v>
      </c>
      <c r="K9" s="44" t="s">
        <v>251</v>
      </c>
      <c r="L9" s="43" t="s">
        <v>255</v>
      </c>
      <c r="M9" s="42" t="s">
        <v>244</v>
      </c>
      <c r="N9" s="42" t="s">
        <v>215</v>
      </c>
      <c r="O9" s="42" t="s">
        <v>216</v>
      </c>
      <c r="P9" s="43" t="s">
        <v>218</v>
      </c>
      <c r="Q9" s="42" t="s">
        <v>245</v>
      </c>
      <c r="R9" s="42" t="s">
        <v>228</v>
      </c>
      <c r="S9" s="28"/>
      <c r="T9" s="28"/>
      <c r="U9" s="28"/>
      <c r="V9" s="28"/>
    </row>
    <row r="10" spans="1:22" ht="18.75" customHeight="1" x14ac:dyDescent="0.25">
      <c r="A10" s="52" t="s">
        <v>212</v>
      </c>
      <c r="B10" s="53"/>
      <c r="C10" s="46"/>
      <c r="D10" s="46"/>
      <c r="E10" s="46"/>
      <c r="F10" s="46"/>
      <c r="G10" s="46"/>
      <c r="H10" s="45" t="str">
        <f ca="1">SUBSTITUTE(SUBSTITUTE(SUBSTITUTE(SUBSTITUTE(SUBSTITUTE(SUBSTITUTE(SUBSTITUTE(H9,"MstWptCalendar",$B$6),"Calendar",$B$7),"calendar",$B$8),"&lt;PROPERTIES&gt;",H13),"&lt;DECLARE&gt;",S13),"&lt;PARAMS&gt;",T13),"&lt;CLEARPARAMS&gt;",U13)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InvCpsRcvShipmentLinesDto, InvCpsRcvShipmentLinesServiceProxy } from '@shared/service-proxies/service-proxies';
import { finalize } from 'rxjs/internal/operators/finalize';
import { CreateOrEditRcvShipmentLinesModalComponent } from './create-or-edit-rcvshipmentlines-modal.component';
import { DatePipe } from '@angular/common';
import { FileDownloadService } from '@shared/utils/file-download.service';
import ceil from 'lodash-es/ceil';
import { Paginator } from 'primeng/paginator';
@Component({
    templateUrl: './rcvshipmentlines.component.html',
    styleUrls: ['./rcvshipmentlines.component.less'],
})
export class RcvShipmentLinesComponent extends AppComponentBase implements OnInit {
    @ViewChild('createOrEditModalRcvShipmentLines', { static: true }) createOrEditModalRcvShipmentLines:| CreateOrEditRcvShipmentLinesModalComponent|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InvCpsRcvShipmentLinesDto = new InvCpsRcvShipmentLinesDto();
    saveSelectedRow: InvCpsRcvShipmentLinesDto = new InvCpsRcvShipmentLinesDto();
    datas: InvCpsRcvShipmentLinesDto = new InvCpsRcvShipmentLinesDto();
    isLoading: boolean = false;
    dataParams: GridParams | undefined;
    rowData: any[] = [];
    gridApi!: GridApi;
    rowSelection = 'multiple';
    filter: string = '';
	pipe = new DatePipe('en-US');
	frameworkComponents: FrameworkComponent;
    	unitOfMeasure : string = '' ; 
	partNo : string = '' ; 
	itemDescription : string = '' ; 
	shipmentLineStatusCode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InvCpsRcvShipmentLinesServiceProxy,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this.l('Shipment Header Id'),headerTooltip: this.l('Shipment Header Id'),field: 'shipmentHeaderId',flex: 1},
			{headerName: this.l('Line Num'),headerTooltip: this.l('Line Num'),field: 'lineNum',flex: 1},
			{headerName: this.l('Category Id'),headerTooltip: this.l('Category Id'),field: 'categoryId',flex: 1},
			{headerName: this.l('Quantity Shipped'),headerTooltip: this.l('Quantity Shipped'),field: 'quantityShipped',flex: 1},
			{headerName: this.l('Quantity Received'),headerTooltip: this.l('Quantity Received'),field: 'quantityReceived',flex: 1},
			{headerName: this.l('Unit Of Measure'),headerTooltip: this.l('Unit Of Measure'),field: 'unitOfMeasure',flex: 1},
			{headerName: this.l('Part No'),headerTooltip: this.l('Part No'),field: 'partNo',flex: 1},
			{headerName: this.l('Item Description'),headerTooltip: this.l('Item Description'),field: 'itemDescription',flex: 1},
			{headerName: this.l('Item Id'),headerTooltip: this.l('Item Id'),field: 'itemId',flex: 1},
			{headerName: this.l('Shipment Line Status Code'),headerTooltip: this.l('Shipment Line Status Code'),field: 'shipmentLineStatusCode',flex: 1},
			{headerName: this.l('Poheaderid'),headerTooltip: this.l('Poheaderid'),field: 'poheaderid',flex: 1},
			{headerName: this.l('Po Line Id'),headerTooltip: this.l('Po Line Id'),field: 'poLineId',flex: 1},
			{headerName: this.l('Po Line Shipment Id'),headerTooltip: this.l('Po Line Shipment Id'),field: 'poLineShipmentId',flex: 1},
			{headerName: this.l('Employee Id'),headerTooltip: this.l('Employee Id'),field: 'employeeId',flex: 1},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this.quantityReceived,
			this.unitOfMeasure,
			this.partNo,
			this.itemId,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	unitOfMeasure : string = '' ; 
	partNo : string = '' ; 
	itemDescription : string = '' ; 
	shipmentLineStatusCode : string = '' ; 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this.quantityReceived,
			this.unitOfMeasure,
			this.partNo,
			this.itemId,
			'',
            this.paginationParams.skipCount,
            this.paginationParams.pageSize
        );
    }
    onChangeRowSelection(params: { api: { getSelectedRows: () =&gt; InvCpsRcvShipmentLinesDto[] } }) {
        this.saveSelectedRow = params.api.getSelectedRows()[0] ?? new InvCpsRcvShipmentLinesDto();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InvCpsRcvShipmentLinesDto):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this._service.getRcvShipmentLinesToExcel(
			this.quantityReceived,
			this.unitOfMeasure,
			this.partNo,
			this.itemId,
            )
            .subscribe((result) =&gt; {
                this._fileDownloadService.downloadTempFile(result);
        });
    }
}</v>
      </c>
      <c r="I10" s="45" t="str">
        <f ca="1">SUBSTITUTE(SUBSTITUTE(SUBSTITUTE(SUBSTITUTE(SUBSTITUTE(I9,"MstWptCalendar",$B$6),"Calendar",$B$7),"calendar",$B$8),"&lt;PROPERTIES&gt;",I13),"&lt;FULL_TITLE&gt;",B1)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Cps Rcv ShipmentLines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[(ngModel)]='unitOfMeasure' name='unitOfMeasure'
									class='form-control' [placeholder]="l('Unit Of Measure')"
									type='text' (keyup.enter)='searchDatas()'&gt;
								&lt;/div&gt;
								&lt;div class='input-search'&gt;
									&lt;input [(ngModel)]='partNo' name='partNo'
									class='form-control' [placeholder]="l('Part No')"
									type='text' (keyup.enter)='searchDatas()'&gt;
								&lt;/div&gt;
								&lt;div class='input-search'&gt;
									&lt;input [(ngModel)]='itemDescription' name='itemDescription'
									class='form-control' [placeholder]="l('Item Description')"
									type='text' (keyup.enter)='searchDatas()'&gt;
								&lt;/div&gt;
								&lt;div class='input-search'&gt;
									&lt;input [(ngModel)]='shipmentLineStatusCode' name='shipmentLineStatusCode'
									class='form-control' [placeholder]="l('Shipment Line Status Code')"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(click)="createOrEditModalRcvShipmentLines.show()"&gt;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(click)="createOrEditModalRcvShipmentLines.show(selectedRow)"&gt;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&lt;create-or-edit-rcvshipmentlines-modal
    #createOrEditModalRcvShipmentLines
    (modalSave)="callBackDataGrid(dataParams)"
    (modalClose)="onChangeRowSelection(dataParams)"
&gt;
&lt;/create-or-edit-rcvshipmentlines-modal&gt;</v>
      </c>
      <c r="J10" s="45" t="str">
        <f>J9</f>
        <v>.input-search{
    width: 250px;
    border-radius: 10px;
    margin-left: 10px;
}
.btn-search{
    width: 50px;
    margin-left: 10px;
}</v>
      </c>
      <c r="K10" s="45" t="str">
        <f ca="1">SUBSTITUTE(SUBSTITUTE(SUBSTITUTE(SUBSTITUTE(K9,"MstWptCalendar",$B$6),"Calendar",$B$7),"calendar",$B$8),"&lt;PROPERTIES&gt;",K13)</f>
        <v>&lt;div bsModal #createOrEditModalRcvShipmentLines="bs-modal"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RcvShipmentLines')}}&lt;/h3&gt;
                    &lt;h3 *ngIf="!rowdata.id"&gt;{{('Create New RcvShipmentLines')}}&lt;/h3&gt;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title'&gt;Shipment Header Id&lt;/label&gt;
						&lt;input type='number' class='col-md-10 form-control input-text' name='ShipmentHeaderId' [(ngModel)]='rowdata.shipmentHeaderId'&gt;
					&lt;/div&gt;
					&lt;div class='col-md-12 form-group row'&gt;
						&lt;label class='col-md-2 form-control title'&gt;Line Num&lt;/label&gt;
						&lt;input type='number' class='col-md-10 form-control input-text' name='LineNum' [(ngModel)]='rowdata.lineNum'&gt;
					&lt;/div&gt;
					&lt;div class='col-md-12 form-group row'&gt;
						&lt;label class='col-md-2 form-control title'&gt;Category Id&lt;/label&gt;
						&lt;input type='number' class='col-md-10 form-control input-text' name='CategoryId' [(ngModel)]='rowdata.categoryId'&gt;
					&lt;/div&gt;
					&lt;div class='col-md-12 form-group row'&gt;
						&lt;label class='col-md-2 form-control title'&gt;Unit Of Measure&lt;/label&gt;
						&lt;input type='text' class='col-md-10 form-control input-text' name='UnitOfMeasure' [(ngModel)]='rowdata.unitOfMeasure'&gt;
					&lt;/div&gt;
					&lt;div class='col-md-12 form-group row'&gt;
						&lt;label class='col-md-2 form-control title'&gt;Part No&lt;/label&gt;
						&lt;input type='text' class='col-md-10 form-control input-text' name='PartNo' [(ngModel)]='rowdata.partNo'&gt;
					&lt;/div&gt;
					&lt;div class='col-md-12 form-group row'&gt;
						&lt;label class='col-md-2 form-control title'&gt;Item Description&lt;/label&gt;
						&lt;input type='text' class='col-md-10 form-control input-text' name='ItemDescription' [(ngModel)]='rowdata.itemDescription'&gt;
					&lt;/div&gt;
					&lt;div class='col-md-12 form-group row'&gt;
						&lt;label class='col-md-2 form-control title'&gt;Item Id&lt;/label&gt;
						&lt;input type='number' class='col-md-10 form-control input-text' name='ItemId' [(ngModel)]='rowdata.itemId'&gt;
					&lt;/div&gt;
					&lt;div class='col-md-12 form-group row'&gt;
						&lt;label class='col-md-2 form-control title'&gt;Shipment Line Status Code&lt;/label&gt;
						&lt;input type='text' class='col-md-10 form-control input-text' name='ShipmentLineStatusCode' [(ngModel)]='rowdata.shipmentLineStatusCode'&gt;
					&lt;/div&gt;
					&lt;div class='col-md-12 form-group row'&gt;
						&lt;label class='col-md-2 form-control title'&gt;Poheaderid&lt;/label&gt;
						&lt;input type='number' class='col-md-10 form-control input-text' name='Poheaderid' [(ngModel)]='rowdata.poheaderid'&gt;
					&lt;/div&gt;
					&lt;div class='col-md-12 form-group row'&gt;
						&lt;label class='col-md-2 form-control title'&gt;Po Line Id&lt;/label&gt;
						&lt;input type='number' class='col-md-10 form-control input-text' name='PoLineId' [(ngModel)]='rowdata.poLineId'&gt;
					&lt;/div&gt;
					&lt;div class='col-md-12 form-group row'&gt;
						&lt;label class='col-md-2 form-control title'&gt;Po Line Shipment Id&lt;/label&gt;
						&lt;input type='number' class='col-md-10 form-control input-text' name='PoLineShipmentId' [(ngModel)]='rowdata.poLineShipmentId'&gt;
					&lt;/div&gt;
					&lt;div class='col-md-12 form-group row'&gt;
						&lt;label class='col-md-2 form-control title'&gt;Employee Id&lt;/label&gt;
						&lt;input type='number' class='col-md-10 form-control input-text' name='EmployeeId' [(ngModel)]='rowdata.employeeId'&gt;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L10" s="45" t="str">
        <f ca="1">SUBSTITUTE(SUBSTITUTE(SUBSTITUTE(SUBSTITUTE(SUBSTITUTE(L9,"MstWptCalendar",$B$6),"Calendar",$B$7),"calendar",$B$8),"&lt;VIEWDATETIME&gt;",$L$13),"isActive",$V$13)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CreateOrEditInvCpsRcvShipmentLinesDto, InvCpsRcvShipmentLinesServiceProxy } from '@shared/service-proxies/service-proxies';
import { BsDatepickerDirective } from 'ngx-bootstrap/datepicker';
@Component({
    selector: 'create-or-edit-rcvshipmentlines-modal',
    templateUrl: './create-or-edit-rcvshipmentlines-modal.component.html',
    styleUrls: ['./create-or-edit-rcvshipmentlines-modal.component.less']
    })
export class CreateOrEditRcvShipmentLinesModalComponent extends AppComponentBase {
    @ViewChild('createOrEditModalRcvShipmentLines',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CreateOrEditInvCpsRcvShipmentLinesDto = new CreateOrEditInvCpsRcvShipmentLinesDto();
    active: boolean = false;
    saving: boolean = false;
    _isActive: boolean;
    constructor(
        injector: Injector,
        private _mstwptRcvShipmentLinesService: InvCpsRcvShipmentLinesServiceProxy,
    ) 
    {
        super(injector);
    }
    show(rowdata?: CreateOrEditInvCpsRcvShipmentLinesDto): void {
        if (!rowdata) this.rowdata = new CreateOrEditInvCpsRcvShipmentLinesDto();
        else this.rowdata = rowdata;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this._mstwptRcvShipmentLinesService.createOrEdit(this.rowdata)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M10" s="45" t="str">
        <f>M9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N10" s="45" t="str">
        <f>SUBSTITUTE(SUBSTITUTE(SUBSTITUTE(N9,"MstWptCalendar",$B$6),"Calendar",$B$7),"calendar",$B$8)</f>
        <v>import {NgModule} from '@angular/core';
import {AppSharedModule} from '@app/shared/app-shared.module';
import { RcvShipmentLinesRoutingModule } from './rcvshipmentlines-routing.module';
import { RcvShipmentLinesComponent } from './rcvshipmentlines.component';
import { CreateOrEditRcvShipmentLinesModalComponent } from './create-or-edit-rcvshipmentlines-modal.component';
@NgModule({
    declarations: [
       RcvShipmentLinesComponent, 
        CreateOrEditRcvShipmentLinesModalComponent
    ],
    imports: [
        AppSharedModule, RcvShipmentLinesRoutingModule]
})
export class RcvShipmentLinesModule {}</v>
      </c>
      <c r="O10" s="45" t="str">
        <f>SUBSTITUTE(SUBSTITUTE(SUBSTITUTE(O9,"MstWptCalendar",$B$6),"Calendar",$B$7),"calendar",$B$8)</f>
        <v>import {NgModule} from '@angular/core';
import {RouterModule, Routes} from '@angular/router';
import { RcvShipmentLinesComponent } from './rcvshipmentlines.component';
const routes: Routes = [{
    path: '',
    component: RcvShipmentLinesComponent,
    pathMatch: 'full'
}];
@NgModule({
    imports: [RouterModule.forChild(routes)],
    exports: [RouterModule],
})
export class RcvShipmentLinesRoutingModule {}</v>
      </c>
      <c r="P10" s="45" t="str">
        <f>SUBSTITUTE(SUBSTITUTE(SUBSTITUTE(SUBSTITUTE(SUBSTITUTE(SUBSTITUTE(SUBSTITUTE(P9,"MstWptCalendar",$B$6),"Calendar",$B$7),"calendar",$B$8),"WorkingPattern",$B$4),"workingpattern",$B$5),"Master",$B$2),"master",$B$3)</f>
        <v xml:space="preserve"> new AppMenuItem("RcvShipmentLines", "Pages.Inventory.CPS.RcvShipmentLines", "flaticon-book",   "/app/main/inventory/cps/rcvshipmentlines"),</v>
      </c>
      <c r="Q10" s="45" t="str">
        <f>SUBSTITUTE(SUBSTITUTE(SUBSTITUTE(SUBSTITUTE(SUBSTITUTE(SUBSTITUTE(SUBSTITUTE(Q9,"MstWptCalendar",$B$6),"Calendar",$B$7),"calendar",$B$8),"WorkingPattern",$B$4),"workingpattern",$B$5),"Master",$B$2),"master",$B$3)</f>
        <v>{
    path: 'inventory/cps/rcvshipmentlines',
    loadChildren: () =&gt; import('./inventory/cps/rcvshipmentlines/rcvshipmentlines.module').then(m =&gt; m.RcvShipmentLinesModule),
    data: { permission: 'Pages.Inventory.CPS.RcvShipmentLines' }
},</v>
      </c>
      <c r="R10" s="47" t="str">
        <f>SUBSTITUTE(R9,"MstWptCalendar",$B$6)</f>
        <v>ApiServiceProxies.InvCpsRcvShipmentLinesServiceProxy,</v>
      </c>
      <c r="S10" s="28"/>
      <c r="T10" s="28"/>
      <c r="U10" s="28"/>
      <c r="V10" s="28"/>
    </row>
    <row r="11" spans="1:22" x14ac:dyDescent="0.25">
      <c r="A11" s="54">
        <v>1</v>
      </c>
      <c r="B11" s="34">
        <v>1</v>
      </c>
      <c r="C11" s="28"/>
      <c r="D11" s="28"/>
      <c r="E11" s="28"/>
      <c r="F11" s="28"/>
      <c r="G11" s="28"/>
      <c r="H11" s="28" t="s">
        <v>243</v>
      </c>
      <c r="I11" s="28" t="s">
        <v>256</v>
      </c>
      <c r="J11" s="28"/>
      <c r="K11" s="28" t="s">
        <v>254</v>
      </c>
      <c r="L11" s="28" t="s">
        <v>257</v>
      </c>
      <c r="M11" s="35"/>
      <c r="N11" s="28"/>
      <c r="O11" s="28"/>
      <c r="P11" s="28"/>
      <c r="Q11" s="28"/>
      <c r="R11" s="28"/>
      <c r="S11" s="28" t="s">
        <v>248</v>
      </c>
      <c r="T11" s="28" t="s">
        <v>249</v>
      </c>
      <c r="U11" s="28" t="s">
        <v>258</v>
      </c>
      <c r="V11" s="28" t="s">
        <v>260</v>
      </c>
    </row>
    <row r="12" spans="1:22" x14ac:dyDescent="0.25">
      <c r="A12" s="54">
        <v>2</v>
      </c>
      <c r="B12" s="34"/>
      <c r="C12" s="28"/>
      <c r="D12" s="28"/>
      <c r="E12" s="28"/>
      <c r="F12" s="28"/>
      <c r="G12" s="28"/>
      <c r="H12" s="28" t="str">
        <f>"H"&amp;COUNTA($A:$A)</f>
        <v>H29</v>
      </c>
      <c r="I12" s="28" t="str">
        <f>"I"&amp;COUNTA($A:$A)</f>
        <v>I29</v>
      </c>
      <c r="J12" s="28"/>
      <c r="K12" s="28" t="str">
        <f>"K"&amp;COUNTA($A:$A)</f>
        <v>K29</v>
      </c>
      <c r="L12" s="28" t="str">
        <f>"L"&amp;COUNTA($A:$A)</f>
        <v>L29</v>
      </c>
      <c r="M12" s="28"/>
      <c r="N12" s="28"/>
      <c r="O12" s="28"/>
      <c r="P12" s="28"/>
      <c r="Q12" s="28"/>
      <c r="R12" s="28"/>
      <c r="S12" s="28" t="str">
        <f>"S"&amp;COUNTA($A:$A)</f>
        <v>S29</v>
      </c>
      <c r="T12" s="28" t="str">
        <f>"T"&amp;COUNTA($A:$A)</f>
        <v>T29</v>
      </c>
      <c r="U12" s="28" t="str">
        <f>"U"&amp;COUNTA($A:$A)</f>
        <v>U29</v>
      </c>
      <c r="V12" s="28" t="str">
        <f>"V"&amp;COUNTA($A:$A)</f>
        <v>V29</v>
      </c>
    </row>
    <row r="13" spans="1:22" ht="17.25" customHeight="1" x14ac:dyDescent="0.25">
      <c r="A13" s="54">
        <v>3</v>
      </c>
      <c r="B13" s="28"/>
      <c r="C13" s="28"/>
      <c r="D13" s="28"/>
      <c r="E13" s="28"/>
      <c r="F13" s="28"/>
      <c r="G13" s="28"/>
      <c r="H13" s="35" t="str">
        <f ca="1">TEXTJOIN2("
",TRUE,INDIRECT(H11):INDIRECT(H12))</f>
        <v xml:space="preserve">			{headerName: this.l('Shipment Header Id'),headerTooltip: this.l('Shipment Header Id'),field: 'shipmentHeaderId',flex: 1},
			{headerName: this.l('Line Num'),headerTooltip: this.l('Line Num'),field: 'lineNum',flex: 1},
			{headerName: this.l('Category Id'),headerTooltip: this.l('Category Id'),field: 'categoryId',flex: 1},
			{headerName: this.l('Quantity Shipped'),headerTooltip: this.l('Quantity Shipped'),field: 'quantityShipped',flex: 1},
			{headerName: this.l('Quantity Received'),headerTooltip: this.l('Quantity Received'),field: 'quantityReceived',flex: 1},
			{headerName: this.l('Unit Of Measure'),headerTooltip: this.l('Unit Of Measure'),field: 'unitOfMeasure',flex: 1},
			{headerName: this.l('Part No'),headerTooltip: this.l('Part No'),field: 'partNo',flex: 1},
			{headerName: this.l('Item Description'),headerTooltip: this.l('Item Description'),field: 'itemDescription',flex: 1},
			{headerName: this.l('Item Id'),headerTooltip: this.l('Item Id'),field: 'itemId',flex: 1},
			{headerName: this.l('Shipment Line Status Code'),headerTooltip: this.l('Shipment Line Status Code'),field: 'shipmentLineStatusCode',flex: 1},
			{headerName: this.l('Poheaderid'),headerTooltip: this.l('Poheaderid'),field: 'poheaderid',flex: 1},
			{headerName: this.l('Po Line Id'),headerTooltip: this.l('Po Line Id'),field: 'poLineId',flex: 1},
			{headerName: this.l('Po Line Shipment Id'),headerTooltip: this.l('Po Line Shipment Id'),field: 'poLineShipmentId',flex: 1},
			{headerName: this.l('Employee Id'),headerTooltip: this.l('Employee Id'),field: 'employeeId',flex: 1},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</v>
      </c>
      <c r="I13" s="35" t="str">
        <f ca="1">TEXTJOIN2("
",TRUE,INDIRECT(I11):INDIRECT(I12))</f>
        <v xml:space="preserve">								&lt;div class='input-search'&gt;
									&lt;input [(ngModel)]='unitOfMeasure' name='unitOfMeasure'
									class='form-control' [placeholder]="l('Unit Of Measure')"
									type='text' (keyup.enter)='searchDatas()'&gt;
								&lt;/div&gt;
								&lt;div class='input-search'&gt;
									&lt;input [(ngModel)]='partNo' name='partNo'
									class='form-control' [placeholder]="l('Part No')"
									type='text' (keyup.enter)='searchDatas()'&gt;
								&lt;/div&gt;
								&lt;div class='input-search'&gt;
									&lt;input [(ngModel)]='itemDescription' name='itemDescription'
									class='form-control' [placeholder]="l('Item Description')"
									type='text' (keyup.enter)='searchDatas()'&gt;
								&lt;/div&gt;
								&lt;div class='input-search'&gt;
									&lt;input [(ngModel)]='shipmentLineStatusCode' name='shipmentLineStatusCode'
									class='form-control' [placeholder]="l('Shipment Line Status Code')"
									type='text' (keyup.enter)='searchDatas()'&gt;
								&lt;/div&gt;
</v>
      </c>
      <c r="J13" s="28"/>
      <c r="K13" s="35" t="str">
        <f ca="1">TEXTJOIN2("
",TRUE,INDIRECT(K11):INDIRECT(K12))</f>
        <v xml:space="preserve">					&lt;div class='col-md-12 form-group row'&gt;
						&lt;label class='col-md-2 form-control title'&gt;Shipment Header Id&lt;/label&gt;
						&lt;input type='number' class='col-md-10 form-control input-text' name='ShipmentHeaderId' [(ngModel)]='rowdata.shipmentHeaderId'&gt;
					&lt;/div&gt;
					&lt;div class='col-md-12 form-group row'&gt;
						&lt;label class='col-md-2 form-control title'&gt;Line Num&lt;/label&gt;
						&lt;input type='number' class='col-md-10 form-control input-text' name='LineNum' [(ngModel)]='rowdata.lineNum'&gt;
					&lt;/div&gt;
					&lt;div class='col-md-12 form-group row'&gt;
						&lt;label class='col-md-2 form-control title'&gt;Category Id&lt;/label&gt;
						&lt;input type='number' class='col-md-10 form-control input-text' name='CategoryId' [(ngModel)]='rowdata.categoryId'&gt;
					&lt;/div&gt;
					&lt;div class='col-md-12 form-group row'&gt;
						&lt;label class='col-md-2 form-control title'&gt;Unit Of Measure&lt;/label&gt;
						&lt;input type='text' class='col-md-10 form-control input-text' name='UnitOfMeasure' [(ngModel)]='rowdata.unitOfMeasure'&gt;
					&lt;/div&gt;
					&lt;div class='col-md-12 form-group row'&gt;
						&lt;label class='col-md-2 form-control title'&gt;Part No&lt;/label&gt;
						&lt;input type='text' class='col-md-10 form-control input-text' name='PartNo' [(ngModel)]='rowdata.partNo'&gt;
					&lt;/div&gt;
					&lt;div class='col-md-12 form-group row'&gt;
						&lt;label class='col-md-2 form-control title'&gt;Item Description&lt;/label&gt;
						&lt;input type='text' class='col-md-10 form-control input-text' name='ItemDescription' [(ngModel)]='rowdata.itemDescription'&gt;
					&lt;/div&gt;
					&lt;div class='col-md-12 form-group row'&gt;
						&lt;label class='col-md-2 form-control title'&gt;Item Id&lt;/label&gt;
						&lt;input type='number' class='col-md-10 form-control input-text' name='ItemId' [(ngModel)]='rowdata.itemId'&gt;
					&lt;/div&gt;
					&lt;div class='col-md-12 form-group row'&gt;
						&lt;label class='col-md-2 form-control title'&gt;Shipment Line Status Code&lt;/label&gt;
						&lt;input type='text' class='col-md-10 form-control input-text' name='ShipmentLineStatusCode' [(ngModel)]='rowdata.shipmentLineStatusCode'&gt;
					&lt;/div&gt;
					&lt;div class='col-md-12 form-group row'&gt;
						&lt;label class='col-md-2 form-control title'&gt;Poheaderid&lt;/label&gt;
						&lt;input type='number' class='col-md-10 form-control input-text' name='Poheaderid' [(ngModel)]='rowdata.poheaderid'&gt;
					&lt;/div&gt;
					&lt;div class='col-md-12 form-group row'&gt;
						&lt;label class='col-md-2 form-control title'&gt;Po Line Id&lt;/label&gt;
						&lt;input type='number' class='col-md-10 form-control input-text' name='PoLineId' [(ngModel)]='rowdata.poLineId'&gt;
					&lt;/div&gt;
					&lt;div class='col-md-12 form-group row'&gt;
						&lt;label class='col-md-2 form-control title'&gt;Po Line Shipment Id&lt;/label&gt;
						&lt;input type='number' class='col-md-10 form-control input-text' name='PoLineShipmentId' [(ngModel)]='rowdata.poLineShipmentId'&gt;
					&lt;/div&gt;
					&lt;div class='col-md-12 form-group row'&gt;
						&lt;label class='col-md-2 form-control title'&gt;Employee Id&lt;/label&gt;
						&lt;input type='number' class='col-md-10 form-control input-text' name='EmployeeId' [(ngModel)]='rowdata.employeeId'&gt;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</v>
      </c>
      <c r="L13" s="56" t="str">
        <f ca="1">TEXTJOIN2("
",TRUE,INDIRECT(L11):INDIRECT(L12))</f>
        <v/>
      </c>
      <c r="M13" s="28"/>
      <c r="N13" s="28"/>
      <c r="O13" s="28"/>
      <c r="P13" s="28"/>
      <c r="Q13" s="28"/>
      <c r="R13" s="28"/>
      <c r="S13" s="62" t="str">
        <f ca="1">TEXTJOIN2("
",TRUE,INDIRECT(S11):INDIRECT(S12))</f>
        <v xml:space="preserve">	unitOfMeasure : string = '' ; 
	partNo : string = '' ; 
	itemDescription : string = '' ; 
	shipmentLineStatusCode : string = '' ; 
</v>
      </c>
      <c r="T13" s="62" t="str">
        <f ca="1">TEXTJOIN2("
",TRUE,INDIRECT(T11):INDIRECT(T12))</f>
        <v xml:space="preserve">			this.quantityReceived,
			this.unitOfMeasure,
			this.partNo,
			this.itemId,
</v>
      </c>
      <c r="U13" s="62" t="str">
        <f ca="1">TEXTJOIN2("
",TRUE,INDIRECT(U11):INDIRECT(U12))</f>
        <v xml:space="preserve">	unitOfMeasure : string = '' ; 
	partNo : string = '' ; 
	itemDescription : string = '' ; 
	shipmentLineStatusCode : string = '' ; 
</v>
      </c>
      <c r="V13" s="28" t="str">
        <f ca="1">TEXTJOIN2("
",TRUE,INDIRECT(V11):INDIRECT(V12))</f>
        <v>isActive</v>
      </c>
    </row>
    <row r="14" spans="1:22" x14ac:dyDescent="0.25">
      <c r="A14" s="38" t="s">
        <v>213</v>
      </c>
      <c r="B14" s="28"/>
      <c r="C14" s="28"/>
      <c r="D14" s="28"/>
      <c r="E14" s="28"/>
      <c r="F14" s="28"/>
      <c r="G14" s="28"/>
      <c r="H14" s="36" t="str">
        <f>B8&amp;".component.ts"</f>
        <v>rcvshipmentlines.component.ts</v>
      </c>
      <c r="I14" s="37" t="str">
        <f>B8&amp;".component.html"</f>
        <v>rcvshipmentlines.component.html</v>
      </c>
      <c r="J14" s="36" t="str">
        <f>B8&amp;".component.less"</f>
        <v>rcvshipmentlines.component.less</v>
      </c>
      <c r="K14" s="37" t="str">
        <f>"create-or-edit-"&amp;B8&amp;"-modal.component.html"</f>
        <v>create-or-edit-rcvshipmentlines-modal.component.html</v>
      </c>
      <c r="L14" s="37" t="str">
        <f>"create-or-edit-"&amp;B8&amp;"-modal.component.ts"</f>
        <v>create-or-edit-rcvshipmentlines-modal.component.ts</v>
      </c>
      <c r="M14" s="37" t="str">
        <f>"create-or-edit-"&amp;B8&amp;"-modal.component.less"</f>
        <v>create-or-edit-rcvshipmentlines-modal.component.less</v>
      </c>
      <c r="N14" s="37" t="str">
        <f>B8&amp;".module.ts"</f>
        <v>rcvshipmentlines.module.ts</v>
      </c>
      <c r="O14" s="37" t="str">
        <f>B8&amp;"-routing.module.ts"</f>
        <v>rcvshipmentlines-routing.module.ts</v>
      </c>
      <c r="P14" s="37" t="s">
        <v>217</v>
      </c>
      <c r="Q14" s="37" t="s">
        <v>220</v>
      </c>
      <c r="R14" s="38" t="s">
        <v>227</v>
      </c>
      <c r="S14" s="37" t="s">
        <v>246</v>
      </c>
      <c r="T14" s="37" t="s">
        <v>247</v>
      </c>
      <c r="U14" s="37" t="s">
        <v>250</v>
      </c>
      <c r="V14" s="37" t="s">
        <v>259</v>
      </c>
    </row>
    <row r="15" spans="1:22" ht="15" customHeight="1" x14ac:dyDescent="0.25">
      <c r="A15" s="28" t="s">
        <v>367</v>
      </c>
      <c r="B15" s="28" t="str">
        <f t="shared" ref="B15" si="0">SUBSTITUTE(PROPER(A15),"_","")</f>
        <v>ShipmentHeaderId</v>
      </c>
      <c r="C15" s="28" t="str">
        <f t="shared" ref="C15" si="1">SUBSTITUTE(PROPER(A15),"_"," ")</f>
        <v>Shipment Header Id</v>
      </c>
      <c r="D15" s="28" t="str">
        <f t="shared" ref="D15:D29" si="2">LOWER(LEFT(B15,1))&amp;RIGHT(B15,LEN(B15) - 1)</f>
        <v>shipmentHeaderId</v>
      </c>
      <c r="E15" s="28" t="str">
        <f>A.Backend!H9</f>
        <v>long?</v>
      </c>
      <c r="F15" s="28" t="str">
        <f>A.Backend!G9</f>
        <v/>
      </c>
      <c r="G15" s="28" t="str">
        <f t="shared" ref="G15:G29" si="3">IF(E15="string"," : string = '' ; ",IF(OR(E15="DateTime",E15="TimeSpan")," : any ;",IF(E15="int"," : number = 0 ;","")))</f>
        <v/>
      </c>
      <c r="H15" s="35" t="str">
        <f t="shared" ref="H15:H29" si="4">IF(E15="DateTime",
REPT(CHAR(9),3)&amp;"{headerName: this.l('"&amp;C15&amp;"'),headerTooltip: this.l('"&amp;C15&amp;"'),field: '"&amp;D15&amp;"',valueGetter: (params) =&gt; this.pipe.transform(params.data?."&amp;D15&amp;", 'dd/MM/yyyy'),flex: 1},",
IF(AND(E15="string",F15="1"),
REPT(CHAR(9),3)&amp;"{headerName: this.l('"&amp;C15&amp;"'),headerTooltip: this.l('"&amp;C15&amp;"'),field:  '"&amp;D15&amp;"', cellClass: ['text-center'], width: 120, cellRenderer: 'agCellButtonComponent',
buttonDefTwo: { text: params =&gt; (params.data?.'"&amp;D15&amp;"' == 'Y') ? 'Active' : 'Inactive',iconName: 'fa fa-circle',className: params =&gt; (params.data?.'"&amp;D15&amp;"' == 'Y') ? 'btnActive' : 'btnInActive',},}",
REPT(CHAR(9),3)&amp;"{headerName: this.l('"&amp;C15&amp;"'),headerTooltip: this.l('"&amp;C15&amp;"'),field: '"&amp;D15&amp;"',flex: 1},"))</f>
        <v xml:space="preserve">			{headerName: this.l('Shipment Header Id'),headerTooltip: this.l('Shipment Header Id'),field: 'shipmentHeaderId',flex: 1},</v>
      </c>
      <c r="I15" s="35" t="str">
        <f t="shared" ref="I15:I29" si="5">IF(E15="DateTime",
REPT(CHAR(9),8)&amp;"&lt;div class='input-search'&gt;
"&amp;REPT(CHAR(9),9)&amp;"&lt;input type='text' [placeholder]=""l('"&amp;C15&amp;"')"" [(ngModel)]='"&amp;D15&amp;"' 
"&amp;REPT(CHAR(9),9)&amp;"name='"&amp;D15&amp;"'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IF(AND(E15="string",F15 &lt;&gt;"1"),
REPT(CHAR(9),8)&amp;"&lt;div class='input-search'&gt;
"&amp;REPT(CHAR(9),9)&amp;"&lt;input [(ngModel)]='"&amp;D15&amp;"' name='"&amp;D15&amp;"'
"&amp;REPT(CHAR(9),9)&amp;"class='form-control' [placeholder]=""l('"&amp;C15&amp;"')""
"&amp;REPT(CHAR(9),9)&amp;"type='text' (keyup.enter)='searchDatas()'&gt;
"&amp;REPT(CHAR(9),8)&amp;"&lt;/div&gt;",""))</f>
        <v/>
      </c>
      <c r="J15" s="28"/>
      <c r="K15" s="35" t="str">
        <f>IF(OR(E15="DateTime?",E15="TimeSpan?"),
REPT(CHAR(9),5)&amp;"&lt;div class='col-md-12 form-group row'&gt;
"&amp;REPT(CHAR(9),6)&amp;"&lt;label class='col-md-2 form-control title'&gt;"&amp;C15&amp;"&lt;/label&gt;
"&amp;REPT(CHAR(9),6)&amp;"&lt;input type='text' class='col-md-10 form-control input-text' name='"&amp;D15&amp;"' 
"&amp;REPT(CHAR(9),6)&amp;"#datepicker='bsDatepicker' [(ngModel)]='rowdata."&amp;D15&amp;"'  bsDatepicker &gt;
"&amp;REPT(CHAR(9),5)&amp;"&lt;/div&gt;",
IF(AND(E15="string",F15="1"),
REPT(CHAR(9),5)&amp;"&lt;div class='col-md-12 form-group row'&gt;
"&amp;REPT(CHAR(9),6)&amp;"&lt;label class='col-md-2 form-control title'&gt;"&amp;C15&amp;"&lt;/label&gt;
"&amp;REPT(CHAR(9),6)&amp;"&lt;new-checkbox [(ngModel)]='_"&amp;D15&amp;"' name='"&amp;D15&amp;"' className='col-md-10' &gt; &lt;/new-checkbox&gt;
"&amp;REPT(CHAR(9),5)&amp;"&lt;/div&gt;",
IF(E15="string",
REPT(CHAR(9),5)&amp;"&lt;div class='col-md-12 form-group row'&gt;
"&amp;REPT(CHAR(9),6)&amp;"&lt;label class='col-md-2 form-control title'&gt;"&amp;C15&amp;"&lt;/label&gt;
"&amp;REPT(CHAR(9),6)&amp;"&lt;input type='text' class='col-md-10 form-control input-text' name='"&amp;B15&amp;"' [(ngModel)]='rowdata."&amp;D15&amp;"'&gt;
"&amp;REPT(CHAR(9),5)&amp;"&lt;/div&gt;",
IF(OR(E15="int?",E15="long?"),
REPT(CHAR(9),5)&amp;"&lt;div class='col-md-12 form-group row'&gt;
"&amp;REPT(CHAR(9),6)&amp;"&lt;label class='col-md-2 form-control title'&gt;"&amp;C15&amp;"&lt;/label&gt;
"&amp;REPT(CHAR(9),6)&amp;"&lt;input type='number' class='col-md-10 form-control input-text' name='"&amp;B15&amp;"' [(ngModel)]='rowdata."&amp;D15&amp;"'&gt;
"&amp;REPT(CHAR(9),5)&amp;"&lt;/div&gt;",""))))</f>
        <v xml:space="preserve">					&lt;div class='col-md-12 form-group row'&gt;
						&lt;label class='col-md-2 form-control title'&gt;Shipment Header Id&lt;/label&gt;
						&lt;input type='number' class='col-md-10 form-control input-text' name='ShipmentHeaderId' [(ngModel)]='rowdata.shipmentHeaderId'&gt;
					&lt;/div&gt;</v>
      </c>
      <c r="L15" s="56" t="str">
        <f t="shared" ref="L15" si="6">IF(E15="DateTime",
REPT(CHAR(9),2)&amp;"const dateValue =  this.rowdata."&amp;D15&amp;" ? new Date(this.rowdata."&amp;D15&amp;"?.toString()) : new Date();
"&amp;REPT(CHAR(9),2)&amp;"this.datepicker?.bsValueChange.emit(dateValue);","")</f>
        <v/>
      </c>
      <c r="M15" s="28"/>
      <c r="N15" s="28"/>
      <c r="O15" s="28"/>
      <c r="P15" s="28"/>
      <c r="Q15" s="28"/>
      <c r="R15" s="28"/>
      <c r="S15" s="28" t="str">
        <f>IF(AND(E15="string",F15 &lt;&gt;"1"),(REPT(CHAR(9),1)&amp;D15&amp;G15),"")</f>
        <v/>
      </c>
      <c r="T15" s="28" t="str">
        <f>IF(AND(E15="string",F15 &lt;&gt;"1"),(REPT(CHAR(9),3)&amp;"this."&amp;D14&amp;","),"")</f>
        <v/>
      </c>
      <c r="U15" s="28" t="str">
        <f>IF(AND(E15="string",F15 &lt;&gt;"1"),(REPT(CHAR(9),1)&amp;D15&amp;G15),"")</f>
        <v/>
      </c>
      <c r="V15" s="28" t="str">
        <f t="shared" ref="V15" si="7">IF(AND(E15="string",F15="1"),D15,"")</f>
        <v/>
      </c>
    </row>
    <row r="16" spans="1:22" ht="18" customHeight="1" x14ac:dyDescent="0.25">
      <c r="A16" s="28" t="s">
        <v>368</v>
      </c>
      <c r="B16" s="28" t="str">
        <f t="shared" ref="B16:B29" si="8">SUBSTITUTE(PROPER(A16),"_","")</f>
        <v>LineNum</v>
      </c>
      <c r="C16" s="28" t="str">
        <f t="shared" ref="C16:C29" si="9">SUBSTITUTE(PROPER(A16),"_"," ")</f>
        <v>Line Num</v>
      </c>
      <c r="D16" s="28" t="str">
        <f t="shared" si="2"/>
        <v>lineNum</v>
      </c>
      <c r="E16" s="28" t="str">
        <f>A.Backend!H10</f>
        <v>int?</v>
      </c>
      <c r="F16" s="28" t="str">
        <f>A.Backend!G10</f>
        <v/>
      </c>
      <c r="G16" s="28" t="str">
        <f t="shared" si="3"/>
        <v/>
      </c>
      <c r="H16" s="35" t="str">
        <f t="shared" si="4"/>
        <v xml:space="preserve">			{headerName: this.l('Line Num'),headerTooltip: this.l('Line Num'),field: 'lineNum',flex: 1},</v>
      </c>
      <c r="I16" s="35" t="str">
        <f t="shared" si="5"/>
        <v/>
      </c>
      <c r="J16" s="28"/>
      <c r="K16" s="35" t="str">
        <f t="shared" ref="K16:K29" si="10">IF(OR(E16="DateTime?",E16="TimeSpan?"),
REPT(CHAR(9),5)&amp;"&lt;div class='col-md-12 form-group row'&gt;
"&amp;REPT(CHAR(9),6)&amp;"&lt;label class='col-md-2 form-control title'&gt;"&amp;C16&amp;"&lt;/label&gt;
"&amp;REPT(CHAR(9),6)&amp;"&lt;input type='text' class='col-md-10 form-control input-text' name='"&amp;D16&amp;"' 
"&amp;REPT(CHAR(9),6)&amp;"#datepicker='bsDatepicker' [(ngModel)]='rowdata."&amp;D16&amp;"'  bsDatepicker &gt;
"&amp;REPT(CHAR(9),5)&amp;"&lt;/div&gt;",
IF(AND(E16="string",F16="1"),
REPT(CHAR(9),5)&amp;"&lt;div class='col-md-12 form-group row'&gt;
"&amp;REPT(CHAR(9),6)&amp;"&lt;label class='col-md-2 form-control title'&gt;"&amp;C16&amp;"&lt;/label&gt;
"&amp;REPT(CHAR(9),6)&amp;"&lt;new-checkbox [(ngModel)]='_"&amp;D16&amp;"' name='"&amp;D16&amp;"' className='col-md-10' &gt; &lt;/new-checkbox&gt;
"&amp;REPT(CHAR(9),5)&amp;"&lt;/div&gt;",
IF(E16="string",
REPT(CHAR(9),5)&amp;"&lt;div class='col-md-12 form-group row'&gt;
"&amp;REPT(CHAR(9),6)&amp;"&lt;label class='col-md-2 form-control title'&gt;"&amp;C16&amp;"&lt;/label&gt;
"&amp;REPT(CHAR(9),6)&amp;"&lt;input type='text' class='col-md-10 form-control input-text' name='"&amp;B16&amp;"' [(ngModel)]='rowdata."&amp;D16&amp;"'&gt;
"&amp;REPT(CHAR(9),5)&amp;"&lt;/div&gt;",
IF(OR(E16="int?",E16="long?"),
REPT(CHAR(9),5)&amp;"&lt;div class='col-md-12 form-group row'&gt;
"&amp;REPT(CHAR(9),6)&amp;"&lt;label class='col-md-2 form-control title'&gt;"&amp;C16&amp;"&lt;/label&gt;
"&amp;REPT(CHAR(9),6)&amp;"&lt;input type='number' class='col-md-10 form-control input-text' name='"&amp;B16&amp;"' [(ngModel)]='rowdata."&amp;D16&amp;"'&gt;
"&amp;REPT(CHAR(9),5)&amp;"&lt;/div&gt;",""))))</f>
        <v xml:space="preserve">					&lt;div class='col-md-12 form-group row'&gt;
						&lt;label class='col-md-2 form-control title'&gt;Line Num&lt;/label&gt;
						&lt;input type='number' class='col-md-10 form-control input-text' name='LineNum' [(ngModel)]='rowdata.lineNum'&gt;
					&lt;/div&gt;</v>
      </c>
      <c r="L16" s="56" t="str">
        <f t="shared" ref="L16" si="11">IF(E16="DateTime",
REPT(CHAR(9),2)&amp;"const dateValue =  this.rowdata."&amp;D16&amp;" ? new Date(this.rowdata."&amp;D16&amp;"?.toString()) : new Date();
"&amp;REPT(CHAR(9),2)&amp;"this.datepicker?.bsValueChange.emit(dateValue);","")</f>
        <v/>
      </c>
      <c r="M16" s="28"/>
      <c r="N16" s="28"/>
      <c r="O16" s="28"/>
      <c r="P16" s="28"/>
      <c r="Q16" s="28"/>
      <c r="R16" s="28"/>
      <c r="S16" s="28" t="str">
        <f t="shared" ref="S16:S29" si="12">IF(AND(E16="string",F16 &lt;&gt;"1"),(REPT(CHAR(9),1)&amp;D16&amp;G16),"")</f>
        <v/>
      </c>
      <c r="T16" s="28" t="str">
        <f t="shared" ref="T16:T28" si="13">IF(AND(E16="string",F16 &lt;&gt;"1"),(REPT(CHAR(9),3)&amp;"this."&amp;D15&amp;","),"")</f>
        <v/>
      </c>
      <c r="U16" s="28" t="str">
        <f t="shared" ref="U16:U29" si="14">IF(AND(E16="string",F16 &lt;&gt;"1"),(REPT(CHAR(9),1)&amp;D16&amp;G16),"")</f>
        <v/>
      </c>
      <c r="V16" s="28" t="str">
        <f t="shared" ref="V16:V29" si="15">IF(AND(E16="string",F16="1"),D16,"")</f>
        <v/>
      </c>
    </row>
    <row r="17" spans="1:22" ht="18" customHeight="1" x14ac:dyDescent="0.25">
      <c r="A17" s="28" t="s">
        <v>369</v>
      </c>
      <c r="B17" s="28" t="str">
        <f t="shared" ref="B17:B19" si="16">SUBSTITUTE(PROPER(A17),"_","")</f>
        <v>CategoryId</v>
      </c>
      <c r="C17" s="28" t="str">
        <f t="shared" ref="C17:C19" si="17">SUBSTITUTE(PROPER(A17),"_"," ")</f>
        <v>Category Id</v>
      </c>
      <c r="D17" s="28" t="str">
        <f t="shared" si="2"/>
        <v>categoryId</v>
      </c>
      <c r="E17" s="28" t="str">
        <f>A.Backend!H11</f>
        <v>long?</v>
      </c>
      <c r="F17" s="28" t="str">
        <f>A.Backend!G11</f>
        <v/>
      </c>
      <c r="G17" s="28" t="str">
        <f t="shared" si="3"/>
        <v/>
      </c>
      <c r="H17" s="35" t="str">
        <f t="shared" si="4"/>
        <v xml:space="preserve">			{headerName: this.l('Category Id'),headerTooltip: this.l('Category Id'),field: 'categoryId',flex: 1},</v>
      </c>
      <c r="I17" s="35" t="str">
        <f t="shared" si="5"/>
        <v/>
      </c>
      <c r="J17" s="28"/>
      <c r="K17" s="35" t="str">
        <f t="shared" si="10"/>
        <v xml:space="preserve">					&lt;div class='col-md-12 form-group row'&gt;
						&lt;label class='col-md-2 form-control title'&gt;Category Id&lt;/label&gt;
						&lt;input type='number' class='col-md-10 form-control input-text' name='CategoryId' [(ngModel)]='rowdata.categoryId'&gt;
					&lt;/div&gt;</v>
      </c>
      <c r="L17" s="56" t="str">
        <f>IF(E17="DateTime",
REPT(CHAR(9),2)&amp;"const dateValue =  this.rowdata."&amp;D17&amp;" ? new Date(this.rowdata."&amp;D17&amp;"?.toString()) : new Date();
"&amp;REPT(CHAR(9),2)&amp;"this.datepicker?.bsValueChange.emit(dateValue);","")</f>
        <v/>
      </c>
      <c r="M17" s="28"/>
      <c r="N17" s="28"/>
      <c r="O17" s="28"/>
      <c r="P17" s="28"/>
      <c r="Q17" s="28"/>
      <c r="R17" s="28"/>
      <c r="S17" s="28" t="str">
        <f t="shared" si="12"/>
        <v/>
      </c>
      <c r="T17" s="28" t="str">
        <f t="shared" si="13"/>
        <v/>
      </c>
      <c r="U17" s="28" t="str">
        <f t="shared" si="14"/>
        <v/>
      </c>
      <c r="V17" s="28" t="str">
        <f t="shared" ref="V17:V19" si="18">IF(AND(E17="string",F17="1"),D17,"")</f>
        <v/>
      </c>
    </row>
    <row r="18" spans="1:22" ht="15" customHeight="1" x14ac:dyDescent="0.25">
      <c r="A18" s="28" t="s">
        <v>370</v>
      </c>
      <c r="B18" s="28" t="str">
        <f t="shared" si="16"/>
        <v>QuantityShipped</v>
      </c>
      <c r="C18" s="28" t="str">
        <f t="shared" si="17"/>
        <v>Quantity Shipped</v>
      </c>
      <c r="D18" s="28" t="str">
        <f t="shared" si="2"/>
        <v>quantityShipped</v>
      </c>
      <c r="E18" s="28" t="str">
        <f>A.Backend!H12</f>
        <v>decimal?</v>
      </c>
      <c r="F18" s="28" t="str">
        <f>A.Backend!G12</f>
        <v>18,5</v>
      </c>
      <c r="G18" s="28" t="str">
        <f t="shared" si="3"/>
        <v/>
      </c>
      <c r="H18" s="35" t="str">
        <f t="shared" si="4"/>
        <v xml:space="preserve">			{headerName: this.l('Quantity Shipped'),headerTooltip: this.l('Quantity Shipped'),field: 'quantityShipped',flex: 1},</v>
      </c>
      <c r="I18" s="35" t="str">
        <f t="shared" si="5"/>
        <v/>
      </c>
      <c r="J18" s="28"/>
      <c r="K18" s="35" t="str">
        <f t="shared" si="10"/>
        <v/>
      </c>
      <c r="L18" s="56" t="str">
        <f t="shared" ref="L18:L19" si="19">IF(E18="DateTime",
REPT(CHAR(9),2)&amp;"const dateValue =  this.rowdata."&amp;D18&amp;" ? new Date(this.rowdata."&amp;D18&amp;"?.toString()) : new Date();
"&amp;REPT(CHAR(9),2)&amp;"this.datepicker?.bsValueChange.emit(dateValue);","")</f>
        <v/>
      </c>
      <c r="M18" s="28"/>
      <c r="N18" s="28"/>
      <c r="O18" s="28"/>
      <c r="P18" s="28"/>
      <c r="Q18" s="28"/>
      <c r="R18" s="28"/>
      <c r="S18" s="28" t="str">
        <f t="shared" si="12"/>
        <v/>
      </c>
      <c r="T18" s="28" t="str">
        <f t="shared" si="13"/>
        <v/>
      </c>
      <c r="U18" s="28" t="str">
        <f t="shared" si="14"/>
        <v/>
      </c>
      <c r="V18" s="28" t="str">
        <f t="shared" si="18"/>
        <v/>
      </c>
    </row>
    <row r="19" spans="1:22" ht="18" customHeight="1" x14ac:dyDescent="0.25">
      <c r="A19" s="28" t="s">
        <v>371</v>
      </c>
      <c r="B19" s="28" t="str">
        <f t="shared" si="16"/>
        <v>QuantityReceived</v>
      </c>
      <c r="C19" s="28" t="str">
        <f t="shared" si="17"/>
        <v>Quantity Received</v>
      </c>
      <c r="D19" s="28" t="str">
        <f t="shared" si="2"/>
        <v>quantityReceived</v>
      </c>
      <c r="E19" s="28" t="str">
        <f>A.Backend!H13</f>
        <v>decimal?</v>
      </c>
      <c r="F19" s="28" t="str">
        <f>A.Backend!G13</f>
        <v>18,5</v>
      </c>
      <c r="G19" s="28" t="str">
        <f t="shared" si="3"/>
        <v/>
      </c>
      <c r="H19" s="35" t="str">
        <f t="shared" si="4"/>
        <v xml:space="preserve">			{headerName: this.l('Quantity Received'),headerTooltip: this.l('Quantity Received'),field: 'quantityReceived',flex: 1},</v>
      </c>
      <c r="I19" s="35" t="str">
        <f t="shared" si="5"/>
        <v/>
      </c>
      <c r="J19" s="28"/>
      <c r="K19" s="35" t="str">
        <f t="shared" si="10"/>
        <v/>
      </c>
      <c r="L19" s="56" t="str">
        <f t="shared" si="19"/>
        <v/>
      </c>
      <c r="M19" s="28"/>
      <c r="N19" s="28"/>
      <c r="O19" s="28"/>
      <c r="P19" s="28"/>
      <c r="Q19" s="28"/>
      <c r="R19" s="28"/>
      <c r="S19" s="28" t="str">
        <f t="shared" si="12"/>
        <v/>
      </c>
      <c r="T19" s="28" t="str">
        <f t="shared" si="13"/>
        <v/>
      </c>
      <c r="U19" s="28" t="str">
        <f t="shared" si="14"/>
        <v/>
      </c>
      <c r="V19" s="28" t="str">
        <f t="shared" si="18"/>
        <v/>
      </c>
    </row>
    <row r="20" spans="1:22" ht="18" customHeight="1" x14ac:dyDescent="0.25">
      <c r="A20" s="28" t="s">
        <v>372</v>
      </c>
      <c r="B20" s="28" t="str">
        <f t="shared" si="8"/>
        <v>UnitOfMeasure</v>
      </c>
      <c r="C20" s="28" t="str">
        <f t="shared" si="9"/>
        <v>Unit Of Measure</v>
      </c>
      <c r="D20" s="28" t="str">
        <f t="shared" si="2"/>
        <v>unitOfMeasure</v>
      </c>
      <c r="E20" s="28" t="str">
        <f>A.Backend!H14</f>
        <v>string</v>
      </c>
      <c r="F20" s="28" t="str">
        <f>A.Backend!G14</f>
        <v>25</v>
      </c>
      <c r="G20" s="28" t="str">
        <f t="shared" si="3"/>
        <v xml:space="preserve"> : string = '' ; </v>
      </c>
      <c r="H20" s="35" t="str">
        <f t="shared" si="4"/>
        <v xml:space="preserve">			{headerName: this.l('Unit Of Measure'),headerTooltip: this.l('Unit Of Measure'),field: 'unitOfMeasure',flex: 1},</v>
      </c>
      <c r="I20" s="35" t="str">
        <f t="shared" si="5"/>
        <v xml:space="preserve">								&lt;div class='input-search'&gt;
									&lt;input [(ngModel)]='unitOfMeasure' name='unitOfMeasure'
									class='form-control' [placeholder]="l('Unit Of Measure')"
									type='text' (keyup.enter)='searchDatas()'&gt;
								&lt;/div&gt;</v>
      </c>
      <c r="J20" s="28"/>
      <c r="K20" s="35" t="str">
        <f t="shared" si="10"/>
        <v xml:space="preserve">					&lt;div class='col-md-12 form-group row'&gt;
						&lt;label class='col-md-2 form-control title'&gt;Unit Of Measure&lt;/label&gt;
						&lt;input type='text' class='col-md-10 form-control input-text' name='UnitOfMeasure' [(ngModel)]='rowdata.unitOfMeasure'&gt;
					&lt;/div&gt;</v>
      </c>
      <c r="L20" s="56" t="str">
        <f>IF(E20="DateTime",
REPT(CHAR(9),2)&amp;"const dateValue =  this.rowdata."&amp;D20&amp;" ? new Date(this.rowdata."&amp;D20&amp;"?.toString()) : new Date();
"&amp;REPT(CHAR(9),2)&amp;"this.datepicker?.bsValueChange.emit(dateValue);","")</f>
        <v/>
      </c>
      <c r="M20" s="28"/>
      <c r="N20" s="28"/>
      <c r="O20" s="28"/>
      <c r="P20" s="28"/>
      <c r="Q20" s="28"/>
      <c r="R20" s="28"/>
      <c r="S20" s="28" t="str">
        <f t="shared" si="12"/>
        <v xml:space="preserve">	unitOfMeasure : string = '' ; </v>
      </c>
      <c r="T20" s="28" t="str">
        <f t="shared" si="13"/>
        <v xml:space="preserve">			this.quantityReceived,</v>
      </c>
      <c r="U20" s="28" t="str">
        <f t="shared" si="14"/>
        <v xml:space="preserve">	unitOfMeasure : string = '' ; </v>
      </c>
      <c r="V20" s="28" t="str">
        <f t="shared" si="15"/>
        <v/>
      </c>
    </row>
    <row r="21" spans="1:22" ht="15" customHeight="1" x14ac:dyDescent="0.25">
      <c r="A21" s="28" t="s">
        <v>373</v>
      </c>
      <c r="B21" s="28" t="str">
        <f t="shared" si="8"/>
        <v>PartNo</v>
      </c>
      <c r="C21" s="28" t="str">
        <f t="shared" si="9"/>
        <v>Part No</v>
      </c>
      <c r="D21" s="28" t="str">
        <f t="shared" si="2"/>
        <v>partNo</v>
      </c>
      <c r="E21" s="28" t="str">
        <f>A.Backend!H15</f>
        <v>string</v>
      </c>
      <c r="F21" s="28" t="str">
        <f>A.Backend!G15</f>
        <v>255</v>
      </c>
      <c r="G21" s="28" t="str">
        <f t="shared" si="3"/>
        <v xml:space="preserve"> : string = '' ; </v>
      </c>
      <c r="H21" s="35" t="str">
        <f t="shared" si="4"/>
        <v xml:space="preserve">			{headerName: this.l('Part No'),headerTooltip: this.l('Part No'),field: 'partNo',flex: 1},</v>
      </c>
      <c r="I21" s="35" t="str">
        <f t="shared" si="5"/>
        <v xml:space="preserve">								&lt;div class='input-search'&gt;
									&lt;input [(ngModel)]='partNo' name='partNo'
									class='form-control' [placeholder]="l('Part No')"
									type='text' (keyup.enter)='searchDatas()'&gt;
								&lt;/div&gt;</v>
      </c>
      <c r="J21" s="28"/>
      <c r="K21" s="35" t="str">
        <f t="shared" si="10"/>
        <v xml:space="preserve">					&lt;div class='col-md-12 form-group row'&gt;
						&lt;label class='col-md-2 form-control title'&gt;Part No&lt;/label&gt;
						&lt;input type='text' class='col-md-10 form-control input-text' name='PartNo' [(ngModel)]='rowdata.partNo'&gt;
					&lt;/div&gt;</v>
      </c>
      <c r="L21" s="56" t="str">
        <f t="shared" ref="L21:L29" si="20">IF(E21="DateTime",
REPT(CHAR(9),2)&amp;"const dateValue =  this.rowdata."&amp;D21&amp;" ? new Date(this.rowdata."&amp;D21&amp;"?.toString()) : new Date();
"&amp;REPT(CHAR(9),2)&amp;"this.datepicker?.bsValueChange.emit(dateValue);","")</f>
        <v/>
      </c>
      <c r="M21" s="28"/>
      <c r="N21" s="28"/>
      <c r="O21" s="28"/>
      <c r="P21" s="28"/>
      <c r="Q21" s="28"/>
      <c r="R21" s="28"/>
      <c r="S21" s="28" t="str">
        <f t="shared" si="12"/>
        <v xml:space="preserve">	partNo : string = '' ; </v>
      </c>
      <c r="T21" s="28" t="str">
        <f t="shared" si="13"/>
        <v xml:space="preserve">			this.unitOfMeasure,</v>
      </c>
      <c r="U21" s="28" t="str">
        <f t="shared" si="14"/>
        <v xml:space="preserve">	partNo : string = '' ; </v>
      </c>
      <c r="V21" s="28" t="str">
        <f t="shared" si="15"/>
        <v/>
      </c>
    </row>
    <row r="22" spans="1:22" ht="18" customHeight="1" x14ac:dyDescent="0.25">
      <c r="A22" s="28" t="s">
        <v>374</v>
      </c>
      <c r="B22" s="28" t="str">
        <f t="shared" si="8"/>
        <v>ItemDescription</v>
      </c>
      <c r="C22" s="28" t="str">
        <f t="shared" si="9"/>
        <v>Item Description</v>
      </c>
      <c r="D22" s="28" t="str">
        <f t="shared" si="2"/>
        <v>itemDescription</v>
      </c>
      <c r="E22" s="28" t="str">
        <f>A.Backend!H16</f>
        <v>string</v>
      </c>
      <c r="F22" s="28" t="str">
        <f>A.Backend!G16</f>
        <v>240</v>
      </c>
      <c r="G22" s="28" t="str">
        <f t="shared" si="3"/>
        <v xml:space="preserve"> : string = '' ; </v>
      </c>
      <c r="H22" s="35" t="str">
        <f t="shared" si="4"/>
        <v xml:space="preserve">			{headerName: this.l('Item Description'),headerTooltip: this.l('Item Description'),field: 'itemDescription',flex: 1},</v>
      </c>
      <c r="I22" s="35" t="str">
        <f t="shared" si="5"/>
        <v xml:space="preserve">								&lt;div class='input-search'&gt;
									&lt;input [(ngModel)]='itemDescription' name='itemDescription'
									class='form-control' [placeholder]="l('Item Description')"
									type='text' (keyup.enter)='searchDatas()'&gt;
								&lt;/div&gt;</v>
      </c>
      <c r="J22" s="28"/>
      <c r="K22" s="35" t="str">
        <f t="shared" si="10"/>
        <v xml:space="preserve">					&lt;div class='col-md-12 form-group row'&gt;
						&lt;label class='col-md-2 form-control title'&gt;Item Description&lt;/label&gt;
						&lt;input type='text' class='col-md-10 form-control input-text' name='ItemDescription' [(ngModel)]='rowdata.itemDescription'&gt;
					&lt;/div&gt;</v>
      </c>
      <c r="L22" s="56" t="str">
        <f t="shared" si="20"/>
        <v/>
      </c>
      <c r="M22" s="28"/>
      <c r="N22" s="28"/>
      <c r="O22" s="28"/>
      <c r="P22" s="28"/>
      <c r="Q22" s="28"/>
      <c r="R22" s="28"/>
      <c r="S22" s="28" t="str">
        <f t="shared" si="12"/>
        <v xml:space="preserve">	itemDescription : string = '' ; </v>
      </c>
      <c r="T22" s="28" t="str">
        <f t="shared" si="13"/>
        <v xml:space="preserve">			this.partNo,</v>
      </c>
      <c r="U22" s="28" t="str">
        <f t="shared" si="14"/>
        <v xml:space="preserve">	itemDescription : string = '' ; </v>
      </c>
      <c r="V22" s="28" t="str">
        <f t="shared" si="15"/>
        <v/>
      </c>
    </row>
    <row r="23" spans="1:22" ht="15" customHeight="1" x14ac:dyDescent="0.25">
      <c r="A23" s="28" t="s">
        <v>375</v>
      </c>
      <c r="B23" s="28" t="str">
        <f t="shared" si="8"/>
        <v>ItemId</v>
      </c>
      <c r="C23" s="28" t="str">
        <f t="shared" si="9"/>
        <v>Item Id</v>
      </c>
      <c r="D23" s="28" t="str">
        <f t="shared" si="2"/>
        <v>itemId</v>
      </c>
      <c r="E23" s="28" t="str">
        <f>A.Backend!H17</f>
        <v>long?</v>
      </c>
      <c r="F23" s="28" t="str">
        <f>A.Backend!G17</f>
        <v/>
      </c>
      <c r="G23" s="28" t="str">
        <f t="shared" si="3"/>
        <v/>
      </c>
      <c r="H23" s="35" t="str">
        <f t="shared" si="4"/>
        <v xml:space="preserve">			{headerName: this.l('Item Id'),headerTooltip: this.l('Item Id'),field: 'itemId',flex: 1},</v>
      </c>
      <c r="I23" s="35" t="str">
        <f t="shared" si="5"/>
        <v/>
      </c>
      <c r="J23" s="28"/>
      <c r="K23" s="35" t="str">
        <f t="shared" si="10"/>
        <v xml:space="preserve">					&lt;div class='col-md-12 form-group row'&gt;
						&lt;label class='col-md-2 form-control title'&gt;Item Id&lt;/label&gt;
						&lt;input type='number' class='col-md-10 form-control input-text' name='ItemId' [(ngModel)]='rowdata.itemId'&gt;
					&lt;/div&gt;</v>
      </c>
      <c r="L23" s="56" t="str">
        <f t="shared" si="20"/>
        <v/>
      </c>
      <c r="M23" s="28"/>
      <c r="N23" s="28"/>
      <c r="O23" s="28"/>
      <c r="P23" s="28"/>
      <c r="Q23" s="28"/>
      <c r="R23" s="28"/>
      <c r="S23" s="28" t="str">
        <f t="shared" si="12"/>
        <v/>
      </c>
      <c r="T23" s="28" t="str">
        <f t="shared" si="13"/>
        <v/>
      </c>
      <c r="U23" s="28" t="str">
        <f t="shared" si="14"/>
        <v/>
      </c>
      <c r="V23" s="28" t="str">
        <f t="shared" si="15"/>
        <v/>
      </c>
    </row>
    <row r="24" spans="1:22" ht="18" customHeight="1" x14ac:dyDescent="0.25">
      <c r="A24" s="28" t="s">
        <v>376</v>
      </c>
      <c r="B24" s="28" t="str">
        <f t="shared" si="8"/>
        <v>ShipmentLineStatusCode</v>
      </c>
      <c r="C24" s="28" t="str">
        <f t="shared" si="9"/>
        <v>Shipment Line Status Code</v>
      </c>
      <c r="D24" s="28" t="str">
        <f t="shared" si="2"/>
        <v>shipmentLineStatusCode</v>
      </c>
      <c r="E24" s="28" t="str">
        <f>A.Backend!H18</f>
        <v>string</v>
      </c>
      <c r="F24" s="28" t="str">
        <f>A.Backend!G18</f>
        <v>25</v>
      </c>
      <c r="G24" s="28" t="str">
        <f t="shared" si="3"/>
        <v xml:space="preserve"> : string = '' ; </v>
      </c>
      <c r="H24" s="35" t="str">
        <f t="shared" si="4"/>
        <v xml:space="preserve">			{headerName: this.l('Shipment Line Status Code'),headerTooltip: this.l('Shipment Line Status Code'),field: 'shipmentLineStatusCode',flex: 1},</v>
      </c>
      <c r="I24" s="35" t="str">
        <f t="shared" si="5"/>
        <v xml:space="preserve">								&lt;div class='input-search'&gt;
									&lt;input [(ngModel)]='shipmentLineStatusCode' name='shipmentLineStatusCode'
									class='form-control' [placeholder]="l('Shipment Line Status Code')"
									type='text' (keyup.enter)='searchDatas()'&gt;
								&lt;/div&gt;</v>
      </c>
      <c r="J24" s="28"/>
      <c r="K24" s="35" t="str">
        <f t="shared" si="10"/>
        <v xml:space="preserve">					&lt;div class='col-md-12 form-group row'&gt;
						&lt;label class='col-md-2 form-control title'&gt;Shipment Line Status Code&lt;/label&gt;
						&lt;input type='text' class='col-md-10 form-control input-text' name='ShipmentLineStatusCode' [(ngModel)]='rowdata.shipmentLineStatusCode'&gt;
					&lt;/div&gt;</v>
      </c>
      <c r="L24" s="56" t="str">
        <f t="shared" si="20"/>
        <v/>
      </c>
      <c r="M24" s="28"/>
      <c r="N24" s="28"/>
      <c r="O24" s="28"/>
      <c r="P24" s="28"/>
      <c r="Q24" s="28"/>
      <c r="R24" s="28"/>
      <c r="S24" s="28" t="str">
        <f t="shared" si="12"/>
        <v xml:space="preserve">	shipmentLineStatusCode : string = '' ; </v>
      </c>
      <c r="T24" s="28" t="str">
        <f t="shared" si="13"/>
        <v xml:space="preserve">			this.itemId,</v>
      </c>
      <c r="U24" s="28" t="str">
        <f t="shared" si="14"/>
        <v xml:space="preserve">	shipmentLineStatusCode : string = '' ; </v>
      </c>
      <c r="V24" s="28" t="str">
        <f t="shared" si="15"/>
        <v/>
      </c>
    </row>
    <row r="25" spans="1:22" ht="15" customHeight="1" x14ac:dyDescent="0.25">
      <c r="A25" s="28" t="s">
        <v>357</v>
      </c>
      <c r="B25" s="28" t="str">
        <f t="shared" si="8"/>
        <v>Poheaderid</v>
      </c>
      <c r="C25" s="28" t="str">
        <f t="shared" si="9"/>
        <v>Poheaderid</v>
      </c>
      <c r="D25" s="28" t="str">
        <f t="shared" si="2"/>
        <v>poheaderid</v>
      </c>
      <c r="E25" s="28" t="str">
        <f>A.Backend!H19</f>
        <v>long?</v>
      </c>
      <c r="F25" s="28" t="str">
        <f>A.Backend!G19</f>
        <v/>
      </c>
      <c r="G25" s="28" t="str">
        <f t="shared" si="3"/>
        <v/>
      </c>
      <c r="H25" s="35" t="str">
        <f t="shared" si="4"/>
        <v xml:space="preserve">			{headerName: this.l('Poheaderid'),headerTooltip: this.l('Poheaderid'),field: 'poheaderid',flex: 1},</v>
      </c>
      <c r="I25" s="35" t="str">
        <f t="shared" si="5"/>
        <v/>
      </c>
      <c r="J25" s="28"/>
      <c r="K25" s="35" t="str">
        <f t="shared" si="10"/>
        <v xml:space="preserve">					&lt;div class='col-md-12 form-group row'&gt;
						&lt;label class='col-md-2 form-control title'&gt;Poheaderid&lt;/label&gt;
						&lt;input type='number' class='col-md-10 form-control input-text' name='Poheaderid' [(ngModel)]='rowdata.poheaderid'&gt;
					&lt;/div&gt;</v>
      </c>
      <c r="L25" s="56" t="str">
        <f t="shared" si="20"/>
        <v/>
      </c>
      <c r="M25" s="28"/>
      <c r="N25" s="28"/>
      <c r="O25" s="28"/>
      <c r="P25" s="28"/>
      <c r="Q25" s="28"/>
      <c r="R25" s="28"/>
      <c r="S25" s="28" t="str">
        <f t="shared" si="12"/>
        <v/>
      </c>
      <c r="T25" s="28" t="str">
        <f t="shared" si="13"/>
        <v/>
      </c>
      <c r="U25" s="28" t="str">
        <f t="shared" si="14"/>
        <v/>
      </c>
      <c r="V25" s="28" t="str">
        <f t="shared" si="15"/>
        <v/>
      </c>
    </row>
    <row r="26" spans="1:22" ht="18" customHeight="1" x14ac:dyDescent="0.25">
      <c r="A26" s="28" t="s">
        <v>377</v>
      </c>
      <c r="B26" s="28" t="str">
        <f t="shared" ref="B26" si="21">SUBSTITUTE(PROPER(A26),"_","")</f>
        <v>PoLineId</v>
      </c>
      <c r="C26" s="28" t="str">
        <f t="shared" ref="C26" si="22">SUBSTITUTE(PROPER(A26),"_"," ")</f>
        <v>Po Line Id</v>
      </c>
      <c r="D26" s="28" t="str">
        <f t="shared" si="2"/>
        <v>poLineId</v>
      </c>
      <c r="E26" s="28" t="str">
        <f>A.Backend!H20</f>
        <v>long?</v>
      </c>
      <c r="F26" s="28" t="str">
        <f>A.Backend!G20</f>
        <v/>
      </c>
      <c r="G26" s="28" t="str">
        <f t="shared" si="3"/>
        <v/>
      </c>
      <c r="H26" s="35" t="str">
        <f t="shared" si="4"/>
        <v xml:space="preserve">			{headerName: this.l('Po Line Id'),headerTooltip: this.l('Po Line Id'),field: 'poLineId',flex: 1},</v>
      </c>
      <c r="I26" s="35" t="str">
        <f t="shared" si="5"/>
        <v/>
      </c>
      <c r="J26" s="28"/>
      <c r="K26" s="35" t="str">
        <f t="shared" si="10"/>
        <v xml:space="preserve">					&lt;div class='col-md-12 form-group row'&gt;
						&lt;label class='col-md-2 form-control title'&gt;Po Line Id&lt;/label&gt;
						&lt;input type='number' class='col-md-10 form-control input-text' name='PoLineId' [(ngModel)]='rowdata.poLineId'&gt;
					&lt;/div&gt;</v>
      </c>
      <c r="L26" s="56" t="str">
        <f t="shared" ref="L26" si="23">IF(E26="DateTime",
REPT(CHAR(9),2)&amp;"const dateValue =  this.rowdata."&amp;D26&amp;" ? new Date(this.rowdata."&amp;D26&amp;"?.toString()) : new Date();
"&amp;REPT(CHAR(9),2)&amp;"this.datepicker?.bsValueChange.emit(dateValue);","")</f>
        <v/>
      </c>
      <c r="M26" s="28"/>
      <c r="N26" s="28"/>
      <c r="O26" s="28"/>
      <c r="P26" s="28"/>
      <c r="Q26" s="28"/>
      <c r="R26" s="28"/>
      <c r="S26" s="28" t="str">
        <f t="shared" si="12"/>
        <v/>
      </c>
      <c r="T26" s="28" t="str">
        <f t="shared" si="13"/>
        <v/>
      </c>
      <c r="U26" s="28" t="str">
        <f t="shared" si="14"/>
        <v/>
      </c>
      <c r="V26" s="28" t="str">
        <f t="shared" ref="V26" si="24">IF(AND(E26="string",F26="1"),D26,"")</f>
        <v/>
      </c>
    </row>
    <row r="27" spans="1:22" ht="18" customHeight="1" x14ac:dyDescent="0.25">
      <c r="A27" s="28" t="s">
        <v>378</v>
      </c>
      <c r="B27" s="28" t="str">
        <f t="shared" ref="B27" si="25">SUBSTITUTE(PROPER(A27),"_","")</f>
        <v>PoLineShipmentId</v>
      </c>
      <c r="C27" s="28" t="str">
        <f t="shared" ref="C27" si="26">SUBSTITUTE(PROPER(A27),"_"," ")</f>
        <v>Po Line Shipment Id</v>
      </c>
      <c r="D27" s="28" t="str">
        <f t="shared" si="2"/>
        <v>poLineShipmentId</v>
      </c>
      <c r="E27" s="28" t="str">
        <f>A.Backend!H21</f>
        <v>long?</v>
      </c>
      <c r="F27" s="28" t="str">
        <f>A.Backend!G21</f>
        <v/>
      </c>
      <c r="G27" s="28" t="str">
        <f t="shared" si="3"/>
        <v/>
      </c>
      <c r="H27" s="35" t="str">
        <f t="shared" si="4"/>
        <v xml:space="preserve">			{headerName: this.l('Po Line Shipment Id'),headerTooltip: this.l('Po Line Shipment Id'),field: 'poLineShipmentId',flex: 1},</v>
      </c>
      <c r="I27" s="35" t="str">
        <f t="shared" si="5"/>
        <v/>
      </c>
      <c r="J27" s="28"/>
      <c r="K27" s="35" t="str">
        <f t="shared" si="10"/>
        <v xml:space="preserve">					&lt;div class='col-md-12 form-group row'&gt;
						&lt;label class='col-md-2 form-control title'&gt;Po Line Shipment Id&lt;/label&gt;
						&lt;input type='number' class='col-md-10 form-control input-text' name='PoLineShipmentId' [(ngModel)]='rowdata.poLineShipmentId'&gt;
					&lt;/div&gt;</v>
      </c>
      <c r="L27" s="56" t="str">
        <f t="shared" ref="L27" si="27">IF(E27="DateTime",
REPT(CHAR(9),2)&amp;"const dateValue =  this.rowdata."&amp;D27&amp;" ? new Date(this.rowdata."&amp;D27&amp;"?.toString()) : new Date();
"&amp;REPT(CHAR(9),2)&amp;"this.datepicker?.bsValueChange.emit(dateValue);","")</f>
        <v/>
      </c>
      <c r="M27" s="28"/>
      <c r="N27" s="28"/>
      <c r="O27" s="28"/>
      <c r="P27" s="28"/>
      <c r="Q27" s="28"/>
      <c r="R27" s="28"/>
      <c r="S27" s="28" t="str">
        <f t="shared" si="12"/>
        <v/>
      </c>
      <c r="T27" s="28" t="str">
        <f t="shared" si="13"/>
        <v/>
      </c>
      <c r="U27" s="28" t="str">
        <f t="shared" si="14"/>
        <v/>
      </c>
      <c r="V27" s="28" t="str">
        <f t="shared" ref="V27" si="28">IF(AND(E27="string",F27="1"),D27,"")</f>
        <v/>
      </c>
    </row>
    <row r="28" spans="1:22" ht="15" customHeight="1" x14ac:dyDescent="0.25">
      <c r="A28" s="28" t="s">
        <v>379</v>
      </c>
      <c r="B28" s="28" t="str">
        <f t="shared" ref="B28" si="29">SUBSTITUTE(PROPER(A28),"_","")</f>
        <v>EmployeeId</v>
      </c>
      <c r="C28" s="28" t="str">
        <f t="shared" ref="C28" si="30">SUBSTITUTE(PROPER(A28),"_"," ")</f>
        <v>Employee Id</v>
      </c>
      <c r="D28" s="28" t="str">
        <f t="shared" si="2"/>
        <v>employeeId</v>
      </c>
      <c r="E28" s="28" t="str">
        <f>A.Backend!H22</f>
        <v>long?</v>
      </c>
      <c r="F28" s="28" t="str">
        <f>A.Backend!G22</f>
        <v/>
      </c>
      <c r="G28" s="28" t="str">
        <f t="shared" si="3"/>
        <v/>
      </c>
      <c r="H28" s="35" t="str">
        <f t="shared" si="4"/>
        <v xml:space="preserve">			{headerName: this.l('Employee Id'),headerTooltip: this.l('Employee Id'),field: 'employeeId',flex: 1},</v>
      </c>
      <c r="I28" s="35" t="str">
        <f t="shared" si="5"/>
        <v/>
      </c>
      <c r="J28" s="28"/>
      <c r="K28" s="35" t="str">
        <f t="shared" si="10"/>
        <v xml:space="preserve">					&lt;div class='col-md-12 form-group row'&gt;
						&lt;label class='col-md-2 form-control title'&gt;Employee Id&lt;/label&gt;
						&lt;input type='number' class='col-md-10 form-control input-text' name='EmployeeId' [(ngModel)]='rowdata.employeeId'&gt;
					&lt;/div&gt;</v>
      </c>
      <c r="L28" s="56" t="str">
        <f t="shared" ref="L28" si="31">IF(E28="DateTime",
REPT(CHAR(9),2)&amp;"const dateValue =  this.rowdata."&amp;D28&amp;" ? new Date(this.rowdata."&amp;D28&amp;"?.toString()) : new Date();
"&amp;REPT(CHAR(9),2)&amp;"this.datepicker?.bsValueChange.emit(dateValue);","")</f>
        <v/>
      </c>
      <c r="M28" s="28"/>
      <c r="N28" s="28"/>
      <c r="O28" s="28"/>
      <c r="P28" s="28"/>
      <c r="Q28" s="28"/>
      <c r="R28" s="28"/>
      <c r="S28" s="28" t="str">
        <f t="shared" si="12"/>
        <v/>
      </c>
      <c r="T28" s="28" t="str">
        <f t="shared" si="13"/>
        <v/>
      </c>
      <c r="U28" s="28" t="str">
        <f t="shared" si="14"/>
        <v/>
      </c>
      <c r="V28" s="28" t="str">
        <f t="shared" ref="V28" si="32">IF(AND(E28="string",F28="1"),D28,"")</f>
        <v/>
      </c>
    </row>
    <row r="29" spans="1:22" ht="18" customHeight="1" x14ac:dyDescent="0.25">
      <c r="A29" s="28" t="s">
        <v>318</v>
      </c>
      <c r="B29" s="28" t="str">
        <f t="shared" si="8"/>
        <v>IsActive</v>
      </c>
      <c r="C29" s="28" t="str">
        <f t="shared" si="9"/>
        <v>Is Active</v>
      </c>
      <c r="D29" s="28" t="str">
        <f t="shared" si="2"/>
        <v>isActive</v>
      </c>
      <c r="E29" s="28" t="str">
        <f>A.Backend!H23</f>
        <v>string</v>
      </c>
      <c r="F29" s="28" t="str">
        <f>A.Backend!G23</f>
        <v>1</v>
      </c>
      <c r="G29" s="28" t="str">
        <f t="shared" si="3"/>
        <v xml:space="preserve"> : string = '' ; </v>
      </c>
      <c r="H29" s="35" t="str">
        <f t="shared" si="4"/>
        <v xml:space="preserve">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</v>
      </c>
      <c r="I29" s="35" t="str">
        <f t="shared" si="5"/>
        <v/>
      </c>
      <c r="J29" s="28"/>
      <c r="K29" s="35" t="str">
        <f t="shared" si="10"/>
        <v xml:space="preserve">					&lt;div class='col-md-12 form-group row'&gt;
						&lt;label class='col-md-2 form-control title'&gt;Is Active&lt;/label&gt;
						&lt;new-checkbox [(ngModel)]='_isActive' name='isActive' className='col-md-10' &gt; &lt;/new-checkbox&gt;
					&lt;/div&gt;</v>
      </c>
      <c r="L29" s="56" t="str">
        <f t="shared" si="20"/>
        <v/>
      </c>
      <c r="M29" s="28"/>
      <c r="N29" s="28"/>
      <c r="O29" s="28"/>
      <c r="P29" s="28"/>
      <c r="Q29" s="28"/>
      <c r="R29" s="28"/>
      <c r="S29" s="28" t="str">
        <f t="shared" si="12"/>
        <v/>
      </c>
      <c r="T29" s="28" t="str">
        <f>IF(AND(E29="string",F29 &lt;&gt;"1"),(REPT(CHAR(9),3)&amp;"this."&amp;#REF!&amp;","),"")</f>
        <v/>
      </c>
      <c r="U29" s="28" t="str">
        <f t="shared" si="14"/>
        <v/>
      </c>
      <c r="V29" s="28" t="str">
        <f t="shared" si="15"/>
        <v>isActive</v>
      </c>
    </row>
    <row r="31" spans="1:22" ht="17.25" customHeight="1" x14ac:dyDescent="0.25"/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0"/>
  <sheetViews>
    <sheetView workbookViewId="0">
      <selection activeCell="C26" sqref="C26"/>
    </sheetView>
  </sheetViews>
  <sheetFormatPr defaultColWidth="8.85546875" defaultRowHeight="15" x14ac:dyDescent="0.25"/>
  <cols>
    <col min="1" max="1" width="22.42578125" bestFit="1" customWidth="1"/>
    <col min="2" max="2" width="29.85546875" bestFit="1" customWidth="1"/>
  </cols>
  <sheetData>
    <row r="1" spans="1:2" x14ac:dyDescent="0.25">
      <c r="A1" s="1" t="s">
        <v>16</v>
      </c>
      <c r="B1" s="1" t="s">
        <v>17</v>
      </c>
    </row>
    <row r="2" spans="1:2" x14ac:dyDescent="0.25">
      <c r="A2" t="s">
        <v>19</v>
      </c>
      <c r="B2" t="s">
        <v>32</v>
      </c>
    </row>
    <row r="3" spans="1:2" x14ac:dyDescent="0.25">
      <c r="A3" t="s">
        <v>18</v>
      </c>
      <c r="B3" t="s">
        <v>32</v>
      </c>
    </row>
    <row r="4" spans="1:2" x14ac:dyDescent="0.25">
      <c r="A4" t="s">
        <v>20</v>
      </c>
      <c r="B4" t="s">
        <v>21</v>
      </c>
    </row>
    <row r="5" spans="1:2" x14ac:dyDescent="0.25">
      <c r="A5" t="s">
        <v>22</v>
      </c>
      <c r="B5" t="s">
        <v>354</v>
      </c>
    </row>
    <row r="6" spans="1:2" x14ac:dyDescent="0.25">
      <c r="A6" t="s">
        <v>23</v>
      </c>
      <c r="B6" t="s">
        <v>353</v>
      </c>
    </row>
    <row r="7" spans="1:2" x14ac:dyDescent="0.25">
      <c r="A7" t="s">
        <v>24</v>
      </c>
      <c r="B7" t="s">
        <v>348</v>
      </c>
    </row>
    <row r="8" spans="1:2" x14ac:dyDescent="0.25">
      <c r="A8" t="s">
        <v>4</v>
      </c>
      <c r="B8" t="s">
        <v>348</v>
      </c>
    </row>
    <row r="9" spans="1:2" x14ac:dyDescent="0.25">
      <c r="A9" t="s">
        <v>0</v>
      </c>
      <c r="B9" t="s">
        <v>349</v>
      </c>
    </row>
    <row r="10" spans="1:2" x14ac:dyDescent="0.25">
      <c r="A10" t="s">
        <v>25</v>
      </c>
      <c r="B10" t="s">
        <v>352</v>
      </c>
    </row>
    <row r="11" spans="1:2" x14ac:dyDescent="0.25">
      <c r="A11" t="s">
        <v>26</v>
      </c>
      <c r="B11" t="s">
        <v>352</v>
      </c>
    </row>
    <row r="12" spans="1:2" x14ac:dyDescent="0.25">
      <c r="A12" t="s">
        <v>27</v>
      </c>
      <c r="B12" t="s">
        <v>352</v>
      </c>
    </row>
    <row r="13" spans="1:2" x14ac:dyDescent="0.25">
      <c r="A13" t="s">
        <v>28</v>
      </c>
      <c r="B13" t="s">
        <v>352</v>
      </c>
    </row>
    <row r="14" spans="1:2" x14ac:dyDescent="0.25">
      <c r="A14" t="s">
        <v>29</v>
      </c>
      <c r="B14" t="s">
        <v>352</v>
      </c>
    </row>
    <row r="15" spans="1:2" x14ac:dyDescent="0.25">
      <c r="A15" t="s">
        <v>30</v>
      </c>
      <c r="B15" t="s">
        <v>352</v>
      </c>
    </row>
    <row r="16" spans="1:2" x14ac:dyDescent="0.25">
      <c r="A16" t="s">
        <v>31</v>
      </c>
      <c r="B16" t="s">
        <v>350</v>
      </c>
    </row>
    <row r="17" spans="1:2" x14ac:dyDescent="0.25">
      <c r="A17" t="s">
        <v>3</v>
      </c>
      <c r="B17" t="s">
        <v>350</v>
      </c>
    </row>
    <row r="18" spans="1:2" x14ac:dyDescent="0.25">
      <c r="A18" t="s">
        <v>33</v>
      </c>
      <c r="B18" t="s">
        <v>350</v>
      </c>
    </row>
    <row r="19" spans="1:2" x14ac:dyDescent="0.25">
      <c r="A19" t="s">
        <v>2</v>
      </c>
      <c r="B19" t="s">
        <v>350</v>
      </c>
    </row>
    <row r="20" spans="1:2" x14ac:dyDescent="0.25">
      <c r="A20" t="s">
        <v>262</v>
      </c>
      <c r="B20" t="s">
        <v>351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2:C103"/>
  <sheetViews>
    <sheetView workbookViewId="0">
      <selection activeCell="B99" sqref="B99"/>
    </sheetView>
  </sheetViews>
  <sheetFormatPr defaultColWidth="8.85546875" defaultRowHeight="15.75" x14ac:dyDescent="0.25"/>
  <cols>
    <col min="1" max="1" width="14.28515625" customWidth="1"/>
    <col min="2" max="2" width="71.7109375" style="20" customWidth="1"/>
  </cols>
  <sheetData>
    <row r="2" spans="1:2" x14ac:dyDescent="0.25">
      <c r="A2" s="22" t="s">
        <v>189</v>
      </c>
      <c r="B2" s="23" t="s">
        <v>186</v>
      </c>
    </row>
    <row r="3" spans="1:2" x14ac:dyDescent="0.25">
      <c r="B3" s="20" t="s">
        <v>111</v>
      </c>
    </row>
    <row r="4" spans="1:2" x14ac:dyDescent="0.25">
      <c r="B4" s="20" t="s">
        <v>112</v>
      </c>
    </row>
    <row r="5" spans="1:2" x14ac:dyDescent="0.25">
      <c r="B5" s="20" t="s">
        <v>113</v>
      </c>
    </row>
    <row r="6" spans="1:2" x14ac:dyDescent="0.25">
      <c r="B6" s="20" t="s">
        <v>114</v>
      </c>
    </row>
    <row r="7" spans="1:2" x14ac:dyDescent="0.25">
      <c r="B7" s="20" t="s">
        <v>115</v>
      </c>
    </row>
    <row r="8" spans="1:2" x14ac:dyDescent="0.25">
      <c r="B8" s="20" t="s">
        <v>116</v>
      </c>
    </row>
    <row r="9" spans="1:2" x14ac:dyDescent="0.25">
      <c r="B9" s="20" t="s">
        <v>117</v>
      </c>
    </row>
    <row r="10" spans="1:2" x14ac:dyDescent="0.25">
      <c r="B10" s="20" t="s">
        <v>118</v>
      </c>
    </row>
    <row r="11" spans="1:2" x14ac:dyDescent="0.25">
      <c r="B11" s="20" t="s">
        <v>119</v>
      </c>
    </row>
    <row r="12" spans="1:2" x14ac:dyDescent="0.25">
      <c r="B12" s="20" t="s">
        <v>120</v>
      </c>
    </row>
    <row r="13" spans="1:2" x14ac:dyDescent="0.25">
      <c r="B13" s="20" t="s">
        <v>121</v>
      </c>
    </row>
    <row r="14" spans="1:2" x14ac:dyDescent="0.25">
      <c r="B14" s="20" t="s">
        <v>122</v>
      </c>
    </row>
    <row r="15" spans="1:2" x14ac:dyDescent="0.25">
      <c r="B15" s="20" t="s">
        <v>123</v>
      </c>
    </row>
    <row r="16" spans="1:2" x14ac:dyDescent="0.25">
      <c r="B16" s="20" t="s">
        <v>124</v>
      </c>
    </row>
    <row r="17" spans="1:3" x14ac:dyDescent="0.25">
      <c r="B17" s="20" t="s">
        <v>125</v>
      </c>
    </row>
    <row r="18" spans="1:3" x14ac:dyDescent="0.25">
      <c r="B18" s="20" t="s">
        <v>126</v>
      </c>
      <c r="C18" t="s">
        <v>188</v>
      </c>
    </row>
    <row r="19" spans="1:3" x14ac:dyDescent="0.25">
      <c r="B19" s="20" t="s">
        <v>127</v>
      </c>
    </row>
    <row r="20" spans="1:3" x14ac:dyDescent="0.25">
      <c r="B20" s="20" t="s">
        <v>128</v>
      </c>
    </row>
    <row r="21" spans="1:3" x14ac:dyDescent="0.25">
      <c r="B21" s="20" t="s">
        <v>129</v>
      </c>
    </row>
    <row r="22" spans="1:3" x14ac:dyDescent="0.25">
      <c r="B22" s="20" t="s">
        <v>130</v>
      </c>
      <c r="C22" t="s">
        <v>193</v>
      </c>
    </row>
    <row r="23" spans="1:3" x14ac:dyDescent="0.25">
      <c r="B23" s="20" t="s">
        <v>131</v>
      </c>
    </row>
    <row r="24" spans="1:3" x14ac:dyDescent="0.25">
      <c r="B24" s="20" t="s">
        <v>132</v>
      </c>
    </row>
    <row r="25" spans="1:3" x14ac:dyDescent="0.25">
      <c r="B25" s="20" t="s">
        <v>133</v>
      </c>
    </row>
    <row r="26" spans="1:3" x14ac:dyDescent="0.25">
      <c r="A26" s="22" t="s">
        <v>190</v>
      </c>
      <c r="B26" s="23" t="s">
        <v>187</v>
      </c>
    </row>
    <row r="27" spans="1:3" x14ac:dyDescent="0.25">
      <c r="B27" s="20" t="s">
        <v>134</v>
      </c>
    </row>
    <row r="28" spans="1:3" x14ac:dyDescent="0.25">
      <c r="B28" s="21" t="s">
        <v>135</v>
      </c>
    </row>
    <row r="29" spans="1:3" x14ac:dyDescent="0.25">
      <c r="B29" s="20" t="s">
        <v>136</v>
      </c>
    </row>
    <row r="30" spans="1:3" x14ac:dyDescent="0.25">
      <c r="B30" s="20" t="s">
        <v>137</v>
      </c>
    </row>
    <row r="31" spans="1:3" x14ac:dyDescent="0.25">
      <c r="B31" s="20" t="s">
        <v>138</v>
      </c>
    </row>
    <row r="32" spans="1:3" x14ac:dyDescent="0.25">
      <c r="B32" s="20" t="s">
        <v>139</v>
      </c>
    </row>
    <row r="33" spans="2:2" x14ac:dyDescent="0.25">
      <c r="B33" s="20" t="s">
        <v>140</v>
      </c>
    </row>
    <row r="34" spans="2:2" x14ac:dyDescent="0.25">
      <c r="B34" s="20" t="s">
        <v>141</v>
      </c>
    </row>
    <row r="35" spans="2:2" x14ac:dyDescent="0.25">
      <c r="B35" s="20" t="s">
        <v>142</v>
      </c>
    </row>
    <row r="36" spans="2:2" x14ac:dyDescent="0.25">
      <c r="B36" s="20" t="s">
        <v>143</v>
      </c>
    </row>
    <row r="37" spans="2:2" x14ac:dyDescent="0.25">
      <c r="B37" s="20" t="s">
        <v>144</v>
      </c>
    </row>
    <row r="38" spans="2:2" x14ac:dyDescent="0.25">
      <c r="B38" s="20" t="s">
        <v>145</v>
      </c>
    </row>
    <row r="39" spans="2:2" x14ac:dyDescent="0.25">
      <c r="B39" s="20" t="s">
        <v>146</v>
      </c>
    </row>
    <row r="40" spans="2:2" x14ac:dyDescent="0.25">
      <c r="B40" s="20" t="s">
        <v>147</v>
      </c>
    </row>
    <row r="41" spans="2:2" x14ac:dyDescent="0.25">
      <c r="B41" s="20" t="s">
        <v>148</v>
      </c>
    </row>
    <row r="42" spans="2:2" x14ac:dyDescent="0.25">
      <c r="B42" s="20" t="s">
        <v>149</v>
      </c>
    </row>
    <row r="43" spans="2:2" x14ac:dyDescent="0.25">
      <c r="B43" s="21" t="s">
        <v>150</v>
      </c>
    </row>
    <row r="44" spans="2:2" x14ac:dyDescent="0.25">
      <c r="B44" s="20" t="s">
        <v>136</v>
      </c>
    </row>
    <row r="45" spans="2:2" x14ac:dyDescent="0.25">
      <c r="B45" s="20" t="s">
        <v>151</v>
      </c>
    </row>
    <row r="46" spans="2:2" x14ac:dyDescent="0.25">
      <c r="B46" s="20" t="s">
        <v>152</v>
      </c>
    </row>
    <row r="47" spans="2:2" x14ac:dyDescent="0.25">
      <c r="B47" s="20" t="s">
        <v>153</v>
      </c>
    </row>
    <row r="48" spans="2:2" x14ac:dyDescent="0.25">
      <c r="B48" s="20" t="s">
        <v>154</v>
      </c>
    </row>
    <row r="49" spans="2:2" x14ac:dyDescent="0.25">
      <c r="B49" s="20" t="s">
        <v>137</v>
      </c>
    </row>
    <row r="50" spans="2:2" x14ac:dyDescent="0.25">
      <c r="B50" s="20" t="s">
        <v>138</v>
      </c>
    </row>
    <row r="51" spans="2:2" x14ac:dyDescent="0.25">
      <c r="B51" s="20" t="s">
        <v>139</v>
      </c>
    </row>
    <row r="52" spans="2:2" x14ac:dyDescent="0.25">
      <c r="B52" s="20" t="s">
        <v>140</v>
      </c>
    </row>
    <row r="53" spans="2:2" x14ac:dyDescent="0.25">
      <c r="B53" s="20" t="s">
        <v>141</v>
      </c>
    </row>
    <row r="54" spans="2:2" x14ac:dyDescent="0.25">
      <c r="B54" s="20" t="s">
        <v>142</v>
      </c>
    </row>
    <row r="55" spans="2:2" x14ac:dyDescent="0.25">
      <c r="B55" s="20" t="s">
        <v>143</v>
      </c>
    </row>
    <row r="56" spans="2:2" x14ac:dyDescent="0.25">
      <c r="B56" s="20" t="s">
        <v>155</v>
      </c>
    </row>
    <row r="57" spans="2:2" x14ac:dyDescent="0.25">
      <c r="B57" s="20" t="s">
        <v>156</v>
      </c>
    </row>
    <row r="58" spans="2:2" x14ac:dyDescent="0.25">
      <c r="B58" s="20" t="s">
        <v>144</v>
      </c>
    </row>
    <row r="59" spans="2:2" x14ac:dyDescent="0.25">
      <c r="B59" s="20" t="s">
        <v>145</v>
      </c>
    </row>
    <row r="60" spans="2:2" x14ac:dyDescent="0.25">
      <c r="B60" s="20" t="s">
        <v>157</v>
      </c>
    </row>
    <row r="61" spans="2:2" x14ac:dyDescent="0.25">
      <c r="B61" s="20" t="s">
        <v>158</v>
      </c>
    </row>
    <row r="62" spans="2:2" x14ac:dyDescent="0.25">
      <c r="B62" s="20" t="s">
        <v>159</v>
      </c>
    </row>
    <row r="63" spans="2:2" x14ac:dyDescent="0.25">
      <c r="B63" s="20" t="s">
        <v>154</v>
      </c>
    </row>
    <row r="64" spans="2:2" x14ac:dyDescent="0.25">
      <c r="B64" s="20" t="s">
        <v>146</v>
      </c>
    </row>
    <row r="65" spans="2:2" x14ac:dyDescent="0.25">
      <c r="B65" s="20" t="s">
        <v>147</v>
      </c>
    </row>
    <row r="66" spans="2:2" x14ac:dyDescent="0.25">
      <c r="B66" s="20" t="s">
        <v>160</v>
      </c>
    </row>
    <row r="67" spans="2:2" x14ac:dyDescent="0.25">
      <c r="B67" s="20" t="s">
        <v>154</v>
      </c>
    </row>
    <row r="68" spans="2:2" x14ac:dyDescent="0.25">
      <c r="B68" s="20" t="s">
        <v>148</v>
      </c>
    </row>
    <row r="69" spans="2:2" x14ac:dyDescent="0.25">
      <c r="B69" s="20" t="s">
        <v>161</v>
      </c>
    </row>
    <row r="70" spans="2:2" x14ac:dyDescent="0.25">
      <c r="B70" s="21" t="s">
        <v>162</v>
      </c>
    </row>
    <row r="71" spans="2:2" x14ac:dyDescent="0.25">
      <c r="B71" s="20" t="s">
        <v>136</v>
      </c>
    </row>
    <row r="72" spans="2:2" x14ac:dyDescent="0.25">
      <c r="B72" s="20" t="s">
        <v>137</v>
      </c>
    </row>
    <row r="73" spans="2:2" x14ac:dyDescent="0.25">
      <c r="B73" s="20" t="s">
        <v>138</v>
      </c>
    </row>
    <row r="74" spans="2:2" x14ac:dyDescent="0.25">
      <c r="B74" s="20" t="s">
        <v>139</v>
      </c>
    </row>
    <row r="75" spans="2:2" x14ac:dyDescent="0.25">
      <c r="B75" s="20" t="s">
        <v>143</v>
      </c>
    </row>
    <row r="76" spans="2:2" x14ac:dyDescent="0.25">
      <c r="B76" s="20" t="s">
        <v>145</v>
      </c>
    </row>
    <row r="77" spans="2:2" x14ac:dyDescent="0.25">
      <c r="B77" s="20" t="s">
        <v>146</v>
      </c>
    </row>
    <row r="78" spans="2:2" x14ac:dyDescent="0.25">
      <c r="B78" s="20" t="s">
        <v>147</v>
      </c>
    </row>
    <row r="79" spans="2:2" x14ac:dyDescent="0.25">
      <c r="B79" s="20" t="s">
        <v>148</v>
      </c>
    </row>
    <row r="80" spans="2:2" x14ac:dyDescent="0.25">
      <c r="B80" s="20" t="s">
        <v>161</v>
      </c>
    </row>
    <row r="81" spans="1:2" x14ac:dyDescent="0.25">
      <c r="B81" s="21" t="s">
        <v>163</v>
      </c>
    </row>
    <row r="82" spans="1:2" x14ac:dyDescent="0.25">
      <c r="B82" s="21" t="s">
        <v>164</v>
      </c>
    </row>
    <row r="83" spans="1:2" x14ac:dyDescent="0.25">
      <c r="B83" s="21" t="s">
        <v>165</v>
      </c>
    </row>
    <row r="84" spans="1:2" x14ac:dyDescent="0.25">
      <c r="B84" s="21" t="s">
        <v>166</v>
      </c>
    </row>
    <row r="85" spans="1:2" x14ac:dyDescent="0.25">
      <c r="B85" s="21" t="s">
        <v>167</v>
      </c>
    </row>
    <row r="86" spans="1:2" x14ac:dyDescent="0.25">
      <c r="B86" s="21" t="s">
        <v>168</v>
      </c>
    </row>
    <row r="87" spans="1:2" x14ac:dyDescent="0.25">
      <c r="B87" s="21" t="s">
        <v>169</v>
      </c>
    </row>
    <row r="88" spans="1:2" x14ac:dyDescent="0.25">
      <c r="A88" s="22" t="s">
        <v>191</v>
      </c>
      <c r="B88" s="24" t="s">
        <v>170</v>
      </c>
    </row>
    <row r="89" spans="1:2" x14ac:dyDescent="0.25">
      <c r="B89" s="20" t="s">
        <v>171</v>
      </c>
    </row>
    <row r="90" spans="1:2" x14ac:dyDescent="0.25">
      <c r="B90" s="20" t="s">
        <v>172</v>
      </c>
    </row>
    <row r="91" spans="1:2" x14ac:dyDescent="0.25">
      <c r="B91" s="20" t="s">
        <v>173</v>
      </c>
    </row>
    <row r="92" spans="1:2" x14ac:dyDescent="0.25">
      <c r="B92" s="20" t="s">
        <v>174</v>
      </c>
    </row>
    <row r="93" spans="1:2" x14ac:dyDescent="0.25">
      <c r="B93" s="20" t="s">
        <v>175</v>
      </c>
    </row>
    <row r="94" spans="1:2" x14ac:dyDescent="0.25">
      <c r="B94" s="20" t="s">
        <v>176</v>
      </c>
    </row>
    <row r="95" spans="1:2" x14ac:dyDescent="0.25">
      <c r="B95" s="20" t="s">
        <v>177</v>
      </c>
    </row>
    <row r="96" spans="1:2" x14ac:dyDescent="0.25">
      <c r="B96" s="20" t="s">
        <v>178</v>
      </c>
    </row>
    <row r="97" spans="2:2" x14ac:dyDescent="0.25">
      <c r="B97" s="20" t="s">
        <v>179</v>
      </c>
    </row>
    <row r="98" spans="2:2" x14ac:dyDescent="0.25">
      <c r="B98" s="20" t="s">
        <v>180</v>
      </c>
    </row>
    <row r="99" spans="2:2" x14ac:dyDescent="0.25">
      <c r="B99" s="20" t="s">
        <v>181</v>
      </c>
    </row>
    <row r="100" spans="2:2" x14ac:dyDescent="0.25">
      <c r="B100" s="20" t="s">
        <v>182</v>
      </c>
    </row>
    <row r="101" spans="2:2" x14ac:dyDescent="0.25">
      <c r="B101" s="20" t="s">
        <v>183</v>
      </c>
    </row>
    <row r="102" spans="2:2" x14ac:dyDescent="0.25">
      <c r="B102" s="20" t="s">
        <v>184</v>
      </c>
    </row>
    <row r="103" spans="2:2" x14ac:dyDescent="0.25">
      <c r="B103" s="20" t="s">
        <v>185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Dev Guide</vt:lpstr>
      <vt:lpstr>A.Backend</vt:lpstr>
      <vt:lpstr>B.Frontend</vt:lpstr>
      <vt:lpstr>Data Type Mapping</vt:lpstr>
      <vt:lpstr>Directory Tree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S_member</dc:creator>
  <cp:lastModifiedBy>QuangTrung</cp:lastModifiedBy>
  <dcterms:created xsi:type="dcterms:W3CDTF">2022-04-01T07:31:40Z</dcterms:created>
  <dcterms:modified xsi:type="dcterms:W3CDTF">2023-05-09T08:31:42Z</dcterms:modified>
</cp:coreProperties>
</file>
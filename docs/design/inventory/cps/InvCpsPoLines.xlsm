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ps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6" i="5" l="1"/>
  <c r="U20" i="5"/>
  <c r="U22" i="5"/>
  <c r="U23" i="5"/>
  <c r="U24" i="5"/>
  <c r="U25" i="5"/>
  <c r="U26" i="5"/>
  <c r="U27" i="5"/>
  <c r="U28" i="5"/>
  <c r="U30" i="5"/>
  <c r="T16" i="5"/>
  <c r="T20" i="5"/>
  <c r="T22" i="5"/>
  <c r="T23" i="5"/>
  <c r="T24" i="5"/>
  <c r="T25" i="5"/>
  <c r="T26" i="5"/>
  <c r="T27" i="5"/>
  <c r="T28" i="5"/>
  <c r="T30" i="5"/>
  <c r="S16" i="5"/>
  <c r="S20" i="5"/>
  <c r="S22" i="5"/>
  <c r="S23" i="5"/>
  <c r="S24" i="5"/>
  <c r="S25" i="5"/>
  <c r="S26" i="5"/>
  <c r="S27" i="5"/>
  <c r="S28" i="5"/>
  <c r="S30" i="5"/>
  <c r="K22" i="5"/>
  <c r="K23" i="5"/>
  <c r="K24" i="5"/>
  <c r="K25" i="5"/>
  <c r="K26" i="5"/>
  <c r="K27" i="5"/>
  <c r="K30" i="5"/>
  <c r="I16" i="5"/>
  <c r="I20" i="5"/>
  <c r="I22" i="5"/>
  <c r="I23" i="5"/>
  <c r="I24" i="5"/>
  <c r="I25" i="5"/>
  <c r="I26" i="5"/>
  <c r="I27" i="5"/>
  <c r="I28" i="5"/>
  <c r="I30" i="5"/>
  <c r="H30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D22" i="5"/>
  <c r="D24" i="5"/>
  <c r="D25" i="5"/>
  <c r="D30" i="5"/>
  <c r="L26" i="5"/>
  <c r="C26" i="5"/>
  <c r="H26" i="5" s="1"/>
  <c r="B26" i="5"/>
  <c r="D26" i="5" s="1"/>
  <c r="C25" i="5"/>
  <c r="H25" i="5" s="1"/>
  <c r="B25" i="5"/>
  <c r="V24" i="5"/>
  <c r="C24" i="5"/>
  <c r="H24" i="5" s="1"/>
  <c r="B24" i="5"/>
  <c r="C23" i="5"/>
  <c r="B23" i="5"/>
  <c r="D23" i="5" s="1"/>
  <c r="V22" i="5"/>
  <c r="L22" i="5"/>
  <c r="C22" i="5"/>
  <c r="H22" i="5" s="1"/>
  <c r="B22" i="5"/>
  <c r="L29" i="5"/>
  <c r="C29" i="5"/>
  <c r="B29" i="5"/>
  <c r="D29" i="5" s="1"/>
  <c r="L28" i="5"/>
  <c r="C28" i="5"/>
  <c r="B28" i="5"/>
  <c r="D28" i="5" s="1"/>
  <c r="T29" i="5" s="1"/>
  <c r="T12" i="1"/>
  <c r="L12" i="1"/>
  <c r="G12" i="1"/>
  <c r="E12" i="1"/>
  <c r="H12" i="1" s="1"/>
  <c r="I12" i="1" s="1"/>
  <c r="D12" i="1"/>
  <c r="P12" i="1" s="1"/>
  <c r="L17" i="1"/>
  <c r="G17" i="1"/>
  <c r="E17" i="1"/>
  <c r="H17" i="1" s="1"/>
  <c r="W17" i="1" s="1"/>
  <c r="D17" i="1"/>
  <c r="P17" i="1" s="1"/>
  <c r="L16" i="1"/>
  <c r="G16" i="1"/>
  <c r="E16" i="1"/>
  <c r="H16" i="1" s="1"/>
  <c r="D16" i="1"/>
  <c r="T16" i="1" s="1"/>
  <c r="L15" i="1"/>
  <c r="G15" i="1"/>
  <c r="E15" i="1"/>
  <c r="H15" i="1" s="1"/>
  <c r="D15" i="1"/>
  <c r="V15" i="1" s="1"/>
  <c r="L14" i="1"/>
  <c r="G14" i="1"/>
  <c r="E14" i="1"/>
  <c r="H14" i="1" s="1"/>
  <c r="D14" i="1"/>
  <c r="V14" i="1" s="1"/>
  <c r="L13" i="1"/>
  <c r="G13" i="1"/>
  <c r="E13" i="1"/>
  <c r="H13" i="1" s="1"/>
  <c r="D13" i="1"/>
  <c r="P13" i="1" s="1"/>
  <c r="L11" i="1"/>
  <c r="G11" i="1"/>
  <c r="E11" i="1"/>
  <c r="H11" i="1" s="1"/>
  <c r="D11" i="1"/>
  <c r="T11" i="1" s="1"/>
  <c r="K28" i="5" l="1"/>
  <c r="H29" i="5"/>
  <c r="I29" i="5"/>
  <c r="S29" i="5"/>
  <c r="U29" i="5"/>
  <c r="H23" i="5"/>
  <c r="K29" i="5"/>
  <c r="H28" i="5"/>
  <c r="M14" i="1"/>
  <c r="V29" i="5"/>
  <c r="L24" i="5"/>
  <c r="V26" i="5"/>
  <c r="L23" i="5"/>
  <c r="V25" i="5"/>
  <c r="V23" i="5"/>
  <c r="L25" i="5"/>
  <c r="V28" i="5"/>
  <c r="V12" i="1"/>
  <c r="W12" i="1"/>
  <c r="M12" i="1"/>
  <c r="J12" i="1"/>
  <c r="N12" i="1"/>
  <c r="O12" i="1"/>
  <c r="T13" i="1"/>
  <c r="T17" i="1"/>
  <c r="V17" i="1"/>
  <c r="V16" i="1"/>
  <c r="P16" i="1"/>
  <c r="V13" i="1"/>
  <c r="W13" i="1"/>
  <c r="P11" i="1"/>
  <c r="N16" i="1"/>
  <c r="M16" i="1"/>
  <c r="O16" i="1"/>
  <c r="W16" i="1"/>
  <c r="J16" i="1"/>
  <c r="I16" i="1"/>
  <c r="N11" i="1"/>
  <c r="M11" i="1"/>
  <c r="I11" i="1"/>
  <c r="W11" i="1"/>
  <c r="J11" i="1"/>
  <c r="O11" i="1"/>
  <c r="O15" i="1"/>
  <c r="N15" i="1"/>
  <c r="W15" i="1"/>
  <c r="J15" i="1"/>
  <c r="I15" i="1"/>
  <c r="M15" i="1"/>
  <c r="I13" i="1"/>
  <c r="N14" i="1"/>
  <c r="P15" i="1"/>
  <c r="M13" i="1"/>
  <c r="O14" i="1"/>
  <c r="T15" i="1"/>
  <c r="M17" i="1"/>
  <c r="J14" i="1"/>
  <c r="W14" i="1"/>
  <c r="I17" i="1"/>
  <c r="V11" i="1"/>
  <c r="N13" i="1"/>
  <c r="P14" i="1"/>
  <c r="N17" i="1"/>
  <c r="T14" i="1"/>
  <c r="O17" i="1"/>
  <c r="O13" i="1"/>
  <c r="I14" i="1"/>
  <c r="J13" i="1"/>
  <c r="J17" i="1"/>
  <c r="C19" i="5"/>
  <c r="B19" i="5"/>
  <c r="D19" i="5" s="1"/>
  <c r="C18" i="5"/>
  <c r="B18" i="5"/>
  <c r="D18" i="5" s="1"/>
  <c r="C17" i="5"/>
  <c r="B17" i="5"/>
  <c r="D17" i="5" s="1"/>
  <c r="L21" i="1"/>
  <c r="G21" i="1"/>
  <c r="E21" i="1"/>
  <c r="H21" i="1" s="1"/>
  <c r="D21" i="1"/>
  <c r="V21" i="1" s="1"/>
  <c r="L20" i="1"/>
  <c r="G20" i="1"/>
  <c r="E20" i="1"/>
  <c r="H20" i="1" s="1"/>
  <c r="D20" i="1"/>
  <c r="T20" i="1" s="1"/>
  <c r="L19" i="1"/>
  <c r="G19" i="1"/>
  <c r="E19" i="1"/>
  <c r="H19" i="1" s="1"/>
  <c r="D19" i="1"/>
  <c r="V19" i="1" s="1"/>
  <c r="L18" i="1"/>
  <c r="G18" i="1"/>
  <c r="E18" i="1"/>
  <c r="H18" i="1" s="1"/>
  <c r="D18" i="1"/>
  <c r="V18" i="1" s="1"/>
  <c r="L10" i="1"/>
  <c r="G10" i="1"/>
  <c r="E10" i="1"/>
  <c r="H10" i="1" s="1"/>
  <c r="D10" i="1"/>
  <c r="T10" i="1" s="1"/>
  <c r="S19" i="5" l="1"/>
  <c r="U19" i="5"/>
  <c r="I19" i="5"/>
  <c r="K19" i="5"/>
  <c r="H19" i="5"/>
  <c r="H18" i="5"/>
  <c r="K18" i="5"/>
  <c r="U17" i="5"/>
  <c r="T18" i="5"/>
  <c r="S17" i="5"/>
  <c r="I17" i="5"/>
  <c r="H17" i="5"/>
  <c r="K17" i="5"/>
  <c r="S18" i="5"/>
  <c r="U18" i="5"/>
  <c r="T19" i="5"/>
  <c r="I18" i="5"/>
  <c r="W10" i="1"/>
  <c r="V19" i="5"/>
  <c r="L18" i="5"/>
  <c r="L17" i="5"/>
  <c r="V17" i="5"/>
  <c r="V18" i="5"/>
  <c r="L19" i="5"/>
  <c r="V20" i="1"/>
  <c r="O19" i="1"/>
  <c r="P19" i="1"/>
  <c r="T19" i="1"/>
  <c r="V10" i="1"/>
  <c r="W21" i="1"/>
  <c r="J21" i="1"/>
  <c r="I21" i="1"/>
  <c r="O21" i="1"/>
  <c r="N21" i="1"/>
  <c r="M21" i="1"/>
  <c r="I20" i="1"/>
  <c r="O20" i="1"/>
  <c r="N20" i="1"/>
  <c r="M20" i="1"/>
  <c r="W20" i="1"/>
  <c r="J20" i="1"/>
  <c r="M18" i="1"/>
  <c r="O18" i="1"/>
  <c r="W18" i="1"/>
  <c r="J18" i="1"/>
  <c r="I18" i="1"/>
  <c r="N18" i="1"/>
  <c r="N10" i="1"/>
  <c r="P18" i="1"/>
  <c r="I19" i="1"/>
  <c r="O10" i="1"/>
  <c r="T18" i="1"/>
  <c r="J19" i="1"/>
  <c r="W19" i="1"/>
  <c r="M10" i="1"/>
  <c r="P10" i="1"/>
  <c r="P21" i="1"/>
  <c r="M19" i="1"/>
  <c r="T21" i="1"/>
  <c r="I10" i="1"/>
  <c r="P20" i="1"/>
  <c r="N19" i="1"/>
  <c r="J10" i="1"/>
  <c r="C27" i="5"/>
  <c r="H27" i="5" s="1"/>
  <c r="B27" i="5"/>
  <c r="D27" i="5" s="1"/>
  <c r="B16" i="5" l="1"/>
  <c r="D16" i="5" s="1"/>
  <c r="T17" i="5" s="1"/>
  <c r="C16" i="5"/>
  <c r="B20" i="5"/>
  <c r="D20" i="5" s="1"/>
  <c r="T21" i="5" s="1"/>
  <c r="C20" i="5"/>
  <c r="B21" i="5"/>
  <c r="D21" i="5" s="1"/>
  <c r="C21" i="5"/>
  <c r="B30" i="5"/>
  <c r="C30" i="5"/>
  <c r="H21" i="5" l="1"/>
  <c r="K21" i="5"/>
  <c r="K20" i="5"/>
  <c r="H20" i="5"/>
  <c r="I21" i="5"/>
  <c r="S21" i="5"/>
  <c r="U21" i="5"/>
  <c r="K16" i="5"/>
  <c r="H16" i="5"/>
  <c r="L24" i="1"/>
  <c r="G24" i="1"/>
  <c r="E24" i="1"/>
  <c r="H24" i="1" s="1"/>
  <c r="D24" i="1"/>
  <c r="V24" i="1" s="1"/>
  <c r="W24" i="1" l="1"/>
  <c r="P24" i="1"/>
  <c r="T24" i="1"/>
  <c r="I24" i="1"/>
  <c r="N24" i="1"/>
  <c r="M24" i="1"/>
  <c r="J24" i="1"/>
  <c r="O24" i="1"/>
  <c r="B7" i="5"/>
  <c r="B6" i="5"/>
  <c r="B2" i="5"/>
  <c r="V30" i="5" l="1"/>
  <c r="B8" i="5"/>
  <c r="B3" i="5"/>
  <c r="L30" i="5" l="1"/>
  <c r="B6" i="1" l="1"/>
  <c r="C15" i="5" l="1"/>
  <c r="B15" i="5"/>
  <c r="D15" i="5" s="1"/>
  <c r="G23" i="1"/>
  <c r="E23" i="1"/>
  <c r="H23" i="1" s="1"/>
  <c r="D23" i="1"/>
  <c r="T23" i="1" s="1"/>
  <c r="M23" i="1" l="1"/>
  <c r="L23" i="1"/>
  <c r="P23" i="1"/>
  <c r="I23" i="1"/>
  <c r="N23" i="1"/>
  <c r="V23" i="1"/>
  <c r="J23" i="1"/>
  <c r="O23" i="1"/>
  <c r="W23" i="1"/>
  <c r="L20" i="5" l="1"/>
  <c r="V20" i="5"/>
  <c r="L27" i="5"/>
  <c r="V27" i="5"/>
  <c r="G9" i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22" i="1" l="1"/>
  <c r="E22" i="1"/>
  <c r="H22" i="1" s="1"/>
  <c r="D22" i="1"/>
  <c r="T22" i="1" s="1"/>
  <c r="V21" i="5" l="1"/>
  <c r="L21" i="5"/>
  <c r="V16" i="5"/>
  <c r="L16" i="5"/>
  <c r="P22" i="1"/>
  <c r="V22" i="1"/>
  <c r="W22" i="1"/>
  <c r="J22" i="1"/>
  <c r="I22" i="1"/>
  <c r="O22" i="1"/>
  <c r="N22" i="1"/>
  <c r="M22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6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6" i="1"/>
  <c r="T13" i="5"/>
  <c r="T7" i="1" l="1"/>
  <c r="W26" i="1"/>
  <c r="G6" i="1" l="1"/>
  <c r="I13" i="5"/>
  <c r="U13" i="5"/>
  <c r="H13" i="5"/>
  <c r="L13" i="5"/>
  <c r="S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22" i="1"/>
  <c r="C7" i="1"/>
  <c r="I26" i="1"/>
  <c r="N26" i="1"/>
  <c r="O26" i="1"/>
  <c r="P26" i="1"/>
  <c r="J26" i="1"/>
  <c r="Q7" i="1" l="1"/>
  <c r="M68" i="3" s="1"/>
  <c r="L7" i="1"/>
  <c r="G68" i="3" s="1"/>
  <c r="K68" i="3"/>
  <c r="J68" i="3"/>
  <c r="M26" i="1"/>
  <c r="K2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<sst xmlns="http://schemas.openxmlformats.org/spreadsheetml/2006/main" count="498" uniqueCount="385">
  <si>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</si>
  <si>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</si>
  <si>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</si>
  <si>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</si>
  <si>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</si>
  <si>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</si>
  <si>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</si>
  <si>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</si>
  <si>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</si>
  <si>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</si>
  <si>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</si>
  <si>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</si>
  <si>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</si>
  <si>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</si>
  <si>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</si>
  <si>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</si>
  <si>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</si>
  <si>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</si>
  <si>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</si>
  <si>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</si>
  <si>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</si>
  <si>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</si>
  <si>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</si>
  <si>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</si>
  <si>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</si>
  <si>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</si>
  <si>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</si>
  <si>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</si>
  <si>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</si>
  <si>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</si>
  <si>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</si>
  <si>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</si>
  <si>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</si>
  <si>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</si>
  <si>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</si>
  <si>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</si>
  <si>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</si>
  <si>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</si>
  <si>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</si>
  <si>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</si>
  <si>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</si>
  <si>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</si>
  <si>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</si>
  <si>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</si>
  <si>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</si>
  <si>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</si>
  <si>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</si>
  <si>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</si>
  <si>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</si>
  <si>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</si>
  <si>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</si>
  <si>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</si>
  <si>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</si>
  <si>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</si>
  <si>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</si>
  <si>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</si>
  <si>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</si>
  <si>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</si>
  <si>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</si>
  <si>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</si>
  <si>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</si>
  <si>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</si>
  <si>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</si>
  <si>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</si>
  <si>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</si>
  <si>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</si>
  <si>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</si>
  <si>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</si>
  <si>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</si>
  <si>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</si>
  <si>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</si>
  <si>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</si>
  <si>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</si>
  <si>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</si>
  <si>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</si>
  <si>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</si>
  <si>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</si>
  <si>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</si>
  <si>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</si>
  <si>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</si>
  <si>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</si>
  <si>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</si>
  <si>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</si>
  <si>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</si>
  <si>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</si>
  <si>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</si>
  <si>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</si>
  <si>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</si>
  <si>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</si>
  <si>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</si>
  <si>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</si>
  <si>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</si>
  <si>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</si>
  <si>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</si>
  <si>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</si>
  <si>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</si>
  <si>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</si>
  <si>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</si>
  <si>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</si>
  <si>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</si>
  <si>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</si>
  <si>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</si>
  <si>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</si>
  <si>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</si>
  <si>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</si>
  <si>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</si>
  <si>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</si>
  <si>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</si>
  <si>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</si>
  <si>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</si>
  <si>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</si>
  <si>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</si>
  <si>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</si>
  <si>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</si>
  <si>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</si>
  <si>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</si>
  <si>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</si>
  <si>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</si>
  <si>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</si>
  <si>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</si>
  <si>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</si>
  <si>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</si>
  <si>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</si>
  <si>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</si>
  <si>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</si>
  <si>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</si>
  <si>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</si>
  <si>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</si>
  <si>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</si>
  <si>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</si>
  <si>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</si>
  <si>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</si>
  <si>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</si>
  <si>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</si>
  <si>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</si>
  <si>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</si>
  <si>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</si>
  <si>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</si>
  <si>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</si>
  <si>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</si>
  <si>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</si>
  <si>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</si>
  <si>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</si>
  <si>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</si>
  <si>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</si>
  <si>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</si>
  <si>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</si>
  <si>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</si>
  <si>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</si>
  <si>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</si>
  <si>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</si>
  <si>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</si>
  <si>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</si>
  <si>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</si>
  <si>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</si>
  <si>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</si>
  <si>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</si>
  <si>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</si>
  <si>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</si>
  <si>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</si>
  <si>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</si>
  <si>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</si>
  <si>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</si>
  <si>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</si>
  <si>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</si>
  <si>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</si>
  <si>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</si>
  <si>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</si>
  <si>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</si>
  <si>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</si>
  <si>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</si>
  <si>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</si>
  <si>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</si>
  <si>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</si>
  <si>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</si>
  <si>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</si>
  <si>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</si>
  <si>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</si>
  <si>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</si>
  <si>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</si>
  <si>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</si>
  <si>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</si>
  <si>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</si>
  <si>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</si>
  <si>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</si>
  <si>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</si>
  <si>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</si>
  <si>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</si>
  <si>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</si>
  <si>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</si>
  <si>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</si>
  <si>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</si>
  <si>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</si>
  <si>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</si>
  <si>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</si>
  <si>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</si>
  <si>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</si>
  <si>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</si>
  <si>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</si>
  <si>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</si>
  <si>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</si>
  <si>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</si>
  <si>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</si>
  <si>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</si>
  <si>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</si>
  <si>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</si>
  <si>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</si>
  <si>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</si>
  <si>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</si>
  <si>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</si>
  <si>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</si>
  <si>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</si>
  <si>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</si>
  <si>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</si>
  <si>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</si>
  <si>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</si>
  <si>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</si>
  <si>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</si>
  <si>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</si>
  <si>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</si>
  <si>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</si>
  <si>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</si>
  <si>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</si>
  <si>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</si>
  <si>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</si>
  <si>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</si>
  <si>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</si>
  <si>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</si>
  <si>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</si>
  <si>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</si>
  <si>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</si>
  <si>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</si>
  <si>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</si>
  <si>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</si>
  <si>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</si>
  <si>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</si>
  <si>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</si>
  <si>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</si>
  <si>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</si>
  <si>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</si>
  <si>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</si>
  <si>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</si>
  <si>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</si>
  <si>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</si>
  <si>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</si>
  <si>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</si>
  <si>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</si>
  <si>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</si>
  <si>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</si>
  <si>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</si>
  <si>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</si>
  <si>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</si>
  <si>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</si>
  <si>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</si>
  <si>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</si>
  <si>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</si>
  <si>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</si>
  <si>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</si>
  <si>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</si>
  <si>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</si>
  <si>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</si>
  <si>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</si>
  <si>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</si>
  <si>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</si>
  <si>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</si>
  <si>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</si>
  <si>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</si>
  <si>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</si>
  <si>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</si>
  <si>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</si>
  <si>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</si>
  <si>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</si>
  <si>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</si>
  <si>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</si>
  <si>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</si>
  <si>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</si>
  <si>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</si>
  <si>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</si>
  <si>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</si>
  <si>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</si>
  <si>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</si>
  <si>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</si>
  <si>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</si>
  <si>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</si>
  <si>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</si>
  <si>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</si>
  <si>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</si>
  <si>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</si>
  <si>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</si>
  <si>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</si>
  <si>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</si>
  <si>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</si>
  <si>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</si>
  <si>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</si>
  <si>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</si>
  <si>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</si>
  <si>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</si>
  <si>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</si>
  <si>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</si>
  <si>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</si>
  <si>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</si>
  <si>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</si>
  <si>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</si>
  <si>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</si>
  <si>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</si>
  <si>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</si>
  <si>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</si>
  <si>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</si>
  <si>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</si>
  <si>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</si>
  <si>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</si>
  <si>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</si>
  <si>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</si>
  <si>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</si>
  <si>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</si>
  <si>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</si>
  <si>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</si>
  <si>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</si>
  <si>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</si>
  <si>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</si>
  <si>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</si>
  <si>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</si>
  <si>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</si>
  <si>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</si>
  <si>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</si>
  <si>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</si>
  <si>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</si>
  <si>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</si>
  <si>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</si>
  <si>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</si>
  <si>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</si>
  <si>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</si>
  <si>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</si>
  <si>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</si>
  <si>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</si>
  <si>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</si>
  <si>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</si>
  <si>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</si>
  <si>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</si>
  <si>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</si>
  <si>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</si>
  <si>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</si>
  <si>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</si>
  <si>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</si>
  <si>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</si>
  <si>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</si>
  <si>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</si>
  <si>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</si>
  <si>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</si>
  <si>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</si>
  <si>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</si>
  <si>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</si>
  <si>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</si>
  <si>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</si>
  <si>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</si>
  <si>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</si>
  <si>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DateTime</t>
  </si>
  <si>
    <t>Decimal(18,5)</t>
  </si>
  <si>
    <t>nvarchar(240)</t>
  </si>
  <si>
    <t>Quantity</t>
  </si>
  <si>
    <t>nvarchar(40)</t>
  </si>
  <si>
    <t>Color</t>
  </si>
  <si>
    <t>nvarchar(500)</t>
  </si>
  <si>
    <t>nvarchar(50)</t>
  </si>
  <si>
    <t>Decimal(38,5)</t>
  </si>
  <si>
    <t>Cps Po Lines</t>
  </si>
  <si>
    <t>InvCpsPoLines</t>
  </si>
  <si>
    <t>PoLines</t>
  </si>
  <si>
    <t>CPS</t>
  </si>
  <si>
    <t>Cps</t>
  </si>
  <si>
    <t>InvCps</t>
  </si>
  <si>
    <t>Po_Header_Id</t>
  </si>
  <si>
    <t>Item_Id</t>
  </si>
  <si>
    <t>Part_No</t>
  </si>
  <si>
    <t>Item_Description</t>
  </si>
  <si>
    <t>Category_Id</t>
  </si>
  <si>
    <t>Unit_Meas_Lookup_Code</t>
  </si>
  <si>
    <t>List_Price_Per_Unit</t>
  </si>
  <si>
    <t>Unit_Price</t>
  </si>
  <si>
    <t>Foreign_Price</t>
  </si>
  <si>
    <t>Qty_Rcv_To_lerance</t>
  </si>
  <si>
    <t>Market_Price</t>
  </si>
  <si>
    <t>Closed_Date</t>
  </si>
  <si>
    <t>Closed_Reason</t>
  </si>
  <si>
    <t>Inventory.CPS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</si>
</sst>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46" zoomScaleNormal="100" workbookViewId="0">
      <selection activeCell="D51" sqref="D51:G51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  <c r="D51" t="s">
        <v>368</v>
      </c>
      <c r="F51" t="s">
        <v>369</v>
      </c>
      <c r="G51" t="s">
        <v>370</v>
      </c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[Table("InvCpsPoLines")]
	public class InvCpsPoLines: FullAuditedEntity&lt;long&gt;, IEntity&lt;long&gt;	
	{
		public const int MaxPartNoLength = 40;
		public const int MaxColorLength = 40;
		public const int MaxItemDescriptionLength = 500;
		public const int MaxUnitMeasLookupCodeLength = 50;
		public const int MaxClosedReasonLength = 240;
		public const int MaxIsActiveLength = 1;
		public virtual long? PoHeaderId { get; set; }
		public virtual long? ItemId { get; set; }
		[StringLength(MaxPartNoLength)]
		public virtual string PartNo { get; set; }
		[StringLength(MaxColorLength)]
		public virtual string Color { get; set; }
		[StringLength(MaxItemDescriptionLength)]
		public virtual string ItemDescription { get; set; }
		public virtual long? CategoryId { get; set; }
		[StringLength(MaxUnitMeasLookupCodeLength)]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[StringLength(MaxClosedReasonLength)]
		public virtual string ClosedReason { get; set; }
		[StringLength(MaxIsActiveLength)]
		public virtual string IsActive { get; set; }
	}
}
</v>
      </c>
      <c r="D68" s="48" t="str">
        <f>A.Backend!O7</f>
        <v xml:space="preserve">		public const string Pages_Inventory_CPS_PoLines = "Pages.Inventory.CPS.PoLines";
		public const string Pages_Inventory_CPS_PoLines_CreateEdit = "Pages.Inventory.CPS.PoLines.CreateEdit";
		public const string Pages_Inventory_CPS_PoLines_Delete = "Pages.Inventory.CPS.PoLines.Delete";
</v>
      </c>
      <c r="E68" s="48" t="str">
        <f>A.Backend!N7</f>
        <v xml:space="preserve">		var perInvCpsPoLines = PARENTS.CreateChildPermission(AppPermissions.Pages_Inventory_CPS_PoLines, L( "InventoryCPSPoLines"), multiTenancySides: MultiTenancySides.Tenant);
		perInvCpsPoLines.CreateChildPermission(AppPermissions.Pages_Inventory_CPS_PoLines_CreateEdit, L( "InventoryCPSPoLinesCreateEdit"), multiTenancySides: MultiTenancySides.Tenant);
		perInvCpsPoLines.CreateChildPermission(AppPermissions.Pages_Inventory_CPS_PoLines_Delete, L( "InventoryCPSPoLinesDelete"), multiTenancySides: MultiTenancySides.Tenant);</v>
      </c>
      <c r="F68" s="48" t="str">
        <f>A.Backend!K7</f>
        <v>public virtual DbSet&lt;InvCpsPoLines&gt; InvCpsPoLiness { get; set; }</v>
      </c>
      <c r="G68" s="48" t="str">
        <f ca="1">A.Backend!L7</f>
        <v xml:space="preserve">namespace prod.Inventory.CPS
{
	public class InvCpsPoLinesConsts	
	{
		public const int MaxPartNoLength = 40;
		public const int MaxColorLength = 40;
		public const int MaxItemDescriptionLength = 500;
		public const int MaxUnitMeasLookupCodeLength = 50;
		public const int MaxClosedReasonLength = 240;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prod.Inventory.CPS.Dto
{
	public class InvCpsPoLinesDto : EntityDto&lt;long?&gt;	
	{
		public virtual long? PoHeaderId { get; set; }
		public virtual long? ItemId { get; set; }
		public virtual string PartNo { get; set; }
		public virtual string Color { get; set; }
		public virtual string ItemDescription { get; set; }
		public virtual long? CategoryId { get; set; }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public virtual string ClosedReason { get; set; }
		public virtual string IsActive { get; set; }
	}
	public class CreateOrEditInvCpsPoLinesDto : EntityDto&lt;long?&gt;	
	{
		public virtual long? PoHeaderId { get; set; }
		public virtual long? ItemId { get; set; }
		[StringLength(InvCpsPoLinesConsts.MaxPartNoLength)]
		public virtual string PartNo { get; set; }
		[StringLength(InvCpsPoLinesConsts.MaxColorLength)]
		public virtual string Color { get; set; }
		[StringLength(InvCpsPoLinesConsts.MaxItemDescriptionLength)]
		public virtual string ItemDescription { get; set; }
		public virtual long? CategoryId { get; set; }
		[StringLength(InvCpsPoLinesConsts.MaxUnitMeasLookupCodeLength)]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[StringLength(InvCpsPoLinesConsts.MaxClosedReasonLength)]
		public virtual string ClosedReason { get; set; }
		[StringLength(InvCpsPoLinesConsts.MaxIsActiveLength)]
		public virtual string IsActive { get; set; }
	}
	public class GetInvCpsPoLinesInput : PagedAndSortedResultRequestDto	
	{
		public virtual string PartNo { get; set; }
		public virtual string Color { get; set; }
		public virtual string ItemDescription { get; set; }
		public virtual string UnitMeasLookupCode { get; set; }
		public virtual string ClosedReason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prod.Inventory.CPS.Dto
{
	public class InvCpsPoLinesExportInput{
		public virtual long? PoHeaderId { get; set; }
		public virtual long? ItemId { get; set; }
		public virtual string PartNo { get; set; }
		public virtual string Color { get; set; }
		public virtual string ItemDescription { get; set; }
		public virtual long? CategoryId { get; set; }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public virtual string ClosedReason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vovina.Inventory.CPS.Dto;
namespace prod.Inventory.CPS
{
	public interface IInvCpsPoLinesAppService : IApplicationService
	{
		Task&lt;PagedResultDto&lt;InvCpsPoLinesDto&gt;&gt; GetAll(GetInvCpsPoLinesInput input);
		Task CreateOrEdit(CreateOrEditInvCpsPoLinesDto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IInvCpsPoLinesExcelExporter : IApplicationService
	{
		FileDto ExportToFile(List&lt;InvCpsPoLinesDto&gt; invcpspolines);
	}
}
</v>
      </c>
      <c r="L68" s="48" t="str">
        <f ca="1">A.Backend!T7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InvCpsPoLinesExcelExporter : NpoiExcelExporterBase, IInvCpsPoLinesExcelExporter
    {
        public InvCpsPoLinesExcelExporter(ITempFileCacheManager tempFileCacheManager) : base(tempFileCacheManager) { }
        public FileDto ExportToFile(List&lt;InvCpsPoLinesDto&gt; polines)
        {
            return CreateExcelPackage(
				"InventoryCPSPoLines.xlsx",
				excelPackage =&gt;
				 {
					var sheet = excelPackage.CreateSheet("PoLines");
					AddHeader(
								sheet,
								("PoHeaderId"),
								("ItemId"),
								("PartNo"),
								("Color"),
								("ItemDescription"),
								("CategoryId"),
								("UnitMeasLookupCode"),
								("ListPricePerUnit"),
								("UnitPrice"),
								("ForeignPrice"),
								("Quantity"),
								("QtyRcvToLerance"),
								("MarketPrice"),
								("ClosedDate"),
								("ClosedReason"),
								("IsActive"),
							   );
					AddObjects(
						 sheet, 1, polines,                                       
								_ =&gt; _.PoHeaderId,
								_ =&gt; _.ItemId,
								_ =&gt; _.PartNo,
								_ =&gt; _.Color,
								_ =&gt; _.ItemDescription,
								_ =&gt; _.CategoryId,
								_ =&gt; _.UnitMeasLookupCode,
								_ =&gt; _.ListPricePerUnit,
								_ =&gt; _.UnitPrice,
								_ =&gt; _.ForeignPrice,
								_ =&gt; _.Quantity,
								_ =&gt; _.QtyRcvToLerance,
								_ =&gt; _.MarketPrice,
								_ =&gt; _.ClosedDate,
								_ =&gt; _.ClosedReason,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[AbpAuthorize(AppPermissions.Pages_Inventory_CPS_PoLines)]
    public class InvCpsPoLinesAppService : vovinaAppServiceBase, IInvCpsPoLinesAppService
    {
        private readonly IDapperRepository&lt;InvCpsPoLines, long&gt; _dapperRepo;
        private readonly IRepository&lt;InvCpsPoLines, long&gt; _repo;
        private readonly IInvCpsPoLinesExcelExporter _calendarListExcelExporter;
        public InvCpsPoLinesAppService(IRepository&lt;InvCpsPoLines,long&gt; repo, 
                                         IDapperRepository&lt;InvCpsPoLines,long&gt; dapperRepo,
                                        IInvCpsPoLinesExcelExporter calendarListExcelExporter
            )
        {
            _repo = repo;
            _dapperRepo = dapperRepo;
            _calendarListExcelExporter = calendarListExcelExporter;
        }
        [AbpAuthorize(AppPermissions.Pages_Inventory_CPS_PoLines_CreateEdit)]
        public async Task CreateOrEdit(CreateOrEditInvCpsPoLinesDto input)
        {
            if (input.Id == null) await Create(input);
            else await Update(input);
        }
        //CREATE
        private async Task Create(CreateOrEditInvCpsPoLinesDto input)
        {          
            var mainObj = ObjectMapper.Map&lt;InvCpsPoLines&gt;(input);
            await CurrentUnitOfWork.GetDbContext&lt;vovinaDbContext&gt;().AddAsync(mainObj);
        }
        // EDIT
        private async Task Update(CreateOrEditInvCpsPoLinesDto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[AbpAuthorize(AppPermissions.Pages_Inventory_CPS_PoLines_Delete)]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Task&lt;PagedResultDto&lt;InvCpsPoLinesDto&gt;&gt; GetAll(GetInvCpsPoLinesInput input)
        {
            var filtered = _repo.GetAll()
				.WhereIf(!string.IsNullOrWhiteSpace(input.PartNo), e =&gt; e.PartNo.Contains(input.PartNo))
				.WhereIf(!string.IsNullOrWhiteSpace(input.Color), e =&gt; e.Color.Contains(input.Color))
				.WhereIf(!string.IsNullOrWhiteSpace(input.ItemDescription), e =&gt; e.ItemDescription.Contains(input.ItemDescription))
				.WhereIf(!string.IsNullOrWhiteSpace(input.UnitMeasLookupCode), e =&gt; e.UnitMeasLookupCode.Contains(input.UnitMeasLookupCode))
				.WhereIf(!string.IsNullOrWhiteSpace(input.ClosedReason), e =&gt; e.ClosedReason.Contains(input.ClosedReason))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InvCpsPoLinesDto
                        {
							Id = o.Id,
							PoHeaderId = o.PoHeaderId,
							ItemId = o.ItemId,
							PartNo = o.PartNo,
							Color = o.Color,
							ItemDescription = o.ItemDescription,
							CategoryId = o.CategoryId,
							UnitMeasLookupCode = o.UnitMeasLookupCode,
							ListPricePerUnit = o.ListPricePerUnit,
							UnitPrice = o.UnitPrice,
							ForeignPrice = o.ForeignPrice,
							Quantity = o.Quantity,
							QtyRcvToLerance = o.QtyRcvToLerance,
							MarketPrice = o.MarketPrice,
							ClosedDate = o.ClosedDate,
							ClosedReason = o.ClosedReason,
							IsActive = o.IsActive,
                        };
            var totalCount = await filtered.CountAsync();
			var paged = system.PageBy(input);
            return new PagedResultDto&lt;InvCpsPoLinesDto&gt;(
                totalCount,
                 await paged.ToListAsync()
            );
        }
        public async Task&lt;FileDto&gt; GetPoLinesToExcel(InvCpsPoLinesExportInput input)
        {
            var query = from o in _repo.GetAll()
                        select new InvCpsPoLinesDto
                        {
							Id = o.Id,
							PoHeaderId = o.PoHeaderId,
							ItemId = o.ItemId,
							PartNo = o.PartNo,
							Color = o.Color,
							ItemDescription = o.ItemDescription,
							CategoryId = o.CategoryId,
							UnitMeasLookupCode = o.UnitMeasLookupCode,
							ListPricePerUnit = o.ListPricePerUnit,
							UnitPrice = o.UnitPrice,
							ForeignPrice = o.ForeignPrice,
							Quantity = o.Quantity,
							QtyRcvToLerance = o.QtyRcvToLerance,
							MarketPrice = o.MarketPrice,
							ClosedDate = o.ClosedDate,
							ClosedReason = o.ClosedReason,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_dapperRepo.ExecuteAsync(InvCpsPoLinesConsts.SP_MST_WPT_CALENDAR_GENERATE);
       // }
    }
}</v>
      </c>
      <c r="N68" s="58" t="str">
        <f>A.Backend!U7</f>
        <v xml:space="preserve">  configuration.CreateMap&lt;InvCpsPoLinesDto, InvCpsPoLines&gt;();
  configuration.CreateMap&lt;InvCpsPoLines, InvCpsPoLinesDto&gt;();
  configuration.CreateMap&lt;CreateOrEditInvCpsPoLinesDto, InvCpsPoLines&gt;();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polines</v>
      </c>
      <c r="C73" s="66" t="str">
        <f>"create folder " &amp;B73</f>
        <v>create folder polines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polines.component.ts</v>
      </c>
      <c r="D74" s="28" t="str">
        <f>B.Frontend!I14</f>
        <v>polines.component.html</v>
      </c>
      <c r="E74" s="28" t="str">
        <f>B.Frontend!J14</f>
        <v>polines.component.less</v>
      </c>
      <c r="F74" s="28" t="str">
        <f>B.Frontend!K14</f>
        <v>create-or-edit-polines-modal.component.html</v>
      </c>
      <c r="G74" s="28" t="str">
        <f>B.Frontend!L14</f>
        <v>create-or-edit-polines-modal.component.ts</v>
      </c>
      <c r="H74" s="28" t="str">
        <f>B.Frontend!M14</f>
        <v>create-or-edit-polines-modal.component.less</v>
      </c>
      <c r="I74" s="28" t="str">
        <f>B.Frontend!N14</f>
        <v>polines.module.ts</v>
      </c>
      <c r="J74" s="28" t="str">
        <f>B.Frontend!O14</f>
        <v>polines-routing.module.ts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InvCpsPoLinesDto, InvCpsPoLinesServiceProxy } from '@shared/service-proxies/service-proxies';
import { finalize } from 'rxjs/internal/operators/finalize';
import { CreateOrEditPoLinesModalComponent } from './create-or-edit-polines-modal.component';
import { DatePipe } from '@angular/common';
import { FileDownloadService } from '@shared/utils/file-download.service';
import ceil from 'lodash-es/ceil';
import { Paginator } from 'primeng/paginator';
@Component({
    templateUrl: './polines.component.html',
    styleUrls: ['./polines.component.less'],
})
export class PoLinesComponent extends AppComponentBase implements OnInit {
    @ViewChild('createOrEditModalPoLines', { static: true }) createOrEditModalPoLines:| CreateOrEditPoLinesModalComponent|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InvCpsPoLinesDto = new InvCpsPoLinesDto();
    saveSelectedRow: InvCpsPoLinesDto = new InvCpsPoLinesDto();
    datas: InvCpsPoLinesDto = new InvCpsPoLinesDto();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color : string = '' ; 
	itemDescription : string = '' ; 
	unitMeasLookupCode : string = '' ; 
	closedReason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InvCpsPoLinesServiceProxy,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this.l('Po Header Id'),headerTooltip: this.l('Po Header Id'),field: 'poHeaderId',flex: 1},
			{headerName: this.l('Item Id'),headerTooltip: this.l('Item Id'),field: 'itemId',flex: 1},
			{headerName: this.l('Part No'),headerTooltip: this.l('Part No'),field: 'partNo',flex: 1},
			{headerName: this.l('Color'),headerTooltip: this.l('Color'),field: 'color',flex: 1},
			{headerName: this.l('Item Description'),headerTooltip: this.l('Item Description'),field: 'itemDescription',flex: 1},
			{headerName: this.l('Category Id'),headerTooltip: this.l('Category Id'),field: 'categoryId',flex: 1},
			{headerName: this.l('Unit Meas Lookup Code'),headerTooltip: this.l('Unit Meas Lookup Code'),field: 'unitMeasLookupCode',flex: 1},
			{headerName: this.l('List Price Per Unit'),headerTooltip: this.l('List Price Per Unit'),field: 'listPricePerUnit',flex: 1},
			{headerName: this.l('Unit Price'),headerTooltip: this.l('Unit Price'),field: 'unitPrice',flex: 1},
			{headerName: this.l('Foreign Price'),headerTooltip: this.l('Foreign Price'),field: 'foreignPrice',flex: 1},
			{headerName: this.l('Quantity'),headerTooltip: this.l('Quantity'),field: 'quantity',flex: 1},
			{headerName: this.l('Qty Rcv To Lerance'),headerTooltip: this.l('Qty Rcv To Lerance'),field: 'qtyRcvToLerance',flex: 1},
			{headerName: this.l('Market Price'),headerTooltip: this.l('Market Price'),field: 'marketPrice',flex: 1},
			{headerName: this.l('Closed Date'),headerTooltip: this.l('Closed Date'),field: 'closedDate',flex: 1},
			{headerName: this.l('Closed Reason'),headerTooltip: this.l('Closed Reason'),field: 'closedReason',flex: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this.itemId,
			this.partNo,
			this.color,
			this.categoryId,
			this.closedDate,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color : string = '' ; 
	itemDescription : string = '' ; 
	unitMeasLookupCode : string = '' ; 
	closedReason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this.itemId,
			this.partNo,
			this.color,
			this.categoryId,
			this.closedDate,
			'',
            this.paginationParams.skipCount,
            this.paginationParams.pageSize
        );
    }
    onChangeRowSelection(params: { api: { getSelectedRows: () =&gt; InvCpsPoLinesDto[] } }) {
        this.saveSelectedRow = params.api.getSelectedRows()[0] ?? new InvCpsPoLinesDto();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InvCpsPoLinesDto):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this._service.getPoLinesToExcel(
			this.itemId,
			this.partNo,
			this.color,
			this.categoryId,
			this.closedDate,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Po Lines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[(ngModel)]='itemDescription' name='itemDescription'
									class='form-control' [placeholder]="l('Item Description')"
									type='text' (keyup.enter)='searchDatas()'&gt;
								&lt;/div&gt;
								&lt;div class='input-search'&gt;
									&lt;input [(ngModel)]='unitMeasLookupCode' name='unitMeasLookupCode'
									class='form-control' [placeholder]="l('Unit Meas Lookup Code')"
									type='text' (keyup.enter)='searchDatas()'&gt;
								&lt;/div&gt;
								&lt;div class='input-search'&gt;
									&lt;input [(ngModel)]='closedReason' name='closedReason'
									class='form-control' [placeholder]="l('Closed Reason')"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(click)="createOrEditModalPoLines.show()"&gt;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(click)="createOrEditModalPoLines.show(selectedRow)"&gt;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&lt;create-or-edit-polines-modal
    #createOrEditModalPoLines
    (modalSave)="callBackDataGrid(dataParams)"
    (modalClose)="onChangeRowSelection(dataParams)"
&gt;
&lt;/create-or-edit-polines-modal&gt;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#createOrEditModalPoLines="bs-modal"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PoLines')}}&lt;/h3&gt;
                    &lt;h3 *ngIf="!rowdata.id"&gt;{{('Create New PoLines')}}&lt;/h3&gt;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title'&gt;Po Header Id&lt;/label&gt;
						&lt;input type='number' class='col-md-10 form-control input-text' name='PoHeaderId' [(ngModel)]='rowdata.poHeaderId'&gt;
					&lt;/div&gt;
					&lt;div class='col-md-12 form-group row'&gt;
						&lt;label class='col-md-2 form-control title'&gt;Item Id&lt;/label&gt;
						&lt;input type='number' class='col-md-10 form-control input-text' name='ItemId' [(ngModel)]='rowdata.itemId'&gt;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
					&lt;div class='col-md-12 form-group row'&gt;
						&lt;label class='col-md-2 form-control title'&gt;Category Id&lt;/label&gt;
						&lt;input type='number' class='col-md-10 form-control input-text' name='CategoryId' [(ngModel)]='rowdata.categoryId'&gt;
					&lt;/div&gt;
					&lt;div class='col-md-12 form-group row'&gt;
						&lt;label class='col-md-2 form-control title'&gt;Unit Meas Lookup Code&lt;/label&gt;
						&lt;input type='text' class='col-md-10 form-control input-text' name='UnitMeasLookupCode' [(ngModel)]='rowdata.unitMeasLookupCode'&gt;
					&lt;/div&gt;
					&lt;div class='col-md-12 form-group row'&gt;
						&lt;label class='col-md-2 form-control title'&gt;Closed Date&lt;/label&gt;
						&lt;input type='text' class='col-md-10 form-control input-text' name='closedDate' 
						#datepicker='bsDatepicker' [(ngModel)]='rowdata.closedDate'  bsDatepicker &gt;
					&lt;/div&gt;
					&lt;div class='col-md-12 form-group row'&gt;
						&lt;label class='col-md-2 form-control title'&gt;Closed Reason&lt;/label&gt;
						&lt;input type='text' class='col-md-10 form-control input-text' name='ClosedReason' [(ngModel)]='rowdata.closedReason'&gt;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CreateOrEditInvCpsPoLinesDto, InvCpsPoLinesServiceProxy } from '@shared/service-proxies/service-proxies';
import { BsDatepickerDirective } from 'ngx-bootstrap/datepicker';
@Component({
    selector: 'create-or-edit-polines-modal',
    templateUrl: './create-or-edit-polines-modal.component.html',
    styleUrls: ['./create-or-edit-polines-modal.component.less']
    })
export class CreateOrEditPoLinesModalComponent extends AppComponentBase {
    @ViewChild('createOrEditModalPoLines',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CreateOrEditInvCpsPoLinesDto = new CreateOrEditInvCpsPoLinesDto();
    active: boolean = false;
    saving: boolean = false;
    _isActive: boolean;
    constructor(
        injector: Injector,
        private _mstwptPoLinesService: InvCpsPoLinesServiceProxy,
    ) 
    {
        super(injector);
    }
    show(rowdata?: CreateOrEditInvCpsPoLinesDto): void {
        if (!rowdata) this.rowdata = new CreateOrEditInvCpsPoLinesDto();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this._mstwptPoLinesService.createOrEdit(this.rowdata)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PoLinesRoutingModule } from './polines-routing.module';
import { PoLinesComponent } from './polines.component';
import { CreateOrEditPoLinesModalComponent } from './create-or-edit-polines-modal.component';
@NgModule({
    declarations: [
       PoLinesComponent, 
        CreateOrEditPoLinesModalComponent
    ],
    imports: [
        AppSharedModule, PoLinesRoutingModule]
})
export class PoLinesModule {}</v>
      </c>
      <c r="J75" s="46" t="str">
        <f>B.Frontend!O10</f>
        <v>import {NgModule} from '@angular/core';
import {RouterModule, Routes} from '@angular/router';
import { PoLinesComponent } from './polines.component';
const routes: Routes = [{
    path: '',
    component: PoLinesComponent,
    pathMatch: 'full'
}];
@NgModule({
    imports: [RouterModule.forChild(routes)],
    exports: [RouterModule],
})
export class PoLinesRoutingModule {}</v>
      </c>
      <c r="K75" s="46" t="str">
        <f>B.Frontend!P10</f>
        <v xml:space="preserve"> new AppMenuItem("PoLines", "Pages.Inventory.CPS.PoLines", "flaticon-book",   "/app/main/inventory/cps/polines"),</v>
      </c>
      <c r="L75" s="47" t="str">
        <f>B.Frontend!Q10</f>
        <v>{
    path: 'inventory/cps/polines',
    loadChildren: () =&gt; import('./inventory/cps/polines/polines.module').then(m =&gt; m.PoLinesModule),
    data: { permission: 'Pages.Inventory.CPS.PoLines' }
},</v>
      </c>
      <c r="M75" s="45" t="str">
        <f>B.Frontend!R10</f>
        <v>ApiServiceProxies.InvCpsPoLinesServiceProxy,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6"/>
  <sheetViews>
    <sheetView workbookViewId="0">
      <pane xSplit="1" topLeftCell="B1" activePane="topRight" state="frozen"/>
      <selection pane="topRight" activeCell="B2" sqref="B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384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366</v>
      </c>
      <c r="C3" s="9" t="s">
        <v>40</v>
      </c>
      <c r="D3" s="9" t="s">
        <v>41</v>
      </c>
      <c r="E3" s="9" t="s">
        <v>36</v>
      </c>
      <c r="F3" s="10" t="str">
        <f>"J"&amp;COUNTA($A:$A)</f>
        <v>J24</v>
      </c>
      <c r="G3" s="4" t="s">
        <v>53</v>
      </c>
      <c r="H3" s="9" t="str">
        <f>"I"&amp;COUNTA($A:$A)</f>
        <v>I24</v>
      </c>
      <c r="I3" s="9" t="str">
        <f>REPT(CHAR(9),2)&amp;"[Required]"&amp;"
"</f>
        <v xml:space="preserve">		[Required]
</v>
      </c>
      <c r="J3" s="10" t="str">
        <f>"L"&amp;COUNTA($A:$A)</f>
        <v>L24</v>
      </c>
      <c r="K3" s="5" t="s">
        <v>52</v>
      </c>
      <c r="L3" s="10" t="str">
        <f>"M"&amp;COUNTA($A:$A)</f>
        <v>M24</v>
      </c>
      <c r="M3" s="10" t="str">
        <f>"N"&amp;COUNTA($A:$A)</f>
        <v>N24</v>
      </c>
      <c r="N3" s="10" t="str">
        <f>"O"&amp;COUNTA($A:$A)</f>
        <v>O24</v>
      </c>
      <c r="O3" s="10" t="str">
        <f>"P"&amp;COUNTA($A:$A)</f>
        <v>P24</v>
      </c>
      <c r="Q3" s="10" t="str">
        <f>RIGHT(B2,(LEN(B2)-FIND(".",B2,1)))</f>
        <v>CPS</v>
      </c>
      <c r="R3" s="29" t="str">
        <f>REPT(CHAR(9),1)&amp;"public class "&amp;B3&amp;"ExportInput"&amp;C3</f>
        <v xml:space="preserve">	public class InvCpsPoLinesExportInput{
</v>
      </c>
      <c r="S3" s="10" t="str">
        <f>"namespace "&amp;$B$6&amp;".Exporting
"&amp;$C$3</f>
        <v xml:space="preserve">namespace prod.Inventory.CPS.Exporting
{
</v>
      </c>
      <c r="T3" s="10" t="str">
        <f>"T"&amp;COUNTA($A:$A)</f>
        <v>T24</v>
      </c>
      <c r="V3" s="10" t="str">
        <f>"V"&amp;COUNTA($A:$A)</f>
        <v>V24</v>
      </c>
      <c r="W3" s="9" t="str">
        <f>"W"&amp;COUNTA($A:$A)</f>
        <v>W24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prod.Inventory.CPS</v>
      </c>
      <c r="C6" s="10" t="str">
        <f>"namespace "&amp;$B$6&amp;"
"&amp;$C$3</f>
        <v xml:space="preserve">namespace prod.Inventory.CPS
{
</v>
      </c>
      <c r="D6" s="10" t="str">
        <f>REPT(CHAR(9),1)&amp;"public class "&amp;B3&amp;G3&amp;REPT(CHAR(9),1)&amp;"
"&amp;REPT(CHAR(9),1)&amp;C3</f>
        <v xml:space="preserve">	public class InvCpsPoLines: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InvCpsPoLinesConsts	
	{
</v>
      </c>
      <c r="F6" s="10" t="str">
        <f>REPT(CHAR(9),1)&amp;"public class "&amp;B3&amp;"Dto"&amp;K3&amp;REPT(CHAR(9),1)&amp;"
"&amp;REPT(CHAR(9),1)&amp;C3</f>
        <v xml:space="preserve">	public class InvCpsPoLinesDto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CreateOrEditInvCpsPoLinesDto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GetInvCpsPoLinesInput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InvCpsPoLines</v>
      </c>
      <c r="C7" s="10" t="str">
        <f>REPT(CHAR(9),1)&amp;"[Table("""&amp;B7&amp;""")]"&amp;"
"</f>
        <v xml:space="preserve">	[Table("InvCpsPoLines")]
</v>
      </c>
      <c r="D7" s="10"/>
      <c r="E7" s="10"/>
      <c r="F7" s="10"/>
      <c r="G7" s="10"/>
      <c r="H7" s="10"/>
      <c r="I7" s="10"/>
      <c r="J7" t="str">
        <f ca="1">SUBSTITUTE(SUBSTITUTE((B1&amp;C6&amp;C7&amp;K26&amp;D6&amp;I26&amp;E3&amp;J26&amp;""&amp;REPT(CHAR(9),1)&amp;D3&amp;D3),"WorkingPattern",$Q$3),"Master",$B$4)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[Table("InvCpsPoLines")]
	public class InvCpsPoLines: FullAuditedEntity&lt;long&gt;, IEntity&lt;long&gt;	
	{
		public const int MaxPartNoLength = 40;
		public const int MaxColorLength = 40;
		public const int MaxItemDescriptionLength = 500;
		public const int MaxUnitMeasLookupCodeLength = 50;
		public const int MaxClosedReasonLength = 240;
		public const int MaxIsActiveLength = 1;
		public virtual long? PoHeaderId { get; set; }
		public virtual long? ItemId { get; set; }
		[StringLength(MaxPartNoLength)]
		public virtual string PartNo { get; set; }
		[StringLength(MaxColorLength)]
		public virtual string Color { get; set; }
		[StringLength(MaxItemDescriptionLength)]
		public virtual string ItemDescription { get; set; }
		public virtual long? CategoryId { get; set; }
		[StringLength(MaxUnitMeasLookupCodeLength)]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[StringLength(MaxClosedReasonLength)]
		public virtual string ClosedReason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DbSet&lt;InvCpsPoLines&gt; InvCpsPoLiness { get; set; }</v>
      </c>
      <c r="L7" t="str">
        <f ca="1">SUBSTITUTE(SUBSTITUTE((C6&amp;E6&amp;I26&amp;"
"&amp;REPT(CHAR(9),2)&amp;"// Define Store Name: Format SP_ + &lt;Store Name&gt; = &lt;Store Name&gt;
"&amp;E3&amp;REPT(CHAR(9),1)&amp;D3&amp;D3),"WorkingPattern",$Q$3),"Master",$B$4)</f>
        <v xml:space="preserve">namespace prod.Inventory.CPS
{
	public class InvCpsPoLinesConsts	
	{
		public const int MaxPartNoLength = 40;
		public const int MaxColorLength = 40;
		public const int MaxItemDescriptionLength = 500;
		public const int MaxUnitMeasLookupCodeLength = 50;
		public const int MaxClosedReasonLength = 240;
		public const int MaxIsActiveLength = 1;
		// Define Store Name: Format SP_ + &lt;Store Name&gt; = &lt;Store Name&gt;
	}
}
</v>
      </c>
      <c r="M7" t="str">
        <f ca="1">SUBSTITUTE(SUBSTITUTE((C1&amp;"namespace "&amp;B6&amp;".Dto"&amp;E3&amp;C3&amp;F6&amp;M26&amp;E3&amp;REPT(CHAR(9),1)&amp;D3&amp;G6&amp;N26&amp;REPT(CHAR(9),1)&amp;D3&amp;H6&amp;O26&amp;"
"&amp;REPT(CHAR(9),1)&amp;D3&amp;D3),"WorkingPattern",$Q$3),"Master",$B$4)</f>
        <v xml:space="preserve">using Abp.Application.Services.Dto;
using System;
using System.ComponentModel.DataAnnotations;
namespace prod.Inventory.CPS.Dto
{
	public class InvCpsPoLinesDto : EntityDto&lt;long?&gt;	
	{
		public virtual long? PoHeaderId { get; set; }
		public virtual long? ItemId { get; set; }
		public virtual string PartNo { get; set; }
		public virtual string Color { get; set; }
		public virtual string ItemDescription { get; set; }
		public virtual long? CategoryId { get; set; }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public virtual string ClosedReason { get; set; }
		public virtual string IsActive { get; set; }
	}
	public class CreateOrEditInvCpsPoLinesDto : EntityDto&lt;long?&gt;	
	{
		public virtual long? PoHeaderId { get; set; }
		public virtual long? ItemId { get; set; }
		[StringLength(InvCpsPoLinesConsts.MaxPartNoLength)]
		public virtual string PartNo { get; set; }
		[StringLength(InvCpsPoLinesConsts.MaxColorLength)]
		public virtual string Color { get; set; }
		[StringLength(InvCpsPoLinesConsts.MaxItemDescriptionLength)]
		public virtual string ItemDescription { get; set; }
		public virtual long? CategoryId { get; set; }
		[StringLength(InvCpsPoLinesConsts.MaxUnitMeasLookupCodeLength)]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[StringLength(InvCpsPoLinesConsts.MaxClosedReasonLength)]
		public virtual string ClosedReason { get; set; }
		[StringLength(InvCpsPoLinesConsts.MaxIsActiveLength)]
		public virtual string IsActive { get; set; }
	}
	public class GetInvCpsPoLinesInput : PagedAndSortedResultRequestDto	
	{
		public virtual string PartNo { get; set; }
		public virtual string Color { get; set; }
		public virtual string ItemDescription { get; set; }
		public virtual string UnitMeasLookupCode { get; set; }
		public virtual string ClosedReason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perInvCpsPoLines = PARENTS.CreateChildPermission(AppPermissions.Pages_Inventory_CPS_PoLines, L( "InventoryCPSPoLines"), multiTenancySides: MultiTenancySides.Tenant);
		perInvCpsPoLines.CreateChildPermission(AppPermissions.Pages_Inventory_CPS_PoLines_CreateEdit, L( "InventoryCPSPoLinesCreateEdit"), multiTenancySides: MultiTenancySides.Tenant);
		perInvCpsPoLines.CreateChildPermission(AppPermissions.Pages_Inventory_CPS_PoLines_Delete, L( "InventoryCPSPoLinesDelete"),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Pages_Inventory_CPS_PoLines = "Pages.Inventory.CPS.PoLines";
		public const string Pages_Inventory_CPS_PoLines_CreateEdit = "Pages.Inventory.CPS.PoLines.CreateEdit";
		public const string Pages_Inventory_CPS_PoLines_Delete = "Pages.Inventory.CPS.PoLines.Delete";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
{
	public interface IInvCpsPoLinesAppService : IApplicationService
	{
		Task&lt;PagedResultDto&lt;InvCpsPoLinesDto&gt;&gt; GetAll(GetInvCpsPoLinesInput input);
		Task CreateOrEdit(CreateOrEditInvCpsPoLinesDto input);
		Task Delete(EntityDto input);
	}
}
</v>
      </c>
      <c r="Q7" t="str">
        <f ca="1">SUBSTITUTE(SUBSTITUTE(SUBSTITUTE(SUBSTITUTE(SUBSTITUTE(SUBSTITUTE(E1,"MstWptCalendar",$B$3),"&lt;PROPERTIES&gt;",P26),"Calendar",$B$5),"WorkingPattern",$Q$3),"Master",$B$4),"&lt;PARAMS_SEARCH&gt;",$W$26)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[AbpAuthorize(AppPermissions.Pages_Inventory_CPS_PoLines)]
    public class InvCpsPoLinesAppService : vovinaAppServiceBase, IInvCpsPoLinesAppService
    {
        private readonly IDapperRepository&lt;InvCpsPoLines, long&gt; _dapperRepo;
        private readonly IRepository&lt;InvCpsPoLines, long&gt; _repo;
        private readonly IInvCpsPoLinesExcelExporter _calendarListExcelExporter;
        public InvCpsPoLinesAppService(IRepository&lt;InvCpsPoLines,long&gt; repo, 
                                         IDapperRepository&lt;InvCpsPoLines,long&gt; dapperRepo,
                                        IInvCpsPoLinesExcelExporter calendarListExcelExporter
            )
        {
            _repo = repo;
            _dapperRepo = dapperRepo;
            _calendarListExcelExporter = calendarListExcelExporter;
        }
        [AbpAuthorize(AppPermissions.Pages_Inventory_CPS_PoLines_CreateEdit)]
        public async Task CreateOrEdit(CreateOrEditInvCpsPoLinesDto input)
        {
            if (input.Id == null) await Create(input);
            else await Update(input);
        }
        //CREATE
        private async Task Create(CreateOrEditInvCpsPoLinesDto input)
        {          
            var mainObj = ObjectMapper.Map&lt;InvCpsPoLines&gt;(input);
            await CurrentUnitOfWork.GetDbContext&lt;vovinaDbContext&gt;().AddAsync(mainObj);
        }
        // EDIT
        private async Task Update(CreateOrEditInvCpsPoLinesDto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[AbpAuthorize(AppPermissions.Pages_Inventory_CPS_PoLines_Delete)]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Task&lt;PagedResultDto&lt;InvCpsPoLinesDto&gt;&gt; GetAll(GetInvCpsPoLinesInput input)
        {
            var filtered = _repo.GetAll()
				.WhereIf(!string.IsNullOrWhiteSpace(input.PartNo), e =&gt; e.PartNo.Contains(input.PartNo))
				.WhereIf(!string.IsNullOrWhiteSpace(input.Color), e =&gt; e.Color.Contains(input.Color))
				.WhereIf(!string.IsNullOrWhiteSpace(input.ItemDescription), e =&gt; e.ItemDescription.Contains(input.ItemDescription))
				.WhereIf(!string.IsNullOrWhiteSpace(input.UnitMeasLookupCode), e =&gt; e.UnitMeasLookupCode.Contains(input.UnitMeasLookupCode))
				.WhereIf(!string.IsNullOrWhiteSpace(input.ClosedReason), e =&gt; e.ClosedReason.Contains(input.ClosedReason))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InvCpsPoLinesDto
                        {
							Id = o.Id,
							PoHeaderId = o.PoHeaderId,
							ItemId = o.ItemId,
							PartNo = o.PartNo,
							Color = o.Color,
							ItemDescription = o.ItemDescription,
							CategoryId = o.CategoryId,
							UnitMeasLookupCode = o.UnitMeasLookupCode,
							ListPricePerUnit = o.ListPricePerUnit,
							UnitPrice = o.UnitPrice,
							ForeignPrice = o.ForeignPrice,
							Quantity = o.Quantity,
							QtyRcvToLerance = o.QtyRcvToLerance,
							MarketPrice = o.MarketPrice,
							ClosedDate = o.ClosedDate,
							ClosedReason = o.ClosedReason,
							IsActive = o.IsActive,
                        };
            var totalCount = await filtered.CountAsync();
			var paged = system.PageBy(input);
            return new PagedResultDto&lt;InvCpsPoLinesDto&gt;(
                totalCount,
                 await paged.ToListAsync()
            );
        }
        public async Task&lt;FileDto&gt; GetPoLinesToExcel(InvCpsPoLinesExportInput input)
        {
            var query = from o in _repo.GetAll()
                        select new InvCpsPoLinesDto
                        {
							Id = o.Id,
							PoHeaderId = o.PoHeaderId,
							ItemId = o.ItemId,
							PartNo = o.PartNo,
							Color = o.Color,
							ItemDescription = o.ItemDescription,
							CategoryId = o.CategoryId,
							UnitMeasLookupCode = o.UnitMeasLookupCode,
							ListPricePerUnit = o.ListPricePerUnit,
							UnitPrice = o.UnitPrice,
							ForeignPrice = o.ForeignPrice,
							Quantity = o.Quantity,
							QtyRcvToLerance = o.QtyRcvToLerance,
							MarketPrice = o.MarketPrice,
							ClosedDate = o.ClosedDate,
							ClosedReason = o.ClosedReason,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_dapperRepo.ExecuteAsync(InvCpsPoLinesConsts.SP_MST_WPT_CALENDAR_GENERATE);
       // }
    }
}</v>
      </c>
      <c r="R7" t="str">
        <f ca="1">SUBSTITUTE(SUBSTITUTE((C1&amp;"namespace "&amp;B6&amp;".Dto"&amp;E3&amp;C3&amp;R3&amp;M26&amp;E3&amp;REPT(CHAR(9),1)&amp;D3&amp;D3),"WorkingPattern",$Q$3),"Master",$B$4)</f>
        <v xml:space="preserve">using Abp.Application.Services.Dto;
using System;
using System.ComponentModel.DataAnnotations;
namespace prod.Inventory.CPS.Dto
{
	public class InvCpsPoLinesExportInput{
		public virtual long? PoHeaderId { get; set; }
		public virtual long? ItemId { get; set; }
		public virtual string PartNo { get; set; }
		public virtual string Color { get; set; }
		public virtual string ItemDescription { get; set; }
		public virtual long? CategoryId { get; set; }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public virtual string ClosedReason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IInvCpsPoLinesExcelExporter : IApplicationService
	{
		FileDto ExportToFile(List&lt;InvCpsPoLinesDto&gt; invcpspolines);
	}
}
</v>
      </c>
      <c r="T7" s="26" t="str">
        <f ca="1">SUBSTITUTE(SUBSTITUTE(SUBSTITUTE(SUBSTITUTE(SUBSTITUTE(SUBSTITUTE(SUBSTITUTE(T1,"MstWptCalendar",$B$3),"&lt;PROPERTIES1&gt;",V26),"&lt;PROPERTIES&gt;",T26),"Calendar",$B$5),"calendar",LOWER(B5)),"WorkingPattern",$Q$3),"Master",$B$4)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InvCpsPoLinesExcelExporter : NpoiExcelExporterBase, IInvCpsPoLinesExcelExporter
    {
        public InvCpsPoLinesExcelExporter(ITempFileCacheManager tempFileCacheManager) : base(tempFileCacheManager) { }
        public FileDto ExportToFile(List&lt;InvCpsPoLinesDto&gt; polines)
        {
            return CreateExcelPackage(
				"InventoryCPSPoLines.xlsx",
				excelPackage =&gt;
				 {
					var sheet = excelPackage.CreateSheet("PoLines");
					AddHeader(
								sheet,
								("PoHeaderId"),
								("ItemId"),
								("PartNo"),
								("Color"),
								("ItemDescription"),
								("CategoryId"),
								("UnitMeasLookupCode"),
								("ListPricePerUnit"),
								("UnitPrice"),
								("ForeignPrice"),
								("Quantity"),
								("QtyRcvToLerance"),
								("MarketPrice"),
								("ClosedDate"),
								("ClosedReason"),
								("IsActive"),
							   );
					AddObjects(
						 sheet, 1, polines,                                       
								_ =&gt; _.PoHeaderId,
								_ =&gt; _.ItemId,
								_ =&gt; _.PartNo,
								_ =&gt; _.Color,
								_ =&gt; _.ItemDescription,
								_ =&gt; _.CategoryId,
								_ =&gt; _.UnitMeasLookupCode,
								_ =&gt; _.ListPricePerUnit,
								_ =&gt; _.UnitPrice,
								_ =&gt; _.ForeignPrice,
								_ =&gt; _.Quantity,
								_ =&gt; _.QtyRcvToLerance,
								_ =&gt; _.MarketPrice,
								_ =&gt; _.ClosedDate,
								_ =&gt; _.ClosedReason,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configuration.CreateMap&lt;InvCpsPoLinesDto, InvCpsPoLines&gt;();
  configuration.CreateMap&lt;InvCpsPoLines, InvCpsPoLinesDto&gt;();
  configuration.CreateMap&lt;CreateOrEditInvCpsPoLinesDto, InvCpsPoLines&gt;();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371</v>
      </c>
      <c r="B9" s="28" t="s">
        <v>0</v>
      </c>
      <c r="C9" t="s">
        <v>1</v>
      </c>
      <c r="D9" t="str">
        <f t="shared" ref="D9:D21" si="0">SUBSTITUTE(PROPER(A9),"_","")</f>
        <v>PoHeaderId</v>
      </c>
      <c r="E9" t="str">
        <f t="shared" ref="E9:E21" si="1">IFERROR(LEFT(B9, FIND("(",B9)-1),B9)</f>
        <v>bigint</v>
      </c>
      <c r="F9" s="6"/>
      <c r="G9" t="str">
        <f t="shared" ref="G9:G21" si="2">IFERROR(MID(B9,FIND("(",B9) +1, FIND(")",B9) - FIND("(",B9) - 1),"")</f>
        <v/>
      </c>
      <c r="H9" t="str">
        <f>+VLOOKUP(E9,'Data Type Mapping'!A:B,2,)</f>
        <v>long?</v>
      </c>
      <c r="I9" t="str">
        <f t="shared" ref="I9:I21" si="3">IF(H9="string",REPT(CHAR(9),2)&amp;"public const int Max"&amp;D9&amp;"Length = "&amp;G9&amp;";"&amp;$E$3,"" )</f>
        <v/>
      </c>
      <c r="J9" t="str">
        <f t="shared" ref="J9:J21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PoHeaderId { get; set; }
</v>
      </c>
      <c r="K9" s="6"/>
      <c r="L9" t="str">
        <f t="shared" ref="L9:L21" si="5">IF(K9="","",REPT(CHAR(9),1)&amp;"[Index(nameof("&amp;IF(D9="","",""&amp;D9)&amp;")"&amp;", Name="&amp;"""IX_"&amp;$B$7&amp;"_"&amp;D9&amp;""")]")</f>
        <v/>
      </c>
      <c r="M9" t="str">
        <f t="shared" ref="M9:M21" si="6">REPT(CHAR(9),2)&amp;"public virtual "&amp;IF(OR(H9="DateTime",H9="TimeSpan"),H9&amp;"?",H9)&amp;IF(C9="?","? "," ")&amp;D9&amp;" { get; set; }" &amp; "
"</f>
        <v xml:space="preserve">		public virtual long? PoHeaderId { get; set; }
</v>
      </c>
      <c r="N9" t="str">
        <f t="shared" ref="N9:N21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PoHeaderId { get; set; }
</v>
      </c>
      <c r="O9" t="str">
        <f t="shared" ref="O9:O21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21" si="9">REPT(CHAR(9),7)&amp;D9&amp;" = o." &amp;D9 &amp;","</f>
        <v xml:space="preserve">							PoHeaderId = o.PoHeaderId,</v>
      </c>
      <c r="T9" s="63" t="str">
        <f t="shared" ref="T9:T21" si="10">REPT(CHAR(9),8)&amp;"("""&amp;D9&amp;"""),"</f>
        <v xml:space="preserve">								("PoHeaderId"),</v>
      </c>
      <c r="V9" s="64" t="str">
        <f t="shared" ref="V9:V21" si="11">REPT(CHAR(9),8)&amp;"_ =&gt; _."&amp;D9&amp;","</f>
        <v xml:space="preserve">								_ =&gt; _.PoHeaderId,</v>
      </c>
      <c r="W9" s="63" t="str">
        <f t="shared" ref="W9:W21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372</v>
      </c>
      <c r="B10" s="28" t="s">
        <v>0</v>
      </c>
      <c r="C10" t="s">
        <v>1</v>
      </c>
      <c r="D10" t="str">
        <f t="shared" si="0"/>
        <v>ItemId</v>
      </c>
      <c r="E10" t="str">
        <f t="shared" si="1"/>
        <v>bigint</v>
      </c>
      <c r="F10" s="6"/>
      <c r="G10" t="str">
        <f t="shared" si="2"/>
        <v/>
      </c>
      <c r="H10" t="str">
        <f>+VLOOKUP(E10,'Data Type Mapping'!A:B,2,)</f>
        <v>long?</v>
      </c>
      <c r="I10" t="str">
        <f t="shared" si="3"/>
        <v/>
      </c>
      <c r="J10" t="str">
        <f t="shared" si="4"/>
        <v xml:space="preserve">		public virtual long? ItemId { get; set; }
</v>
      </c>
      <c r="K10" s="6"/>
      <c r="L10" t="str">
        <f t="shared" si="5"/>
        <v/>
      </c>
      <c r="M10" t="str">
        <f t="shared" si="6"/>
        <v xml:space="preserve">		public virtual long? ItemId { get; set; }
</v>
      </c>
      <c r="N10" t="str">
        <f t="shared" si="7"/>
        <v xml:space="preserve">		public virtual long? ItemId { get; set; }
</v>
      </c>
      <c r="O10" t="str">
        <f t="shared" si="8"/>
        <v/>
      </c>
      <c r="P10" t="str">
        <f t="shared" si="9"/>
        <v xml:space="preserve">							ItemId = o.ItemId,</v>
      </c>
      <c r="T10" s="63" t="str">
        <f t="shared" si="10"/>
        <v xml:space="preserve">								("ItemId"),</v>
      </c>
      <c r="V10" s="64" t="str">
        <f t="shared" si="11"/>
        <v xml:space="preserve">								_ =&gt; _.ItemId,</v>
      </c>
      <c r="W10" s="63" t="str">
        <f t="shared" si="12"/>
        <v/>
      </c>
    </row>
    <row r="11" spans="1:23" customFormat="1" ht="18.75" customHeight="1" x14ac:dyDescent="0.25">
      <c r="A11" s="28" t="s">
        <v>373</v>
      </c>
      <c r="B11" s="28" t="s">
        <v>360</v>
      </c>
      <c r="C11" t="s">
        <v>1</v>
      </c>
      <c r="D11" t="str">
        <f t="shared" ref="D11:D17" si="13">SUBSTITUTE(PROPER(A11),"_","")</f>
        <v>PartNo</v>
      </c>
      <c r="E11" t="str">
        <f t="shared" ref="E11:E17" si="14">IFERROR(LEFT(B11, FIND("(",B11)-1),B11)</f>
        <v>nvarchar</v>
      </c>
      <c r="F11" s="6"/>
      <c r="G11" t="str">
        <f t="shared" ref="G11:G17" si="15">IFERROR(MID(B11,FIND("(",B11) +1, FIND(")",B11) - FIND("(",B11) - 1),"")</f>
        <v>40</v>
      </c>
      <c r="H11" t="str">
        <f>+VLOOKUP(E11,'Data Type Mapping'!A:B,2,)</f>
        <v>string</v>
      </c>
      <c r="I11" t="str">
        <f t="shared" ref="I11:I17" si="16">IF(H11="string",REPT(CHAR(9),2)&amp;"public const int Max"&amp;D11&amp;"Length = "&amp;G11&amp;";"&amp;$E$3,"" )</f>
        <v xml:space="preserve">		public const int MaxPartNoLength = 40;
</v>
      </c>
      <c r="J11" t="str">
        <f t="shared" ref="J11:J17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[StringLength(MaxPartNoLength)]
		public virtual string PartNo { get; set; }
</v>
      </c>
      <c r="K11" s="6"/>
      <c r="L11" t="str">
        <f t="shared" ref="L11:L17" si="18">IF(K11="","",REPT(CHAR(9),1)&amp;"[Index(nameof("&amp;IF(D11="","",""&amp;D11)&amp;")"&amp;", Name="&amp;"""IX_"&amp;$B$7&amp;"_"&amp;D11&amp;""")]")</f>
        <v/>
      </c>
      <c r="M11" t="str">
        <f t="shared" ref="M11:M17" si="19">REPT(CHAR(9),2)&amp;"public virtual "&amp;IF(OR(H11="DateTime",H11="TimeSpan"),H11&amp;"?",H11)&amp;IF(C11="?","? "," ")&amp;D11&amp;" { get; set; }" &amp; "
"</f>
        <v xml:space="preserve">		public virtual string PartNo { get; set; }
</v>
      </c>
      <c r="N11" t="str">
        <f t="shared" ref="N11:N17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[StringLength(InvCpsPoLinesConsts.MaxPartNoLength)]
		public virtual string PartNo { get; set; }
</v>
      </c>
      <c r="O11" t="str">
        <f t="shared" ref="O11:O17" si="21">IF(OR(H11="string",H11="DateTime",H11="int"),REPT(CHAR(9),2)&amp;"public virtual "&amp;IF(OR(H11="DateTime",H11="TimeSpan"),H11&amp;"?",H11)&amp;IF(C11="?","? "," ")&amp;D11&amp;" { get; set; }"&amp;$E$3,"")</f>
        <v xml:space="preserve">		public virtual string PartNo { get; set; }
</v>
      </c>
      <c r="P11" t="str">
        <f t="shared" ref="P11:P17" si="22">REPT(CHAR(9),7)&amp;D11&amp;" = o." &amp;D11 &amp;","</f>
        <v xml:space="preserve">							PartNo = o.PartNo,</v>
      </c>
      <c r="T11" s="63" t="str">
        <f t="shared" ref="T11:T17" si="23">REPT(CHAR(9),8)&amp;"("""&amp;D11&amp;"""),"</f>
        <v xml:space="preserve">								("PartNo"),</v>
      </c>
      <c r="V11" s="64" t="str">
        <f t="shared" ref="V11:V17" si="24">REPT(CHAR(9),8)&amp;"_ =&gt; _."&amp;D11&amp;","</f>
        <v xml:space="preserve">								_ =&gt; _.PartNo,</v>
      </c>
      <c r="W11" s="63" t="str">
        <f t="shared" ref="W11:W17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.WhereIf(!string.IsNullOrWhiteSpace(input.PartNo), e =&gt; e.PartNo.Contains(input.PartNo))</v>
      </c>
    </row>
    <row r="12" spans="1:23" customFormat="1" ht="18.75" customHeight="1" x14ac:dyDescent="0.25">
      <c r="A12" s="28" t="s">
        <v>361</v>
      </c>
      <c r="B12" s="28" t="s">
        <v>360</v>
      </c>
      <c r="C12" t="s">
        <v>1</v>
      </c>
      <c r="D12" t="str">
        <f t="shared" ref="D12" si="26">SUBSTITUTE(PROPER(A12),"_","")</f>
        <v>Color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40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MaxColorLength = 40;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[StringLength(MaxColorLength)]
		public virtual string Color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Color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[StringLength(InvCpsPoLinesConsts.MaxColorLength)]
		public virtual string Color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Color { get; set; }
</v>
      </c>
      <c r="P12" t="str">
        <f t="shared" ref="P12" si="35">REPT(CHAR(9),7)&amp;D12&amp;" = o." &amp;D12 &amp;","</f>
        <v xml:space="preserve">							Color = o.Color,</v>
      </c>
      <c r="T12" s="63" t="str">
        <f t="shared" ref="T12" si="36">REPT(CHAR(9),8)&amp;"("""&amp;D12&amp;"""),"</f>
        <v xml:space="preserve">								("Color"),</v>
      </c>
      <c r="V12" s="64" t="str">
        <f t="shared" ref="V12" si="37">REPT(CHAR(9),8)&amp;"_ =&gt; _."&amp;D12&amp;","</f>
        <v xml:space="preserve">								_ =&gt; _.Color,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.WhereIf(!string.IsNullOrWhiteSpace(input.Color), e =&gt; e.Color.Contains(input.Color))</v>
      </c>
    </row>
    <row r="13" spans="1:23" customFormat="1" ht="18.75" customHeight="1" x14ac:dyDescent="0.25">
      <c r="A13" s="28" t="s">
        <v>374</v>
      </c>
      <c r="B13" s="28" t="s">
        <v>362</v>
      </c>
      <c r="C13" t="s">
        <v>1</v>
      </c>
      <c r="D13" t="str">
        <f t="shared" si="13"/>
        <v>ItemDescription</v>
      </c>
      <c r="E13" t="str">
        <f t="shared" si="14"/>
        <v>nvarchar</v>
      </c>
      <c r="F13" s="6"/>
      <c r="G13" t="str">
        <f t="shared" si="15"/>
        <v>500</v>
      </c>
      <c r="H13" t="str">
        <f>+VLOOKUP(E13,'Data Type Mapping'!A:B,2,)</f>
        <v>string</v>
      </c>
      <c r="I13" t="str">
        <f t="shared" si="16"/>
        <v xml:space="preserve">		public const int MaxItemDescriptionLength = 500;
</v>
      </c>
      <c r="J13" t="str">
        <f t="shared" si="17"/>
        <v xml:space="preserve">		[StringLength(MaxItemDescriptionLength)]
		public virtual string ItemDescription { get; set; }
</v>
      </c>
      <c r="K13" s="6"/>
      <c r="L13" t="str">
        <f t="shared" si="18"/>
        <v/>
      </c>
      <c r="M13" t="str">
        <f t="shared" si="19"/>
        <v xml:space="preserve">		public virtual string ItemDescription { get; set; }
</v>
      </c>
      <c r="N13" t="str">
        <f t="shared" si="20"/>
        <v xml:space="preserve">		[StringLength(InvCpsPoLinesConsts.MaxItemDescriptionLength)]
		public virtual string ItemDescription { get; set; }
</v>
      </c>
      <c r="O13" t="str">
        <f t="shared" si="21"/>
        <v xml:space="preserve">		public virtual string ItemDescription { get; set; }
</v>
      </c>
      <c r="P13" t="str">
        <f t="shared" si="22"/>
        <v xml:space="preserve">							ItemDescription = o.ItemDescription,</v>
      </c>
      <c r="T13" s="63" t="str">
        <f t="shared" si="23"/>
        <v xml:space="preserve">								("ItemDescription"),</v>
      </c>
      <c r="V13" s="64" t="str">
        <f t="shared" si="24"/>
        <v xml:space="preserve">								_ =&gt; _.ItemDescription,</v>
      </c>
      <c r="W13" s="63" t="str">
        <f t="shared" si="25"/>
        <v xml:space="preserve">				.WhereIf(!string.IsNullOrWhiteSpace(input.ItemDescription), e =&gt; e.ItemDescription.Contains(input.ItemDescription))</v>
      </c>
    </row>
    <row r="14" spans="1:23" customFormat="1" ht="18.75" customHeight="1" x14ac:dyDescent="0.25">
      <c r="A14" s="28" t="s">
        <v>375</v>
      </c>
      <c r="B14" s="28" t="s">
        <v>0</v>
      </c>
      <c r="C14" t="s">
        <v>1</v>
      </c>
      <c r="D14" t="str">
        <f t="shared" si="13"/>
        <v>CategoryId</v>
      </c>
      <c r="E14" t="str">
        <f t="shared" si="14"/>
        <v>bigint</v>
      </c>
      <c r="F14" s="6"/>
      <c r="G14" t="str">
        <f t="shared" si="15"/>
        <v/>
      </c>
      <c r="H14" t="str">
        <f>+VLOOKUP(E14,'Data Type Mapping'!A:B,2,)</f>
        <v>long?</v>
      </c>
      <c r="I14" t="str">
        <f t="shared" si="16"/>
        <v/>
      </c>
      <c r="J14" t="str">
        <f t="shared" si="17"/>
        <v xml:space="preserve">		public virtual long? CategoryId { get; set; }
</v>
      </c>
      <c r="K14" s="6"/>
      <c r="L14" t="str">
        <f t="shared" si="18"/>
        <v/>
      </c>
      <c r="M14" t="str">
        <f t="shared" si="19"/>
        <v xml:space="preserve">		public virtual long? CategoryId { get; set; }
</v>
      </c>
      <c r="N14" t="str">
        <f t="shared" si="20"/>
        <v xml:space="preserve">		public virtual long? CategoryId { get; set; }
</v>
      </c>
      <c r="O14" t="str">
        <f t="shared" si="21"/>
        <v/>
      </c>
      <c r="P14" t="str">
        <f t="shared" si="22"/>
        <v xml:space="preserve">							CategoryId = o.CategoryId,</v>
      </c>
      <c r="T14" s="63" t="str">
        <f t="shared" si="23"/>
        <v xml:space="preserve">								("CategoryId"),</v>
      </c>
      <c r="V14" s="64" t="str">
        <f t="shared" si="24"/>
        <v xml:space="preserve">								_ =&gt; _.CategoryId,</v>
      </c>
      <c r="W14" s="63" t="str">
        <f t="shared" si="25"/>
        <v/>
      </c>
    </row>
    <row r="15" spans="1:23" customFormat="1" ht="18.75" customHeight="1" x14ac:dyDescent="0.25">
      <c r="A15" s="28" t="s">
        <v>376</v>
      </c>
      <c r="B15" s="28" t="s">
        <v>363</v>
      </c>
      <c r="C15" t="s">
        <v>1</v>
      </c>
      <c r="D15" t="str">
        <f t="shared" si="13"/>
        <v>UnitMeasLookupCode</v>
      </c>
      <c r="E15" t="str">
        <f t="shared" si="14"/>
        <v>nvarchar</v>
      </c>
      <c r="F15" s="6"/>
      <c r="G15" t="str">
        <f t="shared" si="15"/>
        <v>50</v>
      </c>
      <c r="H15" t="str">
        <f>+VLOOKUP(E15,'Data Type Mapping'!A:B,2,)</f>
        <v>string</v>
      </c>
      <c r="I15" t="str">
        <f t="shared" si="16"/>
        <v xml:space="preserve">		public const int MaxUnitMeasLookupCodeLength = 50;
</v>
      </c>
      <c r="J15" t="str">
        <f t="shared" si="17"/>
        <v xml:space="preserve">		[StringLength(MaxUnitMeasLookupCodeLength)]
		public virtual string UnitMeasLookupCode { get; set; }
</v>
      </c>
      <c r="K15" s="6"/>
      <c r="L15" t="str">
        <f t="shared" si="18"/>
        <v/>
      </c>
      <c r="M15" t="str">
        <f t="shared" si="19"/>
        <v xml:space="preserve">		public virtual string UnitMeasLookupCode { get; set; }
</v>
      </c>
      <c r="N15" t="str">
        <f t="shared" si="20"/>
        <v xml:space="preserve">		[StringLength(InvCpsPoLinesConsts.MaxUnitMeasLookupCodeLength)]
		public virtual string UnitMeasLookupCode { get; set; }
</v>
      </c>
      <c r="O15" t="str">
        <f t="shared" si="21"/>
        <v xml:space="preserve">		public virtual string UnitMeasLookupCode { get; set; }
</v>
      </c>
      <c r="P15" t="str">
        <f t="shared" si="22"/>
        <v xml:space="preserve">							UnitMeasLookupCode = o.UnitMeasLookupCode,</v>
      </c>
      <c r="T15" s="63" t="str">
        <f t="shared" si="23"/>
        <v xml:space="preserve">								("UnitMeasLookupCode"),</v>
      </c>
      <c r="V15" s="64" t="str">
        <f t="shared" si="24"/>
        <v xml:space="preserve">								_ =&gt; _.UnitMeasLookupCode,</v>
      </c>
      <c r="W15" s="63" t="str">
        <f t="shared" si="25"/>
        <v xml:space="preserve">				.WhereIf(!string.IsNullOrWhiteSpace(input.UnitMeasLookupCode), e =&gt; e.UnitMeasLookupCode.Contains(input.UnitMeasLookupCode))</v>
      </c>
    </row>
    <row r="16" spans="1:23" customFormat="1" ht="18.75" customHeight="1" x14ac:dyDescent="0.25">
      <c r="A16" s="28" t="s">
        <v>377</v>
      </c>
      <c r="B16" s="28" t="s">
        <v>364</v>
      </c>
      <c r="C16" t="s">
        <v>1</v>
      </c>
      <c r="D16" t="str">
        <f t="shared" si="13"/>
        <v>ListPricePerUnit</v>
      </c>
      <c r="E16" t="str">
        <f t="shared" si="14"/>
        <v>Decimal</v>
      </c>
      <c r="F16" s="6"/>
      <c r="G16" t="str">
        <f t="shared" si="15"/>
        <v>38,5</v>
      </c>
      <c r="H16" t="str">
        <f>+VLOOKUP(E16,'Data Type Mapping'!A:B,2,)</f>
        <v>decimal?</v>
      </c>
      <c r="I16" t="str">
        <f t="shared" si="16"/>
        <v/>
      </c>
      <c r="J16" t="str">
        <f t="shared" si="17"/>
        <v xml:space="preserve">		public virtual decimal? ListPricePerUnit { get; set; }
</v>
      </c>
      <c r="K16" s="6"/>
      <c r="L16" t="str">
        <f t="shared" si="18"/>
        <v/>
      </c>
      <c r="M16" t="str">
        <f t="shared" si="19"/>
        <v xml:space="preserve">		public virtual decimal? ListPricePerUnit { get; set; }
</v>
      </c>
      <c r="N16" t="str">
        <f t="shared" si="20"/>
        <v xml:space="preserve">		public virtual decimal? ListPricePerUnit { get; set; }
</v>
      </c>
      <c r="O16" t="str">
        <f t="shared" si="21"/>
        <v/>
      </c>
      <c r="P16" t="str">
        <f t="shared" si="22"/>
        <v xml:space="preserve">							ListPricePerUnit = o.ListPricePerUnit,</v>
      </c>
      <c r="T16" s="63" t="str">
        <f t="shared" si="23"/>
        <v xml:space="preserve">								("ListPricePerUnit"),</v>
      </c>
      <c r="V16" s="64" t="str">
        <f t="shared" si="24"/>
        <v xml:space="preserve">								_ =&gt; _.ListPricePerUnit,</v>
      </c>
      <c r="W16" s="63" t="str">
        <f t="shared" si="25"/>
        <v/>
      </c>
    </row>
    <row r="17" spans="1:23" customFormat="1" ht="18.75" customHeight="1" x14ac:dyDescent="0.25">
      <c r="A17" s="28" t="s">
        <v>378</v>
      </c>
      <c r="B17" s="28" t="s">
        <v>364</v>
      </c>
      <c r="C17" t="s">
        <v>1</v>
      </c>
      <c r="D17" t="str">
        <f t="shared" si="13"/>
        <v>UnitPrice</v>
      </c>
      <c r="E17" t="str">
        <f t="shared" si="14"/>
        <v>Decimal</v>
      </c>
      <c r="F17" s="6"/>
      <c r="G17" t="str">
        <f t="shared" si="15"/>
        <v>38,5</v>
      </c>
      <c r="H17" t="str">
        <f>+VLOOKUP(E17,'Data Type Mapping'!A:B,2,)</f>
        <v>decimal?</v>
      </c>
      <c r="I17" t="str">
        <f t="shared" si="16"/>
        <v/>
      </c>
      <c r="J17" t="str">
        <f t="shared" si="17"/>
        <v xml:space="preserve">		public virtual decimal? UnitPrice { get; set; }
</v>
      </c>
      <c r="K17" s="6"/>
      <c r="L17" t="str">
        <f t="shared" si="18"/>
        <v/>
      </c>
      <c r="M17" t="str">
        <f t="shared" si="19"/>
        <v xml:space="preserve">		public virtual decimal? UnitPrice { get; set; }
</v>
      </c>
      <c r="N17" t="str">
        <f t="shared" si="20"/>
        <v xml:space="preserve">		public virtual decimal? UnitPrice { get; set; }
</v>
      </c>
      <c r="O17" t="str">
        <f t="shared" si="21"/>
        <v/>
      </c>
      <c r="P17" t="str">
        <f t="shared" si="22"/>
        <v xml:space="preserve">							UnitPrice = o.UnitPrice,</v>
      </c>
      <c r="T17" s="63" t="str">
        <f t="shared" si="23"/>
        <v xml:space="preserve">								("UnitPrice"),</v>
      </c>
      <c r="V17" s="64" t="str">
        <f t="shared" si="24"/>
        <v xml:space="preserve">								_ =&gt; _.UnitPrice,</v>
      </c>
      <c r="W17" s="63" t="str">
        <f t="shared" si="25"/>
        <v/>
      </c>
    </row>
    <row r="18" spans="1:23" customFormat="1" ht="18.75" customHeight="1" x14ac:dyDescent="0.25">
      <c r="A18" s="28" t="s">
        <v>379</v>
      </c>
      <c r="B18" s="28" t="s">
        <v>364</v>
      </c>
      <c r="C18" t="s">
        <v>1</v>
      </c>
      <c r="D18" t="str">
        <f t="shared" si="0"/>
        <v>ForeignPrice</v>
      </c>
      <c r="E18" t="str">
        <f t="shared" si="1"/>
        <v>Decimal</v>
      </c>
      <c r="F18" s="6"/>
      <c r="G18" t="str">
        <f t="shared" si="2"/>
        <v>38,5</v>
      </c>
      <c r="H18" t="str">
        <f>+VLOOKUP(E18,'Data Type Mapping'!A:B,2,)</f>
        <v>decimal?</v>
      </c>
      <c r="I18" t="str">
        <f t="shared" si="3"/>
        <v/>
      </c>
      <c r="J18" t="str">
        <f t="shared" si="4"/>
        <v xml:space="preserve">		public virtual decimal? ForeignPrice { get; set; }
</v>
      </c>
      <c r="K18" s="6"/>
      <c r="L18" t="str">
        <f t="shared" si="5"/>
        <v/>
      </c>
      <c r="M18" t="str">
        <f t="shared" si="6"/>
        <v xml:space="preserve">		public virtual decimal? ForeignPrice { get; set; }
</v>
      </c>
      <c r="N18" t="str">
        <f t="shared" si="7"/>
        <v xml:space="preserve">		public virtual decimal? ForeignPrice { get; set; }
</v>
      </c>
      <c r="O18" t="str">
        <f t="shared" si="8"/>
        <v/>
      </c>
      <c r="P18" t="str">
        <f t="shared" si="9"/>
        <v xml:space="preserve">							ForeignPrice = o.ForeignPrice,</v>
      </c>
      <c r="T18" s="63" t="str">
        <f t="shared" si="10"/>
        <v xml:space="preserve">								("ForeignPrice"),</v>
      </c>
      <c r="V18" s="64" t="str">
        <f t="shared" si="11"/>
        <v xml:space="preserve">								_ =&gt; _.ForeignPrice,</v>
      </c>
      <c r="W18" s="63" t="str">
        <f t="shared" si="12"/>
        <v/>
      </c>
    </row>
    <row r="19" spans="1:23" customFormat="1" ht="18.75" customHeight="1" x14ac:dyDescent="0.25">
      <c r="A19" s="28" t="s">
        <v>359</v>
      </c>
      <c r="B19" s="28" t="s">
        <v>357</v>
      </c>
      <c r="C19" t="s">
        <v>1</v>
      </c>
      <c r="D19" t="str">
        <f t="shared" si="0"/>
        <v>Quantity</v>
      </c>
      <c r="E19" t="str">
        <f t="shared" si="1"/>
        <v>Decimal</v>
      </c>
      <c r="F19" s="6"/>
      <c r="G19" t="str">
        <f t="shared" si="2"/>
        <v>18,5</v>
      </c>
      <c r="H19" t="str">
        <f>+VLOOKUP(E19,'Data Type Mapping'!A:B,2,)</f>
        <v>decimal?</v>
      </c>
      <c r="I19" t="str">
        <f t="shared" si="3"/>
        <v/>
      </c>
      <c r="J19" t="str">
        <f t="shared" si="4"/>
        <v xml:space="preserve">		public virtual decimal? Quantity { get; set; }
</v>
      </c>
      <c r="K19" s="6"/>
      <c r="L19" t="str">
        <f t="shared" si="5"/>
        <v/>
      </c>
      <c r="M19" t="str">
        <f t="shared" si="6"/>
        <v xml:space="preserve">		public virtual decimal? Quantity { get; set; }
</v>
      </c>
      <c r="N19" t="str">
        <f t="shared" si="7"/>
        <v xml:space="preserve">		public virtual decimal? Quantity { get; set; }
</v>
      </c>
      <c r="O19" t="str">
        <f t="shared" si="8"/>
        <v/>
      </c>
      <c r="P19" t="str">
        <f t="shared" si="9"/>
        <v xml:space="preserve">							Quantity = o.Quantity,</v>
      </c>
      <c r="T19" s="63" t="str">
        <f t="shared" si="10"/>
        <v xml:space="preserve">								("Quantity"),</v>
      </c>
      <c r="V19" s="64" t="str">
        <f t="shared" si="11"/>
        <v xml:space="preserve">								_ =&gt; _.Quantity,</v>
      </c>
      <c r="W19" s="63" t="str">
        <f t="shared" si="12"/>
        <v/>
      </c>
    </row>
    <row r="20" spans="1:23" customFormat="1" ht="18.75" customHeight="1" x14ac:dyDescent="0.25">
      <c r="A20" s="28" t="s">
        <v>380</v>
      </c>
      <c r="B20" s="28" t="s">
        <v>357</v>
      </c>
      <c r="C20" t="s">
        <v>1</v>
      </c>
      <c r="D20" t="str">
        <f t="shared" si="0"/>
        <v>QtyRcvToLerance</v>
      </c>
      <c r="E20" t="str">
        <f t="shared" si="1"/>
        <v>Decimal</v>
      </c>
      <c r="F20" s="6"/>
      <c r="G20" t="str">
        <f t="shared" si="2"/>
        <v>18,5</v>
      </c>
      <c r="H20" t="str">
        <f>+VLOOKUP(E20,'Data Type Mapping'!A:B,2,)</f>
        <v>decimal?</v>
      </c>
      <c r="I20" t="str">
        <f t="shared" si="3"/>
        <v/>
      </c>
      <c r="J20" t="str">
        <f t="shared" si="4"/>
        <v xml:space="preserve">		public virtual decimal? QtyRcvToLerance { get; set; }
</v>
      </c>
      <c r="K20" s="6"/>
      <c r="L20" t="str">
        <f t="shared" si="5"/>
        <v/>
      </c>
      <c r="M20" t="str">
        <f t="shared" si="6"/>
        <v xml:space="preserve">		public virtual decimal? QtyRcvToLerance { get; set; }
</v>
      </c>
      <c r="N20" t="str">
        <f t="shared" si="7"/>
        <v xml:space="preserve">		public virtual decimal? QtyRcvToLerance { get; set; }
</v>
      </c>
      <c r="O20" t="str">
        <f t="shared" si="8"/>
        <v/>
      </c>
      <c r="P20" t="str">
        <f t="shared" si="9"/>
        <v xml:space="preserve">							QtyRcvToLerance = o.QtyRcvToLerance,</v>
      </c>
      <c r="T20" s="63" t="str">
        <f t="shared" si="10"/>
        <v xml:space="preserve">								("QtyRcvToLerance"),</v>
      </c>
      <c r="V20" s="64" t="str">
        <f t="shared" si="11"/>
        <v xml:space="preserve">								_ =&gt; _.QtyRcvToLerance,</v>
      </c>
      <c r="W20" s="63" t="str">
        <f t="shared" si="12"/>
        <v/>
      </c>
    </row>
    <row r="21" spans="1:23" customFormat="1" ht="18.75" customHeight="1" x14ac:dyDescent="0.25">
      <c r="A21" s="28" t="s">
        <v>381</v>
      </c>
      <c r="B21" s="28" t="s">
        <v>364</v>
      </c>
      <c r="C21" t="s">
        <v>1</v>
      </c>
      <c r="D21" t="str">
        <f t="shared" si="0"/>
        <v>MarketPrice</v>
      </c>
      <c r="E21" t="str">
        <f t="shared" si="1"/>
        <v>Decimal</v>
      </c>
      <c r="F21" s="6"/>
      <c r="G21" t="str">
        <f t="shared" si="2"/>
        <v>38,5</v>
      </c>
      <c r="H21" t="str">
        <f>+VLOOKUP(E21,'Data Type Mapping'!A:B,2,)</f>
        <v>decimal?</v>
      </c>
      <c r="I21" t="str">
        <f t="shared" si="3"/>
        <v/>
      </c>
      <c r="J21" t="str">
        <f t="shared" si="4"/>
        <v xml:space="preserve">		public virtual decimal? MarketPrice { get; set; }
</v>
      </c>
      <c r="K21" s="6"/>
      <c r="L21" t="str">
        <f t="shared" si="5"/>
        <v/>
      </c>
      <c r="M21" t="str">
        <f t="shared" si="6"/>
        <v xml:space="preserve">		public virtual decimal? MarketPrice { get; set; }
</v>
      </c>
      <c r="N21" t="str">
        <f t="shared" si="7"/>
        <v xml:space="preserve">		public virtual decimal? MarketPrice { get; set; }
</v>
      </c>
      <c r="O21" t="str">
        <f t="shared" si="8"/>
        <v/>
      </c>
      <c r="P21" t="str">
        <f t="shared" si="9"/>
        <v xml:space="preserve">							MarketPrice = o.MarketPrice,</v>
      </c>
      <c r="T21" s="63" t="str">
        <f t="shared" si="10"/>
        <v xml:space="preserve">								("MarketPrice"),</v>
      </c>
      <c r="V21" s="64" t="str">
        <f t="shared" si="11"/>
        <v xml:space="preserve">								_ =&gt; _.MarketPrice,</v>
      </c>
      <c r="W21" s="63" t="str">
        <f t="shared" si="12"/>
        <v/>
      </c>
    </row>
    <row r="22" spans="1:23" customFormat="1" ht="18.75" customHeight="1" x14ac:dyDescent="0.25">
      <c r="A22" s="28" t="s">
        <v>382</v>
      </c>
      <c r="B22" s="28" t="s">
        <v>356</v>
      </c>
      <c r="C22" t="s">
        <v>1</v>
      </c>
      <c r="D22" t="str">
        <f t="shared" ref="D22:D23" si="39">SUBSTITUTE(PROPER(A22),"_","")</f>
        <v>ClosedDate</v>
      </c>
      <c r="E22" t="str">
        <f t="shared" ref="E22:E23" si="40">IFERROR(LEFT(B22, FIND("(",B22)-1),B22)</f>
        <v>DateTime</v>
      </c>
      <c r="F22" s="6"/>
      <c r="G22" t="str">
        <f t="shared" ref="G22:G23" si="41">IFERROR(MID(B22,FIND("(",B22) +1, FIND(")",B22) - FIND("(",B22) - 1),"")</f>
        <v/>
      </c>
      <c r="H22" t="str">
        <f>+VLOOKUP(E22,'Data Type Mapping'!A:B,2,)</f>
        <v>DateTime?</v>
      </c>
      <c r="I22" t="str">
        <f t="shared" ref="I22:I23" si="42">IF(H22="string",REPT(CHAR(9),2)&amp;"public const int Max"&amp;D22&amp;"Length = "&amp;G22&amp;";"&amp;$E$3,"" )</f>
        <v/>
      </c>
      <c r="J22" t="str">
        <f t="shared" ref="J22:J23" si="43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DateTime? ClosedDate { get; set; }
</v>
      </c>
      <c r="K22" s="6"/>
      <c r="L22" t="str">
        <f t="shared" ref="L22:L23" si="44">IF(K22="","",REPT(CHAR(9),1)&amp;"[Index(nameof("&amp;IF(D22="","",""&amp;D22)&amp;")"&amp;", Name="&amp;"""IX_"&amp;$B$7&amp;"_"&amp;D22&amp;""")]")</f>
        <v/>
      </c>
      <c r="M22" t="str">
        <f t="shared" ref="M22:M23" si="45">REPT(CHAR(9),2)&amp;"public virtual "&amp;IF(OR(H22="DateTime",H22="TimeSpan"),H22&amp;"?",H22)&amp;IF(C22="?","? "," ")&amp;D22&amp;" { get; set; }" &amp; "
"</f>
        <v xml:space="preserve">		public virtual DateTime? ClosedDate { get; set; }
</v>
      </c>
      <c r="N22" t="str">
        <f t="shared" ref="N22:N23" si="46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DateTime? ClosedDate { get; set; }
</v>
      </c>
      <c r="O22" t="str">
        <f t="shared" ref="O22:O23" si="47">IF(OR(H22="string",H22="DateTime",H22="int"),REPT(CHAR(9),2)&amp;"public virtual "&amp;IF(OR(H22="DateTime",H22="TimeSpan"),H22&amp;"?",H22)&amp;IF(C22="?","? "," ")&amp;D22&amp;" { get; set; }"&amp;$E$3,"")</f>
        <v/>
      </c>
      <c r="P22" t="str">
        <f t="shared" ref="P22:P23" si="48">REPT(CHAR(9),7)&amp;D22&amp;" = o." &amp;D22 &amp;","</f>
        <v xml:space="preserve">							ClosedDate = o.ClosedDate,</v>
      </c>
      <c r="T22" s="63" t="str">
        <f t="shared" ref="T22:T23" si="49">REPT(CHAR(9),8)&amp;"("""&amp;D22&amp;"""),"</f>
        <v xml:space="preserve">								("ClosedDate"),</v>
      </c>
      <c r="V22" s="64" t="str">
        <f t="shared" ref="V22:V23" si="50">REPT(CHAR(9),8)&amp;"_ =&gt; _."&amp;D22&amp;","</f>
        <v xml:space="preserve">								_ =&gt; _.ClosedDate,</v>
      </c>
      <c r="W22" s="63" t="str">
        <f t="shared" ref="W22:W23" si="51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3" spans="1:23" customFormat="1" ht="18.75" customHeight="1" x14ac:dyDescent="0.25">
      <c r="A23" s="28" t="s">
        <v>383</v>
      </c>
      <c r="B23" s="28" t="s">
        <v>358</v>
      </c>
      <c r="C23" t="s">
        <v>1</v>
      </c>
      <c r="D23" t="str">
        <f t="shared" si="39"/>
        <v>ClosedReason</v>
      </c>
      <c r="E23" t="str">
        <f t="shared" si="40"/>
        <v>nvarchar</v>
      </c>
      <c r="F23" s="6"/>
      <c r="G23" t="str">
        <f t="shared" si="41"/>
        <v>240</v>
      </c>
      <c r="H23" t="str">
        <f>+VLOOKUP(E23,'Data Type Mapping'!A:B,2,)</f>
        <v>string</v>
      </c>
      <c r="I23" t="str">
        <f t="shared" si="42"/>
        <v xml:space="preserve">		public const int MaxClosedReasonLength = 240;
</v>
      </c>
      <c r="J23" t="str">
        <f t="shared" si="43"/>
        <v xml:space="preserve">		[StringLength(MaxClosedReasonLength)]
		public virtual string ClosedReason { get; set; }
</v>
      </c>
      <c r="K23" s="6"/>
      <c r="L23" t="str">
        <f t="shared" si="44"/>
        <v/>
      </c>
      <c r="M23" t="str">
        <f t="shared" si="45"/>
        <v xml:space="preserve">		public virtual string ClosedReason { get; set; }
</v>
      </c>
      <c r="N23" t="str">
        <f t="shared" si="46"/>
        <v xml:space="preserve">		[StringLength(InvCpsPoLinesConsts.MaxClosedReasonLength)]
		public virtual string ClosedReason { get; set; }
</v>
      </c>
      <c r="O23" t="str">
        <f t="shared" si="47"/>
        <v xml:space="preserve">		public virtual string ClosedReason { get; set; }
</v>
      </c>
      <c r="P23" t="str">
        <f t="shared" si="48"/>
        <v xml:space="preserve">							ClosedReason = o.ClosedReason,</v>
      </c>
      <c r="T23" s="63" t="str">
        <f t="shared" si="49"/>
        <v xml:space="preserve">								("ClosedReason"),</v>
      </c>
      <c r="V23" s="64" t="str">
        <f t="shared" si="50"/>
        <v xml:space="preserve">								_ =&gt; _.ClosedReason,</v>
      </c>
      <c r="W23" s="63" t="str">
        <f t="shared" si="51"/>
        <v xml:space="preserve">				.WhereIf(!string.IsNullOrWhiteSpace(input.ClosedReason), e =&gt; e.ClosedReason.Contains(input.ClosedReason))</v>
      </c>
    </row>
    <row r="24" spans="1:23" customFormat="1" ht="18.75" customHeight="1" x14ac:dyDescent="0.25">
      <c r="A24" s="28" t="s">
        <v>318</v>
      </c>
      <c r="B24" s="28" t="s">
        <v>355</v>
      </c>
      <c r="C24" t="s">
        <v>1</v>
      </c>
      <c r="D24" t="str">
        <f t="shared" ref="D24" si="52">SUBSTITUTE(PROPER(A24),"_","")</f>
        <v>IsActive</v>
      </c>
      <c r="E24" t="str">
        <f t="shared" ref="E24" si="53">IFERROR(LEFT(B24, FIND("(",B24)-1),B24)</f>
        <v>varchar</v>
      </c>
      <c r="F24" s="6"/>
      <c r="G24" t="str">
        <f t="shared" ref="G24" si="54">IFERROR(MID(B24,FIND("(",B24) +1, FIND(")",B24) - FIND("(",B24) - 1),"")</f>
        <v>1</v>
      </c>
      <c r="H24" t="str">
        <f>+VLOOKUP(E24,'Data Type Mapping'!A:B,2,)</f>
        <v>string</v>
      </c>
      <c r="I24" t="str">
        <f t="shared" ref="I24" si="55">IF(H24="string",REPT(CHAR(9),2)&amp;"public const int Max"&amp;D24&amp;"Length = "&amp;G24&amp;";"&amp;$E$3,"" )</f>
        <v xml:space="preserve">		public const int MaxIsActiveLength = 1;
</v>
      </c>
      <c r="J24" t="str">
        <f t="shared" ref="J24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[StringLength(MaxIsActiveLength)]
		public virtual string IsActive { get; set; }
</v>
      </c>
      <c r="K24" s="6"/>
      <c r="L24" t="str">
        <f t="shared" ref="L24" si="57">IF(K24="","",REPT(CHAR(9),1)&amp;"[Index(nameof("&amp;IF(D24="","",""&amp;D24)&amp;")"&amp;", Name="&amp;"""IX_"&amp;$B$7&amp;"_"&amp;D24&amp;""")]")</f>
        <v/>
      </c>
      <c r="M24" t="str">
        <f t="shared" ref="M24" si="58">REPT(CHAR(9),2)&amp;"public virtual "&amp;IF(OR(H24="DateTime",H24="TimeSpan"),H24&amp;"?",H24)&amp;IF(C24="?","? "," ")&amp;D24&amp;" { get; set; }" &amp; "
"</f>
        <v xml:space="preserve">		public virtual string IsActive { get; set; }
</v>
      </c>
      <c r="N24" t="str">
        <f t="shared" ref="N24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[StringLength(InvCpsPoLinesConsts.MaxIsActiveLength)]
		public virtual string IsActive { get; set; }
</v>
      </c>
      <c r="O24" t="str">
        <f t="shared" ref="O24" si="60">IF(OR(H24="string",H24="DateTime",H24="int"),REPT(CHAR(9),2)&amp;"public virtual "&amp;IF(OR(H24="DateTime",H24="TimeSpan"),H24&amp;"?",H24)&amp;IF(C24="?","? "," ")&amp;D24&amp;" { get; set; }"&amp;$E$3,"")</f>
        <v xml:space="preserve">		public virtual string IsActive { get; set; }
</v>
      </c>
      <c r="P24" t="str">
        <f t="shared" ref="P24" si="61">REPT(CHAR(9),7)&amp;D24&amp;" = o." &amp;D24 &amp;","</f>
        <v xml:space="preserve">							IsActive = o.IsActive,</v>
      </c>
      <c r="T24" s="63" t="str">
        <f t="shared" ref="T24" si="62">REPT(CHAR(9),8)&amp;"("""&amp;D24&amp;"""),"</f>
        <v xml:space="preserve">								("IsActive"),</v>
      </c>
      <c r="V24" s="64" t="str">
        <f t="shared" ref="V24" si="63">REPT(CHAR(9),8)&amp;"_ =&gt; _."&amp;D24&amp;","</f>
        <v xml:space="preserve">								_ =&gt; _.IsActive,</v>
      </c>
      <c r="W24" s="63" t="str">
        <f t="shared" ref="W24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.WhereIf(!string.IsNullOrWhiteSpace(input.IsActive), e =&gt; e.IsActive.Contains(input.IsActive))</v>
      </c>
    </row>
    <row r="26" spans="1:23" ht="45.75" customHeight="1" x14ac:dyDescent="0.25">
      <c r="H26" s="11"/>
      <c r="I26" s="31" t="str">
        <f ca="1">TEXTJOIN2("
", TRUE,INDIRECT( $H$1):INDIRECT( $H$3))</f>
        <v xml:space="preserve">		public const int MaxPartNoLength = 40;
		public const int MaxColorLength = 40;
		public const int MaxItemDescriptionLength = 500;
		public const int MaxUnitMeasLookupCodeLength = 50;
		public const int MaxClosedReasonLength = 240;
		public const int MaxIsActiveLength = 1;
</v>
      </c>
      <c r="J26" s="30" t="str">
        <f ca="1">TEXTJOIN2("
", TRUE,INDIRECT( $F$1):INDIRECT( $F$3))</f>
        <v xml:space="preserve">		public virtual long? PoHeaderId { get; set; }
		public virtual long? ItemId { get; set; }
		[StringLength(MaxPartNoLength)]
		public virtual string PartNo { get; set; }
		[StringLength(MaxColorLength)]
		public virtual string Color { get; set; }
		[StringLength(MaxItemDescriptionLength)]
		public virtual string ItemDescription { get; set; }
		public virtual long? CategoryId { get; set; }
		[StringLength(MaxUnitMeasLookupCodeLength)]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[StringLength(MaxClosedReasonLength)]
		public virtual string ClosedReason { get; set; }
		[StringLength(MaxIsActiveLength)]
		public virtual string IsActive { get; set; }
</v>
      </c>
      <c r="K26" s="32" t="str">
        <f ca="1">TEXTJOIN2("
", TRUE,INDIRECT( $J$1):INDIRECT( $J$3))</f>
        <v/>
      </c>
      <c r="L26" s="12" t="s">
        <v>56</v>
      </c>
      <c r="M26" s="33" t="str">
        <f ca="1">TEXTJOIN2("
",TRUE,INDIRECT( $L$1):INDIRECT($L$3))</f>
        <v xml:space="preserve">		public virtual long? PoHeaderId { get; set; }
		public virtual long? ItemId { get; set; }
		public virtual string PartNo { get; set; }
		public virtual string Color { get; set; }
		public virtual string ItemDescription { get; set; }
		public virtual long? CategoryId { get; set; }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public virtual string ClosedReason { get; set; }
		public virtual string IsActive { get; set; }
</v>
      </c>
      <c r="N26" s="30" t="str">
        <f ca="1">TEXTJOIN2("
",TRUE,INDIRECT( $M$1):INDIRECT($M$3))</f>
        <v xml:space="preserve">		public virtual long? PoHeaderId { get; set; }
		public virtual long? ItemId { get; set; }
		[StringLength(InvCpsPoLinesConsts.MaxPartNoLength)]
		public virtual string PartNo { get; set; }
		[StringLength(InvCpsPoLinesConsts.MaxColorLength)]
		public virtual string Color { get; set; }
		[StringLength(InvCpsPoLinesConsts.MaxItemDescriptionLength)]
		public virtual string ItemDescription { get; set; }
		public virtual long? CategoryId { get; set; }
		[StringLength(InvCpsPoLinesConsts.MaxUnitMeasLookupCodeLength)]
		public virtual string UnitMeasLookupCode { get; set; }
		public virtual decimal? ListPricePerUnit { get; set; }
		public virtual decimal? UnitPrice { get; set; }
		public virtual decimal? ForeignPrice { get; set; }
		public virtual decimal? Quantity { get; set; }
		public virtual decimal? QtyRcvToLerance { get; set; }
		public virtual decimal? MarketPrice { get; set; }
		public virtual DateTime? ClosedDate { get; set; }
		[StringLength(InvCpsPoLinesConsts.MaxClosedReasonLength)]
		public virtual string ClosedReason { get; set; }
		[StringLength(InvCpsPoLinesConsts.MaxIsActiveLength)]
		public virtual string IsActive { get; set; }
</v>
      </c>
      <c r="O26" s="30" t="str">
        <f ca="1">TEXTJOIN2("
",TRUE,INDIRECT( $N$1):INDIRECT($N$3))</f>
        <v xml:space="preserve">		public virtual string PartNo { get; set; }
		public virtual string Color { get; set; }
		public virtual string ItemDescription { get; set; }
		public virtual string UnitMeasLookupCode { get; set; }
		public virtual string ClosedReason { get; set; }
		public virtual string IsActive { get; set; }
</v>
      </c>
      <c r="P26" s="8" t="str">
        <f ca="1">TEXTJOIN2("
",TRUE,INDIRECT( $O$1):INDIRECT($O$3))</f>
        <v xml:space="preserve">							PoHeaderId = o.PoHeaderId,
							ItemId = o.ItemId,
							PartNo = o.PartNo,
							Color = o.Color,
							ItemDescription = o.ItemDescription,
							CategoryId = o.CategoryId,
							UnitMeasLookupCode = o.UnitMeasLookupCode,
							ListPricePerUnit = o.ListPricePerUnit,
							UnitPrice = o.UnitPrice,
							ForeignPrice = o.ForeignPrice,
							Quantity = o.Quantity,
							QtyRcvToLerance = o.QtyRcvToLerance,
							MarketPrice = o.MarketPrice,
							ClosedDate = o.ClosedDate,
							ClosedReason = o.ClosedReason,
							IsActive = o.IsActive,</v>
      </c>
      <c r="T26" s="8" t="str">
        <f ca="1">TEXTJOIN2("
",TRUE,INDIRECT( $T$2):INDIRECT($T$3))</f>
        <v xml:space="preserve">								("PoHeaderId"),
								("ItemId"),
								("PartNo"),
								("Color"),
								("ItemDescription"),
								("CategoryId"),
								("UnitMeasLookupCode"),
								("ListPricePerUnit"),
								("UnitPrice"),
								("ForeignPrice"),
								("Quantity"),
								("QtyRcvToLerance"),
								("MarketPrice"),
								("ClosedDate"),
								("ClosedReason"),
								("IsActive"),</v>
      </c>
      <c r="V26" s="8" t="str">
        <f ca="1">TEXTJOIN2("
",TRUE,INDIRECT( $V$2):INDIRECT($V$3))</f>
        <v xml:space="preserve">								_ =&gt; _.PoHeaderId,
								_ =&gt; _.ItemId,
								_ =&gt; _.PartNo,
								_ =&gt; _.Color,
								_ =&gt; _.ItemDescription,
								_ =&gt; _.CategoryId,
								_ =&gt; _.UnitMeasLookupCode,
								_ =&gt; _.ListPricePerUnit,
								_ =&gt; _.UnitPrice,
								_ =&gt; _.ForeignPrice,
								_ =&gt; _.Quantity,
								_ =&gt; _.QtyRcvToLerance,
								_ =&gt; _.MarketPrice,
								_ =&gt; _.ClosedDate,
								_ =&gt; _.ClosedReason,
								_ =&gt; _.IsActive,</v>
      </c>
      <c r="W26" s="8" t="str">
        <f ca="1">TEXTJOIN2("
",TRUE,INDIRECT( $W$2):INDIRECT($W$3))</f>
        <v xml:space="preserve">				.WhereIf(!string.IsNullOrWhiteSpace(input.PartNo), e =&gt; e.PartNo.Contains(input.PartNo))
				.WhereIf(!string.IsNullOrWhiteSpace(input.Color), e =&gt; e.Color.Contains(input.Color))
				.WhereIf(!string.IsNullOrWhiteSpace(input.ItemDescription), e =&gt; e.ItemDescription.Contains(input.ItemDescription))
				.WhereIf(!string.IsNullOrWhiteSpace(input.UnitMeasLookupCode), e =&gt; e.UnitMeasLookupCode.Contains(input.UnitMeasLookupCode))
				.WhereIf(!string.IsNullOrWhiteSpace(input.ClosedReason), e =&gt; e.ClosedReason.Contains(input.ClosedReason))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2"/>
  <sheetViews>
    <sheetView topLeftCell="A10" workbookViewId="0">
      <selection activeCell="A15" sqref="A15:A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InvCpsPoLines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PoLines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polines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InvCpsPoLinesDto, InvCpsPoLinesServiceProxy } from '@shared/service-proxies/service-proxies';
import { finalize } from 'rxjs/internal/operators/finalize';
import { CreateOrEditPoLinesModalComponent } from './create-or-edit-polines-modal.component';
import { DatePipe } from '@angular/common';
import { FileDownloadService } from '@shared/utils/file-download.service';
import ceil from 'lodash-es/ceil';
import { Paginator } from 'primeng/paginator';
@Component({
    templateUrl: './polines.component.html',
    styleUrls: ['./polines.component.less'],
})
export class PoLinesComponent extends AppComponentBase implements OnInit {
    @ViewChild('createOrEditModalPoLines', { static: true }) createOrEditModalPoLines:| CreateOrEditPoLinesModalComponent|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InvCpsPoLinesDto = new InvCpsPoLinesDto();
    saveSelectedRow: InvCpsPoLinesDto = new InvCpsPoLinesDto();
    datas: InvCpsPoLinesDto = new InvCpsPoLinesDto();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color : string = '' ; 
	itemDescription : string = '' ; 
	unitMeasLookupCode : string = '' ; 
	closedReason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InvCpsPoLinesServiceProxy,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this.l('Po Header Id'),headerTooltip: this.l('Po Header Id'),field: 'poHeaderId',flex: 1},
			{headerName: this.l('Item Id'),headerTooltip: this.l('Item Id'),field: 'itemId',flex: 1},
			{headerName: this.l('Part No'),headerTooltip: this.l('Part No'),field: 'partNo',flex: 1},
			{headerName: this.l('Color'),headerTooltip: this.l('Color'),field: 'color',flex: 1},
			{headerName: this.l('Item Description'),headerTooltip: this.l('Item Description'),field: 'itemDescription',flex: 1},
			{headerName: this.l('Category Id'),headerTooltip: this.l('Category Id'),field: 'categoryId',flex: 1},
			{headerName: this.l('Unit Meas Lookup Code'),headerTooltip: this.l('Unit Meas Lookup Code'),field: 'unitMeasLookupCode',flex: 1},
			{headerName: this.l('List Price Per Unit'),headerTooltip: this.l('List Price Per Unit'),field: 'listPricePerUnit',flex: 1},
			{headerName: this.l('Unit Price'),headerTooltip: this.l('Unit Price'),field: 'unitPrice',flex: 1},
			{headerName: this.l('Foreign Price'),headerTooltip: this.l('Foreign Price'),field: 'foreignPrice',flex: 1},
			{headerName: this.l('Quantity'),headerTooltip: this.l('Quantity'),field: 'quantity',flex: 1},
			{headerName: this.l('Qty Rcv To Lerance'),headerTooltip: this.l('Qty Rcv To Lerance'),field: 'qtyRcvToLerance',flex: 1},
			{headerName: this.l('Market Price'),headerTooltip: this.l('Market Price'),field: 'marketPrice',flex: 1},
			{headerName: this.l('Closed Date'),headerTooltip: this.l('Closed Date'),field: 'closedDate',flex: 1},
			{headerName: this.l('Closed Reason'),headerTooltip: this.l('Closed Reason'),field: 'closedReason',flex: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this.itemId,
			this.partNo,
			this.color,
			this.categoryId,
			this.closedDate,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color : string = '' ; 
	itemDescription : string = '' ; 
	unitMeasLookupCode : string = '' ; 
	closedReason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this.itemId,
			this.partNo,
			this.color,
			this.categoryId,
			this.closedDate,
			'',
            this.paginationParams.skipCount,
            this.paginationParams.pageSize
        );
    }
    onChangeRowSelection(params: { api: { getSelectedRows: () =&gt; InvCpsPoLinesDto[] } }) {
        this.saveSelectedRow = params.api.getSelectedRows()[0] ?? new InvCpsPoLinesDto();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InvCpsPoLinesDto):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this._service.getPoLinesToExcel(
			this.itemId,
			this.partNo,
			this.color,
			this.categoryId,
			this.closedDate,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Po Lines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[(ngModel)]='itemDescription' name='itemDescription'
									class='form-control' [placeholder]="l('Item Description')"
									type='text' (keyup.enter)='searchDatas()'&gt;
								&lt;/div&gt;
								&lt;div class='input-search'&gt;
									&lt;input [(ngModel)]='unitMeasLookupCode' name='unitMeasLookupCode'
									class='form-control' [placeholder]="l('Unit Meas Lookup Code')"
									type='text' (keyup.enter)='searchDatas()'&gt;
								&lt;/div&gt;
								&lt;div class='input-search'&gt;
									&lt;input [(ngModel)]='closedReason' name='closedReason'
									class='form-control' [placeholder]="l('Closed Reason')"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(click)="createOrEditModalPoLines.show()"&gt;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(click)="createOrEditModalPoLines.show(selectedRow)"&gt;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&lt;create-or-edit-polines-modal
    #createOrEditModalPoLines
    (modalSave)="callBackDataGrid(dataParams)"
    (modalClose)="onChangeRowSelection(dataParams)"
&gt;
&lt;/create-or-edit-polines-modal&gt;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#createOrEditModalPoLines="bs-modal"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PoLines')}}&lt;/h3&gt;
                    &lt;h3 *ngIf="!rowdata.id"&gt;{{('Create New PoLines')}}&lt;/h3&gt;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title'&gt;Po Header Id&lt;/label&gt;
						&lt;input type='number' class='col-md-10 form-control input-text' name='PoHeaderId' [(ngModel)]='rowdata.poHeaderId'&gt;
					&lt;/div&gt;
					&lt;div class='col-md-12 form-group row'&gt;
						&lt;label class='col-md-2 form-control title'&gt;Item Id&lt;/label&gt;
						&lt;input type='number' class='col-md-10 form-control input-text' name='ItemId' [(ngModel)]='rowdata.itemId'&gt;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
					&lt;div class='col-md-12 form-group row'&gt;
						&lt;label class='col-md-2 form-control title'&gt;Category Id&lt;/label&gt;
						&lt;input type='number' class='col-md-10 form-control input-text' name='CategoryId' [(ngModel)]='rowdata.categoryId'&gt;
					&lt;/div&gt;
					&lt;div class='col-md-12 form-group row'&gt;
						&lt;label class='col-md-2 form-control title'&gt;Unit Meas Lookup Code&lt;/label&gt;
						&lt;input type='text' class='col-md-10 form-control input-text' name='UnitMeasLookupCode' [(ngModel)]='rowdata.unitMeasLookupCode'&gt;
					&lt;/div&gt;
					&lt;div class='col-md-12 form-group row'&gt;
						&lt;label class='col-md-2 form-control title'&gt;Closed Date&lt;/label&gt;
						&lt;input type='text' class='col-md-10 form-control input-text' name='closedDate' 
						#datepicker='bsDatepicker' [(ngModel)]='rowdata.closedDate'  bsDatepicker &gt;
					&lt;/div&gt;
					&lt;div class='col-md-12 form-group row'&gt;
						&lt;label class='col-md-2 form-control title'&gt;Closed Reason&lt;/label&gt;
						&lt;input type='text' class='col-md-10 form-control input-text' name='ClosedReason' [(ngModel)]='rowdata.closedReason'&gt;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CreateOrEditInvCpsPoLinesDto, InvCpsPoLinesServiceProxy } from '@shared/service-proxies/service-proxies';
import { BsDatepickerDirective } from 'ngx-bootstrap/datepicker';
@Component({
    selector: 'create-or-edit-polines-modal',
    templateUrl: './create-or-edit-polines-modal.component.html',
    styleUrls: ['./create-or-edit-polines-modal.component.less']
    })
export class CreateOrEditPoLinesModalComponent extends AppComponentBase {
    @ViewChild('createOrEditModalPoLines',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CreateOrEditInvCpsPoLinesDto = new CreateOrEditInvCpsPoLinesDto();
    active: boolean = false;
    saving: boolean = false;
    _isActive: boolean;
    constructor(
        injector: Injector,
        private _mstwptPoLinesService: InvCpsPoLinesServiceProxy,
    ) 
    {
        super(injector);
    }
    show(rowdata?: CreateOrEditInvCpsPoLinesDto): void {
        if (!rowdata) this.rowdata = new CreateOrEditInvCpsPoLinesDto();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this._mstwptPoLinesService.createOrEdit(this.rowdata)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PoLinesRoutingModule } from './polines-routing.module';
import { PoLinesComponent } from './polines.component';
import { CreateOrEditPoLinesModalComponent } from './create-or-edit-polines-modal.component';
@NgModule({
    declarations: [
       PoLinesComponent, 
        CreateOrEditPoLinesModalComponent
    ],
    imports: [
        AppSharedModule, PoLinesRoutingModule]
})
export class PoLinesModule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PoLinesComponent } from './polines.component';
const routes: Routes = [{
    path: '',
    component: PoLinesComponent,
    pathMatch: 'full'
}];
@NgModule({
    imports: [RouterModule.forChild(routes)],
    exports: [RouterModule],
})
export class PoLinesRoutingModule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AppMenuItem("PoLines", "Pages.Inventory.CPS.PoLines", "flaticon-book",   "/app/main/inventory/cps/polines"),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'inventory/cps/polines',
    loadChildren: () =&gt; import('./inventory/cps/polines/polines.module').then(m =&gt; m.PoLinesModule),
    data: { permission: 'Pages.Inventory.CPS.PoLines' }
},</v>
      </c>
      <c r="R10" s="47" t="str">
        <f>SUBSTITUTE(R9,"MstWptCalendar",$B$6)</f>
        <v>ApiServiceProxies.InvCpsPoLinesServiceProxy,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H30</v>
      </c>
      <c r="I12" s="28" t="str">
        <f>"I"&amp;COUNTA($A:$A)</f>
        <v>I30</v>
      </c>
      <c r="J12" s="28"/>
      <c r="K12" s="28" t="str">
        <f>"K"&amp;COUNTA($A:$A)</f>
        <v>K30</v>
      </c>
      <c r="L12" s="28" t="str">
        <f>"L"&amp;COUNTA($A:$A)</f>
        <v>L30</v>
      </c>
      <c r="M12" s="28"/>
      <c r="N12" s="28"/>
      <c r="O12" s="28"/>
      <c r="P12" s="28"/>
      <c r="Q12" s="28"/>
      <c r="R12" s="28"/>
      <c r="S12" s="28" t="str">
        <f>"S"&amp;COUNTA($A:$A)</f>
        <v>S30</v>
      </c>
      <c r="T12" s="28" t="str">
        <f>"T"&amp;COUNTA($A:$A)</f>
        <v>T30</v>
      </c>
      <c r="U12" s="28" t="str">
        <f>"U"&amp;COUNTA($A:$A)</f>
        <v>U30</v>
      </c>
      <c r="V12" s="28" t="str">
        <f>"V"&amp;COUNTA($A:$A)</f>
        <v>V30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this.l('Po Header Id'),headerTooltip: this.l('Po Header Id'),field: 'poHeaderId',flex: 1},
			{headerName: this.l('Item Id'),headerTooltip: this.l('Item Id'),field: 'itemId',flex: 1},
			{headerName: this.l('Part No'),headerTooltip: this.l('Part No'),field: 'partNo',flex: 1},
			{headerName: this.l('Color'),headerTooltip: this.l('Color'),field: 'color',flex: 1},
			{headerName: this.l('Item Description'),headerTooltip: this.l('Item Description'),field: 'itemDescription',flex: 1},
			{headerName: this.l('Category Id'),headerTooltip: this.l('Category Id'),field: 'categoryId',flex: 1},
			{headerName: this.l('Unit Meas Lookup Code'),headerTooltip: this.l('Unit Meas Lookup Code'),field: 'unitMeasLookupCode',flex: 1},
			{headerName: this.l('List Price Per Unit'),headerTooltip: this.l('List Price Per Unit'),field: 'listPricePerUnit',flex: 1},
			{headerName: this.l('Unit Price'),headerTooltip: this.l('Unit Price'),field: 'unitPrice',flex: 1},
			{headerName: this.l('Foreign Price'),headerTooltip: this.l('Foreign Price'),field: 'foreignPrice',flex: 1},
			{headerName: this.l('Quantity'),headerTooltip: this.l('Quantity'),field: 'quantity',flex: 1},
			{headerName: this.l('Qty Rcv To Lerance'),headerTooltip: this.l('Qty Rcv To Lerance'),field: 'qtyRcvToLerance',flex: 1},
			{headerName: this.l('Market Price'),headerTooltip: this.l('Market Price'),field: 'marketPrice',flex: 1},
			{headerName: this.l('Closed Date'),headerTooltip: this.l('Closed Date'),field: 'closedDate',flex: 1},
			{headerName: this.l('Closed Reason'),headerTooltip: this.l('Closed Reason'),field: 'closedReason',flex: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[(ngModel)]='itemDescription' name='itemDescription'
									class='form-control' [placeholder]="l('Item Description')"
									type='text' (keyup.enter)='searchDatas()'&gt;
								&lt;/div&gt;
								&lt;div class='input-search'&gt;
									&lt;input [(ngModel)]='unitMeasLookupCode' name='unitMeasLookupCode'
									class='form-control' [placeholder]="l('Unit Meas Lookup Code')"
									type='text' (keyup.enter)='searchDatas()'&gt;
								&lt;/div&gt;
								&lt;div class='input-search'&gt;
									&lt;input [(ngModel)]='closedReason' name='closedReason'
									class='form-control' [placeholder]="l('Closed Reason')"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title'&gt;Po Header Id&lt;/label&gt;
						&lt;input type='number' class='col-md-10 form-control input-text' name='PoHeaderId' [(ngModel)]='rowdata.poHeaderId'&gt;
					&lt;/div&gt;
					&lt;div class='col-md-12 form-group row'&gt;
						&lt;label class='col-md-2 form-control title'&gt;Item Id&lt;/label&gt;
						&lt;input type='number' class='col-md-10 form-control input-text' name='ItemId' [(ngModel)]='rowdata.itemId'&gt;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
					&lt;div class='col-md-12 form-group row'&gt;
						&lt;label class='col-md-2 form-control title'&gt;Category Id&lt;/label&gt;
						&lt;input type='number' class='col-md-10 form-control input-text' name='CategoryId' [(ngModel)]='rowdata.categoryId'&gt;
					&lt;/div&gt;
					&lt;div class='col-md-12 form-group row'&gt;
						&lt;label class='col-md-2 form-control title'&gt;Unit Meas Lookup Code&lt;/label&gt;
						&lt;input type='text' class='col-md-10 form-control input-text' name='UnitMeasLookupCode' [(ngModel)]='rowdata.unitMeasLookupCode'&gt;
					&lt;/div&gt;
					&lt;div class='col-md-12 form-group row'&gt;
						&lt;label class='col-md-2 form-control title'&gt;Closed Date&lt;/label&gt;
						&lt;input type='text' class='col-md-10 form-control input-text' name='closedDate' 
						#datepicker='bsDatepicker' [(ngModel)]='rowdata.closedDate'  bsDatepicker &gt;
					&lt;/div&gt;
					&lt;div class='col-md-12 form-group row'&gt;
						&lt;label class='col-md-2 form-control title'&gt;Closed Reason&lt;/label&gt;
						&lt;input type='text' class='col-md-10 form-control input-text' name='ClosedReason' [(ngModel)]='rowdata.closedReason'&gt;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color : string = '' ; 
	itemDescription : string = '' ; 
	unitMeasLookupCode : string = '' ; 
	closedReason : string = '' ; 
</v>
      </c>
      <c r="T13" s="62" t="str">
        <f ca="1">TEXTJOIN2("
",TRUE,INDIRECT(T11):INDIRECT(T12))</f>
        <v xml:space="preserve">			this.itemId,
			this.partNo,
			this.color,
			this.categoryId,
			this.closedDate,
</v>
      </c>
      <c r="U13" s="62" t="str">
        <f ca="1">TEXTJOIN2("
",TRUE,INDIRECT(U11):INDIRECT(U12))</f>
        <v xml:space="preserve">	partNo : string = '' ; 
	color : string = '' ; 
	itemDescription : string = '' ; 
	unitMeasLookupCode : string = '' ; 
	closedReason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polines.component.ts</v>
      </c>
      <c r="I14" s="37" t="str">
        <f>B8&amp;".component.html"</f>
        <v>polines.component.html</v>
      </c>
      <c r="J14" s="36" t="str">
        <f>B8&amp;".component.less"</f>
        <v>polines.component.less</v>
      </c>
      <c r="K14" s="37" t="str">
        <f>"create-or-edit-"&amp;B8&amp;"-modal.component.html"</f>
        <v>create-or-edit-polines-modal.component.html</v>
      </c>
      <c r="L14" s="37" t="str">
        <f>"create-or-edit-"&amp;B8&amp;"-modal.component.ts"</f>
        <v>create-or-edit-polines-modal.component.ts</v>
      </c>
      <c r="M14" s="37" t="str">
        <f>"create-or-edit-"&amp;B8&amp;"-modal.component.less"</f>
        <v>create-or-edit-polines-modal.component.less</v>
      </c>
      <c r="N14" s="37" t="str">
        <f>B8&amp;".module.ts"</f>
        <v>polines.module.ts</v>
      </c>
      <c r="O14" s="37" t="str">
        <f>B8&amp;"-routing.module.ts"</f>
        <v>polines-routing.module.ts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371</v>
      </c>
      <c r="B15" s="28" t="str">
        <f t="shared" ref="B15" si="0">SUBSTITUTE(PROPER(A15),"_","")</f>
        <v>PoHeaderId</v>
      </c>
      <c r="C15" s="28" t="str">
        <f t="shared" ref="C15" si="1">SUBSTITUTE(PROPER(A15),"_"," ")</f>
        <v>Po Header Id</v>
      </c>
      <c r="D15" s="28" t="str">
        <f t="shared" ref="D15:D30" si="2">LOWER(LEFT(B15,1))&amp;RIGHT(B15,LEN(B15) - 1)</f>
        <v>poHeaderId</v>
      </c>
      <c r="E15" s="28" t="str">
        <f>A.Backend!H9</f>
        <v>long?</v>
      </c>
      <c r="F15" s="28" t="str">
        <f>A.Backend!G9</f>
        <v/>
      </c>
      <c r="G15" s="28" t="str">
        <f t="shared" ref="G15:G30" si="3">IF(E15="string"," : string = '' ; ",IF(OR(E15="DateTime",E15="TimeSpan")," : any ;",IF(E15="int"," : number = 0 ;","")))</f>
        <v/>
      </c>
      <c r="H15" s="35" t="str">
        <f t="shared" ref="H15:H30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this.l('Po Header Id'),headerTooltip: this.l('Po Header Id'),field: 'poHeaderId',flex: 1},</v>
      </c>
      <c r="I15" s="35" t="str">
        <f t="shared" ref="I15:I3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title'&gt;Po Header Id&lt;/label&gt;
						&lt;input type='number' class='col-md-10 form-control input-text' name='PoHeaderId' [(ngModel)]='rowdata.poHeaderId'&gt;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372</v>
      </c>
      <c r="B16" s="28" t="str">
        <f t="shared" ref="B16:B30" si="8">SUBSTITUTE(PROPER(A16),"_","")</f>
        <v>ItemId</v>
      </c>
      <c r="C16" s="28" t="str">
        <f t="shared" ref="C16:C30" si="9">SUBSTITUTE(PROPER(A16),"_"," ")</f>
        <v>Item Id</v>
      </c>
      <c r="D16" s="28" t="str">
        <f t="shared" si="2"/>
        <v>itemId</v>
      </c>
      <c r="E16" s="28" t="str">
        <f>A.Backend!H10</f>
        <v>long?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this.l('Item Id'),headerTooltip: this.l('Item Id'),field: 'itemId',flex: 1},</v>
      </c>
      <c r="I16" s="35" t="str">
        <f t="shared" si="5"/>
        <v/>
      </c>
      <c r="J16" s="28"/>
      <c r="K16" s="35" t="str">
        <f t="shared" ref="K16:K30" si="10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title'&gt;Item Id&lt;/label&gt;
						&lt;input type='number' class='col-md-10 form-control input-text' name='ItemId' [(ngModel)]='rowdata.itemId'&gt;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0" si="12">IF(AND(E16="string",F16 &lt;&gt;"1"),(REPT(CHAR(9),1)&amp;D16&amp;G16),"")</f>
        <v/>
      </c>
      <c r="T16" s="28" t="str">
        <f t="shared" ref="T16:T30" si="13">IF(AND(E16="string",F16 &lt;&gt;"1"),(REPT(CHAR(9),3)&amp;"this."&amp;D15&amp;","),"")</f>
        <v/>
      </c>
      <c r="U16" s="28" t="str">
        <f t="shared" ref="U16:U30" si="14">IF(AND(E16="string",F16 &lt;&gt;"1"),(REPT(CHAR(9),1)&amp;D16&amp;G16),"")</f>
        <v/>
      </c>
      <c r="V16" s="28" t="str">
        <f t="shared" ref="V16:V30" si="15">IF(AND(E16="string",F16="1"),D16,"")</f>
        <v/>
      </c>
    </row>
    <row r="17" spans="1:22" ht="18" customHeight="1" x14ac:dyDescent="0.25">
      <c r="A17" s="28" t="s">
        <v>373</v>
      </c>
      <c r="B17" s="28" t="str">
        <f t="shared" ref="B17:B19" si="16">SUBSTITUTE(PROPER(A17),"_","")</f>
        <v>PartNo</v>
      </c>
      <c r="C17" s="28" t="str">
        <f t="shared" ref="C17:C19" si="17">SUBSTITUTE(PROPER(A17),"_"," ")</f>
        <v>Part No</v>
      </c>
      <c r="D17" s="28" t="str">
        <f t="shared" si="2"/>
        <v>partNo</v>
      </c>
      <c r="E17" s="28" t="str">
        <f>A.Backend!H11</f>
        <v>string</v>
      </c>
      <c r="F17" s="28" t="str">
        <f>A.Backend!G11</f>
        <v>40</v>
      </c>
      <c r="G17" s="28" t="str">
        <f t="shared" si="3"/>
        <v xml:space="preserve"> : string = '' ; </v>
      </c>
      <c r="H17" s="35" t="str">
        <f t="shared" si="4"/>
        <v xml:space="preserve">			{headerName: this.l('Part No'),headerTooltip: this.l('Part No'),field: 'partNo',flex: 1},</v>
      </c>
      <c r="I17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7" s="28"/>
      <c r="K17" s="35" t="str">
        <f t="shared" si="10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partNo : string = '' ; </v>
      </c>
      <c r="T17" s="28" t="str">
        <f t="shared" si="13"/>
        <v xml:space="preserve">			this.itemId,</v>
      </c>
      <c r="U17" s="28" t="str">
        <f t="shared" si="14"/>
        <v xml:space="preserve">	partNo : string = '' ; </v>
      </c>
      <c r="V17" s="28" t="str">
        <f t="shared" ref="V17:V19" si="18">IF(AND(E17="string",F17="1"),D17,"")</f>
        <v/>
      </c>
    </row>
    <row r="18" spans="1:22" ht="15" customHeight="1" x14ac:dyDescent="0.25">
      <c r="A18" s="28" t="s">
        <v>361</v>
      </c>
      <c r="B18" s="28" t="str">
        <f t="shared" si="16"/>
        <v>Color</v>
      </c>
      <c r="C18" s="28" t="str">
        <f t="shared" si="17"/>
        <v>Color</v>
      </c>
      <c r="D18" s="28" t="str">
        <f t="shared" si="2"/>
        <v>color</v>
      </c>
      <c r="E18" s="28" t="str">
        <f>A.Backend!H12</f>
        <v>string</v>
      </c>
      <c r="F18" s="28" t="str">
        <f>A.Backend!G12</f>
        <v>40</v>
      </c>
      <c r="G18" s="28" t="str">
        <f t="shared" si="3"/>
        <v xml:space="preserve"> : string = '' ; </v>
      </c>
      <c r="H18" s="35" t="str">
        <f t="shared" si="4"/>
        <v xml:space="preserve">			{headerName: this.l('Color'),headerTooltip: this.l('Color'),field: 'color',flex: 1},</v>
      </c>
      <c r="I18" s="35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8" s="28"/>
      <c r="K18" s="35" t="str">
        <f t="shared" si="10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8" s="56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2"/>
        <v xml:space="preserve">	color : string = '' ; </v>
      </c>
      <c r="T18" s="28" t="str">
        <f t="shared" si="13"/>
        <v xml:space="preserve">			this.partNo,</v>
      </c>
      <c r="U18" s="28" t="str">
        <f t="shared" si="14"/>
        <v xml:space="preserve">	color : string = '' ; </v>
      </c>
      <c r="V18" s="28" t="str">
        <f t="shared" si="18"/>
        <v/>
      </c>
    </row>
    <row r="19" spans="1:22" ht="18" customHeight="1" x14ac:dyDescent="0.25">
      <c r="A19" s="28" t="s">
        <v>374</v>
      </c>
      <c r="B19" s="28" t="str">
        <f t="shared" si="16"/>
        <v>ItemDescription</v>
      </c>
      <c r="C19" s="28" t="str">
        <f t="shared" si="17"/>
        <v>Item Description</v>
      </c>
      <c r="D19" s="28" t="str">
        <f t="shared" si="2"/>
        <v>itemDescription</v>
      </c>
      <c r="E19" s="28" t="str">
        <f>A.Backend!H13</f>
        <v>string</v>
      </c>
      <c r="F19" s="28" t="str">
        <f>A.Backend!G13</f>
        <v>500</v>
      </c>
      <c r="G19" s="28" t="str">
        <f t="shared" si="3"/>
        <v xml:space="preserve"> : string = '' ; </v>
      </c>
      <c r="H19" s="35" t="str">
        <f t="shared" si="4"/>
        <v xml:space="preserve">			{headerName: this.l('Item Description'),headerTooltip: this.l('Item Description'),field: 'itemDescription',flex: 1},</v>
      </c>
      <c r="I19" s="35" t="str">
        <f t="shared" si="5"/>
        <v xml:space="preserve">								&lt;div class='input-search'&gt;
									&lt;input [(ngModel)]='itemDescription' name='itemDescription'
									class='form-control' [placeholder]="l('Item Description')"
									type='text' (keyup.enter)='searchDatas()'&gt;
								&lt;/div&gt;</v>
      </c>
      <c r="J19" s="28"/>
      <c r="K19" s="35" t="str">
        <f t="shared" si="10"/>
        <v xml:space="preserve">					&lt;div class='col-md-12 form-group row'&gt;
						&lt;label class='col-md-2 form-control title'&gt;Item Description&lt;/label&gt;
						&lt;input type='text' class='col-md-10 form-control input-text' name='ItemDescription' [(ngModel)]='rowdata.itemDescription'&gt;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2"/>
        <v xml:space="preserve">	itemDescription : string = '' ; </v>
      </c>
      <c r="T19" s="28" t="str">
        <f t="shared" si="13"/>
        <v xml:space="preserve">			this.color,</v>
      </c>
      <c r="U19" s="28" t="str">
        <f t="shared" si="14"/>
        <v xml:space="preserve">	itemDescription : string = '' ; </v>
      </c>
      <c r="V19" s="28" t="str">
        <f t="shared" si="18"/>
        <v/>
      </c>
    </row>
    <row r="20" spans="1:22" ht="18" customHeight="1" x14ac:dyDescent="0.25">
      <c r="A20" s="28" t="s">
        <v>375</v>
      </c>
      <c r="B20" s="28" t="str">
        <f t="shared" si="8"/>
        <v>CategoryId</v>
      </c>
      <c r="C20" s="28" t="str">
        <f t="shared" si="9"/>
        <v>Category Id</v>
      </c>
      <c r="D20" s="28" t="str">
        <f t="shared" si="2"/>
        <v>categoryId</v>
      </c>
      <c r="E20" s="28" t="str">
        <f>A.Backend!H14</f>
        <v>long?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this.l('Category Id'),headerTooltip: this.l('Category Id'),field: 'categoryId',flex: 1},</v>
      </c>
      <c r="I20" s="35" t="str">
        <f t="shared" si="5"/>
        <v/>
      </c>
      <c r="J20" s="28"/>
      <c r="K20" s="35" t="str">
        <f t="shared" si="10"/>
        <v xml:space="preserve">					&lt;div class='col-md-12 form-group row'&gt;
						&lt;label class='col-md-2 form-control title'&gt;Category Id&lt;/label&gt;
						&lt;input type='number' class='col-md-10 form-control input-text' name='CategoryId' [(ngModel)]='rowdata.categoryId'&gt;
					&lt;/div&gt;</v>
      </c>
      <c r="L20" s="56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2"/>
        <v/>
      </c>
      <c r="T20" s="28" t="str">
        <f t="shared" si="13"/>
        <v/>
      </c>
      <c r="U20" s="28" t="str">
        <f t="shared" si="14"/>
        <v/>
      </c>
      <c r="V20" s="28" t="str">
        <f t="shared" si="15"/>
        <v/>
      </c>
    </row>
    <row r="21" spans="1:22" ht="15" customHeight="1" x14ac:dyDescent="0.25">
      <c r="A21" s="28" t="s">
        <v>376</v>
      </c>
      <c r="B21" s="28" t="str">
        <f t="shared" si="8"/>
        <v>UnitMeasLookupCode</v>
      </c>
      <c r="C21" s="28" t="str">
        <f t="shared" si="9"/>
        <v>Unit Meas Lookup Code</v>
      </c>
      <c r="D21" s="28" t="str">
        <f t="shared" si="2"/>
        <v>unitMeasLookupCode</v>
      </c>
      <c r="E21" s="28" t="str">
        <f>A.Backend!H15</f>
        <v>string</v>
      </c>
      <c r="F21" s="28" t="str">
        <f>A.Backend!G15</f>
        <v>50</v>
      </c>
      <c r="G21" s="28" t="str">
        <f t="shared" si="3"/>
        <v xml:space="preserve"> : string = '' ; </v>
      </c>
      <c r="H21" s="35" t="str">
        <f t="shared" si="4"/>
        <v xml:space="preserve">			{headerName: this.l('Unit Meas Lookup Code'),headerTooltip: this.l('Unit Meas Lookup Code'),field: 'unitMeasLookupCode',flex: 1},</v>
      </c>
      <c r="I21" s="35" t="str">
        <f t="shared" si="5"/>
        <v xml:space="preserve">								&lt;div class='input-search'&gt;
									&lt;input [(ngModel)]='unitMeasLookupCode' name='unitMeasLookupCode'
									class='form-control' [placeholder]="l('Unit Meas Lookup Code')"
									type='text' (keyup.enter)='searchDatas()'&gt;
								&lt;/div&gt;</v>
      </c>
      <c r="J21" s="28"/>
      <c r="K21" s="35" t="str">
        <f t="shared" si="10"/>
        <v xml:space="preserve">					&lt;div class='col-md-12 form-group row'&gt;
						&lt;label class='col-md-2 form-control title'&gt;Unit Meas Lookup Code&lt;/label&gt;
						&lt;input type='text' class='col-md-10 form-control input-text' name='UnitMeasLookupCode' [(ngModel)]='rowdata.unitMeasLookupCode'&gt;
					&lt;/div&gt;</v>
      </c>
      <c r="L21" s="56" t="str">
        <f t="shared" ref="L21:L30" si="20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12"/>
        <v xml:space="preserve">	unitMeasLookupCode : string = '' ; </v>
      </c>
      <c r="T21" s="28" t="str">
        <f t="shared" si="13"/>
        <v xml:space="preserve">			this.categoryId,</v>
      </c>
      <c r="U21" s="28" t="str">
        <f t="shared" si="14"/>
        <v xml:space="preserve">	unitMeasLookupCode : string = '' ; </v>
      </c>
      <c r="V21" s="28" t="str">
        <f t="shared" si="15"/>
        <v/>
      </c>
    </row>
    <row r="22" spans="1:22" ht="18" customHeight="1" x14ac:dyDescent="0.25">
      <c r="A22" s="28" t="s">
        <v>377</v>
      </c>
      <c r="B22" s="28" t="str">
        <f t="shared" si="8"/>
        <v>ListPricePerUnit</v>
      </c>
      <c r="C22" s="28" t="str">
        <f t="shared" si="9"/>
        <v>List Price Per Unit</v>
      </c>
      <c r="D22" s="28" t="str">
        <f t="shared" si="2"/>
        <v>listPricePerUnit</v>
      </c>
      <c r="E22" s="28" t="str">
        <f>A.Backend!H16</f>
        <v>decimal?</v>
      </c>
      <c r="F22" s="28" t="str">
        <f>A.Backend!G16</f>
        <v>38,5</v>
      </c>
      <c r="G22" s="28" t="str">
        <f t="shared" si="3"/>
        <v/>
      </c>
      <c r="H22" s="35" t="str">
        <f t="shared" si="4"/>
        <v xml:space="preserve">			{headerName: this.l('List Price Per Unit'),headerTooltip: this.l('List Price Per Unit'),field: 'listPricePerUnit',flex: 1},</v>
      </c>
      <c r="I22" s="35" t="str">
        <f t="shared" si="5"/>
        <v/>
      </c>
      <c r="J22" s="28"/>
      <c r="K22" s="35" t="str">
        <f t="shared" si="10"/>
        <v/>
      </c>
      <c r="L22" s="56" t="str">
        <f t="shared" si="20"/>
        <v/>
      </c>
      <c r="M22" s="28"/>
      <c r="N22" s="28"/>
      <c r="O22" s="28"/>
      <c r="P22" s="28"/>
      <c r="Q22" s="28"/>
      <c r="R22" s="28"/>
      <c r="S22" s="28" t="str">
        <f t="shared" si="12"/>
        <v/>
      </c>
      <c r="T22" s="28" t="str">
        <f t="shared" si="13"/>
        <v/>
      </c>
      <c r="U22" s="28" t="str">
        <f t="shared" si="14"/>
        <v/>
      </c>
      <c r="V22" s="28" t="str">
        <f t="shared" si="15"/>
        <v/>
      </c>
    </row>
    <row r="23" spans="1:22" ht="15" customHeight="1" x14ac:dyDescent="0.25">
      <c r="A23" s="28" t="s">
        <v>378</v>
      </c>
      <c r="B23" s="28" t="str">
        <f t="shared" si="8"/>
        <v>UnitPrice</v>
      </c>
      <c r="C23" s="28" t="str">
        <f t="shared" si="9"/>
        <v>Unit Price</v>
      </c>
      <c r="D23" s="28" t="str">
        <f t="shared" si="2"/>
        <v>unitPrice</v>
      </c>
      <c r="E23" s="28" t="str">
        <f>A.Backend!H17</f>
        <v>decimal?</v>
      </c>
      <c r="F23" s="28" t="str">
        <f>A.Backend!G17</f>
        <v>38,5</v>
      </c>
      <c r="G23" s="28" t="str">
        <f t="shared" si="3"/>
        <v/>
      </c>
      <c r="H23" s="35" t="str">
        <f t="shared" si="4"/>
        <v xml:space="preserve">			{headerName: this.l('Unit Price'),headerTooltip: this.l('Unit Price'),field: 'unitPrice',flex: 1},</v>
      </c>
      <c r="I23" s="35" t="str">
        <f t="shared" si="5"/>
        <v/>
      </c>
      <c r="J23" s="28"/>
      <c r="K23" s="35" t="str">
        <f t="shared" si="10"/>
        <v/>
      </c>
      <c r="L23" s="56" t="str">
        <f t="shared" si="20"/>
        <v/>
      </c>
      <c r="M23" s="28"/>
      <c r="N23" s="28"/>
      <c r="O23" s="28"/>
      <c r="P23" s="28"/>
      <c r="Q23" s="28"/>
      <c r="R23" s="28"/>
      <c r="S23" s="28" t="str">
        <f t="shared" si="12"/>
        <v/>
      </c>
      <c r="T23" s="28" t="str">
        <f t="shared" si="13"/>
        <v/>
      </c>
      <c r="U23" s="28" t="str">
        <f t="shared" si="14"/>
        <v/>
      </c>
      <c r="V23" s="28" t="str">
        <f t="shared" si="15"/>
        <v/>
      </c>
    </row>
    <row r="24" spans="1:22" ht="18" customHeight="1" x14ac:dyDescent="0.25">
      <c r="A24" s="28" t="s">
        <v>379</v>
      </c>
      <c r="B24" s="28" t="str">
        <f t="shared" si="8"/>
        <v>ForeignPrice</v>
      </c>
      <c r="C24" s="28" t="str">
        <f t="shared" si="9"/>
        <v>Foreign Price</v>
      </c>
      <c r="D24" s="28" t="str">
        <f t="shared" si="2"/>
        <v>foreignPrice</v>
      </c>
      <c r="E24" s="28" t="str">
        <f>A.Backend!H18</f>
        <v>decimal?</v>
      </c>
      <c r="F24" s="28" t="str">
        <f>A.Backend!G18</f>
        <v>38,5</v>
      </c>
      <c r="G24" s="28" t="str">
        <f t="shared" si="3"/>
        <v/>
      </c>
      <c r="H24" s="35" t="str">
        <f t="shared" si="4"/>
        <v xml:space="preserve">			{headerName: this.l('Foreign Price'),headerTooltip: this.l('Foreign Price'),field: 'foreignPrice',flex: 1},</v>
      </c>
      <c r="I24" s="35" t="str">
        <f t="shared" si="5"/>
        <v/>
      </c>
      <c r="J24" s="28"/>
      <c r="K24" s="35" t="str">
        <f t="shared" si="10"/>
        <v/>
      </c>
      <c r="L24" s="56" t="str">
        <f t="shared" si="20"/>
        <v/>
      </c>
      <c r="M24" s="28"/>
      <c r="N24" s="28"/>
      <c r="O24" s="28"/>
      <c r="P24" s="28"/>
      <c r="Q24" s="28"/>
      <c r="R24" s="28"/>
      <c r="S24" s="28" t="str">
        <f t="shared" si="12"/>
        <v/>
      </c>
      <c r="T24" s="28" t="str">
        <f t="shared" si="13"/>
        <v/>
      </c>
      <c r="U24" s="28" t="str">
        <f t="shared" si="14"/>
        <v/>
      </c>
      <c r="V24" s="28" t="str">
        <f t="shared" si="15"/>
        <v/>
      </c>
    </row>
    <row r="25" spans="1:22" ht="15" customHeight="1" x14ac:dyDescent="0.25">
      <c r="A25" s="28" t="s">
        <v>359</v>
      </c>
      <c r="B25" s="28" t="str">
        <f t="shared" si="8"/>
        <v>Quantity</v>
      </c>
      <c r="C25" s="28" t="str">
        <f t="shared" si="9"/>
        <v>Quantity</v>
      </c>
      <c r="D25" s="28" t="str">
        <f t="shared" si="2"/>
        <v>quantity</v>
      </c>
      <c r="E25" s="28" t="str">
        <f>A.Backend!H19</f>
        <v>decimal?</v>
      </c>
      <c r="F25" s="28" t="str">
        <f>A.Backend!G19</f>
        <v>18,5</v>
      </c>
      <c r="G25" s="28" t="str">
        <f t="shared" si="3"/>
        <v/>
      </c>
      <c r="H25" s="35" t="str">
        <f t="shared" si="4"/>
        <v xml:space="preserve">			{headerName: this.l('Quantity'),headerTooltip: this.l('Quantity'),field: 'quantity',flex: 1},</v>
      </c>
      <c r="I25" s="35" t="str">
        <f t="shared" si="5"/>
        <v/>
      </c>
      <c r="J25" s="28"/>
      <c r="K25" s="35" t="str">
        <f t="shared" si="10"/>
        <v/>
      </c>
      <c r="L25" s="56" t="str">
        <f t="shared" si="20"/>
        <v/>
      </c>
      <c r="M25" s="28"/>
      <c r="N25" s="28"/>
      <c r="O25" s="28"/>
      <c r="P25" s="28"/>
      <c r="Q25" s="28"/>
      <c r="R25" s="28"/>
      <c r="S25" s="28" t="str">
        <f t="shared" si="12"/>
        <v/>
      </c>
      <c r="T25" s="28" t="str">
        <f t="shared" si="13"/>
        <v/>
      </c>
      <c r="U25" s="28" t="str">
        <f t="shared" si="14"/>
        <v/>
      </c>
      <c r="V25" s="28" t="str">
        <f t="shared" si="15"/>
        <v/>
      </c>
    </row>
    <row r="26" spans="1:22" ht="18" customHeight="1" x14ac:dyDescent="0.25">
      <c r="A26" s="28" t="s">
        <v>380</v>
      </c>
      <c r="B26" s="28" t="str">
        <f t="shared" ref="B26" si="21">SUBSTITUTE(PROPER(A26),"_","")</f>
        <v>QtyRcvToLerance</v>
      </c>
      <c r="C26" s="28" t="str">
        <f t="shared" ref="C26" si="22">SUBSTITUTE(PROPER(A26),"_"," ")</f>
        <v>Qty Rcv To Lerance</v>
      </c>
      <c r="D26" s="28" t="str">
        <f t="shared" si="2"/>
        <v>qtyRcvToLerance</v>
      </c>
      <c r="E26" s="28" t="str">
        <f>A.Backend!H20</f>
        <v>decimal?</v>
      </c>
      <c r="F26" s="28" t="str">
        <f>A.Backend!G20</f>
        <v>18,5</v>
      </c>
      <c r="G26" s="28" t="str">
        <f t="shared" si="3"/>
        <v/>
      </c>
      <c r="H26" s="35" t="str">
        <f t="shared" si="4"/>
        <v xml:space="preserve">			{headerName: this.l('Qty Rcv To Lerance'),headerTooltip: this.l('Qty Rcv To Lerance'),field: 'qtyRcvToLerance',flex: 1},</v>
      </c>
      <c r="I26" s="35" t="str">
        <f t="shared" si="5"/>
        <v/>
      </c>
      <c r="J26" s="28"/>
      <c r="K26" s="35" t="str">
        <f t="shared" si="10"/>
        <v/>
      </c>
      <c r="L26" s="56" t="str">
        <f t="shared" ref="L26" si="23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2"/>
        <v/>
      </c>
      <c r="T26" s="28" t="str">
        <f t="shared" si="13"/>
        <v/>
      </c>
      <c r="U26" s="28" t="str">
        <f t="shared" si="14"/>
        <v/>
      </c>
      <c r="V26" s="28" t="str">
        <f t="shared" ref="V26" si="24">IF(AND(E26="string",F26="1"),D26,"")</f>
        <v/>
      </c>
    </row>
    <row r="27" spans="1:22" ht="18" customHeight="1" x14ac:dyDescent="0.25">
      <c r="A27" s="28" t="s">
        <v>381</v>
      </c>
      <c r="B27" s="28" t="str">
        <f t="shared" ref="B27" si="25">SUBSTITUTE(PROPER(A27),"_","")</f>
        <v>MarketPrice</v>
      </c>
      <c r="C27" s="28" t="str">
        <f t="shared" ref="C27" si="26">SUBSTITUTE(PROPER(A27),"_"," ")</f>
        <v>Market Price</v>
      </c>
      <c r="D27" s="28" t="str">
        <f t="shared" si="2"/>
        <v>marketPrice</v>
      </c>
      <c r="E27" s="28" t="str">
        <f>A.Backend!H21</f>
        <v>decimal?</v>
      </c>
      <c r="F27" s="28" t="str">
        <f>A.Backend!G21</f>
        <v>38,5</v>
      </c>
      <c r="G27" s="28" t="str">
        <f t="shared" si="3"/>
        <v/>
      </c>
      <c r="H27" s="35" t="str">
        <f t="shared" si="4"/>
        <v xml:space="preserve">			{headerName: this.l('Market Price'),headerTooltip: this.l('Market Price'),field: 'marketPrice',flex: 1},</v>
      </c>
      <c r="I27" s="35" t="str">
        <f t="shared" si="5"/>
        <v/>
      </c>
      <c r="J27" s="28"/>
      <c r="K27" s="35" t="str">
        <f t="shared" si="10"/>
        <v/>
      </c>
      <c r="L27" s="56" t="str">
        <f t="shared" ref="L27" si="27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2"/>
        <v/>
      </c>
      <c r="T27" s="28" t="str">
        <f t="shared" si="13"/>
        <v/>
      </c>
      <c r="U27" s="28" t="str">
        <f t="shared" si="14"/>
        <v/>
      </c>
      <c r="V27" s="28" t="str">
        <f t="shared" ref="V27" si="28">IF(AND(E27="string",F27="1"),D27,"")</f>
        <v/>
      </c>
    </row>
    <row r="28" spans="1:22" ht="15" customHeight="1" x14ac:dyDescent="0.25">
      <c r="A28" s="28" t="s">
        <v>382</v>
      </c>
      <c r="B28" s="28" t="str">
        <f t="shared" ref="B28:B29" si="29">SUBSTITUTE(PROPER(A28),"_","")</f>
        <v>ClosedDate</v>
      </c>
      <c r="C28" s="28" t="str">
        <f t="shared" ref="C28:C29" si="30">SUBSTITUTE(PROPER(A28),"_"," ")</f>
        <v>Closed Date</v>
      </c>
      <c r="D28" s="28" t="str">
        <f t="shared" si="2"/>
        <v>closedDate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this.l('Closed Date'),headerTooltip: this.l('Closed Date'),field: 'closedDate',flex: 1},</v>
      </c>
      <c r="I28" s="35" t="str">
        <f t="shared" si="5"/>
        <v/>
      </c>
      <c r="J28" s="28"/>
      <c r="K28" s="35" t="str">
        <f t="shared" si="10"/>
        <v xml:space="preserve">					&lt;div class='col-md-12 form-group row'&gt;
						&lt;label class='col-md-2 form-control title'&gt;Closed Date&lt;/label&gt;
						&lt;input type='text' class='col-md-10 form-control input-text' name='closedDate' 
						#datepicker='bsDatepicker' [(ngModel)]='rowdata.closedDate'  bsDatepicker &gt;
					&lt;/div&gt;</v>
      </c>
      <c r="L28" s="56" t="str">
        <f t="shared" ref="L28:L29" si="31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2"/>
        <v/>
      </c>
      <c r="T28" s="28" t="str">
        <f t="shared" si="13"/>
        <v/>
      </c>
      <c r="U28" s="28" t="str">
        <f t="shared" si="14"/>
        <v/>
      </c>
      <c r="V28" s="28" t="str">
        <f t="shared" ref="V28:V29" si="32">IF(AND(E28="string",F28="1"),D28,"")</f>
        <v/>
      </c>
    </row>
    <row r="29" spans="1:22" ht="18" customHeight="1" x14ac:dyDescent="0.25">
      <c r="A29" s="28" t="s">
        <v>383</v>
      </c>
      <c r="B29" s="28" t="str">
        <f t="shared" si="29"/>
        <v>ClosedReason</v>
      </c>
      <c r="C29" s="28" t="str">
        <f t="shared" si="30"/>
        <v>Closed Reason</v>
      </c>
      <c r="D29" s="28" t="str">
        <f t="shared" si="2"/>
        <v>closedReason</v>
      </c>
      <c r="E29" s="28" t="str">
        <f>A.Backend!H23</f>
        <v>string</v>
      </c>
      <c r="F29" s="28" t="str">
        <f>A.Backend!G23</f>
        <v>240</v>
      </c>
      <c r="G29" s="28" t="str">
        <f t="shared" si="3"/>
        <v xml:space="preserve"> : string = '' ; </v>
      </c>
      <c r="H29" s="35" t="str">
        <f t="shared" si="4"/>
        <v xml:space="preserve">			{headerName: this.l('Closed Reason'),headerTooltip: this.l('Closed Reason'),field: 'closedReason',flex: 1},</v>
      </c>
      <c r="I29" s="35" t="str">
        <f t="shared" si="5"/>
        <v xml:space="preserve">								&lt;div class='input-search'&gt;
									&lt;input [(ngModel)]='closedReason' name='closedReason'
									class='form-control' [placeholder]="l('Closed Reason')"
									type='text' (keyup.enter)='searchDatas()'&gt;
								&lt;/div&gt;</v>
      </c>
      <c r="J29" s="28"/>
      <c r="K29" s="35" t="str">
        <f t="shared" si="10"/>
        <v xml:space="preserve">					&lt;div class='col-md-12 form-group row'&gt;
						&lt;label class='col-md-2 form-control title'&gt;Closed Reason&lt;/label&gt;
						&lt;input type='text' class='col-md-10 form-control input-text' name='ClosedReason' [(ngModel)]='rowdata.closedReason'&gt;
					&lt;/div&gt;</v>
      </c>
      <c r="L29" s="56" t="str">
        <f t="shared" si="31"/>
        <v/>
      </c>
      <c r="M29" s="28"/>
      <c r="N29" s="28"/>
      <c r="O29" s="28"/>
      <c r="P29" s="28"/>
      <c r="Q29" s="28"/>
      <c r="R29" s="28"/>
      <c r="S29" s="28" t="str">
        <f t="shared" si="12"/>
        <v xml:space="preserve">	closedReason : string = '' ; </v>
      </c>
      <c r="T29" s="28" t="str">
        <f t="shared" si="13"/>
        <v xml:space="preserve">			this.closedDate,</v>
      </c>
      <c r="U29" s="28" t="str">
        <f t="shared" si="14"/>
        <v xml:space="preserve">	closedReason : string = '' ; </v>
      </c>
      <c r="V29" s="28" t="str">
        <f t="shared" si="32"/>
        <v/>
      </c>
    </row>
    <row r="30" spans="1:22" ht="18" customHeight="1" x14ac:dyDescent="0.25">
      <c r="A30" s="28" t="s">
        <v>318</v>
      </c>
      <c r="B30" s="28" t="str">
        <f t="shared" si="8"/>
        <v>IsActive</v>
      </c>
      <c r="C30" s="28" t="str">
        <f t="shared" si="9"/>
        <v>Is Active</v>
      </c>
      <c r="D30" s="28" t="str">
        <f t="shared" si="2"/>
        <v>isActive</v>
      </c>
      <c r="E30" s="28" t="str">
        <f>A.Backend!H24</f>
        <v>string</v>
      </c>
      <c r="F30" s="28" t="str">
        <f>A.Backend!G24</f>
        <v>1</v>
      </c>
      <c r="G30" s="28" t="str">
        <f t="shared" si="3"/>
        <v xml:space="preserve"> : string = '' ; </v>
      </c>
      <c r="H30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0" s="35" t="str">
        <f t="shared" si="5"/>
        <v/>
      </c>
      <c r="J30" s="28"/>
      <c r="K30" s="35" t="str">
        <f t="shared" si="10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0" s="56" t="str">
        <f t="shared" si="20"/>
        <v/>
      </c>
      <c r="M30" s="28"/>
      <c r="N30" s="28"/>
      <c r="O30" s="28"/>
      <c r="P30" s="28"/>
      <c r="Q30" s="28"/>
      <c r="R30" s="28"/>
      <c r="S30" s="28" t="str">
        <f t="shared" si="12"/>
        <v/>
      </c>
      <c r="T30" s="28" t="str">
        <f t="shared" si="13"/>
        <v/>
      </c>
      <c r="U30" s="28" t="str">
        <f t="shared" si="14"/>
        <v/>
      </c>
      <c r="V30" s="28" t="str">
        <f t="shared" si="15"/>
        <v>isActive</v>
      </c>
    </row>
    <row r="3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2023-05-09T08:31:27Z</dcterms:modified>
</cp:coreProperties>
</file>
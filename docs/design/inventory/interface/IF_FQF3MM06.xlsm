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interface\"/>
    </mc:Choice>
  </mc:AlternateContent>
  <xr:revisionPtr revIDLastSave="0" documentId="13_ncr:1_{89F1AB8B-5E89-48AF-849D-2F161801C20B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7" i="5" l="1"/>
  <c r="E57" i="5"/>
  <c r="V57" i="5" s="1"/>
  <c r="C57" i="5"/>
  <c r="B57" i="5"/>
  <c r="D57" i="5" s="1"/>
  <c r="T57" i="5" s="1"/>
  <c r="F56" i="5"/>
  <c r="E56" i="5"/>
  <c r="V56" i="5" s="1"/>
  <c r="C56" i="5"/>
  <c r="B56" i="5"/>
  <c r="D56" i="5" s="1"/>
  <c r="L55" i="5"/>
  <c r="G55" i="5"/>
  <c r="F55" i="5"/>
  <c r="E55" i="5"/>
  <c r="C55" i="5"/>
  <c r="B55" i="5"/>
  <c r="D55" i="5" s="1"/>
  <c r="G54" i="5"/>
  <c r="F54" i="5"/>
  <c r="E54" i="5"/>
  <c r="V54" i="5" s="1"/>
  <c r="C54" i="5"/>
  <c r="B54" i="5"/>
  <c r="D54" i="5" s="1"/>
  <c r="F53" i="5"/>
  <c r="E53" i="5"/>
  <c r="G53" i="5" s="1"/>
  <c r="C53" i="5"/>
  <c r="B53" i="5"/>
  <c r="D53" i="5" s="1"/>
  <c r="F52" i="5"/>
  <c r="E52" i="5"/>
  <c r="L52" i="5" s="1"/>
  <c r="C52" i="5"/>
  <c r="B52" i="5"/>
  <c r="F51" i="5"/>
  <c r="E51" i="5"/>
  <c r="V51" i="5" s="1"/>
  <c r="C51" i="5"/>
  <c r="B51" i="5"/>
  <c r="D51" i="5" s="1"/>
  <c r="T51" i="5" s="1"/>
  <c r="G51" i="1"/>
  <c r="G39" i="1"/>
  <c r="F45" i="5" s="1"/>
  <c r="G27" i="1"/>
  <c r="F33" i="5" s="1"/>
  <c r="G37" i="1"/>
  <c r="F43" i="5" s="1"/>
  <c r="L54" i="1"/>
  <c r="G54" i="1"/>
  <c r="E54" i="1"/>
  <c r="H54" i="1" s="1"/>
  <c r="D54" i="1"/>
  <c r="V54" i="1" s="1"/>
  <c r="L55" i="1"/>
  <c r="G55" i="1"/>
  <c r="E55" i="1"/>
  <c r="H55" i="1" s="1"/>
  <c r="D55" i="1"/>
  <c r="V55" i="1" s="1"/>
  <c r="L51" i="1"/>
  <c r="D51" i="1"/>
  <c r="V51" i="1" s="1"/>
  <c r="L50" i="1"/>
  <c r="G50" i="1"/>
  <c r="E50" i="1"/>
  <c r="H50" i="1" s="1"/>
  <c r="D50" i="1"/>
  <c r="V50" i="1" s="1"/>
  <c r="L49" i="1"/>
  <c r="G49" i="1"/>
  <c r="E49" i="1"/>
  <c r="H49" i="1" s="1"/>
  <c r="D49" i="1"/>
  <c r="V49" i="1" s="1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40" i="1"/>
  <c r="G40" i="1"/>
  <c r="F46" i="5" s="1"/>
  <c r="E40" i="1"/>
  <c r="H40" i="1" s="1"/>
  <c r="E46" i="5" s="1"/>
  <c r="D40" i="1"/>
  <c r="V40" i="1" s="1"/>
  <c r="L39" i="1"/>
  <c r="E39" i="1"/>
  <c r="H39" i="1" s="1"/>
  <c r="E45" i="5" s="1"/>
  <c r="D39" i="1"/>
  <c r="P39" i="1" s="1"/>
  <c r="L38" i="1"/>
  <c r="G38" i="1"/>
  <c r="F44" i="5" s="1"/>
  <c r="E38" i="1"/>
  <c r="H38" i="1" s="1"/>
  <c r="E44" i="5" s="1"/>
  <c r="D38" i="1"/>
  <c r="T38" i="1" s="1"/>
  <c r="L37" i="1"/>
  <c r="E37" i="1"/>
  <c r="H37" i="1" s="1"/>
  <c r="W37" i="1" s="1"/>
  <c r="D37" i="1"/>
  <c r="L36" i="1"/>
  <c r="G36" i="1"/>
  <c r="F42" i="5" s="1"/>
  <c r="E36" i="1"/>
  <c r="H36" i="1" s="1"/>
  <c r="E42" i="5" s="1"/>
  <c r="D36" i="1"/>
  <c r="V36" i="1" s="1"/>
  <c r="L35" i="1"/>
  <c r="G35" i="1"/>
  <c r="F41" i="5" s="1"/>
  <c r="E35" i="1"/>
  <c r="H35" i="1" s="1"/>
  <c r="D35" i="1"/>
  <c r="P35" i="1" s="1"/>
  <c r="L34" i="1"/>
  <c r="G34" i="1"/>
  <c r="F40" i="5" s="1"/>
  <c r="E34" i="1"/>
  <c r="H34" i="1" s="1"/>
  <c r="E40" i="5" s="1"/>
  <c r="D34" i="1"/>
  <c r="T34" i="1" s="1"/>
  <c r="L33" i="1"/>
  <c r="G33" i="1"/>
  <c r="F39" i="5" s="1"/>
  <c r="E33" i="1"/>
  <c r="H33" i="1" s="1"/>
  <c r="E39" i="5" s="1"/>
  <c r="D33" i="1"/>
  <c r="L32" i="1"/>
  <c r="G32" i="1"/>
  <c r="F38" i="5" s="1"/>
  <c r="E32" i="1"/>
  <c r="H32" i="1" s="1"/>
  <c r="E38" i="5" s="1"/>
  <c r="D32" i="1"/>
  <c r="V32" i="1" s="1"/>
  <c r="L31" i="1"/>
  <c r="G31" i="1"/>
  <c r="F37" i="5" s="1"/>
  <c r="E31" i="1"/>
  <c r="H31" i="1" s="1"/>
  <c r="E37" i="5" s="1"/>
  <c r="D31" i="1"/>
  <c r="P31" i="1" s="1"/>
  <c r="L30" i="1"/>
  <c r="G30" i="1"/>
  <c r="F36" i="5" s="1"/>
  <c r="E30" i="1"/>
  <c r="H30" i="1" s="1"/>
  <c r="E36" i="5" s="1"/>
  <c r="D30" i="1"/>
  <c r="T30" i="1" s="1"/>
  <c r="L29" i="1"/>
  <c r="G29" i="1"/>
  <c r="F35" i="5" s="1"/>
  <c r="E29" i="1"/>
  <c r="H29" i="1" s="1"/>
  <c r="D29" i="1"/>
  <c r="L28" i="1"/>
  <c r="G28" i="1"/>
  <c r="F34" i="5" s="1"/>
  <c r="E28" i="1"/>
  <c r="H28" i="1" s="1"/>
  <c r="E34" i="5" s="1"/>
  <c r="D28" i="1"/>
  <c r="V28" i="1" s="1"/>
  <c r="L27" i="1"/>
  <c r="E27" i="1"/>
  <c r="H27" i="1" s="1"/>
  <c r="E33" i="5" s="1"/>
  <c r="D27" i="1"/>
  <c r="P27" i="1" s="1"/>
  <c r="L26" i="1"/>
  <c r="G26" i="1"/>
  <c r="F32" i="5" s="1"/>
  <c r="E26" i="1"/>
  <c r="H26" i="1" s="1"/>
  <c r="E32" i="5" s="1"/>
  <c r="D26" i="1"/>
  <c r="T26" i="1" s="1"/>
  <c r="L25" i="1"/>
  <c r="G25" i="1"/>
  <c r="F31" i="5" s="1"/>
  <c r="E25" i="1"/>
  <c r="H25" i="1" s="1"/>
  <c r="W25" i="1" s="1"/>
  <c r="D25" i="1"/>
  <c r="L24" i="1"/>
  <c r="G24" i="1"/>
  <c r="F30" i="5" s="1"/>
  <c r="E24" i="1"/>
  <c r="H24" i="1" s="1"/>
  <c r="E30" i="5" s="1"/>
  <c r="D24" i="1"/>
  <c r="V24" i="1" s="1"/>
  <c r="L62" i="1"/>
  <c r="G62" i="1"/>
  <c r="E62" i="1"/>
  <c r="H62" i="1" s="1"/>
  <c r="D62" i="1"/>
  <c r="V62" i="1" s="1"/>
  <c r="L61" i="1"/>
  <c r="G61" i="1"/>
  <c r="E61" i="1"/>
  <c r="H61" i="1" s="1"/>
  <c r="D61" i="1"/>
  <c r="T61" i="1" s="1"/>
  <c r="L60" i="1"/>
  <c r="G60" i="1"/>
  <c r="F68" i="5" s="1"/>
  <c r="E60" i="1"/>
  <c r="H60" i="1" s="1"/>
  <c r="O60" i="1" s="1"/>
  <c r="D60" i="1"/>
  <c r="V60" i="1" s="1"/>
  <c r="L59" i="1"/>
  <c r="G59" i="1"/>
  <c r="F67" i="5" s="1"/>
  <c r="E59" i="1"/>
  <c r="H59" i="1" s="1"/>
  <c r="E67" i="5" s="1"/>
  <c r="D59" i="1"/>
  <c r="V59" i="1" s="1"/>
  <c r="L58" i="1"/>
  <c r="G58" i="1"/>
  <c r="F66" i="5" s="1"/>
  <c r="E58" i="1"/>
  <c r="H58" i="1" s="1"/>
  <c r="E66" i="5" s="1"/>
  <c r="D58" i="1"/>
  <c r="V58" i="1" s="1"/>
  <c r="L57" i="1"/>
  <c r="G57" i="1"/>
  <c r="F65" i="5" s="1"/>
  <c r="E57" i="1"/>
  <c r="H57" i="1" s="1"/>
  <c r="E65" i="5" s="1"/>
  <c r="D57" i="1"/>
  <c r="T57" i="1" s="1"/>
  <c r="L56" i="1"/>
  <c r="G56" i="1"/>
  <c r="F64" i="5" s="1"/>
  <c r="E56" i="1"/>
  <c r="H56" i="1" s="1"/>
  <c r="E64" i="5" s="1"/>
  <c r="D56" i="1"/>
  <c r="P56" i="1" s="1"/>
  <c r="L53" i="1"/>
  <c r="G53" i="1"/>
  <c r="F63" i="5" s="1"/>
  <c r="E53" i="1"/>
  <c r="H53" i="1" s="1"/>
  <c r="E63" i="5" s="1"/>
  <c r="D53" i="1"/>
  <c r="V53" i="1" s="1"/>
  <c r="L52" i="1"/>
  <c r="G52" i="1"/>
  <c r="F62" i="5" s="1"/>
  <c r="E52" i="1"/>
  <c r="H52" i="1" s="1"/>
  <c r="E62" i="5" s="1"/>
  <c r="D52" i="1"/>
  <c r="V52" i="1" s="1"/>
  <c r="L48" i="1"/>
  <c r="G48" i="1"/>
  <c r="F61" i="5" s="1"/>
  <c r="E48" i="1"/>
  <c r="H48" i="1" s="1"/>
  <c r="E61" i="5" s="1"/>
  <c r="D48" i="1"/>
  <c r="T48" i="1" s="1"/>
  <c r="L47" i="1"/>
  <c r="G47" i="1"/>
  <c r="F60" i="5" s="1"/>
  <c r="E47" i="1"/>
  <c r="H47" i="1" s="1"/>
  <c r="O47" i="1" s="1"/>
  <c r="D47" i="1"/>
  <c r="V47" i="1" s="1"/>
  <c r="L46" i="1"/>
  <c r="G46" i="1"/>
  <c r="F59" i="5" s="1"/>
  <c r="E46" i="1"/>
  <c r="H46" i="1" s="1"/>
  <c r="E59" i="5" s="1"/>
  <c r="D46" i="1"/>
  <c r="V46" i="1" s="1"/>
  <c r="L45" i="1"/>
  <c r="G45" i="1"/>
  <c r="F58" i="5" s="1"/>
  <c r="E45" i="1"/>
  <c r="H45" i="1" s="1"/>
  <c r="E58" i="5" s="1"/>
  <c r="D45" i="1"/>
  <c r="V45" i="1" s="1"/>
  <c r="L44" i="1"/>
  <c r="G44" i="1"/>
  <c r="F50" i="5" s="1"/>
  <c r="E44" i="1"/>
  <c r="H44" i="1" s="1"/>
  <c r="E50" i="5" s="1"/>
  <c r="D44" i="1"/>
  <c r="T44" i="1" s="1"/>
  <c r="L43" i="1"/>
  <c r="G43" i="1"/>
  <c r="F49" i="5" s="1"/>
  <c r="E43" i="1"/>
  <c r="H43" i="1" s="1"/>
  <c r="O43" i="1" s="1"/>
  <c r="D43" i="1"/>
  <c r="V43" i="1" s="1"/>
  <c r="L42" i="1"/>
  <c r="G42" i="1"/>
  <c r="F48" i="5" s="1"/>
  <c r="E42" i="1"/>
  <c r="H42" i="1" s="1"/>
  <c r="E48" i="5" s="1"/>
  <c r="D42" i="1"/>
  <c r="V42" i="1" s="1"/>
  <c r="L41" i="1"/>
  <c r="G41" i="1"/>
  <c r="F47" i="5" s="1"/>
  <c r="E41" i="1"/>
  <c r="H41" i="1" s="1"/>
  <c r="E47" i="5" s="1"/>
  <c r="D41" i="1"/>
  <c r="P41" i="1" s="1"/>
  <c r="L53" i="5" l="1"/>
  <c r="G51" i="5"/>
  <c r="L54" i="5"/>
  <c r="V55" i="5"/>
  <c r="G57" i="5"/>
  <c r="T55" i="5"/>
  <c r="H55" i="5"/>
  <c r="K53" i="5"/>
  <c r="U56" i="5"/>
  <c r="T56" i="5"/>
  <c r="I56" i="5"/>
  <c r="H54" i="5"/>
  <c r="I54" i="5"/>
  <c r="T54" i="5"/>
  <c r="S54" i="5"/>
  <c r="K54" i="5"/>
  <c r="K52" i="5"/>
  <c r="I53" i="5"/>
  <c r="H53" i="5"/>
  <c r="V53" i="5"/>
  <c r="S53" i="5"/>
  <c r="T53" i="5"/>
  <c r="V52" i="5"/>
  <c r="I55" i="5"/>
  <c r="G56" i="5"/>
  <c r="S56" i="5" s="1"/>
  <c r="D52" i="5"/>
  <c r="U53" i="5"/>
  <c r="K55" i="5"/>
  <c r="H56" i="5"/>
  <c r="H51" i="5"/>
  <c r="U54" i="5"/>
  <c r="S55" i="5"/>
  <c r="K56" i="5"/>
  <c r="H57" i="5"/>
  <c r="I51" i="5"/>
  <c r="G52" i="5"/>
  <c r="L56" i="5"/>
  <c r="I57" i="5"/>
  <c r="K51" i="5"/>
  <c r="H52" i="5"/>
  <c r="U55" i="5"/>
  <c r="K57" i="5"/>
  <c r="L51" i="5"/>
  <c r="L57" i="5"/>
  <c r="S57" i="5"/>
  <c r="S51" i="5"/>
  <c r="U51" i="5"/>
  <c r="U57" i="5"/>
  <c r="E51" i="1"/>
  <c r="H51" i="1" s="1"/>
  <c r="W51" i="1" s="1"/>
  <c r="J49" i="1"/>
  <c r="W54" i="1"/>
  <c r="I54" i="1"/>
  <c r="J54" i="1"/>
  <c r="M54" i="1"/>
  <c r="N54" i="1"/>
  <c r="O54" i="1"/>
  <c r="P54" i="1"/>
  <c r="T54" i="1"/>
  <c r="W55" i="1"/>
  <c r="O55" i="1"/>
  <c r="N55" i="1"/>
  <c r="M55" i="1"/>
  <c r="J55" i="1"/>
  <c r="I55" i="1"/>
  <c r="P55" i="1"/>
  <c r="T55" i="1"/>
  <c r="W50" i="1"/>
  <c r="I50" i="1"/>
  <c r="I49" i="1"/>
  <c r="O51" i="1"/>
  <c r="N51" i="1"/>
  <c r="M51" i="1"/>
  <c r="J51" i="1"/>
  <c r="I51" i="1"/>
  <c r="M49" i="1"/>
  <c r="J50" i="1"/>
  <c r="N49" i="1"/>
  <c r="O49" i="1"/>
  <c r="M50" i="1"/>
  <c r="P49" i="1"/>
  <c r="N50" i="1"/>
  <c r="T56" i="1"/>
  <c r="T49" i="1"/>
  <c r="O50" i="1"/>
  <c r="P50" i="1"/>
  <c r="W49" i="1"/>
  <c r="T50" i="1"/>
  <c r="P51" i="1"/>
  <c r="T51" i="1"/>
  <c r="O35" i="1"/>
  <c r="W29" i="1"/>
  <c r="G47" i="5"/>
  <c r="V47" i="5"/>
  <c r="G50" i="5"/>
  <c r="V63" i="5"/>
  <c r="G63" i="5"/>
  <c r="G33" i="5"/>
  <c r="V33" i="5"/>
  <c r="G65" i="5"/>
  <c r="V65" i="5"/>
  <c r="G66" i="5"/>
  <c r="V66" i="5"/>
  <c r="G34" i="5"/>
  <c r="V34" i="5"/>
  <c r="G37" i="5"/>
  <c r="V37" i="5"/>
  <c r="V40" i="5"/>
  <c r="G40" i="5"/>
  <c r="G46" i="5"/>
  <c r="G45" i="5"/>
  <c r="V45" i="5"/>
  <c r="G36" i="5"/>
  <c r="G48" i="5"/>
  <c r="V48" i="5"/>
  <c r="G58" i="5"/>
  <c r="V58" i="5"/>
  <c r="G61" i="5"/>
  <c r="V42" i="5"/>
  <c r="G42" i="5"/>
  <c r="G39" i="5"/>
  <c r="G64" i="5"/>
  <c r="V64" i="5"/>
  <c r="G67" i="5"/>
  <c r="V67" i="5"/>
  <c r="G32" i="5"/>
  <c r="G38" i="5"/>
  <c r="V38" i="5"/>
  <c r="V44" i="5"/>
  <c r="G44" i="5"/>
  <c r="V30" i="5"/>
  <c r="U30" i="5"/>
  <c r="K30" i="5"/>
  <c r="I30" i="5"/>
  <c r="H30" i="5"/>
  <c r="G30" i="5"/>
  <c r="S30" i="5" s="1"/>
  <c r="L30" i="5"/>
  <c r="V59" i="5"/>
  <c r="G59" i="5"/>
  <c r="V62" i="5"/>
  <c r="G62" i="5"/>
  <c r="T25" i="5"/>
  <c r="E60" i="5"/>
  <c r="E41" i="5"/>
  <c r="E68" i="5"/>
  <c r="E49" i="5"/>
  <c r="E35" i="5"/>
  <c r="E43" i="5"/>
  <c r="E31" i="5"/>
  <c r="T60" i="1"/>
  <c r="T39" i="1"/>
  <c r="P38" i="1"/>
  <c r="M33" i="1"/>
  <c r="T27" i="1"/>
  <c r="P47" i="1"/>
  <c r="P26" i="1"/>
  <c r="V31" i="1"/>
  <c r="V38" i="1"/>
  <c r="V26" i="1"/>
  <c r="O39" i="1"/>
  <c r="I39" i="1"/>
  <c r="O27" i="1"/>
  <c r="I27" i="1"/>
  <c r="O31" i="1"/>
  <c r="I31" i="1"/>
  <c r="V48" i="1"/>
  <c r="V56" i="1"/>
  <c r="I35" i="1"/>
  <c r="M37" i="1"/>
  <c r="T47" i="1"/>
  <c r="V61" i="1"/>
  <c r="M29" i="1"/>
  <c r="P34" i="1"/>
  <c r="T35" i="1"/>
  <c r="V39" i="1"/>
  <c r="V44" i="1"/>
  <c r="P60" i="1"/>
  <c r="M25" i="1"/>
  <c r="P30" i="1"/>
  <c r="T31" i="1"/>
  <c r="V34" i="1"/>
  <c r="V35" i="1"/>
  <c r="O56" i="1"/>
  <c r="V30" i="1"/>
  <c r="W33" i="1"/>
  <c r="P43" i="1"/>
  <c r="T43" i="1"/>
  <c r="V57" i="1"/>
  <c r="V27" i="1"/>
  <c r="O30" i="1"/>
  <c r="N30" i="1"/>
  <c r="M30" i="1"/>
  <c r="W30" i="1"/>
  <c r="J30" i="1"/>
  <c r="I30" i="1"/>
  <c r="W28" i="1"/>
  <c r="J28" i="1"/>
  <c r="I28" i="1"/>
  <c r="O28" i="1"/>
  <c r="N28" i="1"/>
  <c r="M28" i="1"/>
  <c r="O26" i="1"/>
  <c r="N26" i="1"/>
  <c r="M26" i="1"/>
  <c r="W26" i="1"/>
  <c r="J26" i="1"/>
  <c r="I26" i="1"/>
  <c r="W40" i="1"/>
  <c r="J40" i="1"/>
  <c r="I40" i="1"/>
  <c r="O40" i="1"/>
  <c r="N40" i="1"/>
  <c r="M40" i="1"/>
  <c r="W36" i="1"/>
  <c r="J36" i="1"/>
  <c r="I36" i="1"/>
  <c r="O36" i="1"/>
  <c r="N36" i="1"/>
  <c r="M36" i="1"/>
  <c r="O34" i="1"/>
  <c r="N34" i="1"/>
  <c r="M34" i="1"/>
  <c r="W34" i="1"/>
  <c r="J34" i="1"/>
  <c r="I34" i="1"/>
  <c r="W24" i="1"/>
  <c r="J24" i="1"/>
  <c r="I24" i="1"/>
  <c r="O24" i="1"/>
  <c r="N24" i="1"/>
  <c r="M24" i="1"/>
  <c r="W32" i="1"/>
  <c r="J32" i="1"/>
  <c r="I32" i="1"/>
  <c r="O32" i="1"/>
  <c r="N32" i="1"/>
  <c r="M32" i="1"/>
  <c r="O38" i="1"/>
  <c r="N38" i="1"/>
  <c r="M38" i="1"/>
  <c r="W38" i="1"/>
  <c r="J38" i="1"/>
  <c r="I38" i="1"/>
  <c r="N33" i="1"/>
  <c r="N37" i="1"/>
  <c r="O25" i="1"/>
  <c r="J27" i="1"/>
  <c r="W27" i="1"/>
  <c r="O29" i="1"/>
  <c r="J31" i="1"/>
  <c r="W31" i="1"/>
  <c r="O33" i="1"/>
  <c r="J35" i="1"/>
  <c r="W35" i="1"/>
  <c r="O37" i="1"/>
  <c r="J39" i="1"/>
  <c r="W39" i="1"/>
  <c r="P25" i="1"/>
  <c r="P29" i="1"/>
  <c r="P33" i="1"/>
  <c r="P37" i="1"/>
  <c r="T25" i="1"/>
  <c r="M27" i="1"/>
  <c r="T29" i="1"/>
  <c r="M31" i="1"/>
  <c r="T33" i="1"/>
  <c r="M35" i="1"/>
  <c r="T37" i="1"/>
  <c r="M39" i="1"/>
  <c r="P24" i="1"/>
  <c r="I25" i="1"/>
  <c r="V25" i="1"/>
  <c r="N27" i="1"/>
  <c r="P28" i="1"/>
  <c r="I29" i="1"/>
  <c r="V29" i="1"/>
  <c r="N31" i="1"/>
  <c r="P32" i="1"/>
  <c r="I33" i="1"/>
  <c r="V33" i="1"/>
  <c r="N35" i="1"/>
  <c r="P36" i="1"/>
  <c r="I37" i="1"/>
  <c r="V37" i="1"/>
  <c r="N39" i="1"/>
  <c r="P40" i="1"/>
  <c r="T24" i="1"/>
  <c r="J25" i="1"/>
  <c r="T28" i="1"/>
  <c r="J29" i="1"/>
  <c r="T32" i="1"/>
  <c r="J33" i="1"/>
  <c r="T36" i="1"/>
  <c r="J37" i="1"/>
  <c r="T40" i="1"/>
  <c r="N25" i="1"/>
  <c r="N29" i="1"/>
  <c r="W58" i="1"/>
  <c r="J58" i="1"/>
  <c r="N58" i="1"/>
  <c r="I58" i="1"/>
  <c r="O58" i="1"/>
  <c r="M58" i="1"/>
  <c r="W52" i="1"/>
  <c r="J52" i="1"/>
  <c r="M52" i="1"/>
  <c r="I52" i="1"/>
  <c r="O52" i="1"/>
  <c r="N52" i="1"/>
  <c r="I57" i="1"/>
  <c r="O57" i="1"/>
  <c r="N57" i="1"/>
  <c r="W57" i="1"/>
  <c r="J57" i="1"/>
  <c r="M57" i="1"/>
  <c r="I61" i="1"/>
  <c r="W61" i="1"/>
  <c r="O61" i="1"/>
  <c r="N61" i="1"/>
  <c r="M61" i="1"/>
  <c r="J61" i="1"/>
  <c r="M46" i="1"/>
  <c r="O46" i="1"/>
  <c r="W46" i="1"/>
  <c r="J46" i="1"/>
  <c r="I46" i="1"/>
  <c r="N46" i="1"/>
  <c r="W62" i="1"/>
  <c r="J62" i="1"/>
  <c r="I62" i="1"/>
  <c r="O62" i="1"/>
  <c r="N62" i="1"/>
  <c r="M62" i="1"/>
  <c r="N44" i="1"/>
  <c r="I44" i="1"/>
  <c r="J44" i="1"/>
  <c r="O44" i="1"/>
  <c r="W44" i="1"/>
  <c r="M44" i="1"/>
  <c r="M42" i="1"/>
  <c r="I42" i="1"/>
  <c r="O42" i="1"/>
  <c r="N42" i="1"/>
  <c r="W42" i="1"/>
  <c r="J42" i="1"/>
  <c r="W45" i="1"/>
  <c r="J45" i="1"/>
  <c r="I45" i="1"/>
  <c r="M45" i="1"/>
  <c r="N45" i="1"/>
  <c r="O45" i="1"/>
  <c r="I48" i="1"/>
  <c r="O48" i="1"/>
  <c r="N48" i="1"/>
  <c r="W48" i="1"/>
  <c r="J48" i="1"/>
  <c r="M48" i="1"/>
  <c r="W41" i="1"/>
  <c r="J41" i="1"/>
  <c r="I41" i="1"/>
  <c r="M41" i="1"/>
  <c r="N41" i="1"/>
  <c r="O41" i="1"/>
  <c r="M59" i="1"/>
  <c r="W59" i="1"/>
  <c r="J59" i="1"/>
  <c r="I59" i="1"/>
  <c r="O59" i="1"/>
  <c r="N59" i="1"/>
  <c r="M53" i="1"/>
  <c r="N53" i="1"/>
  <c r="W53" i="1"/>
  <c r="J53" i="1"/>
  <c r="O53" i="1"/>
  <c r="I53" i="1"/>
  <c r="P42" i="1"/>
  <c r="I56" i="1"/>
  <c r="P59" i="1"/>
  <c r="I60" i="1"/>
  <c r="T42" i="1"/>
  <c r="J43" i="1"/>
  <c r="W43" i="1"/>
  <c r="T46" i="1"/>
  <c r="J47" i="1"/>
  <c r="W47" i="1"/>
  <c r="T53" i="1"/>
  <c r="J56" i="1"/>
  <c r="W56" i="1"/>
  <c r="T59" i="1"/>
  <c r="J60" i="1"/>
  <c r="W60" i="1"/>
  <c r="P53" i="1"/>
  <c r="P62" i="1"/>
  <c r="P46" i="1"/>
  <c r="I47" i="1"/>
  <c r="P45" i="1"/>
  <c r="P52" i="1"/>
  <c r="P58" i="1"/>
  <c r="T41" i="1"/>
  <c r="M43" i="1"/>
  <c r="T45" i="1"/>
  <c r="M47" i="1"/>
  <c r="T52" i="1"/>
  <c r="M56" i="1"/>
  <c r="T58" i="1"/>
  <c r="M60" i="1"/>
  <c r="T62" i="1"/>
  <c r="V41" i="1"/>
  <c r="P48" i="1"/>
  <c r="N56" i="1"/>
  <c r="P57" i="1"/>
  <c r="N60" i="1"/>
  <c r="P61" i="1"/>
  <c r="I43" i="1"/>
  <c r="N43" i="1"/>
  <c r="P44" i="1"/>
  <c r="N47" i="1"/>
  <c r="B7" i="5"/>
  <c r="B6" i="5"/>
  <c r="B2" i="5"/>
  <c r="T52" i="5" l="1"/>
  <c r="S52" i="5"/>
  <c r="U52" i="5"/>
  <c r="I52" i="5"/>
  <c r="G35" i="5"/>
  <c r="V35" i="5"/>
  <c r="G41" i="5"/>
  <c r="G49" i="5"/>
  <c r="G68" i="5"/>
  <c r="G60" i="5"/>
  <c r="G31" i="5"/>
  <c r="V43" i="5"/>
  <c r="G43" i="5"/>
  <c r="B8" i="5"/>
  <c r="B3" i="5"/>
  <c r="C68" i="5"/>
  <c r="B68" i="5"/>
  <c r="D68" i="5" s="1"/>
  <c r="I68" i="5" s="1"/>
  <c r="C67" i="5"/>
  <c r="B67" i="5"/>
  <c r="D67" i="5" s="1"/>
  <c r="I67" i="5" s="1"/>
  <c r="C66" i="5"/>
  <c r="B66" i="5"/>
  <c r="D66" i="5" s="1"/>
  <c r="I66" i="5" s="1"/>
  <c r="C65" i="5"/>
  <c r="B65" i="5"/>
  <c r="D65" i="5" s="1"/>
  <c r="I65" i="5" s="1"/>
  <c r="C64" i="5"/>
  <c r="B64" i="5"/>
  <c r="D64" i="5" s="1"/>
  <c r="C63" i="5"/>
  <c r="B63" i="5"/>
  <c r="D63" i="5" s="1"/>
  <c r="C62" i="5"/>
  <c r="B62" i="5"/>
  <c r="D62" i="5" s="1"/>
  <c r="C61" i="5"/>
  <c r="B61" i="5"/>
  <c r="D61" i="5" s="1"/>
  <c r="C60" i="5"/>
  <c r="B60" i="5"/>
  <c r="D60" i="5" s="1"/>
  <c r="V60" i="5" s="1"/>
  <c r="C59" i="5"/>
  <c r="B59" i="5"/>
  <c r="D59" i="5" s="1"/>
  <c r="I59" i="5" s="1"/>
  <c r="C58" i="5"/>
  <c r="B58" i="5"/>
  <c r="D58" i="5" s="1"/>
  <c r="I58" i="5" s="1"/>
  <c r="C50" i="5"/>
  <c r="B50" i="5"/>
  <c r="D50" i="5" s="1"/>
  <c r="C49" i="5"/>
  <c r="B49" i="5"/>
  <c r="D49" i="5" s="1"/>
  <c r="U49" i="5" s="1"/>
  <c r="C48" i="5"/>
  <c r="B48" i="5"/>
  <c r="D48" i="5" s="1"/>
  <c r="I48" i="5" s="1"/>
  <c r="C47" i="5"/>
  <c r="B47" i="5"/>
  <c r="D47" i="5" s="1"/>
  <c r="I47" i="5" s="1"/>
  <c r="C46" i="5"/>
  <c r="B46" i="5"/>
  <c r="D46" i="5" s="1"/>
  <c r="C45" i="5"/>
  <c r="B45" i="5"/>
  <c r="D45" i="5" s="1"/>
  <c r="I45" i="5" s="1"/>
  <c r="C44" i="5"/>
  <c r="B44" i="5"/>
  <c r="D44" i="5" s="1"/>
  <c r="I44" i="5" s="1"/>
  <c r="C43" i="5"/>
  <c r="B43" i="5"/>
  <c r="D43" i="5" s="1"/>
  <c r="I43" i="5" s="1"/>
  <c r="C42" i="5"/>
  <c r="B42" i="5"/>
  <c r="D42" i="5" s="1"/>
  <c r="C41" i="5"/>
  <c r="B41" i="5"/>
  <c r="D41" i="5" s="1"/>
  <c r="V41" i="5" s="1"/>
  <c r="C40" i="5"/>
  <c r="B40" i="5"/>
  <c r="D40" i="5" s="1"/>
  <c r="I40" i="5" s="1"/>
  <c r="C39" i="5"/>
  <c r="B39" i="5"/>
  <c r="D39" i="5" s="1"/>
  <c r="V39" i="5" s="1"/>
  <c r="C38" i="5"/>
  <c r="B38" i="5"/>
  <c r="D38" i="5" s="1"/>
  <c r="I38" i="5" s="1"/>
  <c r="C37" i="5"/>
  <c r="B37" i="5"/>
  <c r="D37" i="5" s="1"/>
  <c r="C36" i="5"/>
  <c r="B36" i="5"/>
  <c r="D36" i="5" s="1"/>
  <c r="V36" i="5" s="1"/>
  <c r="C35" i="5"/>
  <c r="B35" i="5"/>
  <c r="D35" i="5" s="1"/>
  <c r="U35" i="5" s="1"/>
  <c r="C34" i="5"/>
  <c r="B34" i="5"/>
  <c r="D34" i="5" s="1"/>
  <c r="I34" i="5" s="1"/>
  <c r="C33" i="5"/>
  <c r="B33" i="5"/>
  <c r="D33" i="5" s="1"/>
  <c r="I33" i="5" s="1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I60" i="5" l="1"/>
  <c r="K49" i="5"/>
  <c r="K68" i="5"/>
  <c r="I49" i="5"/>
  <c r="H41" i="5"/>
  <c r="K60" i="5"/>
  <c r="K43" i="5"/>
  <c r="K34" i="5"/>
  <c r="H35" i="5"/>
  <c r="K47" i="5"/>
  <c r="H60" i="5"/>
  <c r="H66" i="5"/>
  <c r="K66" i="5"/>
  <c r="K59" i="5"/>
  <c r="V61" i="5"/>
  <c r="I61" i="5"/>
  <c r="U68" i="5"/>
  <c r="I41" i="5"/>
  <c r="K46" i="5"/>
  <c r="K48" i="5"/>
  <c r="K61" i="5"/>
  <c r="K67" i="5"/>
  <c r="V68" i="5"/>
  <c r="V46" i="5"/>
  <c r="I46" i="5"/>
  <c r="H43" i="5"/>
  <c r="H49" i="5"/>
  <c r="H68" i="5"/>
  <c r="I50" i="5"/>
  <c r="V50" i="5"/>
  <c r="K65" i="5"/>
  <c r="H38" i="5"/>
  <c r="K38" i="5"/>
  <c r="H44" i="5"/>
  <c r="K44" i="5"/>
  <c r="K50" i="5"/>
  <c r="K40" i="5"/>
  <c r="V49" i="5"/>
  <c r="H33" i="5"/>
  <c r="K33" i="5"/>
  <c r="H45" i="5"/>
  <c r="K45" i="5"/>
  <c r="K58" i="5"/>
  <c r="T47" i="5"/>
  <c r="S47" i="5"/>
  <c r="U47" i="5"/>
  <c r="H22" i="5"/>
  <c r="G22" i="5"/>
  <c r="S22" i="5" s="1"/>
  <c r="L22" i="5"/>
  <c r="V22" i="5"/>
  <c r="U22" i="5"/>
  <c r="K22" i="5"/>
  <c r="I22" i="5"/>
  <c r="H46" i="5"/>
  <c r="T41" i="5"/>
  <c r="S41" i="5"/>
  <c r="V29" i="5"/>
  <c r="L29" i="5"/>
  <c r="U29" i="5"/>
  <c r="K29" i="5"/>
  <c r="I29" i="5"/>
  <c r="H29" i="5"/>
  <c r="G29" i="5"/>
  <c r="S29" i="5" s="1"/>
  <c r="H47" i="5"/>
  <c r="T60" i="5"/>
  <c r="S60" i="5"/>
  <c r="T66" i="5"/>
  <c r="S66" i="5"/>
  <c r="U66" i="5"/>
  <c r="U41" i="5"/>
  <c r="T34" i="5"/>
  <c r="S34" i="5"/>
  <c r="U34" i="5"/>
  <c r="H34" i="5"/>
  <c r="H59" i="5"/>
  <c r="K41" i="5"/>
  <c r="I20" i="1"/>
  <c r="E26" i="5"/>
  <c r="T36" i="5"/>
  <c r="S36" i="5"/>
  <c r="I36" i="5"/>
  <c r="U36" i="5"/>
  <c r="T42" i="5"/>
  <c r="S42" i="5"/>
  <c r="U42" i="5"/>
  <c r="I42" i="5"/>
  <c r="T58" i="5"/>
  <c r="S58" i="5"/>
  <c r="U58" i="5"/>
  <c r="H58" i="5"/>
  <c r="H65" i="5"/>
  <c r="I23" i="5"/>
  <c r="H23" i="5"/>
  <c r="G23" i="5"/>
  <c r="S23" i="5" s="1"/>
  <c r="V23" i="5"/>
  <c r="U23" i="5"/>
  <c r="K23" i="5"/>
  <c r="L23" i="5"/>
  <c r="K36" i="5"/>
  <c r="H36" i="5"/>
  <c r="K42" i="5"/>
  <c r="H42" i="5"/>
  <c r="T48" i="5"/>
  <c r="S48" i="5"/>
  <c r="U48" i="5"/>
  <c r="T61" i="5"/>
  <c r="S61" i="5"/>
  <c r="U61" i="5"/>
  <c r="T67" i="5"/>
  <c r="S67" i="5"/>
  <c r="U67" i="5"/>
  <c r="K35" i="5"/>
  <c r="S37" i="5"/>
  <c r="T37" i="5"/>
  <c r="I37" i="5"/>
  <c r="U37" i="5"/>
  <c r="T43" i="5"/>
  <c r="S43" i="5"/>
  <c r="H48" i="5"/>
  <c r="H61" i="5"/>
  <c r="H67" i="5"/>
  <c r="H39" i="5"/>
  <c r="K39" i="5"/>
  <c r="K25" i="5"/>
  <c r="I25" i="5"/>
  <c r="H25" i="5"/>
  <c r="G25" i="5"/>
  <c r="S25" i="5" s="1"/>
  <c r="V25" i="5"/>
  <c r="U25" i="5"/>
  <c r="L25" i="5"/>
  <c r="K64" i="5"/>
  <c r="H64" i="5"/>
  <c r="T65" i="5"/>
  <c r="S65" i="5"/>
  <c r="U65" i="5"/>
  <c r="T35" i="5"/>
  <c r="S35" i="5"/>
  <c r="L43" i="5"/>
  <c r="K37" i="5"/>
  <c r="H37" i="5"/>
  <c r="S49" i="5"/>
  <c r="T49" i="5"/>
  <c r="T62" i="5"/>
  <c r="S62" i="5"/>
  <c r="U62" i="5"/>
  <c r="I62" i="5"/>
  <c r="S68" i="5"/>
  <c r="T68" i="5"/>
  <c r="T64" i="5"/>
  <c r="S64" i="5"/>
  <c r="U64" i="5"/>
  <c r="I64" i="5"/>
  <c r="V28" i="5"/>
  <c r="U28" i="5"/>
  <c r="K28" i="5"/>
  <c r="I28" i="5"/>
  <c r="H28" i="5"/>
  <c r="G28" i="5"/>
  <c r="S28" i="5" s="1"/>
  <c r="L28" i="5"/>
  <c r="H40" i="5"/>
  <c r="V20" i="5"/>
  <c r="U20" i="5"/>
  <c r="K20" i="5"/>
  <c r="I20" i="5"/>
  <c r="H20" i="5"/>
  <c r="G20" i="5"/>
  <c r="S20" i="5" s="1"/>
  <c r="L20" i="5"/>
  <c r="U27" i="5"/>
  <c r="K27" i="5"/>
  <c r="I27" i="5"/>
  <c r="H27" i="5"/>
  <c r="G27" i="5"/>
  <c r="S27" i="5" s="1"/>
  <c r="V27" i="5"/>
  <c r="L27" i="5"/>
  <c r="T38" i="5"/>
  <c r="S38" i="5"/>
  <c r="U38" i="5"/>
  <c r="T44" i="5"/>
  <c r="S44" i="5"/>
  <c r="U44" i="5"/>
  <c r="K62" i="5"/>
  <c r="H62" i="5"/>
  <c r="T46" i="5"/>
  <c r="S46" i="5"/>
  <c r="U46" i="5"/>
  <c r="T59" i="5"/>
  <c r="S59" i="5"/>
  <c r="U59" i="5"/>
  <c r="L24" i="5"/>
  <c r="K24" i="5"/>
  <c r="I24" i="5"/>
  <c r="H24" i="5"/>
  <c r="G24" i="5"/>
  <c r="S24" i="5" s="1"/>
  <c r="V24" i="5"/>
  <c r="U24" i="5"/>
  <c r="T50" i="5"/>
  <c r="S50" i="5"/>
  <c r="U50" i="5"/>
  <c r="T63" i="5"/>
  <c r="S63" i="5"/>
  <c r="U63" i="5"/>
  <c r="I63" i="5"/>
  <c r="U43" i="5"/>
  <c r="U60" i="5"/>
  <c r="T40" i="5"/>
  <c r="S40" i="5"/>
  <c r="U40" i="5"/>
  <c r="G21" i="5"/>
  <c r="S21" i="5" s="1"/>
  <c r="V21" i="5"/>
  <c r="U21" i="5"/>
  <c r="L21" i="5"/>
  <c r="K21" i="5"/>
  <c r="I21" i="5"/>
  <c r="H21" i="5"/>
  <c r="T33" i="5"/>
  <c r="S33" i="5"/>
  <c r="U33" i="5"/>
  <c r="T39" i="5"/>
  <c r="S39" i="5"/>
  <c r="I39" i="5"/>
  <c r="U39" i="5"/>
  <c r="T45" i="5"/>
  <c r="S45" i="5"/>
  <c r="U45" i="5"/>
  <c r="H50" i="5"/>
  <c r="K63" i="5"/>
  <c r="H63" i="5"/>
  <c r="I35" i="5"/>
  <c r="L63" i="5"/>
  <c r="L48" i="5"/>
  <c r="L35" i="5"/>
  <c r="L50" i="5"/>
  <c r="L59" i="5"/>
  <c r="L65" i="5"/>
  <c r="L61" i="5"/>
  <c r="L67" i="5"/>
  <c r="L60" i="5"/>
  <c r="L37" i="5"/>
  <c r="L41" i="5"/>
  <c r="L33" i="5"/>
  <c r="L38" i="5"/>
  <c r="L40" i="5"/>
  <c r="L42" i="5"/>
  <c r="L44" i="5"/>
  <c r="L46" i="5"/>
  <c r="L34" i="5"/>
  <c r="L36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C17" i="5"/>
  <c r="B17" i="5"/>
  <c r="D17" i="5" s="1"/>
  <c r="C16" i="5"/>
  <c r="B16" i="5"/>
  <c r="D16" i="5" s="1"/>
  <c r="K31" i="5" l="1"/>
  <c r="V31" i="5"/>
  <c r="I31" i="5"/>
  <c r="H31" i="5"/>
  <c r="T16" i="5"/>
  <c r="L26" i="5"/>
  <c r="K26" i="5"/>
  <c r="I26" i="5"/>
  <c r="H26" i="5"/>
  <c r="G26" i="5"/>
  <c r="S26" i="5" s="1"/>
  <c r="V26" i="5"/>
  <c r="U26" i="5"/>
  <c r="T31" i="5"/>
  <c r="S31" i="5"/>
  <c r="U31" i="5"/>
  <c r="T17" i="5"/>
  <c r="L64" i="5"/>
  <c r="L58" i="5"/>
  <c r="L39" i="5"/>
  <c r="L47" i="5"/>
  <c r="L45" i="5"/>
  <c r="L66" i="5"/>
  <c r="L49" i="5"/>
  <c r="L62" i="5"/>
  <c r="B6" i="1"/>
  <c r="G13" i="1"/>
  <c r="F19" i="5" s="1"/>
  <c r="E13" i="1"/>
  <c r="H13" i="1" s="1"/>
  <c r="E19" i="5" s="1"/>
  <c r="D13" i="1"/>
  <c r="V13" i="1" s="1"/>
  <c r="V19" i="5" l="1"/>
  <c r="U19" i="5"/>
  <c r="K19" i="5"/>
  <c r="I19" i="5"/>
  <c r="H19" i="5"/>
  <c r="G19" i="5"/>
  <c r="S19" i="5" s="1"/>
  <c r="L19" i="5"/>
  <c r="W13" i="1"/>
  <c r="N13" i="1"/>
  <c r="I13" i="1"/>
  <c r="M13" i="1"/>
  <c r="O13" i="1"/>
  <c r="J13" i="1"/>
  <c r="L13" i="1"/>
  <c r="P13" i="1"/>
  <c r="T13" i="1"/>
  <c r="C32" i="5"/>
  <c r="B32" i="5"/>
  <c r="D32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I32" i="5" l="1"/>
  <c r="V32" i="5"/>
  <c r="K32" i="5"/>
  <c r="V18" i="5"/>
  <c r="U18" i="5"/>
  <c r="K18" i="5"/>
  <c r="I18" i="5"/>
  <c r="H18" i="5"/>
  <c r="G18" i="5"/>
  <c r="S18" i="5" s="1"/>
  <c r="L18" i="5"/>
  <c r="T32" i="5"/>
  <c r="S32" i="5"/>
  <c r="U32" i="5"/>
  <c r="H32" i="5"/>
  <c r="V17" i="5"/>
  <c r="U17" i="5"/>
  <c r="K17" i="5"/>
  <c r="I17" i="5"/>
  <c r="H17" i="5"/>
  <c r="G17" i="5"/>
  <c r="S17" i="5" s="1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L68" i="5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64" i="1"/>
  <c r="K12" i="5" l="1"/>
  <c r="H12" i="5"/>
  <c r="V12" i="5"/>
  <c r="T12" i="5"/>
  <c r="U12" i="5"/>
  <c r="I12" i="5"/>
  <c r="L12" i="5"/>
  <c r="S12" i="5"/>
  <c r="R3" i="1" l="1"/>
  <c r="D1" i="1"/>
  <c r="F6" i="1"/>
  <c r="T64" i="1"/>
  <c r="T13" i="5"/>
  <c r="T7" i="1" l="1"/>
  <c r="W64" i="1"/>
  <c r="G6" i="1" l="1"/>
  <c r="H13" i="5"/>
  <c r="L13" i="5"/>
  <c r="K13" i="5"/>
  <c r="U13" i="5"/>
  <c r="S13" i="5"/>
  <c r="V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O64" i="1"/>
  <c r="N64" i="1"/>
  <c r="J64" i="1"/>
  <c r="I64" i="1"/>
  <c r="P64" i="1"/>
  <c r="Q7" i="1" l="1"/>
  <c r="M68" i="3" s="1"/>
  <c r="L7" i="1"/>
  <c r="G68" i="3" s="1"/>
  <c r="K68" i="3"/>
  <c r="J68" i="3"/>
  <c r="M64" i="1"/>
  <c r="K6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<sst xmlns="http://schemas.openxmlformats.org/spreadsheetml/2006/main" count="647" uniqueCount="426">
  <si>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</si>
  <si>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</si>
  <si>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</si>
  <si>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</si>
  <si>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</si>
  <si>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</si>
  <si>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</si>
  <si>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</si>
  <si>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</si>
  <si>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</si>
  <si>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</si>
  <si>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</si>
  <si>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</si>
  <si>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</si>
  <si>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</si>
  <si>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</si>
  <si>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</si>
  <si>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</si>
  <si>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</si>
  <si>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</si>
  <si>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</si>
  <si>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</si>
  <si>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</si>
  <si>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</si>
  <si>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</si>
  <si>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</si>
  <si>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</si>
  <si>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</si>
  <si>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</si>
  <si>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</si>
  <si>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</si>
  <si>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</si>
  <si>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</si>
  <si>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</si>
  <si>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</si>
  <si>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</si>
  <si>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</si>
  <si>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</si>
  <si>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</si>
  <si>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</si>
  <si>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</si>
  <si>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</si>
  <si>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</si>
  <si>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</si>
  <si>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</si>
  <si>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</si>
  <si>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</si>
  <si>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</si>
  <si>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</si>
  <si>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</si>
  <si>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</si>
  <si>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</si>
  <si>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</si>
  <si>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</si>
  <si>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</si>
  <si>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</si>
  <si>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</si>
  <si>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</si>
  <si>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</si>
  <si>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</si>
  <si>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</si>
  <si>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</si>
  <si>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</si>
  <si>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</si>
  <si>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</si>
  <si>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</si>
  <si>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</si>
  <si>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</si>
  <si>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</si>
  <si>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</si>
  <si>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</si>
  <si>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</si>
  <si>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</si>
  <si>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</si>
  <si>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</si>
  <si>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</si>
  <si>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</si>
  <si>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</si>
  <si>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</si>
  <si>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</si>
  <si>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</si>
  <si>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</si>
  <si>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</si>
  <si>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</si>
  <si>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</si>
  <si>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</si>
  <si>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</si>
  <si>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</si>
  <si>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</si>
  <si>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</si>
  <si>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</si>
  <si>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</si>
  <si>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</si>
  <si>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</si>
  <si>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</si>
  <si>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</si>
  <si>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</si>
  <si>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</si>
  <si>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</si>
  <si>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</si>
  <si>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</si>
  <si>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</si>
  <si>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</si>
  <si>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</si>
  <si>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</si>
  <si>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</si>
  <si>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</si>
  <si>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</si>
  <si>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</si>
  <si>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</si>
  <si>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</si>
  <si>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</si>
  <si>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</si>
  <si>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</si>
  <si>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</si>
  <si>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</si>
  <si>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</si>
  <si>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</si>
  <si>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</si>
  <si>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</si>
  <si>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</si>
  <si>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</si>
  <si>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</si>
  <si>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</si>
  <si>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</si>
  <si>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</si>
  <si>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</si>
  <si>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</si>
  <si>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</si>
  <si>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</si>
  <si>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</si>
  <si>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</si>
  <si>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</si>
  <si>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</si>
  <si>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</si>
  <si>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</si>
  <si>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</si>
  <si>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</si>
  <si>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</si>
  <si>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</si>
  <si>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</si>
  <si>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</si>
  <si>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</si>
  <si>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</si>
  <si>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</si>
  <si>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</si>
  <si>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</si>
  <si>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</si>
  <si>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</si>
  <si>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</si>
  <si>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</si>
  <si>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</si>
  <si>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</si>
  <si>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</si>
  <si>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</si>
  <si>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</si>
  <si>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</si>
  <si>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</si>
  <si>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</si>
  <si>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</si>
  <si>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</si>
  <si>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</si>
  <si>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</si>
  <si>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</si>
  <si>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</si>
  <si>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</si>
  <si>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</si>
  <si>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</si>
  <si>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</si>
  <si>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</si>
  <si>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</si>
  <si>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</si>
  <si>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</si>
  <si>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</si>
  <si>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</si>
  <si>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</si>
  <si>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</si>
  <si>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</si>
  <si>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</si>
  <si>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</si>
  <si>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</si>
  <si>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</si>
  <si>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</si>
  <si>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</si>
  <si>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</si>
  <si>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</si>
  <si>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</si>
  <si>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</si>
  <si>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</si>
  <si>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</si>
  <si>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</si>
  <si>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</si>
  <si>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</si>
  <si>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</si>
  <si>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</si>
  <si>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</si>
  <si>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</si>
  <si>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</si>
  <si>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</si>
  <si>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</si>
  <si>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</si>
  <si>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</si>
  <si>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</si>
  <si>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</si>
  <si>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</si>
  <si>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</si>
  <si>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</si>
  <si>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</si>
  <si>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</si>
  <si>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</si>
  <si>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</si>
  <si>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</si>
  <si>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</si>
  <si>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</si>
  <si>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</si>
  <si>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</si>
  <si>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</si>
  <si>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</si>
  <si>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</si>
  <si>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</si>
  <si>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</si>
  <si>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</si>
  <si>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</si>
  <si>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</si>
  <si>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</si>
  <si>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</si>
  <si>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</si>
  <si>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</si>
  <si>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</si>
  <si>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</si>
  <si>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</si>
  <si>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</si>
  <si>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</si>
  <si>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</si>
  <si>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</si>
  <si>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</si>
  <si>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</si>
  <si>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</si>
  <si>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</si>
  <si>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</si>
  <si>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</si>
  <si>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</si>
  <si>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</si>
  <si>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</si>
  <si>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</si>
  <si>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</si>
  <si>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</si>
  <si>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</si>
  <si>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</si>
  <si>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</si>
  <si>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</si>
  <si>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</si>
  <si>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</si>
  <si>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</si>
  <si>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</si>
  <si>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</si>
  <si>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</si>
  <si>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</si>
  <si>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</si>
  <si>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</si>
  <si>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</si>
  <si>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</si>
  <si>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</si>
  <si>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</si>
  <si>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</si>
  <si>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</si>
  <si>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</si>
  <si>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</si>
  <si>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</si>
  <si>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</si>
  <si>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</si>
  <si>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</si>
  <si>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</si>
  <si>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</si>
  <si>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</si>
  <si>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</si>
  <si>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</si>
  <si>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</si>
  <si>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</si>
  <si>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</si>
  <si>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</si>
  <si>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</si>
  <si>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</si>
  <si>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</si>
  <si>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</si>
  <si>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</si>
  <si>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</si>
  <si>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</si>
  <si>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</si>
  <si>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</si>
  <si>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</si>
  <si>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</si>
  <si>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</si>
  <si>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</si>
  <si>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</si>
  <si>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</si>
  <si>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</si>
  <si>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</si>
  <si>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</si>
  <si>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</si>
  <si>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</si>
  <si>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</si>
  <si>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</si>
  <si>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</si>
  <si>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</si>
  <si>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</si>
  <si>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</si>
  <si>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</si>
  <si>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</si>
  <si>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</si>
  <si>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</si>
  <si>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</si>
  <si>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</si>
  <si>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</si>
  <si>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</si>
  <si>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</si>
  <si>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</si>
  <si>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</si>
  <si>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</si>
  <si>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</si>
  <si>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</si>
  <si>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</si>
  <si>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</si>
  <si>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</si>
  <si>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</si>
  <si>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</si>
  <si>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</si>
  <si>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</si>
  <si>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</si>
  <si>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</si>
  <si>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</si>
  <si>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</si>
  <si>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</si>
  <si>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</si>
  <si>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</si>
  <si>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</si>
  <si>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</si>
  <si>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</si>
  <si>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</si>
  <si>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</si>
  <si>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</si>
  <si>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</si>
  <si>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</si>
  <si>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</si>
  <si>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</si>
  <si>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</si>
  <si>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</si>
  <si>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</si>
  <si>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</si>
  <si>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</si>
  <si>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</si>
  <si>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</si>
  <si>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</si>
  <si>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</si>
  <si>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Inventory.IF</t>
  </si>
  <si>
    <t>IF</t>
  </si>
  <si>
    <t>IF_FQF3MM06</t>
  </si>
  <si>
    <t>FQF3MM06</t>
  </si>
  <si>
    <t>Plant</t>
  </si>
  <si>
    <t>Residue</t>
  </si>
  <si>
    <t>Record_Id</t>
  </si>
  <si>
    <t>Authorization_Group</t>
  </si>
  <si>
    <t>Material_Type</t>
  </si>
  <si>
    <t>Material_Code</t>
  </si>
  <si>
    <t>Industry_Sector</t>
  </si>
  <si>
    <t>Material_Description</t>
  </si>
  <si>
    <t>Material_Group</t>
  </si>
  <si>
    <t>Storage_Location</t>
  </si>
  <si>
    <t>Product_Group</t>
  </si>
  <si>
    <t>Product_Purpose</t>
  </si>
  <si>
    <t>Product_Type</t>
  </si>
  <si>
    <t>Profit_Center</t>
  </si>
  <si>
    <t>Batch_Management</t>
  </si>
  <si>
    <t>Reserved_Stock</t>
  </si>
  <si>
    <t>Lot_Code</t>
  </si>
  <si>
    <t>MRP_Group</t>
  </si>
  <si>
    <t>MRP_Type</t>
  </si>
  <si>
    <t>Procurement_Type</t>
  </si>
  <si>
    <t>Special_Procurement</t>
  </si>
  <si>
    <t>REM_Profile</t>
  </si>
  <si>
    <t>Do_Not_Cost</t>
  </si>
  <si>
    <t>Variance_Key</t>
  </si>
  <si>
    <t>Production_Version</t>
  </si>
  <si>
    <t>Valuation_Category</t>
  </si>
  <si>
    <t>Valuation_Type</t>
  </si>
  <si>
    <t>Valuation_Class</t>
  </si>
  <si>
    <t>Price_Determination</t>
  </si>
  <si>
    <t>Price_Control</t>
  </si>
  <si>
    <t>Standard_Price</t>
  </si>
  <si>
    <t>Moving_Price</t>
  </si>
  <si>
    <t>With_Qty_Structure</t>
  </si>
  <si>
    <t>Material_Origin</t>
  </si>
  <si>
    <t>Origin_Group</t>
  </si>
  <si>
    <t>Basic_Data_Text</t>
  </si>
  <si>
    <t>Vehicle_Control_Katashiki</t>
  </si>
  <si>
    <t>Category_of_Gear</t>
  </si>
  <si>
    <t>Goshi_Car</t>
  </si>
  <si>
    <t>Vehicle_Name</t>
  </si>
  <si>
    <t>Price_Unit</t>
  </si>
  <si>
    <t>Maru_Code</t>
  </si>
  <si>
    <t>Base_Unit_Of_Measure</t>
  </si>
  <si>
    <t>Flag_Deletion_Plant_Level</t>
  </si>
  <si>
    <t>Prod_Stor_Location</t>
  </si>
  <si>
    <t>Repet_Manufacturing</t>
  </si>
  <si>
    <t>Costing_Lot_Size</t>
  </si>
  <si>
    <t>Special_Procurement_Type</t>
  </si>
  <si>
    <t>Katashiki</t>
  </si>
  <si>
    <t>Toyota_Or_Non_Toyota</t>
  </si>
  <si>
    <t>Series_Of_Vehicles</t>
  </si>
  <si>
    <t>Deliver_Power_Of_Driving_Wheels</t>
  </si>
  <si>
    <t>Fuel_Type</t>
  </si>
  <si>
    <t>Ending_Of_Record</t>
  </si>
  <si>
    <t>varchar(4)</t>
  </si>
  <si>
    <t>varchar(40)</t>
  </si>
  <si>
    <t>varchar(1)</t>
  </si>
  <si>
    <t>varchar(9)</t>
  </si>
  <si>
    <t>varchar(3)</t>
  </si>
  <si>
    <t>varchar(2)</t>
  </si>
  <si>
    <t>varchar(20)</t>
  </si>
  <si>
    <t>varchar(10)</t>
  </si>
  <si>
    <t>varchar(5)</t>
  </si>
  <si>
    <t>varchar(6)</t>
  </si>
  <si>
    <t>varchar(14)</t>
  </si>
  <si>
    <t>varchar(12)</t>
  </si>
  <si>
    <t>varchar(255)</t>
  </si>
  <si>
    <t>varchar(18)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</si>
</sst>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[Table("IF_FQF3MM06")]
	public class IF_FQF3MM06: FullAuditedEntity&lt;long&gt;, IEntity&lt;long&gt;	
	{
		public const int MaxAuthorizationGroupLength = 4;
		public const int MaxMaterialTypeLength = 4;
		public const int MaxMaterialCodeLength = 40;
		public const int MaxIndustrySectorLength = 1;
		public const int MaxMaterialDescriptionLength = 40;
		public const int MaxMaterialGroupLength = 9;
		public const int MaxBaseUnitOfMeasureLength = 3;
		public const int MaxFlagDeletionPlantLevelLength = 1;
		public const int MaxPlantLength = 4;
		public const int MaxStorageLocationLength = 4;
		public const int MaxProductGroupLength = 3;
		public const int MaxProductPurposeLength = 2;
		public const int MaxProductTypeLength = 20;
		public const int MaxProfitCenterLength = 10;
		public const int MaxBatchManagementLength = 1;
		public const int MaxReservedStockLength = 1;
		public const int MaxResidueLength = 1;
		public const int MaxLotCodeLength = 5;
		public const int MaxMrpGroupLength = 4;
		public const int MaxMrpTypeLength = 2;
		public const int MaxProcurementTypeLength = 1;
		public const int MaxSpecialProcurementLength = 2;
		public const int MaxProdStorLocationLength = 4;
		public const int MaxRepetManufacturingLength = 1;
		public const int MaxRemProfileLength = 4;
		public const int MaxDoNotCostLength = 1;
		public const int MaxVarianceKeyLength = 6;
		public const int MaxCostingLotSizeLength = 14;
		public const int MaxProductionVersionLength = 4;
		public const int MaxSpecialProcurementTypeLength = 2;
		public const int MaxValuationCategoryLength = 1;
		public const int MaxValuationTypeLength = 10;
		public const int MaxValuationClassLength = 4;
		public const int MaxPriceDeterminationLength = 1;
		public const int MaxPriceControlLength = 1;
		public const int MaxStandardPriceLength = 12;
		public const int MaxMovingPriceLength = 12;
		public const int MaxWithQtyStructureLength = 1;
		public const int MaxMaterialOriginLength = 1;
		public const int MaxOriginGroupLength = 4;
		public const int MaxBasicDataTextLength = 255;
		public const int MaxKatashikiLength = 20;
		public const int MaxVehicleControlKatashikiLength = 20;
		public const int MaxToyotaOrNonToyotaLength = 2;
		public const int MaxCategoryOfGearLength = 2;
		public const int MaxGoshiCarLength = 1;
		public const int MaxSeriesOfVehiclesLength = 18;
		public const int MaxDeliverPowerOfDrivingWheelsLength = 3;
		public const int MaxFuelTypeLength = 2;
		public const int MaxVehicleNameLength = 6;
		public const int MaxPriceUnitLength = 1;
		public const int MaxMaruCodeLength = 1;
		public const int MaxEndingOfRecordLength = 1;
		public virtual int? RecordId { get; set; }
		[StringLength(MaxAuthorizationGroupLength)]
		public virtual string AuthorizationGroup { get; set; }
		[StringLength(MaxMaterialTypeLength)]
		public virtual string MaterialType { get; set; }
		[StringLength(MaxMaterialCodeLength)]
		public virtual string MaterialCode { get; set; }
		[StringLength(MaxIndustrySectorLength)]
		public virtual string IndustrySector { get; set; }
		[StringLength(MaxMaterialDescriptionLength)]
		public virtual string MaterialDescription { get; set; }
		[StringLength(MaxMaterialGroupLength)]
		public virtual string MaterialGroup { get; set; }
		[StringLength(MaxBaseUnitOfMeasureLength)]
		public virtual string BaseUnitOfMeasure { get; set; }
		[StringLength(MaxFlagDeletionPlantLevelLength)]
		public virtual string FlagDeletionPlantLevel { get; set; }
		[StringLength(MaxPlantLength)]
		public virtual string Plant { get; set; }
		[StringLength(MaxStorageLocationLength)]
		public virtual string StorageLocation { get; set; }
		[StringLength(MaxProductGroupLength)]
		public virtual string ProductGroup { get; set; }
		[StringLength(MaxProductPurposeLength)]
		public virtual string ProductPurpose { get; set; }
		[StringLength(MaxProductTypeLength)]
		public virtual string ProductType { get; set; }
		[StringLength(MaxProfitCenterLength)]
		public virtual string ProfitCenter { get; set; }
		[StringLength(MaxBatchManagementLength)]
		public virtual string BatchManagement { get; set; }
		[StringLength(MaxReservedStockLength)]
		public virtual string ReservedStock { get; set; }
		[StringLength(MaxResidueLength)]
		public virtual string Residue { get; set; }
		[StringLength(MaxLotCodeLength)]
		public virtual string LotCode { get; set; }
		[StringLength(MaxMrpGroupLength)]
		public virtual string MrpGroup { get; set; }
		[StringLength(MaxMrpTypeLength)]
		public virtual string MrpType { get; set; }
		[StringLength(MaxProcurementTypeLength)]
		public virtual string ProcurementType { get; set; }
		[StringLength(MaxSpecialProcurementLength)]
		public virtual string SpecialProcurement { get; set; }
		[StringLength(MaxProdStorLocationLength)]
		public virtual string ProdStorLocation { get; set; }
		[StringLength(MaxRepetManufacturingLength)]
		public virtual string RepetManufacturing { get; set; }
		[StringLength(MaxRemProfileLength)]
		public virtual string RemProfile { get; set; }
		[StringLength(MaxDoNotCostLength)]
		public virtual string DoNotCost { get; set; }
		[StringLength(MaxVarianceKeyLength)]
		public virtual string VarianceKey { get; set; }
		[StringLength(MaxCostingLotSizeLength)]
		public virtual string CostingLotSize { get; set; }
		[StringLength(MaxProductionVersionLength)]
		public virtual string ProductionVersion { get; set; }
		[StringLength(MaxSpecialProcurementTypeLength)]
		public virtual string SpecialProcurementType { get; set; }
		[StringLength(MaxValuationCategoryLength)]
		public virtual string ValuationCategory { get; set; }
		[StringLength(MaxValuationTypeLength)]
		public virtual string ValuationType { get; set; }
		[StringLength(MaxValuationClassLength)]
		public virtual string ValuationClass { get; set; }
		[StringLength(MaxPriceDeterminationLength)]
		public virtual string PriceDetermination { get; set; }
		[StringLength(MaxPriceControlLength)]
		public virtual string PriceControl { get; set; }
		[StringLength(MaxStandardPriceLength)]
		public virtual string StandardPrice { get; set; }
		[StringLength(MaxMovingPriceLength)]
		public virtual string MovingPrice { get; set; }
		[StringLength(MaxWithQtyStructureLength)]
		public virtual string WithQtyStructure { get; set; }
		[StringLength(MaxMaterialOriginLength)]
		public virtual string MaterialOrigin { get; set; }
		[StringLength(MaxOriginGroupLength)]
		public virtual string OriginGroup { get; set; }
		[StringLength(MaxBasicDataTextLength)]
		public virtual string BasicDataText { get; set; }
		[StringLength(MaxKatashikiLength)]
		public virtual string Katashiki { get; set; }
		[StringLength(MaxVehicleControlKatashikiLength)]
		public virtual string VehicleControlKatashiki { get; set; }
		[StringLength(MaxToyotaOrNonToyotaLength)]
		public virtual string ToyotaOrNonToyota { get; set; }
		[StringLength(MaxCategoryOfGearLength)]
		public virtual string CategoryOfGear { get; set; }
		[StringLength(MaxGoshiCarLength)]
		public virtual string GoshiCar { get; set; }
		[StringLength(MaxSeriesOfVehiclesLength)]
		public virtual string SeriesOfVehicles { get; set; }
		[StringLength(MaxDeliverPowerOfDrivingWheelsLength)]
		public virtual string DeliverPowerOfDrivingWheels { get; set; }
		[StringLength(MaxFuelTypeLength)]
		public virtual string FuelType { get; set; }
		[StringLength(MaxVehicleNameLength)]
		public virtual string VehicleName { get; set; }
		[StringLength(MaxPriceUnitLength)]
		public virtual string PriceUnit { get; set; }
		[StringLength(MaxMaruCodeLength)]
		public virtual string MaruCode { get; set; }
		[StringLength(MaxEndingOfRecordLength)]
		public virtual string EndingOfRecord { get; set; }
	}
}
</v>
      </c>
      <c r="D68" s="48" t="str">
        <f>A.Backend!O7</f>
        <v xml:space="preserve">		public const string Pages_Inventory_IF_FQF3MM06 = "Pages.Inventory.IF.FQF3MM06";
		public const string Pages_Inventory_IF_FQF3MM06_CreateEdit = "Pages.Inventory.IF.FQF3MM06.CreateEdit";
		public const string Pages_Inventory_IF_FQF3MM06_Delete = "Pages.Inventory.IF.FQF3MM06.Delete";
</v>
      </c>
      <c r="E68" s="48" t="str">
        <f>A.Backend!N7</f>
        <v xml:space="preserve">		var perIF_FQF3MM06 = PARENTS.CreateChildPermission(AppPermissions.Pages_Inventory_IF_FQF3MM06, L( "InventoryIFFQF3MM06"), multiTenancySides: MultiTenancySides.Tenant);
		perIF_FQF3MM06.CreateChildPermission(AppPermissions.Pages_Inventory_IF_FQF3MM06_CreateEdit, L( "InventoryIFFQF3MM06CreateEdit"), multiTenancySides: MultiTenancySides.Tenant);
		perIF_FQF3MM06.CreateChildPermission(AppPermissions.Pages_Inventory_IF_FQF3MM06_Delete, L( "InventoryIFFQF3MM06Delete"), multiTenancySides: MultiTenancySides.Tenant);</v>
      </c>
      <c r="F68" s="48" t="str">
        <f>A.Backend!K7</f>
        <v>public virtual DbSet&lt;IF_FQF3MM06&gt; IF_FQF3MM06s { get; set; }</v>
      </c>
      <c r="G68" s="48" t="str">
        <f ca="1">A.Backend!L7</f>
        <v xml:space="preserve">namespace prod.Inventory.IF
{
	public class IF_FQF3MM06Consts	
	{
		public const int MaxAuthorizationGroupLength = 4;
		public const int MaxMaterialTypeLength = 4;
		public const int MaxMaterialCodeLength = 40;
		public const int MaxIndustrySectorLength = 1;
		public const int MaxMaterialDescriptionLength = 40;
		public const int MaxMaterialGroupLength = 9;
		public const int MaxBaseUnitOfMeasureLength = 3;
		public const int MaxFlagDeletionPlantLevelLength = 1;
		public const int MaxPlantLength = 4;
		public const int MaxStorageLocationLength = 4;
		public const int MaxProductGroupLength = 3;
		public const int MaxProductPurposeLength = 2;
		public const int MaxProductTypeLength = 20;
		public const int MaxProfitCenterLength = 10;
		public const int MaxBatchManagementLength = 1;
		public const int MaxReservedStockLength = 1;
		public const int MaxResidueLength = 1;
		public const int MaxLotCodeLength = 5;
		public const int MaxMrpGroupLength = 4;
		public const int MaxMrpTypeLength = 2;
		public const int MaxProcurementTypeLength = 1;
		public const int MaxSpecialProcurementLength = 2;
		public const int MaxProdStorLocationLength = 4;
		public const int MaxRepetManufacturingLength = 1;
		public const int MaxRemProfileLength = 4;
		public const int MaxDoNotCostLength = 1;
		public const int MaxVarianceKeyLength = 6;
		public const int MaxCostingLotSizeLength = 14;
		public const int MaxProductionVersionLength = 4;
		public const int MaxSpecialProcurementTypeLength = 2;
		public const int MaxValuationCategoryLength = 1;
		public const int MaxValuationTypeLength = 10;
		public const int MaxValuationClassLength = 4;
		public const int MaxPriceDeterminationLength = 1;
		public const int MaxPriceControlLength = 1;
		public const int MaxStandardPriceLength = 12;
		public const int MaxMovingPriceLength = 12;
		public const int MaxWithQtyStructureLength = 1;
		public const int MaxMaterialOriginLength = 1;
		public const int MaxOriginGroupLength = 4;
		public const int MaxBasicDataTextLength = 255;
		public const int MaxKatashikiLength = 20;
		public const int MaxVehicleControlKatashikiLength = 20;
		public const int MaxToyotaOrNonToyotaLength = 2;
		public const int MaxCategoryOfGearLength = 2;
		public const int MaxGoshiCarLength = 1;
		public const int MaxSeriesOfVehiclesLength = 18;
		public const int MaxDeliverPowerOfDrivingWheelsLength = 3;
		public const int MaxFuelTypeLength = 2;
		public const int MaxVehicleNameLength = 6;
		public const int MaxPriceUnitLength = 1;
		public const int MaxMaruCodeLength = 1;
		public const int MaxEndingOfRecordLength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prod.Inventory.IF.Dto
{
	public class IF_FQF3MM06Dto : EntityDto&lt;long?&gt;	
	{
		public virtual int? RecordId { get; set; }
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	}
	public class CreateOrEditIF_FQF3MM06Dto : EntityDto&lt;long?&gt;	
	{
		public virtual int? RecordId { get; set; }
		[StringLength(IF_FQF3MM06Consts.MaxAuthorizationGroupLength)]
		public virtual string AuthorizationGroup { get; set; }
		[StringLength(IF_FQF3MM06Consts.MaxMaterialTypeLength)]
		public virtual string MaterialType { get; set; }
		[StringLength(IF_FQF3MM06Consts.MaxMaterialCodeLength)]
		public virtual string MaterialCode { get; set; }
		[StringLength(IF_FQF3MM06Consts.MaxIndustrySectorLength)]
		public virtual string IndustrySector { get; set; }
		[StringLength(IF_FQF3MM06Consts.MaxMaterialDescriptionLength)]
		public virtual string MaterialDescription { get; set; }
		[StringLength(IF_FQF3MM06Consts.MaxMaterialGroupLength)]
		public virtual string MaterialGroup { get; set; }
		[StringLength(IF_FQF3MM06Consts.MaxBaseUnitOfMeasureLength)]
		public virtual string BaseUnitOfMeasure { get; set; }
		[StringLength(IF_FQF3MM06Consts.MaxFlagDeletionPlantLevelLength)]
		public virtual string FlagDeletionPlantLevel { get; set; }
		[StringLength(IF_FQF3MM06Consts.MaxPlantLength)]
		public virtual string Plant { get; set; }
		[StringLength(IF_FQF3MM06Consts.MaxStorageLocationLength)]
		public virtual string StorageLocation { get; set; }
		[StringLength(IF_FQF3MM06Consts.MaxProductGroupLength)]
		public virtual string ProductGroup { get; set; }
		[StringLength(IF_FQF3MM06Consts.MaxProductPurposeLength)]
		public virtual string ProductPurpose { get; set; }
		[StringLength(IF_FQF3MM06Consts.MaxProductTypeLength)]
		public virtual string ProductType { get; set; }
		[StringLength(IF_FQF3MM06Consts.MaxProfitCenterLength)]
		public virtual string ProfitCenter { get; set; }
		[StringLength(IF_FQF3MM06Consts.MaxBatchManagementLength)]
		public virtual string BatchManagement { get; set; }
		[StringLength(IF_FQF3MM06Consts.MaxReservedStockLength)]
		public virtual string ReservedStock { get; set; }
		[StringLength(IF_FQF3MM06Consts.MaxResidueLength)]
		public virtual string Residue { get; set; }
		[StringLength(IF_FQF3MM06Consts.MaxLotCodeLength)]
		public virtual string LotCode { get; set; }
		[StringLength(IF_FQF3MM06Consts.MaxMrpGroupLength)]
		public virtual string MrpGroup { get; set; }
		[StringLength(IF_FQF3MM06Consts.MaxMrpTypeLength)]
		public virtual string MrpType { get; set; }
		[StringLength(IF_FQF3MM06Consts.MaxProcurementTypeLength)]
		public virtual string ProcurementType { get; set; }
		[StringLength(IF_FQF3MM06Consts.MaxSpecialProcurementLength)]
		public virtual string SpecialProcurement { get; set; }
		[StringLength(IF_FQF3MM06Consts.MaxProdStorLocationLength)]
		public virtual string ProdStorLocation { get; set; }
		[StringLength(IF_FQF3MM06Consts.MaxRepetManufacturingLength)]
		public virtual string RepetManufacturing { get; set; }
		[StringLength(IF_FQF3MM06Consts.MaxRemProfileLength)]
		public virtual string RemProfile { get; set; }
		[StringLength(IF_FQF3MM06Consts.MaxDoNotCostLength)]
		public virtual string DoNotCost { get; set; }
		[StringLength(IF_FQF3MM06Consts.MaxVarianceKeyLength)]
		public virtual string VarianceKey { get; set; }
		[StringLength(IF_FQF3MM06Consts.MaxCostingLotSizeLength)]
		public virtual string CostingLotSize { get; set; }
		[StringLength(IF_FQF3MM06Consts.MaxProductionVersionLength)]
		public virtual string ProductionVersion { get; set; }
		[StringLength(IF_FQF3MM06Consts.MaxSpecialProcurementTypeLength)]
		public virtual string SpecialProcurementType { get; set; }
		[StringLength(IF_FQF3MM06Consts.MaxValuationCategoryLength)]
		public virtual string ValuationCategory { get; set; }
		[StringLength(IF_FQF3MM06Consts.MaxValuationTypeLength)]
		public virtual string ValuationType { get; set; }
		[StringLength(IF_FQF3MM06Consts.MaxValuationClassLength)]
		public virtual string ValuationClass { get; set; }
		[StringLength(IF_FQF3MM06Consts.MaxPriceDeterminationLength)]
		public virtual string PriceDetermination { get; set; }
		[StringLength(IF_FQF3MM06Consts.MaxPriceControlLength)]
		public virtual string PriceControl { get; set; }
		[StringLength(IF_FQF3MM06Consts.MaxStandardPriceLength)]
		public virtual string StandardPrice { get; set; }
		[StringLength(IF_FQF3MM06Consts.MaxMovingPriceLength)]
		public virtual string MovingPrice { get; set; }
		[StringLength(IF_FQF3MM06Consts.MaxWithQtyStructureLength)]
		public virtual string WithQtyStructure { get; set; }
		[StringLength(IF_FQF3MM06Consts.MaxMaterialOriginLength)]
		public virtual string MaterialOrigin { get; set; }
		[StringLength(IF_FQF3MM06Consts.MaxOriginGroupLength)]
		public virtual string OriginGroup { get; set; }
		[StringLength(IF_FQF3MM06Consts.MaxBasicDataTextLength)]
		public virtual string BasicDataText { get; set; }
		[StringLength(IF_FQF3MM06Consts.MaxKatashikiLength)]
		public virtual string Katashiki { get; set; }
		[StringLength(IF_FQF3MM06Consts.MaxVehicleControlKatashikiLength)]
		public virtual string VehicleControlKatashiki { get; set; }
		[StringLength(IF_FQF3MM06Consts.MaxToyotaOrNonToyotaLength)]
		public virtual string ToyotaOrNonToyota { get; set; }
		[StringLength(IF_FQF3MM06Consts.MaxCategoryOfGearLength)]
		public virtual string CategoryOfGear { get; set; }
		[StringLength(IF_FQF3MM06Consts.MaxGoshiCarLength)]
		public virtual string GoshiCar { get; set; }
		[StringLength(IF_FQF3MM06Consts.MaxSeriesOfVehiclesLength)]
		public virtual string SeriesOfVehicles { get; set; }
		[StringLength(IF_FQF3MM06Consts.MaxDeliverPowerOfDrivingWheelsLength)]
		public virtual string DeliverPowerOfDrivingWheels { get; set; }
		[StringLength(IF_FQF3MM06Consts.MaxFuelTypeLength)]
		public virtual string FuelType { get; set; }
		[StringLength(IF_FQF3MM06Consts.MaxVehicleNameLength)]
		public virtual string VehicleName { get; set; }
		[StringLength(IF_FQF3MM06Consts.MaxPriceUnitLength)]
		public virtual string PriceUnit { get; set; }
		[StringLength(IF_FQF3MM06Consts.MaxMaruCodeLength)]
		public virtual string MaruCode { get; set; }
		[StringLength(IF_FQF3MM06Consts.MaxEndingOfRecordLength)]
		public virtual string EndingOfRecord { get; set; }
	}
	public class GetIF_FQF3MM06Input : PagedAndSortedResultRequestDto	
	{
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	}
}
</v>
      </c>
      <c r="I68" s="48" t="str">
        <f ca="1">A.Backend!R7</f>
        <v xml:space="preserve">using Abp.Application.Services.Dto;
using System;
using System.ComponentModel.DataAnnotations;
namespace prod.Inventory.IF.Dto
{
	public class IF_FQF3MM06ExportInput{
		public virtual int? RecordId { get; set; }
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IIF_FQF3MM06AppService : IApplicationService
	{
		Task&lt;PagedResultDto&lt;IF_FQF3MM06Dto&gt;&gt; GetAll(GetIF_FQF3MM06Input input);
		Task CreateOrEdit(CreateOrEditIF_FQF3MM06Dto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IIF_FQF3MM06ExcelExporter : IApplicationService
	{
		FileDto ExportToFile(List&lt;IF_FQF3MM06Dto&gt; if_fqf3mm06);
	}
}
</v>
      </c>
      <c r="L68" s="48" t="str">
        <f ca="1">A.Backend!T7</f>
        <v>using System.Collections.Generic;
using vovina.DataExporting.Excel.NPOI;
using vovina.Dto;
using vovina.IF.IF.Exporting;
using vovina.IF.IF.Dto;
using vovina.Storage;
using vovina.IF.IF.Dto;
namespace vovina.IF.IF.Exporting
{
    public class IF_FQF3MM06ExcelExporter : NpoiExcelExporterBase, IIF_FQF3MM06ExcelExporter
    {
        public IF_FQF3MM06ExcelExporter(ITempFileCacheManager tempFileCacheManager) : base(tempFileCacheManager) { }
        public FileDto ExportToFile(List&lt;IF_FQF3MM06Dto&gt; fqf3mm06)
        {
            return CreateExcelPackage(
				"IFIFFQF3MM06.xlsx",
				excelPackage =&gt;
				 {
					var sheet = excelPackage.CreateSheet("FQF3MM06");
					AddHeader(
								sheet,
								("RecordId"),
								("AuthorizationGroup"),
								("MaterialType"),
								("MaterialCode"),
								("IndustrySector"),
								("MaterialDescription"),
								("MaterialGroup"),
								("BaseUnitOfMeasure"),
								("FlagDeletionPlantLevel"),
								("Plant"),
								("StorageLocation"),
								("ProductGroup"),
								("ProductPurpose"),
								("ProductType"),
								("ProfitCenter"),
								("BatchManagement"),
								("ReservedStock"),
								("Residue"),
								("LotCode"),
								("MrpGroup"),
								("MrpType"),
								("ProcurementType"),
								("SpecialProcurement"),
								("ProdStorLocation"),
								("RepetManufacturing"),
								("RemProfile"),
								("DoNotCost"),
								("VarianceKey"),
								("CostingLotSize"),
								("ProductionVersion"),
								("SpecialProcurementType"),
								("ValuationCategory"),
								("ValuationType"),
								("ValuationClass"),
								("PriceDetermination"),
								("PriceControl"),
								("StandardPrice"),
								("MovingPrice"),
								("WithQtyStructure"),
								("MaterialOrigin"),
								("OriginGroup"),
								("BasicDataText"),
								("Katashiki"),
								("VehicleControlKatashiki"),
								("ToyotaOrNonToyota"),
								("CategoryOfGear"),
								("GoshiCar"),
								("SeriesOfVehicles"),
								("DeliverPowerOfDrivingWheels"),
								("FuelType"),
								("VehicleName"),
								("PriceUnit"),
								("MaruCode"),
								("EndingOfRecord"),
							   );
					AddObjects(
						 sheet, 1, fqf3mm06,                                       
								_ =&gt; _.RecordId,
								_ =&gt; _.AuthorizationGroup,
								_ =&gt; _.MaterialType,
								_ =&gt; _.MaterialCode,
								_ =&gt; _.IndustrySector,
								_ =&gt; _.MaterialDescription,
								_ =&gt; _.MaterialGroup,
								_ =&gt; _.BaseUnitOfMeasure,
								_ =&gt; _.FlagDeletionPlantLevel,
								_ =&gt; _.Plant,
								_ =&gt; _.StorageLocation,
								_ =&gt; _.ProductGroup,
								_ =&gt; _.ProductPurpose,
								_ =&gt; _.ProductType,
								_ =&gt; _.ProfitCenter,
								_ =&gt; _.BatchManagement,
								_ =&gt; _.ReservedStock,
								_ =&gt; _.Residue,
								_ =&gt; _.LotCode,
								_ =&gt; _.MrpGroup,
								_ =&gt; _.MrpType,
								_ =&gt; _.ProcurementType,
								_ =&gt; _.SpecialProcurement,
								_ =&gt; _.ProdStorLocation,
								_ =&gt; _.RepetManufacturing,
								_ =&gt; _.RemProfile,
								_ =&gt; _.DoNotCost,
								_ =&gt; _.VarianceKey,
								_ =&gt; _.CostingLotSize,
								_ =&gt; _.ProductionVersion,
								_ =&gt; _.SpecialProcurementType,
								_ =&gt; _.ValuationCategory,
								_ =&gt; _.ValuationType,
								_ =&gt; _.ValuationClass,
								_ =&gt; _.PriceDetermination,
								_ =&gt; _.PriceControl,
								_ =&gt; _.StandardPrice,
								_ =&gt; _.MovingPrice,
								_ =&gt; _.WithQtyStructure,
								_ =&gt; _.MaterialOrigin,
								_ =&gt; _.OriginGroup,
								_ =&gt; _.BasicDataText,
								_ =&gt; _.Katashiki,
								_ =&gt; _.VehicleControlKatashiki,
								_ =&gt; _.ToyotaOrNonToyota,
								_ =&gt; _.CategoryOfGear,
								_ =&gt; _.GoshiCar,
								_ =&gt; _.SeriesOfVehicles,
								_ =&gt; _.DeliverPowerOfDrivingWheels,
								_ =&gt; _.FuelType,
								_ =&gt; _.VehicleName,
								_ =&gt; _.PriceUnit,
								_ =&gt; _.MaruCode,
								_ =&gt; _.EndingOfRecord,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[AbpAuthorize(AppPermissions.Pages_IF_IF_FQF3MM06)]
    public class IF_FQF3MM06AppService : vovinaAppServiceBase, IIF_FQF3MM06AppService
    {
        private readonly IDapperRepository&lt;IF_FQF3MM06, long&gt; _dapperRepo;
        private readonly IRepository&lt;IF_FQF3MM06, long&gt; _repo;
        private readonly IIF_FQF3MM06ExcelExporter _calendarListExcelExporter;
        public IF_FQF3MM06AppService(IRepository&lt;IF_FQF3MM06,long&gt; repo, 
                                         IDapperRepository&lt;IF_FQF3MM06,long&gt; dapperRepo,
                                        IIF_FQF3MM06ExcelExporter calendarListExcelExporter
            )
        {
            _repo = repo;
            _dapperRepo = dapperRepo;
            _calendarListExcelExporter = calendarListExcelExporter;
        }
        [AbpAuthorize(AppPermissions.Pages_IF_IF_FQF3MM06_CreateEdit)]
        public async Task CreateOrEdit(CreateOrEditIF_FQF3MM06Dto input)
        {
            if (input.Id == null) await Create(input);
            else await Update(input);
        }
        //CREATE
        private async Task Create(CreateOrEditIF_FQF3MM06Dto input)
        {          
            var mainObj = ObjectMapper.Map&lt;IF_FQF3MM06&gt;(input);
            await CurrentUnitOfWork.GetDbContext&lt;vovinaDbContext&gt;().AddAsync(mainObj);
        }
        // EDIT
        private async Task Update(CreateOrEditIF_FQF3MM06Dto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[AbpAuthorize(AppPermissions.Pages_IF_IF_FQF3MM06_Delete)]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Task&lt;PagedResultDto&lt;IF_FQF3MM06Dto&gt;&gt; GetAll(GetIF_FQF3MM06Input input)
        {
            var filtered = _repo.GetAll()
				.WhereIf(!string.IsNullOrWhiteSpace(input.AuthorizationGroup), e =&gt; e.AuthorizationGroup.Contains(input.AuthorizationGroup))
				.WhereIf(!string.IsNullOrWhiteSpace(input.MaterialType), e =&gt; e.MaterialType.Contains(input.MaterialType))
				.WhereIf(!string.IsNullOrWhiteSpace(input.MaterialCode), e =&gt; e.MaterialCode.Contains(input.MaterialCode))
				.WhereIf(!string.IsNullOrWhiteSpace(input.IndustrySector), e =&gt; e.IndustrySector.Contains(input.IndustrySector))
				.WhereIf(!string.IsNullOrWhiteSpace(input.MaterialDescription), e =&gt; e.MaterialDescription.Contains(input.MaterialDescription))
				.WhereIf(!string.IsNullOrWhiteSpace(input.MaterialGroup), e =&gt; e.MaterialGroup.Contains(input.MaterialGroup))
				.WhereIf(!string.IsNullOrWhiteSpace(input.BaseUnitOfMeasure), e =&gt; e.BaseUnitOfMeasure.Contains(input.BaseUnitOfMeasure))
				.WhereIf(!string.IsNullOrWhiteSpace(input.FlagDeletionPlantLevel), e =&gt; e.FlagDeletionPlantLevel.Contains(input.FlagDeletionPlantLevel))
				.WhereIf(!string.IsNullOrWhiteSpace(input.Plant), e =&gt; e.Plant.Contains(input.Plant))
				.WhereIf(!string.IsNullOrWhiteSpace(input.StorageLocation), e =&gt; e.StorageLocation.Contains(input.StorageLocation))
				.WhereIf(!string.IsNullOrWhiteSpace(input.ProductGroup), e =&gt; e.ProductGroup.Contains(input.ProductGroup))
				.WhereIf(!string.IsNullOrWhiteSpace(input.ProductPurpose), e =&gt; e.ProductPurpose.Contains(input.ProductPurpose))
				.WhereIf(!string.IsNullOrWhiteSpace(input.ProductType), e =&gt; e.ProductType.Contains(input.ProductType))
				.WhereIf(!string.IsNullOrWhiteSpace(input.ProfitCenter), e =&gt; e.ProfitCenter.Contains(input.ProfitCenter))
				.WhereIf(!string.IsNullOrWhiteSpace(input.BatchManagement), e =&gt; e.BatchManagement.Contains(input.BatchManagement))
				.WhereIf(!string.IsNullOrWhiteSpace(input.ReservedStock), e =&gt; e.ReservedStock.Contains(input.ReservedStock))
				.WhereIf(!string.IsNullOrWhiteSpace(input.Residue), e =&gt; e.Residue.Contains(input.Residue))
				.WhereIf(!string.IsNullOrWhiteSpace(input.LotCode), e =&gt; e.LotCode.Contains(input.LotCode))
				.WhereIf(!string.IsNullOrWhiteSpace(input.MrpGroup), e =&gt; e.MrpGroup.Contains(input.MrpGroup))
				.WhereIf(!string.IsNullOrWhiteSpace(input.MrpType), e =&gt; e.MrpType.Contains(input.MrpType))
				.WhereIf(!string.IsNullOrWhiteSpace(input.ProcurementType), e =&gt; e.ProcurementType.Contains(input.ProcurementType))
				.WhereIf(!string.IsNullOrWhiteSpace(input.SpecialProcurement), e =&gt; e.SpecialProcurement.Contains(input.SpecialProcurement))
				.WhereIf(!string.IsNullOrWhiteSpace(input.ProdStorLocation), e =&gt; e.ProdStorLocation.Contains(input.ProdStorLocation))
				.WhereIf(!string.IsNullOrWhiteSpace(input.RepetManufacturing), e =&gt; e.RepetManufacturing.Contains(input.RepetManufacturing))
				.WhereIf(!string.IsNullOrWhiteSpace(input.RemProfile), e =&gt; e.RemProfile.Contains(input.RemProfile))
				.WhereIf(!string.IsNullOrWhiteSpace(input.DoNotCost), e =&gt; e.DoNotCost.Contains(input.DoNotCost))
				.WhereIf(!string.IsNullOrWhiteSpace(input.VarianceKey), e =&gt; e.VarianceKey.Contains(input.VarianceKey))
				.WhereIf(!string.IsNullOrWhiteSpace(input.CostingLotSize), e =&gt; e.CostingLotSize.Contains(input.CostingLotSize))
				.WhereIf(!string.IsNullOrWhiteSpace(input.ProductionVersion), e =&gt; e.ProductionVersion.Contains(input.ProductionVersion))
				.WhereIf(!string.IsNullOrWhiteSpace(input.SpecialProcurementType), e =&gt; e.SpecialProcurementType.Contains(input.SpecialProcurementType))
				.WhereIf(!string.IsNullOrWhiteSpace(input.ValuationCategory), e =&gt; e.ValuationCategory.Contains(input.ValuationCategory))
				.WhereIf(!string.IsNullOrWhiteSpace(input.ValuationType), e =&gt; e.ValuationType.Contains(input.ValuationType))
				.WhereIf(!string.IsNullOrWhiteSpace(input.ValuationClass), e =&gt; e.ValuationClass.Contains(input.ValuationClass))
				.WhereIf(!string.IsNullOrWhiteSpace(input.PriceDetermination), e =&gt; e.PriceDetermination.Contains(input.PriceDetermination))
				.WhereIf(!string.IsNullOrWhiteSpace(input.PriceControl), e =&gt; e.PriceControl.Contains(input.PriceControl))
				.WhereIf(!string.IsNullOrWhiteSpace(input.StandardPrice), e =&gt; e.StandardPrice.Contains(input.StandardPrice))
				.WhereIf(!string.IsNullOrWhiteSpace(input.MovingPrice), e =&gt; e.MovingPrice.Contains(input.MovingPrice))
				.WhereIf(!string.IsNullOrWhiteSpace(input.WithQtyStructure), e =&gt; e.WithQtyStructure.Contains(input.WithQtyStructure))
				.WhereIf(!string.IsNullOrWhiteSpace(input.MaterialOrigin), e =&gt; e.MaterialOrigin.Contains(input.MaterialOrigin))
				.WhereIf(!string.IsNullOrWhiteSpace(input.OriginGroup), e =&gt; e.OriginGroup.Contains(input.OriginGroup))
				.WhereIf(!string.IsNullOrWhiteSpace(input.BasicDataText), e =&gt; e.BasicDataText.Contains(input.BasicDataText))
				.WhereIf(!string.IsNullOrWhiteSpace(input.Katashiki), e =&gt; e.Katashiki.Contains(input.Katashiki))
				.WhereIf(!string.IsNullOrWhiteSpace(input.VehicleControlKatashiki), e =&gt; e.VehicleControlKatashiki.Contains(input.VehicleControlKatashiki))
				.WhereIf(!string.IsNullOrWhiteSpace(input.ToyotaOrNonToyota), e =&gt; e.ToyotaOrNonToyota.Contains(input.ToyotaOrNonToyota))
				.WhereIf(!string.IsNullOrWhiteSpace(input.CategoryOfGear), e =&gt; e.CategoryOfGear.Contains(input.CategoryOfGear))
				.WhereIf(!string.IsNullOrWhiteSpace(input.GoshiCar), e =&gt; e.GoshiCar.Contains(input.GoshiCar))
				.WhereIf(!string.IsNullOrWhiteSpace(input.SeriesOfVehicles), e =&gt; e.SeriesOfVehicles.Contains(input.SeriesOfVehicles))
				.WhereIf(!string.IsNullOrWhiteSpace(input.DeliverPowerOfDrivingWheels), e =&gt; e.DeliverPowerOfDrivingWheels.Contains(input.DeliverPowerOfDrivingWheels))
				.WhereIf(!string.IsNullOrWhiteSpace(input.FuelType), e =&gt; e.FuelType.Contains(input.FuelType))
				.WhereIf(!string.IsNullOrWhiteSpace(input.VehicleName), e =&gt; e.VehicleName.Contains(input.VehicleName))
				.WhereIf(!string.IsNullOrWhiteSpace(input.PriceUnit), e =&gt; e.PriceUnit.Contains(input.PriceUnit))
				.WhereIf(!string.IsNullOrWhiteSpace(input.MaruCode), e =&gt; e.MaruCode.Contains(input.MaruCode))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IF_FQF3MM06Dto
                        {
							Id = o.Id,
							RecordId = o.RecordId,
							AuthorizationGroup = o.AuthorizationGroup,
							MaterialType = o.MaterialType,
							MaterialCode = o.MaterialCode,
							IndustrySector = o.IndustrySector,
							MaterialDescription = o.MaterialDescription,
							MaterialGroup = o.MaterialGroup,
							BaseUnitOfMeasure = o.BaseUnitOfMeasure,
							FlagDeletionPlantLevel = o.FlagDeletionPlantLevel,
							Plant = o.Plant,
							StorageLocation = o.StorageLocation,
							ProductGroup = o.ProductGroup,
							ProductPurpose = o.ProductPurpose,
							ProductType = o.ProductType,
							ProfitCenter = o.ProfitCenter,
							BatchManagement = o.BatchManagement,
							ReservedStock = o.ReservedStock,
							Residue = o.Residue,
							LotCode = o.LotCode,
							MrpGroup = o.MrpGroup,
							MrpType = o.MrpType,
							ProcurementType = o.ProcurementType,
							SpecialProcurement = o.SpecialProcurement,
							ProdStorLocation = o.ProdStorLocation,
							RepetManufacturing = o.RepetManufacturing,
							RemProfile = o.RemProfile,
							DoNotCost = o.DoNotCost,
							VarianceKey = o.VarianceKey,
							CostingLotSize = o.CostingLotSize,
							ProductionVersion = o.ProductionVersion,
							SpecialProcurementType = o.SpecialProcurementType,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BasicDataText = o.BasicDataText,
							Katashiki = o.Katashiki,
							VehicleControlKatashiki = o.VehicleControlKatashiki,
							ToyotaOrNonToyota = o.ToyotaOrNonToyota,
							CategoryOfGear = o.CategoryOfGear,
							GoshiCar = o.GoshiCar,
							SeriesOfVehicles = o.SeriesOfVehicles,
							DeliverPowerOfDrivingWheels = o.DeliverPowerOfDrivingWheels,
							FuelType = o.FuelType,
							VehicleName = o.VehicleName,
							PriceUnit = o.PriceUnit,
							MaruCode = o.MaruCode,
							EndingOfRecord = o.EndingOfRecord,
                        };
            var totalCount = await filtered.CountAsync();
			var paged = system.PageBy(input);
            return new PagedResultDto&lt;IF_FQF3MM06Dto&gt;(
                totalCount,
                 await paged.ToListAsync()
            );
        }
        public async Task&lt;FileDto&gt; GetFQF3MM06ToExcel(IF_FQF3MM06ExportInput input)
        {
            var query = from o in _repo.GetAll()
                        select new IF_FQF3MM06Dto
                        {
							Id = o.Id,
							RecordId = o.RecordId,
							AuthorizationGroup = o.AuthorizationGroup,
							MaterialType = o.MaterialType,
							MaterialCode = o.MaterialCode,
							IndustrySector = o.IndustrySector,
							MaterialDescription = o.MaterialDescription,
							MaterialGroup = o.MaterialGroup,
							BaseUnitOfMeasure = o.BaseUnitOfMeasure,
							FlagDeletionPlantLevel = o.FlagDeletionPlantLevel,
							Plant = o.Plant,
							StorageLocation = o.StorageLocation,
							ProductGroup = o.ProductGroup,
							ProductPurpose = o.ProductPurpose,
							ProductType = o.ProductType,
							ProfitCenter = o.ProfitCenter,
							BatchManagement = o.BatchManagement,
							ReservedStock = o.ReservedStock,
							Residue = o.Residue,
							LotCode = o.LotCode,
							MrpGroup = o.MrpGroup,
							MrpType = o.MrpType,
							ProcurementType = o.ProcurementType,
							SpecialProcurement = o.SpecialProcurement,
							ProdStorLocation = o.ProdStorLocation,
							RepetManufacturing = o.RepetManufacturing,
							RemProfile = o.RemProfile,
							DoNotCost = o.DoNotCost,
							VarianceKey = o.VarianceKey,
							CostingLotSize = o.CostingLotSize,
							ProductionVersion = o.ProductionVersion,
							SpecialProcurementType = o.SpecialProcurementType,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BasicDataText = o.BasicDataText,
							Katashiki = o.Katashiki,
							VehicleControlKatashiki = o.VehicleControlKatashiki,
							ToyotaOrNonToyota = o.ToyotaOrNonToyota,
							CategoryOfGear = o.CategoryOfGear,
							GoshiCar = o.GoshiCar,
							SeriesOfVehicles = o.SeriesOfVehicles,
							DeliverPowerOfDrivingWheels = o.DeliverPowerOfDrivingWheels,
							FuelType = o.FuelType,
							VehicleName = o.VehicleName,
							PriceUnit = o.PriceUnit,
							MaruCode = o.MaruCode,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_dapperRepo.ExecuteAsync(IF_FQF3MM06Consts.SP_MST_WPT_CALENDAR_GENERATE);
       // }
    }
}</v>
      </c>
      <c r="N68" s="58" t="str">
        <f>A.Backend!U7</f>
        <v xml:space="preserve">  configuration.CreateMap&lt;IF_FQF3MM06Dto, IF_FQF3MM06&gt;();
  configuration.CreateMap&lt;IF_FQF3MM06, IF_FQF3MM06Dto&gt;();
  configuration.CreateMap&lt;CreateOrEditIF_FQF3MM06Dto, IF_FQF3MM06&gt;();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fqf3mm06</v>
      </c>
      <c r="C73" s="66" t="str">
        <f>"create folder " &amp;B73</f>
        <v>create folder fqf3mm06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fqf3mm06.component.ts</v>
      </c>
      <c r="D74" s="28" t="str">
        <f>B.Frontend!I14</f>
        <v>fqf3mm06.component.html</v>
      </c>
      <c r="E74" s="28" t="str">
        <f>B.Frontend!J14</f>
        <v>fqf3mm06.component.less</v>
      </c>
      <c r="F74" s="28" t="str">
        <f>B.Frontend!K14</f>
        <v>create-or-edit-fqf3mm06-modal.component.html</v>
      </c>
      <c r="G74" s="28" t="str">
        <f>B.Frontend!L14</f>
        <v>create-or-edit-fqf3mm06-modal.component.ts</v>
      </c>
      <c r="H74" s="28" t="str">
        <f>B.Frontend!M14</f>
        <v>create-or-edit-fqf3mm06-modal.component.less</v>
      </c>
      <c r="I74" s="28" t="str">
        <f>B.Frontend!N14</f>
        <v>fqf3mm06.module.ts</v>
      </c>
      <c r="J74" s="28" t="str">
        <f>B.Frontend!O14</f>
        <v>fqf3mm06-routing.module.ts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IF_FQF3MM06Dto, IF_FQF3MM06ServiceProxy } from '@shared/service-proxies/service-proxies';
import { finalize } from 'rxjs/internal/operators/finalize';
import { CreateOrEditFQF3MM06ModalComponent } from './create-or-edit-fqf3mm06-modal.component';
import { DatePipe } from '@angular/common';
import { FileDownloadService } from '@shared/utils/file-download.service';
import ceil from 'lodash-es/ceil';
import { Paginator } from 'primeng/paginator';
@Component({
    templateUrl: './fqf3mm06.component.html',
    styleUrls: ['./fqf3mm06.component.less'],
})
export class FQF3MM06Component extends AppComponentBase implements OnInit {
    @ViewChild('createOrEditModalFQF3MM06', { static: true }) createOrEditModalFQF3MM06:| CreateOrEditFQF3MM06ModalComponent|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IF_FQF3MM06Dto = new IF_FQF3MM06Dto();
    saveSelectedRow: IF_FQF3MM06Dto = new IF_FQF3MM06Dto();
    datas: IF_FQF3MM06Dto = new IF_FQF3MM06Dto();
    isLoading: boolean = false;
    dataParams: GridParams | undefined;
    rowData: any[] = [];
    gridApi!: GridApi;
    rowSelection = 'multiple';
    filter: string = '';
	pipe = new DatePipe('en-US');
	frameworkComponents: FrameworkComponent;
    	recordId
	authorizationGroup : string = '' ; 
	materialType : string = '' ; 
	materialCode : string = '' ; 
	industrySector : string = '' ; 
	materialDescription : string = '' ; 
	materialGroup : string = '' ; 
	baseUnitOfMeasure : string = '' ; 
	flagDeletionPlantLevel : string = '' ; 
	plant : string = '' ; 
	storageLocation : string = '' ; 
	productGroup : string = '' ; 
	productPurpose : string = '' ; 
	productType : string = '' ; 
	profitCenter : string = '' ; 
	batchManagement : string = '' ; 
	reservedStock : string = '' ; 
	residue : string = '' ; 
	lotCode : string = '' ; 
	mrpGroup : string = '' ; 
	mrpType : string = '' ; 
	procurementType : string = '' ; 
	specialProcurement : string = '' ; 
	prodStorLocation : string = '' ; 
	repetManufacturing : string = '' ; 
	remProfile : string = '' ; 
	doNotCost : string = '' ; 
	varianceKey : string = '' ; 
	costingLotSize : string = '' ; 
	productionVersion : string = '' ; 
	specialProcurementType : string = '' ; 
	valuationCategory : string = '' ; 
	valuationType : string = '' ; 
	valuationClass : string = '' ; 
	priceDetermination : string = '' ; 
	priceControl : string = '' ; 
	standardPrice : string = '' ; 
	movingPrice : string = '' ; 
	withQtyStructure : string = '' ; 
	materialOrigin : string = '' ; 
	originGroup : string = '' ; 
	basicDataText : string = '' ; 
	katashiki : string = '' ; 
	vehicleControlKatashiki : string = '' ; 
	toyotaOrNonToyota : string = '' ; 
	categoryOfGear : string = '' ; 
	goshiCar : string = '' ; 
	seriesOfVehicles : string = '' ; 
	deliverPowerOfDrivingWheels : string = '' ; 
	fuelType : string = '' ; 
	vehicleName : string = '' ; 
	priceUnit : string = '' ; 
	maruCode : string = '' ; 
	endingOfRecord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IF_FQF3MM06ServiceProxy,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this.l('Authorization Group'),headerTooltip: this.l('Authorization Group'),field: 'authorizationGroup',flex: 1},
			{headerName: this.l('Material Type'),headerTooltip: this.l('Material Type'),field: 'materialType',flex: 1},
			{headerName: this.l('Material Code'),headerTooltip: this.l('Material Code'),field: 'materialCode',flex: 1},
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
			{headerName: this.l('Material Description'),headerTooltip: this.l('Material Description'),field: 'materialDescription',flex: 1},
			{headerName: this.l('Material Group'),headerTooltip: this.l('Material Group'),field: 'materialGroup',flex: 1},
			{headerName: this.l('Base Unit Of Measure'),headerTooltip: this.l('Base Unit Of Measure'),field: 'baseUnitOfMeasure',flex: 1},
			{headerName: this.l('Flag Deletion Plant Level'),headerTooltip: this.l('Flag Deletion Plant Level'),field:  'flagDeletionPlantLevel', cellClass: ['text-center'], width: 120, cellRenderer: 'agCellButtonComponent',
buttonDefTwo: { text: params =&gt; (params.data?.'flagDeletionPlantLevel' == 'Y') ? 'Active' : 'Inactive',iconName: 'fa fa-circle',className: params =&gt; (params.data?.'flagDeletionPlantLevel' == 'Y') ? 'btnActive' : 'btnInActive',},}
			{headerName: this.l('Plant'),headerTooltip: this.l('Plant'),field: 'plant',flex: 1},
			{headerName: this.l('Storage Location'),headerTooltip: this.l('Storage Location'),field: 'storageLocation',flex: 1},
			{headerName: this.l('Product Group'),headerTooltip: this.l('Product Group'),field: 'productGroup',flex: 1},
			{headerName: this.l('Product Purpose'),headerTooltip: this.l('Product Purpose'),field: 'productPurpose',flex: 1},
			{headerName: this.l('Product Type'),headerTooltip: this.l('Product Type'),field: 'productType',flex: 1},
			{headerName: this.l('Profit Center'),headerTooltip: this.l('Profit Center'),field: 'profitCenter',flex: 1},
			{headerName: this.l('Batch Management'),headerTooltip: this.l('Batch Management'),field:  'batchManagement', cellClass: ['text-center'], width: 120, cellRenderer: 'agCellButtonComponent',
buttonDefTwo: { text: params =&gt; (params.data?.'batchManagement' == 'Y') ? 'Active' : 'Inactive',iconName: 'fa fa-circle',className: params =&gt; (params.data?.'batchManagement' == 'Y') ? 'btnActive' : 'btnInActive',},}
			{headerName: this.l('Reserved Stock'),headerTooltip: this.l('Reserved Stock'),field:  'reservedStock', cellClass: ['text-center'], width: 120, cellRenderer: 'agCellButtonComponent',
buttonDefTwo: { text: params =&gt; (params.data?.'reservedStock' == 'Y') ? 'Active' : 'Inactive',iconName: 'fa fa-circle',className: params =&gt; (params.data?.'reservedStock' == 'Y') ? 'btnActive' : 'btnInActive',},}
			{headerName: this.l('Residue'),headerTooltip: this.l('Residue'),field:  'residue', cellClass: ['text-center'], width: 120, cellRenderer: 'agCellButtonComponent',
buttonDefTwo: { text: params =&gt; (params.data?.'residue' == 'Y') ? 'Active' : 'Inactive',iconName: 'fa fa-circle',className: params =&gt; (params.data?.'residue' == 'Y') ? 'btnActive' : 'btnInActive',},}
			{headerName: this.l('Lot Code'),headerTooltip: this.l('Lot Code'),field: 'lotCode',flex: 1},
			{headerName: this.l('Mrp Group'),headerTooltip: this.l('Mrp Group'),field: 'mrpGroup',flex: 1},
			{headerName: this.l('Mrp Type'),headerTooltip: this.l('Mrp Type'),field: 'mrpType',flex: 1},
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
			{headerName: this.l('Special Procurement'),headerTooltip: this.l('Special Procurement'),field: 'specialProcurement',flex: 1},
			{headerName: this.l('Prod Stor Location'),headerTooltip: this.l('Prod Stor Location'),field: 'prodStorLocation',flex: 1},
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
			{headerName: this.l('Rem Profile'),headerTooltip: this.l('Rem Profile'),field: 'remProfile',flex: 1},
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
			{headerName: this.l('Variance Key'),headerTooltip: this.l('Variance Key'),field: 'varianceKey',flex: 1},
			{headerName: this.l('Costing Lot Size'),headerTooltip: this.l('Costing Lot Size'),field: 'costingLotSize',flex: 1},
			{headerName: this.l('Production Version'),headerTooltip: this.l('Production Version'),field: 'productionVersion',flex: 1},
			{headerName: this.l('Special Procurement Type'),headerTooltip: this.l('Special Procurement Type'),field: 'specialProcurementType',flex: 1},
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
			{headerName: this.l('Valuation Type'),headerTooltip: this.l('Valuation Type'),field: 'valuationType',flex: 1},
			{headerName: this.l('Valuation Class'),headerTooltip: this.l('Valuation Class'),field: 'valuationClass',flex: 1},
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
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
			{headerName: this.l('Standard Price'),headerTooltip: this.l('Standard Price'),field: 'standardPrice',flex: 1},
			{headerName: this.l('Moving Price'),headerTooltip: this.l('Moving Price'),field: 'movingPrice',flex: 1},
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
			{headerName: this.l('Material Origin'),headerTooltip: this.l('Material Origin'),field: 'materialOrigin',flex: 1},
			{headerName: this.l('Origin Group'),headerTooltip: this.l('Origin Group'),field: 'originGroup',flex: 1},
			{headerName: this.l('Basic Data Text'),headerTooltip: this.l('Basic Data Text'),field: 'basicDataText',flex: 1},
			{headerName: this.l('Katashiki'),headerTooltip: this.l('Katashiki'),field: 'katashiki',flex: 1},
			{headerName: this.l('Vehicle Control Katashiki'),headerTooltip: this.l('Vehicle Control Katashiki'),field: 'vehicleControlKatashiki',flex: 1},
			{headerName: this.l('Toyota Or Non Toyota'),headerTooltip: this.l('Toyota Or Non Toyota'),field: 'toyotaOrNonToyota',flex: 1},
			{headerName: this.l('Category Of Gear'),headerTooltip: this.l('Category Of Gear'),field:  'categoryOfGear', cellClass: ['text-center'], width: 120, cellRenderer: 'agCellButtonComponent',
buttonDefTwo: { text: params =&gt; (params.data?.'categoryOfGear' == 'Y') ? 'Active' : 'Inactive',iconName: 'fa fa-circle',className: params =&gt; (params.data?.'categoryOfGear' == 'Y') ? 'btnActive' : 'btnInActive',},}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this.l('Series Of Vehicles'),headerTooltip: this.l('Series Of Vehicles'),field: 'seriesOfVehicles',flex: 1},
			{headerName: this.l('Deliver Power Of Driving Wheels'),headerTooltip: this.l('Deliver Power Of Driving Wheels'),field: 'deliverPowerOfDrivingWheels',flex: 1},
			{headerName: this.l('Fuel Type'),headerTooltip: this.l('Fuel Type'),field: 'fuelType',flex: 1},
			{headerName: this.l('Vehicle Name'),headerTooltip: this.l('Vehicle Name'),field: 'vehicleName',flex: 1},
			{headerName: this.l('Price Unit'),headerTooltip: this.l('Price Unit'),field: 'priceUnit',flex: 1},
			{headerName: this.l('Maru Code'),headerTooltip: this.l('Maru Code'),field: 'maruCode',flex: 1},
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this.authorizationGroup,
			this.materialType,
			this.materialCode,
			this.industrySector,
			this.materialDescription,
			this.materialGroup,
			this.baseUnitOfMeasure,
			this.flagDeletionPlantLevel,
			this.plant,
			this.storageLocation,
			this.productGroup,
			this.productPurpose,
			this.productType,
			this.profitCenter,
			this.batchManagement,
			this.reservedStock,
			this.residue,
			this.lotCode,
			this.mrpGroup,
			this.mrpType,
			this.procurementType,
			this.specialProcurement,
			this.prodStorLocation,
			this.repetManufacturing,
			this.remProfile,
			this.doNotCost,
			this.varianceKey,
			this.costingLotSize,
			this.productionVersion,
			this.specialProcurementType,
			this.valuationCategory,
			this.valuationType,
			this.valuationClass,
			this.priceDetermination,
			this.priceControl,
			this.standardPrice,
			this.movingPrice,
			this.withQtyStructure,
			this.materialOrigin,
			this.originGroup,
			this.basicDataText,
			this.katashiki,
			this.vehicleControlKatashiki,
			this.toyotaOrNonToyota,
			this.categoryOfGear,
			this.goshiCar,
			this.seriesOfVehicles,
			this.deliverPowerOfDrivingWheels,
			this.fuelType,
			this.vehicleName,
			this.priceUnit,
			this.maruCode,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this.authorizationGroup = '',
		this.materialType = '',
		this.materialCode = '',
		this.industrySector = '',
		this.materialDescription = '',
		this.materialGroup = '',
		this.baseUnitOfMeasure = '',
		this.flagDeletionPlantLevel = '',
		this.plant = '',
		this.storageLocation = '',
		this.productGroup = '',
		this.productPurpose = '',
		this.productType = '',
		this.profitCenter = '',
		this.batchManagement = '',
		this.reservedStock = '',
		this.residue = '',
		this.lotCode = '',
		this.mrpGroup = '',
		this.mrpType = '',
		this.procurementType = '',
		this.specialProcurement = '',
		this.prodStorLocation = '',
		this.repetManufacturing = '',
		this.remProfile = '',
		this.doNotCost = '',
		this.varianceKey = '',
		this.costingLotSize = '',
		this.productionVersion = '',
		this.specialProcurementType = '',
		this.valuationCategory = '',
		this.valuationType = '',
		this.valuationClass = '',
		this.priceDetermination = '',
		this.priceControl = '',
		this.standardPrice = '',
		this.movingPrice = '',
		this.withQtyStructure = '',
		this.materialOrigin = '',
		this.originGroup = '',
		this.basicDataText = '',
		this.katashiki = '',
		this.vehicleControlKatashiki = '',
		this.toyotaOrNonToyota = '',
		this.categoryOfGear = '',
		this.goshiCar = '',
		this.seriesOfVehicles = '',
		this.deliverPowerOfDrivingWheels = '',
		this.fuelType = '',
		this.vehicleName = '',
		this.priceUnit = '',
		this.maruCode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this.authorizationGroup,
			this.materialType,
			this.materialCode,
			this.industrySector,
			this.materialDescription,
			this.materialGroup,
			this.baseUnitOfMeasure,
			this.flagDeletionPlantLevel,
			this.plant,
			this.storageLocation,
			this.productGroup,
			this.productPurpose,
			this.productType,
			this.profitCenter,
			this.batchManagement,
			this.reservedStock,
			this.residue,
			this.lotCode,
			this.mrpGroup,
			this.mrpType,
			this.procurementType,
			this.specialProcurement,
			this.prodStorLocation,
			this.repetManufacturing,
			this.remProfile,
			this.doNotCost,
			this.varianceKey,
			this.costingLotSize,
			this.productionVersion,
			this.specialProcurementType,
			this.valuationCategory,
			this.valuationType,
			this.valuationClass,
			this.priceDetermination,
			this.priceControl,
			this.standardPrice,
			this.movingPrice,
			this.withQtyStructure,
			this.materialOrigin,
			this.originGroup,
			this.basicDataText,
			this.katashiki,
			this.vehicleControlKatashiki,
			this.toyotaOrNonToyota,
			this.categoryOfGear,
			this.goshiCar,
			this.seriesOfVehicles,
			this.deliverPowerOfDrivingWheels,
			this.fuelType,
			this.vehicleName,
			this.priceUnit,
			this.maruCode,
			this.endingOfRecord,
			'',
            this.paginationParams.skipCount,
            this.paginationParams.pageSize
        );
    }
    onChangeRowSelection(params: { api: { getSelectedRows: () =&gt; IF_FQF3MM06Dto[] } }) {
        this.saveSelectedRow = params.api.getSelectedRows()[0] ?? new IF_FQF3MM06Dto();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IF_FQF3MM06Dto):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this._service.getFQF3MM06ToExcel(
			this.recordId,
			this.authorizationGroup,
			this.materialType,
			this.materialCode,
			this.industrySector,
			this.materialDescription,
			this.materialGroup,
			this.baseUnitOfMeasure,
			this.flagDeletionPlantLevel,
			this.plant,
			this.storageLocation,
			this.productGroup,
			this.productPurpose,
			this.productType,
			this.profitCenter,
			this.batchManagement,
			this.reservedStock,
			this.residue,
			this.lotCode,
			this.mrpGroup,
			this.mrpType,
			this.procurementType,
			this.specialProcurement,
			this.prodStorLocation,
			this.repetManufacturing,
			this.remProfile,
			this.doNotCost,
			this.varianceKey,
			this.costingLotSize,
			this.productionVersion,
			this.specialProcurementType,
			this.valuationCategory,
			this.valuationType,
			this.valuationClass,
			this.priceDetermination,
			this.priceControl,
			this.standardPrice,
			this.movingPrice,
			this.withQtyStructure,
			this.materialOrigin,
			this.originGroup,
			this.basicDataText,
			this.katashiki,
			this.vehicleControlKatashiki,
			this.toyotaOrNonToyota,
			this.categoryOfGear,
			this.goshiCar,
			this.seriesOfVehicles,
			this.deliverPowerOfDrivingWheels,
			this.fuelType,
			this.vehicleName,
			this.priceUnit,
			this.maruCode,
			this.endingOfRecord,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FQF3MM06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[(ngModel)]='authorizationGroup' name='authorizationGroup'
									class='form-control' [placeholder]="l('Authorization Group')"
									type='text' (keyup.enter)='searchDatas()'&gt;
								&lt;/div&gt;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[(ngModel)]='industrySector' name='industrySector'
									class='form-control' [placeholder]="l('Industry Sector')"
									type='text' (keyup.enter)='searchDatas()'&gt;
								&lt;/div&gt;
								&lt;div class='input-search'&gt;
									&lt;input [(ngModel)]='materialDescription' name='materialDescription'
									class='form-control' [placeholder]="l('Material Description')"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[(ngModel)]='flagDeletionPlantLevel' name='flagDeletionPlantLevel'
									class='form-control' [placeholder]="l('Flag Deletion Plant Level')"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[(ngModel)]='productGroup' name='productGroup'
									class='form-control' [placeholder]="l('Product Group')"
									type='text' (keyup.enter)='searchDatas()'&gt;
								&lt;/div&gt;
								&lt;div class='input-search'&gt;
									&lt;input [(ngModel)]='productPurpose' name='productPurpose'
									class='form-control' [placeholder]="l('Product Purpose')"
									type='text' (keyup.enter)='searchDatas()'&gt;
								&lt;/div&gt;
								&lt;div class='input-search'&gt;
									&lt;input [(ngModel)]='productType' name='productType'
									class='form-control' [placeholder]="l('Product Type')"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[(ngModel)]='batchManagement' name='batchManagement'
									class='form-control' [placeholder]="l('Batch Management')"
									type='text' (keyup.enter)='searchDatas()'&gt;
								&lt;/div&gt;
								&lt;div class='input-search'&gt;
									&lt;input [(ngModel)]='reservedStock' name='reservedStock'
									class='form-control' [placeholder]="l('Reserved Stock')"
									type='text' (keyup.enter)='searchDatas()'&gt;
								&lt;/div&gt;
								&lt;div class='input-search'&gt;
									&lt;input [(ngModel)]='residue' name='residue'
									class='form-control' [placeholder]="l('Residue')"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[(ngModel)]='mrpGroup' name='mrpGroup'
									class='form-control' [placeholder]="l('Mrp Group')"
									type='text' (keyup.enter)='searchDatas()'&gt;
								&lt;/div&gt;
								&lt;div class='input-search'&gt;
									&lt;input [(ngModel)]='mrpType' name='mrpType'
									class='form-control' [placeholder]="l('Mrp Type')"
									type='text' (keyup.enter)='searchDatas()'&gt;
								&lt;/div&gt;
								&lt;div class='input-search'&gt;
									&lt;input [(ngModel)]='procurementType' name='procurementType'
									class='form-control' [placeholder]="l('Procurement Type')"
									type='text' (keyup.enter)='searchDatas()'&gt;
								&lt;/div&gt;
								&lt;div class='input-search'&gt;
									&lt;input [(ngModel)]='specialProcurement' name='specialProcurement'
									class='form-control' [placeholder]="l('Special Procurement')"
									type='text' (keyup.enter)='searchDatas()'&gt;
								&lt;/div&gt;
								&lt;div class='input-search'&gt;
									&lt;input [(ngModel)]='prodStorLocation' name='prodStorLocation'
									class='form-control' [placeholder]="l('Prod Stor Location')"
									type='text' (keyup.enter)='searchDatas()'&gt;
								&lt;/div&gt;
								&lt;div class='input-search'&gt;
									&lt;input [(ngModel)]='repetManufacturing' name='repetManufacturing'
									class='form-control' [placeholder]="l('Repet Manufacturing')"
									type='text' (keyup.enter)='searchDatas()'&gt;
								&lt;/div&gt;
								&lt;div class='input-search'&gt;
									&lt;input [(ngModel)]='remProfile' name='remProfile'
									class='form-control' [placeholder]="l('Rem Profile')"
									type='text' (keyup.enter)='searchDatas()'&gt;
								&lt;/div&gt;
								&lt;div class='input-search'&gt;
									&lt;input [(ngModel)]='doNotCost' name='doNotCost'
									class='form-control' [placeholder]="l('Do Not Cost')"
									type='text' (keyup.enter)='searchDatas()'&gt;
								&lt;/div&gt;
								&lt;div class='input-search'&gt;
									&lt;input [(ngModel)]='varianceKey' name='varianceKey'
									class='form-control' [placeholder]="l('Variance Key')"
									type='text' (keyup.enter)='searchDatas()'&gt;
								&lt;/div&gt;
								&lt;div class='input-search'&gt;
									&lt;input [(ngModel)]='costingLotSize' name='costingLotSize'
									class='form-control' [placeholder]="l('Costing Lot Size')"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[(ngModel)]='specialProcurementType' name='specialProcurementType'
									class='form-control' [placeholder]="l('Special Procurement Type')"
									type='text' (keyup.enter)='searchDatas()'&gt;
								&lt;/div&gt;
								&lt;div class='input-search'&gt;
									&lt;input [(ngModel)]='valuationCategory' name='valuationCategory'
									class='form-control' [placeholder]="l('Valuation Category')"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[(ngModel)]='priceDetermination' name='priceDetermination'
									class='form-control' [placeholder]="l('Price Determination')"
									type='text' (keyup.enter)='searchDatas()'&gt;
								&lt;/div&gt;
								&lt;div class='input-search'&gt;
									&lt;input [(ngModel)]='priceControl' name='priceControl'
									class='form-control' [placeholder]="l('Price Control')"
									type='text' (keyup.enter)='searchDatas()'&gt;
								&lt;/div&gt;
								&lt;div class='input-search'&gt;
									&lt;input [(ngModel)]='standardPrice' name='standardPrice'
									class='form-control' [placeholder]="l('Standard Price')"
									type='text' (keyup.enter)='searchDatas()'&gt;
								&lt;/div&gt;
								&lt;div class='input-search'&gt;
									&lt;input [(ngModel)]='movingPrice' name='movingPrice'
									class='form-control' [placeholder]="l('Moving Price')"
									type='text' (keyup.enter)='searchDatas()'&gt;
								&lt;/div&gt;
								&lt;div class='input-search'&gt;
									&lt;input [(ngModel)]='withQtyStructure' name='withQtyStructure'
									class='form-control' [placeholder]="l('With Qty Structure')"
									type='text' (keyup.enter)='searchDatas()'&gt;
								&lt;/div&gt;
								&lt;div class='input-search'&gt;
									&lt;input [(ngModel)]='materialOrigin' name='materialOrigin'
									class='form-control' [placeholder]="l('Material Origin')"
									type='text' (keyup.enter)='searchDatas()'&gt;
								&lt;/div&gt;
								&lt;div class='input-search'&gt;
									&lt;input [(ngModel)]='originGroup' name='originGroup'
									class='form-control' [placeholder]="l('Origin Group')"
									type='text' (keyup.enter)='searchDatas()'&gt;
								&lt;/div&gt;
								&lt;div class='input-search'&gt;
									&lt;input [(ngModel)]='basicDataText' name='basicDataText'
									class='form-control' [placeholder]="l('Basic Data Text')"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[(ngModel)]='vehicleControlKatashiki' name='vehicleControlKatashiki'
									class='form-control' [placeholder]="l('Vehicle Control Katashiki')"
									type='text' (keyup.enter)='searchDatas()'&gt;
								&lt;/div&gt;
								&lt;div class='input-search'&gt;
									&lt;input [(ngModel)]='toyotaOrNonToyota' name='toyotaOrNonToyota'
									class='form-control' [placeholder]="l('Toyota Or Non Toyota')"
									type='text' (keyup.enter)='searchDatas()'&gt;
								&lt;/div&gt;
								&lt;div class='input-search'&gt;
									&lt;input [(ngModel)]='categoryOfGear' name='categoryOfGear'
									class='form-control' [placeholder]="l('Category Of Gear')"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[(ngModel)]='seriesOfVehicles' name='seriesOfVehicles'
									class='form-control' [placeholder]="l('Series Of Vehicles')"
									type='text' (keyup.enter)='searchDatas()'&gt;
								&lt;/div&gt;
								&lt;div class='input-search'&gt;
									&lt;input [(ngModel)]='deliverPowerOfDrivingWheels' name='deliverPowerOfDrivingWheels'
									class='form-control' [placeholder]="l('Deliver Power Of Driving Wheels')"
									type='text' (keyup.enter)='searchDatas()'&gt;
								&lt;/div&gt;
								&lt;div class='input-search'&gt;
									&lt;input [(ngModel)]='fuelType' name='fuelType'
									class='form-control' [placeholder]="l('Fuel Type')"
									type='text' (keyup.enter)='searchDatas()'&gt;
								&lt;/div&gt;
								&lt;div class='input-search'&gt;
									&lt;input [(ngModel)]='vehicleName' name='vehicleName'
									class='form-control' [placeholder]="l('Vehicle Name')"
									type='text' (keyup.enter)='searchDatas()'&gt;
								&lt;/div&gt;
								&lt;div class='input-search'&gt;
									&lt;input [(ngModel)]='priceUnit' name='priceUnit'
									class='form-control' [placeholder]="l('Price Unit')"
									type='text' (keyup.enter)='searchDatas()'&gt;
								&lt;/div&gt;
								&lt;div class='input-search'&gt;
									&lt;input [(ngModel)]='maruCode' name='maruCode'
									class='form-control' [placeholder]="l('Maru Code')"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(click)="createOrEditModalFQF3MM06.show()"&gt;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(click)="createOrEditModalFQF3MM06.show(selectedRow)"&gt;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&lt;create-or-edit-fqf3mm06-modal
    #createOrEditModalFQF3MM06
    (modalSave)="callBackDataGrid(dataParams)"
    (modalClose)="onChangeRowSelection(dataParams)"
&gt;
&lt;/create-or-edit-fqf3mm06-modal&gt;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#createOrEditModalFQF3MM06="bs-modal"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FQF3MM06')}}&lt;/h3&gt;
                    &lt;h3 *ngIf="!rowdata.id"&gt;{{('Create New FQF3MM06')}}&lt;/h3&gt;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title'&gt;Industry Sector&lt;/label&gt;
						&lt;new-checkbox [(ngModel)]='_industrySector' name='industrySector' className='col-md-10' &gt; &lt;/new-checkbox&gt;
					&lt;/div&gt;
					&lt;div class='col-md-12 form-group row'&gt;
						&lt;label class='col-md-2 form-control title'&gt;Material Description&lt;/label&gt;
						&lt;input type='text' class='col-md-10 form-control input-text' name='MaterialDescription' [(ngModel)]='rowdata.materialDescription'&gt;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title'&gt;Flag Deletion Plant Level&lt;/label&gt;
						&lt;new-checkbox [(ngModel)]='_flagDeletionPlantLevel' name='flagDeletionPlantLevel' className='col-md-10' &gt; &lt;/new-checkbox&gt;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title'&gt;Product Group&lt;/label&gt;
						&lt;input type='text' class='col-md-10 form-control input-text' name='ProductGroup' [(ngModel)]='rowdata.productGroup'&gt;
					&lt;/div&gt;
					&lt;div class='col-md-12 form-group row'&gt;
						&lt;label class='col-md-2 form-control title'&gt;Product Purpose&lt;/label&gt;
						&lt;input type='text' class='col-md-10 form-control input-text' name='ProductPurpose' [(ngModel)]='rowdata.productPurpose'&gt;
					&lt;/div&gt;
					&lt;div class='col-md-12 form-group row'&gt;
						&lt;label class='col-md-2 form-control title'&gt;Product Type&lt;/label&gt;
						&lt;input type='text' class='col-md-10 form-control input-text' name='ProductType' [(ngModel)]='rowdata.productType'&gt;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title'&gt;Batch Management&lt;/label&gt;
						&lt;new-checkbox [(ngModel)]='_batchManagement' name='batchManagement' className='col-md-10' &gt; &lt;/new-checkbox&gt;
					&lt;/div&gt;
					&lt;div class='col-md-12 form-group row'&gt;
						&lt;label class='col-md-2 form-control title'&gt;Reserved Stock&lt;/label&gt;
						&lt;new-checkbox [(ngModel)]='_reservedStock' name='reservedStock' className='col-md-10' &gt; &lt;/new-checkbox&gt;
					&lt;/div&gt;
					&lt;div class='col-md-12 form-group row'&gt;
						&lt;label class='col-md-2 form-control title'&gt;Residue&lt;/label&gt;
						&lt;new-checkbox [(ngModel)]='_residue' name='residue' className='col-md-10' &gt; &lt;/new-checkbox&gt;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title'&gt;Mrp Group&lt;/label&gt;
						&lt;input type='text' class='col-md-10 form-control input-text' name='MrpGroup' [(ngModel)]='rowdata.mrpGroup'&gt;
					&lt;/div&gt;
					&lt;div class='col-md-12 form-group row'&gt;
						&lt;label class='col-md-2 form-control title'&gt;Mrp Type&lt;/label&gt;
						&lt;input type='text' class='col-md-10 form-control input-text' name='MrpType' [(ngModel)]='rowdata.mrpType'&gt;
					&lt;/div&gt;
					&lt;div class='col-md-12 form-group row'&gt;
						&lt;label class='col-md-2 form-control title'&gt;Procurement Type&lt;/label&gt;
						&lt;new-checkbox [(ngModel)]='_procurementType' name='procurementType' className='col-md-10' &gt; &lt;/new-checkbox&gt;
					&lt;/div&gt;
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
					&lt;div class='col-md-12 form-group row'&gt;
						&lt;label class='col-md-2 form-control title'&gt;Prod Stor Location&lt;/label&gt;
						&lt;input type='text' class='col-md-10 form-control input-text' name='ProdStorLocation' [(ngModel)]='rowdata.prodStorLocation'&gt;
					&lt;/div&gt;
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
					&lt;div class='col-md-12 form-group row'&gt;
						&lt;label class='col-md-2 form-control title'&gt;Rem Profile&lt;/label&gt;
						&lt;input type='text' class='col-md-10 form-control input-text' name='RemProfile' [(ngModel)]='rowdata.remProfile'&gt;
					&lt;/div&gt;
					&lt;div class='col-md-12 form-group row'&gt;
						&lt;label class='col-md-2 form-control title'&gt;Do Not Cost&lt;/label&gt;
						&lt;new-checkbox [(ngModel)]='_doNotCost' name='doNotCost' className='col-md-10' &gt; &lt;/new-checkbox&gt;
					&lt;/div&gt;
					&lt;div class='col-md-12 form-group row'&gt;
						&lt;label class='col-md-2 form-control title'&gt;Variance Key&lt;/label&gt;
						&lt;input type='text' class='col-md-10 form-control input-text' name='VarianceKey' [(ngModel)]='rowdata.varianceKey'&gt;
					&lt;/div&gt;
					&lt;div class='col-md-12 form-group row'&gt;
						&lt;label class='col-md-2 form-control title'&gt;Costing Lot Size&lt;/label&gt;
						&lt;input type='text' class='col-md-10 form-control input-text' name='CostingLotSize' [(ngModel)]='rowdata.costingLotSize'&gt;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title'&gt;Special Procurement Type&lt;/label&gt;
						&lt;input type='text' class='col-md-10 form-control input-text' name='SpecialProcurementType' [(ngModel)]='rowdata.specialProcurementType'&gt;
					&lt;/div&gt;
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
					&lt;div class='col-md-12 form-group row'&gt;
						&lt;label class='col-md-2 form-control title'&gt;Price Control&lt;/label&gt;
						&lt;new-checkbox [(ngModel)]='_priceControl' name='priceControl' className='col-md-10' &gt; &lt;/new-checkbox&gt;
					&lt;/div&gt;
					&lt;div class='col-md-12 form-group row'&gt;
						&lt;label class='col-md-2 form-control title'&gt;Standard Price&lt;/label&gt;
						&lt;input type='text' class='col-md-10 form-control input-text' name='StandardPrice' [(ngModel)]='rowdata.standardPrice'&gt;
					&lt;/div&gt;
					&lt;div class='col-md-12 form-group row'&gt;
						&lt;label class='col-md-2 form-control title'&gt;Moving Price&lt;/label&gt;
						&lt;input type='text' class='col-md-10 form-control input-text' name='MovingPrice' [(ngModel)]='rowdata.movingPrice'&gt;
					&lt;/div&gt;
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
					&lt;div class='col-md-12 form-group row'&gt;
						&lt;label class='col-md-2 form-control title'&gt;Material Origin&lt;/label&gt;
						&lt;input type='text' class='col-md-10 form-control input-text' name='MaterialOrigin' [(ngModel)]='rowdata.materialOrigin'&gt;
					&lt;/div&gt;
					&lt;div class='col-md-12 form-group row'&gt;
						&lt;label class='col-md-2 form-control title'&gt;Origin Group&lt;/label&gt;
						&lt;input type='text' class='col-md-10 form-control input-text' name='OriginGroup' [(ngModel)]='rowdata.originGroup'&gt;
					&lt;/div&gt;
					&lt;div class='col-md-12 form-group row'&gt;
						&lt;label class='col-md-2 form-control title'&gt;Basic Data Text&lt;/label&gt;
						&lt;input type='text' class='col-md-10 form-control input-text' name='BasicDataText' [(ngModel)]='rowdata.basicDataText'&gt;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title'&gt;Vehicle Control Katashiki&lt;/label&gt;
						&lt;input type='text' class='col-md-10 form-control input-text' name='VehicleControlKatashiki' [(ngModel)]='rowdata.vehicleControlKatashiki'&gt;
					&lt;/div&gt;
					&lt;div class='col-md-12 form-group row'&gt;
						&lt;label class='col-md-2 form-control title'&gt;Toyota Or Non Toyota&lt;/label&gt;
						&lt;input type='text' class='col-md-10 form-control input-text' name='ToyotaOrNonToyota' [(ngModel)]='rowdata.toyotaOrNonToyota'&gt;
					&lt;/div&gt;
					&lt;div class='col-md-12 form-group row'&gt;
						&lt;label class='col-md-2 form-control title'&gt;Category Of Gear&lt;/label&gt;
						&lt;new-checkbox [(ngModel)]='_categoryOfGear' name='categoryOfGear' className='col-md-10' &gt; &lt;/new-checkbox&gt;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title'&gt;Series Of Vehicles&lt;/label&gt;
						&lt;input type='text' class='col-md-10 form-control input-text' name='SeriesOfVehicles' [(ngModel)]='rowdata.seriesOfVehicles'&gt;
					&lt;/div&gt;
					&lt;div class='col-md-12 form-group row'&gt;
						&lt;label class='col-md-2 form-control title'&gt;Deliver Power Of Driving Wheels&lt;/label&gt;
						&lt;input type='text' class='col-md-10 form-control input-text' name='DeliverPowerOfDrivingWheels' [(ngModel)]='rowdata.deliverPowerOfDrivingWheels'&gt;
					&lt;/div&gt;
					&lt;div class='col-md-12 form-group row'&gt;
						&lt;label class='col-md-2 form-control title'&gt;Fuel Type&lt;/label&gt;
						&lt;input type='text' class='col-md-10 form-control input-text' name='FuelType' [(ngModel)]='rowdata.fuelType'&gt;
					&lt;/div&gt;
					&lt;div class='col-md-12 form-group row'&gt;
						&lt;label class='col-md-2 form-control title'&gt;Vehicle Name&lt;/label&gt;
						&lt;input type='text' class='col-md-10 form-control input-text' name='VehicleName' [(ngModel)]='rowdata.vehicleName'&gt;
					&lt;/div&gt;
					&lt;div class='col-md-12 form-group row'&gt;
						&lt;label class='col-md-2 form-control title'&gt;Price Unit&lt;/label&gt;
						&lt;input type='text' class='col-md-10 form-control input-text' name='PriceUnit' [(ngModel)]='rowdata.priceUnit'&gt;
					&lt;/div&gt;
					&lt;div class='col-md-12 form-group row'&gt;
						&lt;label class='col-md-2 form-control title'&gt;Maru Code&lt;/label&gt;
						&lt;input type='text' class='col-md-10 form-control input-text' name='MaruCode' [(ngModel)]='rowdata.maruCode'&gt;
					&lt;/div&gt;
					&lt;div class='col-md-12 form-group row'&gt;
						&lt;label class='col-md-2 form-control title'&gt;Ending Of Record&lt;/label&gt;
						&lt;new-checkbox [(ngModel)]='_endingOfRecord' name='endingOfRecord'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CreateOrEditIF_FQF3MM06Dto, IF_FQF3MM06ServiceProxy } from '@shared/service-proxies/service-proxies';
import { BsDatepickerDirective } from 'ngx-bootstrap/datepicker';
@Component({
    selector: 'create-or-edit-fqf3mm06-modal',
    templateUrl: './create-or-edit-fqf3mm06-modal.component.html',
    styleUrls: ['./create-or-edit-fqf3mm06-modal.component.less']
    })
export class CreateOrEditFQF3MM06ModalComponent extends AppComponentBase {
    @ViewChild('createOrEditModalFQF3MM06',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CreateOrEditIF_FQF3MM06Dto = new CreateOrEditIF_FQF3MM06Dto();
    active: boolean = false;
    saving: boolean = false;
    _industrySector
flagDeletionPlantLevel
batchManagement
reservedStock
residue
procurementType
repetManufacturing
doNotCost
valuationCategory
priceDetermination
priceControl
withQtyStructure
categoryOfGear
goshiCar
endingOfRecord: boolean;
    constructor(
        injector: Injector,
        private _mstwptFQF3MM06Service: IF_FQF3MM06ServiceProxy,
    ) 
    {
        super(injector);
    }
    show(rowdata?: CreateOrEditIF_FQF3MM06Dto): void {
        if (!rowdata) this.rowdata = new CreateOrEditIF_FQF3MM06Dto();
        else this.rowdata = rowdata;
        this._industrySector
flagDeletionPlantLevel
batchManagement
reservedStock
residue
procurementType
repetManufacturing
doNotCost
valuationCategory
priceDetermination
priceControl
withQtyStructure
categoryOfGear
goshiCar
endingOfRecord = (this.rowdata.industrySector
flagDeletionPlantLevel
batchManagement
reservedStock
residue
procurementType
repetManufacturing
doNotCost
valuationCategory
priceDetermination
priceControl
withQtyStructure
categoryOfGear
goshiCar
endingOfRecord == "N")? false: true;
        this.active = true;
        this.modal.show();
    } 
    changeActive(event){
        this._industrySector
flagDeletionPlantLevel
batchManagement
reservedStock
residue
procurementType
repetManufacturing
doNotCost
valuationCategory
priceDetermination
priceControl
withQtyStructure
categoryOfGear
goshiCar
endingOfRecord = event.target.checked;
    }
    save(): void {
    this.saving = true; 
    this.rowdata.industrySector
flagDeletionPlantLevel
batchManagement
reservedStock
residue
procurementType
repetManufacturing
doNotCost
valuationCategory
priceDetermination
priceControl
withQtyStructure
categoryOfGear
goshiCar
endingOfRecord = (this._industrySector
flagDeletionPlantLevel
batchManagement
reservedStock
residue
procurementType
repetManufacturing
doNotCost
valuationCategory
priceDetermination
priceControl
withQtyStructure
categoryOfGear
goshiCar
endingOfRecord == true) ? 'Y' : 'N'
    this._mstwptFQF3MM06Service.createOrEdit(this.rowdata)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FQF3MM06RoutingModule } from './fqf3mm06-routing.module';
import { FQF3MM06Component } from './fqf3mm06.component';
import { CreateOrEditFQF3MM06ModalComponent } from './create-or-edit-fqf3mm06-modal.component';
@NgModule({
    declarations: [
       FQF3MM06Component, 
        CreateOrEditFQF3MM06ModalComponent
    ],
    imports: [
        AppSharedModule, FQF3MM06RoutingModule]
})
export class FQF3MM06Module {}</v>
      </c>
      <c r="J75" s="46" t="str">
        <f>B.Frontend!O10</f>
        <v>import {NgModule} from '@angular/core';
import {RouterModule, Routes} from '@angular/router';
import { FQF3MM06Component } from './fqf3mm06.component';
const routes: Routes = [{
    path: '',
    component: FQF3MM06Component,
    pathMatch: 'full'
}];
@NgModule({
    imports: [RouterModule.forChild(routes)],
    exports: [RouterModule],
})
export class FQF3MM06RoutingModule {}</v>
      </c>
      <c r="K75" s="46" t="str">
        <f>B.Frontend!P10</f>
        <v xml:space="preserve"> new AppMenuItem("FQF3MM06", "Pages.IF.IF.FQF3MM06", "flaticon-book",   "/app/main/if/if/fqf3mm06"),</v>
      </c>
      <c r="L75" s="47" t="str">
        <f>B.Frontend!Q10</f>
        <v>{
    path: 'if/if/fqf3mm06',
    loadChildren: () =&gt; import('./if/if/fqf3mm06/fqf3mm06.module').then(m =&gt; m.FQF3MM06Module),
    data: { permission: 'Pages.IF.IF.FQF3MM06' }
},</v>
      </c>
      <c r="M75" s="45" t="str">
        <f>B.Frontend!R10</f>
        <v>ApiServiceProxies.IF_FQF3MM06ServiceProxy,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64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354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356</v>
      </c>
      <c r="C3" s="9" t="s">
        <v>41</v>
      </c>
      <c r="D3" s="9" t="s">
        <v>42</v>
      </c>
      <c r="E3" s="9" t="s">
        <v>37</v>
      </c>
      <c r="F3" s="10" t="str">
        <f>"J"&amp;COUNTA($A:$A)</f>
        <v>J62</v>
      </c>
      <c r="G3" s="4" t="s">
        <v>54</v>
      </c>
      <c r="H3" s="9" t="str">
        <f>"I"&amp;COUNTA($A:$A)</f>
        <v>I62</v>
      </c>
      <c r="I3" s="9" t="str">
        <f>REPT(CHAR(9),2)&amp;"[Required]"&amp;"
"</f>
        <v xml:space="preserve">		[Required]
</v>
      </c>
      <c r="J3" s="10" t="str">
        <f>"L"&amp;COUNTA($A:$A)</f>
        <v>L62</v>
      </c>
      <c r="K3" s="5" t="s">
        <v>53</v>
      </c>
      <c r="L3" s="10" t="str">
        <f>"M"&amp;COUNTA($A:$A)</f>
        <v>M62</v>
      </c>
      <c r="M3" s="10" t="str">
        <f>"N"&amp;COUNTA($A:$A)</f>
        <v>N62</v>
      </c>
      <c r="N3" s="10" t="str">
        <f>"O"&amp;COUNTA($A:$A)</f>
        <v>O62</v>
      </c>
      <c r="O3" s="10" t="str">
        <f>"P"&amp;COUNTA($A:$A)</f>
        <v>P62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IF_FQF3MM06ExportInput{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T62</v>
      </c>
      <c r="V3" s="10" t="str">
        <f>"V"&amp;COUNTA($A:$A)</f>
        <v>V62</v>
      </c>
      <c r="W3" s="9" t="str">
        <f>"W"&amp;COUNTA($A:$A)</f>
        <v>W62</v>
      </c>
    </row>
    <row r="4" spans="1:23" s="10" customFormat="1" ht="33" customHeight="1" x14ac:dyDescent="0.25">
      <c r="A4" s="1" t="s">
        <v>233</v>
      </c>
      <c r="B4" s="65" t="s">
        <v>355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357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IF_FQF3MM06: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IF_FQF3MM06Consts	
	{
</v>
      </c>
      <c r="F6" s="10" t="str">
        <f>REPT(CHAR(9),1)&amp;"public class "&amp;B3&amp;"Dto"&amp;K3&amp;REPT(CHAR(9),1)&amp;"
"&amp;REPT(CHAR(9),1)&amp;C3</f>
        <v xml:space="preserve">	public class IF_FQF3MM06Dto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CreateOrEditIF_FQF3MM06Dto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GetIF_FQF3MM06Input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IF_FQF3MM06</v>
      </c>
      <c r="C7" s="10" t="str">
        <f>REPT(CHAR(9),1)&amp;"[Table("""&amp;B7&amp;""")]"&amp;"
"</f>
        <v xml:space="preserve">	[Table("IF_FQF3MM06")]
</v>
      </c>
      <c r="D7" s="10"/>
      <c r="E7" s="10"/>
      <c r="F7" s="10"/>
      <c r="G7" s="10"/>
      <c r="H7" s="10"/>
      <c r="I7" s="10"/>
      <c r="J7" t="str">
        <f ca="1">SUBSTITUTE(SUBSTITUTE((B1&amp;C6&amp;C7&amp;K64&amp;D6&amp;I64&amp;E3&amp;J64&amp;""&amp;REPT(CHAR(9),1)&amp;D3&amp;D3),"WorkingPattern",$Q$3),"Master",$B$4)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[Table("IF_FQF3MM06")]
	public class IF_FQF3MM06: FullAuditedEntity&lt;long&gt;, IEntity&lt;long&gt;	
	{
		public const int MaxAuthorizationGroupLength = 4;
		public const int MaxMaterialTypeLength = 4;
		public const int MaxMaterialCodeLength = 40;
		public const int MaxIndustrySectorLength = 1;
		public const int MaxMaterialDescriptionLength = 40;
		public const int MaxMaterialGroupLength = 9;
		public const int MaxBaseUnitOfMeasureLength = 3;
		public const int MaxFlagDeletionPlantLevelLength = 1;
		public const int MaxPlantLength = 4;
		public const int MaxStorageLocationLength = 4;
		public const int MaxProductGroupLength = 3;
		public const int MaxProductPurposeLength = 2;
		public const int MaxProductTypeLength = 20;
		public const int MaxProfitCenterLength = 10;
		public const int MaxBatchManagementLength = 1;
		public const int MaxReservedStockLength = 1;
		public const int MaxResidueLength = 1;
		public const int MaxLotCodeLength = 5;
		public const int MaxMrpGroupLength = 4;
		public const int MaxMrpTypeLength = 2;
		public const int MaxProcurementTypeLength = 1;
		public const int MaxSpecialProcurementLength = 2;
		public const int MaxProdStorLocationLength = 4;
		public const int MaxRepetManufacturingLength = 1;
		public const int MaxRemProfileLength = 4;
		public const int MaxDoNotCostLength = 1;
		public const int MaxVarianceKeyLength = 6;
		public const int MaxCostingLotSizeLength = 14;
		public const int MaxProductionVersionLength = 4;
		public const int MaxSpecialProcurementTypeLength = 2;
		public const int MaxValuationCategoryLength = 1;
		public const int MaxValuationTypeLength = 10;
		public const int MaxValuationClassLength = 4;
		public const int MaxPriceDeterminationLength = 1;
		public const int MaxPriceControlLength = 1;
		public const int MaxStandardPriceLength = 12;
		public const int MaxMovingPriceLength = 12;
		public const int MaxWithQtyStructureLength = 1;
		public const int MaxMaterialOriginLength = 1;
		public const int MaxOriginGroupLength = 4;
		public const int MaxBasicDataTextLength = 255;
		public const int MaxKatashikiLength = 20;
		public const int MaxVehicleControlKatashikiLength = 20;
		public const int MaxToyotaOrNonToyotaLength = 2;
		public const int MaxCategoryOfGearLength = 2;
		public const int MaxGoshiCarLength = 1;
		public const int MaxSeriesOfVehiclesLength = 18;
		public const int MaxDeliverPowerOfDrivingWheelsLength = 3;
		public const int MaxFuelTypeLength = 2;
		public const int MaxVehicleNameLength = 6;
		public const int MaxPriceUnitLength = 1;
		public const int MaxMaruCodeLength = 1;
		public const int MaxEndingOfRecordLength = 1;
		public virtual int? RecordId { get; set; }
		[StringLength(MaxAuthorizationGroupLength)]
		public virtual string AuthorizationGroup { get; set; }
		[StringLength(MaxMaterialTypeLength)]
		public virtual string MaterialType { get; set; }
		[StringLength(MaxMaterialCodeLength)]
		public virtual string MaterialCode { get; set; }
		[StringLength(MaxIndustrySectorLength)]
		public virtual string IndustrySector { get; set; }
		[StringLength(MaxMaterialDescriptionLength)]
		public virtual string MaterialDescription { get; set; }
		[StringLength(MaxMaterialGroupLength)]
		public virtual string MaterialGroup { get; set; }
		[StringLength(MaxBaseUnitOfMeasureLength)]
		public virtual string BaseUnitOfMeasure { get; set; }
		[StringLength(MaxFlagDeletionPlantLevelLength)]
		public virtual string FlagDeletionPlantLevel { get; set; }
		[StringLength(MaxPlantLength)]
		public virtual string Plant { get; set; }
		[StringLength(MaxStorageLocationLength)]
		public virtual string StorageLocation { get; set; }
		[StringLength(MaxProductGroupLength)]
		public virtual string ProductGroup { get; set; }
		[StringLength(MaxProductPurposeLength)]
		public virtual string ProductPurpose { get; set; }
		[StringLength(MaxProductTypeLength)]
		public virtual string ProductType { get; set; }
		[StringLength(MaxProfitCenterLength)]
		public virtual string ProfitCenter { get; set; }
		[StringLength(MaxBatchManagementLength)]
		public virtual string BatchManagement { get; set; }
		[StringLength(MaxReservedStockLength)]
		public virtual string ReservedStock { get; set; }
		[StringLength(MaxResidueLength)]
		public virtual string Residue { get; set; }
		[StringLength(MaxLotCodeLength)]
		public virtual string LotCode { get; set; }
		[StringLength(MaxMrpGroupLength)]
		public virtual string MrpGroup { get; set; }
		[StringLength(MaxMrpTypeLength)]
		public virtual string MrpType { get; set; }
		[StringLength(MaxProcurementTypeLength)]
		public virtual string ProcurementType { get; set; }
		[StringLength(MaxSpecialProcurementLength)]
		public virtual string SpecialProcurement { get; set; }
		[StringLength(MaxProdStorLocationLength)]
		public virtual string ProdStorLocation { get; set; }
		[StringLength(MaxRepetManufacturingLength)]
		public virtual string RepetManufacturing { get; set; }
		[StringLength(MaxRemProfileLength)]
		public virtual string RemProfile { get; set; }
		[StringLength(MaxDoNotCostLength)]
		public virtual string DoNotCost { get; set; }
		[StringLength(MaxVarianceKeyLength)]
		public virtual string VarianceKey { get; set; }
		[StringLength(MaxCostingLotSizeLength)]
		public virtual string CostingLotSize { get; set; }
		[StringLength(MaxProductionVersionLength)]
		public virtual string ProductionVersion { get; set; }
		[StringLength(MaxSpecialProcurementTypeLength)]
		public virtual string SpecialProcurementType { get; set; }
		[StringLength(MaxValuationCategoryLength)]
		public virtual string ValuationCategory { get; set; }
		[StringLength(MaxValuationTypeLength)]
		public virtual string ValuationType { get; set; }
		[StringLength(MaxValuationClassLength)]
		public virtual string ValuationClass { get; set; }
		[StringLength(MaxPriceDeterminationLength)]
		public virtual string PriceDetermination { get; set; }
		[StringLength(MaxPriceControlLength)]
		public virtual string PriceControl { get; set; }
		[StringLength(MaxStandardPriceLength)]
		public virtual string StandardPrice { get; set; }
		[StringLength(MaxMovingPriceLength)]
		public virtual string MovingPrice { get; set; }
		[StringLength(MaxWithQtyStructureLength)]
		public virtual string WithQtyStructure { get; set; }
		[StringLength(MaxMaterialOriginLength)]
		public virtual string MaterialOrigin { get; set; }
		[StringLength(MaxOriginGroupLength)]
		public virtual string OriginGroup { get; set; }
		[StringLength(MaxBasicDataTextLength)]
		public virtual string BasicDataText { get; set; }
		[StringLength(MaxKatashikiLength)]
		public virtual string Katashiki { get; set; }
		[StringLength(MaxVehicleControlKatashikiLength)]
		public virtual string VehicleControlKatashiki { get; set; }
		[StringLength(MaxToyotaOrNonToyotaLength)]
		public virtual string ToyotaOrNonToyota { get; set; }
		[StringLength(MaxCategoryOfGearLength)]
		public virtual string CategoryOfGear { get; set; }
		[StringLength(MaxGoshiCarLength)]
		public virtual string GoshiCar { get; set; }
		[StringLength(MaxSeriesOfVehiclesLength)]
		public virtual string SeriesOfVehicles { get; set; }
		[StringLength(MaxDeliverPowerOfDrivingWheelsLength)]
		public virtual string DeliverPowerOfDrivingWheels { get; set; }
		[StringLength(MaxFuelTypeLength)]
		public virtual string FuelType { get; set; }
		[StringLength(MaxVehicleNameLength)]
		public virtual string VehicleName { get; set; }
		[StringLength(MaxPriceUnitLength)]
		public virtual string PriceUnit { get; set; }
		[StringLength(MaxMaruCodeLength)]
		public virtual string MaruCode { get; set; }
		[StringLength(MaxEndingOfRecordLength)]
		public virtual string EndingOfRecord { get; set; }
	}
}
</v>
      </c>
      <c r="K7" t="str">
        <f>SUBSTITUTE(SUBSTITUTE(("public virtual DbSet&lt;"&amp;B3&amp;"&gt; "&amp;B3&amp;"s { get; set; }"),"WorkingPattern",$Q$3),"Master",$B$4)</f>
        <v>public virtual DbSet&lt;IF_FQF3MM06&gt; IF_FQF3MM06s { get; set; }</v>
      </c>
      <c r="L7" t="str">
        <f ca="1">SUBSTITUTE(SUBSTITUTE((C6&amp;E6&amp;I64&amp;"
"&amp;REPT(CHAR(9),2)&amp;"// Define Store Name: Format SP_ + &lt;Store Name&gt; = &lt;Store Name&gt;
"&amp;E3&amp;REPT(CHAR(9),1)&amp;D3&amp;D3),"WorkingPattern",$Q$3),"Master",$B$4)</f>
        <v xml:space="preserve">namespace prod.Inventory.IF
{
	public class IF_FQF3MM06Consts	
	{
		public const int MaxAuthorizationGroupLength = 4;
		public const int MaxMaterialTypeLength = 4;
		public const int MaxMaterialCodeLength = 40;
		public const int MaxIndustrySectorLength = 1;
		public const int MaxMaterialDescriptionLength = 40;
		public const int MaxMaterialGroupLength = 9;
		public const int MaxBaseUnitOfMeasureLength = 3;
		public const int MaxFlagDeletionPlantLevelLength = 1;
		public const int MaxPlantLength = 4;
		public const int MaxStorageLocationLength = 4;
		public const int MaxProductGroupLength = 3;
		public const int MaxProductPurposeLength = 2;
		public const int MaxProductTypeLength = 20;
		public const int MaxProfitCenterLength = 10;
		public const int MaxBatchManagementLength = 1;
		public const int MaxReservedStockLength = 1;
		public const int MaxResidueLength = 1;
		public const int MaxLotCodeLength = 5;
		public const int MaxMrpGroupLength = 4;
		public const int MaxMrpTypeLength = 2;
		public const int MaxProcurementTypeLength = 1;
		public const int MaxSpecialProcurementLength = 2;
		public const int MaxProdStorLocationLength = 4;
		public const int MaxRepetManufacturingLength = 1;
		public const int MaxRemProfileLength = 4;
		public const int MaxDoNotCostLength = 1;
		public const int MaxVarianceKeyLength = 6;
		public const int MaxCostingLotSizeLength = 14;
		public const int MaxProductionVersionLength = 4;
		public const int MaxSpecialProcurementTypeLength = 2;
		public const int MaxValuationCategoryLength = 1;
		public const int MaxValuationTypeLength = 10;
		public const int MaxValuationClassLength = 4;
		public const int MaxPriceDeterminationLength = 1;
		public const int MaxPriceControlLength = 1;
		public const int MaxStandardPriceLength = 12;
		public const int MaxMovingPriceLength = 12;
		public const int MaxWithQtyStructureLength = 1;
		public const int MaxMaterialOriginLength = 1;
		public const int MaxOriginGroupLength = 4;
		public const int MaxBasicDataTextLength = 255;
		public const int MaxKatashikiLength = 20;
		public const int MaxVehicleControlKatashikiLength = 20;
		public const int MaxToyotaOrNonToyotaLength = 2;
		public const int MaxCategoryOfGearLength = 2;
		public const int MaxGoshiCarLength = 1;
		public const int MaxSeriesOfVehiclesLength = 18;
		public const int MaxDeliverPowerOfDrivingWheelsLength = 3;
		public const int MaxFuelTypeLength = 2;
		public const int MaxVehicleNameLength = 6;
		public const int MaxPriceUnitLength = 1;
		public const int MaxMaruCodeLength = 1;
		public const int MaxEndingOfRecordLength = 1;
		// Define Store Name: Format SP_ + &lt;Store Name&gt; = &lt;Store Name&gt;
	}
}
</v>
      </c>
      <c r="M7" t="str">
        <f ca="1">SUBSTITUTE(SUBSTITUTE((C1&amp;"namespace "&amp;B6&amp;".Dto"&amp;E3&amp;C3&amp;F6&amp;M64&amp;E3&amp;REPT(CHAR(9),1)&amp;D3&amp;G6&amp;N64&amp;REPT(CHAR(9),1)&amp;D3&amp;H6&amp;O64&amp;"
"&amp;REPT(CHAR(9),1)&amp;D3&amp;D3),"WorkingPattern",$Q$3),"Master",$B$4)</f>
        <v xml:space="preserve">using Abp.Application.Services.Dto;
using System;
using System.ComponentModel.DataAnnotations;
namespace prod.Inventory.IF.Dto
{
	public class IF_FQF3MM06Dto : EntityDto&lt;long?&gt;	
	{
		public virtual int? RecordId { get; set; }
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	}
	public class CreateOrEditIF_FQF3MM06Dto : EntityDto&lt;long?&gt;	
	{
		public virtual int? RecordId { get; set; }
		[StringLength(IF_FQF3MM06Consts.MaxAuthorizationGroupLength)]
		public virtual string AuthorizationGroup { get; set; }
		[StringLength(IF_FQF3MM06Consts.MaxMaterialTypeLength)]
		public virtual string MaterialType { get; set; }
		[StringLength(IF_FQF3MM06Consts.MaxMaterialCodeLength)]
		public virtual string MaterialCode { get; set; }
		[StringLength(IF_FQF3MM06Consts.MaxIndustrySectorLength)]
		public virtual string IndustrySector { get; set; }
		[StringLength(IF_FQF3MM06Consts.MaxMaterialDescriptionLength)]
		public virtual string MaterialDescription { get; set; }
		[StringLength(IF_FQF3MM06Consts.MaxMaterialGroupLength)]
		public virtual string MaterialGroup { get; set; }
		[StringLength(IF_FQF3MM06Consts.MaxBaseUnitOfMeasureLength)]
		public virtual string BaseUnitOfMeasure { get; set; }
		[StringLength(IF_FQF3MM06Consts.MaxFlagDeletionPlantLevelLength)]
		public virtual string FlagDeletionPlantLevel { get; set; }
		[StringLength(IF_FQF3MM06Consts.MaxPlantLength)]
		public virtual string Plant { get; set; }
		[StringLength(IF_FQF3MM06Consts.MaxStorageLocationLength)]
		public virtual string StorageLocation { get; set; }
		[StringLength(IF_FQF3MM06Consts.MaxProductGroupLength)]
		public virtual string ProductGroup { get; set; }
		[StringLength(IF_FQF3MM06Consts.MaxProductPurposeLength)]
		public virtual string ProductPurpose { get; set; }
		[StringLength(IF_FQF3MM06Consts.MaxProductTypeLength)]
		public virtual string ProductType { get; set; }
		[StringLength(IF_FQF3MM06Consts.MaxProfitCenterLength)]
		public virtual string ProfitCenter { get; set; }
		[StringLength(IF_FQF3MM06Consts.MaxBatchManagementLength)]
		public virtual string BatchManagement { get; set; }
		[StringLength(IF_FQF3MM06Consts.MaxReservedStockLength)]
		public virtual string ReservedStock { get; set; }
		[StringLength(IF_FQF3MM06Consts.MaxResidueLength)]
		public virtual string Residue { get; set; }
		[StringLength(IF_FQF3MM06Consts.MaxLotCodeLength)]
		public virtual string LotCode { get; set; }
		[StringLength(IF_FQF3MM06Consts.MaxMrpGroupLength)]
		public virtual string MrpGroup { get; set; }
		[StringLength(IF_FQF3MM06Consts.MaxMrpTypeLength)]
		public virtual string MrpType { get; set; }
		[StringLength(IF_FQF3MM06Consts.MaxProcurementTypeLength)]
		public virtual string ProcurementType { get; set; }
		[StringLength(IF_FQF3MM06Consts.MaxSpecialProcurementLength)]
		public virtual string SpecialProcurement { get; set; }
		[StringLength(IF_FQF3MM06Consts.MaxProdStorLocationLength)]
		public virtual string ProdStorLocation { get; set; }
		[StringLength(IF_FQF3MM06Consts.MaxRepetManufacturingLength)]
		public virtual string RepetManufacturing { get; set; }
		[StringLength(IF_FQF3MM06Consts.MaxRemProfileLength)]
		public virtual string RemProfile { get; set; }
		[StringLength(IF_FQF3MM06Consts.MaxDoNotCostLength)]
		public virtual string DoNotCost { get; set; }
		[StringLength(IF_FQF3MM06Consts.MaxVarianceKeyLength)]
		public virtual string VarianceKey { get; set; }
		[StringLength(IF_FQF3MM06Consts.MaxCostingLotSizeLength)]
		public virtual string CostingLotSize { get; set; }
		[StringLength(IF_FQF3MM06Consts.MaxProductionVersionLength)]
		public virtual string ProductionVersion { get; set; }
		[StringLength(IF_FQF3MM06Consts.MaxSpecialProcurementTypeLength)]
		public virtual string SpecialProcurementType { get; set; }
		[StringLength(IF_FQF3MM06Consts.MaxValuationCategoryLength)]
		public virtual string ValuationCategory { get; set; }
		[StringLength(IF_FQF3MM06Consts.MaxValuationTypeLength)]
		public virtual string ValuationType { get; set; }
		[StringLength(IF_FQF3MM06Consts.MaxValuationClassLength)]
		public virtual string ValuationClass { get; set; }
		[StringLength(IF_FQF3MM06Consts.MaxPriceDeterminationLength)]
		public virtual string PriceDetermination { get; set; }
		[StringLength(IF_FQF3MM06Consts.MaxPriceControlLength)]
		public virtual string PriceControl { get; set; }
		[StringLength(IF_FQF3MM06Consts.MaxStandardPriceLength)]
		public virtual string StandardPrice { get; set; }
		[StringLength(IF_FQF3MM06Consts.MaxMovingPriceLength)]
		public virtual string MovingPrice { get; set; }
		[StringLength(IF_FQF3MM06Consts.MaxWithQtyStructureLength)]
		public virtual string WithQtyStructure { get; set; }
		[StringLength(IF_FQF3MM06Consts.MaxMaterialOriginLength)]
		public virtual string MaterialOrigin { get; set; }
		[StringLength(IF_FQF3MM06Consts.MaxOriginGroupLength)]
		public virtual string OriginGroup { get; set; }
		[StringLength(IF_FQF3MM06Consts.MaxBasicDataTextLength)]
		public virtual string BasicDataText { get; set; }
		[StringLength(IF_FQF3MM06Consts.MaxKatashikiLength)]
		public virtual string Katashiki { get; set; }
		[StringLength(IF_FQF3MM06Consts.MaxVehicleControlKatashikiLength)]
		public virtual string VehicleControlKatashiki { get; set; }
		[StringLength(IF_FQF3MM06Consts.MaxToyotaOrNonToyotaLength)]
		public virtual string ToyotaOrNonToyota { get; set; }
		[StringLength(IF_FQF3MM06Consts.MaxCategoryOfGearLength)]
		public virtual string CategoryOfGear { get; set; }
		[StringLength(IF_FQF3MM06Consts.MaxGoshiCarLength)]
		public virtual string GoshiCar { get; set; }
		[StringLength(IF_FQF3MM06Consts.MaxSeriesOfVehiclesLength)]
		public virtual string SeriesOfVehicles { get; set; }
		[StringLength(IF_FQF3MM06Consts.MaxDeliverPowerOfDrivingWheelsLength)]
		public virtual string DeliverPowerOfDrivingWheels { get; set; }
		[StringLength(IF_FQF3MM06Consts.MaxFuelTypeLength)]
		public virtual string FuelType { get; set; }
		[StringLength(IF_FQF3MM06Consts.MaxVehicleNameLength)]
		public virtual string VehicleName { get; set; }
		[StringLength(IF_FQF3MM06Consts.MaxPriceUnitLength)]
		public virtual string PriceUnit { get; set; }
		[StringLength(IF_FQF3MM06Consts.MaxMaruCodeLength)]
		public virtual string MaruCode { get; set; }
		[StringLength(IF_FQF3MM06Consts.MaxEndingOfRecordLength)]
		public virtual string EndingOfRecord { get; set; }
	}
	public class GetIF_FQF3MM06Input : PagedAndSortedResultRequestDto	
	{
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perIF_FQF3MM06 = PARENTS.CreateChildPermission(AppPermissions.Pages_Inventory_IF_FQF3MM06, L( "InventoryIFFQF3MM06"), multiTenancySides: MultiTenancySides.Tenant);
		perIF_FQF3MM06.CreateChildPermission(AppPermissions.Pages_Inventory_IF_FQF3MM06_CreateEdit, L( "InventoryIFFQF3MM06CreateEdit"), multiTenancySides: MultiTenancySides.Tenant);
		perIF_FQF3MM06.CreateChildPermission(AppPermissions.Pages_Inventory_IF_FQF3MM06_Delete, L( "InventoryIFFQF3MM06Delete"),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Pages_Inventory_IF_FQF3MM06 = "Pages.Inventory.IF.FQF3MM06";
		public const string Pages_Inventory_IF_FQF3MM06_CreateEdit = "Pages.Inventory.IF.FQF3MM06.CreateEdit";
		public const string Pages_Inventory_IF_FQF3MM06_Delete = "Pages.Inventory.IF.FQF3MM06.Delete";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IIF_FQF3MM06AppService : IApplicationService
	{
		Task&lt;PagedResultDto&lt;IF_FQF3MM06Dto&gt;&gt; GetAll(GetIF_FQF3MM06Input input);
		Task CreateOrEdit(CreateOrEditIF_FQF3MM06Dto input);
		Task Delete(EntityDto input);
	}
}
</v>
      </c>
      <c r="Q7" t="str">
        <f ca="1">SUBSTITUTE(SUBSTITUTE(SUBSTITUTE(SUBSTITUTE(SUBSTITUTE(SUBSTITUTE(E1,"MstWptCalendar",$B$3),"&lt;PROPERTIES&gt;",P64),"Calendar",$B$5),"WorkingPattern",$Q$3),"Master",$B$4),"&lt;PARAMS_SEARCH&gt;",$W$64)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[AbpAuthorize(AppPermissions.Pages_IF_IF_FQF3MM06)]
    public class IF_FQF3MM06AppService : vovinaAppServiceBase, IIF_FQF3MM06AppService
    {
        private readonly IDapperRepository&lt;IF_FQF3MM06, long&gt; _dapperRepo;
        private readonly IRepository&lt;IF_FQF3MM06, long&gt; _repo;
        private readonly IIF_FQF3MM06ExcelExporter _calendarListExcelExporter;
        public IF_FQF3MM06AppService(IRepository&lt;IF_FQF3MM06,long&gt; repo, 
                                         IDapperRepository&lt;IF_FQF3MM06,long&gt; dapperRepo,
                                        IIF_FQF3MM06ExcelExporter calendarListExcelExporter
            )
        {
            _repo = repo;
            _dapperRepo = dapperRepo;
            _calendarListExcelExporter = calendarListExcelExporter;
        }
        [AbpAuthorize(AppPermissions.Pages_IF_IF_FQF3MM06_CreateEdit)]
        public async Task CreateOrEdit(CreateOrEditIF_FQF3MM06Dto input)
        {
            if (input.Id == null) await Create(input);
            else await Update(input);
        }
        //CREATE
        private async Task Create(CreateOrEditIF_FQF3MM06Dto input)
        {          
            var mainObj = ObjectMapper.Map&lt;IF_FQF3MM06&gt;(input);
            await CurrentUnitOfWork.GetDbContext&lt;vovinaDbContext&gt;().AddAsync(mainObj);
        }
        // EDIT
        private async Task Update(CreateOrEditIF_FQF3MM06Dto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[AbpAuthorize(AppPermissions.Pages_IF_IF_FQF3MM06_Delete)]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Task&lt;PagedResultDto&lt;IF_FQF3MM06Dto&gt;&gt; GetAll(GetIF_FQF3MM06Input input)
        {
            var filtered = _repo.GetAll()
				.WhereIf(!string.IsNullOrWhiteSpace(input.AuthorizationGroup), e =&gt; e.AuthorizationGroup.Contains(input.AuthorizationGroup))
				.WhereIf(!string.IsNullOrWhiteSpace(input.MaterialType), e =&gt; e.MaterialType.Contains(input.MaterialType))
				.WhereIf(!string.IsNullOrWhiteSpace(input.MaterialCode), e =&gt; e.MaterialCode.Contains(input.MaterialCode))
				.WhereIf(!string.IsNullOrWhiteSpace(input.IndustrySector), e =&gt; e.IndustrySector.Contains(input.IndustrySector))
				.WhereIf(!string.IsNullOrWhiteSpace(input.MaterialDescription), e =&gt; e.MaterialDescription.Contains(input.MaterialDescription))
				.WhereIf(!string.IsNullOrWhiteSpace(input.MaterialGroup), e =&gt; e.MaterialGroup.Contains(input.MaterialGroup))
				.WhereIf(!string.IsNullOrWhiteSpace(input.BaseUnitOfMeasure), e =&gt; e.BaseUnitOfMeasure.Contains(input.BaseUnitOfMeasure))
				.WhereIf(!string.IsNullOrWhiteSpace(input.FlagDeletionPlantLevel), e =&gt; e.FlagDeletionPlantLevel.Contains(input.FlagDeletionPlantLevel))
				.WhereIf(!string.IsNullOrWhiteSpace(input.Plant), e =&gt; e.Plant.Contains(input.Plant))
				.WhereIf(!string.IsNullOrWhiteSpace(input.StorageLocation), e =&gt; e.StorageLocation.Contains(input.StorageLocation))
				.WhereIf(!string.IsNullOrWhiteSpace(input.ProductGroup), e =&gt; e.ProductGroup.Contains(input.ProductGroup))
				.WhereIf(!string.IsNullOrWhiteSpace(input.ProductPurpose), e =&gt; e.ProductPurpose.Contains(input.ProductPurpose))
				.WhereIf(!string.IsNullOrWhiteSpace(input.ProductType), e =&gt; e.ProductType.Contains(input.ProductType))
				.WhereIf(!string.IsNullOrWhiteSpace(input.ProfitCenter), e =&gt; e.ProfitCenter.Contains(input.ProfitCenter))
				.WhereIf(!string.IsNullOrWhiteSpace(input.BatchManagement), e =&gt; e.BatchManagement.Contains(input.BatchManagement))
				.WhereIf(!string.IsNullOrWhiteSpace(input.ReservedStock), e =&gt; e.ReservedStock.Contains(input.ReservedStock))
				.WhereIf(!string.IsNullOrWhiteSpace(input.Residue), e =&gt; e.Residue.Contains(input.Residue))
				.WhereIf(!string.IsNullOrWhiteSpace(input.LotCode), e =&gt; e.LotCode.Contains(input.LotCode))
				.WhereIf(!string.IsNullOrWhiteSpace(input.MrpGroup), e =&gt; e.MrpGroup.Contains(input.MrpGroup))
				.WhereIf(!string.IsNullOrWhiteSpace(input.MrpType), e =&gt; e.MrpType.Contains(input.MrpType))
				.WhereIf(!string.IsNullOrWhiteSpace(input.ProcurementType), e =&gt; e.ProcurementType.Contains(input.ProcurementType))
				.WhereIf(!string.IsNullOrWhiteSpace(input.SpecialProcurement), e =&gt; e.SpecialProcurement.Contains(input.SpecialProcurement))
				.WhereIf(!string.IsNullOrWhiteSpace(input.ProdStorLocation), e =&gt; e.ProdStorLocation.Contains(input.ProdStorLocation))
				.WhereIf(!string.IsNullOrWhiteSpace(input.RepetManufacturing), e =&gt; e.RepetManufacturing.Contains(input.RepetManufacturing))
				.WhereIf(!string.IsNullOrWhiteSpace(input.RemProfile), e =&gt; e.RemProfile.Contains(input.RemProfile))
				.WhereIf(!string.IsNullOrWhiteSpace(input.DoNotCost), e =&gt; e.DoNotCost.Contains(input.DoNotCost))
				.WhereIf(!string.IsNullOrWhiteSpace(input.VarianceKey), e =&gt; e.VarianceKey.Contains(input.VarianceKey))
				.WhereIf(!string.IsNullOrWhiteSpace(input.CostingLotSize), e =&gt; e.CostingLotSize.Contains(input.CostingLotSize))
				.WhereIf(!string.IsNullOrWhiteSpace(input.ProductionVersion), e =&gt; e.ProductionVersion.Contains(input.ProductionVersion))
				.WhereIf(!string.IsNullOrWhiteSpace(input.SpecialProcurementType), e =&gt; e.SpecialProcurementType.Contains(input.SpecialProcurementType))
				.WhereIf(!string.IsNullOrWhiteSpace(input.ValuationCategory), e =&gt; e.ValuationCategory.Contains(input.ValuationCategory))
				.WhereIf(!string.IsNullOrWhiteSpace(input.ValuationType), e =&gt; e.ValuationType.Contains(input.ValuationType))
				.WhereIf(!string.IsNullOrWhiteSpace(input.ValuationClass), e =&gt; e.ValuationClass.Contains(input.ValuationClass))
				.WhereIf(!string.IsNullOrWhiteSpace(input.PriceDetermination), e =&gt; e.PriceDetermination.Contains(input.PriceDetermination))
				.WhereIf(!string.IsNullOrWhiteSpace(input.PriceControl), e =&gt; e.PriceControl.Contains(input.PriceControl))
				.WhereIf(!string.IsNullOrWhiteSpace(input.StandardPrice), e =&gt; e.StandardPrice.Contains(input.StandardPrice))
				.WhereIf(!string.IsNullOrWhiteSpace(input.MovingPrice), e =&gt; e.MovingPrice.Contains(input.MovingPrice))
				.WhereIf(!string.IsNullOrWhiteSpace(input.WithQtyStructure), e =&gt; e.WithQtyStructure.Contains(input.WithQtyStructure))
				.WhereIf(!string.IsNullOrWhiteSpace(input.MaterialOrigin), e =&gt; e.MaterialOrigin.Contains(input.MaterialOrigin))
				.WhereIf(!string.IsNullOrWhiteSpace(input.OriginGroup), e =&gt; e.OriginGroup.Contains(input.OriginGroup))
				.WhereIf(!string.IsNullOrWhiteSpace(input.BasicDataText), e =&gt; e.BasicDataText.Contains(input.BasicDataText))
				.WhereIf(!string.IsNullOrWhiteSpace(input.Katashiki), e =&gt; e.Katashiki.Contains(input.Katashiki))
				.WhereIf(!string.IsNullOrWhiteSpace(input.VehicleControlKatashiki), e =&gt; e.VehicleControlKatashiki.Contains(input.VehicleControlKatashiki))
				.WhereIf(!string.IsNullOrWhiteSpace(input.ToyotaOrNonToyota), e =&gt; e.ToyotaOrNonToyota.Contains(input.ToyotaOrNonToyota))
				.WhereIf(!string.IsNullOrWhiteSpace(input.CategoryOfGear), e =&gt; e.CategoryOfGear.Contains(input.CategoryOfGear))
				.WhereIf(!string.IsNullOrWhiteSpace(input.GoshiCar), e =&gt; e.GoshiCar.Contains(input.GoshiCar))
				.WhereIf(!string.IsNullOrWhiteSpace(input.SeriesOfVehicles), e =&gt; e.SeriesOfVehicles.Contains(input.SeriesOfVehicles))
				.WhereIf(!string.IsNullOrWhiteSpace(input.DeliverPowerOfDrivingWheels), e =&gt; e.DeliverPowerOfDrivingWheels.Contains(input.DeliverPowerOfDrivingWheels))
				.WhereIf(!string.IsNullOrWhiteSpace(input.FuelType), e =&gt; e.FuelType.Contains(input.FuelType))
				.WhereIf(!string.IsNullOrWhiteSpace(input.VehicleName), e =&gt; e.VehicleName.Contains(input.VehicleName))
				.WhereIf(!string.IsNullOrWhiteSpace(input.PriceUnit), e =&gt; e.PriceUnit.Contains(input.PriceUnit))
				.WhereIf(!string.IsNullOrWhiteSpace(input.MaruCode), e =&gt; e.MaruCode.Contains(input.MaruCode))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IF_FQF3MM06Dto
                        {
							Id = o.Id,
							RecordId = o.RecordId,
							AuthorizationGroup = o.AuthorizationGroup,
							MaterialType = o.MaterialType,
							MaterialCode = o.MaterialCode,
							IndustrySector = o.IndustrySector,
							MaterialDescription = o.MaterialDescription,
							MaterialGroup = o.MaterialGroup,
							BaseUnitOfMeasure = o.BaseUnitOfMeasure,
							FlagDeletionPlantLevel = o.FlagDeletionPlantLevel,
							Plant = o.Plant,
							StorageLocation = o.StorageLocation,
							ProductGroup = o.ProductGroup,
							ProductPurpose = o.ProductPurpose,
							ProductType = o.ProductType,
							ProfitCenter = o.ProfitCenter,
							BatchManagement = o.BatchManagement,
							ReservedStock = o.ReservedStock,
							Residue = o.Residue,
							LotCode = o.LotCode,
							MrpGroup = o.MrpGroup,
							MrpType = o.MrpType,
							ProcurementType = o.ProcurementType,
							SpecialProcurement = o.SpecialProcurement,
							ProdStorLocation = o.ProdStorLocation,
							RepetManufacturing = o.RepetManufacturing,
							RemProfile = o.RemProfile,
							DoNotCost = o.DoNotCost,
							VarianceKey = o.VarianceKey,
							CostingLotSize = o.CostingLotSize,
							ProductionVersion = o.ProductionVersion,
							SpecialProcurementType = o.SpecialProcurementType,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BasicDataText = o.BasicDataText,
							Katashiki = o.Katashiki,
							VehicleControlKatashiki = o.VehicleControlKatashiki,
							ToyotaOrNonToyota = o.ToyotaOrNonToyota,
							CategoryOfGear = o.CategoryOfGear,
							GoshiCar = o.GoshiCar,
							SeriesOfVehicles = o.SeriesOfVehicles,
							DeliverPowerOfDrivingWheels = o.DeliverPowerOfDrivingWheels,
							FuelType = o.FuelType,
							VehicleName = o.VehicleName,
							PriceUnit = o.PriceUnit,
							MaruCode = o.MaruCode,
							EndingOfRecord = o.EndingOfRecord,
                        };
            var totalCount = await filtered.CountAsync();
			var paged = system.PageBy(input);
            return new PagedResultDto&lt;IF_FQF3MM06Dto&gt;(
                totalCount,
                 await paged.ToListAsync()
            );
        }
        public async Task&lt;FileDto&gt; GetFQF3MM06ToExcel(IF_FQF3MM06ExportInput input)
        {
            var query = from o in _repo.GetAll()
                        select new IF_FQF3MM06Dto
                        {
							Id = o.Id,
							RecordId = o.RecordId,
							AuthorizationGroup = o.AuthorizationGroup,
							MaterialType = o.MaterialType,
							MaterialCode = o.MaterialCode,
							IndustrySector = o.IndustrySector,
							MaterialDescription = o.MaterialDescription,
							MaterialGroup = o.MaterialGroup,
							BaseUnitOfMeasure = o.BaseUnitOfMeasure,
							FlagDeletionPlantLevel = o.FlagDeletionPlantLevel,
							Plant = o.Plant,
							StorageLocation = o.StorageLocation,
							ProductGroup = o.ProductGroup,
							ProductPurpose = o.ProductPurpose,
							ProductType = o.ProductType,
							ProfitCenter = o.ProfitCenter,
							BatchManagement = o.BatchManagement,
							ReservedStock = o.ReservedStock,
							Residue = o.Residue,
							LotCode = o.LotCode,
							MrpGroup = o.MrpGroup,
							MrpType = o.MrpType,
							ProcurementType = o.ProcurementType,
							SpecialProcurement = o.SpecialProcurement,
							ProdStorLocation = o.ProdStorLocation,
							RepetManufacturing = o.RepetManufacturing,
							RemProfile = o.RemProfile,
							DoNotCost = o.DoNotCost,
							VarianceKey = o.VarianceKey,
							CostingLotSize = o.CostingLotSize,
							ProductionVersion = o.ProductionVersion,
							SpecialProcurementType = o.SpecialProcurementType,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BasicDataText = o.BasicDataText,
							Katashiki = o.Katashiki,
							VehicleControlKatashiki = o.VehicleControlKatashiki,
							ToyotaOrNonToyota = o.ToyotaOrNonToyota,
							CategoryOfGear = o.CategoryOfGear,
							GoshiCar = o.GoshiCar,
							SeriesOfVehicles = o.SeriesOfVehicles,
							DeliverPowerOfDrivingWheels = o.DeliverPowerOfDrivingWheels,
							FuelType = o.FuelType,
							VehicleName = o.VehicleName,
							PriceUnit = o.PriceUnit,
							MaruCode = o.MaruCode,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_dapperRepo.ExecuteAsync(IF_FQF3MM06Consts.SP_MST_WPT_CALENDAR_GENERATE);
       // }
    }
}</v>
      </c>
      <c r="R7" t="str">
        <f ca="1">SUBSTITUTE(SUBSTITUTE((C1&amp;"namespace "&amp;B6&amp;".Dto"&amp;E3&amp;C3&amp;R3&amp;M64&amp;E3&amp;REPT(CHAR(9),1)&amp;D3&amp;D3),"WorkingPattern",$Q$3),"Master",$B$4)</f>
        <v xml:space="preserve">using Abp.Application.Services.Dto;
using System;
using System.ComponentModel.DataAnnotations;
namespace prod.Inventory.IF.Dto
{
	public class IF_FQF3MM06ExportInput{
		public virtual int? RecordId { get; set; }
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IIF_FQF3MM06ExcelExporter : IApplicationService
	{
		FileDto ExportToFile(List&lt;IF_FQF3MM06Dto&gt; if_fqf3mm06);
	}
}
</v>
      </c>
      <c r="T7" s="26" t="str">
        <f ca="1">SUBSTITUTE(SUBSTITUTE(SUBSTITUTE(SUBSTITUTE(SUBSTITUTE(SUBSTITUTE(SUBSTITUTE(T1,"MstWptCalendar",$B$3),"&lt;PROPERTIES1&gt;",V64),"&lt;PROPERTIES&gt;",T64),"Calendar",$B$5),"calendar",LOWER(B5)),"WorkingPattern",$Q$3),"Master",$B$4)</f>
        <v>using System.Collections.Generic;
using vovina.DataExporting.Excel.NPOI;
using vovina.Dto;
using vovina.IF.IF.Exporting;
using vovina.IF.IF.Dto;
using vovina.Storage;
using vovina.IF.IF.Dto;
namespace vovina.IF.IF.Exporting
{
    public class IF_FQF3MM06ExcelExporter : NpoiExcelExporterBase, IIF_FQF3MM06ExcelExporter
    {
        public IF_FQF3MM06ExcelExporter(ITempFileCacheManager tempFileCacheManager) : base(tempFileCacheManager) { }
        public FileDto ExportToFile(List&lt;IF_FQF3MM06Dto&gt; fqf3mm06)
        {
            return CreateExcelPackage(
				"IFIFFQF3MM06.xlsx",
				excelPackage =&gt;
				 {
					var sheet = excelPackage.CreateSheet("FQF3MM06");
					AddHeader(
								sheet,
								("RecordId"),
								("AuthorizationGroup"),
								("MaterialType"),
								("MaterialCode"),
								("IndustrySector"),
								("MaterialDescription"),
								("MaterialGroup"),
								("BaseUnitOfMeasure"),
								("FlagDeletionPlantLevel"),
								("Plant"),
								("StorageLocation"),
								("ProductGroup"),
								("ProductPurpose"),
								("ProductType"),
								("ProfitCenter"),
								("BatchManagement"),
								("ReservedStock"),
								("Residue"),
								("LotCode"),
								("MrpGroup"),
								("MrpType"),
								("ProcurementType"),
								("SpecialProcurement"),
								("ProdStorLocation"),
								("RepetManufacturing"),
								("RemProfile"),
								("DoNotCost"),
								("VarianceKey"),
								("CostingLotSize"),
								("ProductionVersion"),
								("SpecialProcurementType"),
								("ValuationCategory"),
								("ValuationType"),
								("ValuationClass"),
								("PriceDetermination"),
								("PriceControl"),
								("StandardPrice"),
								("MovingPrice"),
								("WithQtyStructure"),
								("MaterialOrigin"),
								("OriginGroup"),
								("BasicDataText"),
								("Katashiki"),
								("VehicleControlKatashiki"),
								("ToyotaOrNonToyota"),
								("CategoryOfGear"),
								("GoshiCar"),
								("SeriesOfVehicles"),
								("DeliverPowerOfDrivingWheels"),
								("FuelType"),
								("VehicleName"),
								("PriceUnit"),
								("MaruCode"),
								("EndingOfRecord"),
							   );
					AddObjects(
						 sheet, 1, fqf3mm06,                                       
								_ =&gt; _.RecordId,
								_ =&gt; _.AuthorizationGroup,
								_ =&gt; _.MaterialType,
								_ =&gt; _.MaterialCode,
								_ =&gt; _.IndustrySector,
								_ =&gt; _.MaterialDescription,
								_ =&gt; _.MaterialGroup,
								_ =&gt; _.BaseUnitOfMeasure,
								_ =&gt; _.FlagDeletionPlantLevel,
								_ =&gt; _.Plant,
								_ =&gt; _.StorageLocation,
								_ =&gt; _.ProductGroup,
								_ =&gt; _.ProductPurpose,
								_ =&gt; _.ProductType,
								_ =&gt; _.ProfitCenter,
								_ =&gt; _.BatchManagement,
								_ =&gt; _.ReservedStock,
								_ =&gt; _.Residue,
								_ =&gt; _.LotCode,
								_ =&gt; _.MrpGroup,
								_ =&gt; _.MrpType,
								_ =&gt; _.ProcurementType,
								_ =&gt; _.SpecialProcurement,
								_ =&gt; _.ProdStorLocation,
								_ =&gt; _.RepetManufacturing,
								_ =&gt; _.RemProfile,
								_ =&gt; _.DoNotCost,
								_ =&gt; _.VarianceKey,
								_ =&gt; _.CostingLotSize,
								_ =&gt; _.ProductionVersion,
								_ =&gt; _.SpecialProcurementType,
								_ =&gt; _.ValuationCategory,
								_ =&gt; _.ValuationType,
								_ =&gt; _.ValuationClass,
								_ =&gt; _.PriceDetermination,
								_ =&gt; _.PriceControl,
								_ =&gt; _.StandardPrice,
								_ =&gt; _.MovingPrice,
								_ =&gt; _.WithQtyStructure,
								_ =&gt; _.MaterialOrigin,
								_ =&gt; _.OriginGroup,
								_ =&gt; _.BasicDataText,
								_ =&gt; _.Katashiki,
								_ =&gt; _.VehicleControlKatashiki,
								_ =&gt; _.ToyotaOrNonToyota,
								_ =&gt; _.CategoryOfGear,
								_ =&gt; _.GoshiCar,
								_ =&gt; _.SeriesOfVehicles,
								_ =&gt; _.DeliverPowerOfDrivingWheels,
								_ =&gt; _.FuelType,
								_ =&gt; _.VehicleName,
								_ =&gt; _.PriceUnit,
								_ =&gt; _.MaruCode,
								_ =&gt; _.EndingOfRecord,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configuration.CreateMap&lt;IF_FQF3MM06Dto, IF_FQF3MM06&gt;();
  configuration.CreateMap&lt;IF_FQF3MM06, IF_FQF3MM06Dto&gt;();
  configuration.CreateMap&lt;CreateOrEditIF_FQF3MM06Dto, IF_FQF3MM06&gt;();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360</v>
      </c>
      <c r="B9" t="s">
        <v>4</v>
      </c>
      <c r="C9" t="s">
        <v>1</v>
      </c>
      <c r="D9" t="str">
        <f t="shared" ref="D9" si="0">SUBSTITUTE(PROPER(A9),"_","")</f>
        <v>RecordId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RecordId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RecordId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RecordId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RecordId = o.RecordId,</v>
      </c>
      <c r="T9" s="63" t="str">
        <f t="shared" ref="T9" si="10">REPT(CHAR(9),8)&amp;"("""&amp;D9&amp;"""),"</f>
        <v xml:space="preserve">								("RecordId"),</v>
      </c>
      <c r="V9" s="64" t="str">
        <f t="shared" ref="V9" si="11">REPT(CHAR(9),8)&amp;"_ =&gt; _."&amp;D9&amp;","</f>
        <v xml:space="preserve">								_ =&gt; _.RecordId,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t="s">
        <v>361</v>
      </c>
      <c r="B10" t="s">
        <v>412</v>
      </c>
      <c r="C10" t="s">
        <v>1</v>
      </c>
      <c r="D10" t="str">
        <f t="shared" ref="D10:D11" si="13">SUBSTITUTE(PROPER(A10),"_","")</f>
        <v>AuthorizationGroup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4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MaxAuthorizationGroupLength = 4;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[StringLength(MaxAuthorizationGroupLength)]
		public virtual string AuthorizationGroup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AuthorizationGroup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[StringLength(IF_FQF3MM06Consts.MaxAuthorizationGroupLength)]
		public virtual string AuthorizationGroup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AuthorizationGroup { get; set; }
</v>
      </c>
      <c r="P10" t="str">
        <f t="shared" ref="P10:P11" si="22">REPT(CHAR(9),7)&amp;D10&amp;" = o." &amp;D10 &amp;","</f>
        <v xml:space="preserve">							AuthorizationGroup = o.AuthorizationGroup,</v>
      </c>
      <c r="T10" s="63" t="str">
        <f t="shared" ref="T10:T11" si="23">REPT(CHAR(9),8)&amp;"("""&amp;D10&amp;"""),"</f>
        <v xml:space="preserve">								("AuthorizationGroup"),</v>
      </c>
      <c r="V10" s="64" t="str">
        <f t="shared" ref="V10:V11" si="24">REPT(CHAR(9),8)&amp;"_ =&gt; _."&amp;D10&amp;","</f>
        <v xml:space="preserve">								_ =&gt; _.AuthorizationGroup,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.WhereIf(!string.IsNullOrWhiteSpace(input.AuthorizationGroup), e =&gt; e.AuthorizationGroup.Contains(input.AuthorizationGroup))</v>
      </c>
    </row>
    <row r="11" spans="1:23" customFormat="1" ht="18.75" customHeight="1" x14ac:dyDescent="0.25">
      <c r="A11" t="s">
        <v>362</v>
      </c>
      <c r="B11" t="s">
        <v>412</v>
      </c>
      <c r="C11" t="s">
        <v>1</v>
      </c>
      <c r="D11" t="str">
        <f t="shared" si="13"/>
        <v>MaterialType</v>
      </c>
      <c r="E11" t="str">
        <f t="shared" si="14"/>
        <v>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MaxMaterialTypeLength = 4;
</v>
      </c>
      <c r="J11" t="str">
        <f t="shared" si="17"/>
        <v xml:space="preserve">		[StringLength(MaxMaterialTypeLength)]
		public virtual string MaterialType { get; set; }
</v>
      </c>
      <c r="K11" s="6"/>
      <c r="L11" t="str">
        <f t="shared" si="18"/>
        <v/>
      </c>
      <c r="M11" t="str">
        <f t="shared" si="19"/>
        <v xml:space="preserve">		public virtual string MaterialType { get; set; }
</v>
      </c>
      <c r="N11" t="str">
        <f t="shared" si="20"/>
        <v xml:space="preserve">		[StringLength(IF_FQF3MM06Consts.MaxMaterialTypeLength)]
		public virtual string MaterialType { get; set; }
</v>
      </c>
      <c r="O11" t="str">
        <f t="shared" si="21"/>
        <v xml:space="preserve">		public virtual string MaterialType { get; set; }
</v>
      </c>
      <c r="P11" t="str">
        <f t="shared" si="22"/>
        <v xml:space="preserve">							MaterialType = o.MaterialType,</v>
      </c>
      <c r="T11" s="63" t="str">
        <f t="shared" si="23"/>
        <v xml:space="preserve">								("MaterialType"),</v>
      </c>
      <c r="V11" s="64" t="str">
        <f t="shared" si="24"/>
        <v xml:space="preserve">								_ =&gt; _.MaterialType,</v>
      </c>
      <c r="W11" s="63" t="str">
        <f t="shared" si="25"/>
        <v xml:space="preserve">				.WhereIf(!string.IsNullOrWhiteSpace(input.MaterialType), e =&gt; e.MaterialType.Contains(input.MaterialType))</v>
      </c>
    </row>
    <row r="12" spans="1:23" customFormat="1" ht="18.75" customHeight="1" x14ac:dyDescent="0.25">
      <c r="A12" t="s">
        <v>363</v>
      </c>
      <c r="B12" t="s">
        <v>413</v>
      </c>
      <c r="C12" t="s">
        <v>1</v>
      </c>
      <c r="D12" t="str">
        <f t="shared" ref="D12:D15" si="26">SUBSTITUTE(PROPER(A12),"_","")</f>
        <v>MaterialCode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40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MaxMaterialCodeLength = 40;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[StringLength(MaxMaterialCodeLength)]
		public virtual string MaterialCode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MaterialCode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[StringLength(IF_FQF3MM06Consts.MaxMaterialCodeLength)]
		public virtual string MaterialCode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MaterialCode { get; set; }
</v>
      </c>
      <c r="P12" t="str">
        <f t="shared" ref="P12:P15" si="35">REPT(CHAR(9),7)&amp;D12&amp;" = o." &amp;D12 &amp;","</f>
        <v xml:space="preserve">							MaterialCode = o.MaterialCode,</v>
      </c>
      <c r="T12" s="63" t="str">
        <f t="shared" ref="T12:T15" si="36">REPT(CHAR(9),8)&amp;"("""&amp;D12&amp;"""),"</f>
        <v xml:space="preserve">								("MaterialCode"),</v>
      </c>
      <c r="V12" s="64" t="str">
        <f t="shared" ref="V12:V15" si="37">REPT(CHAR(9),8)&amp;"_ =&gt; _."&amp;D12&amp;","</f>
        <v xml:space="preserve">								_ =&gt; _.MaterialCode,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.WhereIf(!string.IsNullOrWhiteSpace(input.MaterialCode), e =&gt; e.MaterialCode.Contains(input.MaterialCode))</v>
      </c>
    </row>
    <row r="13" spans="1:23" customFormat="1" ht="18.75" customHeight="1" x14ac:dyDescent="0.25">
      <c r="A13" t="s">
        <v>364</v>
      </c>
      <c r="B13" t="s">
        <v>414</v>
      </c>
      <c r="C13" t="s">
        <v>1</v>
      </c>
      <c r="D13" t="str">
        <f t="shared" si="26"/>
        <v>IndustrySector</v>
      </c>
      <c r="E13" t="str">
        <f t="shared" si="27"/>
        <v>varchar</v>
      </c>
      <c r="F13" s="6"/>
      <c r="G13" t="str">
        <f t="shared" si="28"/>
        <v>1</v>
      </c>
      <c r="H13" t="str">
        <f>+VLOOKUP(E13,'Data Type Mapping'!A:B,2,)</f>
        <v>string</v>
      </c>
      <c r="I13" t="str">
        <f t="shared" si="29"/>
        <v xml:space="preserve">		public const int MaxIndustrySectorLength = 1;
</v>
      </c>
      <c r="J13" t="str">
        <f t="shared" si="30"/>
        <v xml:space="preserve">		[StringLength(MaxIndustrySectorLength)]
		public virtual string IndustrySector { get; set; }
</v>
      </c>
      <c r="K13" s="6"/>
      <c r="L13" t="str">
        <f t="shared" si="31"/>
        <v/>
      </c>
      <c r="M13" t="str">
        <f t="shared" si="32"/>
        <v xml:space="preserve">		public virtual string IndustrySector { get; set; }
</v>
      </c>
      <c r="N13" t="str">
        <f t="shared" si="33"/>
        <v xml:space="preserve">		[StringLength(IF_FQF3MM06Consts.MaxIndustrySectorLength)]
		public virtual string IndustrySector { get; set; }
</v>
      </c>
      <c r="O13" t="str">
        <f t="shared" si="34"/>
        <v xml:space="preserve">		public virtual string IndustrySector { get; set; }
</v>
      </c>
      <c r="P13" t="str">
        <f t="shared" si="35"/>
        <v xml:space="preserve">							IndustrySector = o.IndustrySector,</v>
      </c>
      <c r="T13" s="63" t="str">
        <f t="shared" si="36"/>
        <v xml:space="preserve">								("IndustrySector"),</v>
      </c>
      <c r="V13" s="64" t="str">
        <f t="shared" si="37"/>
        <v xml:space="preserve">								_ =&gt; _.IndustrySector,</v>
      </c>
      <c r="W13" s="63" t="str">
        <f t="shared" si="38"/>
        <v xml:space="preserve">				.WhereIf(!string.IsNullOrWhiteSpace(input.IndustrySector), e =&gt; e.IndustrySector.Contains(input.IndustrySector))</v>
      </c>
    </row>
    <row r="14" spans="1:23" customFormat="1" ht="18.75" customHeight="1" x14ac:dyDescent="0.25">
      <c r="A14" t="s">
        <v>365</v>
      </c>
      <c r="B14" t="s">
        <v>413</v>
      </c>
      <c r="C14" t="s">
        <v>1</v>
      </c>
      <c r="D14" t="str">
        <f t="shared" si="26"/>
        <v>MaterialDescription</v>
      </c>
      <c r="E14" t="str">
        <f t="shared" si="27"/>
        <v>varchar</v>
      </c>
      <c r="F14" s="6"/>
      <c r="G14" t="str">
        <f t="shared" si="28"/>
        <v>40</v>
      </c>
      <c r="H14" t="str">
        <f>+VLOOKUP(E14,'Data Type Mapping'!A:B,2,)</f>
        <v>string</v>
      </c>
      <c r="I14" t="str">
        <f t="shared" si="29"/>
        <v xml:space="preserve">		public const int MaxMaterialDescriptionLength = 40;
</v>
      </c>
      <c r="J14" t="str">
        <f t="shared" si="30"/>
        <v xml:space="preserve">		[StringLength(MaxMaterialDescriptionLength)]
		public virtual string MaterialDescription { get; set; }
</v>
      </c>
      <c r="K14" s="6"/>
      <c r="L14" t="str">
        <f t="shared" si="31"/>
        <v/>
      </c>
      <c r="M14" t="str">
        <f t="shared" si="32"/>
        <v xml:space="preserve">		public virtual string MaterialDescription { get; set; }
</v>
      </c>
      <c r="N14" t="str">
        <f t="shared" si="33"/>
        <v xml:space="preserve">		[StringLength(IF_FQF3MM06Consts.MaxMaterialDescriptionLength)]
		public virtual string MaterialDescription { get; set; }
</v>
      </c>
      <c r="O14" t="str">
        <f t="shared" si="34"/>
        <v xml:space="preserve">		public virtual string MaterialDescription { get; set; }
</v>
      </c>
      <c r="P14" t="str">
        <f t="shared" si="35"/>
        <v xml:space="preserve">							MaterialDescription = o.MaterialDescription,</v>
      </c>
      <c r="T14" s="63" t="str">
        <f t="shared" si="36"/>
        <v xml:space="preserve">								("MaterialDescription"),</v>
      </c>
      <c r="V14" s="64" t="str">
        <f t="shared" si="37"/>
        <v xml:space="preserve">								_ =&gt; _.MaterialDescription,</v>
      </c>
      <c r="W14" s="63" t="str">
        <f t="shared" si="38"/>
        <v xml:space="preserve">				.WhereIf(!string.IsNullOrWhiteSpace(input.MaterialDescription), e =&gt; e.MaterialDescription.Contains(input.MaterialDescription))</v>
      </c>
    </row>
    <row r="15" spans="1:23" customFormat="1" ht="18.75" customHeight="1" x14ac:dyDescent="0.25">
      <c r="A15" t="s">
        <v>366</v>
      </c>
      <c r="B15" t="s">
        <v>415</v>
      </c>
      <c r="C15" t="s">
        <v>1</v>
      </c>
      <c r="D15" t="str">
        <f t="shared" si="26"/>
        <v>MaterialGroup</v>
      </c>
      <c r="E15" t="str">
        <f t="shared" si="27"/>
        <v>varchar</v>
      </c>
      <c r="F15" s="6"/>
      <c r="G15" t="str">
        <f t="shared" si="28"/>
        <v>9</v>
      </c>
      <c r="H15" t="str">
        <f>+VLOOKUP(E15,'Data Type Mapping'!A:B,2,)</f>
        <v>string</v>
      </c>
      <c r="I15" t="str">
        <f t="shared" si="29"/>
        <v xml:space="preserve">		public const int MaxMaterialGroupLength = 9;
</v>
      </c>
      <c r="J15" t="str">
        <f t="shared" si="30"/>
        <v xml:space="preserve">		[StringLength(MaxMaterialGroupLength)]
		public virtual string MaterialGroup { get; set; }
</v>
      </c>
      <c r="K15" s="6"/>
      <c r="L15" t="str">
        <f t="shared" si="31"/>
        <v/>
      </c>
      <c r="M15" t="str">
        <f t="shared" si="32"/>
        <v xml:space="preserve">		public virtual string MaterialGroup { get; set; }
</v>
      </c>
      <c r="N15" t="str">
        <f t="shared" si="33"/>
        <v xml:space="preserve">		[StringLength(IF_FQF3MM06Consts.MaxMaterialGroupLength)]
		public virtual string MaterialGroup { get; set; }
</v>
      </c>
      <c r="O15" t="str">
        <f t="shared" si="34"/>
        <v xml:space="preserve">		public virtual string MaterialGroup { get; set; }
</v>
      </c>
      <c r="P15" t="str">
        <f t="shared" si="35"/>
        <v xml:space="preserve">							MaterialGroup = o.MaterialGroup,</v>
      </c>
      <c r="T15" s="63" t="str">
        <f t="shared" si="36"/>
        <v xml:space="preserve">								("MaterialGroup"),</v>
      </c>
      <c r="V15" s="64" t="str">
        <f t="shared" si="37"/>
        <v xml:space="preserve">								_ =&gt; _.MaterialGroup,</v>
      </c>
      <c r="W15" s="63" t="str">
        <f t="shared" si="38"/>
        <v xml:space="preserve">				.WhereIf(!string.IsNullOrWhiteSpace(input.MaterialGroup), e =&gt; e.MaterialGroup.Contains(input.MaterialGroup))</v>
      </c>
    </row>
    <row r="16" spans="1:23" customFormat="1" ht="18.75" customHeight="1" x14ac:dyDescent="0.25">
      <c r="A16" t="s">
        <v>400</v>
      </c>
      <c r="B16" t="s">
        <v>416</v>
      </c>
      <c r="C16" t="s">
        <v>1</v>
      </c>
      <c r="D16" t="str">
        <f t="shared" ref="D16:D62" si="39">SUBSTITUTE(PROPER(A16),"_","")</f>
        <v>BaseUnitOfMeasure</v>
      </c>
      <c r="E16" t="str">
        <f t="shared" ref="E16:E62" si="40">IFERROR(LEFT(B16, FIND("(",B16)-1),B16)</f>
        <v>varchar</v>
      </c>
      <c r="F16" s="6"/>
      <c r="G16" t="str">
        <f t="shared" ref="G16:G62" si="41">IFERROR(MID(B16,FIND("(",B16) +1, FIND(")",B16) - FIND("(",B16) - 1),"")</f>
        <v>3</v>
      </c>
      <c r="H16" t="str">
        <f>+VLOOKUP(E16,'Data Type Mapping'!A:B,2,)</f>
        <v>string</v>
      </c>
      <c r="I16" t="str">
        <f t="shared" ref="I16:I62" si="42">IF(H16="string",REPT(CHAR(9),2)&amp;"public const int Max"&amp;D16&amp;"Length = "&amp;G16&amp;";"&amp;$E$3,"" )</f>
        <v xml:space="preserve">		public const int MaxBaseUnitOfMeasureLength = 3;
</v>
      </c>
      <c r="J16" t="str">
        <f t="shared" ref="J16:J62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[StringLength(MaxBaseUnitOfMeasureLength)]
		public virtual string BaseUnitOfMeasure { get; set; }
</v>
      </c>
      <c r="K16" s="6"/>
      <c r="L16" t="str">
        <f t="shared" ref="L16:L62" si="44">IF(K16="","",REPT(CHAR(9),1)&amp;"[Index(nameof("&amp;IF(D16="","",""&amp;D16)&amp;")"&amp;", Name="&amp;"""IX_"&amp;$B$7&amp;"_"&amp;D16&amp;""")]")</f>
        <v/>
      </c>
      <c r="M16" t="str">
        <f t="shared" ref="M16:M62" si="45">REPT(CHAR(9),2)&amp;"public virtual "&amp;IF(OR(H16="DateTime",H16="TimeSpan"),H16&amp;"?",H16)&amp;IF(C16="?","? "," ")&amp;D16&amp;" { get; set; }" &amp; "
"</f>
        <v xml:space="preserve">		public virtual string BaseUnitOfMeasure { get; set; }
</v>
      </c>
      <c r="N16" t="str">
        <f t="shared" ref="N16:N62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[StringLength(IF_FQF3MM06Consts.MaxBaseUnitOfMeasureLength)]
		public virtual string BaseUnitOfMeasure { get; set; }
</v>
      </c>
      <c r="O16" t="str">
        <f t="shared" ref="O16:O62" si="47">IF(OR(H16="string",H16="DateTime",H16="int"),REPT(CHAR(9),2)&amp;"public virtual "&amp;IF(OR(H16="DateTime",H16="TimeSpan"),H16&amp;"?",H16)&amp;IF(C16="?","? "," ")&amp;D16&amp;" { get; set; }"&amp;$E$3,"")</f>
        <v xml:space="preserve">		public virtual string BaseUnitOfMeasure { get; set; }
</v>
      </c>
      <c r="P16" t="str">
        <f t="shared" ref="P16:P62" si="48">REPT(CHAR(9),7)&amp;D16&amp;" = o." &amp;D16 &amp;","</f>
        <v xml:space="preserve">							BaseUnitOfMeasure = o.BaseUnitOfMeasure,</v>
      </c>
      <c r="T16" s="63" t="str">
        <f t="shared" ref="T16:T62" si="49">REPT(CHAR(9),8)&amp;"("""&amp;D16&amp;"""),"</f>
        <v xml:space="preserve">								("BaseUnitOfMeasure"),</v>
      </c>
      <c r="V16" s="64" t="str">
        <f t="shared" ref="V16:V62" si="50">REPT(CHAR(9),8)&amp;"_ =&gt; _."&amp;D16&amp;","</f>
        <v xml:space="preserve">								_ =&gt; _.BaseUnitOfMeasure,</v>
      </c>
      <c r="W16" s="63" t="str">
        <f t="shared" ref="W16:W62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.WhereIf(!string.IsNullOrWhiteSpace(input.BaseUnitOfMeasure), e =&gt; e.BaseUnitOfMeasure.Contains(input.BaseUnitOfMeasure))</v>
      </c>
    </row>
    <row r="17" spans="1:23" customFormat="1" ht="18.75" customHeight="1" x14ac:dyDescent="0.25">
      <c r="A17" t="s">
        <v>401</v>
      </c>
      <c r="B17" t="s">
        <v>414</v>
      </c>
      <c r="C17" t="s">
        <v>1</v>
      </c>
      <c r="D17" t="str">
        <f t="shared" si="39"/>
        <v>FlagDeletionPlantLevel</v>
      </c>
      <c r="E17" t="str">
        <f t="shared" si="40"/>
        <v>varchar</v>
      </c>
      <c r="F17" s="6"/>
      <c r="G17" t="str">
        <f t="shared" si="41"/>
        <v>1</v>
      </c>
      <c r="H17" t="str">
        <f>+VLOOKUP(E17,'Data Type Mapping'!A:B,2,)</f>
        <v>string</v>
      </c>
      <c r="I17" t="str">
        <f t="shared" si="42"/>
        <v xml:space="preserve">		public const int MaxFlagDeletionPlantLevelLength = 1;
</v>
      </c>
      <c r="J17" t="str">
        <f t="shared" si="43"/>
        <v xml:space="preserve">		[StringLength(MaxFlagDeletionPlantLevelLength)]
		public virtual string FlagDeletionPlantLevel { get; set; }
</v>
      </c>
      <c r="K17" s="6"/>
      <c r="L17" t="str">
        <f t="shared" si="44"/>
        <v/>
      </c>
      <c r="M17" t="str">
        <f t="shared" si="45"/>
        <v xml:space="preserve">		public virtual string FlagDeletionPlantLevel { get; set; }
</v>
      </c>
      <c r="N17" t="str">
        <f t="shared" si="46"/>
        <v xml:space="preserve">		[StringLength(IF_FQF3MM06Consts.MaxFlagDeletionPlantLevelLength)]
		public virtual string FlagDeletionPlantLevel { get; set; }
</v>
      </c>
      <c r="O17" t="str">
        <f t="shared" si="47"/>
        <v xml:space="preserve">		public virtual string FlagDeletionPlantLevel { get; set; }
</v>
      </c>
      <c r="P17" t="str">
        <f t="shared" si="48"/>
        <v xml:space="preserve">							FlagDeletionPlantLevel = o.FlagDeletionPlantLevel,</v>
      </c>
      <c r="T17" s="63" t="str">
        <f t="shared" si="49"/>
        <v xml:space="preserve">								("FlagDeletionPlantLevel"),</v>
      </c>
      <c r="V17" s="64" t="str">
        <f t="shared" si="50"/>
        <v xml:space="preserve">								_ =&gt; _.FlagDeletionPlantLevel,</v>
      </c>
      <c r="W17" s="63" t="str">
        <f t="shared" si="51"/>
        <v xml:space="preserve">				.WhereIf(!string.IsNullOrWhiteSpace(input.FlagDeletionPlantLevel), e =&gt; e.FlagDeletionPlantLevel.Contains(input.FlagDeletionPlantLevel))</v>
      </c>
    </row>
    <row r="18" spans="1:23" customFormat="1" ht="18.75" customHeight="1" x14ac:dyDescent="0.25">
      <c r="A18" t="s">
        <v>358</v>
      </c>
      <c r="B18" t="s">
        <v>412</v>
      </c>
      <c r="C18" t="s">
        <v>1</v>
      </c>
      <c r="D18" t="str">
        <f t="shared" si="39"/>
        <v>Plant</v>
      </c>
      <c r="E18" t="str">
        <f t="shared" si="40"/>
        <v>varchar</v>
      </c>
      <c r="F18" s="6"/>
      <c r="G18" t="str">
        <f t="shared" si="41"/>
        <v>4</v>
      </c>
      <c r="H18" t="str">
        <f>+VLOOKUP(E18,'Data Type Mapping'!A:B,2,)</f>
        <v>string</v>
      </c>
      <c r="I18" t="str">
        <f t="shared" si="42"/>
        <v xml:space="preserve">		public const int MaxPlantLength = 4;
</v>
      </c>
      <c r="J18" t="str">
        <f t="shared" si="43"/>
        <v xml:space="preserve">		[StringLength(MaxPlantLength)]
		public virtual string Plant { get; set; }
</v>
      </c>
      <c r="K18" s="6"/>
      <c r="L18" t="str">
        <f t="shared" si="44"/>
        <v/>
      </c>
      <c r="M18" t="str">
        <f t="shared" si="45"/>
        <v xml:space="preserve">		public virtual string Plant { get; set; }
</v>
      </c>
      <c r="N18" t="str">
        <f t="shared" si="46"/>
        <v xml:space="preserve">		[StringLength(IF_FQF3MM06Consts.MaxPlantLength)]
		public virtual string Plant { get; set; }
</v>
      </c>
      <c r="O18" t="str">
        <f t="shared" si="47"/>
        <v xml:space="preserve">		public virtual string Plant { get; set; }
</v>
      </c>
      <c r="P18" t="str">
        <f t="shared" si="48"/>
        <v xml:space="preserve">							Plant = o.Plant,</v>
      </c>
      <c r="T18" s="63" t="str">
        <f t="shared" si="49"/>
        <v xml:space="preserve">								("Plant"),</v>
      </c>
      <c r="V18" s="64" t="str">
        <f t="shared" si="50"/>
        <v xml:space="preserve">								_ =&gt; _.Plant,</v>
      </c>
      <c r="W18" s="63" t="str">
        <f t="shared" si="51"/>
        <v xml:space="preserve">				.WhereIf(!string.IsNullOrWhiteSpace(input.Plant), e =&gt; e.Plant.Contains(input.Plant))</v>
      </c>
    </row>
    <row r="19" spans="1:23" customFormat="1" ht="18.75" customHeight="1" x14ac:dyDescent="0.25">
      <c r="A19" t="s">
        <v>367</v>
      </c>
      <c r="B19" t="s">
        <v>412</v>
      </c>
      <c r="C19" t="s">
        <v>1</v>
      </c>
      <c r="D19" t="str">
        <f t="shared" si="39"/>
        <v>StorageLocation</v>
      </c>
      <c r="E19" t="str">
        <f t="shared" si="40"/>
        <v>varchar</v>
      </c>
      <c r="F19" s="6"/>
      <c r="G19" t="str">
        <f t="shared" si="41"/>
        <v>4</v>
      </c>
      <c r="H19" t="str">
        <f>+VLOOKUP(E19,'Data Type Mapping'!A:B,2,)</f>
        <v>string</v>
      </c>
      <c r="I19" t="str">
        <f t="shared" si="42"/>
        <v xml:space="preserve">		public const int MaxStorageLocationLength = 4;
</v>
      </c>
      <c r="J19" t="str">
        <f t="shared" si="43"/>
        <v xml:space="preserve">		[StringLength(MaxStorageLocationLength)]
		public virtual string StorageLocation { get; set; }
</v>
      </c>
      <c r="K19" s="6"/>
      <c r="L19" t="str">
        <f t="shared" si="44"/>
        <v/>
      </c>
      <c r="M19" t="str">
        <f t="shared" si="45"/>
        <v xml:space="preserve">		public virtual string StorageLocation { get; set; }
</v>
      </c>
      <c r="N19" t="str">
        <f t="shared" si="46"/>
        <v xml:space="preserve">		[StringLength(IF_FQF3MM06Consts.MaxStorageLocationLength)]
		public virtual string StorageLocation { get; set; }
</v>
      </c>
      <c r="O19" t="str">
        <f t="shared" si="47"/>
        <v xml:space="preserve">		public virtual string StorageLocation { get; set; }
</v>
      </c>
      <c r="P19" t="str">
        <f t="shared" si="48"/>
        <v xml:space="preserve">							StorageLocation = o.StorageLocation,</v>
      </c>
      <c r="T19" s="63" t="str">
        <f t="shared" si="49"/>
        <v xml:space="preserve">								("StorageLocation"),</v>
      </c>
      <c r="V19" s="64" t="str">
        <f t="shared" si="50"/>
        <v xml:space="preserve">								_ =&gt; _.StorageLocation,</v>
      </c>
      <c r="W19" s="63" t="str">
        <f t="shared" si="51"/>
        <v xml:space="preserve">				.WhereIf(!string.IsNullOrWhiteSpace(input.StorageLocation), e =&gt; e.StorageLocation.Contains(input.StorageLocation))</v>
      </c>
    </row>
    <row r="20" spans="1:23" customFormat="1" ht="18.75" customHeight="1" x14ac:dyDescent="0.25">
      <c r="A20" t="s">
        <v>368</v>
      </c>
      <c r="B20" t="s">
        <v>416</v>
      </c>
      <c r="C20" t="s">
        <v>1</v>
      </c>
      <c r="D20" t="str">
        <f t="shared" si="39"/>
        <v>ProductGroup</v>
      </c>
      <c r="E20" t="str">
        <f t="shared" si="40"/>
        <v>varchar</v>
      </c>
      <c r="F20" s="6"/>
      <c r="G20" t="str">
        <f t="shared" si="41"/>
        <v>3</v>
      </c>
      <c r="H20" t="str">
        <f>+VLOOKUP(E20,'Data Type Mapping'!A:B,2,)</f>
        <v>string</v>
      </c>
      <c r="I20" t="str">
        <f t="shared" si="42"/>
        <v xml:space="preserve">		public const int MaxProductGroupLength = 3;
</v>
      </c>
      <c r="J20" t="str">
        <f t="shared" si="43"/>
        <v xml:space="preserve">		[StringLength(MaxProductGroupLength)]
		public virtual string ProductGroup { get; set; }
</v>
      </c>
      <c r="K20" s="6"/>
      <c r="L20" t="str">
        <f t="shared" si="44"/>
        <v/>
      </c>
      <c r="M20" t="str">
        <f t="shared" si="45"/>
        <v xml:space="preserve">		public virtual string ProductGroup { get; set; }
</v>
      </c>
      <c r="N20" t="str">
        <f t="shared" si="46"/>
        <v xml:space="preserve">		[StringLength(IF_FQF3MM06Consts.MaxProductGroupLength)]
		public virtual string ProductGroup { get; set; }
</v>
      </c>
      <c r="O20" t="str">
        <f t="shared" si="47"/>
        <v xml:space="preserve">		public virtual string ProductGroup { get; set; }
</v>
      </c>
      <c r="P20" t="str">
        <f t="shared" si="48"/>
        <v xml:space="preserve">							ProductGroup = o.ProductGroup,</v>
      </c>
      <c r="T20" s="63" t="str">
        <f t="shared" si="49"/>
        <v xml:space="preserve">								("ProductGroup"),</v>
      </c>
      <c r="V20" s="64" t="str">
        <f t="shared" si="50"/>
        <v xml:space="preserve">								_ =&gt; _.ProductGroup,</v>
      </c>
      <c r="W20" s="63" t="str">
        <f t="shared" si="51"/>
        <v xml:space="preserve">				.WhereIf(!string.IsNullOrWhiteSpace(input.ProductGroup), e =&gt; e.ProductGroup.Contains(input.ProductGroup))</v>
      </c>
    </row>
    <row r="21" spans="1:23" customFormat="1" ht="18.75" customHeight="1" x14ac:dyDescent="0.25">
      <c r="A21" t="s">
        <v>369</v>
      </c>
      <c r="B21" t="s">
        <v>417</v>
      </c>
      <c r="C21" t="s">
        <v>1</v>
      </c>
      <c r="D21" t="str">
        <f t="shared" si="39"/>
        <v>ProductPurpose</v>
      </c>
      <c r="E21" t="str">
        <f t="shared" si="40"/>
        <v>varchar</v>
      </c>
      <c r="F21" s="6"/>
      <c r="G21" t="str">
        <f t="shared" si="41"/>
        <v>2</v>
      </c>
      <c r="H21" t="str">
        <f>+VLOOKUP(E21,'Data Type Mapping'!A:B,2,)</f>
        <v>string</v>
      </c>
      <c r="I21" t="str">
        <f t="shared" si="42"/>
        <v xml:space="preserve">		public const int MaxProductPurposeLength = 2;
</v>
      </c>
      <c r="J21" t="str">
        <f t="shared" si="43"/>
        <v xml:space="preserve">		[StringLength(MaxProductPurposeLength)]
		public virtual string ProductPurpose { get; set; }
</v>
      </c>
      <c r="K21" s="6"/>
      <c r="L21" t="str">
        <f t="shared" si="44"/>
        <v/>
      </c>
      <c r="M21" t="str">
        <f t="shared" si="45"/>
        <v xml:space="preserve">		public virtual string ProductPurpose { get; set; }
</v>
      </c>
      <c r="N21" t="str">
        <f t="shared" si="46"/>
        <v xml:space="preserve">		[StringLength(IF_FQF3MM06Consts.MaxProductPurposeLength)]
		public virtual string ProductPurpose { get; set; }
</v>
      </c>
      <c r="O21" t="str">
        <f t="shared" si="47"/>
        <v xml:space="preserve">		public virtual string ProductPurpose { get; set; }
</v>
      </c>
      <c r="P21" t="str">
        <f t="shared" si="48"/>
        <v xml:space="preserve">							ProductPurpose = o.ProductPurpose,</v>
      </c>
      <c r="T21" s="63" t="str">
        <f t="shared" si="49"/>
        <v xml:space="preserve">								("ProductPurpose"),</v>
      </c>
      <c r="V21" s="64" t="str">
        <f t="shared" si="50"/>
        <v xml:space="preserve">								_ =&gt; _.ProductPurpose,</v>
      </c>
      <c r="W21" s="63" t="str">
        <f t="shared" si="51"/>
        <v xml:space="preserve">				.WhereIf(!string.IsNullOrWhiteSpace(input.ProductPurpose), e =&gt; e.ProductPurpose.Contains(input.ProductPurpose))</v>
      </c>
    </row>
    <row r="22" spans="1:23" customFormat="1" ht="18.75" customHeight="1" x14ac:dyDescent="0.25">
      <c r="A22" t="s">
        <v>370</v>
      </c>
      <c r="B22" t="s">
        <v>418</v>
      </c>
      <c r="C22" t="s">
        <v>1</v>
      </c>
      <c r="D22" t="str">
        <f t="shared" si="39"/>
        <v>ProductType</v>
      </c>
      <c r="E22" t="str">
        <f t="shared" si="40"/>
        <v>varchar</v>
      </c>
      <c r="F22" s="6"/>
      <c r="G22" t="str">
        <f t="shared" si="41"/>
        <v>20</v>
      </c>
      <c r="H22" t="str">
        <f>+VLOOKUP(E22,'Data Type Mapping'!A:B,2,)</f>
        <v>string</v>
      </c>
      <c r="I22" t="str">
        <f t="shared" si="42"/>
        <v xml:space="preserve">		public const int MaxProductTypeLength = 20;
</v>
      </c>
      <c r="J22" t="str">
        <f t="shared" si="43"/>
        <v xml:space="preserve">		[StringLength(MaxProductTypeLength)]
		public virtual string ProductType { get; set; }
</v>
      </c>
      <c r="K22" s="6"/>
      <c r="L22" t="str">
        <f t="shared" si="44"/>
        <v/>
      </c>
      <c r="M22" t="str">
        <f t="shared" si="45"/>
        <v xml:space="preserve">		public virtual string ProductType { get; set; }
</v>
      </c>
      <c r="N22" t="str">
        <f t="shared" si="46"/>
        <v xml:space="preserve">		[StringLength(IF_FQF3MM06Consts.MaxProductTypeLength)]
		public virtual string ProductType { get; set; }
</v>
      </c>
      <c r="O22" t="str">
        <f t="shared" si="47"/>
        <v xml:space="preserve">		public virtual string ProductType { get; set; }
</v>
      </c>
      <c r="P22" t="str">
        <f t="shared" si="48"/>
        <v xml:space="preserve">							ProductType = o.ProductType,</v>
      </c>
      <c r="T22" s="63" t="str">
        <f t="shared" si="49"/>
        <v xml:space="preserve">								("ProductType"),</v>
      </c>
      <c r="V22" s="64" t="str">
        <f t="shared" si="50"/>
        <v xml:space="preserve">								_ =&gt; _.ProductType,</v>
      </c>
      <c r="W22" s="63" t="str">
        <f t="shared" si="51"/>
        <v xml:space="preserve">				.WhereIf(!string.IsNullOrWhiteSpace(input.ProductType), e =&gt; e.ProductType.Contains(input.ProductType))</v>
      </c>
    </row>
    <row r="23" spans="1:23" customFormat="1" ht="18.75" customHeight="1" x14ac:dyDescent="0.25">
      <c r="A23" t="s">
        <v>371</v>
      </c>
      <c r="B23" t="s">
        <v>419</v>
      </c>
      <c r="C23" t="s">
        <v>1</v>
      </c>
      <c r="D23" t="str">
        <f t="shared" si="39"/>
        <v>ProfitCenter</v>
      </c>
      <c r="E23" t="str">
        <f t="shared" si="40"/>
        <v>varchar</v>
      </c>
      <c r="F23" s="6"/>
      <c r="G23" t="str">
        <f t="shared" si="41"/>
        <v>10</v>
      </c>
      <c r="H23" t="str">
        <f>+VLOOKUP(E23,'Data Type Mapping'!A:B,2,)</f>
        <v>string</v>
      </c>
      <c r="I23" t="str">
        <f t="shared" si="42"/>
        <v xml:space="preserve">		public const int MaxProfitCenterLength = 10;
</v>
      </c>
      <c r="J23" t="str">
        <f t="shared" si="43"/>
        <v xml:space="preserve">		[StringLength(MaxProfitCenterLength)]
		public virtual string ProfitCenter { get; set; }
</v>
      </c>
      <c r="K23" s="6"/>
      <c r="L23" t="str">
        <f t="shared" si="44"/>
        <v/>
      </c>
      <c r="M23" t="str">
        <f t="shared" si="45"/>
        <v xml:space="preserve">		public virtual string ProfitCenter { get; set; }
</v>
      </c>
      <c r="N23" t="str">
        <f t="shared" si="46"/>
        <v xml:space="preserve">		[StringLength(IF_FQF3MM06Consts.MaxProfitCenterLength)]
		public virtual string ProfitCenter { get; set; }
</v>
      </c>
      <c r="O23" t="str">
        <f t="shared" si="47"/>
        <v xml:space="preserve">		public virtual string ProfitCenter { get; set; }
</v>
      </c>
      <c r="P23" t="str">
        <f t="shared" si="48"/>
        <v xml:space="preserve">							ProfitCenter = o.ProfitCenter,</v>
      </c>
      <c r="T23" s="63" t="str">
        <f t="shared" si="49"/>
        <v xml:space="preserve">								("ProfitCenter"),</v>
      </c>
      <c r="V23" s="64" t="str">
        <f t="shared" si="50"/>
        <v xml:space="preserve">								_ =&gt; _.ProfitCenter,</v>
      </c>
      <c r="W23" s="63" t="str">
        <f t="shared" si="51"/>
        <v xml:space="preserve">				.WhereIf(!string.IsNullOrWhiteSpace(input.ProfitCenter), e =&gt; e.ProfitCenter.Contains(input.ProfitCenter))</v>
      </c>
    </row>
    <row r="24" spans="1:23" customFormat="1" ht="18.75" customHeight="1" x14ac:dyDescent="0.25">
      <c r="A24" t="s">
        <v>372</v>
      </c>
      <c r="B24" t="s">
        <v>414</v>
      </c>
      <c r="C24" t="s">
        <v>1</v>
      </c>
      <c r="D24" t="str">
        <f t="shared" ref="D24:D40" si="52">SUBSTITUTE(PROPER(A24),"_","")</f>
        <v>BatchManagement</v>
      </c>
      <c r="E24" t="str">
        <f t="shared" ref="E24:E40" si="53">IFERROR(LEFT(B24, FIND("(",B24)-1),B24)</f>
        <v>varchar</v>
      </c>
      <c r="F24" s="6"/>
      <c r="G24" t="str">
        <f t="shared" ref="G24:G40" si="54">IFERROR(MID(B24,FIND("(",B24) +1, FIND(")",B24) - FIND("(",B24) - 1),"")</f>
        <v>1</v>
      </c>
      <c r="H24" t="str">
        <f>+VLOOKUP(E24,'Data Type Mapping'!A:B,2,)</f>
        <v>string</v>
      </c>
      <c r="I24" t="str">
        <f t="shared" ref="I24:I40" si="55">IF(H24="string",REPT(CHAR(9),2)&amp;"public const int Max"&amp;D24&amp;"Length = "&amp;G24&amp;";"&amp;$E$3,"" )</f>
        <v xml:space="preserve">		public const int MaxBatchManagementLength = 1;
</v>
      </c>
      <c r="J24" t="str">
        <f t="shared" ref="J24:J40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[StringLength(MaxBatchManagementLength)]
		public virtual string BatchManagement { get; set; }
</v>
      </c>
      <c r="K24" s="6"/>
      <c r="L24" t="str">
        <f t="shared" ref="L24:L40" si="57">IF(K24="","",REPT(CHAR(9),1)&amp;"[Index(nameof("&amp;IF(D24="","",""&amp;D24)&amp;")"&amp;", Name="&amp;"""IX_"&amp;$B$7&amp;"_"&amp;D24&amp;""")]")</f>
        <v/>
      </c>
      <c r="M24" t="str">
        <f t="shared" ref="M24:M40" si="58">REPT(CHAR(9),2)&amp;"public virtual "&amp;IF(OR(H24="DateTime",H24="TimeSpan"),H24&amp;"?",H24)&amp;IF(C24="?","? "," ")&amp;D24&amp;" { get; set; }" &amp; "
"</f>
        <v xml:space="preserve">		public virtual string BatchManagement { get; set; }
</v>
      </c>
      <c r="N24" t="str">
        <f t="shared" ref="N24:N40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[StringLength(IF_FQF3MM06Consts.MaxBatchManagementLength)]
		public virtual string BatchManagement { get; set; }
</v>
      </c>
      <c r="O24" t="str">
        <f t="shared" ref="O24:O40" si="60">IF(OR(H24="string",H24="DateTime",H24="int"),REPT(CHAR(9),2)&amp;"public virtual "&amp;IF(OR(H24="DateTime",H24="TimeSpan"),H24&amp;"?",H24)&amp;IF(C24="?","? "," ")&amp;D24&amp;" { get; set; }"&amp;$E$3,"")</f>
        <v xml:space="preserve">		public virtual string BatchManagement { get; set; }
</v>
      </c>
      <c r="P24" t="str">
        <f t="shared" ref="P24:P40" si="61">REPT(CHAR(9),7)&amp;D24&amp;" = o." &amp;D24 &amp;","</f>
        <v xml:space="preserve">							BatchManagement = o.BatchManagement,</v>
      </c>
      <c r="T24" s="63" t="str">
        <f t="shared" ref="T24:T40" si="62">REPT(CHAR(9),8)&amp;"("""&amp;D24&amp;"""),"</f>
        <v xml:space="preserve">								("BatchManagement"),</v>
      </c>
      <c r="V24" s="64" t="str">
        <f t="shared" ref="V24:V40" si="63">REPT(CHAR(9),8)&amp;"_ =&gt; _."&amp;D24&amp;","</f>
        <v xml:space="preserve">								_ =&gt; _.BatchManagement,</v>
      </c>
      <c r="W24" s="63" t="str">
        <f t="shared" ref="W24:W40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.WhereIf(!string.IsNullOrWhiteSpace(input.BatchManagement), e =&gt; e.BatchManagement.Contains(input.BatchManagement))</v>
      </c>
    </row>
    <row r="25" spans="1:23" customFormat="1" ht="18.75" customHeight="1" x14ac:dyDescent="0.25">
      <c r="A25" t="s">
        <v>373</v>
      </c>
      <c r="B25" t="s">
        <v>414</v>
      </c>
      <c r="C25" t="s">
        <v>1</v>
      </c>
      <c r="D25" t="str">
        <f t="shared" si="52"/>
        <v>ReservedStock</v>
      </c>
      <c r="E25" t="str">
        <f t="shared" si="53"/>
        <v>varchar</v>
      </c>
      <c r="F25" s="6"/>
      <c r="G25" t="str">
        <f t="shared" si="54"/>
        <v>1</v>
      </c>
      <c r="H25" t="str">
        <f>+VLOOKUP(E25,'Data Type Mapping'!A:B,2,)</f>
        <v>string</v>
      </c>
      <c r="I25" t="str">
        <f t="shared" si="55"/>
        <v xml:space="preserve">		public const int MaxReservedStockLength = 1;
</v>
      </c>
      <c r="J25" t="str">
        <f t="shared" si="56"/>
        <v xml:space="preserve">		[StringLength(MaxReservedStockLength)]
		public virtual string ReservedStock { get; set; }
</v>
      </c>
      <c r="K25" s="6"/>
      <c r="L25" t="str">
        <f t="shared" si="57"/>
        <v/>
      </c>
      <c r="M25" t="str">
        <f t="shared" si="58"/>
        <v xml:space="preserve">		public virtual string ReservedStock { get; set; }
</v>
      </c>
      <c r="N25" t="str">
        <f t="shared" si="59"/>
        <v xml:space="preserve">		[StringLength(IF_FQF3MM06Consts.MaxReservedStockLength)]
		public virtual string ReservedStock { get; set; }
</v>
      </c>
      <c r="O25" t="str">
        <f t="shared" si="60"/>
        <v xml:space="preserve">		public virtual string ReservedStock { get; set; }
</v>
      </c>
      <c r="P25" t="str">
        <f t="shared" si="61"/>
        <v xml:space="preserve">							ReservedStock = o.ReservedStock,</v>
      </c>
      <c r="T25" s="63" t="str">
        <f t="shared" si="62"/>
        <v xml:space="preserve">								("ReservedStock"),</v>
      </c>
      <c r="V25" s="64" t="str">
        <f t="shared" si="63"/>
        <v xml:space="preserve">								_ =&gt; _.ReservedStock,</v>
      </c>
      <c r="W25" s="63" t="str">
        <f t="shared" si="64"/>
        <v xml:space="preserve">				.WhereIf(!string.IsNullOrWhiteSpace(input.ReservedStock), e =&gt; e.ReservedStock.Contains(input.ReservedStock))</v>
      </c>
    </row>
    <row r="26" spans="1:23" customFormat="1" ht="18.75" customHeight="1" x14ac:dyDescent="0.25">
      <c r="A26" t="s">
        <v>359</v>
      </c>
      <c r="B26" t="s">
        <v>414</v>
      </c>
      <c r="C26" t="s">
        <v>1</v>
      </c>
      <c r="D26" t="str">
        <f t="shared" si="52"/>
        <v>Residue</v>
      </c>
      <c r="E26" t="str">
        <f t="shared" si="53"/>
        <v>varchar</v>
      </c>
      <c r="F26" s="6"/>
      <c r="G26" t="str">
        <f t="shared" si="54"/>
        <v>1</v>
      </c>
      <c r="H26" t="str">
        <f>+VLOOKUP(E26,'Data Type Mapping'!A:B,2,)</f>
        <v>string</v>
      </c>
      <c r="I26" t="str">
        <f t="shared" si="55"/>
        <v xml:space="preserve">		public const int MaxResidueLength = 1;
</v>
      </c>
      <c r="J26" t="str">
        <f t="shared" si="56"/>
        <v xml:space="preserve">		[StringLength(MaxResidueLength)]
		public virtual string Residue { get; set; }
</v>
      </c>
      <c r="K26" s="6"/>
      <c r="L26" t="str">
        <f t="shared" si="57"/>
        <v/>
      </c>
      <c r="M26" t="str">
        <f t="shared" si="58"/>
        <v xml:space="preserve">		public virtual string Residue { get; set; }
</v>
      </c>
      <c r="N26" t="str">
        <f t="shared" si="59"/>
        <v xml:space="preserve">		[StringLength(IF_FQF3MM06Consts.MaxResidueLength)]
		public virtual string Residue { get; set; }
</v>
      </c>
      <c r="O26" t="str">
        <f t="shared" si="60"/>
        <v xml:space="preserve">		public virtual string Residue { get; set; }
</v>
      </c>
      <c r="P26" t="str">
        <f t="shared" si="61"/>
        <v xml:space="preserve">							Residue = o.Residue,</v>
      </c>
      <c r="T26" s="63" t="str">
        <f t="shared" si="62"/>
        <v xml:space="preserve">								("Residue"),</v>
      </c>
      <c r="V26" s="64" t="str">
        <f t="shared" si="63"/>
        <v xml:space="preserve">								_ =&gt; _.Residue,</v>
      </c>
      <c r="W26" s="63" t="str">
        <f t="shared" si="64"/>
        <v xml:space="preserve">				.WhereIf(!string.IsNullOrWhiteSpace(input.Residue), e =&gt; e.Residue.Contains(input.Residue))</v>
      </c>
    </row>
    <row r="27" spans="1:23" customFormat="1" ht="18.75" customHeight="1" x14ac:dyDescent="0.25">
      <c r="A27" t="s">
        <v>374</v>
      </c>
      <c r="B27" t="s">
        <v>420</v>
      </c>
      <c r="C27" t="s">
        <v>1</v>
      </c>
      <c r="D27" t="str">
        <f t="shared" si="52"/>
        <v>LotCode</v>
      </c>
      <c r="E27" t="str">
        <f t="shared" si="53"/>
        <v>varchar</v>
      </c>
      <c r="F27" s="6"/>
      <c r="G27" t="str">
        <f t="shared" si="54"/>
        <v>5</v>
      </c>
      <c r="H27" t="str">
        <f>+VLOOKUP(E27,'Data Type Mapping'!A:B,2,)</f>
        <v>string</v>
      </c>
      <c r="I27" t="str">
        <f t="shared" si="55"/>
        <v xml:space="preserve">		public const int MaxLotCodeLength = 5;
</v>
      </c>
      <c r="J27" t="str">
        <f t="shared" si="56"/>
        <v xml:space="preserve">		[StringLength(MaxLotCodeLength)]
		public virtual string LotCode { get; set; }
</v>
      </c>
      <c r="K27" s="6"/>
      <c r="L27" t="str">
        <f t="shared" si="57"/>
        <v/>
      </c>
      <c r="M27" t="str">
        <f t="shared" si="58"/>
        <v xml:space="preserve">		public virtual string LotCode { get; set; }
</v>
      </c>
      <c r="N27" t="str">
        <f t="shared" si="59"/>
        <v xml:space="preserve">		[StringLength(IF_FQF3MM06Consts.MaxLotCodeLength)]
		public virtual string LotCode { get; set; }
</v>
      </c>
      <c r="O27" t="str">
        <f t="shared" si="60"/>
        <v xml:space="preserve">		public virtual string LotCode { get; set; }
</v>
      </c>
      <c r="P27" t="str">
        <f t="shared" si="61"/>
        <v xml:space="preserve">							LotCode = o.LotCode,</v>
      </c>
      <c r="T27" s="63" t="str">
        <f t="shared" si="62"/>
        <v xml:space="preserve">								("LotCode"),</v>
      </c>
      <c r="V27" s="64" t="str">
        <f t="shared" si="63"/>
        <v xml:space="preserve">								_ =&gt; _.LotCode,</v>
      </c>
      <c r="W27" s="63" t="str">
        <f t="shared" si="64"/>
        <v xml:space="preserve">				.WhereIf(!string.IsNullOrWhiteSpace(input.LotCode), e =&gt; e.LotCode.Contains(input.LotCode))</v>
      </c>
    </row>
    <row r="28" spans="1:23" customFormat="1" ht="18.75" customHeight="1" x14ac:dyDescent="0.25">
      <c r="A28" t="s">
        <v>375</v>
      </c>
      <c r="B28" t="s">
        <v>412</v>
      </c>
      <c r="C28" t="s">
        <v>1</v>
      </c>
      <c r="D28" t="str">
        <f t="shared" si="52"/>
        <v>MrpGroup</v>
      </c>
      <c r="E28" t="str">
        <f t="shared" si="53"/>
        <v>varchar</v>
      </c>
      <c r="F28" s="6"/>
      <c r="G28" t="str">
        <f t="shared" si="54"/>
        <v>4</v>
      </c>
      <c r="H28" t="str">
        <f>+VLOOKUP(E28,'Data Type Mapping'!A:B,2,)</f>
        <v>string</v>
      </c>
      <c r="I28" t="str">
        <f t="shared" si="55"/>
        <v xml:space="preserve">		public const int MaxMrpGroupLength = 4;
</v>
      </c>
      <c r="J28" t="str">
        <f t="shared" si="56"/>
        <v xml:space="preserve">		[StringLength(MaxMrpGroupLength)]
		public virtual string MrpGroup { get; set; }
</v>
      </c>
      <c r="K28" s="6"/>
      <c r="L28" t="str">
        <f t="shared" si="57"/>
        <v/>
      </c>
      <c r="M28" t="str">
        <f t="shared" si="58"/>
        <v xml:space="preserve">		public virtual string MrpGroup { get; set; }
</v>
      </c>
      <c r="N28" t="str">
        <f t="shared" si="59"/>
        <v xml:space="preserve">		[StringLength(IF_FQF3MM06Consts.MaxMrpGroupLength)]
		public virtual string MrpGroup { get; set; }
</v>
      </c>
      <c r="O28" t="str">
        <f t="shared" si="60"/>
        <v xml:space="preserve">		public virtual string MrpGroup { get; set; }
</v>
      </c>
      <c r="P28" t="str">
        <f t="shared" si="61"/>
        <v xml:space="preserve">							MrpGroup = o.MrpGroup,</v>
      </c>
      <c r="T28" s="63" t="str">
        <f t="shared" si="62"/>
        <v xml:space="preserve">								("MrpGroup"),</v>
      </c>
      <c r="V28" s="64" t="str">
        <f t="shared" si="63"/>
        <v xml:space="preserve">								_ =&gt; _.MrpGroup,</v>
      </c>
      <c r="W28" s="63" t="str">
        <f t="shared" si="64"/>
        <v xml:space="preserve">				.WhereIf(!string.IsNullOrWhiteSpace(input.MrpGroup), e =&gt; e.MrpGroup.Contains(input.MrpGroup))</v>
      </c>
    </row>
    <row r="29" spans="1:23" customFormat="1" ht="18.75" customHeight="1" x14ac:dyDescent="0.25">
      <c r="A29" t="s">
        <v>376</v>
      </c>
      <c r="B29" t="s">
        <v>417</v>
      </c>
      <c r="C29" t="s">
        <v>1</v>
      </c>
      <c r="D29" t="str">
        <f t="shared" si="52"/>
        <v>MrpType</v>
      </c>
      <c r="E29" t="str">
        <f t="shared" si="53"/>
        <v>varchar</v>
      </c>
      <c r="F29" s="6"/>
      <c r="G29" t="str">
        <f t="shared" si="54"/>
        <v>2</v>
      </c>
      <c r="H29" t="str">
        <f>+VLOOKUP(E29,'Data Type Mapping'!A:B,2,)</f>
        <v>string</v>
      </c>
      <c r="I29" t="str">
        <f t="shared" si="55"/>
        <v xml:space="preserve">		public const int MaxMrpTypeLength = 2;
</v>
      </c>
      <c r="J29" t="str">
        <f t="shared" si="56"/>
        <v xml:space="preserve">		[StringLength(MaxMrpTypeLength)]
		public virtual string MrpType { get; set; }
</v>
      </c>
      <c r="K29" s="6"/>
      <c r="L29" t="str">
        <f t="shared" si="57"/>
        <v/>
      </c>
      <c r="M29" t="str">
        <f t="shared" si="58"/>
        <v xml:space="preserve">		public virtual string MrpType { get; set; }
</v>
      </c>
      <c r="N29" t="str">
        <f t="shared" si="59"/>
        <v xml:space="preserve">		[StringLength(IF_FQF3MM06Consts.MaxMrpTypeLength)]
		public virtual string MrpType { get; set; }
</v>
      </c>
      <c r="O29" t="str">
        <f t="shared" si="60"/>
        <v xml:space="preserve">		public virtual string MrpType { get; set; }
</v>
      </c>
      <c r="P29" t="str">
        <f t="shared" si="61"/>
        <v xml:space="preserve">							MrpType = o.MrpType,</v>
      </c>
      <c r="T29" s="63" t="str">
        <f t="shared" si="62"/>
        <v xml:space="preserve">								("MrpType"),</v>
      </c>
      <c r="V29" s="64" t="str">
        <f t="shared" si="63"/>
        <v xml:space="preserve">								_ =&gt; _.MrpType,</v>
      </c>
      <c r="W29" s="63" t="str">
        <f t="shared" si="64"/>
        <v xml:space="preserve">				.WhereIf(!string.IsNullOrWhiteSpace(input.MrpType), e =&gt; e.MrpType.Contains(input.MrpType))</v>
      </c>
    </row>
    <row r="30" spans="1:23" customFormat="1" ht="18.75" customHeight="1" x14ac:dyDescent="0.25">
      <c r="A30" t="s">
        <v>377</v>
      </c>
      <c r="B30" t="s">
        <v>414</v>
      </c>
      <c r="C30" t="s">
        <v>1</v>
      </c>
      <c r="D30" t="str">
        <f t="shared" si="52"/>
        <v>ProcurementType</v>
      </c>
      <c r="E30" t="str">
        <f t="shared" si="53"/>
        <v>varchar</v>
      </c>
      <c r="F30" s="6"/>
      <c r="G30" t="str">
        <f t="shared" si="54"/>
        <v>1</v>
      </c>
      <c r="H30" t="str">
        <f>+VLOOKUP(E30,'Data Type Mapping'!A:B,2,)</f>
        <v>string</v>
      </c>
      <c r="I30" t="str">
        <f t="shared" si="55"/>
        <v xml:space="preserve">		public const int MaxProcurementTypeLength = 1;
</v>
      </c>
      <c r="J30" t="str">
        <f t="shared" si="56"/>
        <v xml:space="preserve">		[StringLength(MaxProcurementTypeLength)]
		public virtual string ProcurementType { get; set; }
</v>
      </c>
      <c r="K30" s="6"/>
      <c r="L30" t="str">
        <f t="shared" si="57"/>
        <v/>
      </c>
      <c r="M30" t="str">
        <f t="shared" si="58"/>
        <v xml:space="preserve">		public virtual string ProcurementType { get; set; }
</v>
      </c>
      <c r="N30" t="str">
        <f t="shared" si="59"/>
        <v xml:space="preserve">		[StringLength(IF_FQF3MM06Consts.MaxProcurementTypeLength)]
		public virtual string ProcurementType { get; set; }
</v>
      </c>
      <c r="O30" t="str">
        <f t="shared" si="60"/>
        <v xml:space="preserve">		public virtual string ProcurementType { get; set; }
</v>
      </c>
      <c r="P30" t="str">
        <f t="shared" si="61"/>
        <v xml:space="preserve">							ProcurementType = o.ProcurementType,</v>
      </c>
      <c r="T30" s="63" t="str">
        <f t="shared" si="62"/>
        <v xml:space="preserve">								("ProcurementType"),</v>
      </c>
      <c r="V30" s="64" t="str">
        <f t="shared" si="63"/>
        <v xml:space="preserve">								_ =&gt; _.ProcurementType,</v>
      </c>
      <c r="W30" s="63" t="str">
        <f t="shared" si="64"/>
        <v xml:space="preserve">				.WhereIf(!string.IsNullOrWhiteSpace(input.ProcurementType), e =&gt; e.ProcurementType.Contains(input.ProcurementType))</v>
      </c>
    </row>
    <row r="31" spans="1:23" customFormat="1" ht="18.75" customHeight="1" x14ac:dyDescent="0.25">
      <c r="A31" t="s">
        <v>378</v>
      </c>
      <c r="B31" t="s">
        <v>417</v>
      </c>
      <c r="C31" t="s">
        <v>1</v>
      </c>
      <c r="D31" t="str">
        <f t="shared" si="52"/>
        <v>SpecialProcurement</v>
      </c>
      <c r="E31" t="str">
        <f t="shared" si="53"/>
        <v>varchar</v>
      </c>
      <c r="F31" s="6"/>
      <c r="G31" t="str">
        <f t="shared" si="54"/>
        <v>2</v>
      </c>
      <c r="H31" t="str">
        <f>+VLOOKUP(E31,'Data Type Mapping'!A:B,2,)</f>
        <v>string</v>
      </c>
      <c r="I31" t="str">
        <f t="shared" si="55"/>
        <v xml:space="preserve">		public const int MaxSpecialProcurementLength = 2;
</v>
      </c>
      <c r="J31" t="str">
        <f t="shared" si="56"/>
        <v xml:space="preserve">		[StringLength(MaxSpecialProcurementLength)]
		public virtual string SpecialProcurement { get; set; }
</v>
      </c>
      <c r="K31" s="6"/>
      <c r="L31" t="str">
        <f t="shared" si="57"/>
        <v/>
      </c>
      <c r="M31" t="str">
        <f t="shared" si="58"/>
        <v xml:space="preserve">		public virtual string SpecialProcurement { get; set; }
</v>
      </c>
      <c r="N31" t="str">
        <f t="shared" si="59"/>
        <v xml:space="preserve">		[StringLength(IF_FQF3MM06Consts.MaxSpecialProcurementLength)]
		public virtual string SpecialProcurement { get; set; }
</v>
      </c>
      <c r="O31" t="str">
        <f t="shared" si="60"/>
        <v xml:space="preserve">		public virtual string SpecialProcurement { get; set; }
</v>
      </c>
      <c r="P31" t="str">
        <f t="shared" si="61"/>
        <v xml:space="preserve">							SpecialProcurement = o.SpecialProcurement,</v>
      </c>
      <c r="T31" s="63" t="str">
        <f t="shared" si="62"/>
        <v xml:space="preserve">								("SpecialProcurement"),</v>
      </c>
      <c r="V31" s="64" t="str">
        <f t="shared" si="63"/>
        <v xml:space="preserve">								_ =&gt; _.SpecialProcurement,</v>
      </c>
      <c r="W31" s="63" t="str">
        <f t="shared" si="64"/>
        <v xml:space="preserve">				.WhereIf(!string.IsNullOrWhiteSpace(input.SpecialProcurement), e =&gt; e.SpecialProcurement.Contains(input.SpecialProcurement))</v>
      </c>
    </row>
    <row r="32" spans="1:23" customFormat="1" ht="18.75" customHeight="1" x14ac:dyDescent="0.25">
      <c r="A32" t="s">
        <v>402</v>
      </c>
      <c r="B32" t="s">
        <v>412</v>
      </c>
      <c r="C32" t="s">
        <v>1</v>
      </c>
      <c r="D32" t="str">
        <f t="shared" si="52"/>
        <v>ProdStorLocation</v>
      </c>
      <c r="E32" t="str">
        <f t="shared" si="53"/>
        <v>varchar</v>
      </c>
      <c r="F32" s="6"/>
      <c r="G32" t="str">
        <f t="shared" si="54"/>
        <v>4</v>
      </c>
      <c r="H32" t="str">
        <f>+VLOOKUP(E32,'Data Type Mapping'!A:B,2,)</f>
        <v>string</v>
      </c>
      <c r="I32" t="str">
        <f t="shared" si="55"/>
        <v xml:space="preserve">		public const int MaxProdStorLocationLength = 4;
</v>
      </c>
      <c r="J32" t="str">
        <f t="shared" si="56"/>
        <v xml:space="preserve">		[StringLength(MaxProdStorLocationLength)]
		public virtual string ProdStorLocation { get; set; }
</v>
      </c>
      <c r="K32" s="6"/>
      <c r="L32" t="str">
        <f t="shared" si="57"/>
        <v/>
      </c>
      <c r="M32" t="str">
        <f t="shared" si="58"/>
        <v xml:space="preserve">		public virtual string ProdStorLocation { get; set; }
</v>
      </c>
      <c r="N32" t="str">
        <f t="shared" si="59"/>
        <v xml:space="preserve">		[StringLength(IF_FQF3MM06Consts.MaxProdStorLocationLength)]
		public virtual string ProdStorLocation { get; set; }
</v>
      </c>
      <c r="O32" t="str">
        <f t="shared" si="60"/>
        <v xml:space="preserve">		public virtual string ProdStorLocation { get; set; }
</v>
      </c>
      <c r="P32" t="str">
        <f t="shared" si="61"/>
        <v xml:space="preserve">							ProdStorLocation = o.ProdStorLocation,</v>
      </c>
      <c r="T32" s="63" t="str">
        <f t="shared" si="62"/>
        <v xml:space="preserve">								("ProdStorLocation"),</v>
      </c>
      <c r="V32" s="64" t="str">
        <f t="shared" si="63"/>
        <v xml:space="preserve">								_ =&gt; _.ProdStorLocation,</v>
      </c>
      <c r="W32" s="63" t="str">
        <f t="shared" si="64"/>
        <v xml:space="preserve">				.WhereIf(!string.IsNullOrWhiteSpace(input.ProdStorLocation), e =&gt; e.ProdStorLocation.Contains(input.ProdStorLocation))</v>
      </c>
    </row>
    <row r="33" spans="1:23" customFormat="1" ht="18.75" customHeight="1" x14ac:dyDescent="0.25">
      <c r="A33" t="s">
        <v>403</v>
      </c>
      <c r="B33" t="s">
        <v>414</v>
      </c>
      <c r="C33" t="s">
        <v>1</v>
      </c>
      <c r="D33" t="str">
        <f t="shared" si="52"/>
        <v>RepetManufacturing</v>
      </c>
      <c r="E33" t="str">
        <f t="shared" si="53"/>
        <v>varchar</v>
      </c>
      <c r="F33" s="6"/>
      <c r="G33" t="str">
        <f t="shared" si="54"/>
        <v>1</v>
      </c>
      <c r="H33" t="str">
        <f>+VLOOKUP(E33,'Data Type Mapping'!A:B,2,)</f>
        <v>string</v>
      </c>
      <c r="I33" t="str">
        <f t="shared" si="55"/>
        <v xml:space="preserve">		public const int MaxRepetManufacturingLength = 1;
</v>
      </c>
      <c r="J33" t="str">
        <f t="shared" si="56"/>
        <v xml:space="preserve">		[StringLength(MaxRepetManufacturingLength)]
		public virtual string RepetManufacturing { get; set; }
</v>
      </c>
      <c r="K33" s="6"/>
      <c r="L33" t="str">
        <f t="shared" si="57"/>
        <v/>
      </c>
      <c r="M33" t="str">
        <f t="shared" si="58"/>
        <v xml:space="preserve">		public virtual string RepetManufacturing { get; set; }
</v>
      </c>
      <c r="N33" t="str">
        <f t="shared" si="59"/>
        <v xml:space="preserve">		[StringLength(IF_FQF3MM06Consts.MaxRepetManufacturingLength)]
		public virtual string RepetManufacturing { get; set; }
</v>
      </c>
      <c r="O33" t="str">
        <f t="shared" si="60"/>
        <v xml:space="preserve">		public virtual string RepetManufacturing { get; set; }
</v>
      </c>
      <c r="P33" t="str">
        <f t="shared" si="61"/>
        <v xml:space="preserve">							RepetManufacturing = o.RepetManufacturing,</v>
      </c>
      <c r="T33" s="63" t="str">
        <f t="shared" si="62"/>
        <v xml:space="preserve">								("RepetManufacturing"),</v>
      </c>
      <c r="V33" s="64" t="str">
        <f t="shared" si="63"/>
        <v xml:space="preserve">								_ =&gt; _.RepetManufacturing,</v>
      </c>
      <c r="W33" s="63" t="str">
        <f t="shared" si="64"/>
        <v xml:space="preserve">				.WhereIf(!string.IsNullOrWhiteSpace(input.RepetManufacturing), e =&gt; e.RepetManufacturing.Contains(input.RepetManufacturing))</v>
      </c>
    </row>
    <row r="34" spans="1:23" customFormat="1" ht="18.75" customHeight="1" x14ac:dyDescent="0.25">
      <c r="A34" t="s">
        <v>379</v>
      </c>
      <c r="B34" t="s">
        <v>412</v>
      </c>
      <c r="C34" t="s">
        <v>1</v>
      </c>
      <c r="D34" t="str">
        <f t="shared" si="52"/>
        <v>RemProfile</v>
      </c>
      <c r="E34" t="str">
        <f t="shared" si="53"/>
        <v>varchar</v>
      </c>
      <c r="F34" s="6"/>
      <c r="G34" t="str">
        <f t="shared" si="54"/>
        <v>4</v>
      </c>
      <c r="H34" t="str">
        <f>+VLOOKUP(E34,'Data Type Mapping'!A:B,2,)</f>
        <v>string</v>
      </c>
      <c r="I34" t="str">
        <f t="shared" si="55"/>
        <v xml:space="preserve">		public const int MaxRemProfileLength = 4;
</v>
      </c>
      <c r="J34" t="str">
        <f t="shared" si="56"/>
        <v xml:space="preserve">		[StringLength(MaxRemProfileLength)]
		public virtual string RemProfile { get; set; }
</v>
      </c>
      <c r="K34" s="6"/>
      <c r="L34" t="str">
        <f t="shared" si="57"/>
        <v/>
      </c>
      <c r="M34" t="str">
        <f t="shared" si="58"/>
        <v xml:space="preserve">		public virtual string RemProfile { get; set; }
</v>
      </c>
      <c r="N34" t="str">
        <f t="shared" si="59"/>
        <v xml:space="preserve">		[StringLength(IF_FQF3MM06Consts.MaxRemProfileLength)]
		public virtual string RemProfile { get; set; }
</v>
      </c>
      <c r="O34" t="str">
        <f t="shared" si="60"/>
        <v xml:space="preserve">		public virtual string RemProfile { get; set; }
</v>
      </c>
      <c r="P34" t="str">
        <f t="shared" si="61"/>
        <v xml:space="preserve">							RemProfile = o.RemProfile,</v>
      </c>
      <c r="T34" s="63" t="str">
        <f t="shared" si="62"/>
        <v xml:space="preserve">								("RemProfile"),</v>
      </c>
      <c r="V34" s="64" t="str">
        <f t="shared" si="63"/>
        <v xml:space="preserve">								_ =&gt; _.RemProfile,</v>
      </c>
      <c r="W34" s="63" t="str">
        <f t="shared" si="64"/>
        <v xml:space="preserve">				.WhereIf(!string.IsNullOrWhiteSpace(input.RemProfile), e =&gt; e.RemProfile.Contains(input.RemProfile))</v>
      </c>
    </row>
    <row r="35" spans="1:23" customFormat="1" ht="18.75" customHeight="1" x14ac:dyDescent="0.25">
      <c r="A35" t="s">
        <v>380</v>
      </c>
      <c r="B35" t="s">
        <v>414</v>
      </c>
      <c r="C35" t="s">
        <v>1</v>
      </c>
      <c r="D35" t="str">
        <f t="shared" si="52"/>
        <v>DoNotCost</v>
      </c>
      <c r="E35" t="str">
        <f t="shared" si="53"/>
        <v>varchar</v>
      </c>
      <c r="F35" s="6"/>
      <c r="G35" t="str">
        <f t="shared" si="54"/>
        <v>1</v>
      </c>
      <c r="H35" t="str">
        <f>+VLOOKUP(E35,'Data Type Mapping'!A:B,2,)</f>
        <v>string</v>
      </c>
      <c r="I35" t="str">
        <f t="shared" si="55"/>
        <v xml:space="preserve">		public const int MaxDoNotCostLength = 1;
</v>
      </c>
      <c r="J35" t="str">
        <f t="shared" si="56"/>
        <v xml:space="preserve">		[StringLength(MaxDoNotCostLength)]
		public virtual string DoNotCost { get; set; }
</v>
      </c>
      <c r="K35" s="6"/>
      <c r="L35" t="str">
        <f t="shared" si="57"/>
        <v/>
      </c>
      <c r="M35" t="str">
        <f t="shared" si="58"/>
        <v xml:space="preserve">		public virtual string DoNotCost { get; set; }
</v>
      </c>
      <c r="N35" t="str">
        <f t="shared" si="59"/>
        <v xml:space="preserve">		[StringLength(IF_FQF3MM06Consts.MaxDoNotCostLength)]
		public virtual string DoNotCost { get; set; }
</v>
      </c>
      <c r="O35" t="str">
        <f t="shared" si="60"/>
        <v xml:space="preserve">		public virtual string DoNotCost { get; set; }
</v>
      </c>
      <c r="P35" t="str">
        <f t="shared" si="61"/>
        <v xml:space="preserve">							DoNotCost = o.DoNotCost,</v>
      </c>
      <c r="T35" s="63" t="str">
        <f t="shared" si="62"/>
        <v xml:space="preserve">								("DoNotCost"),</v>
      </c>
      <c r="V35" s="64" t="str">
        <f t="shared" si="63"/>
        <v xml:space="preserve">								_ =&gt; _.DoNotCost,</v>
      </c>
      <c r="W35" s="63" t="str">
        <f t="shared" si="64"/>
        <v xml:space="preserve">				.WhereIf(!string.IsNullOrWhiteSpace(input.DoNotCost), e =&gt; e.DoNotCost.Contains(input.DoNotCost))</v>
      </c>
    </row>
    <row r="36" spans="1:23" customFormat="1" ht="18.75" customHeight="1" x14ac:dyDescent="0.25">
      <c r="A36" t="s">
        <v>381</v>
      </c>
      <c r="B36" t="s">
        <v>421</v>
      </c>
      <c r="C36" t="s">
        <v>1</v>
      </c>
      <c r="D36" t="str">
        <f t="shared" si="52"/>
        <v>VarianceKey</v>
      </c>
      <c r="E36" t="str">
        <f t="shared" si="53"/>
        <v>varchar</v>
      </c>
      <c r="F36" s="6"/>
      <c r="G36" t="str">
        <f t="shared" si="54"/>
        <v>6</v>
      </c>
      <c r="H36" t="str">
        <f>+VLOOKUP(E36,'Data Type Mapping'!A:B,2,)</f>
        <v>string</v>
      </c>
      <c r="I36" t="str">
        <f t="shared" si="55"/>
        <v xml:space="preserve">		public const int MaxVarianceKeyLength = 6;
</v>
      </c>
      <c r="J36" t="str">
        <f t="shared" si="56"/>
        <v xml:space="preserve">		[StringLength(MaxVarianceKeyLength)]
		public virtual string VarianceKey { get; set; }
</v>
      </c>
      <c r="K36" s="6"/>
      <c r="L36" t="str">
        <f t="shared" si="57"/>
        <v/>
      </c>
      <c r="M36" t="str">
        <f t="shared" si="58"/>
        <v xml:space="preserve">		public virtual string VarianceKey { get; set; }
</v>
      </c>
      <c r="N36" t="str">
        <f t="shared" si="59"/>
        <v xml:space="preserve">		[StringLength(IF_FQF3MM06Consts.MaxVarianceKeyLength)]
		public virtual string VarianceKey { get; set; }
</v>
      </c>
      <c r="O36" t="str">
        <f t="shared" si="60"/>
        <v xml:space="preserve">		public virtual string VarianceKey { get; set; }
</v>
      </c>
      <c r="P36" t="str">
        <f t="shared" si="61"/>
        <v xml:space="preserve">							VarianceKey = o.VarianceKey,</v>
      </c>
      <c r="T36" s="63" t="str">
        <f t="shared" si="62"/>
        <v xml:space="preserve">								("VarianceKey"),</v>
      </c>
      <c r="V36" s="64" t="str">
        <f t="shared" si="63"/>
        <v xml:space="preserve">								_ =&gt; _.VarianceKey,</v>
      </c>
      <c r="W36" s="63" t="str">
        <f t="shared" si="64"/>
        <v xml:space="preserve">				.WhereIf(!string.IsNullOrWhiteSpace(input.VarianceKey), e =&gt; e.VarianceKey.Contains(input.VarianceKey))</v>
      </c>
    </row>
    <row r="37" spans="1:23" customFormat="1" ht="18.75" customHeight="1" x14ac:dyDescent="0.25">
      <c r="A37" t="s">
        <v>404</v>
      </c>
      <c r="B37" t="s">
        <v>422</v>
      </c>
      <c r="C37" t="s">
        <v>1</v>
      </c>
      <c r="D37" t="str">
        <f t="shared" si="52"/>
        <v>CostingLotSize</v>
      </c>
      <c r="E37" t="str">
        <f t="shared" si="53"/>
        <v>varchar</v>
      </c>
      <c r="F37" s="6"/>
      <c r="G37" t="str">
        <f t="shared" si="54"/>
        <v>14</v>
      </c>
      <c r="H37" t="str">
        <f>+VLOOKUP(E37,'Data Type Mapping'!A:B,2,)</f>
        <v>string</v>
      </c>
      <c r="I37" t="str">
        <f t="shared" si="55"/>
        <v xml:space="preserve">		public const int MaxCostingLotSizeLength = 14;
</v>
      </c>
      <c r="J37" t="str">
        <f t="shared" si="56"/>
        <v xml:space="preserve">		[StringLength(MaxCostingLotSizeLength)]
		public virtual string CostingLotSize { get; set; }
</v>
      </c>
      <c r="K37" s="6"/>
      <c r="L37" t="str">
        <f t="shared" si="57"/>
        <v/>
      </c>
      <c r="M37" t="str">
        <f t="shared" si="58"/>
        <v xml:space="preserve">		public virtual string CostingLotSize { get; set; }
</v>
      </c>
      <c r="N37" t="str">
        <f t="shared" si="59"/>
        <v xml:space="preserve">		[StringLength(IF_FQF3MM06Consts.MaxCostingLotSizeLength)]
		public virtual string CostingLotSize { get; set; }
</v>
      </c>
      <c r="O37" t="str">
        <f t="shared" si="60"/>
        <v xml:space="preserve">		public virtual string CostingLotSize { get; set; }
</v>
      </c>
      <c r="P37" t="str">
        <f t="shared" si="61"/>
        <v xml:space="preserve">							CostingLotSize = o.CostingLotSize,</v>
      </c>
      <c r="T37" s="63" t="str">
        <f t="shared" si="62"/>
        <v xml:space="preserve">								("CostingLotSize"),</v>
      </c>
      <c r="V37" s="64" t="str">
        <f t="shared" si="63"/>
        <v xml:space="preserve">								_ =&gt; _.CostingLotSize,</v>
      </c>
      <c r="W37" s="63" t="str">
        <f t="shared" si="64"/>
        <v xml:space="preserve">				.WhereIf(!string.IsNullOrWhiteSpace(input.CostingLotSize), e =&gt; e.CostingLotSize.Contains(input.CostingLotSize))</v>
      </c>
    </row>
    <row r="38" spans="1:23" customFormat="1" ht="18.75" customHeight="1" x14ac:dyDescent="0.25">
      <c r="A38" t="s">
        <v>382</v>
      </c>
      <c r="B38" t="s">
        <v>412</v>
      </c>
      <c r="C38" t="s">
        <v>1</v>
      </c>
      <c r="D38" t="str">
        <f t="shared" si="52"/>
        <v>ProductionVersion</v>
      </c>
      <c r="E38" t="str">
        <f t="shared" si="53"/>
        <v>varchar</v>
      </c>
      <c r="F38" s="6"/>
      <c r="G38" t="str">
        <f t="shared" si="54"/>
        <v>4</v>
      </c>
      <c r="H38" t="str">
        <f>+VLOOKUP(E38,'Data Type Mapping'!A:B,2,)</f>
        <v>string</v>
      </c>
      <c r="I38" t="str">
        <f t="shared" si="55"/>
        <v xml:space="preserve">		public const int MaxProductionVersionLength = 4;
</v>
      </c>
      <c r="J38" t="str">
        <f t="shared" si="56"/>
        <v xml:space="preserve">		[StringLength(MaxProductionVersionLength)]
		public virtual string ProductionVersion { get; set; }
</v>
      </c>
      <c r="K38" s="6"/>
      <c r="L38" t="str">
        <f t="shared" si="57"/>
        <v/>
      </c>
      <c r="M38" t="str">
        <f t="shared" si="58"/>
        <v xml:space="preserve">		public virtual string ProductionVersion { get; set; }
</v>
      </c>
      <c r="N38" t="str">
        <f t="shared" si="59"/>
        <v xml:space="preserve">		[StringLength(IF_FQF3MM06Consts.MaxProductionVersionLength)]
		public virtual string ProductionVersion { get; set; }
</v>
      </c>
      <c r="O38" t="str">
        <f t="shared" si="60"/>
        <v xml:space="preserve">		public virtual string ProductionVersion { get; set; }
</v>
      </c>
      <c r="P38" t="str">
        <f t="shared" si="61"/>
        <v xml:space="preserve">							ProductionVersion = o.ProductionVersion,</v>
      </c>
      <c r="T38" s="63" t="str">
        <f t="shared" si="62"/>
        <v xml:space="preserve">								("ProductionVersion"),</v>
      </c>
      <c r="V38" s="64" t="str">
        <f t="shared" si="63"/>
        <v xml:space="preserve">								_ =&gt; _.ProductionVersion,</v>
      </c>
      <c r="W38" s="63" t="str">
        <f t="shared" si="64"/>
        <v xml:space="preserve">				.WhereIf(!string.IsNullOrWhiteSpace(input.ProductionVersion), e =&gt; e.ProductionVersion.Contains(input.ProductionVersion))</v>
      </c>
    </row>
    <row r="39" spans="1:23" customFormat="1" ht="18.75" customHeight="1" x14ac:dyDescent="0.25">
      <c r="A39" t="s">
        <v>405</v>
      </c>
      <c r="B39" t="s">
        <v>417</v>
      </c>
      <c r="C39" t="s">
        <v>1</v>
      </c>
      <c r="D39" t="str">
        <f t="shared" si="52"/>
        <v>SpecialProcurementType</v>
      </c>
      <c r="E39" t="str">
        <f t="shared" si="53"/>
        <v>varchar</v>
      </c>
      <c r="F39" s="6"/>
      <c r="G39" t="str">
        <f t="shared" si="54"/>
        <v>2</v>
      </c>
      <c r="H39" t="str">
        <f>+VLOOKUP(E39,'Data Type Mapping'!A:B,2,)</f>
        <v>string</v>
      </c>
      <c r="I39" t="str">
        <f t="shared" si="55"/>
        <v xml:space="preserve">		public const int MaxSpecialProcurementTypeLength = 2;
</v>
      </c>
      <c r="J39" t="str">
        <f t="shared" si="56"/>
        <v xml:space="preserve">		[StringLength(MaxSpecialProcurementTypeLength)]
		public virtual string SpecialProcurementType { get; set; }
</v>
      </c>
      <c r="K39" s="6"/>
      <c r="L39" t="str">
        <f t="shared" si="57"/>
        <v/>
      </c>
      <c r="M39" t="str">
        <f t="shared" si="58"/>
        <v xml:space="preserve">		public virtual string SpecialProcurementType { get; set; }
</v>
      </c>
      <c r="N39" t="str">
        <f t="shared" si="59"/>
        <v xml:space="preserve">		[StringLength(IF_FQF3MM06Consts.MaxSpecialProcurementTypeLength)]
		public virtual string SpecialProcurementType { get; set; }
</v>
      </c>
      <c r="O39" t="str">
        <f t="shared" si="60"/>
        <v xml:space="preserve">		public virtual string SpecialProcurementType { get; set; }
</v>
      </c>
      <c r="P39" t="str">
        <f t="shared" si="61"/>
        <v xml:space="preserve">							SpecialProcurementType = o.SpecialProcurementType,</v>
      </c>
      <c r="T39" s="63" t="str">
        <f t="shared" si="62"/>
        <v xml:space="preserve">								("SpecialProcurementType"),</v>
      </c>
      <c r="V39" s="64" t="str">
        <f t="shared" si="63"/>
        <v xml:space="preserve">								_ =&gt; _.SpecialProcurementType,</v>
      </c>
      <c r="W39" s="63" t="str">
        <f t="shared" si="64"/>
        <v xml:space="preserve">				.WhereIf(!string.IsNullOrWhiteSpace(input.SpecialProcurementType), e =&gt; e.SpecialProcurementType.Contains(input.SpecialProcurementType))</v>
      </c>
    </row>
    <row r="40" spans="1:23" customFormat="1" ht="18.75" customHeight="1" x14ac:dyDescent="0.25">
      <c r="A40" t="s">
        <v>383</v>
      </c>
      <c r="B40" t="s">
        <v>414</v>
      </c>
      <c r="C40" t="s">
        <v>1</v>
      </c>
      <c r="D40" t="str">
        <f t="shared" si="52"/>
        <v>ValuationCategory</v>
      </c>
      <c r="E40" t="str">
        <f t="shared" si="53"/>
        <v>varchar</v>
      </c>
      <c r="F40" s="6"/>
      <c r="G40" t="str">
        <f t="shared" si="54"/>
        <v>1</v>
      </c>
      <c r="H40" t="str">
        <f>+VLOOKUP(E40,'Data Type Mapping'!A:B,2,)</f>
        <v>string</v>
      </c>
      <c r="I40" t="str">
        <f t="shared" si="55"/>
        <v xml:space="preserve">		public const int MaxValuationCategoryLength = 1;
</v>
      </c>
      <c r="J40" t="str">
        <f t="shared" si="56"/>
        <v xml:space="preserve">		[StringLength(MaxValuationCategoryLength)]
		public virtual string ValuationCategory { get; set; }
</v>
      </c>
      <c r="K40" s="6"/>
      <c r="L40" t="str">
        <f t="shared" si="57"/>
        <v/>
      </c>
      <c r="M40" t="str">
        <f t="shared" si="58"/>
        <v xml:space="preserve">		public virtual string ValuationCategory { get; set; }
</v>
      </c>
      <c r="N40" t="str">
        <f t="shared" si="59"/>
        <v xml:space="preserve">		[StringLength(IF_FQF3MM06Consts.MaxValuationCategoryLength)]
		public virtual string ValuationCategory { get; set; }
</v>
      </c>
      <c r="O40" t="str">
        <f t="shared" si="60"/>
        <v xml:space="preserve">		public virtual string ValuationCategory { get; set; }
</v>
      </c>
      <c r="P40" t="str">
        <f t="shared" si="61"/>
        <v xml:space="preserve">							ValuationCategory = o.ValuationCategory,</v>
      </c>
      <c r="T40" s="63" t="str">
        <f t="shared" si="62"/>
        <v xml:space="preserve">								("ValuationCategory"),</v>
      </c>
      <c r="V40" s="64" t="str">
        <f t="shared" si="63"/>
        <v xml:space="preserve">								_ =&gt; _.ValuationCategory,</v>
      </c>
      <c r="W40" s="63" t="str">
        <f t="shared" si="64"/>
        <v xml:space="preserve">				.WhereIf(!string.IsNullOrWhiteSpace(input.ValuationCategory), e =&gt; e.ValuationCategory.Contains(input.ValuationCategory))</v>
      </c>
    </row>
    <row r="41" spans="1:23" customFormat="1" ht="18.75" customHeight="1" x14ac:dyDescent="0.25">
      <c r="A41" t="s">
        <v>384</v>
      </c>
      <c r="B41" t="s">
        <v>419</v>
      </c>
      <c r="C41" t="s">
        <v>1</v>
      </c>
      <c r="D41" t="str">
        <f t="shared" si="39"/>
        <v>ValuationType</v>
      </c>
      <c r="E41" t="str">
        <f t="shared" si="40"/>
        <v>varchar</v>
      </c>
      <c r="F41" s="6"/>
      <c r="G41" t="str">
        <f t="shared" si="41"/>
        <v>10</v>
      </c>
      <c r="H41" t="str">
        <f>+VLOOKUP(E41,'Data Type Mapping'!A:B,2,)</f>
        <v>string</v>
      </c>
      <c r="I41" t="str">
        <f t="shared" si="42"/>
        <v xml:space="preserve">		public const int MaxValuationTypeLength = 10;
</v>
      </c>
      <c r="J41" t="str">
        <f t="shared" si="43"/>
        <v xml:space="preserve">		[StringLength(MaxValuationTypeLength)]
		public virtual string ValuationType { get; set; }
</v>
      </c>
      <c r="K41" s="6"/>
      <c r="L41" t="str">
        <f t="shared" si="44"/>
        <v/>
      </c>
      <c r="M41" t="str">
        <f t="shared" si="45"/>
        <v xml:space="preserve">		public virtual string ValuationType { get; set; }
</v>
      </c>
      <c r="N41" t="str">
        <f t="shared" si="46"/>
        <v xml:space="preserve">		[StringLength(IF_FQF3MM06Consts.MaxValuationTypeLength)]
		public virtual string ValuationType { get; set; }
</v>
      </c>
      <c r="O41" t="str">
        <f t="shared" si="47"/>
        <v xml:space="preserve">		public virtual string ValuationType { get; set; }
</v>
      </c>
      <c r="P41" t="str">
        <f t="shared" si="48"/>
        <v xml:space="preserve">							ValuationType = o.ValuationType,</v>
      </c>
      <c r="T41" s="63" t="str">
        <f t="shared" si="49"/>
        <v xml:space="preserve">								("ValuationType"),</v>
      </c>
      <c r="V41" s="64" t="str">
        <f t="shared" si="50"/>
        <v xml:space="preserve">								_ =&gt; _.ValuationType,</v>
      </c>
      <c r="W41" s="63" t="str">
        <f t="shared" si="51"/>
        <v xml:space="preserve">				.WhereIf(!string.IsNullOrWhiteSpace(input.ValuationType), e =&gt; e.ValuationType.Contains(input.ValuationType))</v>
      </c>
    </row>
    <row r="42" spans="1:23" customFormat="1" ht="18.75" customHeight="1" x14ac:dyDescent="0.25">
      <c r="A42" t="s">
        <v>385</v>
      </c>
      <c r="B42" t="s">
        <v>412</v>
      </c>
      <c r="C42" t="s">
        <v>1</v>
      </c>
      <c r="D42" t="str">
        <f t="shared" si="39"/>
        <v>ValuationClass</v>
      </c>
      <c r="E42" t="str">
        <f t="shared" si="40"/>
        <v>varchar</v>
      </c>
      <c r="F42" s="6"/>
      <c r="G42" t="str">
        <f t="shared" si="41"/>
        <v>4</v>
      </c>
      <c r="H42" t="str">
        <f>+VLOOKUP(E42,'Data Type Mapping'!A:B,2,)</f>
        <v>string</v>
      </c>
      <c r="I42" t="str">
        <f t="shared" si="42"/>
        <v xml:space="preserve">		public const int MaxValuationClassLength = 4;
</v>
      </c>
      <c r="J42" t="str">
        <f t="shared" si="43"/>
        <v xml:space="preserve">		[StringLength(MaxValuationClassLength)]
		public virtual string ValuationClass { get; set; }
</v>
      </c>
      <c r="K42" s="6"/>
      <c r="L42" t="str">
        <f t="shared" si="44"/>
        <v/>
      </c>
      <c r="M42" t="str">
        <f t="shared" si="45"/>
        <v xml:space="preserve">		public virtual string ValuationClass { get; set; }
</v>
      </c>
      <c r="N42" t="str">
        <f t="shared" si="46"/>
        <v xml:space="preserve">		[StringLength(IF_FQF3MM06Consts.MaxValuationClassLength)]
		public virtual string ValuationClass { get; set; }
</v>
      </c>
      <c r="O42" t="str">
        <f t="shared" si="47"/>
        <v xml:space="preserve">		public virtual string ValuationClass { get; set; }
</v>
      </c>
      <c r="P42" t="str">
        <f t="shared" si="48"/>
        <v xml:space="preserve">							ValuationClass = o.ValuationClass,</v>
      </c>
      <c r="T42" s="63" t="str">
        <f t="shared" si="49"/>
        <v xml:space="preserve">								("ValuationClass"),</v>
      </c>
      <c r="V42" s="64" t="str">
        <f t="shared" si="50"/>
        <v xml:space="preserve">								_ =&gt; _.ValuationClass,</v>
      </c>
      <c r="W42" s="63" t="str">
        <f t="shared" si="51"/>
        <v xml:space="preserve">				.WhereIf(!string.IsNullOrWhiteSpace(input.ValuationClass), e =&gt; e.ValuationClass.Contains(input.ValuationClass))</v>
      </c>
    </row>
    <row r="43" spans="1:23" customFormat="1" ht="18.75" customHeight="1" x14ac:dyDescent="0.25">
      <c r="A43" t="s">
        <v>386</v>
      </c>
      <c r="B43" t="s">
        <v>414</v>
      </c>
      <c r="C43" t="s">
        <v>1</v>
      </c>
      <c r="D43" t="str">
        <f t="shared" si="39"/>
        <v>PriceDetermination</v>
      </c>
      <c r="E43" t="str">
        <f t="shared" si="40"/>
        <v>varchar</v>
      </c>
      <c r="F43" s="6"/>
      <c r="G43" t="str">
        <f t="shared" si="41"/>
        <v>1</v>
      </c>
      <c r="H43" t="str">
        <f>+VLOOKUP(E43,'Data Type Mapping'!A:B,2,)</f>
        <v>string</v>
      </c>
      <c r="I43" t="str">
        <f t="shared" si="42"/>
        <v xml:space="preserve">		public const int MaxPriceDeterminationLength = 1;
</v>
      </c>
      <c r="J43" t="str">
        <f t="shared" si="43"/>
        <v xml:space="preserve">		[StringLength(MaxPriceDeterminationLength)]
		public virtual string PriceDetermination { get; set; }
</v>
      </c>
      <c r="K43" s="6"/>
      <c r="L43" t="str">
        <f t="shared" si="44"/>
        <v/>
      </c>
      <c r="M43" t="str">
        <f t="shared" si="45"/>
        <v xml:space="preserve">		public virtual string PriceDetermination { get; set; }
</v>
      </c>
      <c r="N43" t="str">
        <f t="shared" si="46"/>
        <v xml:space="preserve">		[StringLength(IF_FQF3MM06Consts.MaxPriceDeterminationLength)]
		public virtual string PriceDetermination { get; set; }
</v>
      </c>
      <c r="O43" t="str">
        <f t="shared" si="47"/>
        <v xml:space="preserve">		public virtual string PriceDetermination { get; set; }
</v>
      </c>
      <c r="P43" t="str">
        <f t="shared" si="48"/>
        <v xml:space="preserve">							PriceDetermination = o.PriceDetermination,</v>
      </c>
      <c r="T43" s="63" t="str">
        <f t="shared" si="49"/>
        <v xml:space="preserve">								("PriceDetermination"),</v>
      </c>
      <c r="V43" s="64" t="str">
        <f t="shared" si="50"/>
        <v xml:space="preserve">								_ =&gt; _.PriceDetermination,</v>
      </c>
      <c r="W43" s="63" t="str">
        <f t="shared" si="51"/>
        <v xml:space="preserve">				.WhereIf(!string.IsNullOrWhiteSpace(input.PriceDetermination), e =&gt; e.PriceDetermination.Contains(input.PriceDetermination))</v>
      </c>
    </row>
    <row r="44" spans="1:23" customFormat="1" ht="18.75" customHeight="1" x14ac:dyDescent="0.25">
      <c r="A44" t="s">
        <v>387</v>
      </c>
      <c r="B44" t="s">
        <v>414</v>
      </c>
      <c r="C44" t="s">
        <v>1</v>
      </c>
      <c r="D44" t="str">
        <f t="shared" si="39"/>
        <v>PriceControl</v>
      </c>
      <c r="E44" t="str">
        <f t="shared" si="40"/>
        <v>varchar</v>
      </c>
      <c r="F44" s="6"/>
      <c r="G44" t="str">
        <f t="shared" si="41"/>
        <v>1</v>
      </c>
      <c r="H44" t="str">
        <f>+VLOOKUP(E44,'Data Type Mapping'!A:B,2,)</f>
        <v>string</v>
      </c>
      <c r="I44" t="str">
        <f t="shared" si="42"/>
        <v xml:space="preserve">		public const int MaxPriceControlLength = 1;
</v>
      </c>
      <c r="J44" t="str">
        <f t="shared" si="43"/>
        <v xml:space="preserve">		[StringLength(MaxPriceControlLength)]
		public virtual string PriceControl { get; set; }
</v>
      </c>
      <c r="K44" s="6"/>
      <c r="L44" t="str">
        <f t="shared" si="44"/>
        <v/>
      </c>
      <c r="M44" t="str">
        <f t="shared" si="45"/>
        <v xml:space="preserve">		public virtual string PriceControl { get; set; }
</v>
      </c>
      <c r="N44" t="str">
        <f t="shared" si="46"/>
        <v xml:space="preserve">		[StringLength(IF_FQF3MM06Consts.MaxPriceControlLength)]
		public virtual string PriceControl { get; set; }
</v>
      </c>
      <c r="O44" t="str">
        <f t="shared" si="47"/>
        <v xml:space="preserve">		public virtual string PriceControl { get; set; }
</v>
      </c>
      <c r="P44" t="str">
        <f t="shared" si="48"/>
        <v xml:space="preserve">							PriceControl = o.PriceControl,</v>
      </c>
      <c r="T44" s="63" t="str">
        <f t="shared" si="49"/>
        <v xml:space="preserve">								("PriceControl"),</v>
      </c>
      <c r="V44" s="64" t="str">
        <f t="shared" si="50"/>
        <v xml:space="preserve">								_ =&gt; _.PriceControl,</v>
      </c>
      <c r="W44" s="63" t="str">
        <f t="shared" si="51"/>
        <v xml:space="preserve">				.WhereIf(!string.IsNullOrWhiteSpace(input.PriceControl), e =&gt; e.PriceControl.Contains(input.PriceControl))</v>
      </c>
    </row>
    <row r="45" spans="1:23" customFormat="1" ht="18.75" customHeight="1" x14ac:dyDescent="0.25">
      <c r="A45" t="s">
        <v>388</v>
      </c>
      <c r="B45" t="s">
        <v>423</v>
      </c>
      <c r="C45" t="s">
        <v>1</v>
      </c>
      <c r="D45" t="str">
        <f t="shared" si="39"/>
        <v>StandardPrice</v>
      </c>
      <c r="E45" t="str">
        <f t="shared" si="40"/>
        <v>varchar</v>
      </c>
      <c r="F45" s="6"/>
      <c r="G45" t="str">
        <f t="shared" si="41"/>
        <v>12</v>
      </c>
      <c r="H45" t="str">
        <f>+VLOOKUP(E45,'Data Type Mapping'!A:B,2,)</f>
        <v>string</v>
      </c>
      <c r="I45" t="str">
        <f t="shared" si="42"/>
        <v xml:space="preserve">		public const int MaxStandardPriceLength = 12;
</v>
      </c>
      <c r="J45" t="str">
        <f t="shared" si="43"/>
        <v xml:space="preserve">		[StringLength(MaxStandardPriceLength)]
		public virtual string StandardPrice { get; set; }
</v>
      </c>
      <c r="K45" s="6"/>
      <c r="L45" t="str">
        <f t="shared" si="44"/>
        <v/>
      </c>
      <c r="M45" t="str">
        <f t="shared" si="45"/>
        <v xml:space="preserve">		public virtual string StandardPrice { get; set; }
</v>
      </c>
      <c r="N45" t="str">
        <f t="shared" si="46"/>
        <v xml:space="preserve">		[StringLength(IF_FQF3MM06Consts.MaxStandardPriceLength)]
		public virtual string StandardPrice { get; set; }
</v>
      </c>
      <c r="O45" t="str">
        <f t="shared" si="47"/>
        <v xml:space="preserve">		public virtual string StandardPrice { get; set; }
</v>
      </c>
      <c r="P45" t="str">
        <f t="shared" si="48"/>
        <v xml:space="preserve">							StandardPrice = o.StandardPrice,</v>
      </c>
      <c r="T45" s="63" t="str">
        <f t="shared" si="49"/>
        <v xml:space="preserve">								("StandardPrice"),</v>
      </c>
      <c r="V45" s="64" t="str">
        <f t="shared" si="50"/>
        <v xml:space="preserve">								_ =&gt; _.StandardPrice,</v>
      </c>
      <c r="W45" s="63" t="str">
        <f t="shared" si="51"/>
        <v xml:space="preserve">				.WhereIf(!string.IsNullOrWhiteSpace(input.StandardPrice), e =&gt; e.StandardPrice.Contains(input.StandardPrice))</v>
      </c>
    </row>
    <row r="46" spans="1:23" customFormat="1" ht="18.75" customHeight="1" x14ac:dyDescent="0.25">
      <c r="A46" t="s">
        <v>389</v>
      </c>
      <c r="B46" t="s">
        <v>423</v>
      </c>
      <c r="C46" t="s">
        <v>1</v>
      </c>
      <c r="D46" t="str">
        <f t="shared" si="39"/>
        <v>MovingPrice</v>
      </c>
      <c r="E46" t="str">
        <f t="shared" si="40"/>
        <v>varchar</v>
      </c>
      <c r="F46" s="6"/>
      <c r="G46" t="str">
        <f t="shared" si="41"/>
        <v>12</v>
      </c>
      <c r="H46" t="str">
        <f>+VLOOKUP(E46,'Data Type Mapping'!A:B,2,)</f>
        <v>string</v>
      </c>
      <c r="I46" t="str">
        <f t="shared" si="42"/>
        <v xml:space="preserve">		public const int MaxMovingPriceLength = 12;
</v>
      </c>
      <c r="J46" t="str">
        <f t="shared" si="43"/>
        <v xml:space="preserve">		[StringLength(MaxMovingPriceLength)]
		public virtual string MovingPrice { get; set; }
</v>
      </c>
      <c r="K46" s="6"/>
      <c r="L46" t="str">
        <f t="shared" si="44"/>
        <v/>
      </c>
      <c r="M46" t="str">
        <f t="shared" si="45"/>
        <v xml:space="preserve">		public virtual string MovingPrice { get; set; }
</v>
      </c>
      <c r="N46" t="str">
        <f t="shared" si="46"/>
        <v xml:space="preserve">		[StringLength(IF_FQF3MM06Consts.MaxMovingPriceLength)]
		public virtual string MovingPrice { get; set; }
</v>
      </c>
      <c r="O46" t="str">
        <f t="shared" si="47"/>
        <v xml:space="preserve">		public virtual string MovingPrice { get; set; }
</v>
      </c>
      <c r="P46" t="str">
        <f t="shared" si="48"/>
        <v xml:space="preserve">							MovingPrice = o.MovingPrice,</v>
      </c>
      <c r="T46" s="63" t="str">
        <f t="shared" si="49"/>
        <v xml:space="preserve">								("MovingPrice"),</v>
      </c>
      <c r="V46" s="64" t="str">
        <f t="shared" si="50"/>
        <v xml:space="preserve">								_ =&gt; _.MovingPrice,</v>
      </c>
      <c r="W46" s="63" t="str">
        <f t="shared" si="51"/>
        <v xml:space="preserve">				.WhereIf(!string.IsNullOrWhiteSpace(input.MovingPrice), e =&gt; e.MovingPrice.Contains(input.MovingPrice))</v>
      </c>
    </row>
    <row r="47" spans="1:23" customFormat="1" ht="18.75" customHeight="1" x14ac:dyDescent="0.25">
      <c r="A47" t="s">
        <v>390</v>
      </c>
      <c r="B47" t="s">
        <v>414</v>
      </c>
      <c r="C47" t="s">
        <v>1</v>
      </c>
      <c r="D47" t="str">
        <f t="shared" si="39"/>
        <v>WithQtyStructure</v>
      </c>
      <c r="E47" t="str">
        <f t="shared" si="40"/>
        <v>varchar</v>
      </c>
      <c r="F47" s="6"/>
      <c r="G47" t="str">
        <f t="shared" si="41"/>
        <v>1</v>
      </c>
      <c r="H47" t="str">
        <f>+VLOOKUP(E47,'Data Type Mapping'!A:B,2,)</f>
        <v>string</v>
      </c>
      <c r="I47" t="str">
        <f t="shared" si="42"/>
        <v xml:space="preserve">		public const int MaxWithQtyStructureLength = 1;
</v>
      </c>
      <c r="J47" t="str">
        <f t="shared" si="43"/>
        <v xml:space="preserve">		[StringLength(MaxWithQtyStructureLength)]
		public virtual string WithQtyStructure { get; set; }
</v>
      </c>
      <c r="K47" s="6"/>
      <c r="L47" t="str">
        <f t="shared" si="44"/>
        <v/>
      </c>
      <c r="M47" t="str">
        <f t="shared" si="45"/>
        <v xml:space="preserve">		public virtual string WithQtyStructure { get; set; }
</v>
      </c>
      <c r="N47" t="str">
        <f t="shared" si="46"/>
        <v xml:space="preserve">		[StringLength(IF_FQF3MM06Consts.MaxWithQtyStructureLength)]
		public virtual string WithQtyStructure { get; set; }
</v>
      </c>
      <c r="O47" t="str">
        <f t="shared" si="47"/>
        <v xml:space="preserve">		public virtual string WithQtyStructure { get; set; }
</v>
      </c>
      <c r="P47" t="str">
        <f t="shared" si="48"/>
        <v xml:space="preserve">							WithQtyStructure = o.WithQtyStructure,</v>
      </c>
      <c r="T47" s="63" t="str">
        <f t="shared" si="49"/>
        <v xml:space="preserve">								("WithQtyStructure"),</v>
      </c>
      <c r="V47" s="64" t="str">
        <f t="shared" si="50"/>
        <v xml:space="preserve">								_ =&gt; _.WithQtyStructure,</v>
      </c>
      <c r="W47" s="63" t="str">
        <f t="shared" si="51"/>
        <v xml:space="preserve">				.WhereIf(!string.IsNullOrWhiteSpace(input.WithQtyStructure), e =&gt; e.WithQtyStructure.Contains(input.WithQtyStructure))</v>
      </c>
    </row>
    <row r="48" spans="1:23" customFormat="1" ht="18.75" customHeight="1" x14ac:dyDescent="0.25">
      <c r="A48" t="s">
        <v>391</v>
      </c>
      <c r="B48" t="s">
        <v>414</v>
      </c>
      <c r="C48" t="s">
        <v>1</v>
      </c>
      <c r="D48" t="str">
        <f t="shared" si="39"/>
        <v>MaterialOrigin</v>
      </c>
      <c r="E48" t="str">
        <f t="shared" si="40"/>
        <v>varchar</v>
      </c>
      <c r="F48" s="6"/>
      <c r="G48" t="str">
        <f t="shared" si="41"/>
        <v>1</v>
      </c>
      <c r="H48" t="str">
        <f>+VLOOKUP(E48,'Data Type Mapping'!A:B,2,)</f>
        <v>string</v>
      </c>
      <c r="I48" t="str">
        <f t="shared" si="42"/>
        <v xml:space="preserve">		public const int MaxMaterialOriginLength = 1;
</v>
      </c>
      <c r="J48" t="str">
        <f t="shared" si="43"/>
        <v xml:space="preserve">		[StringLength(MaxMaterialOriginLength)]
		public virtual string MaterialOrigin { get; set; }
</v>
      </c>
      <c r="K48" s="6"/>
      <c r="L48" t="str">
        <f t="shared" si="44"/>
        <v/>
      </c>
      <c r="M48" t="str">
        <f t="shared" si="45"/>
        <v xml:space="preserve">		public virtual string MaterialOrigin { get; set; }
</v>
      </c>
      <c r="N48" t="str">
        <f t="shared" si="46"/>
        <v xml:space="preserve">		[StringLength(IF_FQF3MM06Consts.MaxMaterialOriginLength)]
		public virtual string MaterialOrigin { get; set; }
</v>
      </c>
      <c r="O48" t="str">
        <f t="shared" si="47"/>
        <v xml:space="preserve">		public virtual string MaterialOrigin { get; set; }
</v>
      </c>
      <c r="P48" t="str">
        <f t="shared" si="48"/>
        <v xml:space="preserve">							MaterialOrigin = o.MaterialOrigin,</v>
      </c>
      <c r="T48" s="63" t="str">
        <f t="shared" si="49"/>
        <v xml:space="preserve">								("MaterialOrigin"),</v>
      </c>
      <c r="V48" s="64" t="str">
        <f t="shared" si="50"/>
        <v xml:space="preserve">								_ =&gt; _.MaterialOrigin,</v>
      </c>
      <c r="W48" s="63" t="str">
        <f t="shared" si="51"/>
        <v xml:space="preserve">				.WhereIf(!string.IsNullOrWhiteSpace(input.MaterialOrigin), e =&gt; e.MaterialOrigin.Contains(input.MaterialOrigin))</v>
      </c>
    </row>
    <row r="49" spans="1:23" customFormat="1" ht="18.75" customHeight="1" x14ac:dyDescent="0.25">
      <c r="A49" t="s">
        <v>392</v>
      </c>
      <c r="B49" t="s">
        <v>412</v>
      </c>
      <c r="C49" t="s">
        <v>1</v>
      </c>
      <c r="D49" t="str">
        <f t="shared" ref="D49:D51" si="65">SUBSTITUTE(PROPER(A49),"_","")</f>
        <v>OriginGroup</v>
      </c>
      <c r="E49" t="str">
        <f t="shared" ref="E49:E51" si="66">IFERROR(LEFT(B49, FIND("(",B49)-1),B49)</f>
        <v>varchar</v>
      </c>
      <c r="F49" s="6"/>
      <c r="G49" t="str">
        <f t="shared" ref="G49:G51" si="67">IFERROR(MID(B49,FIND("(",B49) +1, FIND(")",B49) - FIND("(",B49) - 1),"")</f>
        <v>4</v>
      </c>
      <c r="H49" t="str">
        <f>+VLOOKUP(E49,'Data Type Mapping'!A:B,2,)</f>
        <v>string</v>
      </c>
      <c r="I49" t="str">
        <f t="shared" ref="I49:I51" si="68">IF(H49="string",REPT(CHAR(9),2)&amp;"public const int Max"&amp;D49&amp;"Length = "&amp;G49&amp;";"&amp;$E$3,"" )</f>
        <v xml:space="preserve">		public const int MaxOriginGroupLength = 4;
</v>
      </c>
      <c r="J49" t="str">
        <f t="shared" ref="J49:J51" si="69">IF(F49="","",REPT(CHAR(9),2)&amp;"[Column(TypeName="""&amp;F49&amp;""")]"&amp;$E$3)&amp;IF(C49="Checked","",$I$3)&amp;IF(H49="string",REPT(CHAR(9),2)&amp;"[StringLength(Max"&amp;D49&amp;"Length"&amp;")]"&amp;$E$3,"")&amp;REPT(CHAR(9),2)&amp;"public virtual "&amp;H49&amp;IF(C49="?","? "," ")&amp;D49&amp;" { get; set; }" &amp; "
"</f>
        <v xml:space="preserve">		[StringLength(MaxOriginGroupLength)]
		public virtual string OriginGroup { get; set; }
</v>
      </c>
      <c r="K49" s="6"/>
      <c r="L49" t="str">
        <f t="shared" ref="L49:L51" si="70">IF(K49="","",REPT(CHAR(9),1)&amp;"[Index(nameof("&amp;IF(D49="","",""&amp;D49)&amp;")"&amp;", Name="&amp;"""IX_"&amp;$B$7&amp;"_"&amp;D49&amp;""")]")</f>
        <v/>
      </c>
      <c r="M49" t="str">
        <f t="shared" ref="M49:M51" si="71">REPT(CHAR(9),2)&amp;"public virtual "&amp;IF(OR(H49="DateTime",H49="TimeSpan"),H49&amp;"?",H49)&amp;IF(C49="?","? "," ")&amp;D49&amp;" { get; set; }" &amp; "
"</f>
        <v xml:space="preserve">		public virtual string OriginGroup { get; set; }
</v>
      </c>
      <c r="N49" t="str">
        <f t="shared" ref="N49:N51" si="72">IF(C49="Checked","",$I$3)&amp;IF(H49="string",REPT(CHAR(9),2)&amp;"[StringLength("&amp;$B$3&amp;"Consts.Max"&amp;D49&amp;"Length"&amp;")]"&amp;$E$3,"")&amp;REPT(CHAR(9),2)&amp;"public virtual "&amp;IF(OR(H49="DateTime",H49="TimeSpan"),H49&amp;"?",H49)&amp;IF(C49="?","? "," ")&amp;D49&amp;" { get; set; }" &amp; "
"</f>
        <v xml:space="preserve">		[StringLength(IF_FQF3MM06Consts.MaxOriginGroupLength)]
		public virtual string OriginGroup { get; set; }
</v>
      </c>
      <c r="O49" t="str">
        <f t="shared" ref="O49:O51" si="73">IF(OR(H49="string",H49="DateTime",H49="int"),REPT(CHAR(9),2)&amp;"public virtual "&amp;IF(OR(H49="DateTime",H49="TimeSpan"),H49&amp;"?",H49)&amp;IF(C49="?","? "," ")&amp;D49&amp;" { get; set; }"&amp;$E$3,"")</f>
        <v xml:space="preserve">		public virtual string OriginGroup { get; set; }
</v>
      </c>
      <c r="P49" t="str">
        <f t="shared" ref="P49:P51" si="74">REPT(CHAR(9),7)&amp;D49&amp;" = o." &amp;D49 &amp;","</f>
        <v xml:space="preserve">							OriginGroup = o.OriginGroup,</v>
      </c>
      <c r="T49" s="63" t="str">
        <f t="shared" ref="T49:T51" si="75">REPT(CHAR(9),8)&amp;"("""&amp;D49&amp;"""),"</f>
        <v xml:space="preserve">								("OriginGroup"),</v>
      </c>
      <c r="V49" s="64" t="str">
        <f t="shared" ref="V49:V51" si="76">REPT(CHAR(9),8)&amp;"_ =&gt; _."&amp;D49&amp;","</f>
        <v xml:space="preserve">								_ =&gt; _.OriginGroup,</v>
      </c>
      <c r="W49" s="63" t="str">
        <f t="shared" ref="W49:W51" si="77">IF(H49="string",REPT(CHAR(9),4)&amp;".WhereIf(!string.IsNullOrWhiteSpace(input."&amp;D49&amp;"), e =&gt; e."&amp;D49&amp;".Contains(input."&amp;D49&amp;"))",IF(H49="DateTime",REPT(CHAR(9),4)&amp;".WhereIf(input."&amp;D49&amp;".HasValue, t =&gt; t."&amp;D49&amp;" == input."&amp;D49&amp;".Value)",""))</f>
        <v xml:space="preserve">				.WhereIf(!string.IsNullOrWhiteSpace(input.OriginGroup), e =&gt; e.OriginGroup.Contains(input.OriginGroup))</v>
      </c>
    </row>
    <row r="50" spans="1:23" customFormat="1" ht="18.75" customHeight="1" x14ac:dyDescent="0.25">
      <c r="A50" t="s">
        <v>393</v>
      </c>
      <c r="B50" t="s">
        <v>424</v>
      </c>
      <c r="C50" t="s">
        <v>1</v>
      </c>
      <c r="D50" t="str">
        <f t="shared" si="65"/>
        <v>BasicDataText</v>
      </c>
      <c r="E50" t="str">
        <f t="shared" si="66"/>
        <v>varchar</v>
      </c>
      <c r="F50" s="6"/>
      <c r="G50" t="str">
        <f t="shared" si="67"/>
        <v>255</v>
      </c>
      <c r="H50" t="str">
        <f>+VLOOKUP(E50,'Data Type Mapping'!A:B,2,)</f>
        <v>string</v>
      </c>
      <c r="I50" t="str">
        <f t="shared" si="68"/>
        <v xml:space="preserve">		public const int MaxBasicDataTextLength = 255;
</v>
      </c>
      <c r="J50" t="str">
        <f t="shared" si="69"/>
        <v xml:space="preserve">		[StringLength(MaxBasicDataTextLength)]
		public virtual string BasicDataText { get; set; }
</v>
      </c>
      <c r="K50" s="6"/>
      <c r="L50" t="str">
        <f t="shared" si="70"/>
        <v/>
      </c>
      <c r="M50" t="str">
        <f t="shared" si="71"/>
        <v xml:space="preserve">		public virtual string BasicDataText { get; set; }
</v>
      </c>
      <c r="N50" t="str">
        <f t="shared" si="72"/>
        <v xml:space="preserve">		[StringLength(IF_FQF3MM06Consts.MaxBasicDataTextLength)]
		public virtual string BasicDataText { get; set; }
</v>
      </c>
      <c r="O50" t="str">
        <f t="shared" si="73"/>
        <v xml:space="preserve">		public virtual string BasicDataText { get; set; }
</v>
      </c>
      <c r="P50" t="str">
        <f t="shared" si="74"/>
        <v xml:space="preserve">							BasicDataText = o.BasicDataText,</v>
      </c>
      <c r="T50" s="63" t="str">
        <f t="shared" si="75"/>
        <v xml:space="preserve">								("BasicDataText"),</v>
      </c>
      <c r="V50" s="64" t="str">
        <f t="shared" si="76"/>
        <v xml:space="preserve">								_ =&gt; _.BasicDataText,</v>
      </c>
      <c r="W50" s="63" t="str">
        <f t="shared" si="77"/>
        <v xml:space="preserve">				.WhereIf(!string.IsNullOrWhiteSpace(input.BasicDataText), e =&gt; e.BasicDataText.Contains(input.BasicDataText))</v>
      </c>
    </row>
    <row r="51" spans="1:23" customFormat="1" ht="18.75" customHeight="1" x14ac:dyDescent="0.25">
      <c r="A51" t="s">
        <v>406</v>
      </c>
      <c r="B51" t="s">
        <v>418</v>
      </c>
      <c r="C51" t="s">
        <v>1</v>
      </c>
      <c r="D51" t="str">
        <f t="shared" si="65"/>
        <v>Katashiki</v>
      </c>
      <c r="E51" t="str">
        <f t="shared" si="66"/>
        <v>varchar</v>
      </c>
      <c r="F51" s="6"/>
      <c r="G51" t="str">
        <f t="shared" si="67"/>
        <v>20</v>
      </c>
      <c r="H51" t="str">
        <f>+VLOOKUP(E51,'Data Type Mapping'!A:B,2,)</f>
        <v>string</v>
      </c>
      <c r="I51" t="str">
        <f t="shared" si="68"/>
        <v xml:space="preserve">		public const int MaxKatashikiLength = 20;
</v>
      </c>
      <c r="J51" t="str">
        <f t="shared" si="69"/>
        <v xml:space="preserve">		[StringLength(MaxKatashikiLength)]
		public virtual string Katashiki { get; set; }
</v>
      </c>
      <c r="K51" s="6"/>
      <c r="L51" t="str">
        <f t="shared" si="70"/>
        <v/>
      </c>
      <c r="M51" t="str">
        <f t="shared" si="71"/>
        <v xml:space="preserve">		public virtual string Katashiki { get; set; }
</v>
      </c>
      <c r="N51" t="str">
        <f t="shared" si="72"/>
        <v xml:space="preserve">		[StringLength(IF_FQF3MM06Consts.MaxKatashikiLength)]
		public virtual string Katashiki { get; set; }
</v>
      </c>
      <c r="O51" t="str">
        <f t="shared" si="73"/>
        <v xml:space="preserve">		public virtual string Katashiki { get; set; }
</v>
      </c>
      <c r="P51" t="str">
        <f t="shared" si="74"/>
        <v xml:space="preserve">							Katashiki = o.Katashiki,</v>
      </c>
      <c r="T51" s="63" t="str">
        <f t="shared" si="75"/>
        <v xml:space="preserve">								("Katashiki"),</v>
      </c>
      <c r="V51" s="64" t="str">
        <f t="shared" si="76"/>
        <v xml:space="preserve">								_ =&gt; _.Katashiki,</v>
      </c>
      <c r="W51" s="63" t="str">
        <f t="shared" si="77"/>
        <v xml:space="preserve">				.WhereIf(!string.IsNullOrWhiteSpace(input.Katashiki), e =&gt; e.Katashiki.Contains(input.Katashiki))</v>
      </c>
    </row>
    <row r="52" spans="1:23" customFormat="1" ht="18.75" customHeight="1" x14ac:dyDescent="0.25">
      <c r="A52" t="s">
        <v>394</v>
      </c>
      <c r="B52" t="s">
        <v>418</v>
      </c>
      <c r="C52" t="s">
        <v>1</v>
      </c>
      <c r="D52" t="str">
        <f t="shared" si="39"/>
        <v>VehicleControlKatashiki</v>
      </c>
      <c r="E52" t="str">
        <f t="shared" si="40"/>
        <v>varchar</v>
      </c>
      <c r="F52" s="6"/>
      <c r="G52" t="str">
        <f t="shared" si="41"/>
        <v>20</v>
      </c>
      <c r="H52" t="str">
        <f>+VLOOKUP(E52,'Data Type Mapping'!A:B,2,)</f>
        <v>string</v>
      </c>
      <c r="I52" t="str">
        <f t="shared" si="42"/>
        <v xml:space="preserve">		public const int MaxVehicleControlKatashikiLength = 20;
</v>
      </c>
      <c r="J52" t="str">
        <f t="shared" si="43"/>
        <v xml:space="preserve">		[StringLength(MaxVehicleControlKatashikiLength)]
		public virtual string VehicleControlKatashiki { get; set; }
</v>
      </c>
      <c r="K52" s="6"/>
      <c r="L52" t="str">
        <f t="shared" si="44"/>
        <v/>
      </c>
      <c r="M52" t="str">
        <f t="shared" si="45"/>
        <v xml:space="preserve">		public virtual string VehicleControlKatashiki { get; set; }
</v>
      </c>
      <c r="N52" t="str">
        <f t="shared" si="46"/>
        <v xml:space="preserve">		[StringLength(IF_FQF3MM06Consts.MaxVehicleControlKatashikiLength)]
		public virtual string VehicleControlKatashiki { get; set; }
</v>
      </c>
      <c r="O52" t="str">
        <f t="shared" si="47"/>
        <v xml:space="preserve">		public virtual string VehicleControlKatashiki { get; set; }
</v>
      </c>
      <c r="P52" t="str">
        <f t="shared" si="48"/>
        <v xml:space="preserve">							VehicleControlKatashiki = o.VehicleControlKatashiki,</v>
      </c>
      <c r="T52" s="63" t="str">
        <f t="shared" si="49"/>
        <v xml:space="preserve">								("VehicleControlKatashiki"),</v>
      </c>
      <c r="V52" s="64" t="str">
        <f t="shared" si="50"/>
        <v xml:space="preserve">								_ =&gt; _.VehicleControlKatashiki,</v>
      </c>
      <c r="W52" s="63" t="str">
        <f t="shared" si="51"/>
        <v xml:space="preserve">				.WhereIf(!string.IsNullOrWhiteSpace(input.VehicleControlKatashiki), e =&gt; e.VehicleControlKatashiki.Contains(input.VehicleControlKatashiki))</v>
      </c>
    </row>
    <row r="53" spans="1:23" customFormat="1" ht="18.75" customHeight="1" x14ac:dyDescent="0.25">
      <c r="A53" t="s">
        <v>407</v>
      </c>
      <c r="B53" t="s">
        <v>417</v>
      </c>
      <c r="C53" t="s">
        <v>1</v>
      </c>
      <c r="D53" t="str">
        <f t="shared" si="39"/>
        <v>ToyotaOrNonToyota</v>
      </c>
      <c r="E53" t="str">
        <f t="shared" si="40"/>
        <v>varchar</v>
      </c>
      <c r="F53" s="6"/>
      <c r="G53" t="str">
        <f t="shared" si="41"/>
        <v>2</v>
      </c>
      <c r="H53" t="str">
        <f>+VLOOKUP(E53,'Data Type Mapping'!A:B,2,)</f>
        <v>string</v>
      </c>
      <c r="I53" t="str">
        <f t="shared" si="42"/>
        <v xml:space="preserve">		public const int MaxToyotaOrNonToyotaLength = 2;
</v>
      </c>
      <c r="J53" t="str">
        <f t="shared" si="43"/>
        <v xml:space="preserve">		[StringLength(MaxToyotaOrNonToyotaLength)]
		public virtual string ToyotaOrNonToyota { get; set; }
</v>
      </c>
      <c r="K53" s="6"/>
      <c r="L53" t="str">
        <f t="shared" si="44"/>
        <v/>
      </c>
      <c r="M53" t="str">
        <f t="shared" si="45"/>
        <v xml:space="preserve">		public virtual string ToyotaOrNonToyota { get; set; }
</v>
      </c>
      <c r="N53" t="str">
        <f t="shared" si="46"/>
        <v xml:space="preserve">		[StringLength(IF_FQF3MM06Consts.MaxToyotaOrNonToyotaLength)]
		public virtual string ToyotaOrNonToyota { get; set; }
</v>
      </c>
      <c r="O53" t="str">
        <f t="shared" si="47"/>
        <v xml:space="preserve">		public virtual string ToyotaOrNonToyota { get; set; }
</v>
      </c>
      <c r="P53" t="str">
        <f t="shared" si="48"/>
        <v xml:space="preserve">							ToyotaOrNonToyota = o.ToyotaOrNonToyota,</v>
      </c>
      <c r="T53" s="63" t="str">
        <f t="shared" si="49"/>
        <v xml:space="preserve">								("ToyotaOrNonToyota"),</v>
      </c>
      <c r="V53" s="64" t="str">
        <f t="shared" si="50"/>
        <v xml:space="preserve">								_ =&gt; _.ToyotaOrNonToyota,</v>
      </c>
      <c r="W53" s="63" t="str">
        <f t="shared" si="51"/>
        <v xml:space="preserve">				.WhereIf(!string.IsNullOrWhiteSpace(input.ToyotaOrNonToyota), e =&gt; e.ToyotaOrNonToyota.Contains(input.ToyotaOrNonToyota))</v>
      </c>
    </row>
    <row r="54" spans="1:23" customFormat="1" ht="18.75" customHeight="1" x14ac:dyDescent="0.25">
      <c r="A54" t="s">
        <v>395</v>
      </c>
      <c r="B54" t="s">
        <v>417</v>
      </c>
      <c r="C54" t="s">
        <v>1</v>
      </c>
      <c r="D54" t="str">
        <f t="shared" si="39"/>
        <v>CategoryOfGear</v>
      </c>
      <c r="E54" t="str">
        <f t="shared" si="40"/>
        <v>varchar</v>
      </c>
      <c r="F54" s="6"/>
      <c r="G54" t="str">
        <f t="shared" si="41"/>
        <v>2</v>
      </c>
      <c r="H54" t="str">
        <f>+VLOOKUP(E54,'Data Type Mapping'!A:B,2,)</f>
        <v>string</v>
      </c>
      <c r="I54" t="str">
        <f t="shared" si="42"/>
        <v xml:space="preserve">		public const int MaxCategoryOfGearLength = 2;
</v>
      </c>
      <c r="J54" t="str">
        <f t="shared" si="43"/>
        <v xml:space="preserve">		[StringLength(MaxCategoryOfGearLength)]
		public virtual string CategoryOfGear { get; set; }
</v>
      </c>
      <c r="K54" s="6"/>
      <c r="L54" t="str">
        <f t="shared" si="44"/>
        <v/>
      </c>
      <c r="M54" t="str">
        <f t="shared" si="45"/>
        <v xml:space="preserve">		public virtual string CategoryOfGear { get; set; }
</v>
      </c>
      <c r="N54" t="str">
        <f t="shared" si="46"/>
        <v xml:space="preserve">		[StringLength(IF_FQF3MM06Consts.MaxCategoryOfGearLength)]
		public virtual string CategoryOfGear { get; set; }
</v>
      </c>
      <c r="O54" t="str">
        <f t="shared" si="47"/>
        <v xml:space="preserve">		public virtual string CategoryOfGear { get; set; }
</v>
      </c>
      <c r="P54" t="str">
        <f t="shared" si="48"/>
        <v xml:space="preserve">							CategoryOfGear = o.CategoryOfGear,</v>
      </c>
      <c r="T54" s="63" t="str">
        <f t="shared" si="49"/>
        <v xml:space="preserve">								("CategoryOfGear"),</v>
      </c>
      <c r="V54" s="64" t="str">
        <f t="shared" si="50"/>
        <v xml:space="preserve">								_ =&gt; _.CategoryOfGear,</v>
      </c>
      <c r="W54" s="63" t="str">
        <f t="shared" si="51"/>
        <v xml:space="preserve">				.WhereIf(!string.IsNullOrWhiteSpace(input.CategoryOfGear), e =&gt; e.CategoryOfGear.Contains(input.CategoryOfGear))</v>
      </c>
    </row>
    <row r="55" spans="1:23" customFormat="1" ht="18.75" customHeight="1" x14ac:dyDescent="0.25">
      <c r="A55" t="s">
        <v>396</v>
      </c>
      <c r="B55" t="s">
        <v>414</v>
      </c>
      <c r="C55" t="s">
        <v>1</v>
      </c>
      <c r="D55" t="str">
        <f t="shared" ref="D55" si="78">SUBSTITUTE(PROPER(A55),"_","")</f>
        <v>GoshiCar</v>
      </c>
      <c r="E55" t="str">
        <f t="shared" ref="E55" si="79">IFERROR(LEFT(B55, FIND("(",B55)-1),B55)</f>
        <v>varchar</v>
      </c>
      <c r="F55" s="6"/>
      <c r="G55" t="str">
        <f t="shared" ref="G55" si="80">IFERROR(MID(B55,FIND("(",B55) +1, FIND(")",B55) - FIND("(",B55) - 1),"")</f>
        <v>1</v>
      </c>
      <c r="H55" t="str">
        <f>+VLOOKUP(E55,'Data Type Mapping'!A:B,2,)</f>
        <v>string</v>
      </c>
      <c r="I55" t="str">
        <f t="shared" ref="I55" si="81">IF(H55="string",REPT(CHAR(9),2)&amp;"public const int Max"&amp;D55&amp;"Length = "&amp;G55&amp;";"&amp;$E$3,"" )</f>
        <v xml:space="preserve">		public const int MaxGoshiCarLength = 1;
</v>
      </c>
      <c r="J55" t="str">
        <f t="shared" ref="J55" si="82">IF(F55="","",REPT(CHAR(9),2)&amp;"[Column(TypeName="""&amp;F55&amp;""")]"&amp;$E$3)&amp;IF(C55="Checked","",$I$3)&amp;IF(H55="string",REPT(CHAR(9),2)&amp;"[StringLength(Max"&amp;D55&amp;"Length"&amp;")]"&amp;$E$3,"")&amp;REPT(CHAR(9),2)&amp;"public virtual "&amp;H55&amp;IF(C55="?","? "," ")&amp;D55&amp;" { get; set; }" &amp; "
"</f>
        <v xml:space="preserve">		[StringLength(MaxGoshiCarLength)]
		public virtual string GoshiCar { get; set; }
</v>
      </c>
      <c r="K55" s="6"/>
      <c r="L55" t="str">
        <f t="shared" ref="L55" si="83">IF(K55="","",REPT(CHAR(9),1)&amp;"[Index(nameof("&amp;IF(D55="","",""&amp;D55)&amp;")"&amp;", Name="&amp;"""IX_"&amp;$B$7&amp;"_"&amp;D55&amp;""")]")</f>
        <v/>
      </c>
      <c r="M55" t="str">
        <f t="shared" ref="M55" si="84">REPT(CHAR(9),2)&amp;"public virtual "&amp;IF(OR(H55="DateTime",H55="TimeSpan"),H55&amp;"?",H55)&amp;IF(C55="?","? "," ")&amp;D55&amp;" { get; set; }" &amp; "
"</f>
        <v xml:space="preserve">		public virtual string GoshiCar { get; set; }
</v>
      </c>
      <c r="N55" t="str">
        <f t="shared" ref="N55" si="85">IF(C55="Checked","",$I$3)&amp;IF(H55="string",REPT(CHAR(9),2)&amp;"[StringLength("&amp;$B$3&amp;"Consts.Max"&amp;D55&amp;"Length"&amp;")]"&amp;$E$3,"")&amp;REPT(CHAR(9),2)&amp;"public virtual "&amp;IF(OR(H55="DateTime",H55="TimeSpan"),H55&amp;"?",H55)&amp;IF(C55="?","? "," ")&amp;D55&amp;" { get; set; }" &amp; "
"</f>
        <v xml:space="preserve">		[StringLength(IF_FQF3MM06Consts.MaxGoshiCarLength)]
		public virtual string GoshiCar { get; set; }
</v>
      </c>
      <c r="O55" t="str">
        <f t="shared" ref="O55" si="86">IF(OR(H55="string",H55="DateTime",H55="int"),REPT(CHAR(9),2)&amp;"public virtual "&amp;IF(OR(H55="DateTime",H55="TimeSpan"),H55&amp;"?",H55)&amp;IF(C55="?","? "," ")&amp;D55&amp;" { get; set; }"&amp;$E$3,"")</f>
        <v xml:space="preserve">		public virtual string GoshiCar { get; set; }
</v>
      </c>
      <c r="P55" t="str">
        <f t="shared" ref="P55" si="87">REPT(CHAR(9),7)&amp;D55&amp;" = o." &amp;D55 &amp;","</f>
        <v xml:space="preserve">							GoshiCar = o.GoshiCar,</v>
      </c>
      <c r="T55" s="63" t="str">
        <f t="shared" ref="T55" si="88">REPT(CHAR(9),8)&amp;"("""&amp;D55&amp;"""),"</f>
        <v xml:space="preserve">								("GoshiCar"),</v>
      </c>
      <c r="V55" s="64" t="str">
        <f t="shared" ref="V55" si="89">REPT(CHAR(9),8)&amp;"_ =&gt; _."&amp;D55&amp;","</f>
        <v xml:space="preserve">								_ =&gt; _.GoshiCar,</v>
      </c>
      <c r="W55" s="63" t="str">
        <f t="shared" ref="W55" si="90">IF(H55="string",REPT(CHAR(9),4)&amp;".WhereIf(!string.IsNullOrWhiteSpace(input."&amp;D55&amp;"), e =&gt; e."&amp;D55&amp;".Contains(input."&amp;D55&amp;"))",IF(H55="DateTime",REPT(CHAR(9),4)&amp;".WhereIf(input."&amp;D55&amp;".HasValue, t =&gt; t."&amp;D55&amp;" == input."&amp;D55&amp;".Value)",""))</f>
        <v xml:space="preserve">				.WhereIf(!string.IsNullOrWhiteSpace(input.GoshiCar), e =&gt; e.GoshiCar.Contains(input.GoshiCar))</v>
      </c>
    </row>
    <row r="56" spans="1:23" customFormat="1" ht="18.75" customHeight="1" x14ac:dyDescent="0.25">
      <c r="A56" t="s">
        <v>408</v>
      </c>
      <c r="B56" t="s">
        <v>425</v>
      </c>
      <c r="C56" t="s">
        <v>1</v>
      </c>
      <c r="D56" t="str">
        <f t="shared" si="39"/>
        <v>SeriesOfVehicles</v>
      </c>
      <c r="E56" t="str">
        <f t="shared" si="40"/>
        <v>varchar</v>
      </c>
      <c r="F56" s="6"/>
      <c r="G56" t="str">
        <f t="shared" si="41"/>
        <v>18</v>
      </c>
      <c r="H56" t="str">
        <f>+VLOOKUP(E56,'Data Type Mapping'!A:B,2,)</f>
        <v>string</v>
      </c>
      <c r="I56" t="str">
        <f t="shared" si="42"/>
        <v xml:space="preserve">		public const int MaxSeriesOfVehiclesLength = 18;
</v>
      </c>
      <c r="J56" t="str">
        <f t="shared" si="43"/>
        <v xml:space="preserve">		[StringLength(MaxSeriesOfVehiclesLength)]
		public virtual string SeriesOfVehicles { get; set; }
</v>
      </c>
      <c r="K56" s="6"/>
      <c r="L56" t="str">
        <f t="shared" si="44"/>
        <v/>
      </c>
      <c r="M56" t="str">
        <f t="shared" si="45"/>
        <v xml:space="preserve">		public virtual string SeriesOfVehicles { get; set; }
</v>
      </c>
      <c r="N56" t="str">
        <f t="shared" si="46"/>
        <v xml:space="preserve">		[StringLength(IF_FQF3MM06Consts.MaxSeriesOfVehiclesLength)]
		public virtual string SeriesOfVehicles { get; set; }
</v>
      </c>
      <c r="O56" t="str">
        <f t="shared" si="47"/>
        <v xml:space="preserve">		public virtual string SeriesOfVehicles { get; set; }
</v>
      </c>
      <c r="P56" t="str">
        <f t="shared" si="48"/>
        <v xml:space="preserve">							SeriesOfVehicles = o.SeriesOfVehicles,</v>
      </c>
      <c r="T56" s="63" t="str">
        <f t="shared" si="49"/>
        <v xml:space="preserve">								("SeriesOfVehicles"),</v>
      </c>
      <c r="V56" s="64" t="str">
        <f t="shared" si="50"/>
        <v xml:space="preserve">								_ =&gt; _.SeriesOfVehicles,</v>
      </c>
      <c r="W56" s="63" t="str">
        <f t="shared" si="51"/>
        <v xml:space="preserve">				.WhereIf(!string.IsNullOrWhiteSpace(input.SeriesOfVehicles), e =&gt; e.SeriesOfVehicles.Contains(input.SeriesOfVehicles))</v>
      </c>
    </row>
    <row r="57" spans="1:23" customFormat="1" ht="18.75" customHeight="1" x14ac:dyDescent="0.25">
      <c r="A57" t="s">
        <v>409</v>
      </c>
      <c r="B57" t="s">
        <v>416</v>
      </c>
      <c r="C57" t="s">
        <v>1</v>
      </c>
      <c r="D57" t="str">
        <f t="shared" si="39"/>
        <v>DeliverPowerOfDrivingWheels</v>
      </c>
      <c r="E57" t="str">
        <f t="shared" si="40"/>
        <v>varchar</v>
      </c>
      <c r="F57" s="6"/>
      <c r="G57" t="str">
        <f t="shared" si="41"/>
        <v>3</v>
      </c>
      <c r="H57" t="str">
        <f>+VLOOKUP(E57,'Data Type Mapping'!A:B,2,)</f>
        <v>string</v>
      </c>
      <c r="I57" t="str">
        <f t="shared" si="42"/>
        <v xml:space="preserve">		public const int MaxDeliverPowerOfDrivingWheelsLength = 3;
</v>
      </c>
      <c r="J57" t="str">
        <f t="shared" si="43"/>
        <v xml:space="preserve">		[StringLength(MaxDeliverPowerOfDrivingWheelsLength)]
		public virtual string DeliverPowerOfDrivingWheels { get; set; }
</v>
      </c>
      <c r="K57" s="6"/>
      <c r="L57" t="str">
        <f t="shared" si="44"/>
        <v/>
      </c>
      <c r="M57" t="str">
        <f t="shared" si="45"/>
        <v xml:space="preserve">		public virtual string DeliverPowerOfDrivingWheels { get; set; }
</v>
      </c>
      <c r="N57" t="str">
        <f t="shared" si="46"/>
        <v xml:space="preserve">		[StringLength(IF_FQF3MM06Consts.MaxDeliverPowerOfDrivingWheelsLength)]
		public virtual string DeliverPowerOfDrivingWheels { get; set; }
</v>
      </c>
      <c r="O57" t="str">
        <f t="shared" si="47"/>
        <v xml:space="preserve">		public virtual string DeliverPowerOfDrivingWheels { get; set; }
</v>
      </c>
      <c r="P57" t="str">
        <f t="shared" si="48"/>
        <v xml:space="preserve">							DeliverPowerOfDrivingWheels = o.DeliverPowerOfDrivingWheels,</v>
      </c>
      <c r="T57" s="63" t="str">
        <f t="shared" si="49"/>
        <v xml:space="preserve">								("DeliverPowerOfDrivingWheels"),</v>
      </c>
      <c r="V57" s="64" t="str">
        <f t="shared" si="50"/>
        <v xml:space="preserve">								_ =&gt; _.DeliverPowerOfDrivingWheels,</v>
      </c>
      <c r="W57" s="63" t="str">
        <f t="shared" si="51"/>
        <v xml:space="preserve">				.WhereIf(!string.IsNullOrWhiteSpace(input.DeliverPowerOfDrivingWheels), e =&gt; e.DeliverPowerOfDrivingWheels.Contains(input.DeliverPowerOfDrivingWheels))</v>
      </c>
    </row>
    <row r="58" spans="1:23" customFormat="1" ht="18.75" customHeight="1" x14ac:dyDescent="0.25">
      <c r="A58" t="s">
        <v>410</v>
      </c>
      <c r="B58" t="s">
        <v>417</v>
      </c>
      <c r="C58" t="s">
        <v>1</v>
      </c>
      <c r="D58" t="str">
        <f t="shared" si="39"/>
        <v>FuelType</v>
      </c>
      <c r="E58" t="str">
        <f t="shared" si="40"/>
        <v>varchar</v>
      </c>
      <c r="F58" s="6"/>
      <c r="G58" t="str">
        <f t="shared" si="41"/>
        <v>2</v>
      </c>
      <c r="H58" t="str">
        <f>+VLOOKUP(E58,'Data Type Mapping'!A:B,2,)</f>
        <v>string</v>
      </c>
      <c r="I58" t="str">
        <f t="shared" si="42"/>
        <v xml:space="preserve">		public const int MaxFuelTypeLength = 2;
</v>
      </c>
      <c r="J58" t="str">
        <f t="shared" si="43"/>
        <v xml:space="preserve">		[StringLength(MaxFuelTypeLength)]
		public virtual string FuelType { get; set; }
</v>
      </c>
      <c r="K58" s="6"/>
      <c r="L58" t="str">
        <f t="shared" si="44"/>
        <v/>
      </c>
      <c r="M58" t="str">
        <f t="shared" si="45"/>
        <v xml:space="preserve">		public virtual string FuelType { get; set; }
</v>
      </c>
      <c r="N58" t="str">
        <f t="shared" si="46"/>
        <v xml:space="preserve">		[StringLength(IF_FQF3MM06Consts.MaxFuelTypeLength)]
		public virtual string FuelType { get; set; }
</v>
      </c>
      <c r="O58" t="str">
        <f t="shared" si="47"/>
        <v xml:space="preserve">		public virtual string FuelType { get; set; }
</v>
      </c>
      <c r="P58" t="str">
        <f t="shared" si="48"/>
        <v xml:space="preserve">							FuelType = o.FuelType,</v>
      </c>
      <c r="T58" s="63" t="str">
        <f t="shared" si="49"/>
        <v xml:space="preserve">								("FuelType"),</v>
      </c>
      <c r="V58" s="64" t="str">
        <f t="shared" si="50"/>
        <v xml:space="preserve">								_ =&gt; _.FuelType,</v>
      </c>
      <c r="W58" s="63" t="str">
        <f t="shared" si="51"/>
        <v xml:space="preserve">				.WhereIf(!string.IsNullOrWhiteSpace(input.FuelType), e =&gt; e.FuelType.Contains(input.FuelType))</v>
      </c>
    </row>
    <row r="59" spans="1:23" customFormat="1" ht="18.75" customHeight="1" x14ac:dyDescent="0.25">
      <c r="A59" t="s">
        <v>397</v>
      </c>
      <c r="B59" t="s">
        <v>421</v>
      </c>
      <c r="C59" t="s">
        <v>1</v>
      </c>
      <c r="D59" t="str">
        <f t="shared" si="39"/>
        <v>VehicleName</v>
      </c>
      <c r="E59" t="str">
        <f t="shared" si="40"/>
        <v>varchar</v>
      </c>
      <c r="F59" s="6"/>
      <c r="G59" t="str">
        <f t="shared" si="41"/>
        <v>6</v>
      </c>
      <c r="H59" t="str">
        <f>+VLOOKUP(E59,'Data Type Mapping'!A:B,2,)</f>
        <v>string</v>
      </c>
      <c r="I59" t="str">
        <f t="shared" si="42"/>
        <v xml:space="preserve">		public const int MaxVehicleNameLength = 6;
</v>
      </c>
      <c r="J59" t="str">
        <f t="shared" si="43"/>
        <v xml:space="preserve">		[StringLength(MaxVehicleNameLength)]
		public virtual string VehicleName { get; set; }
</v>
      </c>
      <c r="K59" s="6"/>
      <c r="L59" t="str">
        <f t="shared" si="44"/>
        <v/>
      </c>
      <c r="M59" t="str">
        <f t="shared" si="45"/>
        <v xml:space="preserve">		public virtual string VehicleName { get; set; }
</v>
      </c>
      <c r="N59" t="str">
        <f t="shared" si="46"/>
        <v xml:space="preserve">		[StringLength(IF_FQF3MM06Consts.MaxVehicleNameLength)]
		public virtual string VehicleName { get; set; }
</v>
      </c>
      <c r="O59" t="str">
        <f t="shared" si="47"/>
        <v xml:space="preserve">		public virtual string VehicleName { get; set; }
</v>
      </c>
      <c r="P59" t="str">
        <f t="shared" si="48"/>
        <v xml:space="preserve">							VehicleName = o.VehicleName,</v>
      </c>
      <c r="T59" s="63" t="str">
        <f t="shared" si="49"/>
        <v xml:space="preserve">								("VehicleName"),</v>
      </c>
      <c r="V59" s="64" t="str">
        <f t="shared" si="50"/>
        <v xml:space="preserve">								_ =&gt; _.VehicleName,</v>
      </c>
      <c r="W59" s="63" t="str">
        <f t="shared" si="51"/>
        <v xml:space="preserve">				.WhereIf(!string.IsNullOrWhiteSpace(input.VehicleName), e =&gt; e.VehicleName.Contains(input.VehicleName))</v>
      </c>
    </row>
    <row r="60" spans="1:23" customFormat="1" ht="18.75" customHeight="1" x14ac:dyDescent="0.25">
      <c r="A60" t="s">
        <v>398</v>
      </c>
      <c r="B60" t="s">
        <v>414</v>
      </c>
      <c r="C60" t="s">
        <v>1</v>
      </c>
      <c r="D60" t="str">
        <f t="shared" si="39"/>
        <v>PriceUnit</v>
      </c>
      <c r="E60" t="str">
        <f t="shared" si="40"/>
        <v>varchar</v>
      </c>
      <c r="F60" s="6"/>
      <c r="G60" t="str">
        <f t="shared" si="41"/>
        <v>1</v>
      </c>
      <c r="H60" t="str">
        <f>+VLOOKUP(E60,'Data Type Mapping'!A:B,2,)</f>
        <v>string</v>
      </c>
      <c r="I60" t="str">
        <f t="shared" si="42"/>
        <v xml:space="preserve">		public const int MaxPriceUnitLength = 1;
</v>
      </c>
      <c r="J60" t="str">
        <f t="shared" si="43"/>
        <v xml:space="preserve">		[StringLength(MaxPriceUnitLength)]
		public virtual string PriceUnit { get; set; }
</v>
      </c>
      <c r="K60" s="6"/>
      <c r="L60" t="str">
        <f t="shared" si="44"/>
        <v/>
      </c>
      <c r="M60" t="str">
        <f t="shared" si="45"/>
        <v xml:space="preserve">		public virtual string PriceUnit { get; set; }
</v>
      </c>
      <c r="N60" t="str">
        <f t="shared" si="46"/>
        <v xml:space="preserve">		[StringLength(IF_FQF3MM06Consts.MaxPriceUnitLength)]
		public virtual string PriceUnit { get; set; }
</v>
      </c>
      <c r="O60" t="str">
        <f t="shared" si="47"/>
        <v xml:space="preserve">		public virtual string PriceUnit { get; set; }
</v>
      </c>
      <c r="P60" t="str">
        <f t="shared" si="48"/>
        <v xml:space="preserve">							PriceUnit = o.PriceUnit,</v>
      </c>
      <c r="T60" s="63" t="str">
        <f t="shared" si="49"/>
        <v xml:space="preserve">								("PriceUnit"),</v>
      </c>
      <c r="V60" s="64" t="str">
        <f t="shared" si="50"/>
        <v xml:space="preserve">								_ =&gt; _.PriceUnit,</v>
      </c>
      <c r="W60" s="63" t="str">
        <f t="shared" si="51"/>
        <v xml:space="preserve">				.WhereIf(!string.IsNullOrWhiteSpace(input.PriceUnit), e =&gt; e.PriceUnit.Contains(input.PriceUnit))</v>
      </c>
    </row>
    <row r="61" spans="1:23" customFormat="1" ht="18.75" customHeight="1" x14ac:dyDescent="0.25">
      <c r="A61" t="s">
        <v>399</v>
      </c>
      <c r="B61" t="s">
        <v>414</v>
      </c>
      <c r="C61" t="s">
        <v>1</v>
      </c>
      <c r="D61" t="str">
        <f t="shared" si="39"/>
        <v>MaruCode</v>
      </c>
      <c r="E61" t="str">
        <f t="shared" si="40"/>
        <v>varchar</v>
      </c>
      <c r="F61" s="6"/>
      <c r="G61" t="str">
        <f t="shared" si="41"/>
        <v>1</v>
      </c>
      <c r="H61" t="str">
        <f>+VLOOKUP(E61,'Data Type Mapping'!A:B,2,)</f>
        <v>string</v>
      </c>
      <c r="I61" t="str">
        <f t="shared" si="42"/>
        <v xml:space="preserve">		public const int MaxMaruCodeLength = 1;
</v>
      </c>
      <c r="J61" t="str">
        <f t="shared" si="43"/>
        <v xml:space="preserve">		[StringLength(MaxMaruCodeLength)]
		public virtual string MaruCode { get; set; }
</v>
      </c>
      <c r="K61" s="6"/>
      <c r="L61" t="str">
        <f t="shared" si="44"/>
        <v/>
      </c>
      <c r="M61" t="str">
        <f t="shared" si="45"/>
        <v xml:space="preserve">		public virtual string MaruCode { get; set; }
</v>
      </c>
      <c r="N61" t="str">
        <f t="shared" si="46"/>
        <v xml:space="preserve">		[StringLength(IF_FQF3MM06Consts.MaxMaruCodeLength)]
		public virtual string MaruCode { get; set; }
</v>
      </c>
      <c r="O61" t="str">
        <f t="shared" si="47"/>
        <v xml:space="preserve">		public virtual string MaruCode { get; set; }
</v>
      </c>
      <c r="P61" t="str">
        <f t="shared" si="48"/>
        <v xml:space="preserve">							MaruCode = o.MaruCode,</v>
      </c>
      <c r="T61" s="63" t="str">
        <f t="shared" si="49"/>
        <v xml:space="preserve">								("MaruCode"),</v>
      </c>
      <c r="V61" s="64" t="str">
        <f t="shared" si="50"/>
        <v xml:space="preserve">								_ =&gt; _.MaruCode,</v>
      </c>
      <c r="W61" s="63" t="str">
        <f t="shared" si="51"/>
        <v xml:space="preserve">				.WhereIf(!string.IsNullOrWhiteSpace(input.MaruCode), e =&gt; e.MaruCode.Contains(input.MaruCode))</v>
      </c>
    </row>
    <row r="62" spans="1:23" customFormat="1" ht="18.75" customHeight="1" x14ac:dyDescent="0.25">
      <c r="A62" t="s">
        <v>411</v>
      </c>
      <c r="B62" t="s">
        <v>414</v>
      </c>
      <c r="C62" t="s">
        <v>1</v>
      </c>
      <c r="D62" t="str">
        <f t="shared" si="39"/>
        <v>EndingOfRecord</v>
      </c>
      <c r="E62" t="str">
        <f t="shared" si="40"/>
        <v>varchar</v>
      </c>
      <c r="F62" s="6"/>
      <c r="G62" t="str">
        <f t="shared" si="41"/>
        <v>1</v>
      </c>
      <c r="H62" t="str">
        <f>+VLOOKUP(E62,'Data Type Mapping'!A:B,2,)</f>
        <v>string</v>
      </c>
      <c r="I62" t="str">
        <f t="shared" si="42"/>
        <v xml:space="preserve">		public const int MaxEndingOfRecordLength = 1;
</v>
      </c>
      <c r="J62" t="str">
        <f t="shared" si="43"/>
        <v xml:space="preserve">		[StringLength(MaxEndingOfRecordLength)]
		public virtual string EndingOfRecord { get; set; }
</v>
      </c>
      <c r="K62" s="6"/>
      <c r="L62" t="str">
        <f t="shared" si="44"/>
        <v/>
      </c>
      <c r="M62" t="str">
        <f t="shared" si="45"/>
        <v xml:space="preserve">		public virtual string EndingOfRecord { get; set; }
</v>
      </c>
      <c r="N62" t="str">
        <f t="shared" si="46"/>
        <v xml:space="preserve">		[StringLength(IF_FQF3MM06Consts.MaxEndingOfRecordLength)]
		public virtual string EndingOfRecord { get; set; }
</v>
      </c>
      <c r="O62" t="str">
        <f t="shared" si="47"/>
        <v xml:space="preserve">		public virtual string EndingOfRecord { get; set; }
</v>
      </c>
      <c r="P62" t="str">
        <f t="shared" si="48"/>
        <v xml:space="preserve">							EndingOfRecord = o.EndingOfRecord,</v>
      </c>
      <c r="T62" s="63" t="str">
        <f t="shared" si="49"/>
        <v xml:space="preserve">								("EndingOfRecord"),</v>
      </c>
      <c r="V62" s="64" t="str">
        <f t="shared" si="50"/>
        <v xml:space="preserve">								_ =&gt; _.EndingOfRecord,</v>
      </c>
      <c r="W62" s="63" t="str">
        <f t="shared" si="51"/>
        <v xml:space="preserve">				.WhereIf(!string.IsNullOrWhiteSpace(input.EndingOfRecord), e =&gt; e.EndingOfRecord.Contains(input.EndingOfRecord))</v>
      </c>
    </row>
    <row r="64" spans="1:23" ht="45.75" customHeight="1" x14ac:dyDescent="0.25">
      <c r="H64" s="11"/>
      <c r="I64" s="31" t="str">
        <f ca="1">TEXTJOIN2("
", TRUE,INDIRECT( $H$1):INDIRECT( $H$3))</f>
        <v xml:space="preserve">		public const int MaxAuthorizationGroupLength = 4;
		public const int MaxMaterialTypeLength = 4;
		public const int MaxMaterialCodeLength = 40;
		public const int MaxIndustrySectorLength = 1;
		public const int MaxMaterialDescriptionLength = 40;
		public const int MaxMaterialGroupLength = 9;
		public const int MaxBaseUnitOfMeasureLength = 3;
		public const int MaxFlagDeletionPlantLevelLength = 1;
		public const int MaxPlantLength = 4;
		public const int MaxStorageLocationLength = 4;
		public const int MaxProductGroupLength = 3;
		public const int MaxProductPurposeLength = 2;
		public const int MaxProductTypeLength = 20;
		public const int MaxProfitCenterLength = 10;
		public const int MaxBatchManagementLength = 1;
		public const int MaxReservedStockLength = 1;
		public const int MaxResidueLength = 1;
		public const int MaxLotCodeLength = 5;
		public const int MaxMrpGroupLength = 4;
		public const int MaxMrpTypeLength = 2;
		public const int MaxProcurementTypeLength = 1;
		public const int MaxSpecialProcurementLength = 2;
		public const int MaxProdStorLocationLength = 4;
		public const int MaxRepetManufacturingLength = 1;
		public const int MaxRemProfileLength = 4;
		public const int MaxDoNotCostLength = 1;
		public const int MaxVarianceKeyLength = 6;
		public const int MaxCostingLotSizeLength = 14;
		public const int MaxProductionVersionLength = 4;
		public const int MaxSpecialProcurementTypeLength = 2;
		public const int MaxValuationCategoryLength = 1;
		public const int MaxValuationTypeLength = 10;
		public const int MaxValuationClassLength = 4;
		public const int MaxPriceDeterminationLength = 1;
		public const int MaxPriceControlLength = 1;
		public const int MaxStandardPriceLength = 12;
		public const int MaxMovingPriceLength = 12;
		public const int MaxWithQtyStructureLength = 1;
		public const int MaxMaterialOriginLength = 1;
		public const int MaxOriginGroupLength = 4;
		public const int MaxBasicDataTextLength = 255;
		public const int MaxKatashikiLength = 20;
		public const int MaxVehicleControlKatashikiLength = 20;
		public const int MaxToyotaOrNonToyotaLength = 2;
		public const int MaxCategoryOfGearLength = 2;
		public const int MaxGoshiCarLength = 1;
		public const int MaxSeriesOfVehiclesLength = 18;
		public const int MaxDeliverPowerOfDrivingWheelsLength = 3;
		public const int MaxFuelTypeLength = 2;
		public const int MaxVehicleNameLength = 6;
		public const int MaxPriceUnitLength = 1;
		public const int MaxMaruCodeLength = 1;
		public const int MaxEndingOfRecordLength = 1;
</v>
      </c>
      <c r="J64" s="30" t="str">
        <f ca="1">TEXTJOIN2("
", TRUE,INDIRECT( $F$1):INDIRECT( $F$3))</f>
        <v xml:space="preserve">		public virtual int? RecordId { get; set; }
		[StringLength(MaxAuthorizationGroupLength)]
		public virtual string AuthorizationGroup { get; set; }
		[StringLength(MaxMaterialTypeLength)]
		public virtual string MaterialType { get; set; }
		[StringLength(MaxMaterialCodeLength)]
		public virtual string MaterialCode { get; set; }
		[StringLength(MaxIndustrySectorLength)]
		public virtual string IndustrySector { get; set; }
		[StringLength(MaxMaterialDescriptionLength)]
		public virtual string MaterialDescription { get; set; }
		[StringLength(MaxMaterialGroupLength)]
		public virtual string MaterialGroup { get; set; }
		[StringLength(MaxBaseUnitOfMeasureLength)]
		public virtual string BaseUnitOfMeasure { get; set; }
		[StringLength(MaxFlagDeletionPlantLevelLength)]
		public virtual string FlagDeletionPlantLevel { get; set; }
		[StringLength(MaxPlantLength)]
		public virtual string Plant { get; set; }
		[StringLength(MaxStorageLocationLength)]
		public virtual string StorageLocation { get; set; }
		[StringLength(MaxProductGroupLength)]
		public virtual string ProductGroup { get; set; }
		[StringLength(MaxProductPurposeLength)]
		public virtual string ProductPurpose { get; set; }
		[StringLength(MaxProductTypeLength)]
		public virtual string ProductType { get; set; }
		[StringLength(MaxProfitCenterLength)]
		public virtual string ProfitCenter { get; set; }
		[StringLength(MaxBatchManagementLength)]
		public virtual string BatchManagement { get; set; }
		[StringLength(MaxReservedStockLength)]
		public virtual string ReservedStock { get; set; }
		[StringLength(MaxResidueLength)]
		public virtual string Residue { get; set; }
		[StringLength(MaxLotCodeLength)]
		public virtual string LotCode { get; set; }
		[StringLength(MaxMrpGroupLength)]
		public virtual string MrpGroup { get; set; }
		[StringLength(MaxMrpTypeLength)]
		public virtual string MrpType { get; set; }
		[StringLength(MaxProcurementTypeLength)]
		public virtual string ProcurementType { get; set; }
		[StringLength(MaxSpecialProcurementLength)]
		public virtual string SpecialProcurement { get; set; }
		[StringLength(MaxProdStorLocationLength)]
		public virtual string ProdStorLocation { get; set; }
		[StringLength(MaxRepetManufacturingLength)]
		public virtual string RepetManufacturing { get; set; }
		[StringLength(MaxRemProfileLength)]
		public virtual string RemProfile { get; set; }
		[StringLength(MaxDoNotCostLength)]
		public virtual string DoNotCost { get; set; }
		[StringLength(MaxVarianceKeyLength)]
		public virtual string VarianceKey { get; set; }
		[StringLength(MaxCostingLotSizeLength)]
		public virtual string CostingLotSize { get; set; }
		[StringLength(MaxProductionVersionLength)]
		public virtual string ProductionVersion { get; set; }
		[StringLength(MaxSpecialProcurementTypeLength)]
		public virtual string SpecialProcurementType { get; set; }
		[StringLength(MaxValuationCategoryLength)]
		public virtual string ValuationCategory { get; set; }
		[StringLength(MaxValuationTypeLength)]
		public virtual string ValuationType { get; set; }
		[StringLength(MaxValuationClassLength)]
		public virtual string ValuationClass { get; set; }
		[StringLength(MaxPriceDeterminationLength)]
		public virtual string PriceDetermination { get; set; }
		[StringLength(MaxPriceControlLength)]
		public virtual string PriceControl { get; set; }
		[StringLength(MaxStandardPriceLength)]
		public virtual string StandardPrice { get; set; }
		[StringLength(MaxMovingPriceLength)]
		public virtual string MovingPrice { get; set; }
		[StringLength(MaxWithQtyStructureLength)]
		public virtual string WithQtyStructure { get; set; }
		[StringLength(MaxMaterialOriginLength)]
		public virtual string MaterialOrigin { get; set; }
		[StringLength(MaxOriginGroupLength)]
		public virtual string OriginGroup { get; set; }
		[StringLength(MaxBasicDataTextLength)]
		public virtual string BasicDataText { get; set; }
		[StringLength(MaxKatashikiLength)]
		public virtual string Katashiki { get; set; }
		[StringLength(MaxVehicleControlKatashikiLength)]
		public virtual string VehicleControlKatashiki { get; set; }
		[StringLength(MaxToyotaOrNonToyotaLength)]
		public virtual string ToyotaOrNonToyota { get; set; }
		[StringLength(MaxCategoryOfGearLength)]
		public virtual string CategoryOfGear { get; set; }
		[StringLength(MaxGoshiCarLength)]
		public virtual string GoshiCar { get; set; }
		[StringLength(MaxSeriesOfVehiclesLength)]
		public virtual string SeriesOfVehicles { get; set; }
		[StringLength(MaxDeliverPowerOfDrivingWheelsLength)]
		public virtual string DeliverPowerOfDrivingWheels { get; set; }
		[StringLength(MaxFuelTypeLength)]
		public virtual string FuelType { get; set; }
		[StringLength(MaxVehicleNameLength)]
		public virtual string VehicleName { get; set; }
		[StringLength(MaxPriceUnitLength)]
		public virtual string PriceUnit { get; set; }
		[StringLength(MaxMaruCodeLength)]
		public virtual string MaruCode { get; set; }
		[StringLength(MaxEndingOfRecordLength)]
		public virtual string EndingOfRecord { get; set; }
</v>
      </c>
      <c r="K64" s="32" t="str">
        <f ca="1">TEXTJOIN2("
", TRUE,INDIRECT( $J$1):INDIRECT( $J$3))</f>
        <v/>
      </c>
      <c r="L64" s="12" t="s">
        <v>57</v>
      </c>
      <c r="M64" s="33" t="str">
        <f ca="1">TEXTJOIN2("
",TRUE,INDIRECT( $L$1):INDIRECT($L$3))</f>
        <v xml:space="preserve">		public virtual int? RecordId { get; set; }
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</v>
      </c>
      <c r="N64" s="30" t="str">
        <f ca="1">TEXTJOIN2("
",TRUE,INDIRECT( $M$1):INDIRECT($M$3))</f>
        <v xml:space="preserve">		public virtual int? RecordId { get; set; }
		[StringLength(IF_FQF3MM06Consts.MaxAuthorizationGroupLength)]
		public virtual string AuthorizationGroup { get; set; }
		[StringLength(IF_FQF3MM06Consts.MaxMaterialTypeLength)]
		public virtual string MaterialType { get; set; }
		[StringLength(IF_FQF3MM06Consts.MaxMaterialCodeLength)]
		public virtual string MaterialCode { get; set; }
		[StringLength(IF_FQF3MM06Consts.MaxIndustrySectorLength)]
		public virtual string IndustrySector { get; set; }
		[StringLength(IF_FQF3MM06Consts.MaxMaterialDescriptionLength)]
		public virtual string MaterialDescription { get; set; }
		[StringLength(IF_FQF3MM06Consts.MaxMaterialGroupLength)]
		public virtual string MaterialGroup { get; set; }
		[StringLength(IF_FQF3MM06Consts.MaxBaseUnitOfMeasureLength)]
		public virtual string BaseUnitOfMeasure { get; set; }
		[StringLength(IF_FQF3MM06Consts.MaxFlagDeletionPlantLevelLength)]
		public virtual string FlagDeletionPlantLevel { get; set; }
		[StringLength(IF_FQF3MM06Consts.MaxPlantLength)]
		public virtual string Plant { get; set; }
		[StringLength(IF_FQF3MM06Consts.MaxStorageLocationLength)]
		public virtual string StorageLocation { get; set; }
		[StringLength(IF_FQF3MM06Consts.MaxProductGroupLength)]
		public virtual string ProductGroup { get; set; }
		[StringLength(IF_FQF3MM06Consts.MaxProductPurposeLength)]
		public virtual string ProductPurpose { get; set; }
		[StringLength(IF_FQF3MM06Consts.MaxProductTypeLength)]
		public virtual string ProductType { get; set; }
		[StringLength(IF_FQF3MM06Consts.MaxProfitCenterLength)]
		public virtual string ProfitCenter { get; set; }
		[StringLength(IF_FQF3MM06Consts.MaxBatchManagementLength)]
		public virtual string BatchManagement { get; set; }
		[StringLength(IF_FQF3MM06Consts.MaxReservedStockLength)]
		public virtual string ReservedStock { get; set; }
		[StringLength(IF_FQF3MM06Consts.MaxResidueLength)]
		public virtual string Residue { get; set; }
		[StringLength(IF_FQF3MM06Consts.MaxLotCodeLength)]
		public virtual string LotCode { get; set; }
		[StringLength(IF_FQF3MM06Consts.MaxMrpGroupLength)]
		public virtual string MrpGroup { get; set; }
		[StringLength(IF_FQF3MM06Consts.MaxMrpTypeLength)]
		public virtual string MrpType { get; set; }
		[StringLength(IF_FQF3MM06Consts.MaxProcurementTypeLength)]
		public virtual string ProcurementType { get; set; }
		[StringLength(IF_FQF3MM06Consts.MaxSpecialProcurementLength)]
		public virtual string SpecialProcurement { get; set; }
		[StringLength(IF_FQF3MM06Consts.MaxProdStorLocationLength)]
		public virtual string ProdStorLocation { get; set; }
		[StringLength(IF_FQF3MM06Consts.MaxRepetManufacturingLength)]
		public virtual string RepetManufacturing { get; set; }
		[StringLength(IF_FQF3MM06Consts.MaxRemProfileLength)]
		public virtual string RemProfile { get; set; }
		[StringLength(IF_FQF3MM06Consts.MaxDoNotCostLength)]
		public virtual string DoNotCost { get; set; }
		[StringLength(IF_FQF3MM06Consts.MaxVarianceKeyLength)]
		public virtual string VarianceKey { get; set; }
		[StringLength(IF_FQF3MM06Consts.MaxCostingLotSizeLength)]
		public virtual string CostingLotSize { get; set; }
		[StringLength(IF_FQF3MM06Consts.MaxProductionVersionLength)]
		public virtual string ProductionVersion { get; set; }
		[StringLength(IF_FQF3MM06Consts.MaxSpecialProcurementTypeLength)]
		public virtual string SpecialProcurementType { get; set; }
		[StringLength(IF_FQF3MM06Consts.MaxValuationCategoryLength)]
		public virtual string ValuationCategory { get; set; }
		[StringLength(IF_FQF3MM06Consts.MaxValuationTypeLength)]
		public virtual string ValuationType { get; set; }
		[StringLength(IF_FQF3MM06Consts.MaxValuationClassLength)]
		public virtual string ValuationClass { get; set; }
		[StringLength(IF_FQF3MM06Consts.MaxPriceDeterminationLength)]
		public virtual string PriceDetermination { get; set; }
		[StringLength(IF_FQF3MM06Consts.MaxPriceControlLength)]
		public virtual string PriceControl { get; set; }
		[StringLength(IF_FQF3MM06Consts.MaxStandardPriceLength)]
		public virtual string StandardPrice { get; set; }
		[StringLength(IF_FQF3MM06Consts.MaxMovingPriceLength)]
		public virtual string MovingPrice { get; set; }
		[StringLength(IF_FQF3MM06Consts.MaxWithQtyStructureLength)]
		public virtual string WithQtyStructure { get; set; }
		[StringLength(IF_FQF3MM06Consts.MaxMaterialOriginLength)]
		public virtual string MaterialOrigin { get; set; }
		[StringLength(IF_FQF3MM06Consts.MaxOriginGroupLength)]
		public virtual string OriginGroup { get; set; }
		[StringLength(IF_FQF3MM06Consts.MaxBasicDataTextLength)]
		public virtual string BasicDataText { get; set; }
		[StringLength(IF_FQF3MM06Consts.MaxKatashikiLength)]
		public virtual string Katashiki { get; set; }
		[StringLength(IF_FQF3MM06Consts.MaxVehicleControlKatashikiLength)]
		public virtual string VehicleControlKatashiki { get; set; }
		[StringLength(IF_FQF3MM06Consts.MaxToyotaOrNonToyotaLength)]
		public virtual string ToyotaOrNonToyota { get; set; }
		[StringLength(IF_FQF3MM06Consts.MaxCategoryOfGearLength)]
		public virtual string CategoryOfGear { get; set; }
		[StringLength(IF_FQF3MM06Consts.MaxGoshiCarLength)]
		public virtual string GoshiCar { get; set; }
		[StringLength(IF_FQF3MM06Consts.MaxSeriesOfVehiclesLength)]
		public virtual string SeriesOfVehicles { get; set; }
		[StringLength(IF_FQF3MM06Consts.MaxDeliverPowerOfDrivingWheelsLength)]
		public virtual string DeliverPowerOfDrivingWheels { get; set; }
		[StringLength(IF_FQF3MM06Consts.MaxFuelTypeLength)]
		public virtual string FuelType { get; set; }
		[StringLength(IF_FQF3MM06Consts.MaxVehicleNameLength)]
		public virtual string VehicleName { get; set; }
		[StringLength(IF_FQF3MM06Consts.MaxPriceUnitLength)]
		public virtual string PriceUnit { get; set; }
		[StringLength(IF_FQF3MM06Consts.MaxMaruCodeLength)]
		public virtual string MaruCode { get; set; }
		[StringLength(IF_FQF3MM06Consts.MaxEndingOfRecordLength)]
		public virtual string EndingOfRecord { get; set; }
</v>
      </c>
      <c r="O64" s="30" t="str">
        <f ca="1">TEXTJOIN2("
",TRUE,INDIRECT( $N$1):INDIRECT($N$3))</f>
        <v xml:space="preserve">		public virtual string AuthorizationGroup { get; set; }
		public virtual string MaterialType { get; set; }
		public virtual string MaterialCode { get; set; }
		public virtual string IndustrySector { get; set; }
		public virtual string MaterialDescription { get; set; }
		public virtual string MaterialGroup { get; set; }
		public virtual string BaseUnitOfMeasure { get; set; }
		public virtual string FlagDeletionPlantLevel { get; set; }
		public virtual string Plant { get; set; }
		public virtual string StorageLocation { get; set; }
		public virtual string ProductGroup { get; set; }
		public virtual string ProductPurpose { get; set; }
		public virtual string ProductType { get; set; }
		public virtual string ProfitCenter { get; set; }
		public virtual string BatchManagement { get; set; }
		public virtual string ReservedStock { get; set; }
		public virtual string Residue { get; set; }
		public virtual string LotCode { get; set; }
		public virtual string MrpGroup { get; set; }
		public virtual string MrpType { get; set; }
		public virtual string ProcurementType { get; set; }
		public virtual string SpecialProcurement { get; set; }
		public virtual string ProdStorLocation { get; set; }
		public virtual string RepetManufacturing { get; set; }
		public virtual string RemProfile { get; set; }
		public virtual string DoNotCost { get; set; }
		public virtual string VarianceKey { get; set; }
		public virtual string CostingLotSize { get; set; }
		public virtual string ProductionVersion { get; set; }
		public virtual string SpecialProcurementType { get; set; }
		public virtual string ValuationCategory { get; set; }
		public virtual string ValuationType { get; set; }
		public virtual string ValuationClass { get; set; }
		public virtual string PriceDetermination { get; set; }
		public virtual string PriceControl { get; set; }
		public virtual string StandardPrice { get; set; }
		public virtual string MovingPrice { get; set; }
		public virtual string WithQtyStructure { get; set; }
		public virtual string MaterialOrigin { get; set; }
		public virtual string OriginGroup { get; set; }
		public virtual string BasicDataText { get; set; }
		public virtual string Katashiki { get; set; }
		public virtual string VehicleControlKatashiki { get; set; }
		public virtual string ToyotaOrNonToyota { get; set; }
		public virtual string CategoryOfGear { get; set; }
		public virtual string GoshiCar { get; set; }
		public virtual string SeriesOfVehicles { get; set; }
		public virtual string DeliverPowerOfDrivingWheels { get; set; }
		public virtual string FuelType { get; set; }
		public virtual string VehicleName { get; set; }
		public virtual string PriceUnit { get; set; }
		public virtual string MaruCode { get; set; }
		public virtual string EndingOfRecord { get; set; }
</v>
      </c>
      <c r="P64" s="8" t="str">
        <f ca="1">TEXTJOIN2("
",TRUE,INDIRECT( $O$1):INDIRECT($O$3))</f>
        <v xml:space="preserve">							RecordId = o.RecordId,
							AuthorizationGroup = o.AuthorizationGroup,
							MaterialType = o.MaterialType,
							MaterialCode = o.MaterialCode,
							IndustrySector = o.IndustrySector,
							MaterialDescription = o.MaterialDescription,
							MaterialGroup = o.MaterialGroup,
							BaseUnitOfMeasure = o.BaseUnitOfMeasure,
							FlagDeletionPlantLevel = o.FlagDeletionPlantLevel,
							Plant = o.Plant,
							StorageLocation = o.StorageLocation,
							ProductGroup = o.ProductGroup,
							ProductPurpose = o.ProductPurpose,
							ProductType = o.ProductType,
							ProfitCenter = o.ProfitCenter,
							BatchManagement = o.BatchManagement,
							ReservedStock = o.ReservedStock,
							Residue = o.Residue,
							LotCode = o.LotCode,
							MrpGroup = o.MrpGroup,
							MrpType = o.MrpType,
							ProcurementType = o.ProcurementType,
							SpecialProcurement = o.SpecialProcurement,
							ProdStorLocation = o.ProdStorLocation,
							RepetManufacturing = o.RepetManufacturing,
							RemProfile = o.RemProfile,
							DoNotCost = o.DoNotCost,
							VarianceKey = o.VarianceKey,
							CostingLotSize = o.CostingLotSize,
							ProductionVersion = o.ProductionVersion,
							SpecialProcurementType = o.SpecialProcurementType,
							ValuationCategory = o.ValuationCategory,
							ValuationType = o.ValuationType,
							ValuationClass = o.ValuationClass,
							PriceDetermination = o.PriceDetermination,
							PriceControl = o.PriceControl,
							StandardPrice = o.StandardPrice,
							MovingPrice = o.MovingPrice,
							WithQtyStructure = o.WithQtyStructure,
							MaterialOrigin = o.MaterialOrigin,
							OriginGroup = o.OriginGroup,
							BasicDataText = o.BasicDataText,
							Katashiki = o.Katashiki,
							VehicleControlKatashiki = o.VehicleControlKatashiki,
							ToyotaOrNonToyota = o.ToyotaOrNonToyota,
							CategoryOfGear = o.CategoryOfGear,
							GoshiCar = o.GoshiCar,
							SeriesOfVehicles = o.SeriesOfVehicles,
							DeliverPowerOfDrivingWheels = o.DeliverPowerOfDrivingWheels,
							FuelType = o.FuelType,
							VehicleName = o.VehicleName,
							PriceUnit = o.PriceUnit,
							MaruCode = o.MaruCode,
							EndingOfRecord = o.EndingOfRecord,</v>
      </c>
      <c r="T64" s="8" t="str">
        <f ca="1">TEXTJOIN2("
",TRUE,INDIRECT( $T$2):INDIRECT($T$3))</f>
        <v xml:space="preserve">								("RecordId"),
								("AuthorizationGroup"),
								("MaterialType"),
								("MaterialCode"),
								("IndustrySector"),
								("MaterialDescription"),
								("MaterialGroup"),
								("BaseUnitOfMeasure"),
								("FlagDeletionPlantLevel"),
								("Plant"),
								("StorageLocation"),
								("ProductGroup"),
								("ProductPurpose"),
								("ProductType"),
								("ProfitCenter"),
								("BatchManagement"),
								("ReservedStock"),
								("Residue"),
								("LotCode"),
								("MrpGroup"),
								("MrpType"),
								("ProcurementType"),
								("SpecialProcurement"),
								("ProdStorLocation"),
								("RepetManufacturing"),
								("RemProfile"),
								("DoNotCost"),
								("VarianceKey"),
								("CostingLotSize"),
								("ProductionVersion"),
								("SpecialProcurementType"),
								("ValuationCategory"),
								("ValuationType"),
								("ValuationClass"),
								("PriceDetermination"),
								("PriceControl"),
								("StandardPrice"),
								("MovingPrice"),
								("WithQtyStructure"),
								("MaterialOrigin"),
								("OriginGroup"),
								("BasicDataText"),
								("Katashiki"),
								("VehicleControlKatashiki"),
								("ToyotaOrNonToyota"),
								("CategoryOfGear"),
								("GoshiCar"),
								("SeriesOfVehicles"),
								("DeliverPowerOfDrivingWheels"),
								("FuelType"),
								("VehicleName"),
								("PriceUnit"),
								("MaruCode"),
								("EndingOfRecord"),</v>
      </c>
      <c r="V64" s="8" t="str">
        <f ca="1">TEXTJOIN2("
",TRUE,INDIRECT( $V$2):INDIRECT($V$3))</f>
        <v xml:space="preserve">								_ =&gt; _.RecordId,
								_ =&gt; _.AuthorizationGroup,
								_ =&gt; _.MaterialType,
								_ =&gt; _.MaterialCode,
								_ =&gt; _.IndustrySector,
								_ =&gt; _.MaterialDescription,
								_ =&gt; _.MaterialGroup,
								_ =&gt; _.BaseUnitOfMeasure,
								_ =&gt; _.FlagDeletionPlantLevel,
								_ =&gt; _.Plant,
								_ =&gt; _.StorageLocation,
								_ =&gt; _.ProductGroup,
								_ =&gt; _.ProductPurpose,
								_ =&gt; _.ProductType,
								_ =&gt; _.ProfitCenter,
								_ =&gt; _.BatchManagement,
								_ =&gt; _.ReservedStock,
								_ =&gt; _.Residue,
								_ =&gt; _.LotCode,
								_ =&gt; _.MrpGroup,
								_ =&gt; _.MrpType,
								_ =&gt; _.ProcurementType,
								_ =&gt; _.SpecialProcurement,
								_ =&gt; _.ProdStorLocation,
								_ =&gt; _.RepetManufacturing,
								_ =&gt; _.RemProfile,
								_ =&gt; _.DoNotCost,
								_ =&gt; _.VarianceKey,
								_ =&gt; _.CostingLotSize,
								_ =&gt; _.ProductionVersion,
								_ =&gt; _.SpecialProcurementType,
								_ =&gt; _.ValuationCategory,
								_ =&gt; _.ValuationType,
								_ =&gt; _.ValuationClass,
								_ =&gt; _.PriceDetermination,
								_ =&gt; _.PriceControl,
								_ =&gt; _.StandardPrice,
								_ =&gt; _.MovingPrice,
								_ =&gt; _.WithQtyStructure,
								_ =&gt; _.MaterialOrigin,
								_ =&gt; _.OriginGroup,
								_ =&gt; _.BasicDataText,
								_ =&gt; _.Katashiki,
								_ =&gt; _.VehicleControlKatashiki,
								_ =&gt; _.ToyotaOrNonToyota,
								_ =&gt; _.CategoryOfGear,
								_ =&gt; _.GoshiCar,
								_ =&gt; _.SeriesOfVehicles,
								_ =&gt; _.DeliverPowerOfDrivingWheels,
								_ =&gt; _.FuelType,
								_ =&gt; _.VehicleName,
								_ =&gt; _.PriceUnit,
								_ =&gt; _.MaruCode,
								_ =&gt; _.EndingOfRecord,</v>
      </c>
      <c r="W64" s="8" t="str">
        <f ca="1">TEXTJOIN2("
",TRUE,INDIRECT( $W$2):INDIRECT($W$3))</f>
        <v xml:space="preserve">				.WhereIf(!string.IsNullOrWhiteSpace(input.AuthorizationGroup), e =&gt; e.AuthorizationGroup.Contains(input.AuthorizationGroup))
				.WhereIf(!string.IsNullOrWhiteSpace(input.MaterialType), e =&gt; e.MaterialType.Contains(input.MaterialType))
				.WhereIf(!string.IsNullOrWhiteSpace(input.MaterialCode), e =&gt; e.MaterialCode.Contains(input.MaterialCode))
				.WhereIf(!string.IsNullOrWhiteSpace(input.IndustrySector), e =&gt; e.IndustrySector.Contains(input.IndustrySector))
				.WhereIf(!string.IsNullOrWhiteSpace(input.MaterialDescription), e =&gt; e.MaterialDescription.Contains(input.MaterialDescription))
				.WhereIf(!string.IsNullOrWhiteSpace(input.MaterialGroup), e =&gt; e.MaterialGroup.Contains(input.MaterialGroup))
				.WhereIf(!string.IsNullOrWhiteSpace(input.BaseUnitOfMeasure), e =&gt; e.BaseUnitOfMeasure.Contains(input.BaseUnitOfMeasure))
				.WhereIf(!string.IsNullOrWhiteSpace(input.FlagDeletionPlantLevel), e =&gt; e.FlagDeletionPlantLevel.Contains(input.FlagDeletionPlantLevel))
				.WhereIf(!string.IsNullOrWhiteSpace(input.Plant), e =&gt; e.Plant.Contains(input.Plant))
				.WhereIf(!string.IsNullOrWhiteSpace(input.StorageLocation), e =&gt; e.StorageLocation.Contains(input.StorageLocation))
				.WhereIf(!string.IsNullOrWhiteSpace(input.ProductGroup), e =&gt; e.ProductGroup.Contains(input.ProductGroup))
				.WhereIf(!string.IsNullOrWhiteSpace(input.ProductPurpose), e =&gt; e.ProductPurpose.Contains(input.ProductPurpose))
				.WhereIf(!string.IsNullOrWhiteSpace(input.ProductType), e =&gt; e.ProductType.Contains(input.ProductType))
				.WhereIf(!string.IsNullOrWhiteSpace(input.ProfitCenter), e =&gt; e.ProfitCenter.Contains(input.ProfitCenter))
				.WhereIf(!string.IsNullOrWhiteSpace(input.BatchManagement), e =&gt; e.BatchManagement.Contains(input.BatchManagement))
				.WhereIf(!string.IsNullOrWhiteSpace(input.ReservedStock), e =&gt; e.ReservedStock.Contains(input.ReservedStock))
				.WhereIf(!string.IsNullOrWhiteSpace(input.Residue), e =&gt; e.Residue.Contains(input.Residue))
				.WhereIf(!string.IsNullOrWhiteSpace(input.LotCode), e =&gt; e.LotCode.Contains(input.LotCode))
				.WhereIf(!string.IsNullOrWhiteSpace(input.MrpGroup), e =&gt; e.MrpGroup.Contains(input.MrpGroup))
				.WhereIf(!string.IsNullOrWhiteSpace(input.MrpType), e =&gt; e.MrpType.Contains(input.MrpType))
				.WhereIf(!string.IsNullOrWhiteSpace(input.ProcurementType), e =&gt; e.ProcurementType.Contains(input.ProcurementType))
				.WhereIf(!string.IsNullOrWhiteSpace(input.SpecialProcurement), e =&gt; e.SpecialProcurement.Contains(input.SpecialProcurement))
				.WhereIf(!string.IsNullOrWhiteSpace(input.ProdStorLocation), e =&gt; e.ProdStorLocation.Contains(input.ProdStorLocation))
				.WhereIf(!string.IsNullOrWhiteSpace(input.RepetManufacturing), e =&gt; e.RepetManufacturing.Contains(input.RepetManufacturing))
				.WhereIf(!string.IsNullOrWhiteSpace(input.RemProfile), e =&gt; e.RemProfile.Contains(input.RemProfile))
				.WhereIf(!string.IsNullOrWhiteSpace(input.DoNotCost), e =&gt; e.DoNotCost.Contains(input.DoNotCost))
				.WhereIf(!string.IsNullOrWhiteSpace(input.VarianceKey), e =&gt; e.VarianceKey.Contains(input.VarianceKey))
				.WhereIf(!string.IsNullOrWhiteSpace(input.CostingLotSize), e =&gt; e.CostingLotSize.Contains(input.CostingLotSize))
				.WhereIf(!string.IsNullOrWhiteSpace(input.ProductionVersion), e =&gt; e.ProductionVersion.Contains(input.ProductionVersion))
				.WhereIf(!string.IsNullOrWhiteSpace(input.SpecialProcurementType), e =&gt; e.SpecialProcurementType.Contains(input.SpecialProcurementType))
				.WhereIf(!string.IsNullOrWhiteSpace(input.ValuationCategory), e =&gt; e.ValuationCategory.Contains(input.ValuationCategory))
				.WhereIf(!string.IsNullOrWhiteSpace(input.ValuationType), e =&gt; e.ValuationType.Contains(input.ValuationType))
				.WhereIf(!string.IsNullOrWhiteSpace(input.ValuationClass), e =&gt; e.ValuationClass.Contains(input.ValuationClass))
				.WhereIf(!string.IsNullOrWhiteSpace(input.PriceDetermination), e =&gt; e.PriceDetermination.Contains(input.PriceDetermination))
				.WhereIf(!string.IsNullOrWhiteSpace(input.PriceControl), e =&gt; e.PriceControl.Contains(input.PriceControl))
				.WhereIf(!string.IsNullOrWhiteSpace(input.StandardPrice), e =&gt; e.StandardPrice.Contains(input.StandardPrice))
				.WhereIf(!string.IsNullOrWhiteSpace(input.MovingPrice), e =&gt; e.MovingPrice.Contains(input.MovingPrice))
				.WhereIf(!string.IsNullOrWhiteSpace(input.WithQtyStructure), e =&gt; e.WithQtyStructure.Contains(input.WithQtyStructure))
				.WhereIf(!string.IsNullOrWhiteSpace(input.MaterialOrigin), e =&gt; e.MaterialOrigin.Contains(input.MaterialOrigin))
				.WhereIf(!string.IsNullOrWhiteSpace(input.OriginGroup), e =&gt; e.OriginGroup.Contains(input.OriginGroup))
				.WhereIf(!string.IsNullOrWhiteSpace(input.BasicDataText), e =&gt; e.BasicDataText.Contains(input.BasicDataText))
				.WhereIf(!string.IsNullOrWhiteSpace(input.Katashiki), e =&gt; e.Katashiki.Contains(input.Katashiki))
				.WhereIf(!string.IsNullOrWhiteSpace(input.VehicleControlKatashiki), e =&gt; e.VehicleControlKatashiki.Contains(input.VehicleControlKatashiki))
				.WhereIf(!string.IsNullOrWhiteSpace(input.ToyotaOrNonToyota), e =&gt; e.ToyotaOrNonToyota.Contains(input.ToyotaOrNonToyota))
				.WhereIf(!string.IsNullOrWhiteSpace(input.CategoryOfGear), e =&gt; e.CategoryOfGear.Contains(input.CategoryOfGear))
				.WhereIf(!string.IsNullOrWhiteSpace(input.GoshiCar), e =&gt; e.GoshiCar.Contains(input.GoshiCar))
				.WhereIf(!string.IsNullOrWhiteSpace(input.SeriesOfVehicles), e =&gt; e.SeriesOfVehicles.Contains(input.SeriesOfVehicles))
				.WhereIf(!string.IsNullOrWhiteSpace(input.DeliverPowerOfDrivingWheels), e =&gt; e.DeliverPowerOfDrivingWheels.Contains(input.DeliverPowerOfDrivingWheels))
				.WhereIf(!string.IsNullOrWhiteSpace(input.FuelType), e =&gt; e.FuelType.Contains(input.FuelType))
				.WhereIf(!string.IsNullOrWhiteSpace(input.VehicleName), e =&gt; e.VehicleName.Contains(input.VehicleName))
				.WhereIf(!string.IsNullOrWhiteSpace(input.PriceUnit), e =&gt; e.PriceUnit.Contains(input.PriceUnit))
				.WhereIf(!string.IsNullOrWhiteSpace(input.MaruCode), e =&gt; e.MaruCode.Contains(input.MaruCode))
				.WhereIf(!string.IsNullOrWhiteSpace(input.EndingOfRecord), e =&gt; e.EndingOfRecord.Contains(input.EndingOfRecord))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70"/>
  <sheetViews>
    <sheetView workbookViewId="0">
      <selection activeCell="A69" sqref="A69:XFD7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357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IF_FQF3MM06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FQF3MM06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fqf3mm06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IF_FQF3MM06Dto, IF_FQF3MM06ServiceProxy } from '@shared/service-proxies/service-proxies';
import { finalize } from 'rxjs/internal/operators/finalize';
import { CreateOrEditFQF3MM06ModalComponent } from './create-or-edit-fqf3mm06-modal.component';
import { DatePipe } from '@angular/common';
import { FileDownloadService } from '@shared/utils/file-download.service';
import ceil from 'lodash-es/ceil';
import { Paginator } from 'primeng/paginator';
@Component({
    templateUrl: './fqf3mm06.component.html',
    styleUrls: ['./fqf3mm06.component.less'],
})
export class FQF3MM06Component extends AppComponentBase implements OnInit {
    @ViewChild('createOrEditModalFQF3MM06', { static: true }) createOrEditModalFQF3MM06:| CreateOrEditFQF3MM06ModalComponent|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IF_FQF3MM06Dto = new IF_FQF3MM06Dto();
    saveSelectedRow: IF_FQF3MM06Dto = new IF_FQF3MM06Dto();
    datas: IF_FQF3MM06Dto = new IF_FQF3MM06Dto();
    isLoading: boolean = false;
    dataParams: GridParams | undefined;
    rowData: any[] = [];
    gridApi!: GridApi;
    rowSelection = 'multiple';
    filter: string = '';
	pipe = new DatePipe('en-US');
	frameworkComponents: FrameworkComponent;
    	recordId
	authorizationGroup : string = '' ; 
	materialType : string = '' ; 
	materialCode : string = '' ; 
	industrySector : string = '' ; 
	materialDescription : string = '' ; 
	materialGroup : string = '' ; 
	baseUnitOfMeasure : string = '' ; 
	flagDeletionPlantLevel : string = '' ; 
	plant : string = '' ; 
	storageLocation : string = '' ; 
	productGroup : string = '' ; 
	productPurpose : string = '' ; 
	productType : string = '' ; 
	profitCenter : string = '' ; 
	batchManagement : string = '' ; 
	reservedStock : string = '' ; 
	residue : string = '' ; 
	lotCode : string = '' ; 
	mrpGroup : string = '' ; 
	mrpType : string = '' ; 
	procurementType : string = '' ; 
	specialProcurement : string = '' ; 
	prodStorLocation : string = '' ; 
	repetManufacturing : string = '' ; 
	remProfile : string = '' ; 
	doNotCost : string = '' ; 
	varianceKey : string = '' ; 
	costingLotSize : string = '' ; 
	productionVersion : string = '' ; 
	specialProcurementType : string = '' ; 
	valuationCategory : string = '' ; 
	valuationType : string = '' ; 
	valuationClass : string = '' ; 
	priceDetermination : string = '' ; 
	priceControl : string = '' ; 
	standardPrice : string = '' ; 
	movingPrice : string = '' ; 
	withQtyStructure : string = '' ; 
	materialOrigin : string = '' ; 
	originGroup : string = '' ; 
	basicDataText : string = '' ; 
	katashiki : string = '' ; 
	vehicleControlKatashiki : string = '' ; 
	toyotaOrNonToyota : string = '' ; 
	categoryOfGear : string = '' ; 
	goshiCar : string = '' ; 
	seriesOfVehicles : string = '' ; 
	deliverPowerOfDrivingWheels : string = '' ; 
	fuelType : string = '' ; 
	vehicleName : string = '' ; 
	priceUnit : string = '' ; 
	maruCode : string = '' ; 
	endingOfRecord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IF_FQF3MM06ServiceProxy,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this.l('Authorization Group'),headerTooltip: this.l('Authorization Group'),field: 'authorizationGroup',flex: 1},
			{headerName: this.l('Material Type'),headerTooltip: this.l('Material Type'),field: 'materialType',flex: 1},
			{headerName: this.l('Material Code'),headerTooltip: this.l('Material Code'),field: 'materialCode',flex: 1},
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
			{headerName: this.l('Material Description'),headerTooltip: this.l('Material Description'),field: 'materialDescription',flex: 1},
			{headerName: this.l('Material Group'),headerTooltip: this.l('Material Group'),field: 'materialGroup',flex: 1},
			{headerName: this.l('Base Unit Of Measure'),headerTooltip: this.l('Base Unit Of Measure'),field: 'baseUnitOfMeasure',flex: 1},
			{headerName: this.l('Flag Deletion Plant Level'),headerTooltip: this.l('Flag Deletion Plant Level'),field:  'flagDeletionPlantLevel', cellClass: ['text-center'], width: 120, cellRenderer: 'agCellButtonComponent',
buttonDefTwo: { text: params =&gt; (params.data?.'flagDeletionPlantLevel' == 'Y') ? 'Active' : 'Inactive',iconName: 'fa fa-circle',className: params =&gt; (params.data?.'flagDeletionPlantLevel' == 'Y') ? 'btnActive' : 'btnInActive',},}
			{headerName: this.l('Plant'),headerTooltip: this.l('Plant'),field: 'plant',flex: 1},
			{headerName: this.l('Storage Location'),headerTooltip: this.l('Storage Location'),field: 'storageLocation',flex: 1},
			{headerName: this.l('Product Group'),headerTooltip: this.l('Product Group'),field: 'productGroup',flex: 1},
			{headerName: this.l('Product Purpose'),headerTooltip: this.l('Product Purpose'),field: 'productPurpose',flex: 1},
			{headerName: this.l('Product Type'),headerTooltip: this.l('Product Type'),field: 'productType',flex: 1},
			{headerName: this.l('Profit Center'),headerTooltip: this.l('Profit Center'),field: 'profitCenter',flex: 1},
			{headerName: this.l('Batch Management'),headerTooltip: this.l('Batch Management'),field:  'batchManagement', cellClass: ['text-center'], width: 120, cellRenderer: 'agCellButtonComponent',
buttonDefTwo: { text: params =&gt; (params.data?.'batchManagement' == 'Y') ? 'Active' : 'Inactive',iconName: 'fa fa-circle',className: params =&gt; (params.data?.'batchManagement' == 'Y') ? 'btnActive' : 'btnInActive',},}
			{headerName: this.l('Reserved Stock'),headerTooltip: this.l('Reserved Stock'),field:  'reservedStock', cellClass: ['text-center'], width: 120, cellRenderer: 'agCellButtonComponent',
buttonDefTwo: { text: params =&gt; (params.data?.'reservedStock' == 'Y') ? 'Active' : 'Inactive',iconName: 'fa fa-circle',className: params =&gt; (params.data?.'reservedStock' == 'Y') ? 'btnActive' : 'btnInActive',},}
			{headerName: this.l('Residue'),headerTooltip: this.l('Residue'),field:  'residue', cellClass: ['text-center'], width: 120, cellRenderer: 'agCellButtonComponent',
buttonDefTwo: { text: params =&gt; (params.data?.'residue' == 'Y') ? 'Active' : 'Inactive',iconName: 'fa fa-circle',className: params =&gt; (params.data?.'residue' == 'Y') ? 'btnActive' : 'btnInActive',},}
			{headerName: this.l('Lot Code'),headerTooltip: this.l('Lot Code'),field: 'lotCode',flex: 1},
			{headerName: this.l('Mrp Group'),headerTooltip: this.l('Mrp Group'),field: 'mrpGroup',flex: 1},
			{headerName: this.l('Mrp Type'),headerTooltip: this.l('Mrp Type'),field: 'mrpType',flex: 1},
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
			{headerName: this.l('Special Procurement'),headerTooltip: this.l('Special Procurement'),field: 'specialProcurement',flex: 1},
			{headerName: this.l('Prod Stor Location'),headerTooltip: this.l('Prod Stor Location'),field: 'prodStorLocation',flex: 1},
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
			{headerName: this.l('Rem Profile'),headerTooltip: this.l('Rem Profile'),field: 'remProfile',flex: 1},
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
			{headerName: this.l('Variance Key'),headerTooltip: this.l('Variance Key'),field: 'varianceKey',flex: 1},
			{headerName: this.l('Costing Lot Size'),headerTooltip: this.l('Costing Lot Size'),field: 'costingLotSize',flex: 1},
			{headerName: this.l('Production Version'),headerTooltip: this.l('Production Version'),field: 'productionVersion',flex: 1},
			{headerName: this.l('Special Procurement Type'),headerTooltip: this.l('Special Procurement Type'),field: 'specialProcurementType',flex: 1},
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
			{headerName: this.l('Valuation Type'),headerTooltip: this.l('Valuation Type'),field: 'valuationType',flex: 1},
			{headerName: this.l('Valuation Class'),headerTooltip: this.l('Valuation Class'),field: 'valuationClass',flex: 1},
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
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
			{headerName: this.l('Standard Price'),headerTooltip: this.l('Standard Price'),field: 'standardPrice',flex: 1},
			{headerName: this.l('Moving Price'),headerTooltip: this.l('Moving Price'),field: 'movingPrice',flex: 1},
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
			{headerName: this.l('Material Origin'),headerTooltip: this.l('Material Origin'),field: 'materialOrigin',flex: 1},
			{headerName: this.l('Origin Group'),headerTooltip: this.l('Origin Group'),field: 'originGroup',flex: 1},
			{headerName: this.l('Basic Data Text'),headerTooltip: this.l('Basic Data Text'),field: 'basicDataText',flex: 1},
			{headerName: this.l('Katashiki'),headerTooltip: this.l('Katashiki'),field: 'katashiki',flex: 1},
			{headerName: this.l('Vehicle Control Katashiki'),headerTooltip: this.l('Vehicle Control Katashiki'),field: 'vehicleControlKatashiki',flex: 1},
			{headerName: this.l('Toyota Or Non Toyota'),headerTooltip: this.l('Toyota Or Non Toyota'),field: 'toyotaOrNonToyota',flex: 1},
			{headerName: this.l('Category Of Gear'),headerTooltip: this.l('Category Of Gear'),field:  'categoryOfGear', cellClass: ['text-center'], width: 120, cellRenderer: 'agCellButtonComponent',
buttonDefTwo: { text: params =&gt; (params.data?.'categoryOfGear' == 'Y') ? 'Active' : 'Inactive',iconName: 'fa fa-circle',className: params =&gt; (params.data?.'categoryOfGear' == 'Y') ? 'btnActive' : 'btnInActive',},}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this.l('Series Of Vehicles'),headerTooltip: this.l('Series Of Vehicles'),field: 'seriesOfVehicles',flex: 1},
			{headerName: this.l('Deliver Power Of Driving Wheels'),headerTooltip: this.l('Deliver Power Of Driving Wheels'),field: 'deliverPowerOfDrivingWheels',flex: 1},
			{headerName: this.l('Fuel Type'),headerTooltip: this.l('Fuel Type'),field: 'fuelType',flex: 1},
			{headerName: this.l('Vehicle Name'),headerTooltip: this.l('Vehicle Name'),field: 'vehicleName',flex: 1},
			{headerName: this.l('Price Unit'),headerTooltip: this.l('Price Unit'),field: 'priceUnit',flex: 1},
			{headerName: this.l('Maru Code'),headerTooltip: this.l('Maru Code'),field: 'maruCode',flex: 1},
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this.authorizationGroup,
			this.materialType,
			this.materialCode,
			this.industrySector,
			this.materialDescription,
			this.materialGroup,
			this.baseUnitOfMeasure,
			this.flagDeletionPlantLevel,
			this.plant,
			this.storageLocation,
			this.productGroup,
			this.productPurpose,
			this.productType,
			this.profitCenter,
			this.batchManagement,
			this.reservedStock,
			this.residue,
			this.lotCode,
			this.mrpGroup,
			this.mrpType,
			this.procurementType,
			this.specialProcurement,
			this.prodStorLocation,
			this.repetManufacturing,
			this.remProfile,
			this.doNotCost,
			this.varianceKey,
			this.costingLotSize,
			this.productionVersion,
			this.specialProcurementType,
			this.valuationCategory,
			this.valuationType,
			this.valuationClass,
			this.priceDetermination,
			this.priceControl,
			this.standardPrice,
			this.movingPrice,
			this.withQtyStructure,
			this.materialOrigin,
			this.originGroup,
			this.basicDataText,
			this.katashiki,
			this.vehicleControlKatashiki,
			this.toyotaOrNonToyota,
			this.categoryOfGear,
			this.goshiCar,
			this.seriesOfVehicles,
			this.deliverPowerOfDrivingWheels,
			this.fuelType,
			this.vehicleName,
			this.priceUnit,
			this.maruCode,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this.authorizationGroup = '',
		this.materialType = '',
		this.materialCode = '',
		this.industrySector = '',
		this.materialDescription = '',
		this.materialGroup = '',
		this.baseUnitOfMeasure = '',
		this.flagDeletionPlantLevel = '',
		this.plant = '',
		this.storageLocation = '',
		this.productGroup = '',
		this.productPurpose = '',
		this.productType = '',
		this.profitCenter = '',
		this.batchManagement = '',
		this.reservedStock = '',
		this.residue = '',
		this.lotCode = '',
		this.mrpGroup = '',
		this.mrpType = '',
		this.procurementType = '',
		this.specialProcurement = '',
		this.prodStorLocation = '',
		this.repetManufacturing = '',
		this.remProfile = '',
		this.doNotCost = '',
		this.varianceKey = '',
		this.costingLotSize = '',
		this.productionVersion = '',
		this.specialProcurementType = '',
		this.valuationCategory = '',
		this.valuationType = '',
		this.valuationClass = '',
		this.priceDetermination = '',
		this.priceControl = '',
		this.standardPrice = '',
		this.movingPrice = '',
		this.withQtyStructure = '',
		this.materialOrigin = '',
		this.originGroup = '',
		this.basicDataText = '',
		this.katashiki = '',
		this.vehicleControlKatashiki = '',
		this.toyotaOrNonToyota = '',
		this.categoryOfGear = '',
		this.goshiCar = '',
		this.seriesOfVehicles = '',
		this.deliverPowerOfDrivingWheels = '',
		this.fuelType = '',
		this.vehicleName = '',
		this.priceUnit = '',
		this.maruCode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this.authorizationGroup,
			this.materialType,
			this.materialCode,
			this.industrySector,
			this.materialDescription,
			this.materialGroup,
			this.baseUnitOfMeasure,
			this.flagDeletionPlantLevel,
			this.plant,
			this.storageLocation,
			this.productGroup,
			this.productPurpose,
			this.productType,
			this.profitCenter,
			this.batchManagement,
			this.reservedStock,
			this.residue,
			this.lotCode,
			this.mrpGroup,
			this.mrpType,
			this.procurementType,
			this.specialProcurement,
			this.prodStorLocation,
			this.repetManufacturing,
			this.remProfile,
			this.doNotCost,
			this.varianceKey,
			this.costingLotSize,
			this.productionVersion,
			this.specialProcurementType,
			this.valuationCategory,
			this.valuationType,
			this.valuationClass,
			this.priceDetermination,
			this.priceControl,
			this.standardPrice,
			this.movingPrice,
			this.withQtyStructure,
			this.materialOrigin,
			this.originGroup,
			this.basicDataText,
			this.katashiki,
			this.vehicleControlKatashiki,
			this.toyotaOrNonToyota,
			this.categoryOfGear,
			this.goshiCar,
			this.seriesOfVehicles,
			this.deliverPowerOfDrivingWheels,
			this.fuelType,
			this.vehicleName,
			this.priceUnit,
			this.maruCode,
			this.endingOfRecord,
			'',
            this.paginationParams.skipCount,
            this.paginationParams.pageSize
        );
    }
    onChangeRowSelection(params: { api: { getSelectedRows: () =&gt; IF_FQF3MM06Dto[] } }) {
        this.saveSelectedRow = params.api.getSelectedRows()[0] ?? new IF_FQF3MM06Dto();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IF_FQF3MM06Dto):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this._service.getFQF3MM06ToExcel(
			this.recordId,
			this.authorizationGroup,
			this.materialType,
			this.materialCode,
			this.industrySector,
			this.materialDescription,
			this.materialGroup,
			this.baseUnitOfMeasure,
			this.flagDeletionPlantLevel,
			this.plant,
			this.storageLocation,
			this.productGroup,
			this.productPurpose,
			this.productType,
			this.profitCenter,
			this.batchManagement,
			this.reservedStock,
			this.residue,
			this.lotCode,
			this.mrpGroup,
			this.mrpType,
			this.procurementType,
			this.specialProcurement,
			this.prodStorLocation,
			this.repetManufacturing,
			this.remProfile,
			this.doNotCost,
			this.varianceKey,
			this.costingLotSize,
			this.productionVersion,
			this.specialProcurementType,
			this.valuationCategory,
			this.valuationType,
			this.valuationClass,
			this.priceDetermination,
			this.priceControl,
			this.standardPrice,
			this.movingPrice,
			this.withQtyStructure,
			this.materialOrigin,
			this.originGroup,
			this.basicDataText,
			this.katashiki,
			this.vehicleControlKatashiki,
			this.toyotaOrNonToyota,
			this.categoryOfGear,
			this.goshiCar,
			this.seriesOfVehicles,
			this.deliverPowerOfDrivingWheels,
			this.fuelType,
			this.vehicleName,
			this.priceUnit,
			this.maruCode,
			this.endingOfRecord,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FQF3MM06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[(ngModel)]='authorizationGroup' name='authorizationGroup'
									class='form-control' [placeholder]="l('Authorization Group')"
									type='text' (keyup.enter)='searchDatas()'&gt;
								&lt;/div&gt;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[(ngModel)]='industrySector' name='industrySector'
									class='form-control' [placeholder]="l('Industry Sector')"
									type='text' (keyup.enter)='searchDatas()'&gt;
								&lt;/div&gt;
								&lt;div class='input-search'&gt;
									&lt;input [(ngModel)]='materialDescription' name='materialDescription'
									class='form-control' [placeholder]="l('Material Description')"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[(ngModel)]='flagDeletionPlantLevel' name='flagDeletionPlantLevel'
									class='form-control' [placeholder]="l('Flag Deletion Plant Level')"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[(ngModel)]='productGroup' name='productGroup'
									class='form-control' [placeholder]="l('Product Group')"
									type='text' (keyup.enter)='searchDatas()'&gt;
								&lt;/div&gt;
								&lt;div class='input-search'&gt;
									&lt;input [(ngModel)]='productPurpose' name='productPurpose'
									class='form-control' [placeholder]="l('Product Purpose')"
									type='text' (keyup.enter)='searchDatas()'&gt;
								&lt;/div&gt;
								&lt;div class='input-search'&gt;
									&lt;input [(ngModel)]='productType' name='productType'
									class='form-control' [placeholder]="l('Product Type')"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[(ngModel)]='batchManagement' name='batchManagement'
									class='form-control' [placeholder]="l('Batch Management')"
									type='text' (keyup.enter)='searchDatas()'&gt;
								&lt;/div&gt;
								&lt;div class='input-search'&gt;
									&lt;input [(ngModel)]='reservedStock' name='reservedStock'
									class='form-control' [placeholder]="l('Reserved Stock')"
									type='text' (keyup.enter)='searchDatas()'&gt;
								&lt;/div&gt;
								&lt;div class='input-search'&gt;
									&lt;input [(ngModel)]='residue' name='residue'
									class='form-control' [placeholder]="l('Residue')"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[(ngModel)]='mrpGroup' name='mrpGroup'
									class='form-control' [placeholder]="l('Mrp Group')"
									type='text' (keyup.enter)='searchDatas()'&gt;
								&lt;/div&gt;
								&lt;div class='input-search'&gt;
									&lt;input [(ngModel)]='mrpType' name='mrpType'
									class='form-control' [placeholder]="l('Mrp Type')"
									type='text' (keyup.enter)='searchDatas()'&gt;
								&lt;/div&gt;
								&lt;div class='input-search'&gt;
									&lt;input [(ngModel)]='procurementType' name='procurementType'
									class='form-control' [placeholder]="l('Procurement Type')"
									type='text' (keyup.enter)='searchDatas()'&gt;
								&lt;/div&gt;
								&lt;div class='input-search'&gt;
									&lt;input [(ngModel)]='specialProcurement' name='specialProcurement'
									class='form-control' [placeholder]="l('Special Procurement')"
									type='text' (keyup.enter)='searchDatas()'&gt;
								&lt;/div&gt;
								&lt;div class='input-search'&gt;
									&lt;input [(ngModel)]='prodStorLocation' name='prodStorLocation'
									class='form-control' [placeholder]="l('Prod Stor Location')"
									type='text' (keyup.enter)='searchDatas()'&gt;
								&lt;/div&gt;
								&lt;div class='input-search'&gt;
									&lt;input [(ngModel)]='repetManufacturing' name='repetManufacturing'
									class='form-control' [placeholder]="l('Repet Manufacturing')"
									type='text' (keyup.enter)='searchDatas()'&gt;
								&lt;/div&gt;
								&lt;div class='input-search'&gt;
									&lt;input [(ngModel)]='remProfile' name='remProfile'
									class='form-control' [placeholder]="l('Rem Profile')"
									type='text' (keyup.enter)='searchDatas()'&gt;
								&lt;/div&gt;
								&lt;div class='input-search'&gt;
									&lt;input [(ngModel)]='doNotCost' name='doNotCost'
									class='form-control' [placeholder]="l('Do Not Cost')"
									type='text' (keyup.enter)='searchDatas()'&gt;
								&lt;/div&gt;
								&lt;div class='input-search'&gt;
									&lt;input [(ngModel)]='varianceKey' name='varianceKey'
									class='form-control' [placeholder]="l('Variance Key')"
									type='text' (keyup.enter)='searchDatas()'&gt;
								&lt;/div&gt;
								&lt;div class='input-search'&gt;
									&lt;input [(ngModel)]='costingLotSize' name='costingLotSize'
									class='form-control' [placeholder]="l('Costing Lot Size')"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[(ngModel)]='specialProcurementType' name='specialProcurementType'
									class='form-control' [placeholder]="l('Special Procurement Type')"
									type='text' (keyup.enter)='searchDatas()'&gt;
								&lt;/div&gt;
								&lt;div class='input-search'&gt;
									&lt;input [(ngModel)]='valuationCategory' name='valuationCategory'
									class='form-control' [placeholder]="l('Valuation Category')"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[(ngModel)]='priceDetermination' name='priceDetermination'
									class='form-control' [placeholder]="l('Price Determination')"
									type='text' (keyup.enter)='searchDatas()'&gt;
								&lt;/div&gt;
								&lt;div class='input-search'&gt;
									&lt;input [(ngModel)]='priceControl' name='priceControl'
									class='form-control' [placeholder]="l('Price Control')"
									type='text' (keyup.enter)='searchDatas()'&gt;
								&lt;/div&gt;
								&lt;div class='input-search'&gt;
									&lt;input [(ngModel)]='standardPrice' name='standardPrice'
									class='form-control' [placeholder]="l('Standard Price')"
									type='text' (keyup.enter)='searchDatas()'&gt;
								&lt;/div&gt;
								&lt;div class='input-search'&gt;
									&lt;input [(ngModel)]='movingPrice' name='movingPrice'
									class='form-control' [placeholder]="l('Moving Price')"
									type='text' (keyup.enter)='searchDatas()'&gt;
								&lt;/div&gt;
								&lt;div class='input-search'&gt;
									&lt;input [(ngModel)]='withQtyStructure' name='withQtyStructure'
									class='form-control' [placeholder]="l('With Qty Structure')"
									type='text' (keyup.enter)='searchDatas()'&gt;
								&lt;/div&gt;
								&lt;div class='input-search'&gt;
									&lt;input [(ngModel)]='materialOrigin' name='materialOrigin'
									class='form-control' [placeholder]="l('Material Origin')"
									type='text' (keyup.enter)='searchDatas()'&gt;
								&lt;/div&gt;
								&lt;div class='input-search'&gt;
									&lt;input [(ngModel)]='originGroup' name='originGroup'
									class='form-control' [placeholder]="l('Origin Group')"
									type='text' (keyup.enter)='searchDatas()'&gt;
								&lt;/div&gt;
								&lt;div class='input-search'&gt;
									&lt;input [(ngModel)]='basicDataText' name='basicDataText'
									class='form-control' [placeholder]="l('Basic Data Text')"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[(ngModel)]='vehicleControlKatashiki' name='vehicleControlKatashiki'
									class='form-control' [placeholder]="l('Vehicle Control Katashiki')"
									type='text' (keyup.enter)='searchDatas()'&gt;
								&lt;/div&gt;
								&lt;div class='input-search'&gt;
									&lt;input [(ngModel)]='toyotaOrNonToyota' name='toyotaOrNonToyota'
									class='form-control' [placeholder]="l('Toyota Or Non Toyota')"
									type='text' (keyup.enter)='searchDatas()'&gt;
								&lt;/div&gt;
								&lt;div class='input-search'&gt;
									&lt;input [(ngModel)]='categoryOfGear' name='categoryOfGear'
									class='form-control' [placeholder]="l('Category Of Gear')"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[(ngModel)]='seriesOfVehicles' name='seriesOfVehicles'
									class='form-control' [placeholder]="l('Series Of Vehicles')"
									type='text' (keyup.enter)='searchDatas()'&gt;
								&lt;/div&gt;
								&lt;div class='input-search'&gt;
									&lt;input [(ngModel)]='deliverPowerOfDrivingWheels' name='deliverPowerOfDrivingWheels'
									class='form-control' [placeholder]="l('Deliver Power Of Driving Wheels')"
									type='text' (keyup.enter)='searchDatas()'&gt;
								&lt;/div&gt;
								&lt;div class='input-search'&gt;
									&lt;input [(ngModel)]='fuelType' name='fuelType'
									class='form-control' [placeholder]="l('Fuel Type')"
									type='text' (keyup.enter)='searchDatas()'&gt;
								&lt;/div&gt;
								&lt;div class='input-search'&gt;
									&lt;input [(ngModel)]='vehicleName' name='vehicleName'
									class='form-control' [placeholder]="l('Vehicle Name')"
									type='text' (keyup.enter)='searchDatas()'&gt;
								&lt;/div&gt;
								&lt;div class='input-search'&gt;
									&lt;input [(ngModel)]='priceUnit' name='priceUnit'
									class='form-control' [placeholder]="l('Price Unit')"
									type='text' (keyup.enter)='searchDatas()'&gt;
								&lt;/div&gt;
								&lt;div class='input-search'&gt;
									&lt;input [(ngModel)]='maruCode' name='maruCode'
									class='form-control' [placeholder]="l('Maru Code')"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(click)="createOrEditModalFQF3MM06.show()"&gt;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(click)="createOrEditModalFQF3MM06.show(selectedRow)"&gt;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&lt;create-or-edit-fqf3mm06-modal
    #createOrEditModalFQF3MM06
    (modalSave)="callBackDataGrid(dataParams)"
    (modalClose)="onChangeRowSelection(dataParams)"
&gt;
&lt;/create-or-edit-fqf3mm06-modal&gt;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#createOrEditModalFQF3MM06="bs-modal"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FQF3MM06')}}&lt;/h3&gt;
                    &lt;h3 *ngIf="!rowdata.id"&gt;{{('Create New FQF3MM06')}}&lt;/h3&gt;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title'&gt;Industry Sector&lt;/label&gt;
						&lt;new-checkbox [(ngModel)]='_industrySector' name='industrySector' className='col-md-10' &gt; &lt;/new-checkbox&gt;
					&lt;/div&gt;
					&lt;div class='col-md-12 form-group row'&gt;
						&lt;label class='col-md-2 form-control title'&gt;Material Description&lt;/label&gt;
						&lt;input type='text' class='col-md-10 form-control input-text' name='MaterialDescription' [(ngModel)]='rowdata.materialDescription'&gt;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title'&gt;Flag Deletion Plant Level&lt;/label&gt;
						&lt;new-checkbox [(ngModel)]='_flagDeletionPlantLevel' name='flagDeletionPlantLevel' className='col-md-10' &gt; &lt;/new-checkbox&gt;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title'&gt;Product Group&lt;/label&gt;
						&lt;input type='text' class='col-md-10 form-control input-text' name='ProductGroup' [(ngModel)]='rowdata.productGroup'&gt;
					&lt;/div&gt;
					&lt;div class='col-md-12 form-group row'&gt;
						&lt;label class='col-md-2 form-control title'&gt;Product Purpose&lt;/label&gt;
						&lt;input type='text' class='col-md-10 form-control input-text' name='ProductPurpose' [(ngModel)]='rowdata.productPurpose'&gt;
					&lt;/div&gt;
					&lt;div class='col-md-12 form-group row'&gt;
						&lt;label class='col-md-2 form-control title'&gt;Product Type&lt;/label&gt;
						&lt;input type='text' class='col-md-10 form-control input-text' name='ProductType' [(ngModel)]='rowdata.productType'&gt;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title'&gt;Batch Management&lt;/label&gt;
						&lt;new-checkbox [(ngModel)]='_batchManagement' name='batchManagement' className='col-md-10' &gt; &lt;/new-checkbox&gt;
					&lt;/div&gt;
					&lt;div class='col-md-12 form-group row'&gt;
						&lt;label class='col-md-2 form-control title'&gt;Reserved Stock&lt;/label&gt;
						&lt;new-checkbox [(ngModel)]='_reservedStock' name='reservedStock' className='col-md-10' &gt; &lt;/new-checkbox&gt;
					&lt;/div&gt;
					&lt;div class='col-md-12 form-group row'&gt;
						&lt;label class='col-md-2 form-control title'&gt;Residue&lt;/label&gt;
						&lt;new-checkbox [(ngModel)]='_residue' name='residue' className='col-md-10' &gt; &lt;/new-checkbox&gt;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title'&gt;Mrp Group&lt;/label&gt;
						&lt;input type='text' class='col-md-10 form-control input-text' name='MrpGroup' [(ngModel)]='rowdata.mrpGroup'&gt;
					&lt;/div&gt;
					&lt;div class='col-md-12 form-group row'&gt;
						&lt;label class='col-md-2 form-control title'&gt;Mrp Type&lt;/label&gt;
						&lt;input type='text' class='col-md-10 form-control input-text' name='MrpType' [(ngModel)]='rowdata.mrpType'&gt;
					&lt;/div&gt;
					&lt;div class='col-md-12 form-group row'&gt;
						&lt;label class='col-md-2 form-control title'&gt;Procurement Type&lt;/label&gt;
						&lt;new-checkbox [(ngModel)]='_procurementType' name='procurementType' className='col-md-10' &gt; &lt;/new-checkbox&gt;
					&lt;/div&gt;
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
					&lt;div class='col-md-12 form-group row'&gt;
						&lt;label class='col-md-2 form-control title'&gt;Prod Stor Location&lt;/label&gt;
						&lt;input type='text' class='col-md-10 form-control input-text' name='ProdStorLocation' [(ngModel)]='rowdata.prodStorLocation'&gt;
					&lt;/div&gt;
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
					&lt;div class='col-md-12 form-group row'&gt;
						&lt;label class='col-md-2 form-control title'&gt;Rem Profile&lt;/label&gt;
						&lt;input type='text' class='col-md-10 form-control input-text' name='RemProfile' [(ngModel)]='rowdata.remProfile'&gt;
					&lt;/div&gt;
					&lt;div class='col-md-12 form-group row'&gt;
						&lt;label class='col-md-2 form-control title'&gt;Do Not Cost&lt;/label&gt;
						&lt;new-checkbox [(ngModel)]='_doNotCost' name='doNotCost' className='col-md-10' &gt; &lt;/new-checkbox&gt;
					&lt;/div&gt;
					&lt;div class='col-md-12 form-group row'&gt;
						&lt;label class='col-md-2 form-control title'&gt;Variance Key&lt;/label&gt;
						&lt;input type='text' class='col-md-10 form-control input-text' name='VarianceKey' [(ngModel)]='rowdata.varianceKey'&gt;
					&lt;/div&gt;
					&lt;div class='col-md-12 form-group row'&gt;
						&lt;label class='col-md-2 form-control title'&gt;Costing Lot Size&lt;/label&gt;
						&lt;input type='text' class='col-md-10 form-control input-text' name='CostingLotSize' [(ngModel)]='rowdata.costingLotSize'&gt;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title'&gt;Special Procurement Type&lt;/label&gt;
						&lt;input type='text' class='col-md-10 form-control input-text' name='SpecialProcurementType' [(ngModel)]='rowdata.specialProcurementType'&gt;
					&lt;/div&gt;
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
					&lt;div class='col-md-12 form-group row'&gt;
						&lt;label class='col-md-2 form-control title'&gt;Price Control&lt;/label&gt;
						&lt;new-checkbox [(ngModel)]='_priceControl' name='priceControl' className='col-md-10' &gt; &lt;/new-checkbox&gt;
					&lt;/div&gt;
					&lt;div class='col-md-12 form-group row'&gt;
						&lt;label class='col-md-2 form-control title'&gt;Standard Price&lt;/label&gt;
						&lt;input type='text' class='col-md-10 form-control input-text' name='StandardPrice' [(ngModel)]='rowdata.standardPrice'&gt;
					&lt;/div&gt;
					&lt;div class='col-md-12 form-group row'&gt;
						&lt;label class='col-md-2 form-control title'&gt;Moving Price&lt;/label&gt;
						&lt;input type='text' class='col-md-10 form-control input-text' name='MovingPrice' [(ngModel)]='rowdata.movingPrice'&gt;
					&lt;/div&gt;
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
					&lt;div class='col-md-12 form-group row'&gt;
						&lt;label class='col-md-2 form-control title'&gt;Material Origin&lt;/label&gt;
						&lt;input type='text' class='col-md-10 form-control input-text' name='MaterialOrigin' [(ngModel)]='rowdata.materialOrigin'&gt;
					&lt;/div&gt;
					&lt;div class='col-md-12 form-group row'&gt;
						&lt;label class='col-md-2 form-control title'&gt;Origin Group&lt;/label&gt;
						&lt;input type='text' class='col-md-10 form-control input-text' name='OriginGroup' [(ngModel)]='rowdata.originGroup'&gt;
					&lt;/div&gt;
					&lt;div class='col-md-12 form-group row'&gt;
						&lt;label class='col-md-2 form-control title'&gt;Basic Data Text&lt;/label&gt;
						&lt;input type='text' class='col-md-10 form-control input-text' name='BasicDataText' [(ngModel)]='rowdata.basicDataText'&gt;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title'&gt;Vehicle Control Katashiki&lt;/label&gt;
						&lt;input type='text' class='col-md-10 form-control input-text' name='VehicleControlKatashiki' [(ngModel)]='rowdata.vehicleControlKatashiki'&gt;
					&lt;/div&gt;
					&lt;div class='col-md-12 form-group row'&gt;
						&lt;label class='col-md-2 form-control title'&gt;Toyota Or Non Toyota&lt;/label&gt;
						&lt;input type='text' class='col-md-10 form-control input-text' name='ToyotaOrNonToyota' [(ngModel)]='rowdata.toyotaOrNonToyota'&gt;
					&lt;/div&gt;
					&lt;div class='col-md-12 form-group row'&gt;
						&lt;label class='col-md-2 form-control title'&gt;Category Of Gear&lt;/label&gt;
						&lt;new-checkbox [(ngModel)]='_categoryOfGear' name='categoryOfGear' className='col-md-10' &gt; &lt;/new-checkbox&gt;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title'&gt;Series Of Vehicles&lt;/label&gt;
						&lt;input type='text' class='col-md-10 form-control input-text' name='SeriesOfVehicles' [(ngModel)]='rowdata.seriesOfVehicles'&gt;
					&lt;/div&gt;
					&lt;div class='col-md-12 form-group row'&gt;
						&lt;label class='col-md-2 form-control title'&gt;Deliver Power Of Driving Wheels&lt;/label&gt;
						&lt;input type='text' class='col-md-10 form-control input-text' name='DeliverPowerOfDrivingWheels' [(ngModel)]='rowdata.deliverPowerOfDrivingWheels'&gt;
					&lt;/div&gt;
					&lt;div class='col-md-12 form-group row'&gt;
						&lt;label class='col-md-2 form-control title'&gt;Fuel Type&lt;/label&gt;
						&lt;input type='text' class='col-md-10 form-control input-text' name='FuelType' [(ngModel)]='rowdata.fuelType'&gt;
					&lt;/div&gt;
					&lt;div class='col-md-12 form-group row'&gt;
						&lt;label class='col-md-2 form-control title'&gt;Vehicle Name&lt;/label&gt;
						&lt;input type='text' class='col-md-10 form-control input-text' name='VehicleName' [(ngModel)]='rowdata.vehicleName'&gt;
					&lt;/div&gt;
					&lt;div class='col-md-12 form-group row'&gt;
						&lt;label class='col-md-2 form-control title'&gt;Price Unit&lt;/label&gt;
						&lt;input type='text' class='col-md-10 form-control input-text' name='PriceUnit' [(ngModel)]='rowdata.priceUnit'&gt;
					&lt;/div&gt;
					&lt;div class='col-md-12 form-group row'&gt;
						&lt;label class='col-md-2 form-control title'&gt;Maru Code&lt;/label&gt;
						&lt;input type='text' class='col-md-10 form-control input-text' name='MaruCode' [(ngModel)]='rowdata.maruCode'&gt;
					&lt;/div&gt;
					&lt;div class='col-md-12 form-group row'&gt;
						&lt;label class='col-md-2 form-control title'&gt;Ending Of Record&lt;/label&gt;
						&lt;new-checkbox [(ngModel)]='_endingOfRecord' name='endingOfRecord'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CreateOrEditIF_FQF3MM06Dto, IF_FQF3MM06ServiceProxy } from '@shared/service-proxies/service-proxies';
import { BsDatepickerDirective } from 'ngx-bootstrap/datepicker';
@Component({
    selector: 'create-or-edit-fqf3mm06-modal',
    templateUrl: './create-or-edit-fqf3mm06-modal.component.html',
    styleUrls: ['./create-or-edit-fqf3mm06-modal.component.less']
    })
export class CreateOrEditFQF3MM06ModalComponent extends AppComponentBase {
    @ViewChild('createOrEditModalFQF3MM06',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CreateOrEditIF_FQF3MM06Dto = new CreateOrEditIF_FQF3MM06Dto();
    active: boolean = false;
    saving: boolean = false;
    _industrySector
flagDeletionPlantLevel
batchManagement
reservedStock
residue
procurementType
repetManufacturing
doNotCost
valuationCategory
priceDetermination
priceControl
withQtyStructure
categoryOfGear
goshiCar
endingOfRecord: boolean;
    constructor(
        injector: Injector,
        private _mstwptFQF3MM06Service: IF_FQF3MM06ServiceProxy,
    ) 
    {
        super(injector);
    }
    show(rowdata?: CreateOrEditIF_FQF3MM06Dto): void {
        if (!rowdata) this.rowdata = new CreateOrEditIF_FQF3MM06Dto();
        else this.rowdata = rowdata;
        this._industrySector
flagDeletionPlantLevel
batchManagement
reservedStock
residue
procurementType
repetManufacturing
doNotCost
valuationCategory
priceDetermination
priceControl
withQtyStructure
categoryOfGear
goshiCar
endingOfRecord = (this.rowdata.industrySector
flagDeletionPlantLevel
batchManagement
reservedStock
residue
procurementType
repetManufacturing
doNotCost
valuationCategory
priceDetermination
priceControl
withQtyStructure
categoryOfGear
goshiCar
endingOfRecord == "N")? false: true;
        this.active = true;
        this.modal.show();
    } 
    changeActive(event){
        this._industrySector
flagDeletionPlantLevel
batchManagement
reservedStock
residue
procurementType
repetManufacturing
doNotCost
valuationCategory
priceDetermination
priceControl
withQtyStructure
categoryOfGear
goshiCar
endingOfRecord = event.target.checked;
    }
    save(): void {
    this.saving = true; 
    this.rowdata.industrySector
flagDeletionPlantLevel
batchManagement
reservedStock
residue
procurementType
repetManufacturing
doNotCost
valuationCategory
priceDetermination
priceControl
withQtyStructure
categoryOfGear
goshiCar
endingOfRecord = (this._industrySector
flagDeletionPlantLevel
batchManagement
reservedStock
residue
procurementType
repetManufacturing
doNotCost
valuationCategory
priceDetermination
priceControl
withQtyStructure
categoryOfGear
goshiCar
endingOfRecord == true) ? 'Y' : 'N'
    this._mstwptFQF3MM06Service.createOrEdit(this.rowdata)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FQF3MM06RoutingModule } from './fqf3mm06-routing.module';
import { FQF3MM06Component } from './fqf3mm06.component';
import { CreateOrEditFQF3MM06ModalComponent } from './create-or-edit-fqf3mm06-modal.component';
@NgModule({
    declarations: [
       FQF3MM06Component, 
        CreateOrEditFQF3MM06ModalComponent
    ],
    imports: [
        AppSharedModule, FQF3MM06RoutingModule]
})
export class FQF3MM06Module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FQF3MM06Component } from './fqf3mm06.component';
const routes: Routes = [{
    path: '',
    component: FQF3MM06Component,
    pathMatch: 'full'
}];
@NgModule({
    imports: [RouterModule.forChild(routes)],
    exports: [RouterModule],
})
export class FQF3MM06RoutingModule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AppMenuItem("FQF3MM06", "Pages.IF.IF.FQF3MM06", "flaticon-book",   "/app/main/if/if/fqf3mm06"),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'if/if/fqf3mm06',
    loadChildren: () =&gt; import('./if/if/fqf3mm06/fqf3mm06.module').then(m =&gt; m.FQF3MM06Module),
    data: { permission: 'Pages.IF.IF.FQF3MM06' }
},</v>
      </c>
      <c r="R10" s="47" t="str">
        <f>SUBSTITUTE(R9,"MstWptCalendar",$B$6)</f>
        <v>ApiServiceProxies.IF_FQF3MM06ServiceProxy,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H68</v>
      </c>
      <c r="I12" s="28" t="str">
        <f>"I"&amp;COUNTA($A:$A)</f>
        <v>I68</v>
      </c>
      <c r="J12" s="28"/>
      <c r="K12" s="28" t="str">
        <f>"K"&amp;COUNTA($A:$A)</f>
        <v>K68</v>
      </c>
      <c r="L12" s="28" t="str">
        <f>"L"&amp;COUNTA($A:$A)</f>
        <v>L68</v>
      </c>
      <c r="M12" s="28"/>
      <c r="N12" s="28"/>
      <c r="O12" s="28"/>
      <c r="P12" s="28"/>
      <c r="Q12" s="28"/>
      <c r="R12" s="28"/>
      <c r="S12" s="28" t="str">
        <f>"S"&amp;COUNTA($A:$A)</f>
        <v>S68</v>
      </c>
      <c r="T12" s="28" t="str">
        <f>"T"&amp;COUNTA($A:$A)</f>
        <v>T68</v>
      </c>
      <c r="U12" s="28" t="str">
        <f>"U"&amp;COUNTA($A:$A)</f>
        <v>U68</v>
      </c>
      <c r="V12" s="28" t="str">
        <f>"V"&amp;COUNTA($A:$A)</f>
        <v>V68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this.l('Record Id'),headerTooltip: this.l('Record Id'),field: 'recordId',flex: 1},
			{headerName: this.l('Authorization Group'),headerTooltip: this.l('Authorization Group'),field: 'authorizationGroup',flex: 1},
			{headerName: this.l('Material Type'),headerTooltip: this.l('Material Type'),field: 'materialType',flex: 1},
			{headerName: this.l('Material Code'),headerTooltip: this.l('Material Code'),field: 'materialCode',flex: 1},
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
			{headerName: this.l('Material Description'),headerTooltip: this.l('Material Description'),field: 'materialDescription',flex: 1},
			{headerName: this.l('Material Group'),headerTooltip: this.l('Material Group'),field: 'materialGroup',flex: 1},
			{headerName: this.l('Base Unit Of Measure'),headerTooltip: this.l('Base Unit Of Measure'),field: 'baseUnitOfMeasure',flex: 1},
			{headerName: this.l('Flag Deletion Plant Level'),headerTooltip: this.l('Flag Deletion Plant Level'),field:  'flagDeletionPlantLevel', cellClass: ['text-center'], width: 120, cellRenderer: 'agCellButtonComponent',
buttonDefTwo: { text: params =&gt; (params.data?.'flagDeletionPlantLevel' == 'Y') ? 'Active' : 'Inactive',iconName: 'fa fa-circle',className: params =&gt; (params.data?.'flagDeletionPlantLevel' == 'Y') ? 'btnActive' : 'btnInActive',},}
			{headerName: this.l('Plant'),headerTooltip: this.l('Plant'),field: 'plant',flex: 1},
			{headerName: this.l('Storage Location'),headerTooltip: this.l('Storage Location'),field: 'storageLocation',flex: 1},
			{headerName: this.l('Product Group'),headerTooltip: this.l('Product Group'),field: 'productGroup',flex: 1},
			{headerName: this.l('Product Purpose'),headerTooltip: this.l('Product Purpose'),field: 'productPurpose',flex: 1},
			{headerName: this.l('Product Type'),headerTooltip: this.l('Product Type'),field: 'productType',flex: 1},
			{headerName: this.l('Profit Center'),headerTooltip: this.l('Profit Center'),field: 'profitCenter',flex: 1},
			{headerName: this.l('Batch Management'),headerTooltip: this.l('Batch Management'),field:  'batchManagement', cellClass: ['text-center'], width: 120, cellRenderer: 'agCellButtonComponent',
buttonDefTwo: { text: params =&gt; (params.data?.'batchManagement' == 'Y') ? 'Active' : 'Inactive',iconName: 'fa fa-circle',className: params =&gt; (params.data?.'batchManagement' == 'Y') ? 'btnActive' : 'btnInActive',},}
			{headerName: this.l('Reserved Stock'),headerTooltip: this.l('Reserved Stock'),field:  'reservedStock', cellClass: ['text-center'], width: 120, cellRenderer: 'agCellButtonComponent',
buttonDefTwo: { text: params =&gt; (params.data?.'reservedStock' == 'Y') ? 'Active' : 'Inactive',iconName: 'fa fa-circle',className: params =&gt; (params.data?.'reservedStock' == 'Y') ? 'btnActive' : 'btnInActive',},}
			{headerName: this.l('Residue'),headerTooltip: this.l('Residue'),field:  'residue', cellClass: ['text-center'], width: 120, cellRenderer: 'agCellButtonComponent',
buttonDefTwo: { text: params =&gt; (params.data?.'residue' == 'Y') ? 'Active' : 'Inactive',iconName: 'fa fa-circle',className: params =&gt; (params.data?.'residue' == 'Y') ? 'btnActive' : 'btnInActive',},}
			{headerName: this.l('Lot Code'),headerTooltip: this.l('Lot Code'),field: 'lotCode',flex: 1},
			{headerName: this.l('Mrp Group'),headerTooltip: this.l('Mrp Group'),field: 'mrpGroup',flex: 1},
			{headerName: this.l('Mrp Type'),headerTooltip: this.l('Mrp Type'),field: 'mrpType',flex: 1},
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
			{headerName: this.l('Special Procurement'),headerTooltip: this.l('Special Procurement'),field: 'specialProcurement',flex: 1},
			{headerName: this.l('Prod Stor Location'),headerTooltip: this.l('Prod Stor Location'),field: 'prodStorLocation',flex: 1},
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
			{headerName: this.l('Rem Profile'),headerTooltip: this.l('Rem Profile'),field: 'remProfile',flex: 1},
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
			{headerName: this.l('Variance Key'),headerTooltip: this.l('Variance Key'),field: 'varianceKey',flex: 1},
			{headerName: this.l('Costing Lot Size'),headerTooltip: this.l('Costing Lot Size'),field: 'costingLotSize',flex: 1},
			{headerName: this.l('Production Version'),headerTooltip: this.l('Production Version'),field: 'productionVersion',flex: 1},
			{headerName: this.l('Special Procurement Type'),headerTooltip: this.l('Special Procurement Type'),field: 'specialProcurementType',flex: 1},
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
			{headerName: this.l('Valuation Type'),headerTooltip: this.l('Valuation Type'),field: 'valuationType',flex: 1},
			{headerName: this.l('Valuation Class'),headerTooltip: this.l('Valuation Class'),field: 'valuationClass',flex: 1},
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
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
			{headerName: this.l('Standard Price'),headerTooltip: this.l('Standard Price'),field: 'standardPrice',flex: 1},
			{headerName: this.l('Moving Price'),headerTooltip: this.l('Moving Price'),field: 'movingPrice',flex: 1},
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
			{headerName: this.l('Material Origin'),headerTooltip: this.l('Material Origin'),field: 'materialOrigin',flex: 1},
			{headerName: this.l('Origin Group'),headerTooltip: this.l('Origin Group'),field: 'originGroup',flex: 1},
			{headerName: this.l('Basic Data Text'),headerTooltip: this.l('Basic Data Text'),field: 'basicDataText',flex: 1},
			{headerName: this.l('Katashiki'),headerTooltip: this.l('Katashiki'),field: 'katashiki',flex: 1},
			{headerName: this.l('Vehicle Control Katashiki'),headerTooltip: this.l('Vehicle Control Katashiki'),field: 'vehicleControlKatashiki',flex: 1},
			{headerName: this.l('Toyota Or Non Toyota'),headerTooltip: this.l('Toyota Or Non Toyota'),field: 'toyotaOrNonToyota',flex: 1},
			{headerName: this.l('Category Of Gear'),headerTooltip: this.l('Category Of Gear'),field:  'categoryOfGear', cellClass: ['text-center'], width: 120, cellRenderer: 'agCellButtonComponent',
buttonDefTwo: { text: params =&gt; (params.data?.'categoryOfGear' == 'Y') ? 'Active' : 'Inactive',iconName: 'fa fa-circle',className: params =&gt; (params.data?.'categoryOfGear' == 'Y') ? 'btnActive' : 'btnInActive',},}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this.l('Series Of Vehicles'),headerTooltip: this.l('Series Of Vehicles'),field: 'seriesOfVehicles',flex: 1},
			{headerName: this.l('Deliver Power Of Driving Wheels'),headerTooltip: this.l('Deliver Power Of Driving Wheels'),field: 'deliverPowerOfDrivingWheels',flex: 1},
			{headerName: this.l('Fuel Type'),headerTooltip: this.l('Fuel Type'),field: 'fuelType',flex: 1},
			{headerName: this.l('Vehicle Name'),headerTooltip: this.l('Vehicle Name'),field: 'vehicleName',flex: 1},
			{headerName: this.l('Price Unit'),headerTooltip: this.l('Price Unit'),field: 'priceUnit',flex: 1},
			{headerName: this.l('Maru Code'),headerTooltip: this.l('Maru Code'),field: 'maruCode',flex: 1},
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</v>
      </c>
      <c r="I13" s="35" t="str">
        <f ca="1">TEXTJOIN2("
",TRUE,INDIRECT(I11):INDIRECT(I12))</f>
        <v xml:space="preserve">								&lt;div class='input-search'&gt;
									&lt;input [(ngModel)]='authorizationGroup' name='authorizationGroup'
									class='form-control' [placeholder]="l('Authorization Group')"
									type='text' (keyup.enter)='searchDatas()'&gt;
								&lt;/div&gt;
								&lt;div class='input-search'&gt;
									&lt;input [(ngModel)]='materialType' name='materialType'
									class='form-control' [placeholder]="l('Material Type')"
									type='text' (keyup.enter)='searchDatas()'&gt;
								&lt;/div&gt;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[(ngModel)]='industrySector' name='industrySector'
									class='form-control' [placeholder]="l('Industry Sector')"
									type='text' (keyup.enter)='searchDatas()'&gt;
								&lt;/div&gt;
								&lt;div class='input-search'&gt;
									&lt;input [(ngModel)]='materialDescription' name='materialDescription'
									class='form-control' [placeholder]="l('Material Description')"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[(ngModel)]='flagDeletionPlantLevel' name='flagDeletionPlantLevel'
									class='form-control' [placeholder]="l('Flag Deletion Plant Level')"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[(ngModel)]='productGroup' name='productGroup'
									class='form-control' [placeholder]="l('Product Group')"
									type='text' (keyup.enter)='searchDatas()'&gt;
								&lt;/div&gt;
								&lt;div class='input-search'&gt;
									&lt;input [(ngModel)]='productPurpose' name='productPurpose'
									class='form-control' [placeholder]="l('Product Purpose')"
									type='text' (keyup.enter)='searchDatas()'&gt;
								&lt;/div&gt;
								&lt;div class='input-search'&gt;
									&lt;input [(ngModel)]='productType' name='productType'
									class='form-control' [placeholder]="l('Product Type')"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[(ngModel)]='batchManagement' name='batchManagement'
									class='form-control' [placeholder]="l('Batch Management')"
									type='text' (keyup.enter)='searchDatas()'&gt;
								&lt;/div&gt;
								&lt;div class='input-search'&gt;
									&lt;input [(ngModel)]='reservedStock' name='reservedStock'
									class='form-control' [placeholder]="l('Reserved Stock')"
									type='text' (keyup.enter)='searchDatas()'&gt;
								&lt;/div&gt;
								&lt;div class='input-search'&gt;
									&lt;input [(ngModel)]='residue' name='residue'
									class='form-control' [placeholder]="l('Residue')"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[(ngModel)]='mrpGroup' name='mrpGroup'
									class='form-control' [placeholder]="l('Mrp Group')"
									type='text' (keyup.enter)='searchDatas()'&gt;
								&lt;/div&gt;
								&lt;div class='input-search'&gt;
									&lt;input [(ngModel)]='mrpType' name='mrpType'
									class='form-control' [placeholder]="l('Mrp Type')"
									type='text' (keyup.enter)='searchDatas()'&gt;
								&lt;/div&gt;
								&lt;div class='input-search'&gt;
									&lt;input [(ngModel)]='procurementType' name='procurementType'
									class='form-control' [placeholder]="l('Procurement Type')"
									type='text' (keyup.enter)='searchDatas()'&gt;
								&lt;/div&gt;
								&lt;div class='input-search'&gt;
									&lt;input [(ngModel)]='specialProcurement' name='specialProcurement'
									class='form-control' [placeholder]="l('Special Procurement')"
									type='text' (keyup.enter)='searchDatas()'&gt;
								&lt;/div&gt;
								&lt;div class='input-search'&gt;
									&lt;input [(ngModel)]='prodStorLocation' name='prodStorLocation'
									class='form-control' [placeholder]="l('Prod Stor Location')"
									type='text' (keyup.enter)='searchDatas()'&gt;
								&lt;/div&gt;
								&lt;div class='input-search'&gt;
									&lt;input [(ngModel)]='repetManufacturing' name='repetManufacturing'
									class='form-control' [placeholder]="l('Repet Manufacturing')"
									type='text' (keyup.enter)='searchDatas()'&gt;
								&lt;/div&gt;
								&lt;div class='input-search'&gt;
									&lt;input [(ngModel)]='remProfile' name='remProfile'
									class='form-control' [placeholder]="l('Rem Profile')"
									type='text' (keyup.enter)='searchDatas()'&gt;
								&lt;/div&gt;
								&lt;div class='input-search'&gt;
									&lt;input [(ngModel)]='doNotCost' name='doNotCost'
									class='form-control' [placeholder]="l('Do Not Cost')"
									type='text' (keyup.enter)='searchDatas()'&gt;
								&lt;/div&gt;
								&lt;div class='input-search'&gt;
									&lt;input [(ngModel)]='varianceKey' name='varianceKey'
									class='form-control' [placeholder]="l('Variance Key')"
									type='text' (keyup.enter)='searchDatas()'&gt;
								&lt;/div&gt;
								&lt;div class='input-search'&gt;
									&lt;input [(ngModel)]='costingLotSize' name='costingLotSize'
									class='form-control' [placeholder]="l('Costing Lot Size')"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[(ngModel)]='specialProcurementType' name='specialProcurementType'
									class='form-control' [placeholder]="l('Special Procurement Type')"
									type='text' (keyup.enter)='searchDatas()'&gt;
								&lt;/div&gt;
								&lt;div class='input-search'&gt;
									&lt;input [(ngModel)]='valuationCategory' name='valuationCategory'
									class='form-control' [placeholder]="l('Valuation Category')"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[(ngModel)]='priceDetermination' name='priceDetermination'
									class='form-control' [placeholder]="l('Price Determination')"
									type='text' (keyup.enter)='searchDatas()'&gt;
								&lt;/div&gt;
								&lt;div class='input-search'&gt;
									&lt;input [(ngModel)]='priceControl' name='priceControl'
									class='form-control' [placeholder]="l('Price Control')"
									type='text' (keyup.enter)='searchDatas()'&gt;
								&lt;/div&gt;
								&lt;div class='input-search'&gt;
									&lt;input [(ngModel)]='standardPrice' name='standardPrice'
									class='form-control' [placeholder]="l('Standard Price')"
									type='text' (keyup.enter)='searchDatas()'&gt;
								&lt;/div&gt;
								&lt;div class='input-search'&gt;
									&lt;input [(ngModel)]='movingPrice' name='movingPrice'
									class='form-control' [placeholder]="l('Moving Price')"
									type='text' (keyup.enter)='searchDatas()'&gt;
								&lt;/div&gt;
								&lt;div class='input-search'&gt;
									&lt;input [(ngModel)]='withQtyStructure' name='withQtyStructure'
									class='form-control' [placeholder]="l('With Qty Structure')"
									type='text' (keyup.enter)='searchDatas()'&gt;
								&lt;/div&gt;
								&lt;div class='input-search'&gt;
									&lt;input [(ngModel)]='materialOrigin' name='materialOrigin'
									class='form-control' [placeholder]="l('Material Origin')"
									type='text' (keyup.enter)='searchDatas()'&gt;
								&lt;/div&gt;
								&lt;div class='input-search'&gt;
									&lt;input [(ngModel)]='originGroup' name='originGroup'
									class='form-control' [placeholder]="l('Origin Group')"
									type='text' (keyup.enter)='searchDatas()'&gt;
								&lt;/div&gt;
								&lt;div class='input-search'&gt;
									&lt;input [(ngModel)]='basicDataText' name='basicDataText'
									class='form-control' [placeholder]="l('Basic Data Text')"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[(ngModel)]='vehicleControlKatashiki' name='vehicleControlKatashiki'
									class='form-control' [placeholder]="l('Vehicle Control Katashiki')"
									type='text' (keyup.enter)='searchDatas()'&gt;
								&lt;/div&gt;
								&lt;div class='input-search'&gt;
									&lt;input [(ngModel)]='toyotaOrNonToyota' name='toyotaOrNonToyota'
									class='form-control' [placeholder]="l('Toyota Or Non Toyota')"
									type='text' (keyup.enter)='searchDatas()'&gt;
								&lt;/div&gt;
								&lt;div class='input-search'&gt;
									&lt;input [(ngModel)]='categoryOfGear' name='categoryOfGear'
									class='form-control' [placeholder]="l('Category Of Gear')"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[(ngModel)]='seriesOfVehicles' name='seriesOfVehicles'
									class='form-control' [placeholder]="l('Series Of Vehicles')"
									type='text' (keyup.enter)='searchDatas()'&gt;
								&lt;/div&gt;
								&lt;div class='input-search'&gt;
									&lt;input [(ngModel)]='deliverPowerOfDrivingWheels' name='deliverPowerOfDrivingWheels'
									class='form-control' [placeholder]="l('Deliver Power Of Driving Wheels')"
									type='text' (keyup.enter)='searchDatas()'&gt;
								&lt;/div&gt;
								&lt;div class='input-search'&gt;
									&lt;input [(ngModel)]='fuelType' name='fuelType'
									class='form-control' [placeholder]="l('Fuel Type')"
									type='text' (keyup.enter)='searchDatas()'&gt;
								&lt;/div&gt;
								&lt;div class='input-search'&gt;
									&lt;input [(ngModel)]='vehicleName' name='vehicleName'
									class='form-control' [placeholder]="l('Vehicle Name')"
									type='text' (keyup.enter)='searchDatas()'&gt;
								&lt;/div&gt;
								&lt;div class='input-search'&gt;
									&lt;input [(ngModel)]='priceUnit' name='priceUnit'
									class='form-control' [placeholder]="l('Price Unit')"
									type='text' (keyup.enter)='searchDatas()'&gt;
								&lt;/div&gt;
								&lt;div class='input-search'&gt;
									&lt;input [(ngModel)]='maruCode' name='maruCode'
									class='form-control' [placeholder]="l('Maru Code')"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
					&lt;div class='col-md-12 form-group row'&gt;
						&lt;label class='col-md-2 form-control title'&gt;Material Type&lt;/label&gt;
						&lt;input type='text' class='col-md-10 form-control input-text' name='MaterialType' [(ngModel)]='rowdata.materialType'&gt;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title'&gt;Industry Sector&lt;/label&gt;
						&lt;new-checkbox [(ngModel)]='_industrySector' name='industrySector' className='col-md-10' &gt; &lt;/new-checkbox&gt;
					&lt;/div&gt;
					&lt;div class='col-md-12 form-group row'&gt;
						&lt;label class='col-md-2 form-control title'&gt;Material Description&lt;/label&gt;
						&lt;input type='text' class='col-md-10 form-control input-text' name='MaterialDescription' [(ngModel)]='rowdata.materialDescription'&gt;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title'&gt;Flag Deletion Plant Level&lt;/label&gt;
						&lt;new-checkbox [(ngModel)]='_flagDeletionPlantLevel' name='flagDeletionPlantLevel' className='col-md-10' &gt; &lt;/new-checkbox&gt;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title'&gt;Product Group&lt;/label&gt;
						&lt;input type='text' class='col-md-10 form-control input-text' name='ProductGroup' [(ngModel)]='rowdata.productGroup'&gt;
					&lt;/div&gt;
					&lt;div class='col-md-12 form-group row'&gt;
						&lt;label class='col-md-2 form-control title'&gt;Product Purpose&lt;/label&gt;
						&lt;input type='text' class='col-md-10 form-control input-text' name='ProductPurpose' [(ngModel)]='rowdata.productPurpose'&gt;
					&lt;/div&gt;
					&lt;div class='col-md-12 form-group row'&gt;
						&lt;label class='col-md-2 form-control title'&gt;Product Type&lt;/label&gt;
						&lt;input type='text' class='col-md-10 form-control input-text' name='ProductType' [(ngModel)]='rowdata.productType'&gt;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title'&gt;Batch Management&lt;/label&gt;
						&lt;new-checkbox [(ngModel)]='_batchManagement' name='batchManagement' className='col-md-10' &gt; &lt;/new-checkbox&gt;
					&lt;/div&gt;
					&lt;div class='col-md-12 form-group row'&gt;
						&lt;label class='col-md-2 form-control title'&gt;Reserved Stock&lt;/label&gt;
						&lt;new-checkbox [(ngModel)]='_reservedStock' name='reservedStock' className='col-md-10' &gt; &lt;/new-checkbox&gt;
					&lt;/div&gt;
					&lt;div class='col-md-12 form-group row'&gt;
						&lt;label class='col-md-2 form-control title'&gt;Residue&lt;/label&gt;
						&lt;new-checkbox [(ngModel)]='_residue' name='residue' className='col-md-10' &gt; &lt;/new-checkbox&gt;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title'&gt;Mrp Group&lt;/label&gt;
						&lt;input type='text' class='col-md-10 form-control input-text' name='MrpGroup' [(ngModel)]='rowdata.mrpGroup'&gt;
					&lt;/div&gt;
					&lt;div class='col-md-12 form-group row'&gt;
						&lt;label class='col-md-2 form-control title'&gt;Mrp Type&lt;/label&gt;
						&lt;input type='text' class='col-md-10 form-control input-text' name='MrpType' [(ngModel)]='rowdata.mrpType'&gt;
					&lt;/div&gt;
					&lt;div class='col-md-12 form-group row'&gt;
						&lt;label class='col-md-2 form-control title'&gt;Procurement Type&lt;/label&gt;
						&lt;new-checkbox [(ngModel)]='_procurementType' name='procurementType' className='col-md-10' &gt; &lt;/new-checkbox&gt;
					&lt;/div&gt;
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
					&lt;div class='col-md-12 form-group row'&gt;
						&lt;label class='col-md-2 form-control title'&gt;Prod Stor Location&lt;/label&gt;
						&lt;input type='text' class='col-md-10 form-control input-text' name='ProdStorLocation' [(ngModel)]='rowdata.prodStorLocation'&gt;
					&lt;/div&gt;
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
					&lt;div class='col-md-12 form-group row'&gt;
						&lt;label class='col-md-2 form-control title'&gt;Rem Profile&lt;/label&gt;
						&lt;input type='text' class='col-md-10 form-control input-text' name='RemProfile' [(ngModel)]='rowdata.remProfile'&gt;
					&lt;/div&gt;
					&lt;div class='col-md-12 form-group row'&gt;
						&lt;label class='col-md-2 form-control title'&gt;Do Not Cost&lt;/label&gt;
						&lt;new-checkbox [(ngModel)]='_doNotCost' name='doNotCost' className='col-md-10' &gt; &lt;/new-checkbox&gt;
					&lt;/div&gt;
					&lt;div class='col-md-12 form-group row'&gt;
						&lt;label class='col-md-2 form-control title'&gt;Variance Key&lt;/label&gt;
						&lt;input type='text' class='col-md-10 form-control input-text' name='VarianceKey' [(ngModel)]='rowdata.varianceKey'&gt;
					&lt;/div&gt;
					&lt;div class='col-md-12 form-group row'&gt;
						&lt;label class='col-md-2 form-control title'&gt;Costing Lot Size&lt;/label&gt;
						&lt;input type='text' class='col-md-10 form-control input-text' name='CostingLotSize' [(ngModel)]='rowdata.costingLotSize'&gt;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title'&gt;Special Procurement Type&lt;/label&gt;
						&lt;input type='text' class='col-md-10 form-control input-text' name='SpecialProcurementType' [(ngModel)]='rowdata.specialProcurementType'&gt;
					&lt;/div&gt;
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
					&lt;div class='col-md-12 form-group row'&gt;
						&lt;label class='col-md-2 form-control title'&gt;Price Control&lt;/label&gt;
						&lt;new-checkbox [(ngModel)]='_priceControl' name='priceControl' className='col-md-10' &gt; &lt;/new-checkbox&gt;
					&lt;/div&gt;
					&lt;div class='col-md-12 form-group row'&gt;
						&lt;label class='col-md-2 form-control title'&gt;Standard Price&lt;/label&gt;
						&lt;input type='text' class='col-md-10 form-control input-text' name='StandardPrice' [(ngModel)]='rowdata.standardPrice'&gt;
					&lt;/div&gt;
					&lt;div class='col-md-12 form-group row'&gt;
						&lt;label class='col-md-2 form-control title'&gt;Moving Price&lt;/label&gt;
						&lt;input type='text' class='col-md-10 form-control input-text' name='MovingPrice' [(ngModel)]='rowdata.movingPrice'&gt;
					&lt;/div&gt;
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
					&lt;div class='col-md-12 form-group row'&gt;
						&lt;label class='col-md-2 form-control title'&gt;Material Origin&lt;/label&gt;
						&lt;input type='text' class='col-md-10 form-control input-text' name='MaterialOrigin' [(ngModel)]='rowdata.materialOrigin'&gt;
					&lt;/div&gt;
					&lt;div class='col-md-12 form-group row'&gt;
						&lt;label class='col-md-2 form-control title'&gt;Origin Group&lt;/label&gt;
						&lt;input type='text' class='col-md-10 form-control input-text' name='OriginGroup' [(ngModel)]='rowdata.originGroup'&gt;
					&lt;/div&gt;
					&lt;div class='col-md-12 form-group row'&gt;
						&lt;label class='col-md-2 form-control title'&gt;Basic Data Text&lt;/label&gt;
						&lt;input type='text' class='col-md-10 form-control input-text' name='BasicDataText' [(ngModel)]='rowdata.basicDataText'&gt;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title'&gt;Vehicle Control Katashiki&lt;/label&gt;
						&lt;input type='text' class='col-md-10 form-control input-text' name='VehicleControlKatashiki' [(ngModel)]='rowdata.vehicleControlKatashiki'&gt;
					&lt;/div&gt;
					&lt;div class='col-md-12 form-group row'&gt;
						&lt;label class='col-md-2 form-control title'&gt;Toyota Or Non Toyota&lt;/label&gt;
						&lt;input type='text' class='col-md-10 form-control input-text' name='ToyotaOrNonToyota' [(ngModel)]='rowdata.toyotaOrNonToyota'&gt;
					&lt;/div&gt;
					&lt;div class='col-md-12 form-group row'&gt;
						&lt;label class='col-md-2 form-control title'&gt;Category Of Gear&lt;/label&gt;
						&lt;new-checkbox [(ngModel)]='_categoryOfGear' name='categoryOfGear' className='col-md-10' &gt; &lt;/new-checkbox&gt;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title'&gt;Series Of Vehicles&lt;/label&gt;
						&lt;input type='text' class='col-md-10 form-control input-text' name='SeriesOfVehicles' [(ngModel)]='rowdata.seriesOfVehicles'&gt;
					&lt;/div&gt;
					&lt;div class='col-md-12 form-group row'&gt;
						&lt;label class='col-md-2 form-control title'&gt;Deliver Power Of Driving Wheels&lt;/label&gt;
						&lt;input type='text' class='col-md-10 form-control input-text' name='DeliverPowerOfDrivingWheels' [(ngModel)]='rowdata.deliverPowerOfDrivingWheels'&gt;
					&lt;/div&gt;
					&lt;div class='col-md-12 form-group row'&gt;
						&lt;label class='col-md-2 form-control title'&gt;Fuel Type&lt;/label&gt;
						&lt;input type='text' class='col-md-10 form-control input-text' name='FuelType' [(ngModel)]='rowdata.fuelType'&gt;
					&lt;/div&gt;
					&lt;div class='col-md-12 form-group row'&gt;
						&lt;label class='col-md-2 form-control title'&gt;Vehicle Name&lt;/label&gt;
						&lt;input type='text' class='col-md-10 form-control input-text' name='VehicleName' [(ngModel)]='rowdata.vehicleName'&gt;
					&lt;/div&gt;
					&lt;div class='col-md-12 form-group row'&gt;
						&lt;label class='col-md-2 form-control title'&gt;Price Unit&lt;/label&gt;
						&lt;input type='text' class='col-md-10 form-control input-text' name='PriceUnit' [(ngModel)]='rowdata.priceUnit'&gt;
					&lt;/div&gt;
					&lt;div class='col-md-12 form-group row'&gt;
						&lt;label class='col-md-2 form-control title'&gt;Maru Code&lt;/label&gt;
						&lt;input type='text' class='col-md-10 form-control input-text' name='MaruCode' [(ngModel)]='rowdata.maruCode'&gt;
					&lt;/div&gt;
					&lt;div class='col-md-12 form-group row'&gt;
						&lt;label class='col-md-2 form-control title'&gt;Ending Of Record&lt;/label&gt;
						&lt;new-checkbox [(ngModel)]='_endingOfRecord' name='endingOfRecord'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recordId
	authorizationGroup : string = '' ; 
	materialType : string = '' ; 
	materialCode : string = '' ; 
	industrySector : string = '' ; 
	materialDescription : string = '' ; 
	materialGroup : string = '' ; 
	baseUnitOfMeasure : string = '' ; 
	flagDeletionPlantLevel : string = '' ; 
	plant : string = '' ; 
	storageLocation : string = '' ; 
	productGroup : string = '' ; 
	productPurpose : string = '' ; 
	productType : string = '' ; 
	profitCenter : string = '' ; 
	batchManagement : string = '' ; 
	reservedStock : string = '' ; 
	residue : string = '' ; 
	lotCode : string = '' ; 
	mrpGroup : string = '' ; 
	mrpType : string = '' ; 
	procurementType : string = '' ; 
	specialProcurement : string = '' ; 
	prodStorLocation : string = '' ; 
	repetManufacturing : string = '' ; 
	remProfile : string = '' ; 
	doNotCost : string = '' ; 
	varianceKey : string = '' ; 
	costingLotSize : string = '' ; 
	productionVersion : string = '' ; 
	specialProcurementType : string = '' ; 
	valuationCategory : string = '' ; 
	valuationType : string = '' ; 
	valuationClass : string = '' ; 
	priceDetermination : string = '' ; 
	priceControl : string = '' ; 
	standardPrice : string = '' ; 
	movingPrice : string = '' ; 
	withQtyStructure : string = '' ; 
	materialOrigin : string = '' ; 
	originGroup : string = '' ; 
	basicDataText : string = '' ; 
	katashiki : string = '' ; 
	vehicleControlKatashiki : string = '' ; 
	toyotaOrNonToyota : string = '' ; 
	categoryOfGear : string = '' ; 
	goshiCar : string = '' ; 
	seriesOfVehicles : string = '' ; 
	deliverPowerOfDrivingWheels : string = '' ; 
	fuelType : string = '' ; 
	vehicleName : string = '' ; 
	priceUnit : string = '' ; 
	maruCode : string = '' ; 
	endingOfRecord : string = '' ; </v>
      </c>
      <c r="T13" s="62" t="str">
        <f ca="1">TEXTJOIN2("
",TRUE,INDIRECT(T11):INDIRECT(T12))</f>
        <v xml:space="preserve">			this.recordId,
			this.authorizationGroup,
			this.materialType,
			this.materialCode,
			this.industrySector,
			this.materialDescription,
			this.materialGroup,
			this.baseUnitOfMeasure,
			this.flagDeletionPlantLevel,
			this.plant,
			this.storageLocation,
			this.productGroup,
			this.productPurpose,
			this.productType,
			this.profitCenter,
			this.batchManagement,
			this.reservedStock,
			this.residue,
			this.lotCode,
			this.mrpGroup,
			this.mrpType,
			this.procurementType,
			this.specialProcurement,
			this.prodStorLocation,
			this.repetManufacturing,
			this.remProfile,
			this.doNotCost,
			this.varianceKey,
			this.costingLotSize,
			this.productionVersion,
			this.specialProcurementType,
			this.valuationCategory,
			this.valuationType,
			this.valuationClass,
			this.priceDetermination,
			this.priceControl,
			this.standardPrice,
			this.movingPrice,
			this.withQtyStructure,
			this.materialOrigin,
			this.originGroup,
			this.basicDataText,
			this.katashiki,
			this.vehicleControlKatashiki,
			this.toyotaOrNonToyota,
			this.categoryOfGear,
			this.goshiCar,
			this.seriesOfVehicles,
			this.deliverPowerOfDrivingWheels,
			this.fuelType,
			this.vehicleName,
			this.priceUnit,
			this.maruCode,
			this.endingOfRecord,</v>
      </c>
      <c r="U13" s="62" t="str">
        <f ca="1">TEXTJOIN2("
",TRUE,INDIRECT(U11):INDIRECT(U12))</f>
        <v xml:space="preserve">		this.recordId = '',
		this.authorizationGroup = '',
		this.materialType = '',
		this.materialCode = '',
		this.industrySector = '',
		this.materialDescription = '',
		this.materialGroup = '',
		this.baseUnitOfMeasure = '',
		this.flagDeletionPlantLevel = '',
		this.plant = '',
		this.storageLocation = '',
		this.productGroup = '',
		this.productPurpose = '',
		this.productType = '',
		this.profitCenter = '',
		this.batchManagement = '',
		this.reservedStock = '',
		this.residue = '',
		this.lotCode = '',
		this.mrpGroup = '',
		this.mrpType = '',
		this.procurementType = '',
		this.specialProcurement = '',
		this.prodStorLocation = '',
		this.repetManufacturing = '',
		this.remProfile = '',
		this.doNotCost = '',
		this.varianceKey = '',
		this.costingLotSize = '',
		this.productionVersion = '',
		this.specialProcurementType = '',
		this.valuationCategory = '',
		this.valuationType = '',
		this.valuationClass = '',
		this.priceDetermination = '',
		this.priceControl = '',
		this.standardPrice = '',
		this.movingPrice = '',
		this.withQtyStructure = '',
		this.materialOrigin = '',
		this.originGroup = '',
		this.basicDataText = '',
		this.katashiki = '',
		this.vehicleControlKatashiki = '',
		this.toyotaOrNonToyota = '',
		this.categoryOfGear = '',
		this.goshiCar = '',
		this.seriesOfVehicles = '',
		this.deliverPowerOfDrivingWheels = '',
		this.fuelType = '',
		this.vehicleName = '',
		this.priceUnit = '',
		this.maruCode = '',
		this.endingOfRecord = '',</v>
      </c>
      <c r="V13" s="28" t="str">
        <f ca="1">TEXTJOIN2("
",TRUE,INDIRECT(V11):INDIRECT(V12))</f>
        <v>industrySector
flagDeletionPlantLevel
batchManagement
reservedStock
residue
procurementType
repetManufacturing
doNotCost
valuationCategory
priceDetermination
priceControl
withQtyStructure
categoryOfGear
goshiCar
endingOfRecord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fqf3mm06.component.ts</v>
      </c>
      <c r="I14" s="37" t="str">
        <f>B8&amp;".component.html"</f>
        <v>fqf3mm06.component.html</v>
      </c>
      <c r="J14" s="36" t="str">
        <f>B8&amp;".component.less"</f>
        <v>fqf3mm06.component.less</v>
      </c>
      <c r="K14" s="37" t="str">
        <f>"create-or-edit-"&amp;B8&amp;"-modal.component.html"</f>
        <v>create-or-edit-fqf3mm06-modal.component.html</v>
      </c>
      <c r="L14" s="37" t="str">
        <f>"create-or-edit-"&amp;B8&amp;"-modal.component.ts"</f>
        <v>create-or-edit-fqf3mm06-modal.component.ts</v>
      </c>
      <c r="M14" s="37" t="str">
        <f>"create-or-edit-"&amp;B8&amp;"-modal.component.less"</f>
        <v>create-or-edit-fqf3mm06-modal.component.less</v>
      </c>
      <c r="N14" s="37" t="str">
        <f>B8&amp;".module.ts"</f>
        <v>fqf3mm06.module.ts</v>
      </c>
      <c r="O14" s="37" t="str">
        <f>B8&amp;"-routing.module.ts"</f>
        <v>fqf3mm06-routing.module.ts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360</v>
      </c>
      <c r="B15" s="28" t="str">
        <f t="shared" ref="B15:B32" si="0">SUBSTITUTE(PROPER(A15),"_","")</f>
        <v>RecordId</v>
      </c>
      <c r="C15" s="28" t="str">
        <f t="shared" ref="C15:C32" si="1">SUBSTITUTE(PROPER(A15),"_"," ")</f>
        <v>Record Id</v>
      </c>
      <c r="D15" s="28" t="str">
        <f t="shared" ref="D15:D32" si="2">LOWER(LEFT(B15,1))&amp;RIGHT(B15,LEN(B15) - 1)</f>
        <v>recordId</v>
      </c>
      <c r="E15" s="28" t="str">
        <f>A.Backend!H9</f>
        <v>int?</v>
      </c>
      <c r="F15" s="28" t="str">
        <f>A.Backend!G9</f>
        <v/>
      </c>
      <c r="G15" s="28" t="str">
        <f t="shared" ref="G15:G68" si="3">IF(E15="string"," : string = '' ; ",IF(OR(E15="DateTime",E15="TimeSpan")," : any ;",IF(E15="int"," : number = 0 ;","")))</f>
        <v/>
      </c>
      <c r="H15" s="35" t="str">
        <f t="shared" ref="H15:H6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this.l('Record Id'),headerTooltip: this.l('Record Id'),field: 'recordId',flex: 1},</v>
      </c>
      <c r="I15" s="35" t="str">
        <f t="shared" ref="I15:I6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6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recordId</v>
      </c>
      <c r="T15" s="28" t="str">
        <f>REPT(CHAR(9),3)&amp;"this."&amp;D15&amp;","</f>
        <v xml:space="preserve">			this.recordId,</v>
      </c>
      <c r="U15" s="28" t="str">
        <f>IF(E15="int",REPT(CHAR(9),2)&amp;"this."&amp;D15&amp;" = 0,",REPT(CHAR(9),2)&amp;"this."&amp;D15&amp;" = '',")</f>
        <v xml:space="preserve">		this.recordId = '',</v>
      </c>
      <c r="V15" s="28" t="str">
        <f t="shared" ref="V15:V68" si="8">IF(AND(E15="string",F15="1"),D15,"")</f>
        <v/>
      </c>
    </row>
    <row r="16" spans="1:22" ht="18" customHeight="1" x14ac:dyDescent="0.25">
      <c r="A16" t="s">
        <v>361</v>
      </c>
      <c r="B16" s="28" t="str">
        <f t="shared" ref="B16" si="9">SUBSTITUTE(PROPER(A16),"_","")</f>
        <v>AuthorizationGroup</v>
      </c>
      <c r="C16" s="28" t="str">
        <f t="shared" ref="C16" si="10">SUBSTITUTE(PROPER(A16),"_"," ")</f>
        <v>Authorization Group</v>
      </c>
      <c r="D16" s="28" t="str">
        <f t="shared" ref="D16" si="11">LOWER(LEFT(B16,1))&amp;RIGHT(B16,LEN(B16) - 1)</f>
        <v>authorizationGroup</v>
      </c>
      <c r="E16" s="28" t="str">
        <f>A.Backend!H10</f>
        <v>string</v>
      </c>
      <c r="F16" s="28" t="str">
        <f>A.Backend!G10</f>
        <v>4</v>
      </c>
      <c r="G16" s="28" t="str">
        <f t="shared" si="3"/>
        <v xml:space="preserve"> : string = '' ; </v>
      </c>
      <c r="H16" s="35" t="str">
        <f t="shared" si="4"/>
        <v xml:space="preserve">			{headerName: this.l('Authorization Group'),headerTooltip: this.l('Authorization Group'),field: 'authorizationGroup',flex: 1},</v>
      </c>
      <c r="I16" s="35" t="str">
        <f t="shared" si="5"/>
        <v xml:space="preserve">								&lt;div class='input-search'&gt;
									&lt;input [(ngModel)]='authorizationGroup' name='authorizationGroup'
									class='form-control' [placeholder]="l('Authorization Group')"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title'&gt;Authorization Group&lt;/label&gt;
						&lt;input type='text' class='col-md-10 form-control input-text' name='AuthorizationGroup' [(ngModel)]='rowdata.authorizationGroup'&gt;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68" si="13">REPT(CHAR(9),1)&amp;D16&amp;G16</f>
        <v xml:space="preserve">	authorizationGroup : string = '' ; </v>
      </c>
      <c r="T16" s="28" t="str">
        <f t="shared" ref="T16:T68" si="14">REPT(CHAR(9),3)&amp;"this."&amp;D16&amp;","</f>
        <v xml:space="preserve">			this.authorizationGroup,</v>
      </c>
      <c r="U16" s="28" t="str">
        <f t="shared" ref="U16:U68" si="15">IF(E16="int",REPT(CHAR(9),2)&amp;"this."&amp;D16&amp;" = 0,",REPT(CHAR(9),2)&amp;"this."&amp;D16&amp;" = '',")</f>
        <v xml:space="preserve">		this.authorizationGroup = '',</v>
      </c>
      <c r="V16" s="28" t="str">
        <f t="shared" si="8"/>
        <v/>
      </c>
    </row>
    <row r="17" spans="1:22" ht="18" customHeight="1" x14ac:dyDescent="0.25">
      <c r="A17" t="s">
        <v>362</v>
      </c>
      <c r="B17" s="28" t="str">
        <f>SUBSTITUTE(PROPER(A17),"_","")</f>
        <v>MaterialType</v>
      </c>
      <c r="C17" s="28" t="str">
        <f>SUBSTITUTE(PROPER(A17),"_"," ")</f>
        <v>Material Type</v>
      </c>
      <c r="D17" s="28" t="str">
        <f>LOWER(LEFT(B17,1))&amp;RIGHT(B17,LEN(B17) - 1)</f>
        <v>materialType</v>
      </c>
      <c r="E17" s="28" t="str">
        <f>A.Backend!H11</f>
        <v>string</v>
      </c>
      <c r="F17" s="28" t="str">
        <f>A.Backend!G11</f>
        <v>4</v>
      </c>
      <c r="G17" s="28" t="str">
        <f t="shared" si="3"/>
        <v xml:space="preserve"> : string = '' ; </v>
      </c>
      <c r="H17" s="35" t="str">
        <f t="shared" si="4"/>
        <v xml:space="preserve">			{headerName: this.l('Material Type'),headerTooltip: this.l('Material Type'),field: 'materialType',flex: 1},</v>
      </c>
      <c r="I17" s="35" t="str">
        <f t="shared" si="5"/>
        <v xml:space="preserve">								&lt;div class='input-search'&gt;
									&lt;input [(ngModel)]='materialType' name='materialType'
									class='form-control' [placeholder]="l('Material Type')"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title'&gt;Material Type&lt;/label&gt;
						&lt;input type='text' class='col-md-10 form-control input-text' name='MaterialType' [(ngModel)]='rowdata.materialType'&gt;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materialType : string = '' ; </v>
      </c>
      <c r="T17" s="28" t="str">
        <f t="shared" si="14"/>
        <v xml:space="preserve">			this.materialType,</v>
      </c>
      <c r="U17" s="28" t="str">
        <f t="shared" si="15"/>
        <v xml:space="preserve">		this.materialType = '',</v>
      </c>
      <c r="V17" s="28" t="str">
        <f t="shared" si="8"/>
        <v/>
      </c>
    </row>
    <row r="18" spans="1:22" ht="15" customHeight="1" x14ac:dyDescent="0.25">
      <c r="A18" t="s">
        <v>363</v>
      </c>
      <c r="B18" s="28" t="str">
        <f t="shared" ref="B18:B21" si="16">SUBSTITUTE(PROPER(A18),"_","")</f>
        <v>MaterialCode</v>
      </c>
      <c r="C18" s="28" t="str">
        <f t="shared" ref="C18:C21" si="17">SUBSTITUTE(PROPER(A18),"_"," ")</f>
        <v>Material Code</v>
      </c>
      <c r="D18" s="28" t="str">
        <f t="shared" ref="D18:D21" si="18">LOWER(LEFT(B18,1))&amp;RIGHT(B18,LEN(B18) - 1)</f>
        <v>materialCode</v>
      </c>
      <c r="E18" s="28" t="str">
        <f>A.Backend!H12</f>
        <v>string</v>
      </c>
      <c r="F18" s="28" t="str">
        <f>A.Backend!G12</f>
        <v>40</v>
      </c>
      <c r="G18" s="28" t="str">
        <f t="shared" si="3"/>
        <v xml:space="preserve"> : string = '' ; </v>
      </c>
      <c r="H18" s="35" t="str">
        <f t="shared" si="4"/>
        <v xml:space="preserve">			{headerName: this.l('Material Code'),headerTooltip: this.l('Material Code'),field: 'materialCode',flex: 1},</v>
      </c>
      <c r="I18" s="35" t="str">
        <f t="shared" si="5"/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materialCode : string = '' ; </v>
      </c>
      <c r="T18" s="28" t="str">
        <f t="shared" si="14"/>
        <v xml:space="preserve">			this.materialCode,</v>
      </c>
      <c r="U18" s="28" t="str">
        <f t="shared" si="15"/>
        <v xml:space="preserve">		this.materialCode = '',</v>
      </c>
      <c r="V18" s="28" t="str">
        <f t="shared" si="8"/>
        <v/>
      </c>
    </row>
    <row r="19" spans="1:22" ht="18" customHeight="1" x14ac:dyDescent="0.25">
      <c r="A19" t="s">
        <v>364</v>
      </c>
      <c r="B19" s="28" t="str">
        <f t="shared" si="16"/>
        <v>IndustrySector</v>
      </c>
      <c r="C19" s="28" t="str">
        <f t="shared" si="17"/>
        <v>Industry Sector</v>
      </c>
      <c r="D19" s="28" t="str">
        <f t="shared" si="18"/>
        <v>industrySector</v>
      </c>
      <c r="E19" s="28" t="str">
        <f>A.Backend!H13</f>
        <v>string</v>
      </c>
      <c r="F19" s="28" t="str">
        <f>A.Backend!G13</f>
        <v>1</v>
      </c>
      <c r="G19" s="28" t="str">
        <f t="shared" si="3"/>
        <v xml:space="preserve"> : string = '' ; </v>
      </c>
      <c r="H19" s="35" t="str">
        <f t="shared" si="4"/>
        <v xml:space="preserve">			{headerName: this.l('Industry Sector'),headerTooltip: this.l('Industry Sector'),field:  'industrySector', cellClass: ['text-center'], width: 120, cellRenderer: 'agCellButtonComponent',
buttonDefTwo: { text: params =&gt; (params.data?.'industrySector' == 'Y') ? 'Active' : 'Inactive',iconName: 'fa fa-circle',className: params =&gt; (params.data?.'industrySector' == 'Y') ? 'btnActive' : 'btnInActive',},}</v>
      </c>
      <c r="I19" s="35" t="str">
        <f t="shared" si="5"/>
        <v xml:space="preserve">								&lt;div class='input-search'&gt;
									&lt;input [(ngModel)]='industrySector' name='industrySector'
									class='form-control' [placeholder]="l('Industry Sector')"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title'&gt;Industry Sector&lt;/label&gt;
						&lt;new-checkbox [(ngModel)]='_industrySector' name='industrySector' className='col-md-10' &gt; &lt;/new-checkbox&gt;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industrySector : string = '' ; </v>
      </c>
      <c r="T19" s="28" t="str">
        <f t="shared" si="14"/>
        <v xml:space="preserve">			this.industrySector,</v>
      </c>
      <c r="U19" s="28" t="str">
        <f t="shared" si="15"/>
        <v xml:space="preserve">		this.industrySector = '',</v>
      </c>
      <c r="V19" s="28" t="str">
        <f t="shared" si="8"/>
        <v>industrySector</v>
      </c>
    </row>
    <row r="20" spans="1:22" ht="15" customHeight="1" x14ac:dyDescent="0.25">
      <c r="A20" t="s">
        <v>365</v>
      </c>
      <c r="B20" s="28" t="str">
        <f t="shared" si="16"/>
        <v>MaterialDescription</v>
      </c>
      <c r="C20" s="28" t="str">
        <f t="shared" si="17"/>
        <v>Material Description</v>
      </c>
      <c r="D20" s="28" t="str">
        <f t="shared" si="18"/>
        <v>materialDescription</v>
      </c>
      <c r="E20" s="28" t="str">
        <f>A.Backend!H14</f>
        <v>string</v>
      </c>
      <c r="F20" s="28" t="str">
        <f>A.Backend!G14</f>
        <v>40</v>
      </c>
      <c r="G20" s="28" t="str">
        <f t="shared" si="3"/>
        <v xml:space="preserve"> : string = '' ; </v>
      </c>
      <c r="H20" s="35" t="str">
        <f t="shared" si="4"/>
        <v xml:space="preserve">			{headerName: this.l('Material Description'),headerTooltip: this.l('Material Description'),field: 'materialDescription',flex: 1},</v>
      </c>
      <c r="I20" s="35" t="str">
        <f t="shared" si="5"/>
        <v xml:space="preserve">								&lt;div class='input-search'&gt;
									&lt;input [(ngModel)]='materialDescription' name='materialDescription'
									class='form-control' [placeholder]="l('Material Description')"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title'&gt;Material Description&lt;/label&gt;
						&lt;input type='text' class='col-md-10 form-control input-text' name='MaterialDescription' [(ngModel)]='rowdata.materialDescription'&gt;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materialDescription : string = '' ; </v>
      </c>
      <c r="T20" s="28" t="str">
        <f t="shared" si="14"/>
        <v xml:space="preserve">			this.materialDescription,</v>
      </c>
      <c r="U20" s="28" t="str">
        <f t="shared" si="15"/>
        <v xml:space="preserve">		this.materialDescription = '',</v>
      </c>
      <c r="V20" s="28" t="str">
        <f t="shared" si="8"/>
        <v/>
      </c>
    </row>
    <row r="21" spans="1:22" ht="18" customHeight="1" x14ac:dyDescent="0.25">
      <c r="A21" t="s">
        <v>366</v>
      </c>
      <c r="B21" s="28" t="str">
        <f t="shared" si="16"/>
        <v>MaterialGroup</v>
      </c>
      <c r="C21" s="28" t="str">
        <f t="shared" si="17"/>
        <v>Material Group</v>
      </c>
      <c r="D21" s="28" t="str">
        <f t="shared" si="18"/>
        <v>materialGroup</v>
      </c>
      <c r="E21" s="28" t="str">
        <f>A.Backend!H15</f>
        <v>string</v>
      </c>
      <c r="F21" s="28" t="str">
        <f>A.Backend!G15</f>
        <v>9</v>
      </c>
      <c r="G21" s="28" t="str">
        <f t="shared" si="3"/>
        <v xml:space="preserve"> : string = '' ; </v>
      </c>
      <c r="H21" s="35" t="str">
        <f t="shared" si="4"/>
        <v xml:space="preserve">			{headerName: this.l('Material Group'),headerTooltip: this.l('Material Group'),field: 'materialGroup',flex: 1},</v>
      </c>
      <c r="I21" s="35" t="str">
        <f t="shared" si="5"/>
        <v xml:space="preserve">								&lt;div class='input-search'&gt;
									&lt;input [(ngModel)]='materialGroup' name='materialGroup'
									class='form-control' [placeholder]="l('Material Group')"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materialGroup : string = '' ; </v>
      </c>
      <c r="T21" s="28" t="str">
        <f t="shared" si="14"/>
        <v xml:space="preserve">			this.materialGroup,</v>
      </c>
      <c r="U21" s="28" t="str">
        <f t="shared" si="15"/>
        <v xml:space="preserve">		this.materialGroup = '',</v>
      </c>
      <c r="V21" s="28" t="str">
        <f t="shared" si="8"/>
        <v/>
      </c>
    </row>
    <row r="22" spans="1:22" ht="18" customHeight="1" x14ac:dyDescent="0.25">
      <c r="A22" t="s">
        <v>400</v>
      </c>
      <c r="B22" s="28" t="str">
        <f>SUBSTITUTE(PROPER(A22),"_","")</f>
        <v>BaseUnitOfMeasure</v>
      </c>
      <c r="C22" s="28" t="str">
        <f>SUBSTITUTE(PROPER(A22),"_"," ")</f>
        <v>Base Unit Of Measure</v>
      </c>
      <c r="D22" s="28" t="str">
        <f>LOWER(LEFT(B22,1))&amp;RIGHT(B22,LEN(B22) - 1)</f>
        <v>baseUnitOfMeasure</v>
      </c>
      <c r="E22" s="28" t="str">
        <f>A.Backend!H16</f>
        <v>string</v>
      </c>
      <c r="F22" s="28" t="str">
        <f>A.Backend!G16</f>
        <v>3</v>
      </c>
      <c r="G22" s="28" t="str">
        <f t="shared" si="3"/>
        <v xml:space="preserve"> : string = '' ; </v>
      </c>
      <c r="H22" s="35" t="str">
        <f t="shared" si="4"/>
        <v xml:space="preserve">			{headerName: this.l('Base Unit Of Measure'),headerTooltip: this.l('Base Unit Of Measure'),field: 'baseUnitOfMeasure',flex: 1},</v>
      </c>
      <c r="I22" s="35" t="str">
        <f t="shared" si="5"/>
        <v xml:space="preserve">								&lt;div class='input-search'&gt;
									&lt;input [(ngModel)]='baseUnitOfMeasure' name='baseUnitOfMeasure'
									class='form-control' [placeholder]="l('Base Unit Of Measure')"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baseUnitOfMeasure : string = '' ; </v>
      </c>
      <c r="T22" s="28" t="str">
        <f t="shared" si="14"/>
        <v xml:space="preserve">			this.baseUnitOfMeasure,</v>
      </c>
      <c r="U22" s="28" t="str">
        <f t="shared" si="15"/>
        <v xml:space="preserve">		this.baseUnitOfMeasure = '',</v>
      </c>
      <c r="V22" s="28" t="str">
        <f t="shared" si="8"/>
        <v/>
      </c>
    </row>
    <row r="23" spans="1:22" ht="15" customHeight="1" x14ac:dyDescent="0.25">
      <c r="A23" t="s">
        <v>401</v>
      </c>
      <c r="B23" s="28" t="str">
        <f t="shared" ref="B23:B26" si="20">SUBSTITUTE(PROPER(A23),"_","")</f>
        <v>FlagDeletionPlantLevel</v>
      </c>
      <c r="C23" s="28" t="str">
        <f t="shared" ref="C23:C26" si="21">SUBSTITUTE(PROPER(A23),"_"," ")</f>
        <v>Flag Deletion Plant Level</v>
      </c>
      <c r="D23" s="28" t="str">
        <f t="shared" ref="D23:D26" si="22">LOWER(LEFT(B23,1))&amp;RIGHT(B23,LEN(B23) - 1)</f>
        <v>flagDeletionPlantLevel</v>
      </c>
      <c r="E23" s="28" t="str">
        <f>A.Backend!H17</f>
        <v>string</v>
      </c>
      <c r="F23" s="28" t="str">
        <f>A.Backend!G17</f>
        <v>1</v>
      </c>
      <c r="G23" s="28" t="str">
        <f t="shared" si="3"/>
        <v xml:space="preserve"> : string = '' ; </v>
      </c>
      <c r="H23" s="35" t="str">
        <f t="shared" si="4"/>
        <v xml:space="preserve">			{headerName: this.l('Flag Deletion Plant Level'),headerTooltip: this.l('Flag Deletion Plant Level'),field:  'flagDeletionPlantLevel', cellClass: ['text-center'], width: 120, cellRenderer: 'agCellButtonComponent',
buttonDefTwo: { text: params =&gt; (params.data?.'flagDeletionPlantLevel' == 'Y') ? 'Active' : 'Inactive',iconName: 'fa fa-circle',className: params =&gt; (params.data?.'flagDeletionPlantLevel' == 'Y') ? 'btnActive' : 'btnInActive',},}</v>
      </c>
      <c r="I23" s="35" t="str">
        <f t="shared" si="5"/>
        <v xml:space="preserve">								&lt;div class='input-search'&gt;
									&lt;input [(ngModel)]='flagDeletionPlantLevel' name='flagDeletionPlantLevel'
									class='form-control' [placeholder]="l('Flag Deletion Plant Level')"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title'&gt;Flag Deletion Plant Level&lt;/label&gt;
						&lt;new-checkbox [(ngModel)]='_flagDeletionPlantLevel' name='flagDeletionPlantLevel' className='col-md-10' &gt; &lt;/new-checkbox&gt;
					&lt;/div&gt;</v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flagDeletionPlantLevel : string = '' ; </v>
      </c>
      <c r="T23" s="28" t="str">
        <f t="shared" si="14"/>
        <v xml:space="preserve">			this.flagDeletionPlantLevel,</v>
      </c>
      <c r="U23" s="28" t="str">
        <f t="shared" si="15"/>
        <v xml:space="preserve">		this.flagDeletionPlantLevel = '',</v>
      </c>
      <c r="V23" s="28" t="str">
        <f t="shared" si="8"/>
        <v>flagDeletionPlantLevel</v>
      </c>
    </row>
    <row r="24" spans="1:22" ht="18" customHeight="1" x14ac:dyDescent="0.25">
      <c r="A24" t="s">
        <v>358</v>
      </c>
      <c r="B24" s="28" t="str">
        <f t="shared" si="20"/>
        <v>Plant</v>
      </c>
      <c r="C24" s="28" t="str">
        <f t="shared" si="21"/>
        <v>Plant</v>
      </c>
      <c r="D24" s="28" t="str">
        <f t="shared" si="22"/>
        <v>plant</v>
      </c>
      <c r="E24" s="28" t="str">
        <f>A.Backend!H18</f>
        <v>string</v>
      </c>
      <c r="F24" s="28" t="str">
        <f>A.Backend!G18</f>
        <v>4</v>
      </c>
      <c r="G24" s="28" t="str">
        <f t="shared" si="3"/>
        <v xml:space="preserve"> : string = '' ; </v>
      </c>
      <c r="H24" s="35" t="str">
        <f t="shared" si="4"/>
        <v xml:space="preserve">			{headerName: this.l('Plant'),headerTooltip: this.l('Plant'),field: 'plant',flex: 1},</v>
      </c>
      <c r="I24" s="35" t="str">
        <f t="shared" si="5"/>
        <v xml:space="preserve">								&lt;div class='input-search'&gt;
									&lt;input [(ngModel)]='plant' name='plant'
									class='form-control' [placeholder]="l('Plant')"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title'&gt;Plant&lt;/label&gt;
						&lt;input type='text' class='col-md-10 form-control input-text' name='Plant' [(ngModel)]='rowdata.plant'&gt;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plant : string = '' ; </v>
      </c>
      <c r="T24" s="28" t="str">
        <f t="shared" si="14"/>
        <v xml:space="preserve">			this.plant,</v>
      </c>
      <c r="U24" s="28" t="str">
        <f t="shared" si="15"/>
        <v xml:space="preserve">		this.plant = '',</v>
      </c>
      <c r="V24" s="28" t="str">
        <f t="shared" si="8"/>
        <v/>
      </c>
    </row>
    <row r="25" spans="1:22" ht="15" customHeight="1" x14ac:dyDescent="0.25">
      <c r="A25" t="s">
        <v>367</v>
      </c>
      <c r="B25" s="28" t="str">
        <f t="shared" si="20"/>
        <v>StorageLocation</v>
      </c>
      <c r="C25" s="28" t="str">
        <f t="shared" si="21"/>
        <v>Storage Location</v>
      </c>
      <c r="D25" s="28" t="str">
        <f t="shared" si="22"/>
        <v>storageLocation</v>
      </c>
      <c r="E25" s="28" t="str">
        <f>A.Backend!H19</f>
        <v>string</v>
      </c>
      <c r="F25" s="28" t="str">
        <f>A.Backend!G19</f>
        <v>4</v>
      </c>
      <c r="G25" s="28" t="str">
        <f t="shared" si="3"/>
        <v xml:space="preserve"> : string = '' ; </v>
      </c>
      <c r="H25" s="35" t="str">
        <f t="shared" si="4"/>
        <v xml:space="preserve">			{headerName: this.l('Storage Location'),headerTooltip: this.l('Storage Location'),field: 'storageLocation',flex: 1},</v>
      </c>
      <c r="I25" s="35" t="str">
        <f t="shared" si="5"/>
        <v xml:space="preserve">								&lt;div class='input-search'&gt;
									&lt;input [(ngModel)]='storageLocation' name='storageLocation'
									class='form-control' [placeholder]="l('Storage Location')"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storageLocation : string = '' ; </v>
      </c>
      <c r="T25" s="28" t="str">
        <f t="shared" si="14"/>
        <v xml:space="preserve">			this.storageLocation,</v>
      </c>
      <c r="U25" s="28" t="str">
        <f t="shared" si="15"/>
        <v xml:space="preserve">		this.storageLocation = '',</v>
      </c>
      <c r="V25" s="28" t="str">
        <f t="shared" si="8"/>
        <v/>
      </c>
    </row>
    <row r="26" spans="1:22" ht="18" customHeight="1" x14ac:dyDescent="0.25">
      <c r="A26" t="s">
        <v>368</v>
      </c>
      <c r="B26" s="28" t="str">
        <f t="shared" si="20"/>
        <v>ProductGroup</v>
      </c>
      <c r="C26" s="28" t="str">
        <f t="shared" si="21"/>
        <v>Product Group</v>
      </c>
      <c r="D26" s="28" t="str">
        <f t="shared" si="22"/>
        <v>productGroup</v>
      </c>
      <c r="E26" s="28" t="str">
        <f>A.Backend!H20</f>
        <v>string</v>
      </c>
      <c r="F26" s="28" t="str">
        <f>A.Backend!G20</f>
        <v>3</v>
      </c>
      <c r="G26" s="28" t="str">
        <f t="shared" si="3"/>
        <v xml:space="preserve"> : string = '' ; </v>
      </c>
      <c r="H26" s="35" t="str">
        <f t="shared" si="4"/>
        <v xml:space="preserve">			{headerName: this.l('Product Group'),headerTooltip: this.l('Product Group'),field: 'productGroup',flex: 1},</v>
      </c>
      <c r="I26" s="35" t="str">
        <f t="shared" si="5"/>
        <v xml:space="preserve">								&lt;div class='input-search'&gt;
									&lt;input [(ngModel)]='productGroup' name='productGroup'
									class='form-control' [placeholder]="l('Product Group')"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title'&gt;Product Group&lt;/label&gt;
						&lt;input type='text' class='col-md-10 form-control input-text' name='ProductGroup' [(ngModel)]='rowdata.productGroup'&gt;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productGroup : string = '' ; </v>
      </c>
      <c r="T26" s="28" t="str">
        <f t="shared" si="14"/>
        <v xml:space="preserve">			this.productGroup,</v>
      </c>
      <c r="U26" s="28" t="str">
        <f t="shared" si="15"/>
        <v xml:space="preserve">		this.productGroup = '',</v>
      </c>
      <c r="V26" s="28" t="str">
        <f t="shared" si="8"/>
        <v/>
      </c>
    </row>
    <row r="27" spans="1:22" ht="18" customHeight="1" x14ac:dyDescent="0.25">
      <c r="A27" t="s">
        <v>369</v>
      </c>
      <c r="B27" s="28" t="str">
        <f>SUBSTITUTE(PROPER(A27),"_","")</f>
        <v>ProductPurpose</v>
      </c>
      <c r="C27" s="28" t="str">
        <f>SUBSTITUTE(PROPER(A27),"_"," ")</f>
        <v>Product Purpose</v>
      </c>
      <c r="D27" s="28" t="str">
        <f>LOWER(LEFT(B27,1))&amp;RIGHT(B27,LEN(B27) - 1)</f>
        <v>productPurpose</v>
      </c>
      <c r="E27" s="28" t="str">
        <f>A.Backend!H21</f>
        <v>string</v>
      </c>
      <c r="F27" s="28" t="str">
        <f>A.Backend!G21</f>
        <v>2</v>
      </c>
      <c r="G27" s="28" t="str">
        <f t="shared" si="3"/>
        <v xml:space="preserve"> : string = '' ; </v>
      </c>
      <c r="H27" s="35" t="str">
        <f t="shared" si="4"/>
        <v xml:space="preserve">			{headerName: this.l('Product Purpose'),headerTooltip: this.l('Product Purpose'),field: 'productPurpose',flex: 1},</v>
      </c>
      <c r="I27" s="35" t="str">
        <f t="shared" si="5"/>
        <v xml:space="preserve">								&lt;div class='input-search'&gt;
									&lt;input [(ngModel)]='productPurpose' name='productPurpose'
									class='form-control' [placeholder]="l('Product Purpose')"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title'&gt;Product Purpose&lt;/label&gt;
						&lt;input type='text' class='col-md-10 form-control input-text' name='ProductPurpose' [(ngModel)]='rowdata.productPurpose'&gt;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productPurpose : string = '' ; </v>
      </c>
      <c r="T27" s="28" t="str">
        <f t="shared" si="14"/>
        <v xml:space="preserve">			this.productPurpose,</v>
      </c>
      <c r="U27" s="28" t="str">
        <f t="shared" si="15"/>
        <v xml:space="preserve">		this.productPurpose = '',</v>
      </c>
      <c r="V27" s="28" t="str">
        <f t="shared" si="8"/>
        <v/>
      </c>
    </row>
    <row r="28" spans="1:22" ht="15" customHeight="1" x14ac:dyDescent="0.25">
      <c r="A28" t="s">
        <v>370</v>
      </c>
      <c r="B28" s="28" t="str">
        <f t="shared" ref="B28:B30" si="24">SUBSTITUTE(PROPER(A28),"_","")</f>
        <v>ProductType</v>
      </c>
      <c r="C28" s="28" t="str">
        <f t="shared" ref="C28:C30" si="25">SUBSTITUTE(PROPER(A28),"_"," ")</f>
        <v>Product Type</v>
      </c>
      <c r="D28" s="28" t="str">
        <f t="shared" ref="D28:D30" si="26">LOWER(LEFT(B28,1))&amp;RIGHT(B28,LEN(B28) - 1)</f>
        <v>productType</v>
      </c>
      <c r="E28" s="28" t="str">
        <f>A.Backend!H22</f>
        <v>string</v>
      </c>
      <c r="F28" s="28" t="str">
        <f>A.Backend!G22</f>
        <v>20</v>
      </c>
      <c r="G28" s="28" t="str">
        <f t="shared" si="3"/>
        <v xml:space="preserve"> : string = '' ; </v>
      </c>
      <c r="H28" s="35" t="str">
        <f t="shared" si="4"/>
        <v xml:space="preserve">			{headerName: this.l('Product Type'),headerTooltip: this.l('Product Type'),field: 'productType',flex: 1},</v>
      </c>
      <c r="I28" s="35" t="str">
        <f t="shared" si="5"/>
        <v xml:space="preserve">								&lt;div class='input-search'&gt;
									&lt;input [(ngModel)]='productType' name='productType'
									class='form-control' [placeholder]="l('Product Type')"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title'&gt;Product Type&lt;/label&gt;
						&lt;input type='text' class='col-md-10 form-control input-text' name='ProductType' [(ngModel)]='rowdata.productType'&gt;
					&lt;/div&gt;</v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productType : string = '' ; </v>
      </c>
      <c r="T28" s="28" t="str">
        <f t="shared" si="14"/>
        <v xml:space="preserve">			this.productType,</v>
      </c>
      <c r="U28" s="28" t="str">
        <f t="shared" si="15"/>
        <v xml:space="preserve">		this.productType = '',</v>
      </c>
      <c r="V28" s="28" t="str">
        <f t="shared" si="8"/>
        <v/>
      </c>
    </row>
    <row r="29" spans="1:22" ht="18" customHeight="1" x14ac:dyDescent="0.25">
      <c r="A29" t="s">
        <v>371</v>
      </c>
      <c r="B29" s="28" t="str">
        <f t="shared" si="24"/>
        <v>ProfitCenter</v>
      </c>
      <c r="C29" s="28" t="str">
        <f t="shared" si="25"/>
        <v>Profit Center</v>
      </c>
      <c r="D29" s="28" t="str">
        <f t="shared" si="26"/>
        <v>profitCenter</v>
      </c>
      <c r="E29" s="28" t="str">
        <f>A.Backend!H23</f>
        <v>string</v>
      </c>
      <c r="F29" s="28" t="str">
        <f>A.Backend!G23</f>
        <v>10</v>
      </c>
      <c r="G29" s="28" t="str">
        <f t="shared" si="3"/>
        <v xml:space="preserve"> : string = '' ; </v>
      </c>
      <c r="H29" s="35" t="str">
        <f t="shared" si="4"/>
        <v xml:space="preserve">			{headerName: this.l('Profit Center'),headerTooltip: this.l('Profit Center'),field: 'profitCenter',flex: 1},</v>
      </c>
      <c r="I29" s="35" t="str">
        <f t="shared" si="5"/>
        <v xml:space="preserve">								&lt;div class='input-search'&gt;
									&lt;input [(ngModel)]='profitCenter' name='profitCenter'
									class='form-control' [placeholder]="l('Profit Center')"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title'&gt;Profit Center&lt;/label&gt;
						&lt;input type='text' class='col-md-10 form-control input-text' name='ProfitCenter' [(ngModel)]='rowdata.profitCenter'&gt;
					&lt;/div&gt;</v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profitCenter : string = '' ; </v>
      </c>
      <c r="T29" s="28" t="str">
        <f t="shared" si="14"/>
        <v xml:space="preserve">			this.profitCenter,</v>
      </c>
      <c r="U29" s="28" t="str">
        <f t="shared" si="15"/>
        <v xml:space="preserve">		this.profitCenter = '',</v>
      </c>
      <c r="V29" s="28" t="str">
        <f t="shared" si="8"/>
        <v/>
      </c>
    </row>
    <row r="30" spans="1:22" ht="15" customHeight="1" x14ac:dyDescent="0.25">
      <c r="A30" t="s">
        <v>372</v>
      </c>
      <c r="B30" s="28" t="str">
        <f t="shared" si="24"/>
        <v>BatchManagement</v>
      </c>
      <c r="C30" s="28" t="str">
        <f t="shared" si="25"/>
        <v>Batch Management</v>
      </c>
      <c r="D30" s="28" t="str">
        <f t="shared" si="26"/>
        <v>batchManagement</v>
      </c>
      <c r="E30" s="28" t="str">
        <f>A.Backend!H24</f>
        <v>string</v>
      </c>
      <c r="F30" s="28" t="str">
        <f>A.Backend!G24</f>
        <v>1</v>
      </c>
      <c r="G30" s="28" t="str">
        <f t="shared" si="3"/>
        <v xml:space="preserve"> : string = '' ; </v>
      </c>
      <c r="H30" s="35" t="str">
        <f t="shared" si="4"/>
        <v xml:space="preserve">			{headerName: this.l('Batch Management'),headerTooltip: this.l('Batch Management'),field:  'batchManagement', cellClass: ['text-center'], width: 120, cellRenderer: 'agCellButtonComponent',
buttonDefTwo: { text: params =&gt; (params.data?.'batchManagement' == 'Y') ? 'Active' : 'Inactive',iconName: 'fa fa-circle',className: params =&gt; (params.data?.'batchManagement' == 'Y') ? 'btnActive' : 'btnInActive',},}</v>
      </c>
      <c r="I30" s="35" t="str">
        <f t="shared" si="5"/>
        <v xml:space="preserve">								&lt;div class='input-search'&gt;
									&lt;input [(ngModel)]='batchManagement' name='batchManagement'
									class='form-control' [placeholder]="l('Batch Management')"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title'&gt;Batch Management&lt;/label&gt;
						&lt;new-checkbox [(ngModel)]='_batchManagement' name='batchManagement' className='col-md-10' &gt; &lt;/new-checkbox&gt;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batchManagement : string = '' ; </v>
      </c>
      <c r="T30" s="28" t="str">
        <f t="shared" si="14"/>
        <v xml:space="preserve">			this.batchManagement,</v>
      </c>
      <c r="U30" s="28" t="str">
        <f t="shared" si="15"/>
        <v xml:space="preserve">		this.batchManagement = '',</v>
      </c>
      <c r="V30" s="28" t="str">
        <f t="shared" si="8"/>
        <v>batchManagement</v>
      </c>
    </row>
    <row r="31" spans="1:22" ht="15" customHeight="1" x14ac:dyDescent="0.25">
      <c r="A31" t="s">
        <v>373</v>
      </c>
      <c r="B31" s="28" t="str">
        <f t="shared" ref="B31" si="28">SUBSTITUTE(PROPER(A31),"_","")</f>
        <v>ReservedStock</v>
      </c>
      <c r="C31" s="28" t="str">
        <f t="shared" ref="C31" si="29">SUBSTITUTE(PROPER(A31),"_"," ")</f>
        <v>Reserved Stock</v>
      </c>
      <c r="D31" s="28" t="str">
        <f t="shared" ref="D31" si="30">LOWER(LEFT(B31,1))&amp;RIGHT(B31,LEN(B31) - 1)</f>
        <v>reservedStock</v>
      </c>
      <c r="E31" s="28" t="str">
        <f>A.Backend!H25</f>
        <v>string</v>
      </c>
      <c r="F31" s="28" t="str">
        <f>A.Backend!G25</f>
        <v>1</v>
      </c>
      <c r="G31" s="28" t="str">
        <f t="shared" si="3"/>
        <v xml:space="preserve"> : string = '' ; </v>
      </c>
      <c r="H31" s="35" t="str">
        <f t="shared" si="4"/>
        <v xml:space="preserve">			{headerName: this.l('Reserved Stock'),headerTooltip: this.l('Reserved Stock'),field:  'reservedStock', cellClass: ['text-center'], width: 120, cellRenderer: 'agCellButtonComponent',
buttonDefTwo: { text: params =&gt; (params.data?.'reservedStock' == 'Y') ? 'Active' : 'Inactive',iconName: 'fa fa-circle',className: params =&gt; (params.data?.'reservedStock' == 'Y') ? 'btnActive' : 'btnInActive',},}</v>
      </c>
      <c r="I31" s="35" t="str">
        <f t="shared" si="5"/>
        <v xml:space="preserve">								&lt;div class='input-search'&gt;
									&lt;input [(ngModel)]='reservedStock' name='reservedStock'
									class='form-control' [placeholder]="l('Reserved Stock')"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title'&gt;Reserved Stock&lt;/label&gt;
						&lt;new-checkbox [(ngModel)]='_reservedStock' name='reservedStock' className='col-md-10' &gt; &lt;/new-checkbox&gt;
					&lt;/div&gt;</v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reservedStock : string = '' ; </v>
      </c>
      <c r="T31" s="28" t="str">
        <f t="shared" si="14"/>
        <v xml:space="preserve">			this.reservedStock,</v>
      </c>
      <c r="U31" s="28" t="str">
        <f t="shared" si="15"/>
        <v xml:space="preserve">		this.reservedStock = '',</v>
      </c>
      <c r="V31" s="28" t="str">
        <f t="shared" si="8"/>
        <v>reservedStock</v>
      </c>
    </row>
    <row r="32" spans="1:22" ht="18" customHeight="1" x14ac:dyDescent="0.25">
      <c r="A32" t="s">
        <v>359</v>
      </c>
      <c r="B32" s="28" t="str">
        <f t="shared" si="0"/>
        <v>Residue</v>
      </c>
      <c r="C32" s="28" t="str">
        <f t="shared" si="1"/>
        <v>Residue</v>
      </c>
      <c r="D32" s="28" t="str">
        <f t="shared" si="2"/>
        <v>residue</v>
      </c>
      <c r="E32" s="28" t="str">
        <f>A.Backend!H26</f>
        <v>string</v>
      </c>
      <c r="F32" s="28" t="str">
        <f>A.Backend!G26</f>
        <v>1</v>
      </c>
      <c r="G32" s="28" t="str">
        <f t="shared" si="3"/>
        <v xml:space="preserve"> : string = '' ; </v>
      </c>
      <c r="H32" s="35" t="str">
        <f t="shared" si="4"/>
        <v xml:space="preserve">			{headerName: this.l('Residue'),headerTooltip: this.l('Residue'),field:  'residue', cellClass: ['text-center'], width: 120, cellRenderer: 'agCellButtonComponent',
buttonDefTwo: { text: params =&gt; (params.data?.'residue' == 'Y') ? 'Active' : 'Inactive',iconName: 'fa fa-circle',className: params =&gt; (params.data?.'residue' == 'Y') ? 'btnActive' : 'btnInActive',},}</v>
      </c>
      <c r="I32" s="35" t="str">
        <f t="shared" si="5"/>
        <v xml:space="preserve">								&lt;div class='input-search'&gt;
									&lt;input [(ngModel)]='residue' name='residue'
									class='form-control' [placeholder]="l('Residue')"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title'&gt;Residue&lt;/label&gt;
						&lt;new-checkbox [(ngModel)]='_residue' name='residue' className='col-md-10' &gt; &lt;/new-checkbox&gt;
					&lt;/div&gt;</v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residue : string = '' ; </v>
      </c>
      <c r="T32" s="28" t="str">
        <f t="shared" si="14"/>
        <v xml:space="preserve">			this.residue,</v>
      </c>
      <c r="U32" s="28" t="str">
        <f t="shared" si="15"/>
        <v xml:space="preserve">		this.residue = '',</v>
      </c>
      <c r="V32" s="28" t="str">
        <f t="shared" si="8"/>
        <v>residue</v>
      </c>
    </row>
    <row r="33" spans="1:22" ht="15" customHeight="1" x14ac:dyDescent="0.25">
      <c r="A33" t="s">
        <v>374</v>
      </c>
      <c r="B33" s="28" t="str">
        <f t="shared" ref="B33:B34" si="32">SUBSTITUTE(PROPER(A33),"_","")</f>
        <v>LotCode</v>
      </c>
      <c r="C33" s="28" t="str">
        <f t="shared" ref="C33:C34" si="33">SUBSTITUTE(PROPER(A33),"_"," ")</f>
        <v>Lot Code</v>
      </c>
      <c r="D33" s="28" t="str">
        <f t="shared" ref="D33:D34" si="34">LOWER(LEFT(B33,1))&amp;RIGHT(B33,LEN(B33) - 1)</f>
        <v>lotCode</v>
      </c>
      <c r="E33" s="28" t="str">
        <f>A.Backend!H27</f>
        <v>string</v>
      </c>
      <c r="F33" s="28" t="str">
        <f>A.Backend!G27</f>
        <v>5</v>
      </c>
      <c r="G33" s="28" t="str">
        <f t="shared" si="3"/>
        <v xml:space="preserve"> : string = '' ; </v>
      </c>
      <c r="H33" s="35" t="str">
        <f t="shared" si="4"/>
        <v xml:space="preserve">			{headerName: this.l('Lot Code'),headerTooltip: this.l('Lot Code'),field: 'lotCode',flex: 1},</v>
      </c>
      <c r="I33" s="35" t="str">
        <f t="shared" si="5"/>
        <v xml:space="preserve">								&lt;div class='input-search'&gt;
									&lt;input [(ngModel)]='lotCode' name='lotCode'
									class='form-control' [placeholder]="l('Lot Code')"
									type='text' (keyup.enter)='searchDatas()'&gt;
								&lt;/div&gt;</v>
      </c>
      <c r="J33" s="28"/>
      <c r="K33" s="35" t="str">
        <f t="shared" si="6"/>
        <v xml:space="preserve">					&lt;div class='col-md-12 form-group row'&gt;
						&lt;label class='col-md-2 form-control title'&gt;Lot Code&lt;/label&gt;
						&lt;input type='text' class='col-md-10 form-control input-text' name='LotCode' [(ngModel)]='rowdata.lotCode'&gt;
					&lt;/div&gt;</v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lotCode : string = '' ; </v>
      </c>
      <c r="T33" s="28" t="str">
        <f t="shared" si="14"/>
        <v xml:space="preserve">			this.lotCode,</v>
      </c>
      <c r="U33" s="28" t="str">
        <f t="shared" si="15"/>
        <v xml:space="preserve">		this.lotCode = '',</v>
      </c>
      <c r="V33" s="28" t="str">
        <f t="shared" si="8"/>
        <v/>
      </c>
    </row>
    <row r="34" spans="1:22" ht="18" customHeight="1" x14ac:dyDescent="0.25">
      <c r="A34" t="s">
        <v>375</v>
      </c>
      <c r="B34" s="28" t="str">
        <f t="shared" si="32"/>
        <v>MrpGroup</v>
      </c>
      <c r="C34" s="28" t="str">
        <f t="shared" si="33"/>
        <v>Mrp Group</v>
      </c>
      <c r="D34" s="28" t="str">
        <f t="shared" si="34"/>
        <v>mrpGroup</v>
      </c>
      <c r="E34" s="28" t="str">
        <f>A.Backend!H28</f>
        <v>string</v>
      </c>
      <c r="F34" s="28" t="str">
        <f>A.Backend!G28</f>
        <v>4</v>
      </c>
      <c r="G34" s="28" t="str">
        <f t="shared" si="3"/>
        <v xml:space="preserve"> : string = '' ; </v>
      </c>
      <c r="H34" s="35" t="str">
        <f t="shared" si="4"/>
        <v xml:space="preserve">			{headerName: this.l('Mrp Group'),headerTooltip: this.l('Mrp Group'),field: 'mrpGroup',flex: 1},</v>
      </c>
      <c r="I34" s="35" t="str">
        <f t="shared" si="5"/>
        <v xml:space="preserve">								&lt;div class='input-search'&gt;
									&lt;input [(ngModel)]='mrpGroup' name='mrpGroup'
									class='form-control' [placeholder]="l('Mrp Group')"
									type='text' (keyup.enter)='searchDatas()'&gt;
								&lt;/div&gt;</v>
      </c>
      <c r="J34" s="28"/>
      <c r="K34" s="35" t="str">
        <f t="shared" si="6"/>
        <v xml:space="preserve">					&lt;div class='col-md-12 form-group row'&gt;
						&lt;label class='col-md-2 form-control title'&gt;Mrp Group&lt;/label&gt;
						&lt;input type='text' class='col-md-10 form-control input-text' name='MrpGroup' [(ngModel)]='rowdata.mrpGroup'&gt;
					&lt;/div&gt;</v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mrpGroup : string = '' ; </v>
      </c>
      <c r="T34" s="28" t="str">
        <f t="shared" si="14"/>
        <v xml:space="preserve">			this.mrpGroup,</v>
      </c>
      <c r="U34" s="28" t="str">
        <f t="shared" si="15"/>
        <v xml:space="preserve">		this.mrpGroup = '',</v>
      </c>
      <c r="V34" s="28" t="str">
        <f t="shared" si="8"/>
        <v/>
      </c>
    </row>
    <row r="35" spans="1:22" ht="18" customHeight="1" x14ac:dyDescent="0.25">
      <c r="A35" t="s">
        <v>376</v>
      </c>
      <c r="B35" s="28" t="str">
        <f>SUBSTITUTE(PROPER(A35),"_","")</f>
        <v>MrpType</v>
      </c>
      <c r="C35" s="28" t="str">
        <f>SUBSTITUTE(PROPER(A35),"_"," ")</f>
        <v>Mrp Type</v>
      </c>
      <c r="D35" s="28" t="str">
        <f>LOWER(LEFT(B35,1))&amp;RIGHT(B35,LEN(B35) - 1)</f>
        <v>mrpType</v>
      </c>
      <c r="E35" s="28" t="str">
        <f>A.Backend!H29</f>
        <v>string</v>
      </c>
      <c r="F35" s="28" t="str">
        <f>A.Backend!G29</f>
        <v>2</v>
      </c>
      <c r="G35" s="28" t="str">
        <f t="shared" si="3"/>
        <v xml:space="preserve"> : string = '' ; </v>
      </c>
      <c r="H35" s="35" t="str">
        <f t="shared" si="4"/>
        <v xml:space="preserve">			{headerName: this.l('Mrp Type'),headerTooltip: this.l('Mrp Type'),field: 'mrpType',flex: 1},</v>
      </c>
      <c r="I35" s="35" t="str">
        <f t="shared" si="5"/>
        <v xml:space="preserve">								&lt;div class='input-search'&gt;
									&lt;input [(ngModel)]='mrpType' name='mrpType'
									class='form-control' [placeholder]="l('Mrp Type')"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title'&gt;Mrp Type&lt;/label&gt;
						&lt;input type='text' class='col-md-10 form-control input-text' name='MrpType' [(ngModel)]='rowdata.mrpType'&gt;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mrpType : string = '' ; </v>
      </c>
      <c r="T35" s="28" t="str">
        <f t="shared" si="14"/>
        <v xml:space="preserve">			this.mrpType,</v>
      </c>
      <c r="U35" s="28" t="str">
        <f t="shared" si="15"/>
        <v xml:space="preserve">		this.mrpType = '',</v>
      </c>
      <c r="V35" s="28" t="str">
        <f t="shared" si="8"/>
        <v/>
      </c>
    </row>
    <row r="36" spans="1:22" ht="15" customHeight="1" x14ac:dyDescent="0.25">
      <c r="A36" t="s">
        <v>377</v>
      </c>
      <c r="B36" s="28" t="str">
        <f t="shared" ref="B36:B39" si="36">SUBSTITUTE(PROPER(A36),"_","")</f>
        <v>ProcurementType</v>
      </c>
      <c r="C36" s="28" t="str">
        <f t="shared" ref="C36:C39" si="37">SUBSTITUTE(PROPER(A36),"_"," ")</f>
        <v>Procurement Type</v>
      </c>
      <c r="D36" s="28" t="str">
        <f t="shared" ref="D36:D39" si="38">LOWER(LEFT(B36,1))&amp;RIGHT(B36,LEN(B36) - 1)</f>
        <v>procurementType</v>
      </c>
      <c r="E36" s="28" t="str">
        <f>A.Backend!H30</f>
        <v>string</v>
      </c>
      <c r="F36" s="28" t="str">
        <f>A.Backend!G30</f>
        <v>1</v>
      </c>
      <c r="G36" s="28" t="str">
        <f t="shared" si="3"/>
        <v xml:space="preserve"> : string = '' ; </v>
      </c>
      <c r="H36" s="35" t="str">
        <f t="shared" si="4"/>
        <v xml:space="preserve">			{headerName: this.l('Procurement Type'),headerTooltip: this.l('Procurement Type'),field:  'procurementType', cellClass: ['text-center'], width: 120, cellRenderer: 'agCellButtonComponent',
buttonDefTwo: { text: params =&gt; (params.data?.'procurementType' == 'Y') ? 'Active' : 'Inactive',iconName: 'fa fa-circle',className: params =&gt; (params.data?.'procurementType' == 'Y') ? 'btnActive' : 'btnInActive',},}</v>
      </c>
      <c r="I36" s="35" t="str">
        <f t="shared" si="5"/>
        <v xml:space="preserve">								&lt;div class='input-search'&gt;
									&lt;input [(ngModel)]='procurementType' name='procurementType'
									class='form-control' [placeholder]="l('Procurement Type')"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title'&gt;Procurement Type&lt;/label&gt;
						&lt;new-checkbox [(ngModel)]='_procurementType' name='procurementType' className='col-md-10' &gt; &lt;/new-checkbox&gt;
					&lt;/div&gt;</v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procurementType : string = '' ; </v>
      </c>
      <c r="T36" s="28" t="str">
        <f t="shared" si="14"/>
        <v xml:space="preserve">			this.procurementType,</v>
      </c>
      <c r="U36" s="28" t="str">
        <f t="shared" si="15"/>
        <v xml:space="preserve">		this.procurementType = '',</v>
      </c>
      <c r="V36" s="28" t="str">
        <f t="shared" si="8"/>
        <v>procurementType</v>
      </c>
    </row>
    <row r="37" spans="1:22" ht="18" customHeight="1" x14ac:dyDescent="0.25">
      <c r="A37" t="s">
        <v>378</v>
      </c>
      <c r="B37" s="28" t="str">
        <f t="shared" si="36"/>
        <v>SpecialProcurement</v>
      </c>
      <c r="C37" s="28" t="str">
        <f t="shared" si="37"/>
        <v>Special Procurement</v>
      </c>
      <c r="D37" s="28" t="str">
        <f t="shared" si="38"/>
        <v>specialProcurement</v>
      </c>
      <c r="E37" s="28" t="str">
        <f>A.Backend!H31</f>
        <v>string</v>
      </c>
      <c r="F37" s="28" t="str">
        <f>A.Backend!G31</f>
        <v>2</v>
      </c>
      <c r="G37" s="28" t="str">
        <f t="shared" si="3"/>
        <v xml:space="preserve"> : string = '' ; </v>
      </c>
      <c r="H37" s="35" t="str">
        <f t="shared" si="4"/>
        <v xml:space="preserve">			{headerName: this.l('Special Procurement'),headerTooltip: this.l('Special Procurement'),field: 'specialProcurement',flex: 1},</v>
      </c>
      <c r="I37" s="35" t="str">
        <f t="shared" si="5"/>
        <v xml:space="preserve">								&lt;div class='input-search'&gt;
									&lt;input [(ngModel)]='specialProcurement' name='specialProcurement'
									class='form-control' [placeholder]="l('Special Procurement')"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title'&gt;Special Procurement&lt;/label&gt;
						&lt;input type='text' class='col-md-10 form-control input-text' name='SpecialProcurement' [(ngModel)]='rowdata.specialProcurement'&gt;
					&lt;/div&gt;</v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specialProcurement : string = '' ; </v>
      </c>
      <c r="T37" s="28" t="str">
        <f t="shared" si="14"/>
        <v xml:space="preserve">			this.specialProcurement,</v>
      </c>
      <c r="U37" s="28" t="str">
        <f t="shared" si="15"/>
        <v xml:space="preserve">		this.specialProcurement = '',</v>
      </c>
      <c r="V37" s="28" t="str">
        <f t="shared" si="8"/>
        <v/>
      </c>
    </row>
    <row r="38" spans="1:22" ht="15" customHeight="1" x14ac:dyDescent="0.25">
      <c r="A38" t="s">
        <v>402</v>
      </c>
      <c r="B38" s="28" t="str">
        <f t="shared" si="36"/>
        <v>ProdStorLocation</v>
      </c>
      <c r="C38" s="28" t="str">
        <f t="shared" si="37"/>
        <v>Prod Stor Location</v>
      </c>
      <c r="D38" s="28" t="str">
        <f t="shared" si="38"/>
        <v>prodStorLocation</v>
      </c>
      <c r="E38" s="28" t="str">
        <f>A.Backend!H32</f>
        <v>string</v>
      </c>
      <c r="F38" s="28" t="str">
        <f>A.Backend!G32</f>
        <v>4</v>
      </c>
      <c r="G38" s="28" t="str">
        <f t="shared" si="3"/>
        <v xml:space="preserve"> : string = '' ; </v>
      </c>
      <c r="H38" s="35" t="str">
        <f t="shared" si="4"/>
        <v xml:space="preserve">			{headerName: this.l('Prod Stor Location'),headerTooltip: this.l('Prod Stor Location'),field: 'prodStorLocation',flex: 1},</v>
      </c>
      <c r="I38" s="35" t="str">
        <f t="shared" si="5"/>
        <v xml:space="preserve">								&lt;div class='input-search'&gt;
									&lt;input [(ngModel)]='prodStorLocation' name='prodStorLocation'
									class='form-control' [placeholder]="l('Prod Stor Location')"
									type='text' (keyup.enter)='searchDatas()'&gt;
								&lt;/div&gt;</v>
      </c>
      <c r="J38" s="28"/>
      <c r="K38" s="35" t="str">
        <f t="shared" si="6"/>
        <v xml:space="preserve">					&lt;div class='col-md-12 form-group row'&gt;
						&lt;label class='col-md-2 form-control title'&gt;Prod Stor Location&lt;/label&gt;
						&lt;input type='text' class='col-md-10 form-control input-text' name='ProdStorLocation' [(ngModel)]='rowdata.prodStorLocation'&gt;
					&lt;/div&gt;</v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prodStorLocation : string = '' ; </v>
      </c>
      <c r="T38" s="28" t="str">
        <f t="shared" si="14"/>
        <v xml:space="preserve">			this.prodStorLocation,</v>
      </c>
      <c r="U38" s="28" t="str">
        <f t="shared" si="15"/>
        <v xml:space="preserve">		this.prodStorLocation = '',</v>
      </c>
      <c r="V38" s="28" t="str">
        <f t="shared" si="8"/>
        <v/>
      </c>
    </row>
    <row r="39" spans="1:22" ht="18" customHeight="1" x14ac:dyDescent="0.25">
      <c r="A39" t="s">
        <v>403</v>
      </c>
      <c r="B39" s="28" t="str">
        <f t="shared" si="36"/>
        <v>RepetManufacturing</v>
      </c>
      <c r="C39" s="28" t="str">
        <f t="shared" si="37"/>
        <v>Repet Manufacturing</v>
      </c>
      <c r="D39" s="28" t="str">
        <f t="shared" si="38"/>
        <v>repetManufacturing</v>
      </c>
      <c r="E39" s="28" t="str">
        <f>A.Backend!H33</f>
        <v>string</v>
      </c>
      <c r="F39" s="28" t="str">
        <f>A.Backend!G33</f>
        <v>1</v>
      </c>
      <c r="G39" s="28" t="str">
        <f t="shared" si="3"/>
        <v xml:space="preserve"> : string = '' ; </v>
      </c>
      <c r="H39" s="35" t="str">
        <f t="shared" si="4"/>
        <v xml:space="preserve">			{headerName: this.l('Repet Manufacturing'),headerTooltip: this.l('Repet Manufacturing'),field:  'repetManufacturing', cellClass: ['text-center'], width: 120, cellRenderer: 'agCellButtonComponent',
buttonDefTwo: { text: params =&gt; (params.data?.'repetManufacturing' == 'Y') ? 'Active' : 'Inactive',iconName: 'fa fa-circle',className: params =&gt; (params.data?.'repetManufacturing' == 'Y') ? 'btnActive' : 'btnInActive',},}</v>
      </c>
      <c r="I39" s="35" t="str">
        <f t="shared" si="5"/>
        <v xml:space="preserve">								&lt;div class='input-search'&gt;
									&lt;input [(ngModel)]='repetManufacturing' name='repetManufacturing'
									class='form-control' [placeholder]="l('Repet Manufacturing')"
									type='text' (keyup.enter)='searchDatas()'&gt;
								&lt;/div&gt;</v>
      </c>
      <c r="J39" s="28"/>
      <c r="K39" s="35" t="str">
        <f t="shared" si="6"/>
        <v xml:space="preserve">					&lt;div class='col-md-12 form-group row'&gt;
						&lt;label class='col-md-2 form-control title'&gt;Repet Manufacturing&lt;/label&gt;
						&lt;new-checkbox [(ngModel)]='_repetManufacturing' name='repetManufacturing' className='col-md-10' &gt; &lt;/new-checkbox&gt;
					&lt;/div&gt;</v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repetManufacturing : string = '' ; </v>
      </c>
      <c r="T39" s="28" t="str">
        <f t="shared" si="14"/>
        <v xml:space="preserve">			this.repetManufacturing,</v>
      </c>
      <c r="U39" s="28" t="str">
        <f t="shared" si="15"/>
        <v xml:space="preserve">		this.repetManufacturing = '',</v>
      </c>
      <c r="V39" s="28" t="str">
        <f t="shared" si="8"/>
        <v>repetManufacturing</v>
      </c>
    </row>
    <row r="40" spans="1:22" ht="18" customHeight="1" x14ac:dyDescent="0.25">
      <c r="A40" t="s">
        <v>379</v>
      </c>
      <c r="B40" s="28" t="str">
        <f>SUBSTITUTE(PROPER(A40),"_","")</f>
        <v>RemProfile</v>
      </c>
      <c r="C40" s="28" t="str">
        <f>SUBSTITUTE(PROPER(A40),"_"," ")</f>
        <v>Rem Profile</v>
      </c>
      <c r="D40" s="28" t="str">
        <f>LOWER(LEFT(B40,1))&amp;RIGHT(B40,LEN(B40) - 1)</f>
        <v>remProfile</v>
      </c>
      <c r="E40" s="28" t="str">
        <f>A.Backend!H34</f>
        <v>string</v>
      </c>
      <c r="F40" s="28" t="str">
        <f>A.Backend!G34</f>
        <v>4</v>
      </c>
      <c r="G40" s="28" t="str">
        <f t="shared" si="3"/>
        <v xml:space="preserve"> : string = '' ; </v>
      </c>
      <c r="H40" s="35" t="str">
        <f t="shared" si="4"/>
        <v xml:space="preserve">			{headerName: this.l('Rem Profile'),headerTooltip: this.l('Rem Profile'),field: 'remProfile',flex: 1},</v>
      </c>
      <c r="I40" s="35" t="str">
        <f t="shared" si="5"/>
        <v xml:space="preserve">								&lt;div class='input-search'&gt;
									&lt;input [(ngModel)]='remProfile' name='remProfile'
									class='form-control' [placeholder]="l('Rem Profile')"
									type='text' (keyup.enter)='searchDatas()'&gt;
								&lt;/div&gt;</v>
      </c>
      <c r="J40" s="28"/>
      <c r="K40" s="35" t="str">
        <f t="shared" si="6"/>
        <v xml:space="preserve">					&lt;div class='col-md-12 form-group row'&gt;
						&lt;label class='col-md-2 form-control title'&gt;Rem Profile&lt;/label&gt;
						&lt;input type='text' class='col-md-10 form-control input-text' name='RemProfile' [(ngModel)]='rowdata.remProfile'&gt;
					&lt;/div&gt;</v>
      </c>
      <c r="L40" s="56" t="str">
        <f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remProfile : string = '' ; </v>
      </c>
      <c r="T40" s="28" t="str">
        <f t="shared" si="14"/>
        <v xml:space="preserve">			this.remProfile,</v>
      </c>
      <c r="U40" s="28" t="str">
        <f t="shared" si="15"/>
        <v xml:space="preserve">		this.remProfile = '',</v>
      </c>
      <c r="V40" s="28" t="str">
        <f t="shared" si="8"/>
        <v/>
      </c>
    </row>
    <row r="41" spans="1:22" ht="15" customHeight="1" x14ac:dyDescent="0.25">
      <c r="A41" t="s">
        <v>380</v>
      </c>
      <c r="B41" s="28" t="str">
        <f t="shared" ref="B41:B44" si="40">SUBSTITUTE(PROPER(A41),"_","")</f>
        <v>DoNotCost</v>
      </c>
      <c r="C41" s="28" t="str">
        <f t="shared" ref="C41:C44" si="41">SUBSTITUTE(PROPER(A41),"_"," ")</f>
        <v>Do Not Cost</v>
      </c>
      <c r="D41" s="28" t="str">
        <f t="shared" ref="D41:D44" si="42">LOWER(LEFT(B41,1))&amp;RIGHT(B41,LEN(B41) - 1)</f>
        <v>doNotCost</v>
      </c>
      <c r="E41" s="28" t="str">
        <f>A.Backend!H35</f>
        <v>string</v>
      </c>
      <c r="F41" s="28" t="str">
        <f>A.Backend!G35</f>
        <v>1</v>
      </c>
      <c r="G41" s="28" t="str">
        <f t="shared" si="3"/>
        <v xml:space="preserve"> : string = '' ; </v>
      </c>
      <c r="H41" s="35" t="str">
        <f t="shared" si="4"/>
        <v xml:space="preserve">			{headerName: this.l('Do Not Cost'),headerTooltip: this.l('Do Not Cost'),field:  'doNotCost', cellClass: ['text-center'], width: 120, cellRenderer: 'agCellButtonComponent',
buttonDefTwo: { text: params =&gt; (params.data?.'doNotCost' == 'Y') ? 'Active' : 'Inactive',iconName: 'fa fa-circle',className: params =&gt; (params.data?.'doNotCost' == 'Y') ? 'btnActive' : 'btnInActive',},}</v>
      </c>
      <c r="I41" s="35" t="str">
        <f t="shared" si="5"/>
        <v xml:space="preserve">								&lt;div class='input-search'&gt;
									&lt;input [(ngModel)]='doNotCost' name='doNotCost'
									class='form-control' [placeholder]="l('Do Not Cost')"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title'&gt;Do Not Cost&lt;/label&gt;
						&lt;new-checkbox [(ngModel)]='_doNotCost' name='doNotCost' className='col-md-10' &gt; &lt;/new-checkbox&gt;
					&lt;/div&gt;</v>
      </c>
      <c r="L41" s="56" t="str">
        <f t="shared" ref="L41:L44" si="43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doNotCost : string = '' ; </v>
      </c>
      <c r="T41" s="28" t="str">
        <f t="shared" si="14"/>
        <v xml:space="preserve">			this.doNotCost,</v>
      </c>
      <c r="U41" s="28" t="str">
        <f t="shared" si="15"/>
        <v xml:space="preserve">		this.doNotCost = '',</v>
      </c>
      <c r="V41" s="28" t="str">
        <f t="shared" si="8"/>
        <v>doNotCost</v>
      </c>
    </row>
    <row r="42" spans="1:22" ht="18" customHeight="1" x14ac:dyDescent="0.25">
      <c r="A42" t="s">
        <v>381</v>
      </c>
      <c r="B42" s="28" t="str">
        <f t="shared" si="40"/>
        <v>VarianceKey</v>
      </c>
      <c r="C42" s="28" t="str">
        <f t="shared" si="41"/>
        <v>Variance Key</v>
      </c>
      <c r="D42" s="28" t="str">
        <f t="shared" si="42"/>
        <v>varianceKey</v>
      </c>
      <c r="E42" s="28" t="str">
        <f>A.Backend!H36</f>
        <v>string</v>
      </c>
      <c r="F42" s="28" t="str">
        <f>A.Backend!G36</f>
        <v>6</v>
      </c>
      <c r="G42" s="28" t="str">
        <f t="shared" si="3"/>
        <v xml:space="preserve"> : string = '' ; </v>
      </c>
      <c r="H42" s="35" t="str">
        <f t="shared" si="4"/>
        <v xml:space="preserve">			{headerName: this.l('Variance Key'),headerTooltip: this.l('Variance Key'),field: 'varianceKey',flex: 1},</v>
      </c>
      <c r="I42" s="35" t="str">
        <f t="shared" si="5"/>
        <v xml:space="preserve">								&lt;div class='input-search'&gt;
									&lt;input [(ngModel)]='varianceKey' name='varianceKey'
									class='form-control' [placeholder]="l('Variance Key')"
									type='text' (keyup.enter)='searchDatas()'&gt;
								&lt;/div&gt;</v>
      </c>
      <c r="J42" s="28"/>
      <c r="K42" s="35" t="str">
        <f t="shared" si="6"/>
        <v xml:space="preserve">					&lt;div class='col-md-12 form-group row'&gt;
						&lt;label class='col-md-2 form-control title'&gt;Variance Key&lt;/label&gt;
						&lt;input type='text' class='col-md-10 form-control input-text' name='VarianceKey' [(ngModel)]='rowdata.varianceKey'&gt;
					&lt;/div&gt;</v>
      </c>
      <c r="L42" s="56" t="str">
        <f t="shared" si="43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varianceKey : string = '' ; </v>
      </c>
      <c r="T42" s="28" t="str">
        <f t="shared" si="14"/>
        <v xml:space="preserve">			this.varianceKey,</v>
      </c>
      <c r="U42" s="28" t="str">
        <f t="shared" si="15"/>
        <v xml:space="preserve">		this.varianceKey = '',</v>
      </c>
      <c r="V42" s="28" t="str">
        <f t="shared" si="8"/>
        <v/>
      </c>
    </row>
    <row r="43" spans="1:22" ht="15" customHeight="1" x14ac:dyDescent="0.25">
      <c r="A43" t="s">
        <v>404</v>
      </c>
      <c r="B43" s="28" t="str">
        <f t="shared" si="40"/>
        <v>CostingLotSize</v>
      </c>
      <c r="C43" s="28" t="str">
        <f t="shared" si="41"/>
        <v>Costing Lot Size</v>
      </c>
      <c r="D43" s="28" t="str">
        <f t="shared" si="42"/>
        <v>costingLotSize</v>
      </c>
      <c r="E43" s="28" t="str">
        <f>A.Backend!H37</f>
        <v>string</v>
      </c>
      <c r="F43" s="28" t="str">
        <f>A.Backend!G37</f>
        <v>14</v>
      </c>
      <c r="G43" s="28" t="str">
        <f t="shared" si="3"/>
        <v xml:space="preserve"> : string = '' ; </v>
      </c>
      <c r="H43" s="35" t="str">
        <f t="shared" si="4"/>
        <v xml:space="preserve">			{headerName: this.l('Costing Lot Size'),headerTooltip: this.l('Costing Lot Size'),field: 'costingLotSize',flex: 1},</v>
      </c>
      <c r="I43" s="35" t="str">
        <f t="shared" si="5"/>
        <v xml:space="preserve">								&lt;div class='input-search'&gt;
									&lt;input [(ngModel)]='costingLotSize' name='costingLotSize'
									class='form-control' [placeholder]="l('Costing Lot Size')"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title'&gt;Costing Lot Size&lt;/label&gt;
						&lt;input type='text' class='col-md-10 form-control input-text' name='CostingLotSize' [(ngModel)]='rowdata.costingLotSize'&gt;
					&lt;/div&gt;</v>
      </c>
      <c r="L43" s="56" t="str">
        <f t="shared" si="43"/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costingLotSize : string = '' ; </v>
      </c>
      <c r="T43" s="28" t="str">
        <f t="shared" si="14"/>
        <v xml:space="preserve">			this.costingLotSize,</v>
      </c>
      <c r="U43" s="28" t="str">
        <f t="shared" si="15"/>
        <v xml:space="preserve">		this.costingLotSize = '',</v>
      </c>
      <c r="V43" s="28" t="str">
        <f t="shared" si="8"/>
        <v/>
      </c>
    </row>
    <row r="44" spans="1:22" ht="18" customHeight="1" x14ac:dyDescent="0.25">
      <c r="A44" t="s">
        <v>382</v>
      </c>
      <c r="B44" s="28" t="str">
        <f t="shared" si="40"/>
        <v>ProductionVersion</v>
      </c>
      <c r="C44" s="28" t="str">
        <f t="shared" si="41"/>
        <v>Production Version</v>
      </c>
      <c r="D44" s="28" t="str">
        <f t="shared" si="42"/>
        <v>productionVersion</v>
      </c>
      <c r="E44" s="28" t="str">
        <f>A.Backend!H38</f>
        <v>string</v>
      </c>
      <c r="F44" s="28" t="str">
        <f>A.Backend!G38</f>
        <v>4</v>
      </c>
      <c r="G44" s="28" t="str">
        <f t="shared" si="3"/>
        <v xml:space="preserve"> : string = '' ; </v>
      </c>
      <c r="H44" s="35" t="str">
        <f t="shared" si="4"/>
        <v xml:space="preserve">			{headerName: this.l('Production Version'),headerTooltip: this.l('Production Version'),field: 'productionVersion',flex: 1},</v>
      </c>
      <c r="I44" s="35" t="str">
        <f t="shared" si="5"/>
        <v xml:space="preserve">								&lt;div class='input-search'&gt;
									&lt;input [(ngModel)]='productionVersion' name='productionVersion'
									class='form-control' [placeholder]="l('Production Version')"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</v>
      </c>
      <c r="L44" s="56" t="str">
        <f t="shared" si="43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productionVersion : string = '' ; </v>
      </c>
      <c r="T44" s="28" t="str">
        <f t="shared" si="14"/>
        <v xml:space="preserve">			this.productionVersion,</v>
      </c>
      <c r="U44" s="28" t="str">
        <f t="shared" si="15"/>
        <v xml:space="preserve">		this.productionVersion = '',</v>
      </c>
      <c r="V44" s="28" t="str">
        <f t="shared" si="8"/>
        <v/>
      </c>
    </row>
    <row r="45" spans="1:22" ht="18" customHeight="1" x14ac:dyDescent="0.25">
      <c r="A45" t="s">
        <v>405</v>
      </c>
      <c r="B45" s="28" t="str">
        <f>SUBSTITUTE(PROPER(A45),"_","")</f>
        <v>SpecialProcurementType</v>
      </c>
      <c r="C45" s="28" t="str">
        <f>SUBSTITUTE(PROPER(A45),"_"," ")</f>
        <v>Special Procurement Type</v>
      </c>
      <c r="D45" s="28" t="str">
        <f>LOWER(LEFT(B45,1))&amp;RIGHT(B45,LEN(B45) - 1)</f>
        <v>specialProcurementType</v>
      </c>
      <c r="E45" s="28" t="str">
        <f>A.Backend!H39</f>
        <v>string</v>
      </c>
      <c r="F45" s="28" t="str">
        <f>A.Backend!G39</f>
        <v>2</v>
      </c>
      <c r="G45" s="28" t="str">
        <f t="shared" si="3"/>
        <v xml:space="preserve"> : string = '' ; </v>
      </c>
      <c r="H45" s="35" t="str">
        <f t="shared" si="4"/>
        <v xml:space="preserve">			{headerName: this.l('Special Procurement Type'),headerTooltip: this.l('Special Procurement Type'),field: 'specialProcurementType',flex: 1},</v>
      </c>
      <c r="I45" s="35" t="str">
        <f t="shared" si="5"/>
        <v xml:space="preserve">								&lt;div class='input-search'&gt;
									&lt;input [(ngModel)]='specialProcurementType' name='specialProcurementType'
									class='form-control' [placeholder]="l('Special Procurement Type')"
									type='text' (keyup.enter)='searchDatas()'&gt;
								&lt;/div&gt;</v>
      </c>
      <c r="J45" s="28"/>
      <c r="K45" s="35" t="str">
        <f t="shared" si="6"/>
        <v xml:space="preserve">					&lt;div class='col-md-12 form-group row'&gt;
						&lt;label class='col-md-2 form-control title'&gt;Special Procurement Type&lt;/label&gt;
						&lt;input type='text' class='col-md-10 form-control input-text' name='SpecialProcurementType' [(ngModel)]='rowdata.specialProcurementType'&gt;
					&lt;/div&gt;</v>
      </c>
      <c r="L45" s="56" t="str">
        <f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specialProcurementType : string = '' ; </v>
      </c>
      <c r="T45" s="28" t="str">
        <f t="shared" si="14"/>
        <v xml:space="preserve">			this.specialProcurementType,</v>
      </c>
      <c r="U45" s="28" t="str">
        <f t="shared" si="15"/>
        <v xml:space="preserve">		this.specialProcurementType = '',</v>
      </c>
      <c r="V45" s="28" t="str">
        <f t="shared" si="8"/>
        <v/>
      </c>
    </row>
    <row r="46" spans="1:22" ht="15" customHeight="1" x14ac:dyDescent="0.25">
      <c r="A46" t="s">
        <v>383</v>
      </c>
      <c r="B46" s="28" t="str">
        <f t="shared" ref="B46:B49" si="44">SUBSTITUTE(PROPER(A46),"_","")</f>
        <v>ValuationCategory</v>
      </c>
      <c r="C46" s="28" t="str">
        <f t="shared" ref="C46:C49" si="45">SUBSTITUTE(PROPER(A46),"_"," ")</f>
        <v>Valuation Category</v>
      </c>
      <c r="D46" s="28" t="str">
        <f t="shared" ref="D46:D49" si="46">LOWER(LEFT(B46,1))&amp;RIGHT(B46,LEN(B46) - 1)</f>
        <v>valuationCategory</v>
      </c>
      <c r="E46" s="28" t="str">
        <f>A.Backend!H40</f>
        <v>string</v>
      </c>
      <c r="F46" s="28" t="str">
        <f>A.Backend!G40</f>
        <v>1</v>
      </c>
      <c r="G46" s="28" t="str">
        <f t="shared" si="3"/>
        <v xml:space="preserve"> : string = '' ; </v>
      </c>
      <c r="H46" s="35" t="str">
        <f t="shared" si="4"/>
        <v xml:space="preserve">			{headerName: this.l('Valuation Category'),headerTooltip: this.l('Valuation Category'),field:  'valuationCategory', cellClass: ['text-center'], width: 120, cellRenderer: 'agCellButtonComponent',
buttonDefTwo: { text: params =&gt; (params.data?.'valuationCategory' == 'Y') ? 'Active' : 'Inactive',iconName: 'fa fa-circle',className: params =&gt; (params.data?.'valuationCategory' == 'Y') ? 'btnActive' : 'btnInActive',},}</v>
      </c>
      <c r="I46" s="35" t="str">
        <f t="shared" si="5"/>
        <v xml:space="preserve">								&lt;div class='input-search'&gt;
									&lt;input [(ngModel)]='valuationCategory' name='valuationCategory'
									class='form-control' [placeholder]="l('Valuation Category')"
									type='text' (keyup.enter)='searchDatas()'&gt;
								&lt;/div&gt;</v>
      </c>
      <c r="J46" s="28"/>
      <c r="K46" s="35" t="str">
        <f t="shared" si="6"/>
        <v xml:space="preserve">					&lt;div class='col-md-12 form-group row'&gt;
						&lt;label class='col-md-2 form-control title'&gt;Valuation Category&lt;/label&gt;
						&lt;new-checkbox [(ngModel)]='_valuationCategory' name='valuationCategory' className='col-md-10' &gt; &lt;/new-checkbox&gt;
					&lt;/div&gt;</v>
      </c>
      <c r="L46" s="56" t="str">
        <f t="shared" ref="L46:L49" si="47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valuationCategory : string = '' ; </v>
      </c>
      <c r="T46" s="28" t="str">
        <f t="shared" si="14"/>
        <v xml:space="preserve">			this.valuationCategory,</v>
      </c>
      <c r="U46" s="28" t="str">
        <f t="shared" si="15"/>
        <v xml:space="preserve">		this.valuationCategory = '',</v>
      </c>
      <c r="V46" s="28" t="str">
        <f t="shared" si="8"/>
        <v>valuationCategory</v>
      </c>
    </row>
    <row r="47" spans="1:22" ht="18" customHeight="1" x14ac:dyDescent="0.25">
      <c r="A47" t="s">
        <v>384</v>
      </c>
      <c r="B47" s="28" t="str">
        <f t="shared" si="44"/>
        <v>ValuationType</v>
      </c>
      <c r="C47" s="28" t="str">
        <f t="shared" si="45"/>
        <v>Valuation Type</v>
      </c>
      <c r="D47" s="28" t="str">
        <f t="shared" si="46"/>
        <v>valuationType</v>
      </c>
      <c r="E47" s="28" t="str">
        <f>A.Backend!H41</f>
        <v>string</v>
      </c>
      <c r="F47" s="28" t="str">
        <f>A.Backend!G41</f>
        <v>10</v>
      </c>
      <c r="G47" s="28" t="str">
        <f t="shared" si="3"/>
        <v xml:space="preserve"> : string = '' ; </v>
      </c>
      <c r="H47" s="35" t="str">
        <f t="shared" si="4"/>
        <v xml:space="preserve">			{headerName: this.l('Valuation Type'),headerTooltip: this.l('Valuation Type'),field: 'valuationType',flex: 1},</v>
      </c>
      <c r="I47" s="35" t="str">
        <f t="shared" si="5"/>
        <v xml:space="preserve">								&lt;div class='input-search'&gt;
									&lt;input [(ngModel)]='valuationType' name='valuationType'
									class='form-control' [placeholder]="l('Valuation Type')"
									type='text' (keyup.enter)='searchDatas()'&gt;
								&lt;/div&gt;</v>
      </c>
      <c r="J47" s="28"/>
      <c r="K47" s="35" t="str">
        <f t="shared" si="6"/>
        <v xml:space="preserve">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</v>
      </c>
      <c r="L47" s="56" t="str">
        <f t="shared" si="47"/>
        <v/>
      </c>
      <c r="M47" s="28"/>
      <c r="N47" s="28"/>
      <c r="O47" s="28"/>
      <c r="P47" s="28"/>
      <c r="Q47" s="28"/>
      <c r="R47" s="28"/>
      <c r="S47" s="28" t="str">
        <f t="shared" si="13"/>
        <v xml:space="preserve">	valuationType : string = '' ; </v>
      </c>
      <c r="T47" s="28" t="str">
        <f t="shared" si="14"/>
        <v xml:space="preserve">			this.valuationType,</v>
      </c>
      <c r="U47" s="28" t="str">
        <f t="shared" si="15"/>
        <v xml:space="preserve">		this.valuationType = '',</v>
      </c>
      <c r="V47" s="28" t="str">
        <f t="shared" si="8"/>
        <v/>
      </c>
    </row>
    <row r="48" spans="1:22" ht="15" customHeight="1" x14ac:dyDescent="0.25">
      <c r="A48" t="s">
        <v>385</v>
      </c>
      <c r="B48" s="28" t="str">
        <f t="shared" si="44"/>
        <v>ValuationClass</v>
      </c>
      <c r="C48" s="28" t="str">
        <f t="shared" si="45"/>
        <v>Valuation Class</v>
      </c>
      <c r="D48" s="28" t="str">
        <f t="shared" si="46"/>
        <v>valuationClass</v>
      </c>
      <c r="E48" s="28" t="str">
        <f>A.Backend!H42</f>
        <v>string</v>
      </c>
      <c r="F48" s="28" t="str">
        <f>A.Backend!G42</f>
        <v>4</v>
      </c>
      <c r="G48" s="28" t="str">
        <f t="shared" si="3"/>
        <v xml:space="preserve"> : string = '' ; </v>
      </c>
      <c r="H48" s="35" t="str">
        <f t="shared" si="4"/>
        <v xml:space="preserve">			{headerName: this.l('Valuation Class'),headerTooltip: this.l('Valuation Class'),field: 'valuationClass',flex: 1},</v>
      </c>
      <c r="I48" s="35" t="str">
        <f t="shared" si="5"/>
        <v xml:space="preserve">								&lt;div class='input-search'&gt;
									&lt;input [(ngModel)]='valuationClass' name='valuationClass'
									class='form-control' [placeholder]="l('Valuation Class')"
									type='text' (keyup.enter)='searchDatas()'&gt;
								&lt;/div&gt;</v>
      </c>
      <c r="J48" s="28"/>
      <c r="K48" s="35" t="str">
        <f t="shared" si="6"/>
        <v xml:space="preserve">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</v>
      </c>
      <c r="L48" s="56" t="str">
        <f t="shared" si="47"/>
        <v/>
      </c>
      <c r="M48" s="28"/>
      <c r="N48" s="28"/>
      <c r="O48" s="28"/>
      <c r="P48" s="28"/>
      <c r="Q48" s="28"/>
      <c r="R48" s="28"/>
      <c r="S48" s="28" t="str">
        <f t="shared" si="13"/>
        <v xml:space="preserve">	valuationClass : string = '' ; </v>
      </c>
      <c r="T48" s="28" t="str">
        <f t="shared" si="14"/>
        <v xml:space="preserve">			this.valuationClass,</v>
      </c>
      <c r="U48" s="28" t="str">
        <f t="shared" si="15"/>
        <v xml:space="preserve">		this.valuationClass = '',</v>
      </c>
      <c r="V48" s="28" t="str">
        <f t="shared" si="8"/>
        <v/>
      </c>
    </row>
    <row r="49" spans="1:22" ht="18" customHeight="1" x14ac:dyDescent="0.25">
      <c r="A49" t="s">
        <v>386</v>
      </c>
      <c r="B49" s="28" t="str">
        <f t="shared" si="44"/>
        <v>PriceDetermination</v>
      </c>
      <c r="C49" s="28" t="str">
        <f t="shared" si="45"/>
        <v>Price Determination</v>
      </c>
      <c r="D49" s="28" t="str">
        <f t="shared" si="46"/>
        <v>priceDetermination</v>
      </c>
      <c r="E49" s="28" t="str">
        <f>A.Backend!H43</f>
        <v>string</v>
      </c>
      <c r="F49" s="28" t="str">
        <f>A.Backend!G43</f>
        <v>1</v>
      </c>
      <c r="G49" s="28" t="str">
        <f t="shared" si="3"/>
        <v xml:space="preserve"> : string = '' ; </v>
      </c>
      <c r="H49" s="35" t="str">
        <f t="shared" si="4"/>
        <v xml:space="preserve">			{headerName: this.l('Price Determination'),headerTooltip: this.l('Price Determination'),field:  'priceDetermination', cellClass: ['text-center'], width: 120, cellRenderer: 'agCellButtonComponent',
buttonDefTwo: { text: params =&gt; (params.data?.'priceDetermination' == 'Y') ? 'Active' : 'Inactive',iconName: 'fa fa-circle',className: params =&gt; (params.data?.'priceDetermination' == 'Y') ? 'btnActive' : 'btnInActive',},}</v>
      </c>
      <c r="I49" s="35" t="str">
        <f t="shared" si="5"/>
        <v xml:space="preserve">								&lt;div class='input-search'&gt;
									&lt;input [(ngModel)]='priceDetermination' name='priceDetermination'
									class='form-control' [placeholder]="l('Price Determination')"
									type='text' (keyup.enter)='searchDatas()'&gt;
								&lt;/div&gt;</v>
      </c>
      <c r="J49" s="28"/>
      <c r="K49" s="35" t="str">
        <f t="shared" si="6"/>
        <v xml:space="preserve">					&lt;div class='col-md-12 form-group row'&gt;
						&lt;label class='col-md-2 form-control title'&gt;Price Determination&lt;/label&gt;
						&lt;new-checkbox [(ngModel)]='_priceDetermination' name='priceDetermination' className='col-md-10' &gt; &lt;/new-checkbox&gt;
					&lt;/div&gt;</v>
      </c>
      <c r="L49" s="56" t="str">
        <f t="shared" si="47"/>
        <v/>
      </c>
      <c r="M49" s="28"/>
      <c r="N49" s="28"/>
      <c r="O49" s="28"/>
      <c r="P49" s="28"/>
      <c r="Q49" s="28"/>
      <c r="R49" s="28"/>
      <c r="S49" s="28" t="str">
        <f t="shared" si="13"/>
        <v xml:space="preserve">	priceDetermination : string = '' ; </v>
      </c>
      <c r="T49" s="28" t="str">
        <f t="shared" si="14"/>
        <v xml:space="preserve">			this.priceDetermination,</v>
      </c>
      <c r="U49" s="28" t="str">
        <f t="shared" si="15"/>
        <v xml:space="preserve">		this.priceDetermination = '',</v>
      </c>
      <c r="V49" s="28" t="str">
        <f t="shared" si="8"/>
        <v>priceDetermination</v>
      </c>
    </row>
    <row r="50" spans="1:22" ht="18" customHeight="1" x14ac:dyDescent="0.25">
      <c r="A50" t="s">
        <v>387</v>
      </c>
      <c r="B50" s="28" t="str">
        <f>SUBSTITUTE(PROPER(A50),"_","")</f>
        <v>PriceControl</v>
      </c>
      <c r="C50" s="28" t="str">
        <f>SUBSTITUTE(PROPER(A50),"_"," ")</f>
        <v>Price Control</v>
      </c>
      <c r="D50" s="28" t="str">
        <f>LOWER(LEFT(B50,1))&amp;RIGHT(B50,LEN(B50) - 1)</f>
        <v>priceControl</v>
      </c>
      <c r="E50" s="28" t="str">
        <f>A.Backend!H44</f>
        <v>string</v>
      </c>
      <c r="F50" s="28" t="str">
        <f>A.Backend!G44</f>
        <v>1</v>
      </c>
      <c r="G50" s="28" t="str">
        <f t="shared" si="3"/>
        <v xml:space="preserve"> : string = '' ; </v>
      </c>
      <c r="H50" s="35" t="str">
        <f t="shared" si="4"/>
        <v xml:space="preserve">			{headerName: this.l('Price Control'),headerTooltip: this.l('Price Control'),field:  'priceControl', cellClass: ['text-center'], width: 120, cellRenderer: 'agCellButtonComponent',
buttonDefTwo: { text: params =&gt; (params.data?.'priceControl' == 'Y') ? 'Active' : 'Inactive',iconName: 'fa fa-circle',className: params =&gt; (params.data?.'priceControl' == 'Y') ? 'btnActive' : 'btnInActive',},}</v>
      </c>
      <c r="I50" s="35" t="str">
        <f t="shared" si="5"/>
        <v xml:space="preserve">								&lt;div class='input-search'&gt;
									&lt;input [(ngModel)]='priceControl' name='priceControl'
									class='form-control' [placeholder]="l('Price Control')"
									type='text' (keyup.enter)='searchDatas()'&gt;
								&lt;/div&gt;</v>
      </c>
      <c r="J50" s="28"/>
      <c r="K50" s="35" t="str">
        <f t="shared" si="6"/>
        <v xml:space="preserve">					&lt;div class='col-md-12 form-group row'&gt;
						&lt;label class='col-md-2 form-control title'&gt;Price Control&lt;/label&gt;
						&lt;new-checkbox [(ngModel)]='_priceControl' name='priceControl' className='col-md-10' &gt; &lt;/new-checkbox&gt;
					&lt;/div&gt;</v>
      </c>
      <c r="L50" s="56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28"/>
      <c r="N50" s="28"/>
      <c r="O50" s="28"/>
      <c r="P50" s="28"/>
      <c r="Q50" s="28"/>
      <c r="R50" s="28"/>
      <c r="S50" s="28" t="str">
        <f t="shared" si="13"/>
        <v xml:space="preserve">	priceControl : string = '' ; </v>
      </c>
      <c r="T50" s="28" t="str">
        <f t="shared" si="14"/>
        <v xml:space="preserve">			this.priceControl,</v>
      </c>
      <c r="U50" s="28" t="str">
        <f t="shared" si="15"/>
        <v xml:space="preserve">		this.priceControl = '',</v>
      </c>
      <c r="V50" s="28" t="str">
        <f t="shared" si="8"/>
        <v>priceControl</v>
      </c>
    </row>
    <row r="51" spans="1:22" ht="15" customHeight="1" x14ac:dyDescent="0.25">
      <c r="A51" t="s">
        <v>388</v>
      </c>
      <c r="B51" s="28" t="str">
        <f t="shared" ref="B51:B54" si="48">SUBSTITUTE(PROPER(A51),"_","")</f>
        <v>StandardPrice</v>
      </c>
      <c r="C51" s="28" t="str">
        <f t="shared" ref="C51:C54" si="49">SUBSTITUTE(PROPER(A51),"_"," ")</f>
        <v>Standard Price</v>
      </c>
      <c r="D51" s="28" t="str">
        <f t="shared" ref="D51:D54" si="50">LOWER(LEFT(B51,1))&amp;RIGHT(B51,LEN(B51) - 1)</f>
        <v>standardPrice</v>
      </c>
      <c r="E51" s="28" t="str">
        <f>A.Backend!H38</f>
        <v>string</v>
      </c>
      <c r="F51" s="28" t="str">
        <f>A.Backend!G38</f>
        <v>4</v>
      </c>
      <c r="G51" s="28" t="str">
        <f t="shared" ref="G51:G57" si="51">IF(E51="string"," : string = '' ; ",IF(OR(E51="DateTime",E51="TimeSpan")," : any ;",IF(E51="int"," : number = 0 ;","")))</f>
        <v xml:space="preserve"> : string = '' ; </v>
      </c>
      <c r="H51" s="35" t="str">
        <f t="shared" ref="H51:H57" si="52">IF(E51="DateTime",
REPT(CHAR(9),3)&amp;"{headerName: this.l('"&amp;C51&amp;"'),headerTooltip: this.l('"&amp;C51&amp;"'),field: '"&amp;D51&amp;"',valueGetter: (params) =&gt; this.pipe.transform(params.data?."&amp;D51&amp;", 'dd/MM/yyyy'),flex: 1},",
IF(AND(E51="string",F51="1"),
REPT(CHAR(9),3)&amp;"{headerName: this.l('"&amp;C51&amp;"'),headerTooltip: this.l('"&amp;C51&amp;"'),field:  '"&amp;D51&amp;"', cellClass: ['text-center'], width: 120, cellRenderer: 'agCellButtonComponent',
buttonDefTwo: { text: params =&gt; (params.data?.'"&amp;D51&amp;"' == 'Y') ? 'Active' : 'Inactive',iconName: 'fa fa-circle',className: params =&gt; (params.data?.'"&amp;D51&amp;"' == 'Y') ? 'btnActive' : 'btnInActive',},}",
REPT(CHAR(9),3)&amp;"{headerName: this.l('"&amp;C51&amp;"'),headerTooltip: this.l('"&amp;C51&amp;"'),field: '"&amp;D51&amp;"',flex: 1},"))</f>
        <v xml:space="preserve">			{headerName: this.l('Standard Price'),headerTooltip: this.l('Standard Price'),field: 'standardPrice',flex: 1},</v>
      </c>
      <c r="I51" s="35" t="str">
        <f t="shared" ref="I51:I57" si="53">IF(E51="DateTime",
REPT(CHAR(9),8)&amp;"&lt;div class='input-search'&gt;
"&amp;REPT(CHAR(9),9)&amp;"&lt;input type='text' [placeholder]=""l('"&amp;C51&amp;"')"" [(ngModel)]='"&amp;D51&amp;"' 
"&amp;REPT(CHAR(9),9)&amp;"name='"&amp;D51&amp;"'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IF(E51="string",
REPT(CHAR(9),8)&amp;"&lt;div class='input-search'&gt;
"&amp;REPT(CHAR(9),9)&amp;"&lt;input [(ngModel)]='"&amp;D51&amp;"' name='"&amp;D51&amp;"'
"&amp;REPT(CHAR(9),9)&amp;"class='form-control' [placeholder]=""l('"&amp;C51&amp;"')""
"&amp;REPT(CHAR(9),9)&amp;"type='text' (keyup.enter)='searchDatas()'&gt;
"&amp;REPT(CHAR(9),8)&amp;"&lt;/div&gt;",""))</f>
        <v xml:space="preserve">								&lt;div class='input-search'&gt;
									&lt;input [(ngModel)]='standardPrice' name='standardPrice'
									class='form-control' [placeholder]="l('Standard Price')"
									type='text' (keyup.enter)='searchDatas()'&gt;
								&lt;/div&gt;</v>
      </c>
      <c r="J51" s="28"/>
      <c r="K51" s="35" t="str">
        <f t="shared" ref="K51:K57" si="54">IF(OR(E51="DateTime",E51="TimeSpan"),
REPT(CHAR(9),5)&amp;"&lt;div class='col-md-12 form-group row'&gt;
"&amp;REPT(CHAR(9),6)&amp;"&lt;label class='col-md-2 form-control title'&gt;"&amp;C51&amp;"&lt;/label&gt;
"&amp;REPT(CHAR(9),6)&amp;"&lt;input type='text' class='col-md-10 form-control input-text' name='"&amp;D51&amp;"' 
"&amp;REPT(CHAR(9),6)&amp;"#datepicker='bsDatepicker' [(ngModel)]='rowdata."&amp;D51&amp;"'  bsDatepicker &gt;
"&amp;REPT(CHAR(9),5)&amp;"&lt;/div&gt;",
IF(AND(E51="string",F51="1"),
REPT(CHAR(9),5)&amp;"&lt;div class='col-md-12 form-group row'&gt;
"&amp;REPT(CHAR(9),6)&amp;"&lt;label class='col-md-2 form-control title'&gt;"&amp;C51&amp;"&lt;/label&gt;
"&amp;REPT(CHAR(9),6)&amp;"&lt;new-checkbox [(ngModel)]='_"&amp;D51&amp;"' name='"&amp;D51&amp;"' className='col-md-10' &gt; &lt;/new-checkbox&gt;
"&amp;REPT(CHAR(9),5)&amp;"&lt;/div&gt;",
IF(E51="string",
REPT(CHAR(9),5)&amp;"&lt;div class='col-md-12 form-group row'&gt;
"&amp;REPT(CHAR(9),6)&amp;"&lt;label class='col-md-2 form-control title'&gt;"&amp;C51&amp;"&lt;/label&gt;
"&amp;REPT(CHAR(9),6)&amp;"&lt;input type='text' class='col-md-10 form-control input-text' name='"&amp;B51&amp;"' [(ngModel)]='rowdata."&amp;D51&amp;"'&gt;
"&amp;REPT(CHAR(9),5)&amp;"&lt;/div&gt;",
IF(E51="int",
REPT(CHAR(9),5)&amp;"&lt;div class='col-md-12 form-group row'&gt;
"&amp;REPT(CHAR(9),6)&amp;"&lt;label class='col-md-2 form-control title'&gt;"&amp;C51&amp;"&lt;/label&gt;
"&amp;REPT(CHAR(9),6)&amp;"&lt;input type='number' class='col-md-10 form-control input-text' name='"&amp;B51&amp;"' [(ngModel)]='rowdata."&amp;D51&amp;"'&gt;
"&amp;REPT(CHAR(9),5)&amp;"&lt;/div&gt;",""))))</f>
        <v xml:space="preserve">					&lt;div class='col-md-12 form-group row'&gt;
						&lt;label class='col-md-2 form-control title'&gt;Standard Price&lt;/label&gt;
						&lt;input type='text' class='col-md-10 form-control input-text' name='StandardPrice' [(ngModel)]='rowdata.standardPrice'&gt;
					&lt;/div&gt;</v>
      </c>
      <c r="L51" s="56" t="str">
        <f t="shared" ref="L51:L54" si="55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ref="S51:S57" si="56">REPT(CHAR(9),1)&amp;D51&amp;G51</f>
        <v xml:space="preserve">	standardPrice : string = '' ; </v>
      </c>
      <c r="T51" s="28" t="str">
        <f t="shared" ref="T51:T57" si="57">REPT(CHAR(9),3)&amp;"this."&amp;D51&amp;","</f>
        <v xml:space="preserve">			this.standardPrice,</v>
      </c>
      <c r="U51" s="28" t="str">
        <f t="shared" ref="U51:U57" si="58">IF(E51="int",REPT(CHAR(9),2)&amp;"this."&amp;D51&amp;" = 0,",REPT(CHAR(9),2)&amp;"this."&amp;D51&amp;" = '',")</f>
        <v xml:space="preserve">		this.standardPrice = '',</v>
      </c>
      <c r="V51" s="28" t="str">
        <f t="shared" ref="V51:V57" si="59">IF(AND(E51="string",F51="1"),D51,"")</f>
        <v/>
      </c>
    </row>
    <row r="52" spans="1:22" ht="18" customHeight="1" x14ac:dyDescent="0.25">
      <c r="A52" t="s">
        <v>389</v>
      </c>
      <c r="B52" s="28" t="str">
        <f t="shared" si="48"/>
        <v>MovingPrice</v>
      </c>
      <c r="C52" s="28" t="str">
        <f t="shared" si="49"/>
        <v>Moving Price</v>
      </c>
      <c r="D52" s="28" t="str">
        <f t="shared" si="50"/>
        <v>movingPrice</v>
      </c>
      <c r="E52" s="28" t="str">
        <f>A.Backend!H39</f>
        <v>string</v>
      </c>
      <c r="F52" s="28" t="str">
        <f>A.Backend!G39</f>
        <v>2</v>
      </c>
      <c r="G52" s="28" t="str">
        <f t="shared" si="51"/>
        <v xml:space="preserve"> : string = '' ; </v>
      </c>
      <c r="H52" s="35" t="str">
        <f t="shared" si="52"/>
        <v xml:space="preserve">			{headerName: this.l('Moving Price'),headerTooltip: this.l('Moving Price'),field: 'movingPrice',flex: 1},</v>
      </c>
      <c r="I52" s="35" t="str">
        <f t="shared" si="53"/>
        <v xml:space="preserve">								&lt;div class='input-search'&gt;
									&lt;input [(ngModel)]='movingPrice' name='movingPrice'
									class='form-control' [placeholder]="l('Moving Price')"
									type='text' (keyup.enter)='searchDatas()'&gt;
								&lt;/div&gt;</v>
      </c>
      <c r="J52" s="28"/>
      <c r="K52" s="35" t="str">
        <f t="shared" si="54"/>
        <v xml:space="preserve">					&lt;div class='col-md-12 form-group row'&gt;
						&lt;label class='col-md-2 form-control title'&gt;Moving Price&lt;/label&gt;
						&lt;input type='text' class='col-md-10 form-control input-text' name='MovingPrice' [(ngModel)]='rowdata.movingPrice'&gt;
					&lt;/div&gt;</v>
      </c>
      <c r="L52" s="56" t="str">
        <f t="shared" si="55"/>
        <v/>
      </c>
      <c r="M52" s="28"/>
      <c r="N52" s="28"/>
      <c r="O52" s="28"/>
      <c r="P52" s="28"/>
      <c r="Q52" s="28"/>
      <c r="R52" s="28"/>
      <c r="S52" s="28" t="str">
        <f t="shared" si="56"/>
        <v xml:space="preserve">	movingPrice : string = '' ; </v>
      </c>
      <c r="T52" s="28" t="str">
        <f t="shared" si="57"/>
        <v xml:space="preserve">			this.movingPrice,</v>
      </c>
      <c r="U52" s="28" t="str">
        <f t="shared" si="58"/>
        <v xml:space="preserve">		this.movingPrice = '',</v>
      </c>
      <c r="V52" s="28" t="str">
        <f t="shared" si="59"/>
        <v/>
      </c>
    </row>
    <row r="53" spans="1:22" ht="15" customHeight="1" x14ac:dyDescent="0.25">
      <c r="A53" t="s">
        <v>390</v>
      </c>
      <c r="B53" s="28" t="str">
        <f t="shared" si="48"/>
        <v>WithQtyStructure</v>
      </c>
      <c r="C53" s="28" t="str">
        <f t="shared" si="49"/>
        <v>With Qty Structure</v>
      </c>
      <c r="D53" s="28" t="str">
        <f t="shared" si="50"/>
        <v>withQtyStructure</v>
      </c>
      <c r="E53" s="28" t="str">
        <f>A.Backend!H40</f>
        <v>string</v>
      </c>
      <c r="F53" s="28" t="str">
        <f>A.Backend!G40</f>
        <v>1</v>
      </c>
      <c r="G53" s="28" t="str">
        <f t="shared" si="51"/>
        <v xml:space="preserve"> : string = '' ; </v>
      </c>
      <c r="H53" s="35" t="str">
        <f t="shared" si="52"/>
        <v xml:space="preserve">			{headerName: this.l('With Qty Structure'),headerTooltip: this.l('With Qty Structure'),field:  'withQtyStructure', cellClass: ['text-center'], width: 120, cellRenderer: 'agCellButtonComponent',
buttonDefTwo: { text: params =&gt; (params.data?.'withQtyStructure' == 'Y') ? 'Active' : 'Inactive',iconName: 'fa fa-circle',className: params =&gt; (params.data?.'withQtyStructure' == 'Y') ? 'btnActive' : 'btnInActive',},}</v>
      </c>
      <c r="I53" s="35" t="str">
        <f t="shared" si="53"/>
        <v xml:space="preserve">								&lt;div class='input-search'&gt;
									&lt;input [(ngModel)]='withQtyStructure' name='withQtyStructure'
									class='form-control' [placeholder]="l('With Qty Structure')"
									type='text' (keyup.enter)='searchDatas()'&gt;
								&lt;/div&gt;</v>
      </c>
      <c r="J53" s="28"/>
      <c r="K53" s="35" t="str">
        <f t="shared" si="54"/>
        <v xml:space="preserve">					&lt;div class='col-md-12 form-group row'&gt;
						&lt;label class='col-md-2 form-control title'&gt;With Qty Structure&lt;/label&gt;
						&lt;new-checkbox [(ngModel)]='_withQtyStructure' name='withQtyStructure' className='col-md-10' &gt; &lt;/new-checkbox&gt;
					&lt;/div&gt;</v>
      </c>
      <c r="L53" s="56" t="str">
        <f t="shared" si="55"/>
        <v/>
      </c>
      <c r="M53" s="28"/>
      <c r="N53" s="28"/>
      <c r="O53" s="28"/>
      <c r="P53" s="28"/>
      <c r="Q53" s="28"/>
      <c r="R53" s="28"/>
      <c r="S53" s="28" t="str">
        <f t="shared" si="56"/>
        <v xml:space="preserve">	withQtyStructure : string = '' ; </v>
      </c>
      <c r="T53" s="28" t="str">
        <f t="shared" si="57"/>
        <v xml:space="preserve">			this.withQtyStructure,</v>
      </c>
      <c r="U53" s="28" t="str">
        <f t="shared" si="58"/>
        <v xml:space="preserve">		this.withQtyStructure = '',</v>
      </c>
      <c r="V53" s="28" t="str">
        <f t="shared" si="59"/>
        <v>withQtyStructure</v>
      </c>
    </row>
    <row r="54" spans="1:22" ht="18" customHeight="1" x14ac:dyDescent="0.25">
      <c r="A54" t="s">
        <v>391</v>
      </c>
      <c r="B54" s="28" t="str">
        <f t="shared" si="48"/>
        <v>MaterialOrigin</v>
      </c>
      <c r="C54" s="28" t="str">
        <f t="shared" si="49"/>
        <v>Material Origin</v>
      </c>
      <c r="D54" s="28" t="str">
        <f t="shared" si="50"/>
        <v>materialOrigin</v>
      </c>
      <c r="E54" s="28" t="str">
        <f>A.Backend!H41</f>
        <v>string</v>
      </c>
      <c r="F54" s="28" t="str">
        <f>A.Backend!G41</f>
        <v>10</v>
      </c>
      <c r="G54" s="28" t="str">
        <f t="shared" si="51"/>
        <v xml:space="preserve"> : string = '' ; </v>
      </c>
      <c r="H54" s="35" t="str">
        <f t="shared" si="52"/>
        <v xml:space="preserve">			{headerName: this.l('Material Origin'),headerTooltip: this.l('Material Origin'),field: 'materialOrigin',flex: 1},</v>
      </c>
      <c r="I54" s="35" t="str">
        <f t="shared" si="53"/>
        <v xml:space="preserve">								&lt;div class='input-search'&gt;
									&lt;input [(ngModel)]='materialOrigin' name='materialOrigin'
									class='form-control' [placeholder]="l('Material Origin')"
									type='text' (keyup.enter)='searchDatas()'&gt;
								&lt;/div&gt;</v>
      </c>
      <c r="J54" s="28"/>
      <c r="K54" s="35" t="str">
        <f t="shared" si="54"/>
        <v xml:space="preserve">					&lt;div class='col-md-12 form-group row'&gt;
						&lt;label class='col-md-2 form-control title'&gt;Material Origin&lt;/label&gt;
						&lt;input type='text' class='col-md-10 form-control input-text' name='MaterialOrigin' [(ngModel)]='rowdata.materialOrigin'&gt;
					&lt;/div&gt;</v>
      </c>
      <c r="L54" s="56" t="str">
        <f t="shared" si="55"/>
        <v/>
      </c>
      <c r="M54" s="28"/>
      <c r="N54" s="28"/>
      <c r="O54" s="28"/>
      <c r="P54" s="28"/>
      <c r="Q54" s="28"/>
      <c r="R54" s="28"/>
      <c r="S54" s="28" t="str">
        <f t="shared" si="56"/>
        <v xml:space="preserve">	materialOrigin : string = '' ; </v>
      </c>
      <c r="T54" s="28" t="str">
        <f t="shared" si="57"/>
        <v xml:space="preserve">			this.materialOrigin,</v>
      </c>
      <c r="U54" s="28" t="str">
        <f t="shared" si="58"/>
        <v xml:space="preserve">		this.materialOrigin = '',</v>
      </c>
      <c r="V54" s="28" t="str">
        <f t="shared" si="59"/>
        <v/>
      </c>
    </row>
    <row r="55" spans="1:22" ht="18" customHeight="1" x14ac:dyDescent="0.25">
      <c r="A55" t="s">
        <v>392</v>
      </c>
      <c r="B55" s="28" t="str">
        <f>SUBSTITUTE(PROPER(A55),"_","")</f>
        <v>OriginGroup</v>
      </c>
      <c r="C55" s="28" t="str">
        <f>SUBSTITUTE(PROPER(A55),"_"," ")</f>
        <v>Origin Group</v>
      </c>
      <c r="D55" s="28" t="str">
        <f>LOWER(LEFT(B55,1))&amp;RIGHT(B55,LEN(B55) - 1)</f>
        <v>originGroup</v>
      </c>
      <c r="E55" s="28" t="str">
        <f>A.Backend!H45</f>
        <v>string</v>
      </c>
      <c r="F55" s="28" t="str">
        <f>A.Backend!G45</f>
        <v>12</v>
      </c>
      <c r="G55" s="28" t="str">
        <f t="shared" si="51"/>
        <v xml:space="preserve"> : string = '' ; </v>
      </c>
      <c r="H55" s="35" t="str">
        <f t="shared" si="52"/>
        <v xml:space="preserve">			{headerName: this.l('Origin Group'),headerTooltip: this.l('Origin Group'),field: 'originGroup',flex: 1},</v>
      </c>
      <c r="I55" s="35" t="str">
        <f t="shared" si="53"/>
        <v xml:space="preserve">								&lt;div class='input-search'&gt;
									&lt;input [(ngModel)]='originGroup' name='originGroup'
									class='form-control' [placeholder]="l('Origin Group')"
									type='text' (keyup.enter)='searchDatas()'&gt;
								&lt;/div&gt;</v>
      </c>
      <c r="J55" s="28"/>
      <c r="K55" s="35" t="str">
        <f t="shared" si="54"/>
        <v xml:space="preserve">					&lt;div class='col-md-12 form-group row'&gt;
						&lt;label class='col-md-2 form-control title'&gt;Origin Group&lt;/label&gt;
						&lt;input type='text' class='col-md-10 form-control input-text' name='OriginGroup' [(ngModel)]='rowdata.originGroup'&gt;
					&lt;/div&gt;</v>
      </c>
      <c r="L55" s="56" t="str">
        <f>IF(E55="DateTime",
REPT(CHAR(9),2)&amp;"const dateValue =  this.rowdata."&amp;D55&amp;" ? new Date(this.rowdata."&amp;D55&amp;"?.toString()) : new Date();
"&amp;REPT(CHAR(9),2)&amp;"this.datepicker?.bsValueChange.emit(dateValue);","")</f>
        <v/>
      </c>
      <c r="M55" s="28"/>
      <c r="N55" s="28"/>
      <c r="O55" s="28"/>
      <c r="P55" s="28"/>
      <c r="Q55" s="28"/>
      <c r="R55" s="28"/>
      <c r="S55" s="28" t="str">
        <f t="shared" si="56"/>
        <v xml:space="preserve">	originGroup : string = '' ; </v>
      </c>
      <c r="T55" s="28" t="str">
        <f t="shared" si="57"/>
        <v xml:space="preserve">			this.originGroup,</v>
      </c>
      <c r="U55" s="28" t="str">
        <f t="shared" si="58"/>
        <v xml:space="preserve">		this.originGroup = '',</v>
      </c>
      <c r="V55" s="28" t="str">
        <f t="shared" si="59"/>
        <v/>
      </c>
    </row>
    <row r="56" spans="1:22" ht="15" customHeight="1" x14ac:dyDescent="0.25">
      <c r="A56" t="s">
        <v>393</v>
      </c>
      <c r="B56" s="28" t="str">
        <f t="shared" ref="B56:B57" si="60">SUBSTITUTE(PROPER(A56),"_","")</f>
        <v>BasicDataText</v>
      </c>
      <c r="C56" s="28" t="str">
        <f t="shared" ref="C56:C57" si="61">SUBSTITUTE(PROPER(A56),"_"," ")</f>
        <v>Basic Data Text</v>
      </c>
      <c r="D56" s="28" t="str">
        <f t="shared" ref="D56:D57" si="62">LOWER(LEFT(B56,1))&amp;RIGHT(B56,LEN(B56) - 1)</f>
        <v>basicDataText</v>
      </c>
      <c r="E56" s="28" t="str">
        <f>A.Backend!H46</f>
        <v>string</v>
      </c>
      <c r="F56" s="28" t="str">
        <f>A.Backend!G46</f>
        <v>12</v>
      </c>
      <c r="G56" s="28" t="str">
        <f t="shared" si="51"/>
        <v xml:space="preserve"> : string = '' ; </v>
      </c>
      <c r="H56" s="35" t="str">
        <f t="shared" si="52"/>
        <v xml:space="preserve">			{headerName: this.l('Basic Data Text'),headerTooltip: this.l('Basic Data Text'),field: 'basicDataText',flex: 1},</v>
      </c>
      <c r="I56" s="35" t="str">
        <f t="shared" si="53"/>
        <v xml:space="preserve">								&lt;div class='input-search'&gt;
									&lt;input [(ngModel)]='basicDataText' name='basicDataText'
									class='form-control' [placeholder]="l('Basic Data Text')"
									type='text' (keyup.enter)='searchDatas()'&gt;
								&lt;/div&gt;</v>
      </c>
      <c r="J56" s="28"/>
      <c r="K56" s="35" t="str">
        <f t="shared" si="54"/>
        <v xml:space="preserve">					&lt;div class='col-md-12 form-group row'&gt;
						&lt;label class='col-md-2 form-control title'&gt;Basic Data Text&lt;/label&gt;
						&lt;input type='text' class='col-md-10 form-control input-text' name='BasicDataText' [(ngModel)]='rowdata.basicDataText'&gt;
					&lt;/div&gt;</v>
      </c>
      <c r="L56" s="56" t="str">
        <f t="shared" ref="L56:L57" si="63">IF(E56="DateTime",
REPT(CHAR(9),2)&amp;"const dateValue =  this.rowdata."&amp;D56&amp;" ? new Date(this.rowdata."&amp;D56&amp;"?.toString()) : new Date();
"&amp;REPT(CHAR(9),2)&amp;"this.datepicker?.bsValueChange.emit(dateValue);","")</f>
        <v/>
      </c>
      <c r="M56" s="28"/>
      <c r="N56" s="28"/>
      <c r="O56" s="28"/>
      <c r="P56" s="28"/>
      <c r="Q56" s="28"/>
      <c r="R56" s="28"/>
      <c r="S56" s="28" t="str">
        <f t="shared" si="56"/>
        <v xml:space="preserve">	basicDataText : string = '' ; </v>
      </c>
      <c r="T56" s="28" t="str">
        <f t="shared" si="57"/>
        <v xml:space="preserve">			this.basicDataText,</v>
      </c>
      <c r="U56" s="28" t="str">
        <f t="shared" si="58"/>
        <v xml:space="preserve">		this.basicDataText = '',</v>
      </c>
      <c r="V56" s="28" t="str">
        <f t="shared" si="59"/>
        <v/>
      </c>
    </row>
    <row r="57" spans="1:22" ht="18" customHeight="1" x14ac:dyDescent="0.25">
      <c r="A57" t="s">
        <v>406</v>
      </c>
      <c r="B57" s="28" t="str">
        <f t="shared" si="60"/>
        <v>Katashiki</v>
      </c>
      <c r="C57" s="28" t="str">
        <f t="shared" si="61"/>
        <v>Katashiki</v>
      </c>
      <c r="D57" s="28" t="str">
        <f t="shared" si="62"/>
        <v>katashiki</v>
      </c>
      <c r="E57" s="28" t="str">
        <f>A.Backend!H49</f>
        <v>string</v>
      </c>
      <c r="F57" s="28" t="str">
        <f>A.Backend!G49</f>
        <v>4</v>
      </c>
      <c r="G57" s="28" t="str">
        <f t="shared" si="51"/>
        <v xml:space="preserve"> : string = '' ; </v>
      </c>
      <c r="H57" s="35" t="str">
        <f t="shared" si="52"/>
        <v xml:space="preserve">			{headerName: this.l('Katashiki'),headerTooltip: this.l('Katashiki'),field: 'katashiki',flex: 1},</v>
      </c>
      <c r="I57" s="35" t="str">
        <f t="shared" si="53"/>
        <v xml:space="preserve">								&lt;div class='input-search'&gt;
									&lt;input [(ngModel)]='katashiki' name='katashiki'
									class='form-control' [placeholder]="l('Katashiki')"
									type='text' (keyup.enter)='searchDatas()'&gt;
								&lt;/div&gt;</v>
      </c>
      <c r="J57" s="28"/>
      <c r="K57" s="35" t="str">
        <f t="shared" si="54"/>
        <v xml:space="preserve">					&lt;div class='col-md-12 form-group row'&gt;
						&lt;label class='col-md-2 form-control title'&gt;Katashiki&lt;/label&gt;
						&lt;input type='text' class='col-md-10 form-control input-text' name='Katashiki' [(ngModel)]='rowdata.katashiki'&gt;
					&lt;/div&gt;</v>
      </c>
      <c r="L57" s="56" t="str">
        <f t="shared" si="63"/>
        <v/>
      </c>
      <c r="M57" s="28"/>
      <c r="N57" s="28"/>
      <c r="O57" s="28"/>
      <c r="P57" s="28"/>
      <c r="Q57" s="28"/>
      <c r="R57" s="28"/>
      <c r="S57" s="28" t="str">
        <f t="shared" si="56"/>
        <v xml:space="preserve">	katashiki : string = '' ; </v>
      </c>
      <c r="T57" s="28" t="str">
        <f t="shared" si="57"/>
        <v xml:space="preserve">			this.katashiki,</v>
      </c>
      <c r="U57" s="28" t="str">
        <f t="shared" si="58"/>
        <v xml:space="preserve">		this.katashiki = '',</v>
      </c>
      <c r="V57" s="28" t="str">
        <f t="shared" si="59"/>
        <v/>
      </c>
    </row>
    <row r="58" spans="1:22" ht="15" customHeight="1" x14ac:dyDescent="0.25">
      <c r="A58" t="s">
        <v>394</v>
      </c>
      <c r="B58" s="28" t="str">
        <f t="shared" ref="B58:B61" si="64">SUBSTITUTE(PROPER(A58),"_","")</f>
        <v>VehicleControlKatashiki</v>
      </c>
      <c r="C58" s="28" t="str">
        <f t="shared" ref="C58:C61" si="65">SUBSTITUTE(PROPER(A58),"_"," ")</f>
        <v>Vehicle Control Katashiki</v>
      </c>
      <c r="D58" s="28" t="str">
        <f t="shared" ref="D58:D61" si="66">LOWER(LEFT(B58,1))&amp;RIGHT(B58,LEN(B58) - 1)</f>
        <v>vehicleControlKatashiki</v>
      </c>
      <c r="E58" s="28" t="str">
        <f>A.Backend!H45</f>
        <v>string</v>
      </c>
      <c r="F58" s="28" t="str">
        <f>A.Backend!G45</f>
        <v>12</v>
      </c>
      <c r="G58" s="28" t="str">
        <f t="shared" si="3"/>
        <v xml:space="preserve"> : string = '' ; </v>
      </c>
      <c r="H58" s="35" t="str">
        <f t="shared" si="4"/>
        <v xml:space="preserve">			{headerName: this.l('Vehicle Control Katashiki'),headerTooltip: this.l('Vehicle Control Katashiki'),field: 'vehicleControlKatashiki',flex: 1},</v>
      </c>
      <c r="I58" s="35" t="str">
        <f t="shared" si="5"/>
        <v xml:space="preserve">								&lt;div class='input-search'&gt;
									&lt;input [(ngModel)]='vehicleControlKatashiki' name='vehicleControlKatashiki'
									class='form-control' [placeholder]="l('Vehicle Control Katashiki')"
									type='text' (keyup.enter)='searchDatas()'&gt;
								&lt;/div&gt;</v>
      </c>
      <c r="J58" s="28"/>
      <c r="K58" s="35" t="str">
        <f t="shared" si="6"/>
        <v xml:space="preserve">					&lt;div class='col-md-12 form-group row'&gt;
						&lt;label class='col-md-2 form-control title'&gt;Vehicle Control Katashiki&lt;/label&gt;
						&lt;input type='text' class='col-md-10 form-control input-text' name='VehicleControlKatashiki' [(ngModel)]='rowdata.vehicleControlKatashiki'&gt;
					&lt;/div&gt;</v>
      </c>
      <c r="L58" s="56" t="str">
        <f t="shared" ref="L58:L61" si="67">IF(E58="DateTime",
REPT(CHAR(9),2)&amp;"const dateValue =  this.rowdata."&amp;D58&amp;" ? new Date(this.rowdata."&amp;D58&amp;"?.toString()) : new Date();
"&amp;REPT(CHAR(9),2)&amp;"this.datepicker?.bsValueChange.emit(dateValue);","")</f>
        <v/>
      </c>
      <c r="M58" s="28"/>
      <c r="N58" s="28"/>
      <c r="O58" s="28"/>
      <c r="P58" s="28"/>
      <c r="Q58" s="28"/>
      <c r="R58" s="28"/>
      <c r="S58" s="28" t="str">
        <f t="shared" si="13"/>
        <v xml:space="preserve">	vehicleControlKatashiki : string = '' ; </v>
      </c>
      <c r="T58" s="28" t="str">
        <f t="shared" si="14"/>
        <v xml:space="preserve">			this.vehicleControlKatashiki,</v>
      </c>
      <c r="U58" s="28" t="str">
        <f t="shared" si="15"/>
        <v xml:space="preserve">		this.vehicleControlKatashiki = '',</v>
      </c>
      <c r="V58" s="28" t="str">
        <f t="shared" si="8"/>
        <v/>
      </c>
    </row>
    <row r="59" spans="1:22" ht="18" customHeight="1" x14ac:dyDescent="0.25">
      <c r="A59" t="s">
        <v>407</v>
      </c>
      <c r="B59" s="28" t="str">
        <f t="shared" si="64"/>
        <v>ToyotaOrNonToyota</v>
      </c>
      <c r="C59" s="28" t="str">
        <f t="shared" si="65"/>
        <v>Toyota Or Non Toyota</v>
      </c>
      <c r="D59" s="28" t="str">
        <f t="shared" si="66"/>
        <v>toyotaOrNonToyota</v>
      </c>
      <c r="E59" s="28" t="str">
        <f>A.Backend!H46</f>
        <v>string</v>
      </c>
      <c r="F59" s="28" t="str">
        <f>A.Backend!G46</f>
        <v>12</v>
      </c>
      <c r="G59" s="28" t="str">
        <f t="shared" si="3"/>
        <v xml:space="preserve"> : string = '' ; </v>
      </c>
      <c r="H59" s="35" t="str">
        <f t="shared" si="4"/>
        <v xml:space="preserve">			{headerName: this.l('Toyota Or Non Toyota'),headerTooltip: this.l('Toyota Or Non Toyota'),field: 'toyotaOrNonToyota',flex: 1},</v>
      </c>
      <c r="I59" s="35" t="str">
        <f t="shared" si="5"/>
        <v xml:space="preserve">								&lt;div class='input-search'&gt;
									&lt;input [(ngModel)]='toyotaOrNonToyota' name='toyotaOrNonToyota'
									class='form-control' [placeholder]="l('Toyota Or Non Toyota')"
									type='text' (keyup.enter)='searchDatas()'&gt;
								&lt;/div&gt;</v>
      </c>
      <c r="J59" s="28"/>
      <c r="K59" s="35" t="str">
        <f t="shared" si="6"/>
        <v xml:space="preserve">					&lt;div class='col-md-12 form-group row'&gt;
						&lt;label class='col-md-2 form-control title'&gt;Toyota Or Non Toyota&lt;/label&gt;
						&lt;input type='text' class='col-md-10 form-control input-text' name='ToyotaOrNonToyota' [(ngModel)]='rowdata.toyotaOrNonToyota'&gt;
					&lt;/div&gt;</v>
      </c>
      <c r="L59" s="56" t="str">
        <f t="shared" si="67"/>
        <v/>
      </c>
      <c r="M59" s="28"/>
      <c r="N59" s="28"/>
      <c r="O59" s="28"/>
      <c r="P59" s="28"/>
      <c r="Q59" s="28"/>
      <c r="R59" s="28"/>
      <c r="S59" s="28" t="str">
        <f t="shared" si="13"/>
        <v xml:space="preserve">	toyotaOrNonToyota : string = '' ; </v>
      </c>
      <c r="T59" s="28" t="str">
        <f t="shared" si="14"/>
        <v xml:space="preserve">			this.toyotaOrNonToyota,</v>
      </c>
      <c r="U59" s="28" t="str">
        <f t="shared" si="15"/>
        <v xml:space="preserve">		this.toyotaOrNonToyota = '',</v>
      </c>
      <c r="V59" s="28" t="str">
        <f t="shared" si="8"/>
        <v/>
      </c>
    </row>
    <row r="60" spans="1:22" ht="15" customHeight="1" x14ac:dyDescent="0.25">
      <c r="A60" t="s">
        <v>395</v>
      </c>
      <c r="B60" s="28" t="str">
        <f t="shared" si="64"/>
        <v>CategoryOfGear</v>
      </c>
      <c r="C60" s="28" t="str">
        <f t="shared" si="65"/>
        <v>Category Of Gear</v>
      </c>
      <c r="D60" s="28" t="str">
        <f t="shared" si="66"/>
        <v>categoryOfGear</v>
      </c>
      <c r="E60" s="28" t="str">
        <f>A.Backend!H47</f>
        <v>string</v>
      </c>
      <c r="F60" s="28" t="str">
        <f>A.Backend!G47</f>
        <v>1</v>
      </c>
      <c r="G60" s="28" t="str">
        <f t="shared" si="3"/>
        <v xml:space="preserve"> : string = '' ; </v>
      </c>
      <c r="H60" s="35" t="str">
        <f t="shared" si="4"/>
        <v xml:space="preserve">			{headerName: this.l('Category Of Gear'),headerTooltip: this.l('Category Of Gear'),field:  'categoryOfGear', cellClass: ['text-center'], width: 120, cellRenderer: 'agCellButtonComponent',
buttonDefTwo: { text: params =&gt; (params.data?.'categoryOfGear' == 'Y') ? 'Active' : 'Inactive',iconName: 'fa fa-circle',className: params =&gt; (params.data?.'categoryOfGear' == 'Y') ? 'btnActive' : 'btnInActive',},}</v>
      </c>
      <c r="I60" s="35" t="str">
        <f t="shared" si="5"/>
        <v xml:space="preserve">								&lt;div class='input-search'&gt;
									&lt;input [(ngModel)]='categoryOfGear' name='categoryOfGear'
									class='form-control' [placeholder]="l('Category Of Gear')"
									type='text' (keyup.enter)='searchDatas()'&gt;
								&lt;/div&gt;</v>
      </c>
      <c r="J60" s="28"/>
      <c r="K60" s="35" t="str">
        <f t="shared" si="6"/>
        <v xml:space="preserve">					&lt;div class='col-md-12 form-group row'&gt;
						&lt;label class='col-md-2 form-control title'&gt;Category Of Gear&lt;/label&gt;
						&lt;new-checkbox [(ngModel)]='_categoryOfGear' name='categoryOfGear' className='col-md-10' &gt; &lt;/new-checkbox&gt;
					&lt;/div&gt;</v>
      </c>
      <c r="L60" s="56" t="str">
        <f t="shared" si="67"/>
        <v/>
      </c>
      <c r="M60" s="28"/>
      <c r="N60" s="28"/>
      <c r="O60" s="28"/>
      <c r="P60" s="28"/>
      <c r="Q60" s="28"/>
      <c r="R60" s="28"/>
      <c r="S60" s="28" t="str">
        <f t="shared" si="13"/>
        <v xml:space="preserve">	categoryOfGear : string = '' ; </v>
      </c>
      <c r="T60" s="28" t="str">
        <f t="shared" si="14"/>
        <v xml:space="preserve">			this.categoryOfGear,</v>
      </c>
      <c r="U60" s="28" t="str">
        <f t="shared" si="15"/>
        <v xml:space="preserve">		this.categoryOfGear = '',</v>
      </c>
      <c r="V60" s="28" t="str">
        <f t="shared" si="8"/>
        <v>categoryOfGear</v>
      </c>
    </row>
    <row r="61" spans="1:22" ht="18" customHeight="1" x14ac:dyDescent="0.25">
      <c r="A61" t="s">
        <v>396</v>
      </c>
      <c r="B61" s="28" t="str">
        <f t="shared" si="64"/>
        <v>GoshiCar</v>
      </c>
      <c r="C61" s="28" t="str">
        <f t="shared" si="65"/>
        <v>Goshi Car</v>
      </c>
      <c r="D61" s="28" t="str">
        <f t="shared" si="66"/>
        <v>goshiCar</v>
      </c>
      <c r="E61" s="28" t="str">
        <f>A.Backend!H48</f>
        <v>string</v>
      </c>
      <c r="F61" s="28" t="str">
        <f>A.Backend!G48</f>
        <v>1</v>
      </c>
      <c r="G61" s="28" t="str">
        <f t="shared" si="3"/>
        <v xml:space="preserve"> : string = '' ; </v>
      </c>
      <c r="H61" s="35" t="str">
        <f t="shared" si="4"/>
        <v xml:space="preserve">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</v>
      </c>
      <c r="I61" s="35" t="str">
        <f t="shared" si="5"/>
        <v xml:space="preserve">								&lt;div class='input-search'&gt;
									&lt;input [(ngModel)]='goshiCar' name='goshiCar'
									class='form-control' [placeholder]="l('Goshi Car')"
									type='text' (keyup.enter)='searchDatas()'&gt;
								&lt;/div&gt;</v>
      </c>
      <c r="J61" s="28"/>
      <c r="K61" s="35" t="str">
        <f t="shared" si="6"/>
        <v xml:space="preserve">					&lt;div class='col-md-12 form-group row'&gt;
						&lt;label class='col-md-2 form-control title'&gt;Goshi Car&lt;/label&gt;
						&lt;new-checkbox [(ngModel)]='_goshiCar' name='goshiCar' className='col-md-10' &gt; &lt;/new-checkbox&gt;
					&lt;/div&gt;</v>
      </c>
      <c r="L61" s="56" t="str">
        <f t="shared" si="67"/>
        <v/>
      </c>
      <c r="M61" s="28"/>
      <c r="N61" s="28"/>
      <c r="O61" s="28"/>
      <c r="P61" s="28"/>
      <c r="Q61" s="28"/>
      <c r="R61" s="28"/>
      <c r="S61" s="28" t="str">
        <f t="shared" si="13"/>
        <v xml:space="preserve">	goshiCar : string = '' ; </v>
      </c>
      <c r="T61" s="28" t="str">
        <f t="shared" si="14"/>
        <v xml:space="preserve">			this.goshiCar,</v>
      </c>
      <c r="U61" s="28" t="str">
        <f t="shared" si="15"/>
        <v xml:space="preserve">		this.goshiCar = '',</v>
      </c>
      <c r="V61" s="28" t="str">
        <f t="shared" si="8"/>
        <v>goshiCar</v>
      </c>
    </row>
    <row r="62" spans="1:22" ht="18" customHeight="1" x14ac:dyDescent="0.25">
      <c r="A62" t="s">
        <v>408</v>
      </c>
      <c r="B62" s="28" t="str">
        <f>SUBSTITUTE(PROPER(A62),"_","")</f>
        <v>SeriesOfVehicles</v>
      </c>
      <c r="C62" s="28" t="str">
        <f>SUBSTITUTE(PROPER(A62),"_"," ")</f>
        <v>Series Of Vehicles</v>
      </c>
      <c r="D62" s="28" t="str">
        <f>LOWER(LEFT(B62,1))&amp;RIGHT(B62,LEN(B62) - 1)</f>
        <v>seriesOfVehicles</v>
      </c>
      <c r="E62" s="28" t="str">
        <f>A.Backend!H52</f>
        <v>string</v>
      </c>
      <c r="F62" s="28" t="str">
        <f>A.Backend!G52</f>
        <v>20</v>
      </c>
      <c r="G62" s="28" t="str">
        <f t="shared" si="3"/>
        <v xml:space="preserve"> : string = '' ; </v>
      </c>
      <c r="H62" s="35" t="str">
        <f t="shared" si="4"/>
        <v xml:space="preserve">			{headerName: this.l('Series Of Vehicles'),headerTooltip: this.l('Series Of Vehicles'),field: 'seriesOfVehicles',flex: 1},</v>
      </c>
      <c r="I62" s="35" t="str">
        <f t="shared" si="5"/>
        <v xml:space="preserve">								&lt;div class='input-search'&gt;
									&lt;input [(ngModel)]='seriesOfVehicles' name='seriesOfVehicles'
									class='form-control' [placeholder]="l('Series Of Vehicles')"
									type='text' (keyup.enter)='searchDatas()'&gt;
								&lt;/div&gt;</v>
      </c>
      <c r="J62" s="28"/>
      <c r="K62" s="35" t="str">
        <f t="shared" si="6"/>
        <v xml:space="preserve">					&lt;div class='col-md-12 form-group row'&gt;
						&lt;label class='col-md-2 form-control title'&gt;Series Of Vehicles&lt;/label&gt;
						&lt;input type='text' class='col-md-10 form-control input-text' name='SeriesOfVehicles' [(ngModel)]='rowdata.seriesOfVehicles'&gt;
					&lt;/div&gt;</v>
      </c>
      <c r="L62" s="56" t="str">
        <f>IF(E62="DateTime",
REPT(CHAR(9),2)&amp;"const dateValue =  this.rowdata."&amp;D62&amp;" ? new Date(this.rowdata."&amp;D62&amp;"?.toString()) : new Date();
"&amp;REPT(CHAR(9),2)&amp;"this.datepicker?.bsValueChange.emit(dateValue);","")</f>
        <v/>
      </c>
      <c r="M62" s="28"/>
      <c r="N62" s="28"/>
      <c r="O62" s="28"/>
      <c r="P62" s="28"/>
      <c r="Q62" s="28"/>
      <c r="R62" s="28"/>
      <c r="S62" s="28" t="str">
        <f t="shared" si="13"/>
        <v xml:space="preserve">	seriesOfVehicles : string = '' ; </v>
      </c>
      <c r="T62" s="28" t="str">
        <f t="shared" si="14"/>
        <v xml:space="preserve">			this.seriesOfVehicles,</v>
      </c>
      <c r="U62" s="28" t="str">
        <f t="shared" si="15"/>
        <v xml:space="preserve">		this.seriesOfVehicles = '',</v>
      </c>
      <c r="V62" s="28" t="str">
        <f t="shared" si="8"/>
        <v/>
      </c>
    </row>
    <row r="63" spans="1:22" ht="15" customHeight="1" x14ac:dyDescent="0.25">
      <c r="A63" t="s">
        <v>409</v>
      </c>
      <c r="B63" s="28" t="str">
        <f t="shared" ref="B63:B66" si="68">SUBSTITUTE(PROPER(A63),"_","")</f>
        <v>DeliverPowerOfDrivingWheels</v>
      </c>
      <c r="C63" s="28" t="str">
        <f t="shared" ref="C63:C66" si="69">SUBSTITUTE(PROPER(A63),"_"," ")</f>
        <v>Deliver Power Of Driving Wheels</v>
      </c>
      <c r="D63" s="28" t="str">
        <f t="shared" ref="D63:D66" si="70">LOWER(LEFT(B63,1))&amp;RIGHT(B63,LEN(B63) - 1)</f>
        <v>deliverPowerOfDrivingWheels</v>
      </c>
      <c r="E63" s="28" t="str">
        <f>A.Backend!H53</f>
        <v>string</v>
      </c>
      <c r="F63" s="28" t="str">
        <f>A.Backend!G53</f>
        <v>2</v>
      </c>
      <c r="G63" s="28" t="str">
        <f t="shared" si="3"/>
        <v xml:space="preserve"> : string = '' ; </v>
      </c>
      <c r="H63" s="35" t="str">
        <f t="shared" si="4"/>
        <v xml:space="preserve">			{headerName: this.l('Deliver Power Of Driving Wheels'),headerTooltip: this.l('Deliver Power Of Driving Wheels'),field: 'deliverPowerOfDrivingWheels',flex: 1},</v>
      </c>
      <c r="I63" s="35" t="str">
        <f t="shared" si="5"/>
        <v xml:space="preserve">								&lt;div class='input-search'&gt;
									&lt;input [(ngModel)]='deliverPowerOfDrivingWheels' name='deliverPowerOfDrivingWheels'
									class='form-control' [placeholder]="l('Deliver Power Of Driving Wheels')"
									type='text' (keyup.enter)='searchDatas()'&gt;
								&lt;/div&gt;</v>
      </c>
      <c r="J63" s="28"/>
      <c r="K63" s="35" t="str">
        <f t="shared" si="6"/>
        <v xml:space="preserve">					&lt;div class='col-md-12 form-group row'&gt;
						&lt;label class='col-md-2 form-control title'&gt;Deliver Power Of Driving Wheels&lt;/label&gt;
						&lt;input type='text' class='col-md-10 form-control input-text' name='DeliverPowerOfDrivingWheels' [(ngModel)]='rowdata.deliverPowerOfDrivingWheels'&gt;
					&lt;/div&gt;</v>
      </c>
      <c r="L63" s="56" t="str">
        <f t="shared" ref="L63:L66" si="71">IF(E63="DateTime",
REPT(CHAR(9),2)&amp;"const dateValue =  this.rowdata."&amp;D63&amp;" ? new Date(this.rowdata."&amp;D63&amp;"?.toString()) : new Date();
"&amp;REPT(CHAR(9),2)&amp;"this.datepicker?.bsValueChange.emit(dateValue);","")</f>
        <v/>
      </c>
      <c r="M63" s="28"/>
      <c r="N63" s="28"/>
      <c r="O63" s="28"/>
      <c r="P63" s="28"/>
      <c r="Q63" s="28"/>
      <c r="R63" s="28"/>
      <c r="S63" s="28" t="str">
        <f t="shared" si="13"/>
        <v xml:space="preserve">	deliverPowerOfDrivingWheels : string = '' ; </v>
      </c>
      <c r="T63" s="28" t="str">
        <f t="shared" si="14"/>
        <v xml:space="preserve">			this.deliverPowerOfDrivingWheels,</v>
      </c>
      <c r="U63" s="28" t="str">
        <f t="shared" si="15"/>
        <v xml:space="preserve">		this.deliverPowerOfDrivingWheels = '',</v>
      </c>
      <c r="V63" s="28" t="str">
        <f t="shared" si="8"/>
        <v/>
      </c>
    </row>
    <row r="64" spans="1:22" ht="18" customHeight="1" x14ac:dyDescent="0.25">
      <c r="A64" t="s">
        <v>410</v>
      </c>
      <c r="B64" s="28" t="str">
        <f t="shared" si="68"/>
        <v>FuelType</v>
      </c>
      <c r="C64" s="28" t="str">
        <f t="shared" si="69"/>
        <v>Fuel Type</v>
      </c>
      <c r="D64" s="28" t="str">
        <f t="shared" si="70"/>
        <v>fuelType</v>
      </c>
      <c r="E64" s="28" t="str">
        <f>A.Backend!H56</f>
        <v>string</v>
      </c>
      <c r="F64" s="28" t="str">
        <f>A.Backend!G56</f>
        <v>18</v>
      </c>
      <c r="G64" s="28" t="str">
        <f t="shared" si="3"/>
        <v xml:space="preserve"> : string = '' ; </v>
      </c>
      <c r="H64" s="35" t="str">
        <f t="shared" si="4"/>
        <v xml:space="preserve">			{headerName: this.l('Fuel Type'),headerTooltip: this.l('Fuel Type'),field: 'fuelType',flex: 1},</v>
      </c>
      <c r="I64" s="35" t="str">
        <f t="shared" si="5"/>
        <v xml:space="preserve">								&lt;div class='input-search'&gt;
									&lt;input [(ngModel)]='fuelType' name='fuelType'
									class='form-control' [placeholder]="l('Fuel Type')"
									type='text' (keyup.enter)='searchDatas()'&gt;
								&lt;/div&gt;</v>
      </c>
      <c r="J64" s="28"/>
      <c r="K64" s="35" t="str">
        <f t="shared" si="6"/>
        <v xml:space="preserve">					&lt;div class='col-md-12 form-group row'&gt;
						&lt;label class='col-md-2 form-control title'&gt;Fuel Type&lt;/label&gt;
						&lt;input type='text' class='col-md-10 form-control input-text' name='FuelType' [(ngModel)]='rowdata.fuelType'&gt;
					&lt;/div&gt;</v>
      </c>
      <c r="L64" s="56" t="str">
        <f t="shared" si="71"/>
        <v/>
      </c>
      <c r="M64" s="28"/>
      <c r="N64" s="28"/>
      <c r="O64" s="28"/>
      <c r="P64" s="28"/>
      <c r="Q64" s="28"/>
      <c r="R64" s="28"/>
      <c r="S64" s="28" t="str">
        <f t="shared" si="13"/>
        <v xml:space="preserve">	fuelType : string = '' ; </v>
      </c>
      <c r="T64" s="28" t="str">
        <f t="shared" si="14"/>
        <v xml:space="preserve">			this.fuelType,</v>
      </c>
      <c r="U64" s="28" t="str">
        <f t="shared" si="15"/>
        <v xml:space="preserve">		this.fuelType = '',</v>
      </c>
      <c r="V64" s="28" t="str">
        <f t="shared" si="8"/>
        <v/>
      </c>
    </row>
    <row r="65" spans="1:22" ht="15" customHeight="1" x14ac:dyDescent="0.25">
      <c r="A65" t="s">
        <v>397</v>
      </c>
      <c r="B65" s="28" t="str">
        <f t="shared" si="68"/>
        <v>VehicleName</v>
      </c>
      <c r="C65" s="28" t="str">
        <f t="shared" si="69"/>
        <v>Vehicle Name</v>
      </c>
      <c r="D65" s="28" t="str">
        <f t="shared" si="70"/>
        <v>vehicleName</v>
      </c>
      <c r="E65" s="28" t="str">
        <f>A.Backend!H57</f>
        <v>string</v>
      </c>
      <c r="F65" s="28" t="str">
        <f>A.Backend!G57</f>
        <v>3</v>
      </c>
      <c r="G65" s="28" t="str">
        <f t="shared" si="3"/>
        <v xml:space="preserve"> : string = '' ; </v>
      </c>
      <c r="H65" s="35" t="str">
        <f t="shared" si="4"/>
        <v xml:space="preserve">			{headerName: this.l('Vehicle Name'),headerTooltip: this.l('Vehicle Name'),field: 'vehicleName',flex: 1},</v>
      </c>
      <c r="I65" s="35" t="str">
        <f t="shared" si="5"/>
        <v xml:space="preserve">								&lt;div class='input-search'&gt;
									&lt;input [(ngModel)]='vehicleName' name='vehicleName'
									class='form-control' [placeholder]="l('Vehicle Name')"
									type='text' (keyup.enter)='searchDatas()'&gt;
								&lt;/div&gt;</v>
      </c>
      <c r="J65" s="28"/>
      <c r="K65" s="35" t="str">
        <f t="shared" si="6"/>
        <v xml:space="preserve">					&lt;div class='col-md-12 form-group row'&gt;
						&lt;label class='col-md-2 form-control title'&gt;Vehicle Name&lt;/label&gt;
						&lt;input type='text' class='col-md-10 form-control input-text' name='VehicleName' [(ngModel)]='rowdata.vehicleName'&gt;
					&lt;/div&gt;</v>
      </c>
      <c r="L65" s="56" t="str">
        <f t="shared" si="71"/>
        <v/>
      </c>
      <c r="M65" s="28"/>
      <c r="N65" s="28"/>
      <c r="O65" s="28"/>
      <c r="P65" s="28"/>
      <c r="Q65" s="28"/>
      <c r="R65" s="28"/>
      <c r="S65" s="28" t="str">
        <f t="shared" si="13"/>
        <v xml:space="preserve">	vehicleName : string = '' ; </v>
      </c>
      <c r="T65" s="28" t="str">
        <f t="shared" si="14"/>
        <v xml:space="preserve">			this.vehicleName,</v>
      </c>
      <c r="U65" s="28" t="str">
        <f t="shared" si="15"/>
        <v xml:space="preserve">		this.vehicleName = '',</v>
      </c>
      <c r="V65" s="28" t="str">
        <f t="shared" si="8"/>
        <v/>
      </c>
    </row>
    <row r="66" spans="1:22" ht="18" customHeight="1" x14ac:dyDescent="0.25">
      <c r="A66" t="s">
        <v>398</v>
      </c>
      <c r="B66" s="28" t="str">
        <f t="shared" si="68"/>
        <v>PriceUnit</v>
      </c>
      <c r="C66" s="28" t="str">
        <f t="shared" si="69"/>
        <v>Price Unit</v>
      </c>
      <c r="D66" s="28" t="str">
        <f t="shared" si="70"/>
        <v>priceUnit</v>
      </c>
      <c r="E66" s="28" t="str">
        <f>A.Backend!H58</f>
        <v>string</v>
      </c>
      <c r="F66" s="28" t="str">
        <f>A.Backend!G58</f>
        <v>2</v>
      </c>
      <c r="G66" s="28" t="str">
        <f t="shared" si="3"/>
        <v xml:space="preserve"> : string = '' ; </v>
      </c>
      <c r="H66" s="35" t="str">
        <f t="shared" si="4"/>
        <v xml:space="preserve">			{headerName: this.l('Price Unit'),headerTooltip: this.l('Price Unit'),field: 'priceUnit',flex: 1},</v>
      </c>
      <c r="I66" s="35" t="str">
        <f t="shared" si="5"/>
        <v xml:space="preserve">								&lt;div class='input-search'&gt;
									&lt;input [(ngModel)]='priceUnit' name='priceUnit'
									class='form-control' [placeholder]="l('Price Unit')"
									type='text' (keyup.enter)='searchDatas()'&gt;
								&lt;/div&gt;</v>
      </c>
      <c r="J66" s="28"/>
      <c r="K66" s="35" t="str">
        <f t="shared" si="6"/>
        <v xml:space="preserve">					&lt;div class='col-md-12 form-group row'&gt;
						&lt;label class='col-md-2 form-control title'&gt;Price Unit&lt;/label&gt;
						&lt;input type='text' class='col-md-10 form-control input-text' name='PriceUnit' [(ngModel)]='rowdata.priceUnit'&gt;
					&lt;/div&gt;</v>
      </c>
      <c r="L66" s="56" t="str">
        <f t="shared" si="71"/>
        <v/>
      </c>
      <c r="M66" s="28"/>
      <c r="N66" s="28"/>
      <c r="O66" s="28"/>
      <c r="P66" s="28"/>
      <c r="Q66" s="28"/>
      <c r="R66" s="28"/>
      <c r="S66" s="28" t="str">
        <f t="shared" si="13"/>
        <v xml:space="preserve">	priceUnit : string = '' ; </v>
      </c>
      <c r="T66" s="28" t="str">
        <f t="shared" si="14"/>
        <v xml:space="preserve">			this.priceUnit,</v>
      </c>
      <c r="U66" s="28" t="str">
        <f t="shared" si="15"/>
        <v xml:space="preserve">		this.priceUnit = '',</v>
      </c>
      <c r="V66" s="28" t="str">
        <f t="shared" si="8"/>
        <v/>
      </c>
    </row>
    <row r="67" spans="1:22" ht="18" customHeight="1" x14ac:dyDescent="0.25">
      <c r="A67" t="s">
        <v>399</v>
      </c>
      <c r="B67" s="28" t="str">
        <f>SUBSTITUTE(PROPER(A67),"_","")</f>
        <v>MaruCode</v>
      </c>
      <c r="C67" s="28" t="str">
        <f>SUBSTITUTE(PROPER(A67),"_"," ")</f>
        <v>Maru Code</v>
      </c>
      <c r="D67" s="28" t="str">
        <f>LOWER(LEFT(B67,1))&amp;RIGHT(B67,LEN(B67) - 1)</f>
        <v>maruCode</v>
      </c>
      <c r="E67" s="28" t="str">
        <f>A.Backend!H59</f>
        <v>string</v>
      </c>
      <c r="F67" s="28" t="str">
        <f>A.Backend!G59</f>
        <v>6</v>
      </c>
      <c r="G67" s="28" t="str">
        <f t="shared" si="3"/>
        <v xml:space="preserve"> : string = '' ; </v>
      </c>
      <c r="H67" s="35" t="str">
        <f t="shared" si="4"/>
        <v xml:space="preserve">			{headerName: this.l('Maru Code'),headerTooltip: this.l('Maru Code'),field: 'maruCode',flex: 1},</v>
      </c>
      <c r="I67" s="35" t="str">
        <f t="shared" si="5"/>
        <v xml:space="preserve">								&lt;div class='input-search'&gt;
									&lt;input [(ngModel)]='maruCode' name='maruCode'
									class='form-control' [placeholder]="l('Maru Code')"
									type='text' (keyup.enter)='searchDatas()'&gt;
								&lt;/div&gt;</v>
      </c>
      <c r="J67" s="28"/>
      <c r="K67" s="35" t="str">
        <f t="shared" si="6"/>
        <v xml:space="preserve">					&lt;div class='col-md-12 form-group row'&gt;
						&lt;label class='col-md-2 form-control title'&gt;Maru Code&lt;/label&gt;
						&lt;input type='text' class='col-md-10 form-control input-text' name='MaruCode' [(ngModel)]='rowdata.maruCode'&gt;
					&lt;/div&gt;</v>
      </c>
      <c r="L67" s="56" t="str">
        <f>IF(E67="DateTime",
REPT(CHAR(9),2)&amp;"const dateValue =  this.rowdata."&amp;D67&amp;" ? new Date(this.rowdata."&amp;D67&amp;"?.toString()) : new Date();
"&amp;REPT(CHAR(9),2)&amp;"this.datepicker?.bsValueChange.emit(dateValue);","")</f>
        <v/>
      </c>
      <c r="M67" s="28"/>
      <c r="N67" s="28"/>
      <c r="O67" s="28"/>
      <c r="P67" s="28"/>
      <c r="Q67" s="28"/>
      <c r="R67" s="28"/>
      <c r="S67" s="28" t="str">
        <f t="shared" si="13"/>
        <v xml:space="preserve">	maruCode : string = '' ; </v>
      </c>
      <c r="T67" s="28" t="str">
        <f t="shared" si="14"/>
        <v xml:space="preserve">			this.maruCode,</v>
      </c>
      <c r="U67" s="28" t="str">
        <f t="shared" si="15"/>
        <v xml:space="preserve">		this.maruCode = '',</v>
      </c>
      <c r="V67" s="28" t="str">
        <f t="shared" si="8"/>
        <v/>
      </c>
    </row>
    <row r="68" spans="1:22" ht="15" customHeight="1" x14ac:dyDescent="0.25">
      <c r="A68" t="s">
        <v>411</v>
      </c>
      <c r="B68" s="28" t="str">
        <f t="shared" ref="B68" si="72">SUBSTITUTE(PROPER(A68),"_","")</f>
        <v>EndingOfRecord</v>
      </c>
      <c r="C68" s="28" t="str">
        <f t="shared" ref="C68" si="73">SUBSTITUTE(PROPER(A68),"_"," ")</f>
        <v>Ending Of Record</v>
      </c>
      <c r="D68" s="28" t="str">
        <f t="shared" ref="D68" si="74">LOWER(LEFT(B68,1))&amp;RIGHT(B68,LEN(B68) - 1)</f>
        <v>endingOfRecord</v>
      </c>
      <c r="E68" s="28" t="str">
        <f>A.Backend!H60</f>
        <v>string</v>
      </c>
      <c r="F68" s="28" t="str">
        <f>A.Backend!G60</f>
        <v>1</v>
      </c>
      <c r="G68" s="28" t="str">
        <f t="shared" si="3"/>
        <v xml:space="preserve"> : string = '' ; </v>
      </c>
      <c r="H68" s="35" t="str">
        <f t="shared" si="4"/>
        <v xml:space="preserve">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</v>
      </c>
      <c r="I68" s="35" t="str">
        <f t="shared" si="5"/>
        <v xml:space="preserve">								&lt;div class='input-search'&gt;
									&lt;input [(ngModel)]='endingOfRecord' name='endingOfRecord'
									class='form-control' [placeholder]="l('Ending Of Record')"
									type='text' (keyup.enter)='searchDatas()'&gt;
								&lt;/div&gt;</v>
      </c>
      <c r="J68" s="28"/>
      <c r="K68" s="35" t="str">
        <f t="shared" si="6"/>
        <v xml:space="preserve">					&lt;div class='col-md-12 form-group row'&gt;
						&lt;label class='col-md-2 form-control title'&gt;Ending Of Record&lt;/label&gt;
						&lt;new-checkbox [(ngModel)]='_endingOfRecord' name='endingOfRecord' className='col-md-10' &gt; &lt;/new-checkbox&gt;
					&lt;/div&gt;</v>
      </c>
      <c r="L68" s="56" t="str">
        <f t="shared" ref="L68" si="75">IF(E68="DateTime",
REPT(CHAR(9),2)&amp;"const dateValue =  this.rowdata."&amp;D68&amp;" ? new Date(this.rowdata."&amp;D68&amp;"?.toString()) : new Date();
"&amp;REPT(CHAR(9),2)&amp;"this.datepicker?.bsValueChange.emit(dateValue);","")</f>
        <v/>
      </c>
      <c r="M68" s="28"/>
      <c r="N68" s="28"/>
      <c r="O68" s="28"/>
      <c r="P68" s="28"/>
      <c r="Q68" s="28"/>
      <c r="R68" s="28"/>
      <c r="S68" s="28" t="str">
        <f t="shared" si="13"/>
        <v xml:space="preserve">	endingOfRecord : string = '' ; </v>
      </c>
      <c r="T68" s="28" t="str">
        <f t="shared" si="14"/>
        <v xml:space="preserve">			this.endingOfRecord,</v>
      </c>
      <c r="U68" s="28" t="str">
        <f t="shared" si="15"/>
        <v xml:space="preserve">		this.endingOfRecord = '',</v>
      </c>
      <c r="V68" s="28" t="str">
        <f t="shared" si="8"/>
        <v>endingOfRecord</v>
      </c>
    </row>
    <row r="7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2023-07-21T04:10:03Z</dcterms:modified>
</cp:coreProperties>
</file>
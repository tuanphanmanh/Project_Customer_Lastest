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interface\"/>
    </mc:Choice>
  </mc:AlternateContent>
  <bookViews>
    <workbookView xWindow="-120" yWindow="-120" windowWidth="24240" windowHeight="131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5" l="1"/>
  <c r="E39" i="5"/>
  <c r="V39" i="5" s="1"/>
  <c r="C39" i="5"/>
  <c r="B39" i="5"/>
  <c r="D39" i="5" s="1"/>
  <c r="T39" i="5" s="1"/>
  <c r="F38" i="5"/>
  <c r="E38" i="5"/>
  <c r="V38" i="5" s="1"/>
  <c r="C38" i="5"/>
  <c r="B38" i="5"/>
  <c r="D38" i="5" s="1"/>
  <c r="F37" i="5"/>
  <c r="E37" i="5"/>
  <c r="V37" i="5" s="1"/>
  <c r="C37" i="5"/>
  <c r="B37" i="5"/>
  <c r="D37" i="5" s="1"/>
  <c r="F36" i="5"/>
  <c r="E36" i="5"/>
  <c r="G36" i="5" s="1"/>
  <c r="C36" i="5"/>
  <c r="K36" i="5" s="1"/>
  <c r="B36" i="5"/>
  <c r="D36" i="5" s="1"/>
  <c r="F35" i="5"/>
  <c r="E35" i="5"/>
  <c r="V35" i="5" s="1"/>
  <c r="C35" i="5"/>
  <c r="B35" i="5"/>
  <c r="D35" i="5" s="1"/>
  <c r="L34" i="5"/>
  <c r="F34" i="5"/>
  <c r="E34" i="5"/>
  <c r="V34" i="5" s="1"/>
  <c r="C34" i="5"/>
  <c r="B34" i="5"/>
  <c r="F33" i="5"/>
  <c r="E33" i="5"/>
  <c r="L33" i="5" s="1"/>
  <c r="C33" i="5"/>
  <c r="B33" i="5"/>
  <c r="D33" i="5" s="1"/>
  <c r="U33" i="5" s="1"/>
  <c r="F32" i="5"/>
  <c r="E32" i="5"/>
  <c r="V32" i="5" s="1"/>
  <c r="C32" i="5"/>
  <c r="B32" i="5"/>
  <c r="D32" i="5" s="1"/>
  <c r="G31" i="5"/>
  <c r="F31" i="5"/>
  <c r="E31" i="5"/>
  <c r="C31" i="5"/>
  <c r="B31" i="5"/>
  <c r="D31" i="5" s="1"/>
  <c r="F30" i="5"/>
  <c r="E30" i="5"/>
  <c r="C30" i="5"/>
  <c r="B30" i="5"/>
  <c r="D30" i="5" s="1"/>
  <c r="T30" i="5" s="1"/>
  <c r="F29" i="5"/>
  <c r="K29" i="5" s="1"/>
  <c r="E29" i="5"/>
  <c r="C29" i="5"/>
  <c r="B29" i="5"/>
  <c r="D29" i="5" s="1"/>
  <c r="F28" i="5"/>
  <c r="E28" i="5"/>
  <c r="G28" i="5" s="1"/>
  <c r="C28" i="5"/>
  <c r="B28" i="5"/>
  <c r="D28" i="5" s="1"/>
  <c r="F27" i="5"/>
  <c r="V27" i="5" s="1"/>
  <c r="E27" i="5"/>
  <c r="I27" i="5" s="1"/>
  <c r="C27" i="5"/>
  <c r="B27" i="5"/>
  <c r="D27" i="5" s="1"/>
  <c r="U27" i="5" s="1"/>
  <c r="F26" i="5"/>
  <c r="E26" i="5"/>
  <c r="V26" i="5" s="1"/>
  <c r="C26" i="5"/>
  <c r="B26" i="5"/>
  <c r="D26" i="5" s="1"/>
  <c r="K25" i="5"/>
  <c r="F25" i="5"/>
  <c r="V25" i="5" s="1"/>
  <c r="E25" i="5"/>
  <c r="L25" i="5" s="1"/>
  <c r="C25" i="5"/>
  <c r="H25" i="5" s="1"/>
  <c r="B25" i="5"/>
  <c r="D25" i="5" s="1"/>
  <c r="U25" i="5" s="1"/>
  <c r="L29" i="1"/>
  <c r="G29" i="1"/>
  <c r="E29" i="1"/>
  <c r="H29" i="1" s="1"/>
  <c r="D29" i="1"/>
  <c r="V29" i="1" s="1"/>
  <c r="D9" i="1"/>
  <c r="P9" i="1" s="1"/>
  <c r="E9" i="1"/>
  <c r="H9" i="1" s="1"/>
  <c r="G9" i="1"/>
  <c r="L9" i="1"/>
  <c r="D10" i="1"/>
  <c r="P10" i="1" s="1"/>
  <c r="E10" i="1"/>
  <c r="H10" i="1" s="1"/>
  <c r="G10" i="1"/>
  <c r="L10" i="1"/>
  <c r="D11" i="1"/>
  <c r="P11" i="1" s="1"/>
  <c r="E11" i="1"/>
  <c r="H11" i="1" s="1"/>
  <c r="G11" i="1"/>
  <c r="L11" i="1"/>
  <c r="D12" i="1"/>
  <c r="P12" i="1" s="1"/>
  <c r="E12" i="1"/>
  <c r="H12" i="1" s="1"/>
  <c r="G12" i="1"/>
  <c r="L12" i="1"/>
  <c r="D13" i="1"/>
  <c r="P13" i="1" s="1"/>
  <c r="E13" i="1"/>
  <c r="G13" i="1"/>
  <c r="H13" i="1"/>
  <c r="L13" i="1"/>
  <c r="D14" i="1"/>
  <c r="P14" i="1" s="1"/>
  <c r="E14" i="1"/>
  <c r="H14" i="1" s="1"/>
  <c r="G14" i="1"/>
  <c r="L14" i="1"/>
  <c r="D15" i="1"/>
  <c r="P15" i="1" s="1"/>
  <c r="E15" i="1"/>
  <c r="H15" i="1" s="1"/>
  <c r="M15" i="1" s="1"/>
  <c r="G15" i="1"/>
  <c r="L15" i="1"/>
  <c r="D16" i="1"/>
  <c r="P16" i="1" s="1"/>
  <c r="E16" i="1"/>
  <c r="G16" i="1"/>
  <c r="H16" i="1"/>
  <c r="N16" i="1" s="1"/>
  <c r="L16" i="1"/>
  <c r="D17" i="1"/>
  <c r="P17" i="1" s="1"/>
  <c r="E17" i="1"/>
  <c r="H17" i="1" s="1"/>
  <c r="G17" i="1"/>
  <c r="L17" i="1"/>
  <c r="D18" i="1"/>
  <c r="P18" i="1" s="1"/>
  <c r="E18" i="1"/>
  <c r="H18" i="1" s="1"/>
  <c r="G18" i="1"/>
  <c r="L18" i="1"/>
  <c r="D19" i="1"/>
  <c r="P19" i="1" s="1"/>
  <c r="E19" i="1"/>
  <c r="G19" i="1"/>
  <c r="H19" i="1"/>
  <c r="I19" i="1" s="1"/>
  <c r="L19" i="1"/>
  <c r="O19" i="1"/>
  <c r="D20" i="1"/>
  <c r="P20" i="1" s="1"/>
  <c r="E20" i="1"/>
  <c r="H20" i="1" s="1"/>
  <c r="G20" i="1"/>
  <c r="L20" i="1"/>
  <c r="D21" i="1"/>
  <c r="P21" i="1" s="1"/>
  <c r="E21" i="1"/>
  <c r="H21" i="1" s="1"/>
  <c r="G21" i="1"/>
  <c r="L21" i="1"/>
  <c r="D22" i="1"/>
  <c r="P22" i="1" s="1"/>
  <c r="E22" i="1"/>
  <c r="H22" i="1" s="1"/>
  <c r="G22" i="1"/>
  <c r="L22" i="1"/>
  <c r="D23" i="1"/>
  <c r="P23" i="1" s="1"/>
  <c r="E23" i="1"/>
  <c r="H23" i="1" s="1"/>
  <c r="G23" i="1"/>
  <c r="L23" i="1"/>
  <c r="D24" i="1"/>
  <c r="P24" i="1" s="1"/>
  <c r="E24" i="1"/>
  <c r="H24" i="1" s="1"/>
  <c r="G24" i="1"/>
  <c r="L24" i="1"/>
  <c r="D25" i="1"/>
  <c r="P25" i="1" s="1"/>
  <c r="E25" i="1"/>
  <c r="H25" i="1" s="1"/>
  <c r="G25" i="1"/>
  <c r="L25" i="1"/>
  <c r="D26" i="1"/>
  <c r="P26" i="1" s="1"/>
  <c r="E26" i="1"/>
  <c r="H26" i="1" s="1"/>
  <c r="G26" i="1"/>
  <c r="L26" i="1"/>
  <c r="D27" i="1"/>
  <c r="E27" i="1"/>
  <c r="H27" i="1" s="1"/>
  <c r="G27" i="1"/>
  <c r="L27" i="1"/>
  <c r="D28" i="1"/>
  <c r="E28" i="1"/>
  <c r="H28" i="1" s="1"/>
  <c r="G28" i="1"/>
  <c r="L28" i="1"/>
  <c r="D30" i="1"/>
  <c r="P30" i="1" s="1"/>
  <c r="E30" i="1"/>
  <c r="H30" i="1" s="1"/>
  <c r="G30" i="1"/>
  <c r="L30" i="1"/>
  <c r="D31" i="1"/>
  <c r="P31" i="1" s="1"/>
  <c r="E31" i="1"/>
  <c r="H31" i="1" s="1"/>
  <c r="G31" i="1"/>
  <c r="L31" i="1"/>
  <c r="D32" i="1"/>
  <c r="P32" i="1" s="1"/>
  <c r="E32" i="1"/>
  <c r="H32" i="1" s="1"/>
  <c r="G32" i="1"/>
  <c r="L32" i="1"/>
  <c r="D33" i="1"/>
  <c r="P33" i="1" s="1"/>
  <c r="E33" i="1"/>
  <c r="H33" i="1" s="1"/>
  <c r="G33" i="1"/>
  <c r="L33" i="1"/>
  <c r="D34" i="1"/>
  <c r="P34" i="1" s="1"/>
  <c r="E34" i="1"/>
  <c r="H34" i="1" s="1"/>
  <c r="G34" i="1"/>
  <c r="L34" i="1"/>
  <c r="D35" i="1"/>
  <c r="P35" i="1" s="1"/>
  <c r="E35" i="1"/>
  <c r="H35" i="1" s="1"/>
  <c r="I35" i="1" s="1"/>
  <c r="G35" i="1"/>
  <c r="L35" i="1"/>
  <c r="D36" i="1"/>
  <c r="P36" i="1" s="1"/>
  <c r="E36" i="1"/>
  <c r="H36" i="1" s="1"/>
  <c r="J36" i="1" s="1"/>
  <c r="G36" i="1"/>
  <c r="L36" i="1"/>
  <c r="D37" i="1"/>
  <c r="P37" i="1" s="1"/>
  <c r="E37" i="1"/>
  <c r="H37" i="1" s="1"/>
  <c r="G37" i="1"/>
  <c r="L37" i="1"/>
  <c r="D38" i="1"/>
  <c r="P38" i="1" s="1"/>
  <c r="E38" i="1"/>
  <c r="H38" i="1" s="1"/>
  <c r="I38" i="1" s="1"/>
  <c r="G38" i="1"/>
  <c r="L38" i="1"/>
  <c r="D39" i="1"/>
  <c r="P39" i="1" s="1"/>
  <c r="E39" i="1"/>
  <c r="H39" i="1" s="1"/>
  <c r="G39" i="1"/>
  <c r="L39" i="1"/>
  <c r="D40" i="1"/>
  <c r="P40" i="1" s="1"/>
  <c r="E40" i="1"/>
  <c r="H40" i="1" s="1"/>
  <c r="G40" i="1"/>
  <c r="L40" i="1"/>
  <c r="D41" i="1"/>
  <c r="E41" i="1"/>
  <c r="H41" i="1" s="1"/>
  <c r="G41" i="1"/>
  <c r="L41" i="1"/>
  <c r="D42" i="1"/>
  <c r="P42" i="1" s="1"/>
  <c r="E42" i="1"/>
  <c r="H42" i="1" s="1"/>
  <c r="G42" i="1"/>
  <c r="L42" i="1"/>
  <c r="D43" i="1"/>
  <c r="P43" i="1" s="1"/>
  <c r="E43" i="1"/>
  <c r="H43" i="1" s="1"/>
  <c r="G43" i="1"/>
  <c r="L43" i="1"/>
  <c r="D44" i="1"/>
  <c r="P44" i="1" s="1"/>
  <c r="E44" i="1"/>
  <c r="H44" i="1" s="1"/>
  <c r="G44" i="1"/>
  <c r="L44" i="1"/>
  <c r="D45" i="1"/>
  <c r="P45" i="1" s="1"/>
  <c r="E45" i="1"/>
  <c r="H45" i="1" s="1"/>
  <c r="G45" i="1"/>
  <c r="L45" i="1"/>
  <c r="D46" i="1"/>
  <c r="P46" i="1" s="1"/>
  <c r="E46" i="1"/>
  <c r="H46" i="1" s="1"/>
  <c r="G46" i="1"/>
  <c r="L46" i="1"/>
  <c r="D47" i="1"/>
  <c r="P47" i="1" s="1"/>
  <c r="E47" i="1"/>
  <c r="G47" i="1"/>
  <c r="H47" i="1"/>
  <c r="L47" i="1"/>
  <c r="V36" i="1"/>
  <c r="V31" i="1"/>
  <c r="K28" i="5" l="1"/>
  <c r="G37" i="5"/>
  <c r="L28" i="5"/>
  <c r="K30" i="5"/>
  <c r="G35" i="5"/>
  <c r="L35" i="5"/>
  <c r="V29" i="5"/>
  <c r="V31" i="5"/>
  <c r="I28" i="5"/>
  <c r="L27" i="5"/>
  <c r="G29" i="5"/>
  <c r="S29" i="5" s="1"/>
  <c r="I29" i="5"/>
  <c r="G25" i="5"/>
  <c r="L29" i="5"/>
  <c r="G34" i="5"/>
  <c r="U31" i="5"/>
  <c r="K31" i="5"/>
  <c r="H31" i="5"/>
  <c r="T36" i="5"/>
  <c r="I36" i="5"/>
  <c r="T37" i="5"/>
  <c r="H37" i="5"/>
  <c r="K37" i="5"/>
  <c r="H30" i="5"/>
  <c r="S36" i="5"/>
  <c r="I30" i="5"/>
  <c r="H36" i="5"/>
  <c r="H26" i="5"/>
  <c r="I33" i="5"/>
  <c r="K35" i="5"/>
  <c r="V33" i="5"/>
  <c r="T32" i="5"/>
  <c r="T38" i="5"/>
  <c r="H29" i="5"/>
  <c r="U29" i="5"/>
  <c r="T29" i="5"/>
  <c r="H32" i="5"/>
  <c r="I35" i="5"/>
  <c r="H35" i="5"/>
  <c r="S35" i="5"/>
  <c r="U35" i="5"/>
  <c r="T35" i="5"/>
  <c r="T28" i="5"/>
  <c r="S28" i="5"/>
  <c r="U28" i="5"/>
  <c r="H28" i="5"/>
  <c r="T26" i="5"/>
  <c r="I25" i="5"/>
  <c r="G26" i="5"/>
  <c r="S26" i="5" s="1"/>
  <c r="V28" i="5"/>
  <c r="L30" i="5"/>
  <c r="I31" i="5"/>
  <c r="G32" i="5"/>
  <c r="S32" i="5" s="1"/>
  <c r="L36" i="5"/>
  <c r="I37" i="5"/>
  <c r="G38" i="5"/>
  <c r="S38" i="5" s="1"/>
  <c r="D34" i="5"/>
  <c r="K34" i="5" s="1"/>
  <c r="H38" i="5"/>
  <c r="I26" i="5"/>
  <c r="G27" i="5"/>
  <c r="L31" i="5"/>
  <c r="I32" i="5"/>
  <c r="G33" i="5"/>
  <c r="L37" i="5"/>
  <c r="I38" i="5"/>
  <c r="G39" i="5"/>
  <c r="S25" i="5"/>
  <c r="K26" i="5"/>
  <c r="H27" i="5"/>
  <c r="U30" i="5"/>
  <c r="S31" i="5"/>
  <c r="K32" i="5"/>
  <c r="H33" i="5"/>
  <c r="U36" i="5"/>
  <c r="S37" i="5"/>
  <c r="K38" i="5"/>
  <c r="H39" i="5"/>
  <c r="T25" i="5"/>
  <c r="L26" i="5"/>
  <c r="V30" i="5"/>
  <c r="T31" i="5"/>
  <c r="L32" i="5"/>
  <c r="V36" i="5"/>
  <c r="L38" i="5"/>
  <c r="I39" i="5"/>
  <c r="K27" i="5"/>
  <c r="K33" i="5"/>
  <c r="U37" i="5"/>
  <c r="K39" i="5"/>
  <c r="L39" i="5"/>
  <c r="U26" i="5"/>
  <c r="S27" i="5"/>
  <c r="U32" i="5"/>
  <c r="S33" i="5"/>
  <c r="U38" i="5"/>
  <c r="S39" i="5"/>
  <c r="T27" i="5"/>
  <c r="G30" i="5"/>
  <c r="S30" i="5" s="1"/>
  <c r="T33" i="5"/>
  <c r="U39" i="5"/>
  <c r="O41" i="1"/>
  <c r="V35" i="1"/>
  <c r="I13" i="1"/>
  <c r="P29" i="1"/>
  <c r="W29" i="1"/>
  <c r="O29" i="1"/>
  <c r="N29" i="1"/>
  <c r="M29" i="1"/>
  <c r="J29" i="1"/>
  <c r="I29" i="1"/>
  <c r="M24" i="1"/>
  <c r="N24" i="1"/>
  <c r="M28" i="1"/>
  <c r="M41" i="1"/>
  <c r="V34" i="1"/>
  <c r="J27" i="1"/>
  <c r="N15" i="1"/>
  <c r="T34" i="1"/>
  <c r="I24" i="1"/>
  <c r="T29" i="1"/>
  <c r="I25" i="1"/>
  <c r="M27" i="1"/>
  <c r="I10" i="1"/>
  <c r="V37" i="1"/>
  <c r="V38" i="1"/>
  <c r="N37" i="1"/>
  <c r="J40" i="1"/>
  <c r="M37" i="1"/>
  <c r="I32" i="1"/>
  <c r="J37" i="1"/>
  <c r="I37" i="1"/>
  <c r="J41" i="1"/>
  <c r="T33" i="1"/>
  <c r="P27" i="1"/>
  <c r="J15" i="1"/>
  <c r="N27" i="1"/>
  <c r="O16" i="1"/>
  <c r="O15" i="1"/>
  <c r="N40" i="1"/>
  <c r="M16" i="1"/>
  <c r="J12" i="1"/>
  <c r="I47" i="1"/>
  <c r="M40" i="1"/>
  <c r="O28" i="1"/>
  <c r="O27" i="1"/>
  <c r="I12" i="1"/>
  <c r="I44" i="1"/>
  <c r="J38" i="1"/>
  <c r="N28" i="1"/>
  <c r="O40" i="1"/>
  <c r="J28" i="1"/>
  <c r="I22" i="1"/>
  <c r="N41" i="1"/>
  <c r="J24" i="1"/>
  <c r="J14" i="1"/>
  <c r="M14" i="1"/>
  <c r="N14" i="1"/>
  <c r="O14" i="1"/>
  <c r="I14" i="1"/>
  <c r="O31" i="1"/>
  <c r="I31" i="1"/>
  <c r="J31" i="1"/>
  <c r="M31" i="1"/>
  <c r="N31" i="1"/>
  <c r="I46" i="1"/>
  <c r="J46" i="1"/>
  <c r="M46" i="1"/>
  <c r="N46" i="1"/>
  <c r="O46" i="1"/>
  <c r="N17" i="1"/>
  <c r="O17" i="1"/>
  <c r="I17" i="1"/>
  <c r="J17" i="1"/>
  <c r="M17" i="1"/>
  <c r="I20" i="1"/>
  <c r="J20" i="1"/>
  <c r="M20" i="1"/>
  <c r="N20" i="1"/>
  <c r="O20" i="1"/>
  <c r="J26" i="1"/>
  <c r="M26" i="1"/>
  <c r="N26" i="1"/>
  <c r="O26" i="1"/>
  <c r="I26" i="1"/>
  <c r="I11" i="1"/>
  <c r="J11" i="1"/>
  <c r="M11" i="1"/>
  <c r="N11" i="1"/>
  <c r="O11" i="1"/>
  <c r="O43" i="1"/>
  <c r="I43" i="1"/>
  <c r="J43" i="1"/>
  <c r="N43" i="1"/>
  <c r="M43" i="1"/>
  <c r="I33" i="1"/>
  <c r="J33" i="1"/>
  <c r="N33" i="1"/>
  <c r="M33" i="1"/>
  <c r="O33" i="1"/>
  <c r="I21" i="1"/>
  <c r="J21" i="1"/>
  <c r="M21" i="1"/>
  <c r="N21" i="1"/>
  <c r="O21" i="1"/>
  <c r="I45" i="1"/>
  <c r="J45" i="1"/>
  <c r="M45" i="1"/>
  <c r="N45" i="1"/>
  <c r="O45" i="1"/>
  <c r="J39" i="1"/>
  <c r="M39" i="1"/>
  <c r="N39" i="1"/>
  <c r="O39" i="1"/>
  <c r="I39" i="1"/>
  <c r="N30" i="1"/>
  <c r="O30" i="1"/>
  <c r="I30" i="1"/>
  <c r="M30" i="1"/>
  <c r="J30" i="1"/>
  <c r="I23" i="1"/>
  <c r="J23" i="1"/>
  <c r="M23" i="1"/>
  <c r="N23" i="1"/>
  <c r="O23" i="1"/>
  <c r="N42" i="1"/>
  <c r="O42" i="1"/>
  <c r="I42" i="1"/>
  <c r="J42" i="1"/>
  <c r="M42" i="1"/>
  <c r="O18" i="1"/>
  <c r="I18" i="1"/>
  <c r="J18" i="1"/>
  <c r="M18" i="1"/>
  <c r="N18" i="1"/>
  <c r="J34" i="1"/>
  <c r="I34" i="1"/>
  <c r="M34" i="1"/>
  <c r="N34" i="1"/>
  <c r="O34" i="1"/>
  <c r="I9" i="1"/>
  <c r="J9" i="1"/>
  <c r="M9" i="1"/>
  <c r="N9" i="1"/>
  <c r="O9" i="1"/>
  <c r="I36" i="1"/>
  <c r="W38" i="1"/>
  <c r="N44" i="1"/>
  <c r="I40" i="1"/>
  <c r="N32" i="1"/>
  <c r="I27" i="1"/>
  <c r="N19" i="1"/>
  <c r="J16" i="1"/>
  <c r="I15" i="1"/>
  <c r="O32" i="1"/>
  <c r="M32" i="1"/>
  <c r="I28" i="1"/>
  <c r="M19" i="1"/>
  <c r="I16" i="1"/>
  <c r="O44" i="1"/>
  <c r="I41" i="1"/>
  <c r="O10" i="1"/>
  <c r="V32" i="1"/>
  <c r="O35" i="1"/>
  <c r="O22" i="1"/>
  <c r="W32" i="1"/>
  <c r="N47" i="1"/>
  <c r="J44" i="1"/>
  <c r="O36" i="1"/>
  <c r="N35" i="1"/>
  <c r="J32" i="1"/>
  <c r="N22" i="1"/>
  <c r="J19" i="1"/>
  <c r="N10" i="1"/>
  <c r="M44" i="1"/>
  <c r="O47" i="1"/>
  <c r="T32" i="1"/>
  <c r="M47" i="1"/>
  <c r="O37" i="1"/>
  <c r="N36" i="1"/>
  <c r="M35" i="1"/>
  <c r="O24" i="1"/>
  <c r="M22" i="1"/>
  <c r="O12" i="1"/>
  <c r="M10" i="1"/>
  <c r="O25" i="1"/>
  <c r="O13" i="1"/>
  <c r="N12" i="1"/>
  <c r="M36" i="1"/>
  <c r="J47" i="1"/>
  <c r="N38" i="1"/>
  <c r="J35" i="1"/>
  <c r="N25" i="1"/>
  <c r="J22" i="1"/>
  <c r="N13" i="1"/>
  <c r="M12" i="1"/>
  <c r="J10" i="1"/>
  <c r="O38" i="1"/>
  <c r="P41" i="1"/>
  <c r="M38" i="1"/>
  <c r="P28" i="1"/>
  <c r="M25" i="1"/>
  <c r="M13" i="1"/>
  <c r="J25" i="1"/>
  <c r="J13" i="1"/>
  <c r="W37" i="1"/>
  <c r="W33" i="1"/>
  <c r="W35" i="1"/>
  <c r="W31" i="1"/>
  <c r="W34" i="1"/>
  <c r="T35" i="1"/>
  <c r="T36" i="1"/>
  <c r="V33" i="1"/>
  <c r="T31" i="1"/>
  <c r="W36" i="1"/>
  <c r="T37" i="1"/>
  <c r="T38" i="1"/>
  <c r="F45" i="5"/>
  <c r="F46" i="5"/>
  <c r="T26" i="1"/>
  <c r="F47" i="5"/>
  <c r="F48" i="5"/>
  <c r="F49" i="5"/>
  <c r="F50" i="5"/>
  <c r="F51" i="5"/>
  <c r="E52" i="5"/>
  <c r="F52" i="5"/>
  <c r="V41" i="1"/>
  <c r="F53" i="5"/>
  <c r="C45" i="5"/>
  <c r="B45" i="5"/>
  <c r="D45" i="5" s="1"/>
  <c r="T45" i="5" s="1"/>
  <c r="C44" i="5"/>
  <c r="B44" i="5"/>
  <c r="D44" i="5" s="1"/>
  <c r="T44" i="5" s="1"/>
  <c r="C43" i="5"/>
  <c r="B43" i="5"/>
  <c r="D43" i="5" s="1"/>
  <c r="T43" i="5" s="1"/>
  <c r="C42" i="5"/>
  <c r="B42" i="5"/>
  <c r="D42" i="5" s="1"/>
  <c r="T42" i="5" s="1"/>
  <c r="C41" i="5"/>
  <c r="B41" i="5"/>
  <c r="D41" i="5" s="1"/>
  <c r="T41" i="5" s="1"/>
  <c r="C40" i="5"/>
  <c r="B40" i="5"/>
  <c r="D40" i="5" s="1"/>
  <c r="T40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T39" i="1"/>
  <c r="V24" i="1"/>
  <c r="T34" i="5" l="1"/>
  <c r="S34" i="5"/>
  <c r="I34" i="5"/>
  <c r="H34" i="5"/>
  <c r="U34" i="5"/>
  <c r="E51" i="5"/>
  <c r="G51" i="5" s="1"/>
  <c r="E53" i="5"/>
  <c r="V53" i="5" s="1"/>
  <c r="T47" i="1"/>
  <c r="T43" i="1"/>
  <c r="V28" i="1"/>
  <c r="E45" i="5"/>
  <c r="V45" i="5" s="1"/>
  <c r="W46" i="1"/>
  <c r="W25" i="1"/>
  <c r="W30" i="1"/>
  <c r="V45" i="1"/>
  <c r="E47" i="5"/>
  <c r="V47" i="5" s="1"/>
  <c r="E48" i="5"/>
  <c r="G48" i="5" s="1"/>
  <c r="E49" i="5"/>
  <c r="G52" i="5"/>
  <c r="V52" i="5"/>
  <c r="E50" i="5"/>
  <c r="E46" i="5"/>
  <c r="T27" i="1"/>
  <c r="V40" i="1"/>
  <c r="V47" i="1"/>
  <c r="V26" i="1"/>
  <c r="T44" i="1"/>
  <c r="T40" i="1"/>
  <c r="V43" i="1"/>
  <c r="V44" i="1"/>
  <c r="V39" i="1"/>
  <c r="W42" i="1"/>
  <c r="V27" i="1"/>
  <c r="W39" i="1"/>
  <c r="W28" i="1"/>
  <c r="W26" i="1"/>
  <c r="W45" i="1"/>
  <c r="W43" i="1"/>
  <c r="W24" i="1"/>
  <c r="W41" i="1"/>
  <c r="W47" i="1"/>
  <c r="W27" i="1"/>
  <c r="W40" i="1"/>
  <c r="W44" i="1"/>
  <c r="T25" i="1"/>
  <c r="T30" i="1"/>
  <c r="T42" i="1"/>
  <c r="T46" i="1"/>
  <c r="V25" i="1"/>
  <c r="V30" i="1"/>
  <c r="V42" i="1"/>
  <c r="V46" i="1"/>
  <c r="T24" i="1"/>
  <c r="T28" i="1"/>
  <c r="T41" i="1"/>
  <c r="T45" i="1"/>
  <c r="B7" i="5"/>
  <c r="B6" i="5"/>
  <c r="B2" i="5"/>
  <c r="G53" i="5" l="1"/>
  <c r="L45" i="5"/>
  <c r="I45" i="5"/>
  <c r="U45" i="5"/>
  <c r="G45" i="5"/>
  <c r="S45" i="5" s="1"/>
  <c r="K45" i="5"/>
  <c r="H45" i="5"/>
  <c r="G47" i="5"/>
  <c r="V49" i="5"/>
  <c r="V48" i="5"/>
  <c r="G49" i="5"/>
  <c r="G50" i="5"/>
  <c r="V46" i="5"/>
  <c r="G46" i="5"/>
  <c r="B8" i="5"/>
  <c r="B3" i="5"/>
  <c r="C53" i="5"/>
  <c r="B53" i="5"/>
  <c r="D53" i="5" s="1"/>
  <c r="I53" i="5" s="1"/>
  <c r="C52" i="5"/>
  <c r="B52" i="5"/>
  <c r="D52" i="5" s="1"/>
  <c r="C51" i="5"/>
  <c r="B51" i="5"/>
  <c r="D51" i="5" s="1"/>
  <c r="V51" i="5" s="1"/>
  <c r="C50" i="5"/>
  <c r="B50" i="5"/>
  <c r="D50" i="5" s="1"/>
  <c r="U50" i="5" s="1"/>
  <c r="C49" i="5"/>
  <c r="B49" i="5"/>
  <c r="D49" i="5" s="1"/>
  <c r="I49" i="5" s="1"/>
  <c r="C48" i="5"/>
  <c r="B48" i="5"/>
  <c r="D48" i="5" s="1"/>
  <c r="I48" i="5" s="1"/>
  <c r="F44" i="5"/>
  <c r="E44" i="5"/>
  <c r="V23" i="1"/>
  <c r="F43" i="5"/>
  <c r="E43" i="5"/>
  <c r="T22" i="1"/>
  <c r="F42" i="5"/>
  <c r="E42" i="5"/>
  <c r="V21" i="1"/>
  <c r="F41" i="5"/>
  <c r="T20" i="1"/>
  <c r="F40" i="5"/>
  <c r="E40" i="5"/>
  <c r="V19" i="1"/>
  <c r="F24" i="5"/>
  <c r="E24" i="5"/>
  <c r="T18" i="1"/>
  <c r="F23" i="5"/>
  <c r="E23" i="5"/>
  <c r="V17" i="1"/>
  <c r="F22" i="5"/>
  <c r="E22" i="5"/>
  <c r="T16" i="1"/>
  <c r="F21" i="5"/>
  <c r="E21" i="5"/>
  <c r="V15" i="1"/>
  <c r="F20" i="5"/>
  <c r="E20" i="5"/>
  <c r="T14" i="1"/>
  <c r="K53" i="5" l="1"/>
  <c r="K48" i="5"/>
  <c r="K49" i="5"/>
  <c r="H49" i="5"/>
  <c r="V50" i="5"/>
  <c r="H50" i="5"/>
  <c r="G20" i="5"/>
  <c r="S20" i="5" s="1"/>
  <c r="L20" i="5"/>
  <c r="V20" i="5"/>
  <c r="U20" i="5"/>
  <c r="H20" i="5"/>
  <c r="K20" i="5"/>
  <c r="I20" i="5"/>
  <c r="S52" i="5"/>
  <c r="T52" i="5"/>
  <c r="I52" i="5"/>
  <c r="U52" i="5"/>
  <c r="T48" i="5"/>
  <c r="S48" i="5"/>
  <c r="U48" i="5"/>
  <c r="T53" i="5"/>
  <c r="S53" i="5"/>
  <c r="U53" i="5"/>
  <c r="H48" i="5"/>
  <c r="K50" i="5"/>
  <c r="H52" i="5"/>
  <c r="K52" i="5"/>
  <c r="L24" i="5"/>
  <c r="K24" i="5"/>
  <c r="I24" i="5"/>
  <c r="H24" i="5"/>
  <c r="G24" i="5"/>
  <c r="S24" i="5" s="1"/>
  <c r="V24" i="5"/>
  <c r="U24" i="5"/>
  <c r="K40" i="5"/>
  <c r="I40" i="5"/>
  <c r="H40" i="5"/>
  <c r="G40" i="5"/>
  <c r="S40" i="5" s="1"/>
  <c r="L40" i="5"/>
  <c r="V40" i="5"/>
  <c r="U40" i="5"/>
  <c r="V43" i="5"/>
  <c r="U43" i="5"/>
  <c r="K43" i="5"/>
  <c r="I43" i="5"/>
  <c r="H43" i="5"/>
  <c r="G43" i="5"/>
  <c r="S43" i="5" s="1"/>
  <c r="L43" i="5"/>
  <c r="T49" i="5"/>
  <c r="S49" i="5"/>
  <c r="U49" i="5"/>
  <c r="I23" i="5"/>
  <c r="H23" i="5"/>
  <c r="G23" i="5"/>
  <c r="S23" i="5" s="1"/>
  <c r="K23" i="5"/>
  <c r="V23" i="5"/>
  <c r="U23" i="5"/>
  <c r="L23" i="5"/>
  <c r="K51" i="5"/>
  <c r="H51" i="5"/>
  <c r="U42" i="5"/>
  <c r="V42" i="5"/>
  <c r="K42" i="5"/>
  <c r="I42" i="5"/>
  <c r="H42" i="5"/>
  <c r="G42" i="5"/>
  <c r="S42" i="5" s="1"/>
  <c r="L42" i="5"/>
  <c r="H53" i="5"/>
  <c r="S50" i="5"/>
  <c r="T50" i="5"/>
  <c r="G21" i="5"/>
  <c r="S21" i="5" s="1"/>
  <c r="V21" i="5"/>
  <c r="U21" i="5"/>
  <c r="I21" i="5"/>
  <c r="L21" i="5"/>
  <c r="H21" i="5"/>
  <c r="K21" i="5"/>
  <c r="V44" i="5"/>
  <c r="L44" i="5"/>
  <c r="U44" i="5"/>
  <c r="K44" i="5"/>
  <c r="I44" i="5"/>
  <c r="H44" i="5"/>
  <c r="G44" i="5"/>
  <c r="S44" i="5" s="1"/>
  <c r="H22" i="5"/>
  <c r="I22" i="5"/>
  <c r="G22" i="5"/>
  <c r="S22" i="5" s="1"/>
  <c r="L22" i="5"/>
  <c r="V22" i="5"/>
  <c r="U22" i="5"/>
  <c r="K22" i="5"/>
  <c r="E41" i="5"/>
  <c r="T51" i="5"/>
  <c r="S51" i="5"/>
  <c r="I51" i="5"/>
  <c r="U51" i="5"/>
  <c r="I50" i="5"/>
  <c r="L50" i="5"/>
  <c r="L52" i="5"/>
  <c r="L48" i="5"/>
  <c r="L53" i="5"/>
  <c r="L49" i="5"/>
  <c r="L51" i="5"/>
  <c r="W15" i="1"/>
  <c r="W19" i="1"/>
  <c r="W23" i="1"/>
  <c r="W21" i="1"/>
  <c r="V18" i="1"/>
  <c r="V20" i="1"/>
  <c r="V22" i="1"/>
  <c r="W18" i="1"/>
  <c r="T19" i="1"/>
  <c r="W20" i="1"/>
  <c r="T21" i="1"/>
  <c r="W22" i="1"/>
  <c r="T23" i="1"/>
  <c r="W17" i="1"/>
  <c r="W16" i="1"/>
  <c r="W14" i="1"/>
  <c r="T15" i="1"/>
  <c r="T17" i="1"/>
  <c r="V14" i="1"/>
  <c r="V16" i="1"/>
  <c r="C46" i="5"/>
  <c r="B46" i="5"/>
  <c r="D46" i="5" s="1"/>
  <c r="C17" i="5"/>
  <c r="B17" i="5"/>
  <c r="D17" i="5" s="1"/>
  <c r="C16" i="5"/>
  <c r="B16" i="5"/>
  <c r="D16" i="5" s="1"/>
  <c r="I46" i="5" l="1"/>
  <c r="H46" i="5"/>
  <c r="K46" i="5"/>
  <c r="T46" i="5"/>
  <c r="S46" i="5"/>
  <c r="U46" i="5"/>
  <c r="L41" i="5"/>
  <c r="K41" i="5"/>
  <c r="I41" i="5"/>
  <c r="H41" i="5"/>
  <c r="U41" i="5"/>
  <c r="G41" i="5"/>
  <c r="S41" i="5" s="1"/>
  <c r="V41" i="5"/>
  <c r="T16" i="5"/>
  <c r="T17" i="5"/>
  <c r="B6" i="1"/>
  <c r="F19" i="5"/>
  <c r="E19" i="5"/>
  <c r="V13" i="1"/>
  <c r="V19" i="5" l="1"/>
  <c r="U19" i="5"/>
  <c r="K19" i="5"/>
  <c r="I19" i="5"/>
  <c r="H19" i="5"/>
  <c r="G19" i="5"/>
  <c r="S19" i="5" s="1"/>
  <c r="L19" i="5"/>
  <c r="W13" i="1"/>
  <c r="T13" i="1"/>
  <c r="C47" i="5"/>
  <c r="B47" i="5"/>
  <c r="D47" i="5" s="1"/>
  <c r="I47" i="5" s="1"/>
  <c r="C15" i="5"/>
  <c r="B15" i="5"/>
  <c r="D15" i="5" s="1"/>
  <c r="T15" i="5" s="1"/>
  <c r="F18" i="5"/>
  <c r="E18" i="5"/>
  <c r="V12" i="1"/>
  <c r="F17" i="5"/>
  <c r="E17" i="5"/>
  <c r="T11" i="1"/>
  <c r="H47" i="5" l="1"/>
  <c r="K47" i="5"/>
  <c r="V18" i="5"/>
  <c r="U18" i="5"/>
  <c r="K18" i="5"/>
  <c r="I18" i="5"/>
  <c r="H18" i="5"/>
  <c r="G18" i="5"/>
  <c r="S18" i="5" s="1"/>
  <c r="L18" i="5"/>
  <c r="T47" i="5"/>
  <c r="S47" i="5"/>
  <c r="U47" i="5"/>
  <c r="V17" i="5"/>
  <c r="U17" i="5"/>
  <c r="K17" i="5"/>
  <c r="I17" i="5"/>
  <c r="H17" i="5"/>
  <c r="G17" i="5"/>
  <c r="S17" i="5" s="1"/>
  <c r="L46" i="5"/>
  <c r="L17" i="5"/>
  <c r="W12" i="1"/>
  <c r="V11" i="1"/>
  <c r="W11" i="1"/>
  <c r="T12" i="1"/>
  <c r="F15" i="5" l="1"/>
  <c r="E15" i="5"/>
  <c r="V9" i="1"/>
  <c r="U15" i="5" l="1"/>
  <c r="H15" i="5"/>
  <c r="G15" i="5"/>
  <c r="S15" i="5" s="1"/>
  <c r="V15" i="5"/>
  <c r="I15" i="5"/>
  <c r="L15" i="5"/>
  <c r="K15" i="5"/>
  <c r="W9" i="1"/>
  <c r="T9" i="1"/>
  <c r="Q3" i="1" l="1"/>
  <c r="B4" i="5" s="1"/>
  <c r="B5" i="5" s="1"/>
  <c r="F16" i="5" l="1"/>
  <c r="E16" i="5"/>
  <c r="T10" i="1"/>
  <c r="V16" i="5" l="1"/>
  <c r="U16" i="5"/>
  <c r="K16" i="5"/>
  <c r="I16" i="5"/>
  <c r="H16" i="5"/>
  <c r="G16" i="5"/>
  <c r="S16" i="5" s="1"/>
  <c r="L16" i="5"/>
  <c r="L47" i="5"/>
  <c r="V10" i="1"/>
  <c r="W10" i="1"/>
  <c r="W3" i="1" l="1"/>
  <c r="V3" i="1"/>
  <c r="U7" i="1" l="1"/>
  <c r="T3" i="1" l="1"/>
  <c r="F3" i="1"/>
  <c r="J49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P49" i="1"/>
  <c r="O49" i="1"/>
  <c r="N49" i="1"/>
  <c r="V49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49" i="1"/>
  <c r="T7" i="1" l="1"/>
  <c r="W49" i="1"/>
  <c r="G6" i="1" l="1"/>
  <c r="H13" i="5"/>
  <c r="S13" i="5"/>
  <c r="L13" i="5"/>
  <c r="U13" i="5"/>
  <c r="I13" i="5"/>
  <c r="K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I49" i="1"/>
  <c r="K49" i="1"/>
  <c r="M49" i="1"/>
  <c r="C6" i="1" l="1"/>
  <c r="P7" i="1" s="1"/>
  <c r="S3" i="1"/>
  <c r="S7" i="1" s="1"/>
  <c r="E6" i="1"/>
  <c r="F68" i="3"/>
  <c r="I3" i="1" l="1"/>
  <c r="B7" i="1"/>
  <c r="C7" i="1" l="1"/>
  <c r="Q7" i="1" l="1"/>
  <c r="M68" i="3" s="1"/>
  <c r="L7" i="1"/>
  <c r="G68" i="3" s="1"/>
  <c r="K68" i="3"/>
  <c r="J68" i="3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<sst xmlns="http://schemas.openxmlformats.org/spreadsheetml/2006/main" count="587" uniqueCount="412">
  <si>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</si>
  <si>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</si>
  <si>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</si>
  <si>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</si>
  <si>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</si>
  <si>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</si>
  <si>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</si>
  <si>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</si>
  <si>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</si>
  <si>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</si>
  <si>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</si>
  <si>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</si>
  <si>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</si>
  <si>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</si>
  <si>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</si>
  <si>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</si>
  <si>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</si>
  <si>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</si>
  <si>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</si>
  <si>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</si>
  <si>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</si>
  <si>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</si>
  <si>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</si>
  <si>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</si>
  <si>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</si>
  <si>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</si>
  <si>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</si>
  <si>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</si>
  <si>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</si>
  <si>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</si>
  <si>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</si>
  <si>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</si>
  <si>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</si>
  <si>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</si>
  <si>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</si>
  <si>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</si>
  <si>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</si>
  <si>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</si>
  <si>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</si>
  <si>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</si>
  <si>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</si>
  <si>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</si>
  <si>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</si>
  <si>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</si>
  <si>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</si>
  <si>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</si>
  <si>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</si>
  <si>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</si>
  <si>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</si>
  <si>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</si>
  <si>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</si>
  <si>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</si>
  <si>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</si>
  <si>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</si>
  <si>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</si>
  <si>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</si>
  <si>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</si>
  <si>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</si>
  <si>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</si>
  <si>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</si>
  <si>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</si>
  <si>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</si>
  <si>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</si>
  <si>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</si>
  <si>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</si>
  <si>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</si>
  <si>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</si>
  <si>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</si>
  <si>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</si>
  <si>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</si>
  <si>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</si>
  <si>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</si>
  <si>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</si>
  <si>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</si>
  <si>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</si>
  <si>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</si>
  <si>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</si>
  <si>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</si>
  <si>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</si>
  <si>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</si>
  <si>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</si>
  <si>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</si>
  <si>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</si>
  <si>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</si>
  <si>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</si>
  <si>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</si>
  <si>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</si>
  <si>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</si>
  <si>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</si>
  <si>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</si>
  <si>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</si>
  <si>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</si>
  <si>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</si>
  <si>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</si>
  <si>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</si>
  <si>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</si>
  <si>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</si>
  <si>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</si>
  <si>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</si>
  <si>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</si>
  <si>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</si>
  <si>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</si>
  <si>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</si>
  <si>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</si>
  <si>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</si>
  <si>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</si>
  <si>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</si>
  <si>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</si>
  <si>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</si>
  <si>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</si>
  <si>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</si>
  <si>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</si>
  <si>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</si>
  <si>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</si>
  <si>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</si>
  <si>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</si>
  <si>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</si>
  <si>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</si>
  <si>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</si>
  <si>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</si>
  <si>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</si>
  <si>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</si>
  <si>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</si>
  <si>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</si>
  <si>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</si>
  <si>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</si>
  <si>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</si>
  <si>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</si>
  <si>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</si>
  <si>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</si>
  <si>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</si>
  <si>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</si>
  <si>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</si>
  <si>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</si>
  <si>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</si>
  <si>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</si>
  <si>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</si>
  <si>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</si>
  <si>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</si>
  <si>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</si>
  <si>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</si>
  <si>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</si>
  <si>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</si>
  <si>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</si>
  <si>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</si>
  <si>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</si>
  <si>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</si>
  <si>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</si>
  <si>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</si>
  <si>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</si>
  <si>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</si>
  <si>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</si>
  <si>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</si>
  <si>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</si>
  <si>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</si>
  <si>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</si>
  <si>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</si>
  <si>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</si>
  <si>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</si>
  <si>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</si>
  <si>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</si>
  <si>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</si>
  <si>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</si>
  <si>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</si>
  <si>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</si>
  <si>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</si>
  <si>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</si>
  <si>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</si>
  <si>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</si>
  <si>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</si>
  <si>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</si>
  <si>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</si>
  <si>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</si>
  <si>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</si>
  <si>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</si>
  <si>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</si>
  <si>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</si>
  <si>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</si>
  <si>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</si>
  <si>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</si>
  <si>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</si>
  <si>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</si>
  <si>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</si>
  <si>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</si>
  <si>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</si>
  <si>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</si>
  <si>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</si>
  <si>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</si>
  <si>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</si>
  <si>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</si>
  <si>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</si>
  <si>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</si>
  <si>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</si>
  <si>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</si>
  <si>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</si>
  <si>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</si>
  <si>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</si>
  <si>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</si>
  <si>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</si>
  <si>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</si>
  <si>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</si>
  <si>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</si>
  <si>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</si>
  <si>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</si>
  <si>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</si>
  <si>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</si>
  <si>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</si>
  <si>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</si>
  <si>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</si>
  <si>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</si>
  <si>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</si>
  <si>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</si>
  <si>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</si>
  <si>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</si>
  <si>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</si>
  <si>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</si>
  <si>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</si>
  <si>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</si>
  <si>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</si>
  <si>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</si>
  <si>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</si>
  <si>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</si>
  <si>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</si>
  <si>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</si>
  <si>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</si>
  <si>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</si>
  <si>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</si>
  <si>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</si>
  <si>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</si>
  <si>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</si>
  <si>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</si>
  <si>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</si>
  <si>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</si>
  <si>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</si>
  <si>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</si>
  <si>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</si>
  <si>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</si>
  <si>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</si>
  <si>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</si>
  <si>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</si>
  <si>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</si>
  <si>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</si>
  <si>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</si>
  <si>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</si>
  <si>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</si>
  <si>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</si>
  <si>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</si>
  <si>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</si>
  <si>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</si>
  <si>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</si>
  <si>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</si>
  <si>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</si>
  <si>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</si>
  <si>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</si>
  <si>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</si>
  <si>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</si>
  <si>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</si>
  <si>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</si>
  <si>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</si>
  <si>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</si>
  <si>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</si>
  <si>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</si>
  <si>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</si>
  <si>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</si>
  <si>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</si>
  <si>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</si>
  <si>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</si>
  <si>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</si>
  <si>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</si>
  <si>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</si>
  <si>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</si>
  <si>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</si>
  <si>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</si>
  <si>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</si>
  <si>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</si>
  <si>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</si>
  <si>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</si>
  <si>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</si>
  <si>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</si>
  <si>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</si>
  <si>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</si>
  <si>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</si>
  <si>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</si>
  <si>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</si>
  <si>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</si>
  <si>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</si>
  <si>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</si>
  <si>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</si>
  <si>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</si>
  <si>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</si>
  <si>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</si>
  <si>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</si>
  <si>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</si>
  <si>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</si>
  <si>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</si>
  <si>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</si>
  <si>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</si>
  <si>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</si>
  <si>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</si>
  <si>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</si>
  <si>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</si>
  <si>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</si>
  <si>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</si>
  <si>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</si>
  <si>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</si>
  <si>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</si>
  <si>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</si>
  <si>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</si>
  <si>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</si>
  <si>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</si>
  <si>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</si>
  <si>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</si>
  <si>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</si>
  <si>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</si>
  <si>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</si>
  <si>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</si>
  <si>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</si>
  <si>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</si>
  <si>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</si>
  <si>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</si>
  <si>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</si>
  <si>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</si>
  <si>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</si>
  <si>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</si>
  <si>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</si>
  <si>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</si>
  <si>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</si>
  <si>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</si>
  <si>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</si>
  <si>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</si>
  <si>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</si>
  <si>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</si>
  <si>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</si>
  <si>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</si>
  <si>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</si>
  <si>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</si>
  <si>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</si>
  <si>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</si>
  <si>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</si>
  <si>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</si>
  <si>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</si>
  <si>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</si>
  <si>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</si>
  <si>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</si>
  <si>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</si>
  <si>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</si>
  <si>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</si>
  <si>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</si>
  <si>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</si>
  <si>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</si>
  <si>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</si>
  <si>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</si>
  <si>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</si>
  <si>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</si>
  <si>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VARCHAR(10)</t>
  </si>
  <si>
    <t>VARCHAR(4)</t>
  </si>
  <si>
    <t>VARCHAR(1)</t>
  </si>
  <si>
    <t>Quantity</t>
  </si>
  <si>
    <t>WBS</t>
  </si>
  <si>
    <t>Cost_Center</t>
  </si>
  <si>
    <t>VARCHAR(3)</t>
  </si>
  <si>
    <t>VARCHAR(40)</t>
  </si>
  <si>
    <t>VARCHAR(24)</t>
  </si>
  <si>
    <t>Inventory.IF</t>
  </si>
  <si>
    <t>IF</t>
  </si>
  <si>
    <t>Record_ID</t>
  </si>
  <si>
    <t>Company_Code</t>
  </si>
  <si>
    <t>Plant_Code</t>
  </si>
  <si>
    <t>Maru_Code</t>
  </si>
  <si>
    <t>Receiving_Stock_Line</t>
  </si>
  <si>
    <t>Production_Date</t>
  </si>
  <si>
    <t>Posting_Date</t>
  </si>
  <si>
    <t>Part_Code</t>
  </si>
  <si>
    <t>Spoiled_Parts_Quantity</t>
  </si>
  <si>
    <t>Spoiled_Material_Quantity</t>
  </si>
  <si>
    <t>Material_Code</t>
  </si>
  <si>
    <t>Free_Shot_Quantity</t>
  </si>
  <si>
    <t>Recycled_Quantity</t>
  </si>
  <si>
    <t>Material_Doc_Type</t>
  </si>
  <si>
    <t>Material_Quantity</t>
  </si>
  <si>
    <t>Related_GR_Type</t>
  </si>
  <si>
    <t>Related_GR_Transaction_Type</t>
  </si>
  <si>
    <t>In-House_Part_Quantity_Receive</t>
  </si>
  <si>
    <t>Related_Part_Issue_No</t>
  </si>
  <si>
    <t>Related_GI_Type</t>
  </si>
  <si>
    <t>Related_GI_Transaction_Type</t>
  </si>
  <si>
    <t>Related_In-House_Part_Quantity_Issued</t>
  </si>
  <si>
    <t>Related_Spoiled_Part_Quantity_Issued</t>
  </si>
  <si>
    <t>WIP</t>
  </si>
  <si>
    <t>Production_ID</t>
  </si>
  <si>
    <t>FINAL_PRICE</t>
  </si>
  <si>
    <t>Earmarked_Fund</t>
  </si>
  <si>
    <t>Earmarked_Fund_Item</t>
  </si>
  <si>
    <t>P-SMS_Code</t>
  </si>
  <si>
    <t>GI_UOM</t>
  </si>
  <si>
    <t>Ending_of_Record</t>
  </si>
  <si>
    <t>VARCHAR(7)</t>
  </si>
  <si>
    <t>VARCHAR(8)</t>
  </si>
  <si>
    <t>VARCHAR(14)</t>
  </si>
  <si>
    <t>Normal_Cancel_Flag</t>
  </si>
  <si>
    <t>GRGI_No</t>
  </si>
  <si>
    <t>GRGI_Type</t>
  </si>
  <si>
    <t>VARCHAR(2)</t>
  </si>
  <si>
    <t>Related_Part_Receive_No</t>
  </si>
  <si>
    <t>VARCHAR(38)</t>
  </si>
  <si>
    <t>IF_FQF3MM02</t>
  </si>
  <si>
    <t>FQF3MM02</t>
  </si>
  <si>
    <t>PSMS_Code</t>
  </si>
  <si>
    <t>In_House_Part_Quantity_Receive</t>
  </si>
  <si>
    <t>Related_In_House_Part_Quantity_Issued</t>
  </si>
  <si>
    <t>Spoiled_Material_Quantity2</t>
  </si>
  <si>
    <t>Spoiled_Material_Quantity1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</si>
</sst>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Normal" xfId="0" builtinId="0"/>
    <cellStyle name="Normal 2 2 2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4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[Table("IF_FQF3MM02")]
	public class IF_FQF3MM02: FullAuditedEntity&lt;long&gt;, IEntity&lt;long&gt;	
	{
		public const int MaxRecordIdLength = 7;
		public const int MaxCompanyCodeLength = 8;
		public const int MaxPlantCodeLength = 4;
		public const int MaxMaruCodeLength = 1;
		public const int MaxReceivingStockLineLength = 3;
		public const int MaxProductionDateLength = 8;
		public const int MaxPostingDateLength = 8;
		public const int MaxPartCodeLength = 14;
		public const int MaxMaterialCodeLength = 40;
		public const int MaxCostCenterLength = 10;
		public const int MaxNormalCancelFlagLength = 1;
		public const int MaxGrgiNoLength = 10;
		public const int MaxGrgiTypeLength = 2;
		public const int MaxMaterialDocTypeLength = 2;
		public const int MaxRelatedPartReceiveNoLength = 10;
		public const int MaxRelatedGrTypeLength = 2;
		public const int MaxRelatedGrTransactionTypeLength = 2;
		public const int MaxRelatedPartIssueNoLength = 10;
		public const int MaxRelatedGiTypeLength = 2;
		public const int MaxRelatedGiTransactionTypeLength = 2;
		public const int MaxProductionIdLength = 38;
		public const int MaxWbsLength = 24;
		public const int MaxEarmarkedFundLength = 10;
		public const int MaxEarmarkedFundItemLength = 3;
		public const int MaxPsmsCodeLength = 40;
		public const int MaxGiUomLength = 3;
		public const int MaxEndingOfRecordLength = 1;
		[StringLength(MaxRecordIdLength)]
		public virtual string RecordId { get; set; }
		[StringLength(MaxCompanyCodeLength)]
		public virtual string CompanyCode { get; set; }
		[StringLength(MaxPlantCodeLength)]
		public virtual string PlantCode { get; set; }
		[StringLength(MaxMaruCodeLength)]
		public virtual string MaruCode { get; set; }
		[StringLength(MaxReceivingStockLineLength)]
		public virtual string ReceivingStockLine { get; set; }
		[StringLength(MaxProductionDateLength)]
		public virtual string ProductionDate { get; set; }
		[StringLength(MaxPostingDateLength)]
		public virtual string PostingDate { get; set; }
		[StringLength(MaxPartCodeLength)]
		public virtual string PartCode { get; set; }
		public virtual int? Quantity { get; set; }
		public virtual int? SpoiledPartsQuantity { get; set; }
		public virtual int? SpoiledMaterialQuantity1 { get; set; }
		[StringLength(MaxMaterialCodeLength)]
		public virtual string MaterialCode { get; set; }
		public virtual int? FreeShotQuantity { get; set; }
		public virtual int? RecycledQuantity { get; set; }
		[StringLength(MaxCostCenterLength)]
		public virtual string CostCenter { get; set; }
		[StringLength(MaxNormalCancelFlagLength)]
		public virtual string NormalCancelFlag { get; set; }
		[StringLength(MaxGrgiNoLength)]
		public virtual string GrgiNo { get; set; }
		[StringLength(MaxGrgiTypeLength)]
		public virtual string GrgiType { get; set; }
		[StringLength(MaxMaterialDocTypeLength)]
		public virtual string MaterialDocType { get; set; }
		public virtual int? MaterialQuantity { get; set; }
		public virtual int? SpoiledMaterialQuantity2 { get; set; }
		[StringLength(MaxRelatedPartReceiveNoLength)]
		public virtual string RelatedPartReceiveNo { get; set; }
		[StringLength(MaxRelatedGrTypeLength)]
		public virtual string RelatedGrType { get; set; }
		[StringLength(MaxRelatedGrTransactionTypeLength)]
		public virtual string RelatedGrTransactionType { get; set; }
		public virtual int? InHousePartQuantityReceive { get; set; }
		[StringLength(MaxRelatedPartIssueNoLength)]
		public virtual string RelatedPartIssueNo { get; set; }
		[StringLength(MaxRelatedGiTypeLength)]
		public virtual string RelatedGiType { get; set; }
		[StringLength(MaxRelatedGiTransactionTypeLength)]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[StringLength(MaxProductionIdLength)]
		public virtual string ProductionId { get; set; }
		public virtual int? FinalPrice { get; set; }
		[StringLength(MaxWbsLength)]
		public virtual string Wbs { get; set; }
		[StringLength(MaxEarmarkedFundLength)]
		public virtual string EarmarkedFund { get; set; }
		[StringLength(MaxEarmarkedFundItemLength)]
		public virtual string EarmarkedFundItem { get; set; }
		[StringLength(MaxPsmsCodeLength)]
		public virtual string PsmsCode { get; set; }
		[StringLength(MaxGiUomLength)]
		public virtual string GiUom { get; set; }
		[StringLength(MaxEndingOfRecordLength)]
		public virtual string EndingOfRecord { get; set; }
	}
}
</v>
      </c>
      <c r="D68" s="48" t="str">
        <f>A.Backend!O7</f>
        <v xml:space="preserve">		public const string Pages_Inventory_IF_FQF3MM02 = "Pages.Inventory.IF.FQF3MM02";
		public const string Pages_Inventory_IF_FQF3MM02_CreateEdit = "Pages.Inventory.IF.FQF3MM02.CreateEdit";
		public const string Pages_Inventory_IF_FQF3MM02_Delete = "Pages.Inventory.IF.FQF3MM02.Delete";
</v>
      </c>
      <c r="E68" s="48" t="str">
        <f>A.Backend!N7</f>
        <v xml:space="preserve">		var perIF_FQF3MM02 = PARENTS.CreateChildPermission(AppPermissions.Pages_Inventory_IF_FQF3MM02, L( "InventoryIFFQF3MM02"), multiTenancySides: MultiTenancySides.Tenant);
		perIF_FQF3MM02.CreateChildPermission(AppPermissions.Pages_Inventory_IF_FQF3MM02_CreateEdit, L( "InventoryIFFQF3MM02CreateEdit"), multiTenancySides: MultiTenancySides.Tenant);
		perIF_FQF3MM02.CreateChildPermission(AppPermissions.Pages_Inventory_IF_FQF3MM02_Delete, L( "InventoryIFFQF3MM02Delete"), multiTenancySides: MultiTenancySides.Tenant);</v>
      </c>
      <c r="F68" s="48" t="str">
        <f>A.Backend!K7</f>
        <v>public virtual DbSet&lt;IF_FQF3MM02&gt; IF_FQF3MM02s { get; set; }</v>
      </c>
      <c r="G68" s="48" t="str">
        <f ca="1">A.Backend!L7</f>
        <v xml:space="preserve">namespace prod.Inventory.IF
{
	public class IF_FQF3MM02Consts	
	{
		public const int MaxRecordIdLength = 7;
		public const int MaxCompanyCodeLength = 8;
		public const int MaxPlantCodeLength = 4;
		public const int MaxMaruCodeLength = 1;
		public const int MaxReceivingStockLineLength = 3;
		public const int MaxProductionDateLength = 8;
		public const int MaxPostingDateLength = 8;
		public const int MaxPartCodeLength = 14;
		public const int MaxMaterialCodeLength = 40;
		public const int MaxCostCenterLength = 10;
		public const int MaxNormalCancelFlagLength = 1;
		public const int MaxGrgiNoLength = 10;
		public const int MaxGrgiTypeLength = 2;
		public const int MaxMaterialDocTypeLength = 2;
		public const int MaxRelatedPartReceiveNoLength = 10;
		public const int MaxRelatedGrTypeLength = 2;
		public const int MaxRelatedGrTransactionTypeLength = 2;
		public const int MaxRelatedPartIssueNoLength = 10;
		public const int MaxRelatedGiTypeLength = 2;
		public const int MaxRelatedGiTransactionTypeLength = 2;
		public const int MaxProductionIdLength = 38;
		public const int MaxWbsLength = 24;
		public const int MaxEarmarkedFundLength = 10;
		public const int MaxEarmarkedFundItemLength = 3;
		public const int MaxPsmsCodeLength = 40;
		public const int MaxGiUomLength = 3;
		public const int MaxEndingOfRecordLength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IF_FQF3MM02Dto : EntityDto&lt;long?&gt;	
	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int? Quantity { get; set; }
		public virtual int? SpoiledPartsQuantity { get; set; }
		public virtual int? SpoiledMaterialQuantity1 { get; set; }
		public virtual string MaterialCode { get; set; }
		public virtual int? FreeShotQuantity { get; set; }
		public virtual int? RecycledQuantity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int? MaterialQuantity { get; set; }
		public virtual int? SpoiledMaterialQuantity2 { get; set; }
		public virtual string RelatedPartReceiveNo { get; set; }
		public virtual string RelatedGrType { get; set; }
		public virtual string RelatedGrTransactionType { get; set; }
		public virtual int? InHousePartQuantityReceive { get; set; }
		public virtual string RelatedPartIssueNo { get; set; }
		public virtual string RelatedGiType { get; set; }
		public virtual string RelatedGiTransactionType { get; set; }
		public virtual int? RelatedInHousePartQuantityIssued { get; set; }
		public virtual int? RelatedSpoiledPartQuantityIssued { get; set; }
		public virtual int? Wip { get; set; }
		public virtual string ProductionId { get; set; }
		public virtual int? FinalPrice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	public class CreateOrEditIF_FQF3MM02Dto : EntityDto&lt;long?&gt;	
	{
		[StringLength(IF_FQF3MM02Consts.MaxRecordIdLength)]
		public virtual string RecordId { get; set; }
		[StringLength(IF_FQF3MM02Consts.MaxCompanyCodeLength)]
		public virtual string CompanyCode { get; set; }
		[StringLength(IF_FQF3MM02Consts.MaxPlantCodeLength)]
		public virtual string PlantCode { get; set; }
		[StringLength(IF_FQF3MM02Consts.MaxMaruCodeLength)]
		public virtual string MaruCode { get; set; }
		[StringLength(IF_FQF3MM02Consts.MaxReceivingStockLineLength)]
		public virtual string ReceivingStockLine { get; set; }
		[StringLength(IF_FQF3MM02Consts.MaxProductionDateLength)]
		public virtual string ProductionDate { get; set; }
		[StringLength(IF_FQF3MM02Consts.MaxPostingDateLength)]
		public virtual string PostingDate { get; set; }
		[StringLength(IF_FQF3MM02Consts.MaxPartCodeLength)]
		public virtual string PartCode { get; set; }
		public virtual int? Quantity { get; set; }
		public virtual int? SpoiledPartsQuantity { get; set; }
		public virtual int? SpoiledMaterialQuantity1 { get; set; }
		[StringLength(IF_FQF3MM02Consts.MaxMaterialCodeLength)]
		public virtual string MaterialCode { get; set; }
		public virtual int? FreeShotQuantity { get; set; }
		public virtual int? RecycledQuantity { get; set; }
		[StringLength(IF_FQF3MM02Consts.MaxCostCenterLength)]
		public virtual string CostCenter { get; set; }
		[StringLength(IF_FQF3MM02Consts.MaxNormalCancelFlagLength)]
		public virtual string NormalCancelFlag { get; set; }
		[StringLength(IF_FQF3MM02Consts.MaxGrgiNoLength)]
		public virtual string GrgiNo { get; set; }
		[StringLength(IF_FQF3MM02Consts.MaxGrgiTypeLength)]
		public virtual string GrgiType { get; set; }
		[StringLength(IF_FQF3MM02Consts.MaxMaterialDocTypeLength)]
		public virtual string MaterialDocType { get; set; }
		public virtual int? MaterialQuantity { get; set; }
		public virtual int? SpoiledMaterialQuantity2 { get; set; }
		[StringLength(IF_FQF3MM02Consts.MaxRelatedPartReceiveNoLength)]
		public virtual string RelatedPartReceiveNo { get; set; }
		[StringLength(IF_FQF3MM02Consts.MaxRelatedGrTypeLength)]
		public virtual string RelatedGrType { get; set; }
		[StringLength(IF_FQF3MM02Consts.MaxRelatedGrTransactionTypeLength)]
		public virtual string RelatedGrTransactionType { get; set; }
		public virtual int? InHousePartQuantityReceive { get; set; }
		[StringLength(IF_FQF3MM02Consts.MaxRelatedPartIssueNoLength)]
		public virtual string RelatedPartIssueNo { get; set; }
		[StringLength(IF_FQF3MM02Consts.MaxRelatedGiTypeLength)]
		public virtual string RelatedGiType { get; set; }
		[StringLength(IF_FQF3MM02Consts.MaxRelatedGiTransactionTypeLength)]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[StringLength(IF_FQF3MM02Consts.MaxProductionIdLength)]
		public virtual string ProductionId { get; set; }
		public virtual int? FinalPrice { get; set; }
		[StringLength(IF_FQF3MM02Consts.MaxWbsLength)]
		public virtual string Wbs { get; set; }
		[StringLength(IF_FQF3MM02Consts.MaxEarmarkedFundLength)]
		public virtual string EarmarkedFund { get; set; }
		[StringLength(IF_FQF3MM02Consts.MaxEarmarkedFundItemLength)]
		public virtual string EarmarkedFundItem { get; set; }
		[StringLength(IF_FQF3MM02Consts.MaxPsmsCodeLength)]
		public virtual string PsmsCode { get; set; }
		[StringLength(IF_FQF3MM02Consts.MaxGiUomLength)]
		public virtual string GiUom { get; set; }
		[StringLength(IF_FQF3MM02Consts.MaxEndingOfRecordLength)]
		public virtual string EndingOfRecord { get; set; }
	}
	public class GetIF_FQF3MM02Input : PagedAndSortedResultRequestDto	
	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string MaterialCode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string RelatedPartReceiveNo { get; set; }
		public virtual string RelatedGrType { get; set; }
		public virtual string RelatedGrTransactionType { get; set; }
		public virtual string RelatedPartIssueNo { get; set; }
		public virtual string RelatedGiType { get; set; }
		public virtual string RelatedGiTransactionType { get; set; }
		public virtual string ProductionId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IF_FQF3MM02ExportInput{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int? Quantity { get; set; }
		public virtual int? SpoiledPartsQuantity { get; set; }
		public virtual int? SpoiledMaterialQuantity1 { get; set; }
		public virtual string MaterialCode { get; set; }
		public virtual int? FreeShotQuantity { get; set; }
		public virtual int? RecycledQuantity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int? MaterialQuantity { get; set; }
		public virtual int? SpoiledMaterialQuantity2 { get; set; }
		public virtual string RelatedPartReceiveNo { get; set; }
		public virtual string RelatedGrType { get; set; }
		public virtual string RelatedGrTransactionType { get; set; }
		public virtual int? InHousePartQuantityReceive { get; set; }
		public virtual string RelatedPartIssueNo { get; set; }
		public virtual string RelatedGiType { get; set; }
		public virtual string RelatedGiTransactionType { get; set; }
		public virtual int? RelatedInHousePartQuantityIssued { get; set; }
		public virtual int? RelatedSpoiledPartQuantityIssued { get; set; }
		public virtual int? Wip { get; set; }
		public virtual string ProductionId { get; set; }
		public virtual int? FinalPrice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IIF_FQF3MM02AppService : IApplicationService
	{
		Task&lt;PagedResultDto&lt;IF_FQF3MM02Dto&gt;&gt; GetAll(GetIF_FQF3MM02Input input);
		Task CreateOrEdit(CreateOrEditIF_FQF3MM02Dto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IIF_FQF3MM02ExcelExporter : IApplicationService
	{
		FileDto ExportToFile(List&lt;IF_FQF3MM02Dto&gt; if_fqf3mm02);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IF_FQF3MM02ExcelExporter : NpoiExcelExporterBase, IIF_FQF3MM02ExcelExporter
    {
        public IF_FQF3MM02ExcelExporter(ITempFileCacheManager tempFileCacheManager) : base(tempFileCacheManager) { }
        public FileDto ExportToFile(List&lt;IF_FQF3MM02Dto&gt; fqf3mm02)
        {
            return CreateExcelPackage(
				"IFIFFQF3MM02.xlsx",
				excelPackage =&gt;
				 {
					var sheet = excelPackage.CreateSheet("FQF3MM02");
					AddHeader(
								sheet,
								("RecordId"),
								("CompanyCode"),
								("PlantCode"),
								("MaruCode"),
								("ReceivingStockLine"),
								("ProductionDate"),
								("PostingDate"),
								("PartCode"),
								("Quantity"),
								("SpoiledPartsQuantity"),
								("SpoiledMaterialQuantity1"),
								("MaterialCode"),
								("FreeShotQuantity"),
								("RecycledQuantity"),
								("CostCenter"),
								("NormalCancelFlag"),
								("GrgiNo"),
								("GrgiType"),
								("MaterialDocType"),
								("MaterialQuantity"),
								("SpoiledMaterialQuantity2"),
								("RelatedPartReceiveNo"),
								("RelatedGrType"),
								("RelatedGrTransactionType"),
								("InHousePartQuantityReceive"),
								("RelatedPartIssueNo"),
								("RelatedGiType"),
								("RelatedGiTransactionType"),
								("RelatedInHousePartQuantityIssued"),
								("RelatedSpoiledPartQuantityIssued"),
								("Wip"),
								("ProductionId"),
								("FinalPrice"),
								("Wbs"),
								("EarmarkedFund"),
								("EarmarkedFundItem"),
								("PsmsCode"),
								("GiUom"),
								("EndingOfRecord"),
							   );
					AddObjects(
						 sheet, 1, fqf3mm02,                                       
								_ =&gt; _.RecordId,
								_ =&gt; _.CompanyCode,
								_ =&gt; _.PlantCode,
								_ =&gt; _.MaruCode,
								_ =&gt; _.ReceivingStockLine,
								_ =&gt; _.ProductionDate,
								_ =&gt; _.PostingDate,
								_ =&gt; _.PartCode,
								_ =&gt; _.Quantity,
								_ =&gt; _.SpoiledPartsQuantity,
								_ =&gt; _.SpoiledMaterialQuantity1,
								_ =&gt; _.MaterialCode,
								_ =&gt; _.FreeShotQuantity,
								_ =&gt; _.RecycledQuantity,
								_ =&gt; _.CostCenter,
								_ =&gt; _.NormalCancelFlag,
								_ =&gt; _.GrgiNo,
								_ =&gt; _.GrgiType,
								_ =&gt; _.MaterialDocType,
								_ =&gt; _.MaterialQuantity,
								_ =&gt; _.SpoiledMaterialQuantity2,
								_ =&gt; _.RelatedPartReceiveNo,
								_ =&gt; _.RelatedGrType,
								_ =&gt; _.RelatedGrTransactionType,
								_ =&gt; _.InHousePartQuantityReceive,
								_ =&gt; _.RelatedPartIssueNo,
								_ =&gt; _.RelatedGiType,
								_ =&gt; _.RelatedGiTransactionType,
								_ =&gt; _.RelatedInHousePartQuantityIssued,
								_ =&gt; _.RelatedSpoiledPartQuantityIssued,
								_ =&gt; _.Wip,
								_ =&gt; _.ProductionId,
								_ =&gt; _.FinalPrice,
								_ =&gt; _.Wbs,
								_ =&gt; _.EarmarkedFund,
								_ =&gt; _.EarmarkedFundItem,
								_ =&gt; _.PsmsCode,
								_ =&gt; _.GiUom,
								_ =&gt; _.EndingOfRecord,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[AbpAuthorize(AppPermissions.Pages_IF_IF_FQF3MM02)]
    public class IF_FQF3MM02AppService : vovinaAppServiceBase, IIF_FQF3MM02AppService
    {
        private readonly IDapperRepository&lt;IF_FQF3MM02, long&gt; _dapperRepo;
        private readonly IRepository&lt;IF_FQF3MM02, long&gt; _repo;
        private readonly IIF_FQF3MM02ExcelExporter _calendarListExcelExporter;
        public IF_FQF3MM02AppService(IRepository&lt;IF_FQF3MM02,long&gt; repo, 
                                         IDapperRepository&lt;IF_FQF3MM02,long&gt; dapperRepo,
                                        IIF_FQF3MM02ExcelExporter calendarListExcelExporter
            )
        {
            _repo = repo;
            _dapperRepo = dapperRepo;
            _calendarListExcelExporter = calendarListExcelExporter;
        }
        [AbpAuthorize(AppPermissions.Pages_IF_IF_FQF3MM02_CreateEdit)]
        public async Task CreateOrEdit(CreateOrEditIF_FQF3MM02Dto input)
        {
            if (input.Id == null) await Create(input);
            else await Update(input);
        }
        //CREATE
        private async Task Create(CreateOrEditIF_FQF3MM02Dto input)
        {          
            var mainObj = ObjectMapper.Map&lt;IF_FQF3MM02&gt;(input);
            await CurrentUnitOfWork.GetDbContext&lt;vovinaDbContext&gt;().AddAsync(mainObj);
        }
        // EDIT
        private async Task Update(CreateOrEditIF_FQF3MM02Dto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[AbpAuthorize(AppPermissions.Pages_IF_IF_FQF3MM02_Delete)]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Task&lt;PagedResultDto&lt;IF_FQF3MM02Dto&gt;&gt; GetAll(GetIF_FQF3MM02Input input)
        {
            var filtered = _repo.GetAll()
				.WhereIf(!string.IsNullOrWhiteSpace(input.RecordId), e =&gt; e.RecordId.Contains(input.RecordId))
				.WhereIf(!string.IsNullOrWhiteSpace(input.CompanyCode), e =&gt; e.CompanyCode.Contains(input.CompanyCode))
				.WhereIf(!string.IsNullOrWhiteSpace(input.PlantCode), e =&gt; e.PlantCode.Contains(input.PlantCode))
				.WhereIf(!string.IsNullOrWhiteSpace(input.MaruCode), e =&gt; e.MaruCode.Contains(input.MaruCode))
				.WhereIf(!string.IsNullOrWhiteSpace(input.ReceivingStockLine), e =&gt; e.ReceivingStockLine.Contains(input.ReceivingStockLine))
				.WhereIf(!string.IsNullOrWhiteSpace(input.ProductionDate), e =&gt; e.ProductionDate.Contains(input.ProductionDate))
				.WhereIf(!string.IsNullOrWhiteSpace(input.PostingDate), e =&gt; e.PostingDate.Contains(input.PostingDate))
				.WhereIf(!string.IsNullOrWhiteSpace(input.PartCode), e =&gt; e.PartCode.Contains(input.PartCode))
				.WhereIf(!string.IsNullOrWhiteSpace(input.MaterialCode), e =&gt; e.MaterialCode.Contains(input.MaterialCode))
				.WhereIf(!string.IsNullOrWhiteSpace(input.CostCenter), e =&gt; e.CostCenter.Contains(input.CostCenter))
				.WhereIf(!string.IsNullOrWhiteSpace(input.NormalCancelFlag), e =&gt; e.NormalCancelFlag.Contains(input.NormalCancelFlag))
				.WhereIf(!string.IsNullOrWhiteSpace(input.GrgiNo), e =&gt; e.GrgiNo.Contains(input.GrgiNo))
				.WhereIf(!string.IsNullOrWhiteSpace(input.GrgiType), e =&gt; e.GrgiType.Contains(input.GrgiType))
				.WhereIf(!string.IsNullOrWhiteSpace(input.MaterialDocType), e =&gt; e.MaterialDocType.Contains(input.MaterialDocType))
				.WhereIf(!string.IsNullOrWhiteSpace(input.RelatedPartReceiveNo), e =&gt; e.RelatedPartReceiveNo.Contains(input.RelatedPartReceiveNo))
				.WhereIf(!string.IsNullOrWhiteSpace(input.RelatedGrType), e =&gt; e.RelatedGrType.Contains(input.RelatedGrType))
				.WhereIf(!string.IsNullOrWhiteSpace(input.RelatedGrTransactionType), e =&gt; e.RelatedGrTransactionType.Contains(input.RelatedGrTransactionType))
				.WhereIf(!string.IsNullOrWhiteSpace(input.RelatedPartIssueNo), e =&gt; e.RelatedPartIssueNo.Contains(input.RelatedPartIssueNo))
				.WhereIf(!string.IsNullOrWhiteSpace(input.RelatedGiType), e =&gt; e.RelatedGiType.Contains(input.RelatedGiType))
				.WhereIf(!string.IsNullOrWhiteSpace(input.RelatedGiTransactionType), e =&gt; e.RelatedGiTransactionType.Contains(input.RelatedGiTransactionType))
				.WhereIf(!string.IsNullOrWhiteSpace(input.ProductionId), e =&gt; e.ProductionId.Contains(input.ProductionId))
				.WhereIf(!string.IsNullOrWhiteSpace(input.Wbs), e =&gt; e.Wbs.Contains(input.Wbs))
				.WhereIf(!string.IsNullOrWhiteSpace(input.EarmarkedFund), e =&gt; e.EarmarkedFund.Contains(input.EarmarkedFund))
				.WhereIf(!string.IsNullOrWhiteSpace(input.EarmarkedFundItem), e =&gt; e.EarmarkedFundItem.Contains(input.EarmarkedFundItem))
				.WhereIf(!string.IsNullOrWhiteSpace(input.PsmsCode), e =&gt; e.PsmsCode.Contains(input.PsmsCode))
				.WhereIf(!string.IsNullOrWhiteSpace(input.GiUom), e =&gt; e.GiUom.Contains(input.GiUom))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IF_FQF3MM02Dto
                        {
							Id = o.Id,
							RecordId = o.RecordId,
							CompanyCode = o.CompanyCode,
							PlantCode = o.PlantCode,
							MaruCode = o.MaruCode,
							ReceivingStockLine = o.ReceivingStockLine,
							ProductionDate = o.ProductionDate,
							PostingDate = o.PostingDate,
							PartCode = o.PartCode,
							Quantity = o.Quantity,
							SpoiledPartsQuantity = o.SpoiledPartsQuantity,
							SpoiledMaterialQuantity1 = o.SpoiledMaterialQuantity1,
							MaterialCode = o.MaterialCode,
							FreeShotQuantity = o.FreeShotQuantity,
							RecycledQuantity = o.RecycledQuantity,
							CostCenter = o.CostCenter,
							NormalCancelFlag = o.NormalCancelFlag,
							GrgiNo = o.GrgiNo,
							GrgiType = o.GrgiType,
							MaterialDocType = o.MaterialDocType,
							MaterialQuantity = o.MaterialQuantity,
							SpoiledMaterialQuantity2 = o.SpoiledMaterialQuantity2,
							RelatedPartReceiveNo = o.RelatedPartReceiveNo,
							RelatedGrType = o.RelatedGrType,
							RelatedGrTransactionType = o.RelatedGrTransactionType,
							InHousePartQuantityReceive = o.InHousePartQuantityReceive,
							RelatedPartIssueNo = o.RelatedPartIssueNo,
							RelatedGiType = o.RelatedGiType,
							RelatedGiTransactionType = o.RelatedGiTransactionType,
							RelatedInHousePartQuantityIssued = o.RelatedInHousePartQuantityIssued,
							RelatedSpoiledPartQuantityIssued = o.RelatedSpoiledPartQuantityIssued,
							Wip = o.Wip,
							ProductionId = o.ProductionId,
							FinalPrice = o.FinalPrice,
							Wbs = o.Wbs,
							EarmarkedFund = o.EarmarkedFund,
							EarmarkedFundItem = o.EarmarkedFundItem,
							PsmsCode = o.PsmsCode,
							GiUom = o.GiUom,
							EndingOfRecord = o.EndingOfRecord,
                        };
            var totalCount = await filtered.CountAsync();
			var paged = system.PageBy(input);
            return new PagedResultDto&lt;IF_FQF3MM02Dto&gt;(
                totalCount,
                 await paged.ToListAsync()
            );
        }
        public async Task&lt;FileDto&gt; GetFQF3MM02ToExcel(IF_FQF3MM02ExportInput input)
        {
            var query = from o in _repo.GetAll()
                        select new IF_FQF3MM02Dto
                        {
							Id = o.Id,
							RecordId = o.RecordId,
							CompanyCode = o.CompanyCode,
							PlantCode = o.PlantCode,
							MaruCode = o.MaruCode,
							ReceivingStockLine = o.ReceivingStockLine,
							ProductionDate = o.ProductionDate,
							PostingDate = o.PostingDate,
							PartCode = o.PartCode,
							Quantity = o.Quantity,
							SpoiledPartsQuantity = o.SpoiledPartsQuantity,
							SpoiledMaterialQuantity1 = o.SpoiledMaterialQuantity1,
							MaterialCode = o.MaterialCode,
							FreeShotQuantity = o.FreeShotQuantity,
							RecycledQuantity = o.RecycledQuantity,
							CostCenter = o.CostCenter,
							NormalCancelFlag = o.NormalCancelFlag,
							GrgiNo = o.GrgiNo,
							GrgiType = o.GrgiType,
							MaterialDocType = o.MaterialDocType,
							MaterialQuantity = o.MaterialQuantity,
							SpoiledMaterialQuantity2 = o.SpoiledMaterialQuantity2,
							RelatedPartReceiveNo = o.RelatedPartReceiveNo,
							RelatedGrType = o.RelatedGrType,
							RelatedGrTransactionType = o.RelatedGrTransactionType,
							InHousePartQuantityReceive = o.InHousePartQuantityReceive,
							RelatedPartIssueNo = o.RelatedPartIssueNo,
							RelatedGiType = o.RelatedGiType,
							RelatedGiTransactionType = o.RelatedGiTransactionType,
							RelatedInHousePartQuantityIssued = o.RelatedInHousePartQuantityIssued,
							RelatedSpoiledPartQuantityIssued = o.RelatedSpoiledPartQuantityIssued,
							Wip = o.Wip,
							ProductionId = o.ProductionId,
							FinalPrice = o.FinalPrice,
							Wbs = o.Wbs,
							EarmarkedFund = o.EarmarkedFund,
							EarmarkedFundItem = o.EarmarkedFundItem,
							PsmsCode = o.PsmsCode,
							GiUom = o.GiUom,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_dapperRepo.ExecuteAsync(IF_FQF3MM02Consts.SP_MST_WPT_CALENDAR_GENERATE);
       // }
    }
}</v>
      </c>
      <c r="N68" s="58" t="str">
        <f>A.Backend!U7</f>
        <v xml:space="preserve">  configuration.CreateMap&lt;IF_FQF3MM02Dto, IF_FQF3MM02&gt;();
  configuration.CreateMap&lt;IF_FQF3MM02, IF_FQF3MM02Dto&gt;();
  configuration.CreateMap&lt;CreateOrEditIF_FQF3MM02Dto, IF_FQF3MM02&gt;();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fqf3mm02</v>
      </c>
      <c r="C73" s="66" t="str">
        <f>"create folder " &amp;B73</f>
        <v>create folder fqf3mm02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fqf3mm02.component.ts</v>
      </c>
      <c r="D74" s="28" t="str">
        <f>B.Frontend!I14</f>
        <v>fqf3mm02.component.html</v>
      </c>
      <c r="E74" s="28" t="str">
        <f>B.Frontend!J14</f>
        <v>fqf3mm02.component.less</v>
      </c>
      <c r="F74" s="28" t="str">
        <f>B.Frontend!K14</f>
        <v>create-or-edit-fqf3mm02-modal.component.html</v>
      </c>
      <c r="G74" s="28" t="str">
        <f>B.Frontend!L14</f>
        <v>create-or-edit-fqf3mm02-modal.component.ts</v>
      </c>
      <c r="H74" s="28" t="str">
        <f>B.Frontend!M14</f>
        <v>create-or-edit-fqf3mm02-modal.component.less</v>
      </c>
      <c r="I74" s="28" t="str">
        <f>B.Frontend!N14</f>
        <v>fqf3mm02.module.ts</v>
      </c>
      <c r="J74" s="28" t="str">
        <f>B.Frontend!O14</f>
        <v>fqf3mm02-routing.module.ts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IF_FQF3MM02Dto, IF_FQF3MM02ServiceProxy } from '@shared/service-proxies/service-proxies';
import { finalize } from 'rxjs/internal/operators/finalize';
import { CreateOrEditFQF3MM02ModalComponent } from './create-or-edit-fqf3mm02-modal.component';
import { DatePipe } from '@angular/common';
import { FileDownloadService } from '@shared/utils/file-download.service';
import ceil from 'lodash-es/ceil';
import { Paginator } from 'primeng/paginator';
@Component({
    templateUrl: './fqf3mm02.component.html',
    styleUrls: ['./fqf3mm02.component.less'],
})
export class FQF3MM02Component extends AppComponentBase implements OnInit {
    @ViewChild('createOrEditModalFQF3MM02', { static: true }) createOrEditModalFQF3MM02:| CreateOrEditFQF3MM02ModalComponent|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IF_FQF3MM02Dto = new IF_FQF3MM02Dto();
    saveSelectedRow: IF_FQF3MM02Dto = new IF_FQF3MM02Dto();
    datas: IF_FQF3MM02Dto = new IF_FQF3MM02Dto();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companyCode : string = '' ; 
	plantCode : string = '' ; 
	maruCode : string = '' ; 
	receivingStockLine : string = '' ; 
	productionDate : string = '' ; 
	postingDate : string = '' ; 
	partCode : string = '' ; 
	quantity
	spoiledPartsQuantity
	spoiledMaterialQuantity
	materialCode
	freeShotQuantity
	recycledQuantity
	costCenter
	normalCancelFlag : string = '' ; 
	grgiNo : string = '' ; 
	grgiType : string = '' ; 
	materialDocType : string = '' ; 
	materialQuantity : string = '' ; 
	spoiledMaterialQuantity : string = '' ; 
	relatedPartReceiveNo : string = '' ; 
	relatedGrType : string = '' ; 
	relatedGrTransactionType : string = '' ; 
	in-HousePartQuantityReceive : string = '' ; 
	relatedPartIssueNo
	relatedGiType : string = '' ; 
	relatedGiTransactionType
	relatedIn-HousePartQuantityIssued
	relatedSpoiledPartQuantityIssued : string = '' ; 
	wip : string = '' ; 
	productionId : string = '' ; 
	finalPrice : string = '' ; 
	wbs : string = '' ; 
	earmarkedFund
	earmarkedFundItem : string = '' ; 
	p-SmsCode
	giUom : string = '' ; 
	endingOfRecord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IF_FQF3MM02ServiceProxy,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this.l('Company Code'),headerTooltip: this.l('Company Code'),field: 'companyCode',flex: 1},
			{headerName: this.l('Plant Code'),headerTooltip: this.l('Plant Code'),field: 'plantCode',flex: 1},
			{headerName: this.l('Maru Code'),headerTooltip: this.l('Maru Code'),field:  'maruCode', cellClass: ['text-center'], width: 120, cellRenderer: 'agCellButtonComponent',
buttonDefTwo: { text: params =&gt; (params.data?.'maruCode' == 'Y') ? 'Active' : 'Inactive',iconName: 'fa fa-circle',className: params =&gt; (params.data?.'maruCode' == 'Y') ? 'btnActive' : 'btnInActive',},}
			{headerName: this.l('Receiving Stock Line'),headerTooltip: this.l('Receiving Stock Line'),field: 'receivingStockLine',flex: 1},
			{headerName: this.l('Production Date'),headerTooltip: this.l('Production Date'),field: 'productionDate',flex: 1},
			{headerName: this.l('Posting Date'),headerTooltip: this.l('Posting Date'),field: 'postingDate',flex: 1},
			{headerName: this.l('Part Code'),headerTooltip: this.l('Part Code'),field: 'partCode',flex: 1},
			{headerName: this.l('Quantity'),headerTooltip: this.l('Quantity'),field: 'quantity',flex: 1},
			{headerName: this.l('Spoiled Parts Quantity'),headerTooltip: this.l('Spoiled Parts Quantity'),field: 'spoiledPartsQuantity',flex: 1},
			{headerName: this.l('Spoiled Material Quantity'),headerTooltip: this.l('Spoiled Material Quantity'),field: 'spoiledMaterialQuantity',flex: 1},
			{headerName: this.l('Material Code'),headerTooltip: this.l('Material Code'),field: 'materialCode',flex: 1},
			{headerName: this.l('Free Shot Quantity'),headerTooltip: this.l('Free Shot Quantity'),field: 'freeShotQuantity',flex: 1},
			{headerName: this.l('Recycled Quantity'),headerTooltip: this.l('Recycled Quantity'),field: 'recycledQuantity',flex: 1},
			{headerName: this.l('Cost Center'),headerTooltip: this.l('Cost Center'),field: 'costCenter',flex: 1},
			{headerName: this.l('Normal Cancel Flag'),headerTooltip: this.l('Normal Cancel Flag'),field: 'normalCancelFlag',flex: 1},
			{headerName: this.l('Grgi No'),headerTooltip: this.l('Grgi No'),field: 'grgiNo',flex: 1},
			{headerName: this.l('Grgi Type'),headerTooltip: this.l('Grgi Type'),field: 'grgiType',flex: 1},
			{headerName: this.l('Material Doc Type'),headerTooltip: this.l('Material Doc Type'),field:  'materialDocType', cellClass: ['text-center'], width: 120, cellRenderer: 'agCellButtonComponent',
buttonDefTwo: { text: params =&gt; (params.data?.'materialDocType' == 'Y') ? 'Active' : 'Inactive',iconName: 'fa fa-circle',className: params =&gt; (params.data?.'materialDocType' == 'Y') ? 'btnActive' : 'btnInActive',},}
			{headerName: this.l('Material Quantity'),headerTooltip: this.l('Material Quantity'),field: 'materialQuantity',flex: 1},
			{headerName: this.l('Spoiled Material Quantity'),headerTooltip: this.l('Spoiled Material Quantity'),field: 'spoiledMaterialQuantity',flex: 1},
			{headerName: this.l('Related Part Receive No'),headerTooltip: this.l('Related Part Receive No'),field:  'relatedPartReceiveNo', cellClass: ['text-center'], width: 120, cellRenderer: 'agCellButtonComponent',
buttonDefTwo: { text: params =&gt; (params.data?.'relatedPartReceiveNo' == 'Y') ? 'Active' : 'Inactive',iconName: 'fa fa-circle',className: params =&gt; (params.data?.'relatedPartReceiveNo' == 'Y') ? 'btnActive' : 'btnInActive',},}
			{headerName: this.l('Related Gr Type'),headerTooltip: this.l('Related Gr Type'),field: 'relatedGrType',flex: 1},
			{headerName: this.l('Related Gr Transaction Type'),headerTooltip: this.l('Related Gr Transaction Type'),field: 'relatedGrTransactionType',flex: 1},
			{headerName: this.l('In-House Part Quantity Receive'),headerTooltip: this.l('In-House Part Quantity Receive'),field: 'in-HousePartQuantityReceive',flex: 1},
			{headerName: this.l('Related Part Issue No'),headerTooltip: this.l('Related Part Issue No'),field: 'relatedPartIssueNo',flex: 1},
			{headerName: this.l('Related Gi Type'),headerTooltip: this.l('Related Gi Type'),field: 'relatedGiType',flex: 1},
			{headerName: this.l('Related Gi Transaction Type'),headerTooltip: this.l('Related Gi Transaction Type'),field: 'relatedGiTransactionType',flex: 1},
			{headerName: this.l('Related In-House Part Quantity Issued'),headerTooltip: this.l('Related In-House Part Quantity Issued'),field: 'relatedIn-HousePartQuantityIssued',flex: 1},
			{headerName: this.l('Related Spoiled Part Quantity Issued'),headerTooltip: this.l('Related Spoiled Part Quantity Issued'),field: 'relatedSpoiledPartQuantityIssued',flex: 1},
			{headerName: this.l('Wip'),headerTooltip: this.l('Wip'),field:  'wip', cellClass: ['text-center'], width: 120, cellRenderer: 'agCellButtonComponent',
buttonDefTwo: { text: params =&gt; (params.data?.'wip' == 'Y') ? 'Active' : 'Inactive',iconName: 'fa fa-circle',className: params =&gt; (params.data?.'wip' == 'Y') ? 'btnActive' : 'btnInActive',},}
			{headerName: this.l('Production Id'),headerTooltip: this.l('Production Id'),field: 'productionId',flex: 1},
			{headerName: this.l('Final Price'),headerTooltip: this.l('Final Price'),field: 'finalPrice',flex: 1},
			{headerName: this.l('Wbs'),headerTooltip: this.l('Wbs'),field: 'wbs',flex: 1},
			{headerName: this.l('Earmarked Fund'),headerTooltip: this.l('Earmarked Fund'),field: 'earmarkedFund',flex: 1},
			{headerName: this.l('Earmarked Fund Item'),headerTooltip: this.l('Earmarked Fund Item'),field: 'earmarkedFundItem',flex: 1},
			{headerName: this.l('P-Sms Code'),headerTooltip: this.l('P-Sms Code'),field: 'p-SmsCode',flex: 1},
			{headerName: this.l('Gi Uom'),headerTooltip: this.l('Gi Uom'),field: 'giUom',flex: 1},
			{headerName: this.l('Ending Of Record'),headerTooltip: this.l('Ending Of Record'),field: 'endingOfRecord',flex: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this.companyCode = '',
		this.plantCode = '',
		this.maruCode = '',
		this.receivingStockLine = '',
		this.productionDate = '',
		this.postingDate = '',
		this.partCode = '',
		this.quantity = '',
		this.spoiledPartsQuantity = '',
		this.spoiledMaterialQuantity = '',
		this.materialCode = '',
		this.freeShotQuantity = '',
		this.recycledQuantity = '',
		this.costCenter = '',
		this.normalCancelFlag = '',
		this.grgiNo = '',
		this.grgiType = '',
		this.materialDocType = '',
		this.materialQuantity = '',
		this.spoiledMaterialQuantity = '',
		this.relatedPartReceiveNo = '',
		this.relatedGrType = '',
		this.relatedGrTransactionType = '',
		this.in-HousePartQuantityReceive = '',
		this.relatedPartIssueNo = '',
		this.relatedGiType = '',
		this.relatedGiTransactionType = '',
		this.relatedIn-HousePartQuantityIssued = '',
		this.relatedSpoiledPartQuantityIssued = '',
		this.wip = '',
		this.productionId = '',
		this.finalPrice = '',
		this.wbs = '',
		this.earmarkedFund = '',
		this.earmarkedFundItem = '',
		this.p-SmsCode = '',
		this.giUom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			'',
            this.paginationParams.skipCount,
            this.paginationParams.pageSize
        );
    }
    onChangeRowSelection(params: { api: { getSelectedRows: () =&gt; IF_FQF3MM02Dto[] } }) {
        this.saveSelectedRow = params.api.getSelectedRows()[0] ?? new IF_FQF3MM02Dto();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IF_FQF3MM02Dto):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this._service.getFQF3MM02ToExcel(
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FQF3MM02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[(ngModel)]='receivingStockLine' name='receivingStockLine'
									class='form-control' [placeholder]="l('Receiving Stock Line')"
									type='text' (keyup.enter)='searchDatas()'&gt;
								&lt;/div&gt;
								&lt;div class='input-search'&gt;
									&lt;input [(ngModel)]='productionDate' name='productionDate'
									class='form-control' [placeholder]="l('Production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[(ngModel)]='grgiNo' name='grgiNo'
									class='form-control' [placeholder]="l('Grgi No')"
									type='text' (keyup.enter)='searchDatas()'&gt;
								&lt;/div&gt;
								&lt;div class='input-search'&gt;
									&lt;input [(ngModel)]='grgiType' name='grgiType'
									class='form-control' [placeholder]="l('Grgi Type')"
									type='text' (keyup.enter)='searchDatas()'&gt;
								&lt;/div&gt;
								&lt;div class='input-search'&gt;
									&lt;input [(ngModel)]='materialDocType' name='materialDocType'
									class='form-control' [placeholder]="l('Material Doc Type')"
									type='text' (keyup.enter)='searchDatas()'&gt;
								&lt;/div&gt;
								&lt;div class='input-search'&gt;
									&lt;input [(ngModel)]='materialQuantity' name='materialQuantity'
									class='form-control' [placeholder]="l('Material Quantity')"
									type='text' (keyup.enter)='searchDatas()'&gt;
								&lt;/div&gt;
								&lt;div class='input-search'&gt;
									&lt;input [(ngModel)]='spoiledMaterialQuantity' name='spoiledMaterialQuantity'
									class='form-control' [placeholder]="l('Spoiled Material Quantity')"
									type='text' (keyup.enter)='searchDatas()'&gt;
								&lt;/div&gt;
								&lt;div class='input-search'&gt;
									&lt;input [(ngModel)]='relatedPartReceiveNo' name='relatedPartReceiveNo'
									class='form-control' [placeholder]="l('Related Part Receive No')"
									type='text' (keyup.enter)='searchDatas()'&gt;
								&lt;/div&gt;
								&lt;div class='input-search'&gt;
									&lt;input [(ngModel)]='relatedGrType' name='relatedGrType'
									class='form-control' [placeholder]="l('Related Gr Type')"
									type='text' (keyup.enter)='searchDatas()'&gt;
								&lt;/div&gt;
								&lt;div class='input-search'&gt;
									&lt;input [(ngModel)]='relatedGrTransactionType' name='relatedGrTransactionType'
									class='form-control' [placeholder]="l('Related Gr Transaction Type')"
									type='text' (keyup.enter)='searchDatas()'&gt;
								&lt;/div&gt;
								&lt;div class='input-search'&gt;
									&lt;input [(ngModel)]='in-HousePartQuantityReceive' name='in-HousePartQuantityReceive'
									class='form-control' [placeholder]="l('In-House Part Quantity Receive')"
									type='text' (keyup.enter)='searchDatas()'&gt;
								&lt;/div&gt;
								&lt;div class='input-search'&gt;
									&lt;input [(ngModel)]='relatedGiType' name='relatedGiType'
									class='form-control' [placeholder]="l('Related Gi Type')"
									type='text' (keyup.enter)='searchDatas()'&gt;
								&lt;/div&gt;
								&lt;div class='input-search'&gt;
									&lt;input [(ngModel)]='relatedSpoiledPartQuantityIssued' name='relatedSpoiledPartQuantityIssued'
									class='form-control' [placeholder]="l('Related Spoiled Part Quantity Issued')"
									type='text' (keyup.enter)='searchDatas()'&gt;
								&lt;/div&gt;
								&lt;div class='input-search'&gt;
									&lt;input [(ngModel)]='wip' name='wip'
									class='form-control' [placeholder]="l('Wip')"
									type='text' (keyup.enter)='searchDatas()'&gt;
								&lt;/div&gt;
								&lt;div class='input-search'&gt;
									&lt;input [(ngModel)]='productionId' name='productionId'
									class='form-control' [placeholder]="l('Production Id')"
									type='text' (keyup.enter)='searchDatas()'&gt;
								&lt;/div&gt;
								&lt;div class='input-search'&gt;
									&lt;input [(ngModel)]='finalPrice' name='finalPrice'
									class='form-control' [placeholder]="l('Final Price')"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[(ngModel)]='earmarkedFundItem' name='earmarkedFundItem'
									class='form-control' [placeholder]="l('Earmarked Fund Item')"
									type='text' (keyup.enter)='searchDatas()'&gt;
								&lt;/div&gt;
								&lt;div class='input-search'&gt;
									&lt;input [(ngModel)]='giUom' name='giUom'
									class='form-control' [placeholder]="l('Gi Uom')"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(click)="createOrEditModalFQF3MM02.show()"&gt;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(click)="createOrEditModalFQF3MM02.show(selectedRow)"&gt;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&lt;create-or-edit-fqf3mm02-modal
    #createOrEditModalFQF3MM02
    (modalSave)="callBackDataGrid(dataParams)"
    (modalClose)="onChangeRowSelection(dataParams)"
&gt;
&lt;/create-or-edit-fqf3mm02-modal&gt;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#createOrEditModalFQF3MM02="bs-modal"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FQF3MM02')}}&lt;/h3&gt;
                    &lt;h3 *ngIf="!rowdata.id"&gt;{{('Create New FQF3MM02')}}&lt;/h3&gt;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title'&gt;Maru Code&lt;/label&gt;
						&lt;new-checkbox [(ngModel)]='_maruCode' name='maruCode' className='col-md-10' &gt; &lt;/new-checkbox&gt;
					&lt;/div&gt;
					&lt;div class='col-md-12 form-group row'&gt;
						&lt;label class='col-md-2 form-control title'&gt;Receiving Stock Line&lt;/label&gt;
						&lt;input type='text' class='col-md-10 form-control input-text' name='ReceivingStockLine' [(ngModel)]='rowdata.receivingStockLine'&gt;
					&lt;/div&gt;
					&lt;div class='col-md-12 form-group row'&gt;
						&lt;label class='col-md-2 form-control title'&gt;Production Date&lt;/label&gt;
						&lt;input type='text' class='col-md-10 form-control input-text' name='ProductionDate' [(ngModel)]='rowdata.productionDate'&gt;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title'&gt;Grgi No&lt;/label&gt;
						&lt;input type='text' class='col-md-10 form-control input-text' name='GrgiNo' [(ngModel)]='rowdata.grgiNo'&gt;
					&lt;/div&gt;
					&lt;div class='col-md-12 form-group row'&gt;
						&lt;label class='col-md-2 form-control title'&gt;Grgi Type&lt;/label&gt;
						&lt;input type='text' class='col-md-10 form-control input-text' name='GrgiType' [(ngModel)]='rowdata.grgiType'&gt;
					&lt;/div&gt;
					&lt;div class='col-md-12 form-group row'&gt;
						&lt;label class='col-md-2 form-control title'&gt;Material Doc Type&lt;/label&gt;
						&lt;new-checkbox [(ngModel)]='_materialDocType' name='materialDocType' className='col-md-10' &gt; &lt;/new-checkbox&gt;
					&lt;/div&gt;
					&lt;div class='col-md-12 form-group row'&gt;
						&lt;label class='col-md-2 form-control title'&gt;Material Quantity&lt;/label&gt;
						&lt;input type='text' class='col-md-10 form-control input-text' name='MaterialQuantity' [(ngModel)]='rowdata.materialQuantity'&gt;
					&lt;/div&gt;
					&lt;div class='col-md-12 form-group row'&gt;
						&lt;label class='col-md-2 form-control title'&gt;Spoiled Material Quantity&lt;/label&gt;
						&lt;input type='text' class='col-md-10 form-control input-text' name='SpoiledMaterialQuantity' [(ngModel)]='rowdata.spoiledMaterialQuantity'&gt;
					&lt;/div&gt;
					&lt;div class='col-md-12 form-group row'&gt;
						&lt;label class='col-md-2 form-control title'&gt;Related Part Receive No&lt;/label&gt;
						&lt;new-checkbox [(ngModel)]='_relatedPartReceiveNo' name='relatedPartReceiveNo' className='col-md-10' &gt; &lt;/new-checkbox&gt;
					&lt;/div&gt;
					&lt;div class='col-md-12 form-group row'&gt;
						&lt;label class='col-md-2 form-control title'&gt;Related Gr Type&lt;/label&gt;
						&lt;input type='text' class='col-md-10 form-control input-text' name='RelatedGrType' [(ngModel)]='rowdata.relatedGrType'&gt;
					&lt;/div&gt;
					&lt;div class='col-md-12 form-group row'&gt;
						&lt;label class='col-md-2 form-control title'&gt;Related Gr Transaction Type&lt;/label&gt;
						&lt;input type='text' class='col-md-10 form-control input-text' name='RelatedGrTransactionType' [(ngModel)]='rowdata.relatedGrTransactionType'&gt;
					&lt;/div&gt;
					&lt;div class='col-md-12 form-group row'&gt;
						&lt;label class='col-md-2 form-control title'&gt;In-House Part Quantity Receive&lt;/label&gt;
						&lt;input type='text' class='col-md-10 form-control input-text' name='In-HousePartQuantityReceive' [(ngModel)]='rowdata.in-HousePartQuantityReceive'&gt;
					&lt;/div&gt;
					&lt;div class='col-md-12 form-group row'&gt;
						&lt;label class='col-md-2 form-control title'&gt;Related Gi Type&lt;/label&gt;
						&lt;input type='text' class='col-md-10 form-control input-text' name='RelatedGiType' [(ngModel)]='rowdata.relatedGiType'&gt;
					&lt;/div&gt;
					&lt;div class='col-md-12 form-group row'&gt;
						&lt;label class='col-md-2 form-control title'&gt;Related Spoiled Part Quantity Issued&lt;/label&gt;
						&lt;input type='text' class='col-md-10 form-control input-text' name='RelatedSpoiledPartQuantityIssued' [(ngModel)]='rowdata.relatedSpoiledPartQuantityIssued'&gt;
					&lt;/div&gt;
					&lt;div class='col-md-12 form-group row'&gt;
						&lt;label class='col-md-2 form-control title'&gt;Wip&lt;/label&gt;
						&lt;new-checkbox [(ngModel)]='_wip' name='wip' className='col-md-10' &gt; &lt;/new-checkbox&gt;
					&lt;/div&gt;
					&lt;div class='col-md-12 form-group row'&gt;
						&lt;label class='col-md-2 form-control title'&gt;Production Id&lt;/label&gt;
						&lt;input type='text' class='col-md-10 form-control input-text' name='ProductionId' [(ngModel)]='rowdata.productionId'&gt;
					&lt;/div&gt;
					&lt;div class='col-md-12 form-group row'&gt;
						&lt;label class='col-md-2 form-control title'&gt;Final Price&lt;/label&gt;
						&lt;input type='text' class='col-md-10 form-control input-text' name='FinalPrice' [(ngModel)]='rowdata.finalPrice'&gt;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title'&gt;Earmarked Fund Item&lt;/label&gt;
						&lt;input type='text' class='col-md-10 form-control input-text' name='EarmarkedFundItem' [(ngModel)]='rowdata.earmarkedFundItem'&gt;
					&lt;/div&gt;
					&lt;div class='col-md-12 form-group row'&gt;
						&lt;label class='col-md-2 form-control title'&gt;Gi Uom&lt;/label&gt;
						&lt;input type='text' class='col-md-10 form-control input-text' name='GiUom' [(ngModel)]='rowdata.giUom'&gt;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CreateOrEditIF_FQF3MM02Dto, IF_FQF3MM02ServiceProxy } from '@shared/service-proxies/service-proxies';
import { BsDatepickerDirective } from 'ngx-bootstrap/datepicker';
@Component({
    selector: 'create-or-edit-fqf3mm02-modal',
    templateUrl: './create-or-edit-fqf3mm02-modal.component.html',
    styleUrls: ['./create-or-edit-fqf3mm02-modal.component.less']
    })
export class CreateOrEditFQF3MM02ModalComponent extends AppComponentBase {
    @ViewChild('createOrEditModalFQF3MM02',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CreateOrEditIF_FQF3MM02Dto = new CreateOrEditIF_FQF3MM02Dto();
    active: boolean = false;
    saving: boolean = false;
    _maruCode
materialDocType
relatedPartReceiveNo
wip
: boolean;
    constructor(
        injector: Injector,
        private _mstwptFQF3MM02Service: IF_FQF3MM02ServiceProxy,
    ) 
    {
        super(injector);
    }
    show(rowdata?: CreateOrEditIF_FQF3MM02Dto): void {
        if (!rowdata) this.rowdata = new CreateOrEditIF_FQF3MM02Dto();
        else this.rowdata = rowdata;
        this._maruCode
materialDocType
relatedPartReceiveNo
wip
 = (this.rowdata.maruCode
materialDocType
relatedPartReceiveNo
wip
 == "N")? false: true;
        this.active = true;
        this.modal.show();
    } 
    changeActive(event){
        this._maruCode
materialDocType
relatedPartReceiveNo
wip
 = event.target.checked;
    }
    save(): void {
    this.saving = true; 
    this.rowdata.maruCode
materialDocType
relatedPartReceiveNo
wip
 = (this._maruCode
materialDocType
relatedPartReceiveNo
wip
 == true) ? 'Y' : 'N'
    this._mstwptFQF3MM02Service.createOrEdit(this.rowdata)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FQF3MM02RoutingModule } from './fqf3mm02-routing.module';
import { FQF3MM02Component } from './fqf3mm02.component';
import { CreateOrEditFQF3MM02ModalComponent } from './create-or-edit-fqf3mm02-modal.component';
@NgModule({
    declarations: [
       FQF3MM02Component, 
        CreateOrEditFQF3MM02ModalComponent
    ],
    imports: [
        AppSharedModule, FQF3MM02RoutingModule]
})
export class FQF3MM02Module {}</v>
      </c>
      <c r="J75" s="46" t="str">
        <f>B.Frontend!O10</f>
        <v>import {NgModule} from '@angular/core';
import {RouterModule, Routes} from '@angular/router';
import { FQF3MM02Component } from './fqf3mm02.component';
const routes: Routes = [{
    path: '',
    component: FQF3MM02Component,
    pathMatch: 'full'
}];
@NgModule({
    imports: [RouterModule.forChild(routes)],
    exports: [RouterModule],
})
export class FQF3MM02RoutingModule {}</v>
      </c>
      <c r="K75" s="46" t="str">
        <f>B.Frontend!P10</f>
        <v xml:space="preserve"> new AppMenuItem("FQF3MM02", "Pages.IF.IF.FQF3MM02", "flaticon-book",   "/app/main/if/if/fqf3mm02"),</v>
      </c>
      <c r="L75" s="47" t="str">
        <f>B.Frontend!Q10</f>
        <v>{
    path: 'if/if/fqf3mm02',
    loadChildren: () =&gt; import('./if/if/fqf3mm02/fqf3mm02.module').then(m =&gt; m.FQF3MM02Module),
    data: { permission: 'Pages.IF.IF.FQF3MM02' }
},</v>
      </c>
      <c r="M75" s="45" t="str">
        <f>B.Frontend!R10</f>
        <v>ApiServiceProxies.IF_FQF3MM02ServiceProxy,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9"/>
  <sheetViews>
    <sheetView tabSelected="1" topLeftCell="A13" workbookViewId="0">
      <pane xSplit="1" topLeftCell="B1" activePane="topRight" state="frozen"/>
      <selection pane="topRight" activeCell="A31" sqref="A31"/>
    </sheetView>
  </sheetViews>
  <sheetFormatPr defaultColWidth="9.140625" defaultRowHeight="15" x14ac:dyDescent="0.25"/>
  <cols>
    <col min="1" max="1" width="37.7109375" style="7" bestFit="1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363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405</v>
      </c>
      <c r="C3" s="9" t="s">
        <v>41</v>
      </c>
      <c r="D3" s="9" t="s">
        <v>42</v>
      </c>
      <c r="E3" s="9" t="s">
        <v>37</v>
      </c>
      <c r="F3" s="10" t="str">
        <f>"J"&amp;COUNTA($A:$A)</f>
        <v>J47</v>
      </c>
      <c r="G3" s="4" t="s">
        <v>54</v>
      </c>
      <c r="H3" s="9" t="str">
        <f>"I"&amp;COUNTA($A:$A)</f>
        <v>I47</v>
      </c>
      <c r="I3" s="9" t="str">
        <f>REPT(CHAR(9),2)&amp;"[Required]"&amp;"
"</f>
        <v xml:space="preserve">		[Required]
</v>
      </c>
      <c r="J3" s="10" t="str">
        <f>"L"&amp;COUNTA($A:$A)</f>
        <v>L47</v>
      </c>
      <c r="K3" s="5" t="s">
        <v>53</v>
      </c>
      <c r="L3" s="10" t="str">
        <f>"M"&amp;COUNTA($A:$A)</f>
        <v>M47</v>
      </c>
      <c r="M3" s="10" t="str">
        <f>"N"&amp;COUNTA($A:$A)</f>
        <v>N47</v>
      </c>
      <c r="N3" s="10" t="str">
        <f>"O"&amp;COUNTA($A:$A)</f>
        <v>O47</v>
      </c>
      <c r="O3" s="10" t="str">
        <f>"P"&amp;COUNTA($A:$A)</f>
        <v>P47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IF_FQF3MM02ExportInput{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T47</v>
      </c>
      <c r="V3" s="10" t="str">
        <f>"V"&amp;COUNTA($A:$A)</f>
        <v>V47</v>
      </c>
      <c r="W3" s="9" t="str">
        <f>"W"&amp;COUNTA($A:$A)</f>
        <v>W47</v>
      </c>
    </row>
    <row r="4" spans="1:23" s="10" customFormat="1" ht="33" customHeight="1" x14ac:dyDescent="0.25">
      <c r="A4" s="1" t="s">
        <v>233</v>
      </c>
      <c r="B4" s="65" t="s">
        <v>364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406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IF_FQF3MM02: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IF_FQF3MM02Consts	
	{
</v>
      </c>
      <c r="F6" s="10" t="str">
        <f>REPT(CHAR(9),1)&amp;"public class "&amp;B3&amp;"Dto"&amp;K3&amp;REPT(CHAR(9),1)&amp;"
"&amp;REPT(CHAR(9),1)&amp;C3</f>
        <v xml:space="preserve">	public class IF_FQF3MM02Dto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CreateOrEditIF_FQF3MM02Dto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GetIF_FQF3MM02Input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IF_FQF3MM02</v>
      </c>
      <c r="C7" s="10" t="str">
        <f>REPT(CHAR(9),1)&amp;"[Table("""&amp;B7&amp;""")]"&amp;"
"</f>
        <v xml:space="preserve">	[Table("IF_FQF3MM02")]
</v>
      </c>
      <c r="D7" s="10"/>
      <c r="E7" s="10"/>
      <c r="F7" s="10"/>
      <c r="G7" s="10"/>
      <c r="H7" s="10"/>
      <c r="I7" s="10"/>
      <c r="J7" t="str">
        <f ca="1">SUBSTITUTE(SUBSTITUTE((B1&amp;C6&amp;C7&amp;K49&amp;D6&amp;I49&amp;E3&amp;J49&amp;""&amp;REPT(CHAR(9),1)&amp;D3&amp;D3),"WorkingPattern",$Q$3),"Master",$B$4)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[Table("IF_FQF3MM02")]
	public class IF_FQF3MM02: FullAuditedEntity&lt;long&gt;, IEntity&lt;long&gt;	
	{
		public const int MaxRecordIdLength = 7;
		public const int MaxCompanyCodeLength = 8;
		public const int MaxPlantCodeLength = 4;
		public const int MaxMaruCodeLength = 1;
		public const int MaxReceivingStockLineLength = 3;
		public const int MaxProductionDateLength = 8;
		public const int MaxPostingDateLength = 8;
		public const int MaxPartCodeLength = 14;
		public const int MaxMaterialCodeLength = 40;
		public const int MaxCostCenterLength = 10;
		public const int MaxNormalCancelFlagLength = 1;
		public const int MaxGrgiNoLength = 10;
		public const int MaxGrgiTypeLength = 2;
		public const int MaxMaterialDocTypeLength = 2;
		public const int MaxRelatedPartReceiveNoLength = 10;
		public const int MaxRelatedGrTypeLength = 2;
		public const int MaxRelatedGrTransactionTypeLength = 2;
		public const int MaxRelatedPartIssueNoLength = 10;
		public const int MaxRelatedGiTypeLength = 2;
		public const int MaxRelatedGiTransactionTypeLength = 2;
		public const int MaxProductionIdLength = 38;
		public const int MaxWbsLength = 24;
		public const int MaxEarmarkedFundLength = 10;
		public const int MaxEarmarkedFundItemLength = 3;
		public const int MaxPsmsCodeLength = 40;
		public const int MaxGiUomLength = 3;
		public const int MaxEndingOfRecordLength = 1;
		[StringLength(MaxRecordIdLength)]
		public virtual string RecordId { get; set; }
		[StringLength(MaxCompanyCodeLength)]
		public virtual string CompanyCode { get; set; }
		[StringLength(MaxPlantCodeLength)]
		public virtual string PlantCode { get; set; }
		[StringLength(MaxMaruCodeLength)]
		public virtual string MaruCode { get; set; }
		[StringLength(MaxReceivingStockLineLength)]
		public virtual string ReceivingStockLine { get; set; }
		[StringLength(MaxProductionDateLength)]
		public virtual string ProductionDate { get; set; }
		[StringLength(MaxPostingDateLength)]
		public virtual string PostingDate { get; set; }
		[StringLength(MaxPartCodeLength)]
		public virtual string PartCode { get; set; }
		public virtual int? Quantity { get; set; }
		public virtual int? SpoiledPartsQuantity { get; set; }
		public virtual int? SpoiledMaterialQuantity1 { get; set; }
		[StringLength(MaxMaterialCodeLength)]
		public virtual string MaterialCode { get; set; }
		public virtual int? FreeShotQuantity { get; set; }
		public virtual int? RecycledQuantity { get; set; }
		[StringLength(MaxCostCenterLength)]
		public virtual string CostCenter { get; set; }
		[StringLength(MaxNormalCancelFlagLength)]
		public virtual string NormalCancelFlag { get; set; }
		[StringLength(MaxGrgiNoLength)]
		public virtual string GrgiNo { get; set; }
		[StringLength(MaxGrgiTypeLength)]
		public virtual string GrgiType { get; set; }
		[StringLength(MaxMaterialDocTypeLength)]
		public virtual string MaterialDocType { get; set; }
		public virtual int? MaterialQuantity { get; set; }
		public virtual int? SpoiledMaterialQuantity2 { get; set; }
		[StringLength(MaxRelatedPartReceiveNoLength)]
		public virtual string RelatedPartReceiveNo { get; set; }
		[StringLength(MaxRelatedGrTypeLength)]
		public virtual string RelatedGrType { get; set; }
		[StringLength(MaxRelatedGrTransactionTypeLength)]
		public virtual string RelatedGrTransactionType { get; set; }
		public virtual int? InHousePartQuantityReceive { get; set; }
		[StringLength(MaxRelatedPartIssueNoLength)]
		public virtual string RelatedPartIssueNo { get; set; }
		[StringLength(MaxRelatedGiTypeLength)]
		public virtual string RelatedGiType { get; set; }
		[StringLength(MaxRelatedGiTransactionTypeLength)]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[StringLength(MaxProductionIdLength)]
		public virtual string ProductionId { get; set; }
		public virtual int? FinalPrice { get; set; }
		[StringLength(MaxWbsLength)]
		public virtual string Wbs { get; set; }
		[StringLength(MaxEarmarkedFundLength)]
		public virtual string EarmarkedFund { get; set; }
		[StringLength(MaxEarmarkedFundItemLength)]
		public virtual string EarmarkedFundItem { get; set; }
		[StringLength(MaxPsmsCodeLength)]
		public virtual string PsmsCode { get; set; }
		[StringLength(MaxGiUomLength)]
		public virtual string GiUom { get; set; }
		[StringLength(MaxEndingOfRecordLength)]
		public virtual string EndingOfRecord { get; set; }
	}
}
</v>
      </c>
      <c r="K7" t="str">
        <f>SUBSTITUTE(SUBSTITUTE(("public virtual DbSet&lt;"&amp;B3&amp;"&gt; "&amp;B3&amp;"s { get; set; }"),"WorkingPattern",$Q$3),"Master",$B$4)</f>
        <v>public virtual DbSet&lt;IF_FQF3MM02&gt; IF_FQF3MM02s { get; set; }</v>
      </c>
      <c r="L7" t="str">
        <f ca="1">SUBSTITUTE(SUBSTITUTE((C6&amp;E6&amp;I49&amp;"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IF_FQF3MM02Consts	
	{
		public const int MaxRecordIdLength = 7;
		public const int MaxCompanyCodeLength = 8;
		public const int MaxPlantCodeLength = 4;
		public const int MaxMaruCodeLength = 1;
		public const int MaxReceivingStockLineLength = 3;
		public const int MaxProductionDateLength = 8;
		public const int MaxPostingDateLength = 8;
		public const int MaxPartCodeLength = 14;
		public const int MaxMaterialCodeLength = 40;
		public const int MaxCostCenterLength = 10;
		public const int MaxNormalCancelFlagLength = 1;
		public const int MaxGrgiNoLength = 10;
		public const int MaxGrgiTypeLength = 2;
		public const int MaxMaterialDocTypeLength = 2;
		public const int MaxRelatedPartReceiveNoLength = 10;
		public const int MaxRelatedGrTypeLength = 2;
		public const int MaxRelatedGrTransactionTypeLength = 2;
		public const int MaxRelatedPartIssueNoLength = 10;
		public const int MaxRelatedGiTypeLength = 2;
		public const int MaxRelatedGiTransactionTypeLength = 2;
		public const int MaxProductionIdLength = 38;
		public const int MaxWbsLength = 24;
		public const int MaxEarmarkedFundLength = 10;
		public const int MaxEarmarkedFundItemLength = 3;
		public const int MaxPsmsCodeLength = 40;
		public const int MaxGiUomLength = 3;
		public const int MaxEndingOfRecordLength = 1;
		// Define Store Name: Format SP_ + &lt;Store Name&gt; = &lt;Store Name&gt;
	}
}
</v>
      </c>
      <c r="M7" t="str">
        <f ca="1">SUBSTITUTE(SUBSTITUTE((C1&amp;"namespace "&amp;B6&amp;".Dto"&amp;E3&amp;C3&amp;F6&amp;M49&amp;E3&amp;REPT(CHAR(9),1)&amp;D3&amp;G6&amp;N49&amp;REPT(CHAR(9),1)&amp;D3&amp;H6&amp;O49&amp;"
"&amp;REPT(CHAR(9),1)&amp;D3&amp;D3),"WorkingPattern",$Q$3),"Master",$B$4)</f>
        <v xml:space="preserve">using Abp.Application.Services.Dto;
using System;
using System.ComponentModel.DataAnnotations;
namespace prod.Inventory.IF.Dto
{
	public class IF_FQF3MM02Dto : EntityDto&lt;long?&gt;	
	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int? Quantity { get; set; }
		public virtual int? SpoiledPartsQuantity { get; set; }
		public virtual int? SpoiledMaterialQuantity1 { get; set; }
		public virtual string MaterialCode { get; set; }
		public virtual int? FreeShotQuantity { get; set; }
		public virtual int? RecycledQuantity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int? MaterialQuantity { get; set; }
		public virtual int? SpoiledMaterialQuantity2 { get; set; }
		public virtual string RelatedPartReceiveNo { get; set; }
		public virtual string RelatedGrType { get; set; }
		public virtual string RelatedGrTransactionType { get; set; }
		public virtual int? InHousePartQuantityReceive { get; set; }
		public virtual string RelatedPartIssueNo { get; set; }
		public virtual string RelatedGiType { get; set; }
		public virtual string RelatedGiTransactionType { get; set; }
		public virtual int? RelatedInHousePartQuantityIssued { get; set; }
		public virtual int? RelatedSpoiledPartQuantityIssued { get; set; }
		public virtual int? Wip { get; set; }
		public virtual string ProductionId { get; set; }
		public virtual int? FinalPrice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	public class CreateOrEditIF_FQF3MM02Dto : EntityDto&lt;long?&gt;	
	{
		[StringLength(IF_FQF3MM02Consts.MaxRecordIdLength)]
		public virtual string RecordId { get; set; }
		[StringLength(IF_FQF3MM02Consts.MaxCompanyCodeLength)]
		public virtual string CompanyCode { get; set; }
		[StringLength(IF_FQF3MM02Consts.MaxPlantCodeLength)]
		public virtual string PlantCode { get; set; }
		[StringLength(IF_FQF3MM02Consts.MaxMaruCodeLength)]
		public virtual string MaruCode { get; set; }
		[StringLength(IF_FQF3MM02Consts.MaxReceivingStockLineLength)]
		public virtual string ReceivingStockLine { get; set; }
		[StringLength(IF_FQF3MM02Consts.MaxProductionDateLength)]
		public virtual string ProductionDate { get; set; }
		[StringLength(IF_FQF3MM02Consts.MaxPostingDateLength)]
		public virtual string PostingDate { get; set; }
		[StringLength(IF_FQF3MM02Consts.MaxPartCodeLength)]
		public virtual string PartCode { get; set; }
		public virtual int? Quantity { get; set; }
		public virtual int? SpoiledPartsQuantity { get; set; }
		public virtual int? SpoiledMaterialQuantity1 { get; set; }
		[StringLength(IF_FQF3MM02Consts.MaxMaterialCodeLength)]
		public virtual string MaterialCode { get; set; }
		public virtual int? FreeShotQuantity { get; set; }
		public virtual int? RecycledQuantity { get; set; }
		[StringLength(IF_FQF3MM02Consts.MaxCostCenterLength)]
		public virtual string CostCenter { get; set; }
		[StringLength(IF_FQF3MM02Consts.MaxNormalCancelFlagLength)]
		public virtual string NormalCancelFlag { get; set; }
		[StringLength(IF_FQF3MM02Consts.MaxGrgiNoLength)]
		public virtual string GrgiNo { get; set; }
		[StringLength(IF_FQF3MM02Consts.MaxGrgiTypeLength)]
		public virtual string GrgiType { get; set; }
		[StringLength(IF_FQF3MM02Consts.MaxMaterialDocTypeLength)]
		public virtual string MaterialDocType { get; set; }
		public virtual int? MaterialQuantity { get; set; }
		public virtual int? SpoiledMaterialQuantity2 { get; set; }
		[StringLength(IF_FQF3MM02Consts.MaxRelatedPartReceiveNoLength)]
		public virtual string RelatedPartReceiveNo { get; set; }
		[StringLength(IF_FQF3MM02Consts.MaxRelatedGrTypeLength)]
		public virtual string RelatedGrType { get; set; }
		[StringLength(IF_FQF3MM02Consts.MaxRelatedGrTransactionTypeLength)]
		public virtual string RelatedGrTransactionType { get; set; }
		public virtual int? InHousePartQuantityReceive { get; set; }
		[StringLength(IF_FQF3MM02Consts.MaxRelatedPartIssueNoLength)]
		public virtual string RelatedPartIssueNo { get; set; }
		[StringLength(IF_FQF3MM02Consts.MaxRelatedGiTypeLength)]
		public virtual string RelatedGiType { get; set; }
		[StringLength(IF_FQF3MM02Consts.MaxRelatedGiTransactionTypeLength)]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[StringLength(IF_FQF3MM02Consts.MaxProductionIdLength)]
		public virtual string ProductionId { get; set; }
		public virtual int? FinalPrice { get; set; }
		[StringLength(IF_FQF3MM02Consts.MaxWbsLength)]
		public virtual string Wbs { get; set; }
		[StringLength(IF_FQF3MM02Consts.MaxEarmarkedFundLength)]
		public virtual string EarmarkedFund { get; set; }
		[StringLength(IF_FQF3MM02Consts.MaxEarmarkedFundItemLength)]
		public virtual string EarmarkedFundItem { get; set; }
		[StringLength(IF_FQF3MM02Consts.MaxPsmsCodeLength)]
		public virtual string PsmsCode { get; set; }
		[StringLength(IF_FQF3MM02Consts.MaxGiUomLength)]
		public virtual string GiUom { get; set; }
		[StringLength(IF_FQF3MM02Consts.MaxEndingOfRecordLength)]
		public virtual string EndingOfRecord { get; set; }
	}
	public class GetIF_FQF3MM02Input : PagedAndSortedResultRequestDto	
	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string MaterialCode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string RelatedPartReceiveNo { get; set; }
		public virtual string RelatedGrType { get; set; }
		public virtual string RelatedGrTransactionType { get; set; }
		public virtual string RelatedPartIssueNo { get; set; }
		public virtual string RelatedGiType { get; set; }
		public virtual string RelatedGiTransactionType { get; set; }
		public virtual string ProductionId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perIF_FQF3MM02 = PARENTS.CreateChildPermission(AppPermissions.Pages_Inventory_IF_FQF3MM02, L( "InventoryIFFQF3MM02"), multiTenancySides: MultiTenancySides.Tenant);
		perIF_FQF3MM02.CreateChildPermission(AppPermissions.Pages_Inventory_IF_FQF3MM02_CreateEdit, L( "InventoryIFFQF3MM02CreateEdit"), multiTenancySides: MultiTenancySides.Tenant);
		perIF_FQF3MM02.CreateChildPermission(AppPermissions.Pages_Inventory_IF_FQF3MM02_Delete, L( "InventoryIFFQF3MM02Delete"),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Pages_Inventory_IF_FQF3MM02 = "Pages.Inventory.IF.FQF3MM02";
		public const string Pages_Inventory_IF_FQF3MM02_CreateEdit = "Pages.Inventory.IF.FQF3MM02.CreateEdit";
		public const string Pages_Inventory_IF_FQF3MM02_Delete = "Pages.Inventory.IF.FQF3MM02.Delete";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IIF_FQF3MM02AppService : IApplicationService
	{
		Task&lt;PagedResultDto&lt;IF_FQF3MM02Dto&gt;&gt; GetAll(GetIF_FQF3MM02Input input);
		Task CreateOrEdit(CreateOrEditIF_FQF3MM02Dto input);
		Task Delete(EntityDto input);
	}
}
</v>
      </c>
      <c r="Q7" t="str">
        <f ca="1">SUBSTITUTE(SUBSTITUTE(SUBSTITUTE(SUBSTITUTE(SUBSTITUTE(SUBSTITUTE(E1,"MstWptCalendar",$B$3),"&lt;PROPERTIES&gt;",P49),"Calendar",$B$5),"WorkingPattern",$Q$3),"Master",$B$4),"&lt;PARAMS_SEARCH&gt;",$W$49)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[AbpAuthorize(AppPermissions.Pages_IF_IF_FQF3MM02)]
    public class IF_FQF3MM02AppService : vovinaAppServiceBase, IIF_FQF3MM02AppService
    {
        private readonly IDapperRepository&lt;IF_FQF3MM02, long&gt; _dapperRepo;
        private readonly IRepository&lt;IF_FQF3MM02, long&gt; _repo;
        private readonly IIF_FQF3MM02ExcelExporter _calendarListExcelExporter;
        public IF_FQF3MM02AppService(IRepository&lt;IF_FQF3MM02,long&gt; repo, 
                                         IDapperRepository&lt;IF_FQF3MM02,long&gt; dapperRepo,
                                        IIF_FQF3MM02ExcelExporter calendarListExcelExporter
            )
        {
            _repo = repo;
            _dapperRepo = dapperRepo;
            _calendarListExcelExporter = calendarListExcelExporter;
        }
        [AbpAuthorize(AppPermissions.Pages_IF_IF_FQF3MM02_CreateEdit)]
        public async Task CreateOrEdit(CreateOrEditIF_FQF3MM02Dto input)
        {
            if (input.Id == null) await Create(input);
            else await Update(input);
        }
        //CREATE
        private async Task Create(CreateOrEditIF_FQF3MM02Dto input)
        {          
            var mainObj = ObjectMapper.Map&lt;IF_FQF3MM02&gt;(input);
            await CurrentUnitOfWork.GetDbContext&lt;vovinaDbContext&gt;().AddAsync(mainObj);
        }
        // EDIT
        private async Task Update(CreateOrEditIF_FQF3MM02Dto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[AbpAuthorize(AppPermissions.Pages_IF_IF_FQF3MM02_Delete)]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Task&lt;PagedResultDto&lt;IF_FQF3MM02Dto&gt;&gt; GetAll(GetIF_FQF3MM02Input input)
        {
            var filtered = _repo.GetAll()
				.WhereIf(!string.IsNullOrWhiteSpace(input.RecordId), e =&gt; e.RecordId.Contains(input.RecordId))
				.WhereIf(!string.IsNullOrWhiteSpace(input.CompanyCode), e =&gt; e.CompanyCode.Contains(input.CompanyCode))
				.WhereIf(!string.IsNullOrWhiteSpace(input.PlantCode), e =&gt; e.PlantCode.Contains(input.PlantCode))
				.WhereIf(!string.IsNullOrWhiteSpace(input.MaruCode), e =&gt; e.MaruCode.Contains(input.MaruCode))
				.WhereIf(!string.IsNullOrWhiteSpace(input.ReceivingStockLine), e =&gt; e.ReceivingStockLine.Contains(input.ReceivingStockLine))
				.WhereIf(!string.IsNullOrWhiteSpace(input.ProductionDate), e =&gt; e.ProductionDate.Contains(input.ProductionDate))
				.WhereIf(!string.IsNullOrWhiteSpace(input.PostingDate), e =&gt; e.PostingDate.Contains(input.PostingDate))
				.WhereIf(!string.IsNullOrWhiteSpace(input.PartCode), e =&gt; e.PartCode.Contains(input.PartCode))
				.WhereIf(!string.IsNullOrWhiteSpace(input.MaterialCode), e =&gt; e.MaterialCode.Contains(input.MaterialCode))
				.WhereIf(!string.IsNullOrWhiteSpace(input.CostCenter), e =&gt; e.CostCenter.Contains(input.CostCenter))
				.WhereIf(!string.IsNullOrWhiteSpace(input.NormalCancelFlag), e =&gt; e.NormalCancelFlag.Contains(input.NormalCancelFlag))
				.WhereIf(!string.IsNullOrWhiteSpace(input.GrgiNo), e =&gt; e.GrgiNo.Contains(input.GrgiNo))
				.WhereIf(!string.IsNullOrWhiteSpace(input.GrgiType), e =&gt; e.GrgiType.Contains(input.GrgiType))
				.WhereIf(!string.IsNullOrWhiteSpace(input.MaterialDocType), e =&gt; e.MaterialDocType.Contains(input.MaterialDocType))
				.WhereIf(!string.IsNullOrWhiteSpace(input.RelatedPartReceiveNo), e =&gt; e.RelatedPartReceiveNo.Contains(input.RelatedPartReceiveNo))
				.WhereIf(!string.IsNullOrWhiteSpace(input.RelatedGrType), e =&gt; e.RelatedGrType.Contains(input.RelatedGrType))
				.WhereIf(!string.IsNullOrWhiteSpace(input.RelatedGrTransactionType), e =&gt; e.RelatedGrTransactionType.Contains(input.RelatedGrTransactionType))
				.WhereIf(!string.IsNullOrWhiteSpace(input.RelatedPartIssueNo), e =&gt; e.RelatedPartIssueNo.Contains(input.RelatedPartIssueNo))
				.WhereIf(!string.IsNullOrWhiteSpace(input.RelatedGiType), e =&gt; e.RelatedGiType.Contains(input.RelatedGiType))
				.WhereIf(!string.IsNullOrWhiteSpace(input.RelatedGiTransactionType), e =&gt; e.RelatedGiTransactionType.Contains(input.RelatedGiTransactionType))
				.WhereIf(!string.IsNullOrWhiteSpace(input.ProductionId), e =&gt; e.ProductionId.Contains(input.ProductionId))
				.WhereIf(!string.IsNullOrWhiteSpace(input.Wbs), e =&gt; e.Wbs.Contains(input.Wbs))
				.WhereIf(!string.IsNullOrWhiteSpace(input.EarmarkedFund), e =&gt; e.EarmarkedFund.Contains(input.EarmarkedFund))
				.WhereIf(!string.IsNullOrWhiteSpace(input.EarmarkedFundItem), e =&gt; e.EarmarkedFundItem.Contains(input.EarmarkedFundItem))
				.WhereIf(!string.IsNullOrWhiteSpace(input.PsmsCode), e =&gt; e.PsmsCode.Contains(input.PsmsCode))
				.WhereIf(!string.IsNullOrWhiteSpace(input.GiUom), e =&gt; e.GiUom.Contains(input.GiUom))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IF_FQF3MM02Dto
                        {
							Id = o.Id,
							RecordId = o.RecordId,
							CompanyCode = o.CompanyCode,
							PlantCode = o.PlantCode,
							MaruCode = o.MaruCode,
							ReceivingStockLine = o.ReceivingStockLine,
							ProductionDate = o.ProductionDate,
							PostingDate = o.PostingDate,
							PartCode = o.PartCode,
							Quantity = o.Quantity,
							SpoiledPartsQuantity = o.SpoiledPartsQuantity,
							SpoiledMaterialQuantity1 = o.SpoiledMaterialQuantity1,
							MaterialCode = o.MaterialCode,
							FreeShotQuantity = o.FreeShotQuantity,
							RecycledQuantity = o.RecycledQuantity,
							CostCenter = o.CostCenter,
							NormalCancelFlag = o.NormalCancelFlag,
							GrgiNo = o.GrgiNo,
							GrgiType = o.GrgiType,
							MaterialDocType = o.MaterialDocType,
							MaterialQuantity = o.MaterialQuantity,
							SpoiledMaterialQuantity2 = o.SpoiledMaterialQuantity2,
							RelatedPartReceiveNo = o.RelatedPartReceiveNo,
							RelatedGrType = o.RelatedGrType,
							RelatedGrTransactionType = o.RelatedGrTransactionType,
							InHousePartQuantityReceive = o.InHousePartQuantityReceive,
							RelatedPartIssueNo = o.RelatedPartIssueNo,
							RelatedGiType = o.RelatedGiType,
							RelatedGiTransactionType = o.RelatedGiTransactionType,
							RelatedInHousePartQuantityIssued = o.RelatedInHousePartQuantityIssued,
							RelatedSpoiledPartQuantityIssued = o.RelatedSpoiledPartQuantityIssued,
							Wip = o.Wip,
							ProductionId = o.ProductionId,
							FinalPrice = o.FinalPrice,
							Wbs = o.Wbs,
							EarmarkedFund = o.EarmarkedFund,
							EarmarkedFundItem = o.EarmarkedFundItem,
							PsmsCode = o.PsmsCode,
							GiUom = o.GiUom,
							EndingOfRecord = o.EndingOfRecord,
                        };
            var totalCount = await filtered.CountAsync();
			var paged = system.PageBy(input);
            return new PagedResultDto&lt;IF_FQF3MM02Dto&gt;(
                totalCount,
                 await paged.ToListAsync()
            );
        }
        public async Task&lt;FileDto&gt; GetFQF3MM02ToExcel(IF_FQF3MM02ExportInput input)
        {
            var query = from o in _repo.GetAll()
                        select new IF_FQF3MM02Dto
                        {
							Id = o.Id,
							RecordId = o.RecordId,
							CompanyCode = o.CompanyCode,
							PlantCode = o.PlantCode,
							MaruCode = o.MaruCode,
							ReceivingStockLine = o.ReceivingStockLine,
							ProductionDate = o.ProductionDate,
							PostingDate = o.PostingDate,
							PartCode = o.PartCode,
							Quantity = o.Quantity,
							SpoiledPartsQuantity = o.SpoiledPartsQuantity,
							SpoiledMaterialQuantity1 = o.SpoiledMaterialQuantity1,
							MaterialCode = o.MaterialCode,
							FreeShotQuantity = o.FreeShotQuantity,
							RecycledQuantity = o.RecycledQuantity,
							CostCenter = o.CostCenter,
							NormalCancelFlag = o.NormalCancelFlag,
							GrgiNo = o.GrgiNo,
							GrgiType = o.GrgiType,
							MaterialDocType = o.MaterialDocType,
							MaterialQuantity = o.MaterialQuantity,
							SpoiledMaterialQuantity2 = o.SpoiledMaterialQuantity2,
							RelatedPartReceiveNo = o.RelatedPartReceiveNo,
							RelatedGrType = o.RelatedGrType,
							RelatedGrTransactionType = o.RelatedGrTransactionType,
							InHousePartQuantityReceive = o.InHousePartQuantityReceive,
							RelatedPartIssueNo = o.RelatedPartIssueNo,
							RelatedGiType = o.RelatedGiType,
							RelatedGiTransactionType = o.RelatedGiTransactionType,
							RelatedInHousePartQuantityIssued = o.RelatedInHousePartQuantityIssued,
							RelatedSpoiledPartQuantityIssued = o.RelatedSpoiledPartQuantityIssued,
							Wip = o.Wip,
							ProductionId = o.ProductionId,
							FinalPrice = o.FinalPrice,
							Wbs = o.Wbs,
							EarmarkedFund = o.EarmarkedFund,
							EarmarkedFundItem = o.EarmarkedFundItem,
							PsmsCode = o.PsmsCode,
							GiUom = o.GiUom,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_dapperRepo.ExecuteAsync(IF_FQF3MM02Consts.SP_MST_WPT_CALENDAR_GENERATE);
       // }
    }
}</v>
      </c>
      <c r="R7" t="str">
        <f ca="1">SUBSTITUTE(SUBSTITUTE((C1&amp;"namespace "&amp;B6&amp;".Dto"&amp;E3&amp;C3&amp;R3&amp;M49&amp;E3&amp;REPT(CHAR(9),1)&amp;D3&amp;D3),"WorkingPattern",$Q$3),"Master",$B$4)</f>
        <v xml:space="preserve">using Abp.Application.Services.Dto;
using System;
using System.ComponentModel.DataAnnotations;
namespace prod.Inventory.IF.Dto
{
	public class IF_FQF3MM02ExportInput{
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int? Quantity { get; set; }
		public virtual int? SpoiledPartsQuantity { get; set; }
		public virtual int? SpoiledMaterialQuantity1 { get; set; }
		public virtual string MaterialCode { get; set; }
		public virtual int? FreeShotQuantity { get; set; }
		public virtual int? RecycledQuantity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int? MaterialQuantity { get; set; }
		public virtual int? SpoiledMaterialQuantity2 { get; set; }
		public virtual string RelatedPartReceiveNo { get; set; }
		public virtual string RelatedGrType { get; set; }
		public virtual string RelatedGrTransactionType { get; set; }
		public virtual int? InHousePartQuantityReceive { get; set; }
		public virtual string RelatedPartIssueNo { get; set; }
		public virtual string RelatedGiType { get; set; }
		public virtual string RelatedGiTransactionType { get; set; }
		public virtual int? RelatedInHousePartQuantityIssued { get; set; }
		public virtual int? RelatedSpoiledPartQuantityIssued { get; set; }
		public virtual int? Wip { get; set; }
		public virtual string ProductionId { get; set; }
		public virtual int? FinalPrice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IIF_FQF3MM02ExcelExporter : IApplicationService
	{
		FileDto ExportToFile(List&lt;IF_FQF3MM02Dto&gt; if_fqf3mm02);
	}
}
</v>
      </c>
      <c r="T7" s="26" t="str">
        <f ca="1">SUBSTITUTE(SUBSTITUTE(SUBSTITUTE(SUBSTITUTE(SUBSTITUTE(SUBSTITUTE(SUBSTITUTE(T1,"MstWptCalendar",$B$3),"&lt;PROPERTIES1&gt;",V49),"&lt;PROPERTIES&gt;",T49),"Calendar",$B$5),"calendar",LOWER(B5)),"WorkingPattern",$Q$3),"Master",$B$4)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IF_FQF3MM02ExcelExporter : NpoiExcelExporterBase, IIF_FQF3MM02ExcelExporter
    {
        public IF_FQF3MM02ExcelExporter(ITempFileCacheManager tempFileCacheManager) : base(tempFileCacheManager) { }
        public FileDto ExportToFile(List&lt;IF_FQF3MM02Dto&gt; fqf3mm02)
        {
            return CreateExcelPackage(
				"IFIFFQF3MM02.xlsx",
				excelPackage =&gt;
				 {
					var sheet = excelPackage.CreateSheet("FQF3MM02");
					AddHeader(
								sheet,
								("RecordId"),
								("CompanyCode"),
								("PlantCode"),
								("MaruCode"),
								("ReceivingStockLine"),
								("ProductionDate"),
								("PostingDate"),
								("PartCode"),
								("Quantity"),
								("SpoiledPartsQuantity"),
								("SpoiledMaterialQuantity1"),
								("MaterialCode"),
								("FreeShotQuantity"),
								("RecycledQuantity"),
								("CostCenter"),
								("NormalCancelFlag"),
								("GrgiNo"),
								("GrgiType"),
								("MaterialDocType"),
								("MaterialQuantity"),
								("SpoiledMaterialQuantity2"),
								("RelatedPartReceiveNo"),
								("RelatedGrType"),
								("RelatedGrTransactionType"),
								("InHousePartQuantityReceive"),
								("RelatedPartIssueNo"),
								("RelatedGiType"),
								("RelatedGiTransactionType"),
								("RelatedInHousePartQuantityIssued"),
								("RelatedSpoiledPartQuantityIssued"),
								("Wip"),
								("ProductionId"),
								("FinalPrice"),
								("Wbs"),
								("EarmarkedFund"),
								("EarmarkedFundItem"),
								("PsmsCode"),
								("GiUom"),
								("EndingOfRecord"),
							   );
					AddObjects(
						 sheet, 1, fqf3mm02,                                       
								_ =&gt; _.RecordId,
								_ =&gt; _.CompanyCode,
								_ =&gt; _.PlantCode,
								_ =&gt; _.MaruCode,
								_ =&gt; _.ReceivingStockLine,
								_ =&gt; _.ProductionDate,
								_ =&gt; _.PostingDate,
								_ =&gt; _.PartCode,
								_ =&gt; _.Quantity,
								_ =&gt; _.SpoiledPartsQuantity,
								_ =&gt; _.SpoiledMaterialQuantity1,
								_ =&gt; _.MaterialCode,
								_ =&gt; _.FreeShotQuantity,
								_ =&gt; _.RecycledQuantity,
								_ =&gt; _.CostCenter,
								_ =&gt; _.NormalCancelFlag,
								_ =&gt; _.GrgiNo,
								_ =&gt; _.GrgiType,
								_ =&gt; _.MaterialDocType,
								_ =&gt; _.MaterialQuantity,
								_ =&gt; _.SpoiledMaterialQuantity2,
								_ =&gt; _.RelatedPartReceiveNo,
								_ =&gt; _.RelatedGrType,
								_ =&gt; _.RelatedGrTransactionType,
								_ =&gt; _.InHousePartQuantityReceive,
								_ =&gt; _.RelatedPartIssueNo,
								_ =&gt; _.RelatedGiType,
								_ =&gt; _.RelatedGiTransactionType,
								_ =&gt; _.RelatedInHousePartQuantityIssued,
								_ =&gt; _.RelatedSpoiledPartQuantityIssued,
								_ =&gt; _.Wip,
								_ =&gt; _.ProductionId,
								_ =&gt; _.FinalPrice,
								_ =&gt; _.Wbs,
								_ =&gt; _.EarmarkedFund,
								_ =&gt; _.EarmarkedFundItem,
								_ =&gt; _.PsmsCode,
								_ =&gt; _.GiUom,
								_ =&gt; _.EndingOfRecord,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configuration.CreateMap&lt;IF_FQF3MM02Dto, IF_FQF3MM02&gt;();
  configuration.CreateMap&lt;IF_FQF3MM02, IF_FQF3MM02Dto&gt;();
  configuration.CreateMap&lt;CreateOrEditIF_FQF3MM02Dto, IF_FQF3MM02&gt;();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365</v>
      </c>
      <c r="B9" t="s">
        <v>396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7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MaxRecordIdLength = 7;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[StringLength(MaxRecordIdLength)]
		public virtual string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[StringLength(IF_FQF3MM02Consts.MaxRecordIdLength)]
		public virtual string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RecordId { get; set; }
</v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.WhereIf(!string.IsNullOrWhiteSpace(input.RecordId), e =&gt; e.RecordId.Contains(input.RecordId))</v>
      </c>
    </row>
    <row r="10" spans="1:23" customFormat="1" ht="18.75" customHeight="1" x14ac:dyDescent="0.25">
      <c r="A10" t="s">
        <v>366</v>
      </c>
      <c r="B10" t="s">
        <v>397</v>
      </c>
      <c r="C10" t="s">
        <v>1</v>
      </c>
      <c r="D10" t="str">
        <f t="shared" ref="D10:D11" si="13">SUBSTITUTE(PROPER(A10),"_","")</f>
        <v>CompanyCode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8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MaxCompanyCodeLength = 8;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[StringLength(MaxCompanyCodeLength)]
		public virtual string CompanyCode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CompanyCode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[StringLength(IF_FQF3MM02Consts.MaxCompanyCodeLength)]
		public virtual string CompanyCode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CompanyCode { get; set; }
</v>
      </c>
      <c r="P10" t="str">
        <f t="shared" ref="P10:P11" si="22">REPT(CHAR(9),7)&amp;D10&amp;" = o." &amp;D10 &amp;","</f>
        <v xml:space="preserve">							CompanyCode = o.CompanyCode,</v>
      </c>
      <c r="T10" s="63" t="str">
        <f t="shared" ref="T10:T11" si="23">REPT(CHAR(9),8)&amp;"("""&amp;D10&amp;"""),"</f>
        <v xml:space="preserve">								("CompanyCode"),</v>
      </c>
      <c r="V10" s="64" t="str">
        <f t="shared" ref="V10:V11" si="24">REPT(CHAR(9),8)&amp;"_ =&gt; _."&amp;D10&amp;","</f>
        <v xml:space="preserve">								_ =&gt; _.CompanyCode,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.WhereIf(!string.IsNullOrWhiteSpace(input.CompanyCode), e =&gt; e.CompanyCode.Contains(input.CompanyCode))</v>
      </c>
    </row>
    <row r="11" spans="1:23" customFormat="1" ht="18.75" customHeight="1" x14ac:dyDescent="0.25">
      <c r="A11" t="s">
        <v>367</v>
      </c>
      <c r="B11" t="s">
        <v>355</v>
      </c>
      <c r="C11" t="s">
        <v>1</v>
      </c>
      <c r="D11" t="str">
        <f t="shared" si="13"/>
        <v>PlantCode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MaxPlantCodeLength = 4;
</v>
      </c>
      <c r="J11" t="str">
        <f t="shared" si="17"/>
        <v xml:space="preserve">		[StringLength(MaxPlantCodeLength)]
		public virtual string PlantCode { get; set; }
</v>
      </c>
      <c r="K11" s="6"/>
      <c r="L11" t="str">
        <f t="shared" si="18"/>
        <v/>
      </c>
      <c r="M11" t="str">
        <f t="shared" si="19"/>
        <v xml:space="preserve">		public virtual string PlantCode { get; set; }
</v>
      </c>
      <c r="N11" t="str">
        <f t="shared" si="20"/>
        <v xml:space="preserve">		[StringLength(IF_FQF3MM02Consts.MaxPlantCodeLength)]
		public virtual string PlantCode { get; set; }
</v>
      </c>
      <c r="O11" t="str">
        <f t="shared" si="21"/>
        <v xml:space="preserve">		public virtual string PlantCode { get; set; }
</v>
      </c>
      <c r="P11" t="str">
        <f t="shared" si="22"/>
        <v xml:space="preserve">							PlantCode = o.PlantCode,</v>
      </c>
      <c r="T11" s="63" t="str">
        <f t="shared" si="23"/>
        <v xml:space="preserve">								("PlantCode"),</v>
      </c>
      <c r="V11" s="64" t="str">
        <f t="shared" si="24"/>
        <v xml:space="preserve">								_ =&gt; _.PlantCode,</v>
      </c>
      <c r="W11" s="63" t="str">
        <f t="shared" si="25"/>
        <v xml:space="preserve">				.WhereIf(!string.IsNullOrWhiteSpace(input.PlantCode), e =&gt; e.PlantCode.Contains(input.PlantCode))</v>
      </c>
    </row>
    <row r="12" spans="1:23" customFormat="1" ht="18.75" customHeight="1" x14ac:dyDescent="0.25">
      <c r="A12" t="s">
        <v>368</v>
      </c>
      <c r="B12" t="s">
        <v>356</v>
      </c>
      <c r="C12" t="s">
        <v>1</v>
      </c>
      <c r="D12" t="str">
        <f t="shared" ref="D12:D15" si="26">SUBSTITUTE(PROPER(A12),"_","")</f>
        <v>MaruCode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1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MaxMaruCodeLength = 1;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[StringLength(MaxMaruCodeLength)]
		public virtual string MaruCode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MaruCode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[StringLength(IF_FQF3MM02Consts.MaxMaruCodeLength)]
		public virtual string MaruCode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MaruCode { get; set; }
</v>
      </c>
      <c r="P12" t="str">
        <f t="shared" ref="P12:P15" si="35">REPT(CHAR(9),7)&amp;D12&amp;" = o." &amp;D12 &amp;","</f>
        <v xml:space="preserve">							MaruCode = o.MaruCode,</v>
      </c>
      <c r="T12" s="63" t="str">
        <f t="shared" ref="T12:T15" si="36">REPT(CHAR(9),8)&amp;"("""&amp;D12&amp;"""),"</f>
        <v xml:space="preserve">								("MaruCode"),</v>
      </c>
      <c r="V12" s="64" t="str">
        <f t="shared" ref="V12:V15" si="37">REPT(CHAR(9),8)&amp;"_ =&gt; _."&amp;D12&amp;","</f>
        <v xml:space="preserve">								_ =&gt; _.MaruCode,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.WhereIf(!string.IsNullOrWhiteSpace(input.MaruCode), e =&gt; e.MaruCode.Contains(input.MaruCode))</v>
      </c>
    </row>
    <row r="13" spans="1:23" customFormat="1" ht="18.75" customHeight="1" x14ac:dyDescent="0.25">
      <c r="A13" t="s">
        <v>369</v>
      </c>
      <c r="B13" t="s">
        <v>360</v>
      </c>
      <c r="C13" t="s">
        <v>1</v>
      </c>
      <c r="D13" t="str">
        <f t="shared" si="26"/>
        <v>ReceivingStockLine</v>
      </c>
      <c r="E13" t="str">
        <f t="shared" si="27"/>
        <v>VARCHAR</v>
      </c>
      <c r="F13" s="6"/>
      <c r="G13" t="str">
        <f t="shared" si="28"/>
        <v>3</v>
      </c>
      <c r="H13" t="str">
        <f>+VLOOKUP(E13,'Data Type Mapping'!A:B,2,)</f>
        <v>string</v>
      </c>
      <c r="I13" t="str">
        <f t="shared" si="29"/>
        <v xml:space="preserve">		public const int MaxReceivingStockLineLength = 3;
</v>
      </c>
      <c r="J13" t="str">
        <f t="shared" si="30"/>
        <v xml:space="preserve">		[StringLength(MaxReceivingStockLineLength)]
		public virtual string ReceivingStockLine { get; set; }
</v>
      </c>
      <c r="K13" s="6"/>
      <c r="L13" t="str">
        <f t="shared" si="31"/>
        <v/>
      </c>
      <c r="M13" t="str">
        <f t="shared" si="32"/>
        <v xml:space="preserve">		public virtual string ReceivingStockLine { get; set; }
</v>
      </c>
      <c r="N13" t="str">
        <f t="shared" si="33"/>
        <v xml:space="preserve">		[StringLength(IF_FQF3MM02Consts.MaxReceivingStockLineLength)]
		public virtual string ReceivingStockLine { get; set; }
</v>
      </c>
      <c r="O13" t="str">
        <f t="shared" si="34"/>
        <v xml:space="preserve">		public virtual string ReceivingStockLine { get; set; }
</v>
      </c>
      <c r="P13" t="str">
        <f t="shared" si="35"/>
        <v xml:space="preserve">							ReceivingStockLine = o.ReceivingStockLine,</v>
      </c>
      <c r="T13" s="63" t="str">
        <f t="shared" si="36"/>
        <v xml:space="preserve">								("ReceivingStockLine"),</v>
      </c>
      <c r="V13" s="64" t="str">
        <f t="shared" si="37"/>
        <v xml:space="preserve">								_ =&gt; _.ReceivingStockLine,</v>
      </c>
      <c r="W13" s="63" t="str">
        <f t="shared" si="38"/>
        <v xml:space="preserve">				.WhereIf(!string.IsNullOrWhiteSpace(input.ReceivingStockLine), e =&gt; e.ReceivingStockLine.Contains(input.ReceivingStockLine))</v>
      </c>
    </row>
    <row r="14" spans="1:23" customFormat="1" ht="18.75" customHeight="1" x14ac:dyDescent="0.25">
      <c r="A14" t="s">
        <v>370</v>
      </c>
      <c r="B14" t="s">
        <v>397</v>
      </c>
      <c r="C14" t="s">
        <v>1</v>
      </c>
      <c r="D14" t="str">
        <f t="shared" si="26"/>
        <v>ProductionDate</v>
      </c>
      <c r="E14" t="str">
        <f t="shared" si="27"/>
        <v>VARCHAR</v>
      </c>
      <c r="F14" s="6"/>
      <c r="G14" t="str">
        <f t="shared" si="28"/>
        <v>8</v>
      </c>
      <c r="H14" t="str">
        <f>+VLOOKUP(E14,'Data Type Mapping'!A:B,2,)</f>
        <v>string</v>
      </c>
      <c r="I14" t="str">
        <f t="shared" si="29"/>
        <v xml:space="preserve">		public const int MaxProductionDateLength = 8;
</v>
      </c>
      <c r="J14" t="str">
        <f t="shared" si="30"/>
        <v xml:space="preserve">		[StringLength(MaxProductionDateLength)]
		public virtual string ProductionDate { get; set; }
</v>
      </c>
      <c r="K14" s="6"/>
      <c r="L14" t="str">
        <f t="shared" si="31"/>
        <v/>
      </c>
      <c r="M14" t="str">
        <f t="shared" si="32"/>
        <v xml:space="preserve">		public virtual string ProductionDate { get; set; }
</v>
      </c>
      <c r="N14" t="str">
        <f t="shared" si="33"/>
        <v xml:space="preserve">		[StringLength(IF_FQF3MM02Consts.MaxProductionDateLength)]
		public virtual string ProductionDate { get; set; }
</v>
      </c>
      <c r="O14" t="str">
        <f t="shared" si="34"/>
        <v xml:space="preserve">		public virtual string ProductionDate { get; set; }
</v>
      </c>
      <c r="P14" t="str">
        <f t="shared" si="35"/>
        <v xml:space="preserve">							ProductionDate = o.ProductionDate,</v>
      </c>
      <c r="T14" s="63" t="str">
        <f t="shared" si="36"/>
        <v xml:space="preserve">								("ProductionDate"),</v>
      </c>
      <c r="V14" s="64" t="str">
        <f t="shared" si="37"/>
        <v xml:space="preserve">								_ =&gt; _.ProductionDate,</v>
      </c>
      <c r="W14" s="63" t="str">
        <f t="shared" si="38"/>
        <v xml:space="preserve">				.WhereIf(!string.IsNullOrWhiteSpace(input.ProductionDate), e =&gt; e.ProductionDate.Contains(input.ProductionDate))</v>
      </c>
    </row>
    <row r="15" spans="1:23" customFormat="1" ht="18.75" customHeight="1" x14ac:dyDescent="0.25">
      <c r="A15" t="s">
        <v>371</v>
      </c>
      <c r="B15" t="s">
        <v>397</v>
      </c>
      <c r="C15" t="s">
        <v>1</v>
      </c>
      <c r="D15" t="str">
        <f t="shared" si="26"/>
        <v>PostingDate</v>
      </c>
      <c r="E15" t="str">
        <f t="shared" si="27"/>
        <v>VARCHAR</v>
      </c>
      <c r="F15" s="6"/>
      <c r="G15" t="str">
        <f t="shared" si="28"/>
        <v>8</v>
      </c>
      <c r="H15" t="str">
        <f>+VLOOKUP(E15,'Data Type Mapping'!A:B,2,)</f>
        <v>string</v>
      </c>
      <c r="I15" t="str">
        <f t="shared" si="29"/>
        <v xml:space="preserve">		public const int MaxPostingDateLength = 8;
</v>
      </c>
      <c r="J15" t="str">
        <f t="shared" si="30"/>
        <v xml:space="preserve">		[StringLength(MaxPostingDateLength)]
		public virtual string PostingDate { get; set; }
</v>
      </c>
      <c r="K15" s="6"/>
      <c r="L15" t="str">
        <f t="shared" si="31"/>
        <v/>
      </c>
      <c r="M15" t="str">
        <f t="shared" si="32"/>
        <v xml:space="preserve">		public virtual string PostingDate { get; set; }
</v>
      </c>
      <c r="N15" t="str">
        <f t="shared" si="33"/>
        <v xml:space="preserve">		[StringLength(IF_FQF3MM02Consts.MaxPostingDateLength)]
		public virtual string PostingDate { get; set; }
</v>
      </c>
      <c r="O15" t="str">
        <f t="shared" si="34"/>
        <v xml:space="preserve">		public virtual string PostingDate { get; set; }
</v>
      </c>
      <c r="P15" t="str">
        <f t="shared" si="35"/>
        <v xml:space="preserve">							PostingDate = o.PostingDate,</v>
      </c>
      <c r="T15" s="63" t="str">
        <f t="shared" si="36"/>
        <v xml:space="preserve">								("PostingDate"),</v>
      </c>
      <c r="V15" s="64" t="str">
        <f t="shared" si="37"/>
        <v xml:space="preserve">								_ =&gt; _.PostingDate,</v>
      </c>
      <c r="W15" s="63" t="str">
        <f t="shared" si="38"/>
        <v xml:space="preserve">				.WhereIf(!string.IsNullOrWhiteSpace(input.PostingDate), e =&gt; e.PostingDate.Contains(input.PostingDate))</v>
      </c>
    </row>
    <row r="16" spans="1:23" customFormat="1" ht="18.75" customHeight="1" x14ac:dyDescent="0.25">
      <c r="A16" t="s">
        <v>372</v>
      </c>
      <c r="B16" t="s">
        <v>398</v>
      </c>
      <c r="C16" t="s">
        <v>1</v>
      </c>
      <c r="D16" t="str">
        <f t="shared" ref="D16:D23" si="39">SUBSTITUTE(PROPER(A16),"_","")</f>
        <v>PartCode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14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MaxPartCodeLength = 14;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[StringLength(MaxPartCodeLength)]
		public virtual string PartCode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PartCode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[StringLength(IF_FQF3MM02Consts.MaxPartCodeLength)]
		public virtual string PartCode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PartCode { get; set; }
</v>
      </c>
      <c r="P16" t="str">
        <f t="shared" ref="P16:P23" si="48">REPT(CHAR(9),7)&amp;D16&amp;" = o." &amp;D16 &amp;","</f>
        <v xml:space="preserve">							PartCode = o.PartCode,</v>
      </c>
      <c r="T16" s="63" t="str">
        <f t="shared" ref="T16:T23" si="49">REPT(CHAR(9),8)&amp;"("""&amp;D16&amp;"""),"</f>
        <v xml:space="preserve">								("PartCode"),</v>
      </c>
      <c r="V16" s="64" t="str">
        <f t="shared" ref="V16:V23" si="50">REPT(CHAR(9),8)&amp;"_ =&gt; _."&amp;D16&amp;","</f>
        <v xml:space="preserve">								_ =&gt; _.PartCode,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.WhereIf(!string.IsNullOrWhiteSpace(input.PartCode), e =&gt; e.PartCode.Contains(input.PartCode))</v>
      </c>
    </row>
    <row r="17" spans="1:23" customFormat="1" ht="18.75" customHeight="1" x14ac:dyDescent="0.25">
      <c r="A17" t="s">
        <v>357</v>
      </c>
      <c r="B17" t="s">
        <v>4</v>
      </c>
      <c r="C17" t="s">
        <v>1</v>
      </c>
      <c r="D17" t="str">
        <f t="shared" si="39"/>
        <v>Quantity</v>
      </c>
      <c r="E17" t="str">
        <f t="shared" si="40"/>
        <v>int</v>
      </c>
      <c r="F17" s="6"/>
      <c r="G17" t="str">
        <f t="shared" si="41"/>
        <v/>
      </c>
      <c r="H17" t="str">
        <f>+VLOOKUP(E17,'Data Type Mapping'!A:B,2,)</f>
        <v>int?</v>
      </c>
      <c r="I17" t="str">
        <f t="shared" si="42"/>
        <v/>
      </c>
      <c r="J17" t="str">
        <f t="shared" si="43"/>
        <v xml:space="preserve">		public virtual int? Quantity { get; set; }
</v>
      </c>
      <c r="K17" s="6"/>
      <c r="L17" t="str">
        <f t="shared" si="44"/>
        <v/>
      </c>
      <c r="M17" t="str">
        <f t="shared" si="45"/>
        <v xml:space="preserve">		public virtual int? Quantity { get; set; }
</v>
      </c>
      <c r="N17" t="str">
        <f t="shared" si="46"/>
        <v xml:space="preserve">		public virtual int? Quantity { get; set; }
</v>
      </c>
      <c r="O17" t="str">
        <f t="shared" si="47"/>
        <v/>
      </c>
      <c r="P17" t="str">
        <f t="shared" si="48"/>
        <v xml:space="preserve">							Quantity = o.Quantity,</v>
      </c>
      <c r="T17" s="63" t="str">
        <f t="shared" si="49"/>
        <v xml:space="preserve">								("Quantity"),</v>
      </c>
      <c r="V17" s="64" t="str">
        <f t="shared" si="50"/>
        <v xml:space="preserve">								_ =&gt; _.Quantity,</v>
      </c>
      <c r="W17" s="63" t="str">
        <f t="shared" si="51"/>
        <v/>
      </c>
    </row>
    <row r="18" spans="1:23" customFormat="1" ht="18.75" customHeight="1" x14ac:dyDescent="0.25">
      <c r="A18" t="s">
        <v>373</v>
      </c>
      <c r="B18" t="s">
        <v>4</v>
      </c>
      <c r="C18" t="s">
        <v>1</v>
      </c>
      <c r="D18" t="str">
        <f t="shared" si="39"/>
        <v>SpoiledPartsQuantity</v>
      </c>
      <c r="E18" t="str">
        <f t="shared" si="40"/>
        <v>int</v>
      </c>
      <c r="F18" s="6"/>
      <c r="G18" t="str">
        <f t="shared" si="41"/>
        <v/>
      </c>
      <c r="H18" t="str">
        <f>+VLOOKUP(E18,'Data Type Mapping'!A:B,2,)</f>
        <v>int?</v>
      </c>
      <c r="I18" t="str">
        <f t="shared" si="42"/>
        <v/>
      </c>
      <c r="J18" t="str">
        <f t="shared" si="43"/>
        <v xml:space="preserve">		public virtual int? SpoiledPartsQuantity { get; set; }
</v>
      </c>
      <c r="K18" s="6"/>
      <c r="L18" t="str">
        <f t="shared" si="44"/>
        <v/>
      </c>
      <c r="M18" t="str">
        <f t="shared" si="45"/>
        <v xml:space="preserve">		public virtual int? SpoiledPartsQuantity { get; set; }
</v>
      </c>
      <c r="N18" t="str">
        <f t="shared" si="46"/>
        <v xml:space="preserve">		public virtual int? SpoiledPartsQuantity { get; set; }
</v>
      </c>
      <c r="O18" t="str">
        <f t="shared" si="47"/>
        <v/>
      </c>
      <c r="P18" t="str">
        <f t="shared" si="48"/>
        <v xml:space="preserve">							SpoiledPartsQuantity = o.SpoiledPartsQuantity,</v>
      </c>
      <c r="T18" s="63" t="str">
        <f t="shared" si="49"/>
        <v xml:space="preserve">								("SpoiledPartsQuantity"),</v>
      </c>
      <c r="V18" s="64" t="str">
        <f t="shared" si="50"/>
        <v xml:space="preserve">								_ =&gt; _.SpoiledPartsQuantity,</v>
      </c>
      <c r="W18" s="63" t="str">
        <f t="shared" si="51"/>
        <v/>
      </c>
    </row>
    <row r="19" spans="1:23" customFormat="1" ht="18.75" customHeight="1" x14ac:dyDescent="0.25">
      <c r="A19" t="s">
        <v>411</v>
      </c>
      <c r="B19" t="s">
        <v>4</v>
      </c>
      <c r="C19" t="s">
        <v>1</v>
      </c>
      <c r="D19" t="str">
        <f t="shared" si="39"/>
        <v>SpoiledMaterialQuantity1</v>
      </c>
      <c r="E19" t="str">
        <f t="shared" si="40"/>
        <v>int</v>
      </c>
      <c r="F19" s="6"/>
      <c r="G19" t="str">
        <f t="shared" si="41"/>
        <v/>
      </c>
      <c r="H19" t="str">
        <f>+VLOOKUP(E19,'Data Type Mapping'!A:B,2,)</f>
        <v>int?</v>
      </c>
      <c r="I19" t="str">
        <f t="shared" si="42"/>
        <v/>
      </c>
      <c r="J19" t="str">
        <f t="shared" si="43"/>
        <v xml:space="preserve">		public virtual int? SpoiledMaterialQuantity1 { get; set; }
</v>
      </c>
      <c r="K19" s="6"/>
      <c r="L19" t="str">
        <f t="shared" si="44"/>
        <v/>
      </c>
      <c r="M19" t="str">
        <f t="shared" si="45"/>
        <v xml:space="preserve">		public virtual int? SpoiledMaterialQuantity1 { get; set; }
</v>
      </c>
      <c r="N19" t="str">
        <f t="shared" si="46"/>
        <v xml:space="preserve">		public virtual int? SpoiledMaterialQuantity1 { get; set; }
</v>
      </c>
      <c r="O19" t="str">
        <f t="shared" si="47"/>
        <v/>
      </c>
      <c r="P19" t="str">
        <f t="shared" si="48"/>
        <v xml:space="preserve">							SpoiledMaterialQuantity1 = o.SpoiledMaterialQuantity1,</v>
      </c>
      <c r="T19" s="63" t="str">
        <f t="shared" si="49"/>
        <v xml:space="preserve">								("SpoiledMaterialQuantity1"),</v>
      </c>
      <c r="V19" s="64" t="str">
        <f t="shared" si="50"/>
        <v xml:space="preserve">								_ =&gt; _.SpoiledMaterialQuantity1,</v>
      </c>
      <c r="W19" s="63" t="str">
        <f t="shared" si="51"/>
        <v/>
      </c>
    </row>
    <row r="20" spans="1:23" customFormat="1" ht="18.75" customHeight="1" x14ac:dyDescent="0.25">
      <c r="A20" t="s">
        <v>375</v>
      </c>
      <c r="B20" t="s">
        <v>361</v>
      </c>
      <c r="C20" t="s">
        <v>1</v>
      </c>
      <c r="D20" t="str">
        <f t="shared" si="39"/>
        <v>MaterialCode</v>
      </c>
      <c r="E20" t="str">
        <f t="shared" si="40"/>
        <v>VARCHAR</v>
      </c>
      <c r="F20" s="6"/>
      <c r="G20" t="str">
        <f t="shared" si="41"/>
        <v>40</v>
      </c>
      <c r="H20" t="str">
        <f>+VLOOKUP(E20,'Data Type Mapping'!A:B,2,)</f>
        <v>string</v>
      </c>
      <c r="I20" t="str">
        <f t="shared" si="42"/>
        <v xml:space="preserve">		public const int MaxMaterialCodeLength = 40;
</v>
      </c>
      <c r="J20" t="str">
        <f t="shared" si="43"/>
        <v xml:space="preserve">		[StringLength(MaxMaterialCodeLength)]
		public virtual string MaterialCode { get; set; }
</v>
      </c>
      <c r="K20" s="6"/>
      <c r="L20" t="str">
        <f t="shared" si="44"/>
        <v/>
      </c>
      <c r="M20" t="str">
        <f t="shared" si="45"/>
        <v xml:space="preserve">		public virtual string MaterialCode { get; set; }
</v>
      </c>
      <c r="N20" t="str">
        <f t="shared" si="46"/>
        <v xml:space="preserve">		[StringLength(IF_FQF3MM02Consts.MaxMaterialCodeLength)]
		public virtual string MaterialCode { get; set; }
</v>
      </c>
      <c r="O20" t="str">
        <f t="shared" si="47"/>
        <v xml:space="preserve">		public virtual string MaterialCode { get; set; }
</v>
      </c>
      <c r="P20" t="str">
        <f t="shared" si="48"/>
        <v xml:space="preserve">							MaterialCode = o.MaterialCode,</v>
      </c>
      <c r="T20" s="63" t="str">
        <f t="shared" si="49"/>
        <v xml:space="preserve">								("MaterialCode"),</v>
      </c>
      <c r="V20" s="64" t="str">
        <f t="shared" si="50"/>
        <v xml:space="preserve">								_ =&gt; _.MaterialCode,</v>
      </c>
      <c r="W20" s="63" t="str">
        <f t="shared" si="51"/>
        <v xml:space="preserve">				.WhereIf(!string.IsNullOrWhiteSpace(input.MaterialCode), e =&gt; e.MaterialCode.Contains(input.MaterialCode))</v>
      </c>
    </row>
    <row r="21" spans="1:23" customFormat="1" ht="18.75" customHeight="1" x14ac:dyDescent="0.25">
      <c r="A21" t="s">
        <v>376</v>
      </c>
      <c r="B21" t="s">
        <v>4</v>
      </c>
      <c r="C21" t="s">
        <v>1</v>
      </c>
      <c r="D21" t="str">
        <f t="shared" si="39"/>
        <v>FreeShotQuantity</v>
      </c>
      <c r="E21" t="str">
        <f t="shared" si="40"/>
        <v>int</v>
      </c>
      <c r="F21" s="6"/>
      <c r="G21" t="str">
        <f t="shared" si="41"/>
        <v/>
      </c>
      <c r="H21" t="str">
        <f>+VLOOKUP(E21,'Data Type Mapping'!A:B,2,)</f>
        <v>int?</v>
      </c>
      <c r="I21" t="str">
        <f t="shared" si="42"/>
        <v/>
      </c>
      <c r="J21" t="str">
        <f t="shared" si="43"/>
        <v xml:space="preserve">		public virtual int? FreeShotQuantity { get; set; }
</v>
      </c>
      <c r="K21" s="6"/>
      <c r="L21" t="str">
        <f t="shared" si="44"/>
        <v/>
      </c>
      <c r="M21" t="str">
        <f t="shared" si="45"/>
        <v xml:space="preserve">		public virtual int? FreeShotQuantity { get; set; }
</v>
      </c>
      <c r="N21" t="str">
        <f t="shared" si="46"/>
        <v xml:space="preserve">		public virtual int? FreeShotQuantity { get; set; }
</v>
      </c>
      <c r="O21" t="str">
        <f t="shared" si="47"/>
        <v/>
      </c>
      <c r="P21" t="str">
        <f t="shared" si="48"/>
        <v xml:space="preserve">							FreeShotQuantity = o.FreeShotQuantity,</v>
      </c>
      <c r="T21" s="63" t="str">
        <f t="shared" si="49"/>
        <v xml:space="preserve">								("FreeShotQuantity"),</v>
      </c>
      <c r="V21" s="64" t="str">
        <f t="shared" si="50"/>
        <v xml:space="preserve">								_ =&gt; _.FreeShotQuantity,</v>
      </c>
      <c r="W21" s="63" t="str">
        <f t="shared" si="51"/>
        <v/>
      </c>
    </row>
    <row r="22" spans="1:23" customFormat="1" ht="18.75" customHeight="1" x14ac:dyDescent="0.25">
      <c r="A22" t="s">
        <v>377</v>
      </c>
      <c r="B22" t="s">
        <v>4</v>
      </c>
      <c r="C22" t="s">
        <v>1</v>
      </c>
      <c r="D22" t="str">
        <f t="shared" si="39"/>
        <v>RecycledQuantity</v>
      </c>
      <c r="E22" t="str">
        <f t="shared" si="40"/>
        <v>int</v>
      </c>
      <c r="F22" s="6"/>
      <c r="G22" t="str">
        <f t="shared" si="41"/>
        <v/>
      </c>
      <c r="H22" t="str">
        <f>+VLOOKUP(E22,'Data Type Mapping'!A:B,2,)</f>
        <v>int?</v>
      </c>
      <c r="I22" t="str">
        <f t="shared" si="42"/>
        <v/>
      </c>
      <c r="J22" t="str">
        <f t="shared" si="43"/>
        <v xml:space="preserve">		public virtual int? RecycledQuantity { get; set; }
</v>
      </c>
      <c r="K22" s="6"/>
      <c r="L22" t="str">
        <f t="shared" si="44"/>
        <v/>
      </c>
      <c r="M22" t="str">
        <f t="shared" si="45"/>
        <v xml:space="preserve">		public virtual int? RecycledQuantity { get; set; }
</v>
      </c>
      <c r="N22" t="str">
        <f t="shared" si="46"/>
        <v xml:space="preserve">		public virtual int? RecycledQuantity { get; set; }
</v>
      </c>
      <c r="O22" t="str">
        <f t="shared" si="47"/>
        <v/>
      </c>
      <c r="P22" t="str">
        <f t="shared" si="48"/>
        <v xml:space="preserve">							RecycledQuantity = o.RecycledQuantity,</v>
      </c>
      <c r="T22" s="63" t="str">
        <f t="shared" si="49"/>
        <v xml:space="preserve">								("RecycledQuantity"),</v>
      </c>
      <c r="V22" s="64" t="str">
        <f t="shared" si="50"/>
        <v xml:space="preserve">								_ =&gt; _.RecycledQuantity,</v>
      </c>
      <c r="W22" s="63" t="str">
        <f t="shared" si="51"/>
        <v/>
      </c>
    </row>
    <row r="23" spans="1:23" customFormat="1" ht="18.75" customHeight="1" x14ac:dyDescent="0.25">
      <c r="A23" t="s">
        <v>359</v>
      </c>
      <c r="B23" t="s">
        <v>354</v>
      </c>
      <c r="C23" t="s">
        <v>1</v>
      </c>
      <c r="D23" t="str">
        <f t="shared" si="39"/>
        <v>CostCenter</v>
      </c>
      <c r="E23" t="str">
        <f t="shared" si="40"/>
        <v>VARCHAR</v>
      </c>
      <c r="F23" s="6"/>
      <c r="G23" t="str">
        <f t="shared" si="41"/>
        <v>10</v>
      </c>
      <c r="H23" t="str">
        <f>+VLOOKUP(E23,'Data Type Mapping'!A:B,2,)</f>
        <v>string</v>
      </c>
      <c r="I23" t="str">
        <f t="shared" si="42"/>
        <v xml:space="preserve">		public const int MaxCostCenterLength = 10;
</v>
      </c>
      <c r="J23" t="str">
        <f t="shared" si="43"/>
        <v xml:space="preserve">		[StringLength(MaxCostCenterLength)]
		public virtual string CostCenter { get; set; }
</v>
      </c>
      <c r="K23" s="6"/>
      <c r="L23" t="str">
        <f t="shared" si="44"/>
        <v/>
      </c>
      <c r="M23" t="str">
        <f t="shared" si="45"/>
        <v xml:space="preserve">		public virtual string CostCenter { get; set; }
</v>
      </c>
      <c r="N23" t="str">
        <f t="shared" si="46"/>
        <v xml:space="preserve">		[StringLength(IF_FQF3MM02Consts.MaxCostCenterLength)]
		public virtual string CostCenter { get; set; }
</v>
      </c>
      <c r="O23" t="str">
        <f t="shared" si="47"/>
        <v xml:space="preserve">		public virtual string CostCenter { get; set; }
</v>
      </c>
      <c r="P23" t="str">
        <f t="shared" si="48"/>
        <v xml:space="preserve">							CostCenter = o.CostCenter,</v>
      </c>
      <c r="T23" s="63" t="str">
        <f t="shared" si="49"/>
        <v xml:space="preserve">								("CostCenter"),</v>
      </c>
      <c r="V23" s="64" t="str">
        <f t="shared" si="50"/>
        <v xml:space="preserve">								_ =&gt; _.CostCenter,</v>
      </c>
      <c r="W23" s="63" t="str">
        <f t="shared" si="51"/>
        <v xml:space="preserve">				.WhereIf(!string.IsNullOrWhiteSpace(input.CostCenter), e =&gt; e.CostCenter.Contains(input.CostCenter))</v>
      </c>
    </row>
    <row r="24" spans="1:23" customFormat="1" ht="18.75" customHeight="1" x14ac:dyDescent="0.25">
      <c r="A24" t="s">
        <v>399</v>
      </c>
      <c r="B24" t="s">
        <v>356</v>
      </c>
      <c r="C24" t="s">
        <v>1</v>
      </c>
      <c r="D24" t="str">
        <f t="shared" ref="D24:D47" si="52">SUBSTITUTE(PROPER(A24),"_","")</f>
        <v>NormalCancelFlag</v>
      </c>
      <c r="E24" t="str">
        <f t="shared" ref="E24:E47" si="53">IFERROR(LEFT(B24, FIND("(",B24)-1),B24)</f>
        <v>VARCHAR</v>
      </c>
      <c r="F24" s="6"/>
      <c r="G24" t="str">
        <f t="shared" ref="G24:G47" si="54">IFERROR(MID(B24,FIND("(",B24) +1, FIND(")",B24) - FIND("(",B24) - 1),"")</f>
        <v>1</v>
      </c>
      <c r="H24" t="str">
        <f>+VLOOKUP(E24,'Data Type Mapping'!A:B,2,)</f>
        <v>string</v>
      </c>
      <c r="I24" t="str">
        <f t="shared" ref="I24:I47" si="55">IF(H24="string",REPT(CHAR(9),2)&amp;"public const int Max"&amp;D24&amp;"Length = "&amp;G24&amp;";"&amp;$E$3,"" )</f>
        <v xml:space="preserve">		public const int MaxNormalCancelFlagLength = 1;
</v>
      </c>
      <c r="J24" t="str">
        <f t="shared" ref="J24:J47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[StringLength(MaxNormalCancelFlagLength)]
		public virtual string NormalCancelFlag { get; set; }
</v>
      </c>
      <c r="K24" s="6"/>
      <c r="L24" t="str">
        <f t="shared" ref="L24:L47" si="57">IF(K24="","",REPT(CHAR(9),1)&amp;"[Index(nameof("&amp;IF(D24="","",""&amp;D24)&amp;")"&amp;", Name="&amp;"""IX_"&amp;$B$7&amp;"_"&amp;D24&amp;""")]")</f>
        <v/>
      </c>
      <c r="M24" t="str">
        <f t="shared" ref="M24:M47" si="58">REPT(CHAR(9),2)&amp;"public virtual "&amp;IF(OR(H24="DateTime",H24="TimeSpan"),H24&amp;"?",H24)&amp;IF(C24="?","? "," ")&amp;D24&amp;" { get; set; }" &amp; "
"</f>
        <v xml:space="preserve">		public virtual string NormalCancelFlag { get; set; }
</v>
      </c>
      <c r="N24" t="str">
        <f t="shared" ref="N24:N47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[StringLength(IF_FQF3MM02Consts.MaxNormalCancelFlagLength)]
		public virtual string NormalCancelFlag { get; set; }
</v>
      </c>
      <c r="O24" t="str">
        <f t="shared" ref="O24:O47" si="60">IF(OR(H24="string",H24="DateTime",H24="int"),REPT(CHAR(9),2)&amp;"public virtual "&amp;IF(OR(H24="DateTime",H24="TimeSpan"),H24&amp;"?",H24)&amp;IF(C24="?","? "," ")&amp;D24&amp;" { get; set; }"&amp;$E$3,"")</f>
        <v xml:space="preserve">		public virtual string NormalCancelFlag { get; set; }
</v>
      </c>
      <c r="P24" t="str">
        <f t="shared" ref="P24:P47" si="61">REPT(CHAR(9),7)&amp;D24&amp;" = o." &amp;D24 &amp;","</f>
        <v xml:space="preserve">							NormalCancelFlag = o.NormalCancelFlag,</v>
      </c>
      <c r="T24" s="63" t="str">
        <f t="shared" ref="T24:T47" si="62">REPT(CHAR(9),8)&amp;"("""&amp;D24&amp;"""),"</f>
        <v xml:space="preserve">								("NormalCancelFlag"),</v>
      </c>
      <c r="V24" s="64" t="str">
        <f t="shared" ref="V24:V47" si="63">REPT(CHAR(9),8)&amp;"_ =&gt; _."&amp;D24&amp;","</f>
        <v xml:space="preserve">								_ =&gt; _.NormalCancelFlag,</v>
      </c>
      <c r="W24" s="63" t="str">
        <f t="shared" ref="W24:W47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.WhereIf(!string.IsNullOrWhiteSpace(input.NormalCancelFlag), e =&gt; e.NormalCancelFlag.Contains(input.NormalCancelFlag))</v>
      </c>
    </row>
    <row r="25" spans="1:23" customFormat="1" ht="18.75" customHeight="1" x14ac:dyDescent="0.25">
      <c r="A25" t="s">
        <v>400</v>
      </c>
      <c r="B25" t="s">
        <v>354</v>
      </c>
      <c r="C25" t="s">
        <v>1</v>
      </c>
      <c r="D25" t="str">
        <f t="shared" si="52"/>
        <v>GrgiNo</v>
      </c>
      <c r="E25" t="str">
        <f t="shared" si="53"/>
        <v>VARCHAR</v>
      </c>
      <c r="F25" s="6"/>
      <c r="G25" t="str">
        <f t="shared" si="54"/>
        <v>10</v>
      </c>
      <c r="H25" t="str">
        <f>+VLOOKUP(E25,'Data Type Mapping'!A:B,2,)</f>
        <v>string</v>
      </c>
      <c r="I25" t="str">
        <f t="shared" si="55"/>
        <v xml:space="preserve">		public const int MaxGrgiNoLength = 10;
</v>
      </c>
      <c r="J25" t="str">
        <f t="shared" si="56"/>
        <v xml:space="preserve">		[StringLength(MaxGrgiNoLength)]
		public virtual string GrgiNo { get; set; }
</v>
      </c>
      <c r="K25" s="6"/>
      <c r="L25" t="str">
        <f t="shared" si="57"/>
        <v/>
      </c>
      <c r="M25" t="str">
        <f t="shared" si="58"/>
        <v xml:space="preserve">		public virtual string GrgiNo { get; set; }
</v>
      </c>
      <c r="N25" t="str">
        <f t="shared" si="59"/>
        <v xml:space="preserve">		[StringLength(IF_FQF3MM02Consts.MaxGrgiNoLength)]
		public virtual string GrgiNo { get; set; }
</v>
      </c>
      <c r="O25" t="str">
        <f t="shared" si="60"/>
        <v xml:space="preserve">		public virtual string GrgiNo { get; set; }
</v>
      </c>
      <c r="P25" t="str">
        <f t="shared" si="61"/>
        <v xml:space="preserve">							GrgiNo = o.GrgiNo,</v>
      </c>
      <c r="T25" s="63" t="str">
        <f t="shared" si="62"/>
        <v xml:space="preserve">								("GrgiNo"),</v>
      </c>
      <c r="V25" s="64" t="str">
        <f t="shared" si="63"/>
        <v xml:space="preserve">								_ =&gt; _.GrgiNo,</v>
      </c>
      <c r="W25" s="63" t="str">
        <f t="shared" si="64"/>
        <v xml:space="preserve">				.WhereIf(!string.IsNullOrWhiteSpace(input.GrgiNo), e =&gt; e.GrgiNo.Contains(input.GrgiNo))</v>
      </c>
    </row>
    <row r="26" spans="1:23" customFormat="1" ht="18.75" customHeight="1" x14ac:dyDescent="0.25">
      <c r="A26" t="s">
        <v>401</v>
      </c>
      <c r="B26" t="s">
        <v>402</v>
      </c>
      <c r="C26" t="s">
        <v>1</v>
      </c>
      <c r="D26" t="str">
        <f t="shared" si="52"/>
        <v>GrgiType</v>
      </c>
      <c r="E26" t="str">
        <f t="shared" si="53"/>
        <v>VARCHAR</v>
      </c>
      <c r="F26" s="6"/>
      <c r="G26" t="str">
        <f t="shared" si="54"/>
        <v>2</v>
      </c>
      <c r="H26" t="str">
        <f>+VLOOKUP(E26,'Data Type Mapping'!A:B,2,)</f>
        <v>string</v>
      </c>
      <c r="I26" t="str">
        <f t="shared" si="55"/>
        <v xml:space="preserve">		public const int MaxGrgiTypeLength = 2;
</v>
      </c>
      <c r="J26" t="str">
        <f t="shared" si="56"/>
        <v xml:space="preserve">		[StringLength(MaxGrgiTypeLength)]
		public virtual string GrgiType { get; set; }
</v>
      </c>
      <c r="K26" s="6"/>
      <c r="L26" t="str">
        <f t="shared" si="57"/>
        <v/>
      </c>
      <c r="M26" t="str">
        <f t="shared" si="58"/>
        <v xml:space="preserve">		public virtual string GrgiType { get; set; }
</v>
      </c>
      <c r="N26" t="str">
        <f t="shared" si="59"/>
        <v xml:space="preserve">		[StringLength(IF_FQF3MM02Consts.MaxGrgiTypeLength)]
		public virtual string GrgiType { get; set; }
</v>
      </c>
      <c r="O26" t="str">
        <f t="shared" si="60"/>
        <v xml:space="preserve">		public virtual string GrgiType { get; set; }
</v>
      </c>
      <c r="P26" t="str">
        <f t="shared" si="61"/>
        <v xml:space="preserve">							GrgiType = o.GrgiType,</v>
      </c>
      <c r="T26" s="63" t="str">
        <f t="shared" si="62"/>
        <v xml:space="preserve">								("GrgiType"),</v>
      </c>
      <c r="V26" s="64" t="str">
        <f t="shared" si="63"/>
        <v xml:space="preserve">								_ =&gt; _.GrgiType,</v>
      </c>
      <c r="W26" s="63" t="str">
        <f t="shared" si="64"/>
        <v xml:space="preserve">				.WhereIf(!string.IsNullOrWhiteSpace(input.GrgiType), e =&gt; e.GrgiType.Contains(input.GrgiType))</v>
      </c>
    </row>
    <row r="27" spans="1:23" customFormat="1" ht="18.75" customHeight="1" x14ac:dyDescent="0.25">
      <c r="A27" t="s">
        <v>378</v>
      </c>
      <c r="B27" t="s">
        <v>402</v>
      </c>
      <c r="C27" t="s">
        <v>1</v>
      </c>
      <c r="D27" t="str">
        <f t="shared" si="52"/>
        <v>MaterialDocType</v>
      </c>
      <c r="E27" t="str">
        <f t="shared" si="53"/>
        <v>VARCHAR</v>
      </c>
      <c r="F27" s="6"/>
      <c r="G27" t="str">
        <f t="shared" si="54"/>
        <v>2</v>
      </c>
      <c r="H27" t="str">
        <f>+VLOOKUP(E27,'Data Type Mapping'!A:B,2,)</f>
        <v>string</v>
      </c>
      <c r="I27" t="str">
        <f t="shared" si="55"/>
        <v xml:space="preserve">		public const int MaxMaterialDocTypeLength = 2;
</v>
      </c>
      <c r="J27" t="str">
        <f t="shared" si="56"/>
        <v xml:space="preserve">		[StringLength(MaxMaterialDocTypeLength)]
		public virtual string MaterialDocType { get; set; }
</v>
      </c>
      <c r="K27" s="6"/>
      <c r="L27" t="str">
        <f t="shared" si="57"/>
        <v/>
      </c>
      <c r="M27" t="str">
        <f t="shared" si="58"/>
        <v xml:space="preserve">		public virtual string MaterialDocType { get; set; }
</v>
      </c>
      <c r="N27" t="str">
        <f t="shared" si="59"/>
        <v xml:space="preserve">		[StringLength(IF_FQF3MM02Consts.MaxMaterialDocTypeLength)]
		public virtual string MaterialDocType { get; set; }
</v>
      </c>
      <c r="O27" t="str">
        <f t="shared" si="60"/>
        <v xml:space="preserve">		public virtual string MaterialDocType { get; set; }
</v>
      </c>
      <c r="P27" t="str">
        <f t="shared" si="61"/>
        <v xml:space="preserve">							MaterialDocType = o.MaterialDocType,</v>
      </c>
      <c r="T27" s="63" t="str">
        <f t="shared" si="62"/>
        <v xml:space="preserve">								("MaterialDocType"),</v>
      </c>
      <c r="V27" s="64" t="str">
        <f t="shared" si="63"/>
        <v xml:space="preserve">								_ =&gt; _.MaterialDocType,</v>
      </c>
      <c r="W27" s="63" t="str">
        <f t="shared" si="64"/>
        <v xml:space="preserve">				.WhereIf(!string.IsNullOrWhiteSpace(input.MaterialDocType), e =&gt; e.MaterialDocType.Contains(input.MaterialDocType))</v>
      </c>
    </row>
    <row r="28" spans="1:23" customFormat="1" ht="18.75" customHeight="1" x14ac:dyDescent="0.25">
      <c r="A28" t="s">
        <v>379</v>
      </c>
      <c r="B28" t="s">
        <v>4</v>
      </c>
      <c r="C28" t="s">
        <v>1</v>
      </c>
      <c r="D28" t="str">
        <f t="shared" si="52"/>
        <v>MaterialQuantity</v>
      </c>
      <c r="E28" t="str">
        <f t="shared" si="53"/>
        <v>int</v>
      </c>
      <c r="F28" s="6"/>
      <c r="G28" t="str">
        <f t="shared" si="54"/>
        <v/>
      </c>
      <c r="H28" t="str">
        <f>+VLOOKUP(E28,'Data Type Mapping'!A:B,2,)</f>
        <v>int?</v>
      </c>
      <c r="I28" t="str">
        <f t="shared" si="55"/>
        <v/>
      </c>
      <c r="J28" t="str">
        <f t="shared" si="56"/>
        <v xml:space="preserve">		public virtual int? MaterialQuantity { get; set; }
</v>
      </c>
      <c r="K28" s="6"/>
      <c r="L28" t="str">
        <f t="shared" si="57"/>
        <v/>
      </c>
      <c r="M28" t="str">
        <f t="shared" si="58"/>
        <v xml:space="preserve">		public virtual int? MaterialQuantity { get; set; }
</v>
      </c>
      <c r="N28" t="str">
        <f t="shared" si="59"/>
        <v xml:space="preserve">		public virtual int? MaterialQuantity { get; set; }
</v>
      </c>
      <c r="O28" t="str">
        <f t="shared" si="60"/>
        <v/>
      </c>
      <c r="P28" t="str">
        <f t="shared" si="61"/>
        <v xml:space="preserve">							MaterialQuantity = o.MaterialQuantity,</v>
      </c>
      <c r="T28" s="63" t="str">
        <f t="shared" si="62"/>
        <v xml:space="preserve">								("MaterialQuantity"),</v>
      </c>
      <c r="V28" s="64" t="str">
        <f t="shared" si="63"/>
        <v xml:space="preserve">								_ =&gt; _.MaterialQuantity,</v>
      </c>
      <c r="W28" s="63" t="str">
        <f t="shared" si="64"/>
        <v/>
      </c>
    </row>
    <row r="29" spans="1:23" customFormat="1" ht="18.75" customHeight="1" x14ac:dyDescent="0.25">
      <c r="A29" t="s">
        <v>410</v>
      </c>
      <c r="B29" t="s">
        <v>4</v>
      </c>
      <c r="C29" t="s">
        <v>1</v>
      </c>
      <c r="D29" t="str">
        <f t="shared" ref="D29" si="65">SUBSTITUTE(PROPER(A29),"_","")</f>
        <v>SpoiledMaterialQuantity2</v>
      </c>
      <c r="E29" t="str">
        <f t="shared" ref="E29" si="66">IFERROR(LEFT(B29, FIND("(",B29)-1),B29)</f>
        <v>int</v>
      </c>
      <c r="F29" s="6"/>
      <c r="G29" t="str">
        <f t="shared" ref="G29" si="67">IFERROR(MID(B29,FIND("(",B29) +1, FIND(")",B29) - FIND("(",B29) - 1),"")</f>
        <v/>
      </c>
      <c r="H29" t="str">
        <f>+VLOOKUP(E29,'Data Type Mapping'!A:B,2,)</f>
        <v>int?</v>
      </c>
      <c r="I29" t="str">
        <f t="shared" ref="I29" si="68">IF(H29="string",REPT(CHAR(9),2)&amp;"public const int Max"&amp;D29&amp;"Length = "&amp;G29&amp;";"&amp;$E$3,"" )</f>
        <v/>
      </c>
      <c r="J29" t="str">
        <f t="shared" ref="J29" si="69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public virtual int? SpoiledMaterialQuantity2 { get; set; }
</v>
      </c>
      <c r="K29" s="6"/>
      <c r="L29" t="str">
        <f t="shared" ref="L29" si="70">IF(K29="","",REPT(CHAR(9),1)&amp;"[Index(nameof("&amp;IF(D29="","",""&amp;D29)&amp;")"&amp;", Name="&amp;"""IX_"&amp;$B$7&amp;"_"&amp;D29&amp;""")]")</f>
        <v/>
      </c>
      <c r="M29" t="str">
        <f t="shared" ref="M29" si="71">REPT(CHAR(9),2)&amp;"public virtual "&amp;IF(OR(H29="DateTime",H29="TimeSpan"),H29&amp;"?",H29)&amp;IF(C29="?","? "," ")&amp;D29&amp;" { get; set; }" &amp; "
"</f>
        <v xml:space="preserve">		public virtual int? SpoiledMaterialQuantity2 { get; set; }
</v>
      </c>
      <c r="N29" t="str">
        <f t="shared" ref="N29" si="72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public virtual int? SpoiledMaterialQuantity2 { get; set; }
</v>
      </c>
      <c r="O29" t="str">
        <f t="shared" ref="O29" si="73">IF(OR(H29="string",H29="DateTime",H29="int"),REPT(CHAR(9),2)&amp;"public virtual "&amp;IF(OR(H29="DateTime",H29="TimeSpan"),H29&amp;"?",H29)&amp;IF(C29="?","? "," ")&amp;D29&amp;" { get; set; }"&amp;$E$3,"")</f>
        <v/>
      </c>
      <c r="P29" t="str">
        <f t="shared" ref="P29" si="74">REPT(CHAR(9),7)&amp;D29&amp;" = o." &amp;D29 &amp;","</f>
        <v xml:space="preserve">							SpoiledMaterialQuantity2 = o.SpoiledMaterialQuantity2,</v>
      </c>
      <c r="T29" s="63" t="str">
        <f t="shared" ref="T29" si="75">REPT(CHAR(9),8)&amp;"("""&amp;D29&amp;"""),"</f>
        <v xml:space="preserve">								("SpoiledMaterialQuantity2"),</v>
      </c>
      <c r="V29" s="64" t="str">
        <f t="shared" ref="V29" si="76">REPT(CHAR(9),8)&amp;"_ =&gt; _."&amp;D29&amp;","</f>
        <v xml:space="preserve">								_ =&gt; _.SpoiledMaterialQuantity2,</v>
      </c>
      <c r="W29" s="63" t="str">
        <f t="shared" ref="W29" si="77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/>
      </c>
    </row>
    <row r="30" spans="1:23" customFormat="1" ht="18.75" customHeight="1" x14ac:dyDescent="0.25">
      <c r="A30" t="s">
        <v>403</v>
      </c>
      <c r="B30" t="s">
        <v>354</v>
      </c>
      <c r="C30" t="s">
        <v>1</v>
      </c>
      <c r="D30" t="str">
        <f t="shared" si="52"/>
        <v>RelatedPartReceiveNo</v>
      </c>
      <c r="E30" t="str">
        <f t="shared" si="53"/>
        <v>VARCHAR</v>
      </c>
      <c r="F30" s="6"/>
      <c r="G30" t="str">
        <f t="shared" si="54"/>
        <v>10</v>
      </c>
      <c r="H30" t="str">
        <f>+VLOOKUP(E30,'Data Type Mapping'!A:B,2,)</f>
        <v>string</v>
      </c>
      <c r="I30" t="str">
        <f t="shared" si="55"/>
        <v xml:space="preserve">		public const int MaxRelatedPartReceiveNoLength = 10;
</v>
      </c>
      <c r="J30" t="str">
        <f t="shared" si="56"/>
        <v xml:space="preserve">		[StringLength(MaxRelatedPartReceiveNoLength)]
		public virtual string RelatedPartReceiveNo { get; set; }
</v>
      </c>
      <c r="K30" s="6"/>
      <c r="L30" t="str">
        <f t="shared" si="57"/>
        <v/>
      </c>
      <c r="M30" t="str">
        <f t="shared" si="58"/>
        <v xml:space="preserve">		public virtual string RelatedPartReceiveNo { get; set; }
</v>
      </c>
      <c r="N30" t="str">
        <f t="shared" si="59"/>
        <v xml:space="preserve">		[StringLength(IF_FQF3MM02Consts.MaxRelatedPartReceiveNoLength)]
		public virtual string RelatedPartReceiveNo { get; set; }
</v>
      </c>
      <c r="O30" t="str">
        <f t="shared" si="60"/>
        <v xml:space="preserve">		public virtual string RelatedPartReceiveNo { get; set; }
</v>
      </c>
      <c r="P30" t="str">
        <f t="shared" si="61"/>
        <v xml:space="preserve">							RelatedPartReceiveNo = o.RelatedPartReceiveNo,</v>
      </c>
      <c r="T30" s="63" t="str">
        <f t="shared" si="62"/>
        <v xml:space="preserve">								("RelatedPartReceiveNo"),</v>
      </c>
      <c r="V30" s="64" t="str">
        <f t="shared" si="63"/>
        <v xml:space="preserve">								_ =&gt; _.RelatedPartReceiveNo,</v>
      </c>
      <c r="W30" s="63" t="str">
        <f t="shared" si="64"/>
        <v xml:space="preserve">				.WhereIf(!string.IsNullOrWhiteSpace(input.RelatedPartReceiveNo), e =&gt; e.RelatedPartReceiveNo.Contains(input.RelatedPartReceiveNo))</v>
      </c>
    </row>
    <row r="31" spans="1:23" customFormat="1" ht="18.75" customHeight="1" x14ac:dyDescent="0.25">
      <c r="A31" t="s">
        <v>380</v>
      </c>
      <c r="B31" t="s">
        <v>402</v>
      </c>
      <c r="C31" t="s">
        <v>1</v>
      </c>
      <c r="D31" t="str">
        <f t="shared" ref="D31:D38" si="78">SUBSTITUTE(PROPER(A31),"_","")</f>
        <v>RelatedGrType</v>
      </c>
      <c r="E31" t="str">
        <f t="shared" ref="E31:E38" si="79">IFERROR(LEFT(B31, FIND("(",B31)-1),B31)</f>
        <v>VARCHAR</v>
      </c>
      <c r="F31" s="6"/>
      <c r="G31" t="str">
        <f t="shared" ref="G31:G38" si="80">IFERROR(MID(B31,FIND("(",B31) +1, FIND(")",B31) - FIND("(",B31) - 1),"")</f>
        <v>2</v>
      </c>
      <c r="H31" t="str">
        <f>+VLOOKUP(E31,'Data Type Mapping'!A:B,2,)</f>
        <v>string</v>
      </c>
      <c r="I31" t="str">
        <f t="shared" ref="I31:I38" si="81">IF(H31="string",REPT(CHAR(9),2)&amp;"public const int Max"&amp;D31&amp;"Length = "&amp;G31&amp;";"&amp;$E$3,"" )</f>
        <v xml:space="preserve">		public const int MaxRelatedGrTypeLength = 2;
</v>
      </c>
      <c r="J31" t="str">
        <f t="shared" ref="J31:J38" si="82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[StringLength(MaxRelatedGrTypeLength)]
		public virtual string RelatedGrType { get; set; }
</v>
      </c>
      <c r="K31" s="6"/>
      <c r="L31" t="str">
        <f t="shared" ref="L31:L38" si="83">IF(K31="","",REPT(CHAR(9),1)&amp;"[Index(nameof("&amp;IF(D31="","",""&amp;D31)&amp;")"&amp;", Name="&amp;"""IX_"&amp;$B$7&amp;"_"&amp;D31&amp;""")]")</f>
        <v/>
      </c>
      <c r="M31" t="str">
        <f t="shared" ref="M31:M38" si="84">REPT(CHAR(9),2)&amp;"public virtual "&amp;IF(OR(H31="DateTime",H31="TimeSpan"),H31&amp;"?",H31)&amp;IF(C31="?","? "," ")&amp;D31&amp;" { get; set; }" &amp; "
"</f>
        <v xml:space="preserve">		public virtual string RelatedGrType { get; set; }
</v>
      </c>
      <c r="N31" t="str">
        <f t="shared" ref="N31:N38" si="85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[StringLength(IF_FQF3MM02Consts.MaxRelatedGrTypeLength)]
		public virtual string RelatedGrType { get; set; }
</v>
      </c>
      <c r="O31" t="str">
        <f t="shared" ref="O31:O38" si="86">IF(OR(H31="string",H31="DateTime",H31="int"),REPT(CHAR(9),2)&amp;"public virtual "&amp;IF(OR(H31="DateTime",H31="TimeSpan"),H31&amp;"?",H31)&amp;IF(C31="?","? "," ")&amp;D31&amp;" { get; set; }"&amp;$E$3,"")</f>
        <v xml:space="preserve">		public virtual string RelatedGrType { get; set; }
</v>
      </c>
      <c r="P31" t="str">
        <f t="shared" ref="P31:P38" si="87">REPT(CHAR(9),7)&amp;D31&amp;" = o." &amp;D31 &amp;","</f>
        <v xml:space="preserve">							RelatedGrType = o.RelatedGrType,</v>
      </c>
      <c r="T31" s="63" t="str">
        <f t="shared" ref="T31:T38" si="88">REPT(CHAR(9),8)&amp;"("""&amp;D31&amp;"""),"</f>
        <v xml:space="preserve">								("RelatedGrType"),</v>
      </c>
      <c r="V31" s="64" t="str">
        <f t="shared" ref="V31:V38" si="89">REPT(CHAR(9),8)&amp;"_ =&gt; _."&amp;D31&amp;","</f>
        <v xml:space="preserve">								_ =&gt; _.RelatedGrType,</v>
      </c>
      <c r="W31" s="63" t="str">
        <f t="shared" ref="W31:W38" si="90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.WhereIf(!string.IsNullOrWhiteSpace(input.RelatedGrType), e =&gt; e.RelatedGrType.Contains(input.RelatedGrType))</v>
      </c>
    </row>
    <row r="32" spans="1:23" customFormat="1" ht="18.75" customHeight="1" x14ac:dyDescent="0.25">
      <c r="A32" t="s">
        <v>381</v>
      </c>
      <c r="B32" t="s">
        <v>402</v>
      </c>
      <c r="C32" t="s">
        <v>1</v>
      </c>
      <c r="D32" t="str">
        <f t="shared" si="78"/>
        <v>RelatedGrTransactionType</v>
      </c>
      <c r="E32" t="str">
        <f t="shared" si="79"/>
        <v>VARCHAR</v>
      </c>
      <c r="F32" s="6"/>
      <c r="G32" t="str">
        <f t="shared" si="80"/>
        <v>2</v>
      </c>
      <c r="H32" t="str">
        <f>+VLOOKUP(E32,'Data Type Mapping'!A:B,2,)</f>
        <v>string</v>
      </c>
      <c r="I32" t="str">
        <f t="shared" si="81"/>
        <v xml:space="preserve">		public const int MaxRelatedGrTransactionTypeLength = 2;
</v>
      </c>
      <c r="J32" t="str">
        <f t="shared" si="82"/>
        <v xml:space="preserve">		[StringLength(MaxRelatedGrTransactionTypeLength)]
		public virtual string RelatedGrTransactionType { get; set; }
</v>
      </c>
      <c r="K32" s="6"/>
      <c r="L32" t="str">
        <f t="shared" si="83"/>
        <v/>
      </c>
      <c r="M32" t="str">
        <f t="shared" si="84"/>
        <v xml:space="preserve">		public virtual string RelatedGrTransactionType { get; set; }
</v>
      </c>
      <c r="N32" t="str">
        <f t="shared" si="85"/>
        <v xml:space="preserve">		[StringLength(IF_FQF3MM02Consts.MaxRelatedGrTransactionTypeLength)]
		public virtual string RelatedGrTransactionType { get; set; }
</v>
      </c>
      <c r="O32" t="str">
        <f t="shared" si="86"/>
        <v xml:space="preserve">		public virtual string RelatedGrTransactionType { get; set; }
</v>
      </c>
      <c r="P32" t="str">
        <f t="shared" si="87"/>
        <v xml:space="preserve">							RelatedGrTransactionType = o.RelatedGrTransactionType,</v>
      </c>
      <c r="T32" s="63" t="str">
        <f t="shared" si="88"/>
        <v xml:space="preserve">								("RelatedGrTransactionType"),</v>
      </c>
      <c r="V32" s="64" t="str">
        <f t="shared" si="89"/>
        <v xml:space="preserve">								_ =&gt; _.RelatedGrTransactionType,</v>
      </c>
      <c r="W32" s="63" t="str">
        <f t="shared" si="90"/>
        <v xml:space="preserve">				.WhereIf(!string.IsNullOrWhiteSpace(input.RelatedGrTransactionType), e =&gt; e.RelatedGrTransactionType.Contains(input.RelatedGrTransactionType))</v>
      </c>
    </row>
    <row r="33" spans="1:23" customFormat="1" ht="18.75" customHeight="1" x14ac:dyDescent="0.25">
      <c r="A33" t="s">
        <v>408</v>
      </c>
      <c r="B33" t="s">
        <v>4</v>
      </c>
      <c r="C33" t="s">
        <v>1</v>
      </c>
      <c r="D33" t="str">
        <f t="shared" si="78"/>
        <v>InHousePartQuantityReceive</v>
      </c>
      <c r="E33" t="str">
        <f t="shared" si="79"/>
        <v>int</v>
      </c>
      <c r="F33" s="6"/>
      <c r="G33" t="str">
        <f t="shared" si="80"/>
        <v/>
      </c>
      <c r="H33" t="str">
        <f>+VLOOKUP(E33,'Data Type Mapping'!A:B,2,)</f>
        <v>int?</v>
      </c>
      <c r="I33" t="str">
        <f t="shared" si="81"/>
        <v/>
      </c>
      <c r="J33" t="str">
        <f t="shared" si="82"/>
        <v xml:space="preserve">		public virtual int? InHousePartQuantityReceive { get; set; }
</v>
      </c>
      <c r="K33" s="6"/>
      <c r="L33" t="str">
        <f t="shared" si="83"/>
        <v/>
      </c>
      <c r="M33" t="str">
        <f t="shared" si="84"/>
        <v xml:space="preserve">		public virtual int? InHousePartQuantityReceive { get; set; }
</v>
      </c>
      <c r="N33" t="str">
        <f t="shared" si="85"/>
        <v xml:space="preserve">		public virtual int? InHousePartQuantityReceive { get; set; }
</v>
      </c>
      <c r="O33" t="str">
        <f t="shared" si="86"/>
        <v/>
      </c>
      <c r="P33" t="str">
        <f t="shared" si="87"/>
        <v xml:space="preserve">							InHousePartQuantityReceive = o.InHousePartQuantityReceive,</v>
      </c>
      <c r="T33" s="63" t="str">
        <f t="shared" si="88"/>
        <v xml:space="preserve">								("InHousePartQuantityReceive"),</v>
      </c>
      <c r="V33" s="64" t="str">
        <f t="shared" si="89"/>
        <v xml:space="preserve">								_ =&gt; _.InHousePartQuantityReceive,</v>
      </c>
      <c r="W33" s="63" t="str">
        <f t="shared" si="90"/>
        <v/>
      </c>
    </row>
    <row r="34" spans="1:23" customFormat="1" ht="18.75" customHeight="1" x14ac:dyDescent="0.25">
      <c r="A34" t="s">
        <v>383</v>
      </c>
      <c r="B34" t="s">
        <v>354</v>
      </c>
      <c r="C34" t="s">
        <v>1</v>
      </c>
      <c r="D34" t="str">
        <f t="shared" si="78"/>
        <v>RelatedPartIssueNo</v>
      </c>
      <c r="E34" t="str">
        <f t="shared" si="79"/>
        <v>VARCHAR</v>
      </c>
      <c r="F34" s="6"/>
      <c r="G34" t="str">
        <f t="shared" si="80"/>
        <v>10</v>
      </c>
      <c r="H34" t="str">
        <f>+VLOOKUP(E34,'Data Type Mapping'!A:B,2,)</f>
        <v>string</v>
      </c>
      <c r="I34" t="str">
        <f t="shared" si="81"/>
        <v xml:space="preserve">		public const int MaxRelatedPartIssueNoLength = 10;
</v>
      </c>
      <c r="J34" t="str">
        <f t="shared" si="82"/>
        <v xml:space="preserve">		[StringLength(MaxRelatedPartIssueNoLength)]
		public virtual string RelatedPartIssueNo { get; set; }
</v>
      </c>
      <c r="K34" s="6"/>
      <c r="L34" t="str">
        <f t="shared" si="83"/>
        <v/>
      </c>
      <c r="M34" t="str">
        <f t="shared" si="84"/>
        <v xml:space="preserve">		public virtual string RelatedPartIssueNo { get; set; }
</v>
      </c>
      <c r="N34" t="str">
        <f t="shared" si="85"/>
        <v xml:space="preserve">		[StringLength(IF_FQF3MM02Consts.MaxRelatedPartIssueNoLength)]
		public virtual string RelatedPartIssueNo { get; set; }
</v>
      </c>
      <c r="O34" t="str">
        <f t="shared" si="86"/>
        <v xml:space="preserve">		public virtual string RelatedPartIssueNo { get; set; }
</v>
      </c>
      <c r="P34" t="str">
        <f t="shared" si="87"/>
        <v xml:space="preserve">							RelatedPartIssueNo = o.RelatedPartIssueNo,</v>
      </c>
      <c r="T34" s="63" t="str">
        <f t="shared" si="88"/>
        <v xml:space="preserve">								("RelatedPartIssueNo"),</v>
      </c>
      <c r="V34" s="64" t="str">
        <f t="shared" si="89"/>
        <v xml:space="preserve">								_ =&gt; _.RelatedPartIssueNo,</v>
      </c>
      <c r="W34" s="63" t="str">
        <f t="shared" si="90"/>
        <v xml:space="preserve">				.WhereIf(!string.IsNullOrWhiteSpace(input.RelatedPartIssueNo), e =&gt; e.RelatedPartIssueNo.Contains(input.RelatedPartIssueNo))</v>
      </c>
    </row>
    <row r="35" spans="1:23" customFormat="1" ht="18.75" customHeight="1" x14ac:dyDescent="0.25">
      <c r="A35" t="s">
        <v>384</v>
      </c>
      <c r="B35" t="s">
        <v>402</v>
      </c>
      <c r="C35" t="s">
        <v>1</v>
      </c>
      <c r="D35" t="str">
        <f t="shared" si="78"/>
        <v>RelatedGiType</v>
      </c>
      <c r="E35" t="str">
        <f t="shared" si="79"/>
        <v>VARCHAR</v>
      </c>
      <c r="F35" s="6"/>
      <c r="G35" t="str">
        <f t="shared" si="80"/>
        <v>2</v>
      </c>
      <c r="H35" t="str">
        <f>+VLOOKUP(E35,'Data Type Mapping'!A:B,2,)</f>
        <v>string</v>
      </c>
      <c r="I35" t="str">
        <f t="shared" si="81"/>
        <v xml:space="preserve">		public const int MaxRelatedGiTypeLength = 2;
</v>
      </c>
      <c r="J35" t="str">
        <f t="shared" si="82"/>
        <v xml:space="preserve">		[StringLength(MaxRelatedGiTypeLength)]
		public virtual string RelatedGiType { get; set; }
</v>
      </c>
      <c r="K35" s="6"/>
      <c r="L35" t="str">
        <f t="shared" si="83"/>
        <v/>
      </c>
      <c r="M35" t="str">
        <f t="shared" si="84"/>
        <v xml:space="preserve">		public virtual string RelatedGiType { get; set; }
</v>
      </c>
      <c r="N35" t="str">
        <f t="shared" si="85"/>
        <v xml:space="preserve">		[StringLength(IF_FQF3MM02Consts.MaxRelatedGiTypeLength)]
		public virtual string RelatedGiType { get; set; }
</v>
      </c>
      <c r="O35" t="str">
        <f t="shared" si="86"/>
        <v xml:space="preserve">		public virtual string RelatedGiType { get; set; }
</v>
      </c>
      <c r="P35" t="str">
        <f t="shared" si="87"/>
        <v xml:space="preserve">							RelatedGiType = o.RelatedGiType,</v>
      </c>
      <c r="T35" s="63" t="str">
        <f t="shared" si="88"/>
        <v xml:space="preserve">								("RelatedGiType"),</v>
      </c>
      <c r="V35" s="64" t="str">
        <f t="shared" si="89"/>
        <v xml:space="preserve">								_ =&gt; _.RelatedGiType,</v>
      </c>
      <c r="W35" s="63" t="str">
        <f t="shared" si="90"/>
        <v xml:space="preserve">				.WhereIf(!string.IsNullOrWhiteSpace(input.RelatedGiType), e =&gt; e.RelatedGiType.Contains(input.RelatedGiType))</v>
      </c>
    </row>
    <row r="36" spans="1:23" customFormat="1" ht="18.75" customHeight="1" x14ac:dyDescent="0.25">
      <c r="A36" t="s">
        <v>385</v>
      </c>
      <c r="B36" t="s">
        <v>402</v>
      </c>
      <c r="C36" t="s">
        <v>1</v>
      </c>
      <c r="D36" t="str">
        <f t="shared" si="78"/>
        <v>RelatedGiTransactionType</v>
      </c>
      <c r="E36" t="str">
        <f t="shared" si="79"/>
        <v>VARCHAR</v>
      </c>
      <c r="F36" s="6"/>
      <c r="G36" t="str">
        <f t="shared" si="80"/>
        <v>2</v>
      </c>
      <c r="H36" t="str">
        <f>+VLOOKUP(E36,'Data Type Mapping'!A:B,2,)</f>
        <v>string</v>
      </c>
      <c r="I36" t="str">
        <f t="shared" si="81"/>
        <v xml:space="preserve">		public const int MaxRelatedGiTransactionTypeLength = 2;
</v>
      </c>
      <c r="J36" t="str">
        <f t="shared" si="82"/>
        <v xml:space="preserve">		[StringLength(MaxRelatedGiTransactionTypeLength)]
		public virtual string RelatedGiTransactionType { get; set; }
</v>
      </c>
      <c r="K36" s="6"/>
      <c r="L36" t="str">
        <f t="shared" si="83"/>
        <v/>
      </c>
      <c r="M36" t="str">
        <f t="shared" si="84"/>
        <v xml:space="preserve">		public virtual string RelatedGiTransactionType { get; set; }
</v>
      </c>
      <c r="N36" t="str">
        <f t="shared" si="85"/>
        <v xml:space="preserve">		[StringLength(IF_FQF3MM02Consts.MaxRelatedGiTransactionTypeLength)]
		public virtual string RelatedGiTransactionType { get; set; }
</v>
      </c>
      <c r="O36" t="str">
        <f t="shared" si="86"/>
        <v xml:space="preserve">		public virtual string RelatedGiTransactionType { get; set; }
</v>
      </c>
      <c r="P36" t="str">
        <f t="shared" si="87"/>
        <v xml:space="preserve">							RelatedGiTransactionType = o.RelatedGiTransactionType,</v>
      </c>
      <c r="T36" s="63" t="str">
        <f t="shared" si="88"/>
        <v xml:space="preserve">								("RelatedGiTransactionType"),</v>
      </c>
      <c r="V36" s="64" t="str">
        <f t="shared" si="89"/>
        <v xml:space="preserve">								_ =&gt; _.RelatedGiTransactionType,</v>
      </c>
      <c r="W36" s="63" t="str">
        <f t="shared" si="90"/>
        <v xml:space="preserve">				.WhereIf(!string.IsNullOrWhiteSpace(input.RelatedGiTransactionType), e =&gt; e.RelatedGiTransactionType.Contains(input.RelatedGiTransactionType))</v>
      </c>
    </row>
    <row r="37" spans="1:23" customFormat="1" ht="18.75" customHeight="1" x14ac:dyDescent="0.25">
      <c r="A37" t="s">
        <v>409</v>
      </c>
      <c r="B37" t="s">
        <v>4</v>
      </c>
      <c r="C37" t="s">
        <v>1</v>
      </c>
      <c r="D37" t="str">
        <f t="shared" si="78"/>
        <v>RelatedInHousePartQuantityIssued</v>
      </c>
      <c r="E37" t="str">
        <f t="shared" si="79"/>
        <v>int</v>
      </c>
      <c r="F37" s="6"/>
      <c r="G37" t="str">
        <f t="shared" si="80"/>
        <v/>
      </c>
      <c r="H37" t="str">
        <f>+VLOOKUP(E37,'Data Type Mapping'!A:B,2,)</f>
        <v>int?</v>
      </c>
      <c r="I37" t="str">
        <f t="shared" si="81"/>
        <v/>
      </c>
      <c r="J37" t="str">
        <f t="shared" si="82"/>
        <v xml:space="preserve">		public virtual int? RelatedInHousePartQuantityIssued { get; set; }
</v>
      </c>
      <c r="K37" s="6"/>
      <c r="L37" t="str">
        <f t="shared" si="83"/>
        <v/>
      </c>
      <c r="M37" t="str">
        <f t="shared" si="84"/>
        <v xml:space="preserve">		public virtual int? RelatedInHousePartQuantityIssued { get; set; }
</v>
      </c>
      <c r="N37" t="str">
        <f t="shared" si="85"/>
        <v xml:space="preserve">		public virtual int? RelatedInHousePartQuantityIssued { get; set; }
</v>
      </c>
      <c r="O37" t="str">
        <f t="shared" si="86"/>
        <v/>
      </c>
      <c r="P37" t="str">
        <f t="shared" si="87"/>
        <v xml:space="preserve">							RelatedInHousePartQuantityIssued = o.RelatedInHousePartQuantityIssued,</v>
      </c>
      <c r="T37" s="63" t="str">
        <f t="shared" si="88"/>
        <v xml:space="preserve">								("RelatedInHousePartQuantityIssued"),</v>
      </c>
      <c r="V37" s="64" t="str">
        <f t="shared" si="89"/>
        <v xml:space="preserve">								_ =&gt; _.RelatedInHousePartQuantityIssued,</v>
      </c>
      <c r="W37" s="63" t="str">
        <f t="shared" si="90"/>
        <v/>
      </c>
    </row>
    <row r="38" spans="1:23" customFormat="1" ht="18.75" customHeight="1" x14ac:dyDescent="0.25">
      <c r="A38" t="s">
        <v>387</v>
      </c>
      <c r="B38" t="s">
        <v>4</v>
      </c>
      <c r="C38" t="s">
        <v>1</v>
      </c>
      <c r="D38" t="str">
        <f t="shared" si="78"/>
        <v>RelatedSpoiledPartQuantityIssued</v>
      </c>
      <c r="E38" t="str">
        <f t="shared" si="79"/>
        <v>int</v>
      </c>
      <c r="F38" s="6"/>
      <c r="G38" t="str">
        <f t="shared" si="80"/>
        <v/>
      </c>
      <c r="H38" t="str">
        <f>+VLOOKUP(E38,'Data Type Mapping'!A:B,2,)</f>
        <v>int?</v>
      </c>
      <c r="I38" t="str">
        <f t="shared" si="81"/>
        <v/>
      </c>
      <c r="J38" t="str">
        <f t="shared" si="82"/>
        <v xml:space="preserve">		public virtual int? RelatedSpoiledPartQuantityIssued { get; set; }
</v>
      </c>
      <c r="K38" s="6"/>
      <c r="L38" t="str">
        <f t="shared" si="83"/>
        <v/>
      </c>
      <c r="M38" t="str">
        <f t="shared" si="84"/>
        <v xml:space="preserve">		public virtual int? RelatedSpoiledPartQuantityIssued { get; set; }
</v>
      </c>
      <c r="N38" t="str">
        <f t="shared" si="85"/>
        <v xml:space="preserve">		public virtual int? RelatedSpoiledPartQuantityIssued { get; set; }
</v>
      </c>
      <c r="O38" t="str">
        <f t="shared" si="86"/>
        <v/>
      </c>
      <c r="P38" t="str">
        <f t="shared" si="87"/>
        <v xml:space="preserve">							RelatedSpoiledPartQuantityIssued = o.RelatedSpoiledPartQuantityIssued,</v>
      </c>
      <c r="T38" s="63" t="str">
        <f t="shared" si="88"/>
        <v xml:space="preserve">								("RelatedSpoiledPartQuantityIssued"),</v>
      </c>
      <c r="V38" s="64" t="str">
        <f t="shared" si="89"/>
        <v xml:space="preserve">								_ =&gt; _.RelatedSpoiledPartQuantityIssued,</v>
      </c>
      <c r="W38" s="63" t="str">
        <f t="shared" si="90"/>
        <v/>
      </c>
    </row>
    <row r="39" spans="1:23" customFormat="1" ht="18.75" customHeight="1" x14ac:dyDescent="0.25">
      <c r="A39" t="s">
        <v>388</v>
      </c>
      <c r="B39" t="s">
        <v>4</v>
      </c>
      <c r="C39" t="s">
        <v>1</v>
      </c>
      <c r="D39" t="str">
        <f t="shared" si="52"/>
        <v>Wip</v>
      </c>
      <c r="E39" t="str">
        <f t="shared" si="53"/>
        <v>int</v>
      </c>
      <c r="F39" s="6"/>
      <c r="G39" t="str">
        <f t="shared" si="54"/>
        <v/>
      </c>
      <c r="H39" t="str">
        <f>+VLOOKUP(E39,'Data Type Mapping'!A:B,2,)</f>
        <v>int?</v>
      </c>
      <c r="I39" t="str">
        <f t="shared" si="55"/>
        <v/>
      </c>
      <c r="J39" t="str">
        <f t="shared" si="56"/>
        <v xml:space="preserve">		public virtual int? Wip { get; set; }
</v>
      </c>
      <c r="K39" s="6"/>
      <c r="L39" t="str">
        <f t="shared" si="57"/>
        <v/>
      </c>
      <c r="M39" t="str">
        <f t="shared" si="58"/>
        <v xml:space="preserve">		public virtual int? Wip { get; set; }
</v>
      </c>
      <c r="N39" t="str">
        <f t="shared" si="59"/>
        <v xml:space="preserve">		public virtual int? Wip { get; set; }
</v>
      </c>
      <c r="O39" t="str">
        <f t="shared" si="60"/>
        <v/>
      </c>
      <c r="P39" t="str">
        <f t="shared" si="61"/>
        <v xml:space="preserve">							Wip = o.Wip,</v>
      </c>
      <c r="T39" s="63" t="str">
        <f t="shared" si="62"/>
        <v xml:space="preserve">								("Wip"),</v>
      </c>
      <c r="V39" s="64" t="str">
        <f t="shared" si="63"/>
        <v xml:space="preserve">								_ =&gt; _.Wip,</v>
      </c>
      <c r="W39" s="63" t="str">
        <f t="shared" si="64"/>
        <v/>
      </c>
    </row>
    <row r="40" spans="1:23" customFormat="1" ht="18.75" customHeight="1" x14ac:dyDescent="0.25">
      <c r="A40" t="s">
        <v>389</v>
      </c>
      <c r="B40" t="s">
        <v>404</v>
      </c>
      <c r="C40" t="s">
        <v>1</v>
      </c>
      <c r="D40" t="str">
        <f t="shared" si="52"/>
        <v>ProductionId</v>
      </c>
      <c r="E40" t="str">
        <f t="shared" si="53"/>
        <v>VARCHAR</v>
      </c>
      <c r="F40" s="6"/>
      <c r="G40" t="str">
        <f t="shared" si="54"/>
        <v>38</v>
      </c>
      <c r="H40" t="str">
        <f>+VLOOKUP(E40,'Data Type Mapping'!A:B,2,)</f>
        <v>string</v>
      </c>
      <c r="I40" t="str">
        <f t="shared" si="55"/>
        <v xml:space="preserve">		public const int MaxProductionIdLength = 38;
</v>
      </c>
      <c r="J40" t="str">
        <f t="shared" si="56"/>
        <v xml:space="preserve">		[StringLength(MaxProductionIdLength)]
		public virtual string ProductionId { get; set; }
</v>
      </c>
      <c r="K40" s="6"/>
      <c r="L40" t="str">
        <f t="shared" si="57"/>
        <v/>
      </c>
      <c r="M40" t="str">
        <f t="shared" si="58"/>
        <v xml:space="preserve">		public virtual string ProductionId { get; set; }
</v>
      </c>
      <c r="N40" t="str">
        <f t="shared" si="59"/>
        <v xml:space="preserve">		[StringLength(IF_FQF3MM02Consts.MaxProductionIdLength)]
		public virtual string ProductionId { get; set; }
</v>
      </c>
      <c r="O40" t="str">
        <f t="shared" si="60"/>
        <v xml:space="preserve">		public virtual string ProductionId { get; set; }
</v>
      </c>
      <c r="P40" t="str">
        <f t="shared" si="61"/>
        <v xml:space="preserve">							ProductionId = o.ProductionId,</v>
      </c>
      <c r="T40" s="63" t="str">
        <f t="shared" si="62"/>
        <v xml:space="preserve">								("ProductionId"),</v>
      </c>
      <c r="V40" s="64" t="str">
        <f t="shared" si="63"/>
        <v xml:space="preserve">								_ =&gt; _.ProductionId,</v>
      </c>
      <c r="W40" s="63" t="str">
        <f t="shared" si="64"/>
        <v xml:space="preserve">				.WhereIf(!string.IsNullOrWhiteSpace(input.ProductionId), e =&gt; e.ProductionId.Contains(input.ProductionId))</v>
      </c>
    </row>
    <row r="41" spans="1:23" customFormat="1" ht="18.75" customHeight="1" x14ac:dyDescent="0.25">
      <c r="A41" t="s">
        <v>390</v>
      </c>
      <c r="B41" t="s">
        <v>4</v>
      </c>
      <c r="C41" t="s">
        <v>1</v>
      </c>
      <c r="D41" t="str">
        <f t="shared" si="52"/>
        <v>FinalPrice</v>
      </c>
      <c r="E41" t="str">
        <f t="shared" si="53"/>
        <v>int</v>
      </c>
      <c r="F41" s="6"/>
      <c r="G41" t="str">
        <f t="shared" si="54"/>
        <v/>
      </c>
      <c r="H41" t="str">
        <f>+VLOOKUP(E41,'Data Type Mapping'!A:B,2,)</f>
        <v>int?</v>
      </c>
      <c r="I41" t="str">
        <f t="shared" si="55"/>
        <v/>
      </c>
      <c r="J41" t="str">
        <f t="shared" si="56"/>
        <v xml:space="preserve">		public virtual int? FinalPrice { get; set; }
</v>
      </c>
      <c r="K41" s="6"/>
      <c r="L41" t="str">
        <f t="shared" si="57"/>
        <v/>
      </c>
      <c r="M41" t="str">
        <f t="shared" si="58"/>
        <v xml:space="preserve">		public virtual int? FinalPrice { get; set; }
</v>
      </c>
      <c r="N41" t="str">
        <f t="shared" si="59"/>
        <v xml:space="preserve">		public virtual int? FinalPrice { get; set; }
</v>
      </c>
      <c r="O41" t="str">
        <f t="shared" si="60"/>
        <v/>
      </c>
      <c r="P41" t="str">
        <f t="shared" si="61"/>
        <v xml:space="preserve">							FinalPrice = o.FinalPrice,</v>
      </c>
      <c r="T41" s="63" t="str">
        <f t="shared" si="62"/>
        <v xml:space="preserve">								("FinalPrice"),</v>
      </c>
      <c r="V41" s="64" t="str">
        <f t="shared" si="63"/>
        <v xml:space="preserve">								_ =&gt; _.FinalPrice,</v>
      </c>
      <c r="W41" s="63" t="str">
        <f t="shared" si="64"/>
        <v/>
      </c>
    </row>
    <row r="42" spans="1:23" customFormat="1" ht="18.75" customHeight="1" x14ac:dyDescent="0.25">
      <c r="A42" t="s">
        <v>358</v>
      </c>
      <c r="B42" t="s">
        <v>362</v>
      </c>
      <c r="C42" t="s">
        <v>1</v>
      </c>
      <c r="D42" t="str">
        <f t="shared" si="52"/>
        <v>Wbs</v>
      </c>
      <c r="E42" t="str">
        <f t="shared" si="53"/>
        <v>VARCHAR</v>
      </c>
      <c r="F42" s="6"/>
      <c r="G42" t="str">
        <f t="shared" si="54"/>
        <v>24</v>
      </c>
      <c r="H42" t="str">
        <f>+VLOOKUP(E42,'Data Type Mapping'!A:B,2,)</f>
        <v>string</v>
      </c>
      <c r="I42" t="str">
        <f t="shared" si="55"/>
        <v xml:space="preserve">		public const int MaxWbsLength = 24;
</v>
      </c>
      <c r="J42" t="str">
        <f t="shared" si="56"/>
        <v xml:space="preserve">		[StringLength(MaxWbsLength)]
		public virtual string Wbs { get; set; }
</v>
      </c>
      <c r="K42" s="6"/>
      <c r="L42" t="str">
        <f t="shared" si="57"/>
        <v/>
      </c>
      <c r="M42" t="str">
        <f t="shared" si="58"/>
        <v xml:space="preserve">		public virtual string Wbs { get; set; }
</v>
      </c>
      <c r="N42" t="str">
        <f t="shared" si="59"/>
        <v xml:space="preserve">		[StringLength(IF_FQF3MM02Consts.MaxWbsLength)]
		public virtual string Wbs { get; set; }
</v>
      </c>
      <c r="O42" t="str">
        <f t="shared" si="60"/>
        <v xml:space="preserve">		public virtual string Wbs { get; set; }
</v>
      </c>
      <c r="P42" t="str">
        <f t="shared" si="61"/>
        <v xml:space="preserve">							Wbs = o.Wbs,</v>
      </c>
      <c r="T42" s="63" t="str">
        <f t="shared" si="62"/>
        <v xml:space="preserve">								("Wbs"),</v>
      </c>
      <c r="V42" s="64" t="str">
        <f t="shared" si="63"/>
        <v xml:space="preserve">								_ =&gt; _.Wbs,</v>
      </c>
      <c r="W42" s="63" t="str">
        <f t="shared" si="64"/>
        <v xml:space="preserve">				.WhereIf(!string.IsNullOrWhiteSpace(input.Wbs), e =&gt; e.Wbs.Contains(input.Wbs))</v>
      </c>
    </row>
    <row r="43" spans="1:23" customFormat="1" ht="18.75" customHeight="1" x14ac:dyDescent="0.25">
      <c r="A43" t="s">
        <v>391</v>
      </c>
      <c r="B43" t="s">
        <v>354</v>
      </c>
      <c r="C43" t="s">
        <v>1</v>
      </c>
      <c r="D43" t="str">
        <f t="shared" si="52"/>
        <v>EarmarkedFund</v>
      </c>
      <c r="E43" t="str">
        <f t="shared" si="53"/>
        <v>VARCHAR</v>
      </c>
      <c r="F43" s="6"/>
      <c r="G43" t="str">
        <f t="shared" si="54"/>
        <v>10</v>
      </c>
      <c r="H43" t="str">
        <f>+VLOOKUP(E43,'Data Type Mapping'!A:B,2,)</f>
        <v>string</v>
      </c>
      <c r="I43" t="str">
        <f t="shared" si="55"/>
        <v xml:space="preserve">		public const int MaxEarmarkedFundLength = 10;
</v>
      </c>
      <c r="J43" t="str">
        <f t="shared" si="56"/>
        <v xml:space="preserve">		[StringLength(MaxEarmarkedFundLength)]
		public virtual string EarmarkedFund { get; set; }
</v>
      </c>
      <c r="K43" s="6"/>
      <c r="L43" t="str">
        <f t="shared" si="57"/>
        <v/>
      </c>
      <c r="M43" t="str">
        <f t="shared" si="58"/>
        <v xml:space="preserve">		public virtual string EarmarkedFund { get; set; }
</v>
      </c>
      <c r="N43" t="str">
        <f t="shared" si="59"/>
        <v xml:space="preserve">		[StringLength(IF_FQF3MM02Consts.MaxEarmarkedFundLength)]
		public virtual string EarmarkedFund { get; set; }
</v>
      </c>
      <c r="O43" t="str">
        <f t="shared" si="60"/>
        <v xml:space="preserve">		public virtual string EarmarkedFund { get; set; }
</v>
      </c>
      <c r="P43" t="str">
        <f t="shared" si="61"/>
        <v xml:space="preserve">							EarmarkedFund = o.EarmarkedFund,</v>
      </c>
      <c r="T43" s="63" t="str">
        <f t="shared" si="62"/>
        <v xml:space="preserve">								("EarmarkedFund"),</v>
      </c>
      <c r="V43" s="64" t="str">
        <f t="shared" si="63"/>
        <v xml:space="preserve">								_ =&gt; _.EarmarkedFund,</v>
      </c>
      <c r="W43" s="63" t="str">
        <f t="shared" si="64"/>
        <v xml:space="preserve">				.WhereIf(!string.IsNullOrWhiteSpace(input.EarmarkedFund), e =&gt; e.EarmarkedFund.Contains(input.EarmarkedFund))</v>
      </c>
    </row>
    <row r="44" spans="1:23" customFormat="1" ht="18.75" customHeight="1" x14ac:dyDescent="0.25">
      <c r="A44" t="s">
        <v>392</v>
      </c>
      <c r="B44" t="s">
        <v>360</v>
      </c>
      <c r="C44" t="s">
        <v>1</v>
      </c>
      <c r="D44" t="str">
        <f t="shared" si="52"/>
        <v>EarmarkedFundItem</v>
      </c>
      <c r="E44" t="str">
        <f t="shared" si="53"/>
        <v>VARCHAR</v>
      </c>
      <c r="F44" s="6"/>
      <c r="G44" t="str">
        <f t="shared" si="54"/>
        <v>3</v>
      </c>
      <c r="H44" t="str">
        <f>+VLOOKUP(E44,'Data Type Mapping'!A:B,2,)</f>
        <v>string</v>
      </c>
      <c r="I44" t="str">
        <f t="shared" si="55"/>
        <v xml:space="preserve">		public const int MaxEarmarkedFundItemLength = 3;
</v>
      </c>
      <c r="J44" t="str">
        <f t="shared" si="56"/>
        <v xml:space="preserve">		[StringLength(MaxEarmarkedFundItemLength)]
		public virtual string EarmarkedFundItem { get; set; }
</v>
      </c>
      <c r="K44" s="6"/>
      <c r="L44" t="str">
        <f t="shared" si="57"/>
        <v/>
      </c>
      <c r="M44" t="str">
        <f t="shared" si="58"/>
        <v xml:space="preserve">		public virtual string EarmarkedFundItem { get; set; }
</v>
      </c>
      <c r="N44" t="str">
        <f t="shared" si="59"/>
        <v xml:space="preserve">		[StringLength(IF_FQF3MM02Consts.MaxEarmarkedFundItemLength)]
		public virtual string EarmarkedFundItem { get; set; }
</v>
      </c>
      <c r="O44" t="str">
        <f t="shared" si="60"/>
        <v xml:space="preserve">		public virtual string EarmarkedFundItem { get; set; }
</v>
      </c>
      <c r="P44" t="str">
        <f t="shared" si="61"/>
        <v xml:space="preserve">							EarmarkedFundItem = o.EarmarkedFundItem,</v>
      </c>
      <c r="T44" s="63" t="str">
        <f t="shared" si="62"/>
        <v xml:space="preserve">								("EarmarkedFundItem"),</v>
      </c>
      <c r="V44" s="64" t="str">
        <f t="shared" si="63"/>
        <v xml:space="preserve">								_ =&gt; _.EarmarkedFundItem,</v>
      </c>
      <c r="W44" s="63" t="str">
        <f t="shared" si="64"/>
        <v xml:space="preserve">				.WhereIf(!string.IsNullOrWhiteSpace(input.EarmarkedFundItem), e =&gt; e.EarmarkedFundItem.Contains(input.EarmarkedFundItem))</v>
      </c>
    </row>
    <row r="45" spans="1:23" customFormat="1" ht="18.75" customHeight="1" x14ac:dyDescent="0.25">
      <c r="A45" t="s">
        <v>407</v>
      </c>
      <c r="B45" t="s">
        <v>361</v>
      </c>
      <c r="C45" t="s">
        <v>1</v>
      </c>
      <c r="D45" t="str">
        <f t="shared" si="52"/>
        <v>PsmsCode</v>
      </c>
      <c r="E45" t="str">
        <f t="shared" si="53"/>
        <v>VARCHAR</v>
      </c>
      <c r="F45" s="6"/>
      <c r="G45" t="str">
        <f t="shared" si="54"/>
        <v>40</v>
      </c>
      <c r="H45" t="str">
        <f>+VLOOKUP(E45,'Data Type Mapping'!A:B,2,)</f>
        <v>string</v>
      </c>
      <c r="I45" t="str">
        <f t="shared" si="55"/>
        <v xml:space="preserve">		public const int MaxPsmsCodeLength = 40;
</v>
      </c>
      <c r="J45" t="str">
        <f t="shared" si="56"/>
        <v xml:space="preserve">		[StringLength(MaxPsmsCodeLength)]
		public virtual string PsmsCode { get; set; }
</v>
      </c>
      <c r="K45" s="6"/>
      <c r="L45" t="str">
        <f t="shared" si="57"/>
        <v/>
      </c>
      <c r="M45" t="str">
        <f t="shared" si="58"/>
        <v xml:space="preserve">		public virtual string PsmsCode { get; set; }
</v>
      </c>
      <c r="N45" t="str">
        <f t="shared" si="59"/>
        <v xml:space="preserve">		[StringLength(IF_FQF3MM02Consts.MaxPsmsCodeLength)]
		public virtual string PsmsCode { get; set; }
</v>
      </c>
      <c r="O45" t="str">
        <f t="shared" si="60"/>
        <v xml:space="preserve">		public virtual string PsmsCode { get; set; }
</v>
      </c>
      <c r="P45" t="str">
        <f t="shared" si="61"/>
        <v xml:space="preserve">							PsmsCode = o.PsmsCode,</v>
      </c>
      <c r="T45" s="63" t="str">
        <f t="shared" si="62"/>
        <v xml:space="preserve">								("PsmsCode"),</v>
      </c>
      <c r="V45" s="64" t="str">
        <f t="shared" si="63"/>
        <v xml:space="preserve">								_ =&gt; _.PsmsCode,</v>
      </c>
      <c r="W45" s="63" t="str">
        <f t="shared" si="64"/>
        <v xml:space="preserve">				.WhereIf(!string.IsNullOrWhiteSpace(input.PsmsCode), e =&gt; e.PsmsCode.Contains(input.PsmsCode))</v>
      </c>
    </row>
    <row r="46" spans="1:23" customFormat="1" ht="18.75" customHeight="1" x14ac:dyDescent="0.25">
      <c r="A46" t="s">
        <v>394</v>
      </c>
      <c r="B46" t="s">
        <v>360</v>
      </c>
      <c r="C46" t="s">
        <v>1</v>
      </c>
      <c r="D46" t="str">
        <f t="shared" si="52"/>
        <v>GiUom</v>
      </c>
      <c r="E46" t="str">
        <f t="shared" si="53"/>
        <v>VARCHAR</v>
      </c>
      <c r="F46" s="6"/>
      <c r="G46" t="str">
        <f t="shared" si="54"/>
        <v>3</v>
      </c>
      <c r="H46" t="str">
        <f>+VLOOKUP(E46,'Data Type Mapping'!A:B,2,)</f>
        <v>string</v>
      </c>
      <c r="I46" t="str">
        <f t="shared" si="55"/>
        <v xml:space="preserve">		public const int MaxGiUomLength = 3;
</v>
      </c>
      <c r="J46" t="str">
        <f t="shared" si="56"/>
        <v xml:space="preserve">		[StringLength(MaxGiUomLength)]
		public virtual string GiUom { get; set; }
</v>
      </c>
      <c r="K46" s="6"/>
      <c r="L46" t="str">
        <f t="shared" si="57"/>
        <v/>
      </c>
      <c r="M46" t="str">
        <f t="shared" si="58"/>
        <v xml:space="preserve">		public virtual string GiUom { get; set; }
</v>
      </c>
      <c r="N46" t="str">
        <f t="shared" si="59"/>
        <v xml:space="preserve">		[StringLength(IF_FQF3MM02Consts.MaxGiUomLength)]
		public virtual string GiUom { get; set; }
</v>
      </c>
      <c r="O46" t="str">
        <f t="shared" si="60"/>
        <v xml:space="preserve">		public virtual string GiUom { get; set; }
</v>
      </c>
      <c r="P46" t="str">
        <f t="shared" si="61"/>
        <v xml:space="preserve">							GiUom = o.GiUom,</v>
      </c>
      <c r="T46" s="63" t="str">
        <f t="shared" si="62"/>
        <v xml:space="preserve">								("GiUom"),</v>
      </c>
      <c r="V46" s="64" t="str">
        <f t="shared" si="63"/>
        <v xml:space="preserve">								_ =&gt; _.GiUom,</v>
      </c>
      <c r="W46" s="63" t="str">
        <f t="shared" si="64"/>
        <v xml:space="preserve">				.WhereIf(!string.IsNullOrWhiteSpace(input.GiUom), e =&gt; e.GiUom.Contains(input.GiUom))</v>
      </c>
    </row>
    <row r="47" spans="1:23" customFormat="1" ht="18.75" customHeight="1" x14ac:dyDescent="0.25">
      <c r="A47" t="s">
        <v>395</v>
      </c>
      <c r="B47" t="s">
        <v>356</v>
      </c>
      <c r="C47" t="s">
        <v>1</v>
      </c>
      <c r="D47" t="str">
        <f t="shared" si="52"/>
        <v>EndingOfRecord</v>
      </c>
      <c r="E47" t="str">
        <f t="shared" si="53"/>
        <v>VARCHAR</v>
      </c>
      <c r="F47" s="6"/>
      <c r="G47" t="str">
        <f t="shared" si="54"/>
        <v>1</v>
      </c>
      <c r="H47" t="str">
        <f>+VLOOKUP(E47,'Data Type Mapping'!A:B,2,)</f>
        <v>string</v>
      </c>
      <c r="I47" t="str">
        <f t="shared" si="55"/>
        <v xml:space="preserve">		public const int MaxEndingOfRecordLength = 1;
</v>
      </c>
      <c r="J47" t="str">
        <f t="shared" si="56"/>
        <v xml:space="preserve">		[StringLength(MaxEndingOfRecordLength)]
		public virtual string EndingOfRecord { get; set; }
</v>
      </c>
      <c r="K47" s="6"/>
      <c r="L47" t="str">
        <f t="shared" si="57"/>
        <v/>
      </c>
      <c r="M47" t="str">
        <f t="shared" si="58"/>
        <v xml:space="preserve">		public virtual string EndingOfRecord { get; set; }
</v>
      </c>
      <c r="N47" t="str">
        <f t="shared" si="59"/>
        <v xml:space="preserve">		[StringLength(IF_FQF3MM02Consts.MaxEndingOfRecordLength)]
		public virtual string EndingOfRecord { get; set; }
</v>
      </c>
      <c r="O47" t="str">
        <f t="shared" si="60"/>
        <v xml:space="preserve">		public virtual string EndingOfRecord { get; set; }
</v>
      </c>
      <c r="P47" t="str">
        <f t="shared" si="61"/>
        <v xml:space="preserve">							EndingOfRecord = o.EndingOfRecord,</v>
      </c>
      <c r="T47" s="63" t="str">
        <f t="shared" si="62"/>
        <v xml:space="preserve">								("EndingOfRecord"),</v>
      </c>
      <c r="V47" s="64" t="str">
        <f t="shared" si="63"/>
        <v xml:space="preserve">								_ =&gt; _.EndingOfRecord,</v>
      </c>
      <c r="W47" s="63" t="str">
        <f t="shared" si="64"/>
        <v xml:space="preserve">				.WhereIf(!string.IsNullOrWhiteSpace(input.EndingOfRecord), e =&gt; e.EndingOfRecord.Contains(input.EndingOfRecord))</v>
      </c>
    </row>
    <row r="49" spans="8:23" ht="45.75" customHeight="1" x14ac:dyDescent="0.25">
      <c r="H49" s="11"/>
      <c r="I49" s="31" t="str">
        <f ca="1">TEXTJOIN2("
", TRUE,INDIRECT( $H$1):INDIRECT( $H$3))</f>
        <v xml:space="preserve">		public const int MaxRecordIdLength = 7;
		public const int MaxCompanyCodeLength = 8;
		public const int MaxPlantCodeLength = 4;
		public const int MaxMaruCodeLength = 1;
		public const int MaxReceivingStockLineLength = 3;
		public const int MaxProductionDateLength = 8;
		public const int MaxPostingDateLength = 8;
		public const int MaxPartCodeLength = 14;
		public const int MaxMaterialCodeLength = 40;
		public const int MaxCostCenterLength = 10;
		public const int MaxNormalCancelFlagLength = 1;
		public const int MaxGrgiNoLength = 10;
		public const int MaxGrgiTypeLength = 2;
		public const int MaxMaterialDocTypeLength = 2;
		public const int MaxRelatedPartReceiveNoLength = 10;
		public const int MaxRelatedGrTypeLength = 2;
		public const int MaxRelatedGrTransactionTypeLength = 2;
		public const int MaxRelatedPartIssueNoLength = 10;
		public const int MaxRelatedGiTypeLength = 2;
		public const int MaxRelatedGiTransactionTypeLength = 2;
		public const int MaxProductionIdLength = 38;
		public const int MaxWbsLength = 24;
		public const int MaxEarmarkedFundLength = 10;
		public const int MaxEarmarkedFundItemLength = 3;
		public const int MaxPsmsCodeLength = 40;
		public const int MaxGiUomLength = 3;
		public const int MaxEndingOfRecordLength = 1;
</v>
      </c>
      <c r="J49" s="30" t="str">
        <f ca="1">TEXTJOIN2("
", TRUE,INDIRECT( $F$1):INDIRECT( $F$3))</f>
        <v xml:space="preserve">		[StringLength(MaxRecordIdLength)]
		public virtual string RecordId { get; set; }
		[StringLength(MaxCompanyCodeLength)]
		public virtual string CompanyCode { get; set; }
		[StringLength(MaxPlantCodeLength)]
		public virtual string PlantCode { get; set; }
		[StringLength(MaxMaruCodeLength)]
		public virtual string MaruCode { get; set; }
		[StringLength(MaxReceivingStockLineLength)]
		public virtual string ReceivingStockLine { get; set; }
		[StringLength(MaxProductionDateLength)]
		public virtual string ProductionDate { get; set; }
		[StringLength(MaxPostingDateLength)]
		public virtual string PostingDate { get; set; }
		[StringLength(MaxPartCodeLength)]
		public virtual string PartCode { get; set; }
		public virtual int? Quantity { get; set; }
		public virtual int? SpoiledPartsQuantity { get; set; }
		public virtual int? SpoiledMaterialQuantity1 { get; set; }
		[StringLength(MaxMaterialCodeLength)]
		public virtual string MaterialCode { get; set; }
		public virtual int? FreeShotQuantity { get; set; }
		public virtual int? RecycledQuantity { get; set; }
		[StringLength(MaxCostCenterLength)]
		public virtual string CostCenter { get; set; }
		[StringLength(MaxNormalCancelFlagLength)]
		public virtual string NormalCancelFlag { get; set; }
		[StringLength(MaxGrgiNoLength)]
		public virtual string GrgiNo { get; set; }
		[StringLength(MaxGrgiTypeLength)]
		public virtual string GrgiType { get; set; }
		[StringLength(MaxMaterialDocTypeLength)]
		public virtual string MaterialDocType { get; set; }
		public virtual int? MaterialQuantity { get; set; }
		public virtual int? SpoiledMaterialQuantity2 { get; set; }
		[StringLength(MaxRelatedPartReceiveNoLength)]
		public virtual string RelatedPartReceiveNo { get; set; }
		[StringLength(MaxRelatedGrTypeLength)]
		public virtual string RelatedGrType { get; set; }
		[StringLength(MaxRelatedGrTransactionTypeLength)]
		public virtual string RelatedGrTransactionType { get; set; }
		public virtual int? InHousePartQuantityReceive { get; set; }
		[StringLength(MaxRelatedPartIssueNoLength)]
		public virtual string RelatedPartIssueNo { get; set; }
		[StringLength(MaxRelatedGiTypeLength)]
		public virtual string RelatedGiType { get; set; }
		[StringLength(MaxRelatedGiTransactionTypeLength)]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[StringLength(MaxProductionIdLength)]
		public virtual string ProductionId { get; set; }
		public virtual int? FinalPrice { get; set; }
		[StringLength(MaxWbsLength)]
		public virtual string Wbs { get; set; }
		[StringLength(MaxEarmarkedFundLength)]
		public virtual string EarmarkedFund { get; set; }
		[StringLength(MaxEarmarkedFundItemLength)]
		public virtual string EarmarkedFundItem { get; set; }
		[StringLength(MaxPsmsCodeLength)]
		public virtual string PsmsCode { get; set; }
		[StringLength(MaxGiUomLength)]
		public virtual string GiUom { get; set; }
		[StringLength(MaxEndingOfRecordLength)]
		public virtual string EndingOfRecord { get; set; }
</v>
      </c>
      <c r="K49" s="32" t="str">
        <f ca="1">TEXTJOIN2("
", TRUE,INDIRECT( $J$1):INDIRECT( $J$3))</f>
        <v/>
      </c>
      <c r="L49" s="12" t="s">
        <v>57</v>
      </c>
      <c r="M49" s="33" t="str">
        <f ca="1">TEXTJOIN2("
",TRUE,INDIRECT( $L$1):INDIRECT($L$3))</f>
        <v xml:space="preserve">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int? Quantity { get; set; }
		public virtual int? SpoiledPartsQuantity { get; set; }
		public virtual int? SpoiledMaterialQuantity1 { get; set; }
		public virtual string MaterialCode { get; set; }
		public virtual int? FreeShotQuantity { get; set; }
		public virtual int? RecycledQuantity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int? MaterialQuantity { get; set; }
		public virtual int? SpoiledMaterialQuantity2 { get; set; }
		public virtual string RelatedPartReceiveNo { get; set; }
		public virtual string RelatedGrType { get; set; }
		public virtual string RelatedGrTransactionType { get; set; }
		public virtual int? InHousePartQuantityReceive { get; set; }
		public virtual string RelatedPartIssueNo { get; set; }
		public virtual string RelatedGiType { get; set; }
		public virtual string RelatedGiTransactionType { get; set; }
		public virtual int? RelatedInHousePartQuantityIssued { get; set; }
		public virtual int? RelatedSpoiledPartQuantityIssued { get; set; }
		public virtual int? Wip { get; set; }
		public virtual string ProductionId { get; set; }
		public virtual int? FinalPrice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</v>
      </c>
      <c r="N49" s="30" t="str">
        <f ca="1">TEXTJOIN2("
",TRUE,INDIRECT( $M$1):INDIRECT($M$3))</f>
        <v xml:space="preserve">		[StringLength(IF_FQF3MM02Consts.MaxRecordIdLength)]
		public virtual string RecordId { get; set; }
		[StringLength(IF_FQF3MM02Consts.MaxCompanyCodeLength)]
		public virtual string CompanyCode { get; set; }
		[StringLength(IF_FQF3MM02Consts.MaxPlantCodeLength)]
		public virtual string PlantCode { get; set; }
		[StringLength(IF_FQF3MM02Consts.MaxMaruCodeLength)]
		public virtual string MaruCode { get; set; }
		[StringLength(IF_FQF3MM02Consts.MaxReceivingStockLineLength)]
		public virtual string ReceivingStockLine { get; set; }
		[StringLength(IF_FQF3MM02Consts.MaxProductionDateLength)]
		public virtual string ProductionDate { get; set; }
		[StringLength(IF_FQF3MM02Consts.MaxPostingDateLength)]
		public virtual string PostingDate { get; set; }
		[StringLength(IF_FQF3MM02Consts.MaxPartCodeLength)]
		public virtual string PartCode { get; set; }
		public virtual int? Quantity { get; set; }
		public virtual int? SpoiledPartsQuantity { get; set; }
		public virtual int? SpoiledMaterialQuantity1 { get; set; }
		[StringLength(IF_FQF3MM02Consts.MaxMaterialCodeLength)]
		public virtual string MaterialCode { get; set; }
		public virtual int? FreeShotQuantity { get; set; }
		public virtual int? RecycledQuantity { get; set; }
		[StringLength(IF_FQF3MM02Consts.MaxCostCenterLength)]
		public virtual string CostCenter { get; set; }
		[StringLength(IF_FQF3MM02Consts.MaxNormalCancelFlagLength)]
		public virtual string NormalCancelFlag { get; set; }
		[StringLength(IF_FQF3MM02Consts.MaxGrgiNoLength)]
		public virtual string GrgiNo { get; set; }
		[StringLength(IF_FQF3MM02Consts.MaxGrgiTypeLength)]
		public virtual string GrgiType { get; set; }
		[StringLength(IF_FQF3MM02Consts.MaxMaterialDocTypeLength)]
		public virtual string MaterialDocType { get; set; }
		public virtual int? MaterialQuantity { get; set; }
		public virtual int? SpoiledMaterialQuantity2 { get; set; }
		[StringLength(IF_FQF3MM02Consts.MaxRelatedPartReceiveNoLength)]
		public virtual string RelatedPartReceiveNo { get; set; }
		[StringLength(IF_FQF3MM02Consts.MaxRelatedGrTypeLength)]
		public virtual string RelatedGrType { get; set; }
		[StringLength(IF_FQF3MM02Consts.MaxRelatedGrTransactionTypeLength)]
		public virtual string RelatedGrTransactionType { get; set; }
		public virtual int? InHousePartQuantityReceive { get; set; }
		[StringLength(IF_FQF3MM02Consts.MaxRelatedPartIssueNoLength)]
		public virtual string RelatedPartIssueNo { get; set; }
		[StringLength(IF_FQF3MM02Consts.MaxRelatedGiTypeLength)]
		public virtual string RelatedGiType { get; set; }
		[StringLength(IF_FQF3MM02Consts.MaxRelatedGiTransactionTypeLength)]
		public virtual string RelatedGiTransactionType { get; set; }
		public virtual int? RelatedInHousePartQuantityIssued { get; set; }
		public virtual int? RelatedSpoiledPartQuantityIssued { get; set; }
		public virtual int? Wip { get; set; }
		[StringLength(IF_FQF3MM02Consts.MaxProductionIdLength)]
		public virtual string ProductionId { get; set; }
		public virtual int? FinalPrice { get; set; }
		[StringLength(IF_FQF3MM02Consts.MaxWbsLength)]
		public virtual string Wbs { get; set; }
		[StringLength(IF_FQF3MM02Consts.MaxEarmarkedFundLength)]
		public virtual string EarmarkedFund { get; set; }
		[StringLength(IF_FQF3MM02Consts.MaxEarmarkedFundItemLength)]
		public virtual string EarmarkedFundItem { get; set; }
		[StringLength(IF_FQF3MM02Consts.MaxPsmsCodeLength)]
		public virtual string PsmsCode { get; set; }
		[StringLength(IF_FQF3MM02Consts.MaxGiUomLength)]
		public virtual string GiUom { get; set; }
		[StringLength(IF_FQF3MM02Consts.MaxEndingOfRecordLength)]
		public virtual string EndingOfRecord { get; set; }
</v>
      </c>
      <c r="O49" s="30" t="str">
        <f ca="1">TEXTJOIN2("
",TRUE,INDIRECT( $N$1):INDIRECT($N$3))</f>
        <v xml:space="preserve">		public virtual string RecordId { get; set; }
		public virtual string CompanyCode { get; set; }
		public virtual string PlantCode { get; set; }
		public virtual string MaruCode { get; set; }
		public virtual string ReceivingStockLine { get; set; }
		public virtual string ProductionDate { get; set; }
		public virtual string PostingDate { get; set; }
		public virtual string PartCode { get; set; }
		public virtual string MaterialCode { get; set; }
		public virtual string CostCenter { get; set; }
		public virtual string NormalCancelFlag { get; set; }
		public virtual string GrgiNo { get; set; }
		public virtual string GrgiType { get; set; }
		public virtual string MaterialDocType { get; set; }
		public virtual string RelatedPartReceiveNo { get; set; }
		public virtual string RelatedGrType { get; set; }
		public virtual string RelatedGrTransactionType { get; set; }
		public virtual string RelatedPartIssueNo { get; set; }
		public virtual string RelatedGiType { get; set; }
		public virtual string RelatedGiTransactionType { get; set; }
		public virtual string ProductionId { get; set; }
		public virtual string Wbs { get; set; }
		public virtual string EarmarkedFund { get; set; }
		public virtual string EarmarkedFundItem { get; set; }
		public virtual string PsmsCode { get; set; }
		public virtual string GiUom { get; set; }
		public virtual string EndingOfRecord { get; set; }
</v>
      </c>
      <c r="P49" s="8" t="str">
        <f ca="1">TEXTJOIN2("
",TRUE,INDIRECT( $O$1):INDIRECT($O$3))</f>
        <v xml:space="preserve">							RecordId = o.RecordId,
							CompanyCode = o.CompanyCode,
							PlantCode = o.PlantCode,
							MaruCode = o.MaruCode,
							ReceivingStockLine = o.ReceivingStockLine,
							ProductionDate = o.ProductionDate,
							PostingDate = o.PostingDate,
							PartCode = o.PartCode,
							Quantity = o.Quantity,
							SpoiledPartsQuantity = o.SpoiledPartsQuantity,
							SpoiledMaterialQuantity1 = o.SpoiledMaterialQuantity1,
							MaterialCode = o.MaterialCode,
							FreeShotQuantity = o.FreeShotQuantity,
							RecycledQuantity = o.RecycledQuantity,
							CostCenter = o.CostCenter,
							NormalCancelFlag = o.NormalCancelFlag,
							GrgiNo = o.GrgiNo,
							GrgiType = o.GrgiType,
							MaterialDocType = o.MaterialDocType,
							MaterialQuantity = o.MaterialQuantity,
							SpoiledMaterialQuantity2 = o.SpoiledMaterialQuantity2,
							RelatedPartReceiveNo = o.RelatedPartReceiveNo,
							RelatedGrType = o.RelatedGrType,
							RelatedGrTransactionType = o.RelatedGrTransactionType,
							InHousePartQuantityReceive = o.InHousePartQuantityReceive,
							RelatedPartIssueNo = o.RelatedPartIssueNo,
							RelatedGiType = o.RelatedGiType,
							RelatedGiTransactionType = o.RelatedGiTransactionType,
							RelatedInHousePartQuantityIssued = o.RelatedInHousePartQuantityIssued,
							RelatedSpoiledPartQuantityIssued = o.RelatedSpoiledPartQuantityIssued,
							Wip = o.Wip,
							ProductionId = o.ProductionId,
							FinalPrice = o.FinalPrice,
							Wbs = o.Wbs,
							EarmarkedFund = o.EarmarkedFund,
							EarmarkedFundItem = o.EarmarkedFundItem,
							PsmsCode = o.PsmsCode,
							GiUom = o.GiUom,
							EndingOfRecord = o.EndingOfRecord,</v>
      </c>
      <c r="T49" s="8" t="str">
        <f ca="1">TEXTJOIN2("
",TRUE,INDIRECT( $T$2):INDIRECT($T$3))</f>
        <v xml:space="preserve">								("RecordId"),
								("CompanyCode"),
								("PlantCode"),
								("MaruCode"),
								("ReceivingStockLine"),
								("ProductionDate"),
								("PostingDate"),
								("PartCode"),
								("Quantity"),
								("SpoiledPartsQuantity"),
								("SpoiledMaterialQuantity1"),
								("MaterialCode"),
								("FreeShotQuantity"),
								("RecycledQuantity"),
								("CostCenter"),
								("NormalCancelFlag"),
								("GrgiNo"),
								("GrgiType"),
								("MaterialDocType"),
								("MaterialQuantity"),
								("SpoiledMaterialQuantity2"),
								("RelatedPartReceiveNo"),
								("RelatedGrType"),
								("RelatedGrTransactionType"),
								("InHousePartQuantityReceive"),
								("RelatedPartIssueNo"),
								("RelatedGiType"),
								("RelatedGiTransactionType"),
								("RelatedInHousePartQuantityIssued"),
								("RelatedSpoiledPartQuantityIssued"),
								("Wip"),
								("ProductionId"),
								("FinalPrice"),
								("Wbs"),
								("EarmarkedFund"),
								("EarmarkedFundItem"),
								("PsmsCode"),
								("GiUom"),
								("EndingOfRecord"),</v>
      </c>
      <c r="V49" s="8" t="str">
        <f ca="1">TEXTJOIN2("
",TRUE,INDIRECT( $V$2):INDIRECT($V$3))</f>
        <v xml:space="preserve">								_ =&gt; _.RecordId,
								_ =&gt; _.CompanyCode,
								_ =&gt; _.PlantCode,
								_ =&gt; _.MaruCode,
								_ =&gt; _.ReceivingStockLine,
								_ =&gt; _.ProductionDate,
								_ =&gt; _.PostingDate,
								_ =&gt; _.PartCode,
								_ =&gt; _.Quantity,
								_ =&gt; _.SpoiledPartsQuantity,
								_ =&gt; _.SpoiledMaterialQuantity1,
								_ =&gt; _.MaterialCode,
								_ =&gt; _.FreeShotQuantity,
								_ =&gt; _.RecycledQuantity,
								_ =&gt; _.CostCenter,
								_ =&gt; _.NormalCancelFlag,
								_ =&gt; _.GrgiNo,
								_ =&gt; _.GrgiType,
								_ =&gt; _.MaterialDocType,
								_ =&gt; _.MaterialQuantity,
								_ =&gt; _.SpoiledMaterialQuantity2,
								_ =&gt; _.RelatedPartReceiveNo,
								_ =&gt; _.RelatedGrType,
								_ =&gt; _.RelatedGrTransactionType,
								_ =&gt; _.InHousePartQuantityReceive,
								_ =&gt; _.RelatedPartIssueNo,
								_ =&gt; _.RelatedGiType,
								_ =&gt; _.RelatedGiTransactionType,
								_ =&gt; _.RelatedInHousePartQuantityIssued,
								_ =&gt; _.RelatedSpoiledPartQuantityIssued,
								_ =&gt; _.Wip,
								_ =&gt; _.ProductionId,
								_ =&gt; _.FinalPrice,
								_ =&gt; _.Wbs,
								_ =&gt; _.EarmarkedFund,
								_ =&gt; _.EarmarkedFundItem,
								_ =&gt; _.PsmsCode,
								_ =&gt; _.GiUom,
								_ =&gt; _.EndingOfRecord,</v>
      </c>
      <c r="W49" s="8" t="str">
        <f ca="1">TEXTJOIN2("
",TRUE,INDIRECT( $W$2):INDIRECT($W$3))</f>
        <v xml:space="preserve">				.WhereIf(!string.IsNullOrWhiteSpace(input.RecordId), e =&gt; e.RecordId.Contains(input.RecordId))
				.WhereIf(!string.IsNullOrWhiteSpace(input.CompanyCode), e =&gt; e.CompanyCode.Contains(input.CompanyCode))
				.WhereIf(!string.IsNullOrWhiteSpace(input.PlantCode), e =&gt; e.PlantCode.Contains(input.PlantCode))
				.WhereIf(!string.IsNullOrWhiteSpace(input.MaruCode), e =&gt; e.MaruCode.Contains(input.MaruCode))
				.WhereIf(!string.IsNullOrWhiteSpace(input.ReceivingStockLine), e =&gt; e.ReceivingStockLine.Contains(input.ReceivingStockLine))
				.WhereIf(!string.IsNullOrWhiteSpace(input.ProductionDate), e =&gt; e.ProductionDate.Contains(input.ProductionDate))
				.WhereIf(!string.IsNullOrWhiteSpace(input.PostingDate), e =&gt; e.PostingDate.Contains(input.PostingDate))
				.WhereIf(!string.IsNullOrWhiteSpace(input.PartCode), e =&gt; e.PartCode.Contains(input.PartCode))
				.WhereIf(!string.IsNullOrWhiteSpace(input.MaterialCode), e =&gt; e.MaterialCode.Contains(input.MaterialCode))
				.WhereIf(!string.IsNullOrWhiteSpace(input.CostCenter), e =&gt; e.CostCenter.Contains(input.CostCenter))
				.WhereIf(!string.IsNullOrWhiteSpace(input.NormalCancelFlag), e =&gt; e.NormalCancelFlag.Contains(input.NormalCancelFlag))
				.WhereIf(!string.IsNullOrWhiteSpace(input.GrgiNo), e =&gt; e.GrgiNo.Contains(input.GrgiNo))
				.WhereIf(!string.IsNullOrWhiteSpace(input.GrgiType), e =&gt; e.GrgiType.Contains(input.GrgiType))
				.WhereIf(!string.IsNullOrWhiteSpace(input.MaterialDocType), e =&gt; e.MaterialDocType.Contains(input.MaterialDocType))
				.WhereIf(!string.IsNullOrWhiteSpace(input.RelatedPartReceiveNo), e =&gt; e.RelatedPartReceiveNo.Contains(input.RelatedPartReceiveNo))
				.WhereIf(!string.IsNullOrWhiteSpace(input.RelatedGrType), e =&gt; e.RelatedGrType.Contains(input.RelatedGrType))
				.WhereIf(!string.IsNullOrWhiteSpace(input.RelatedGrTransactionType), e =&gt; e.RelatedGrTransactionType.Contains(input.RelatedGrTransactionType))
				.WhereIf(!string.IsNullOrWhiteSpace(input.RelatedPartIssueNo), e =&gt; e.RelatedPartIssueNo.Contains(input.RelatedPartIssueNo))
				.WhereIf(!string.IsNullOrWhiteSpace(input.RelatedGiType), e =&gt; e.RelatedGiType.Contains(input.RelatedGiType))
				.WhereIf(!string.IsNullOrWhiteSpace(input.RelatedGiTransactionType), e =&gt; e.RelatedGiTransactionType.Contains(input.RelatedGiTransactionType))
				.WhereIf(!string.IsNullOrWhiteSpace(input.ProductionId), e =&gt; e.ProductionId.Contains(input.ProductionId))
				.WhereIf(!string.IsNullOrWhiteSpace(input.Wbs), e =&gt; e.Wbs.Contains(input.Wbs))
				.WhereIf(!string.IsNullOrWhiteSpace(input.EarmarkedFund), e =&gt; e.EarmarkedFund.Contains(input.EarmarkedFund))
				.WhereIf(!string.IsNullOrWhiteSpace(input.EarmarkedFundItem), e =&gt; e.EarmarkedFundItem.Contains(input.EarmarkedFundItem))
				.WhereIf(!string.IsNullOrWhiteSpace(input.PsmsCode), e =&gt; e.PsmsCode.Contains(input.PsmsCode))
				.WhereIf(!string.IsNullOrWhiteSpace(input.GiUom), e =&gt; e.GiUom.Contains(input.GiUom))
				.WhereIf(!string.IsNullOrWhiteSpace(input.EndingOfRecord), e =&gt; e.EndingOfRecord.Contains(input.EndingOfRecord))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5"/>
  <sheetViews>
    <sheetView topLeftCell="A9" workbookViewId="0">
      <selection activeCell="A54" sqref="A54:XFD5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406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IF_FQF3MM02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FQF3MM02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fqf3mm02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IF_FQF3MM02Dto, IF_FQF3MM02ServiceProxy } from '@shared/service-proxies/service-proxies';
import { finalize } from 'rxjs/internal/operators/finalize';
import { CreateOrEditFQF3MM02ModalComponent } from './create-or-edit-fqf3mm02-modal.component';
import { DatePipe } from '@angular/common';
import { FileDownloadService } from '@shared/utils/file-download.service';
import ceil from 'lodash-es/ceil';
import { Paginator } from 'primeng/paginator';
@Component({
    templateUrl: './fqf3mm02.component.html',
    styleUrls: ['./fqf3mm02.component.less'],
})
export class FQF3MM02Component extends AppComponentBase implements OnInit {
    @ViewChild('createOrEditModalFQF3MM02', { static: true }) createOrEditModalFQF3MM02:| CreateOrEditFQF3MM02ModalComponent|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IF_FQF3MM02Dto = new IF_FQF3MM02Dto();
    saveSelectedRow: IF_FQF3MM02Dto = new IF_FQF3MM02Dto();
    datas: IF_FQF3MM02Dto = new IF_FQF3MM02Dto();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companyCode : string = '' ; 
	plantCode : string = '' ; 
	maruCode : string = '' ; 
	receivingStockLine : string = '' ; 
	productionDate : string = '' ; 
	postingDate : string = '' ; 
	partCode : string = '' ; 
	quantity
	spoiledPartsQuantity
	spoiledMaterialQuantity
	materialCode
	freeShotQuantity
	recycledQuantity
	costCenter
	normalCancelFlag : string = '' ; 
	grgiNo : string = '' ; 
	grgiType : string = '' ; 
	materialDocType : string = '' ; 
	materialQuantity : string = '' ; 
	spoiledMaterialQuantity : string = '' ; 
	relatedPartReceiveNo : string = '' ; 
	relatedGrType : string = '' ; 
	relatedGrTransactionType : string = '' ; 
	in-HousePartQuantityReceive : string = '' ; 
	relatedPartIssueNo
	relatedGiType : string = '' ; 
	relatedGiTransactionType
	relatedIn-HousePartQuantityIssued
	relatedSpoiledPartQuantityIssued : string = '' ; 
	wip : string = '' ; 
	productionId : string = '' ; 
	finalPrice : string = '' ; 
	wbs : string = '' ; 
	earmarkedFund
	earmarkedFundItem : string = '' ; 
	p-SmsCode
	giUom : string = '' ; 
	endingOfRecord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IF_FQF3MM02ServiceProxy,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this.l('Company Code'),headerTooltip: this.l('Company Code'),field: 'companyCode',flex: 1},
			{headerName: this.l('Plant Code'),headerTooltip: this.l('Plant Code'),field: 'plantCode',flex: 1},
			{headerName: this.l('Maru Code'),headerTooltip: this.l('Maru Code'),field:  'maruCode', cellClass: ['text-center'], width: 120, cellRenderer: 'agCellButtonComponent',
buttonDefTwo: { text: params =&gt; (params.data?.'maruCode' == 'Y') ? 'Active' : 'Inactive',iconName: 'fa fa-circle',className: params =&gt; (params.data?.'maruCode' == 'Y') ? 'btnActive' : 'btnInActive',},}
			{headerName: this.l('Receiving Stock Line'),headerTooltip: this.l('Receiving Stock Line'),field: 'receivingStockLine',flex: 1},
			{headerName: this.l('Production Date'),headerTooltip: this.l('Production Date'),field: 'productionDate',flex: 1},
			{headerName: this.l('Posting Date'),headerTooltip: this.l('Posting Date'),field: 'postingDate',flex: 1},
			{headerName: this.l('Part Code'),headerTooltip: this.l('Part Code'),field: 'partCode',flex: 1},
			{headerName: this.l('Quantity'),headerTooltip: this.l('Quantity'),field: 'quantity',flex: 1},
			{headerName: this.l('Spoiled Parts Quantity'),headerTooltip: this.l('Spoiled Parts Quantity'),field: 'spoiledPartsQuantity',flex: 1},
			{headerName: this.l('Spoiled Material Quantity'),headerTooltip: this.l('Spoiled Material Quantity'),field: 'spoiledMaterialQuantity',flex: 1},
			{headerName: this.l('Material Code'),headerTooltip: this.l('Material Code'),field: 'materialCode',flex: 1},
			{headerName: this.l('Free Shot Quantity'),headerTooltip: this.l('Free Shot Quantity'),field: 'freeShotQuantity',flex: 1},
			{headerName: this.l('Recycled Quantity'),headerTooltip: this.l('Recycled Quantity'),field: 'recycledQuantity',flex: 1},
			{headerName: this.l('Cost Center'),headerTooltip: this.l('Cost Center'),field: 'costCenter',flex: 1},
			{headerName: this.l('Normal Cancel Flag'),headerTooltip: this.l('Normal Cancel Flag'),field: 'normalCancelFlag',flex: 1},
			{headerName: this.l('Grgi No'),headerTooltip: this.l('Grgi No'),field: 'grgiNo',flex: 1},
			{headerName: this.l('Grgi Type'),headerTooltip: this.l('Grgi Type'),field: 'grgiType',flex: 1},
			{headerName: this.l('Material Doc Type'),headerTooltip: this.l('Material Doc Type'),field:  'materialDocType', cellClass: ['text-center'], width: 120, cellRenderer: 'agCellButtonComponent',
buttonDefTwo: { text: params =&gt; (params.data?.'materialDocType' == 'Y') ? 'Active' : 'Inactive',iconName: 'fa fa-circle',className: params =&gt; (params.data?.'materialDocType' == 'Y') ? 'btnActive' : 'btnInActive',},}
			{headerName: this.l('Material Quantity'),headerTooltip: this.l('Material Quantity'),field: 'materialQuantity',flex: 1},
			{headerName: this.l('Spoiled Material Quantity'),headerTooltip: this.l('Spoiled Material Quantity'),field: 'spoiledMaterialQuantity',flex: 1},
			{headerName: this.l('Related Part Receive No'),headerTooltip: this.l('Related Part Receive No'),field:  'relatedPartReceiveNo', cellClass: ['text-center'], width: 120, cellRenderer: 'agCellButtonComponent',
buttonDefTwo: { text: params =&gt; (params.data?.'relatedPartReceiveNo' == 'Y') ? 'Active' : 'Inactive',iconName: 'fa fa-circle',className: params =&gt; (params.data?.'relatedPartReceiveNo' == 'Y') ? 'btnActive' : 'btnInActive',},}
			{headerName: this.l('Related Gr Type'),headerTooltip: this.l('Related Gr Type'),field: 'relatedGrType',flex: 1},
			{headerName: this.l('Related Gr Transaction Type'),headerTooltip: this.l('Related Gr Transaction Type'),field: 'relatedGrTransactionType',flex: 1},
			{headerName: this.l('In-House Part Quantity Receive'),headerTooltip: this.l('In-House Part Quantity Receive'),field: 'in-HousePartQuantityReceive',flex: 1},
			{headerName: this.l('Related Part Issue No'),headerTooltip: this.l('Related Part Issue No'),field: 'relatedPartIssueNo',flex: 1},
			{headerName: this.l('Related Gi Type'),headerTooltip: this.l('Related Gi Type'),field: 'relatedGiType',flex: 1},
			{headerName: this.l('Related Gi Transaction Type'),headerTooltip: this.l('Related Gi Transaction Type'),field: 'relatedGiTransactionType',flex: 1},
			{headerName: this.l('Related In-House Part Quantity Issued'),headerTooltip: this.l('Related In-House Part Quantity Issued'),field: 'relatedIn-HousePartQuantityIssued',flex: 1},
			{headerName: this.l('Related Spoiled Part Quantity Issued'),headerTooltip: this.l('Related Spoiled Part Quantity Issued'),field: 'relatedSpoiledPartQuantityIssued',flex: 1},
			{headerName: this.l('Wip'),headerTooltip: this.l('Wip'),field:  'wip', cellClass: ['text-center'], width: 120, cellRenderer: 'agCellButtonComponent',
buttonDefTwo: { text: params =&gt; (params.data?.'wip' == 'Y') ? 'Active' : 'Inactive',iconName: 'fa fa-circle',className: params =&gt; (params.data?.'wip' == 'Y') ? 'btnActive' : 'btnInActive',},}
			{headerName: this.l('Production Id'),headerTooltip: this.l('Production Id'),field: 'productionId',flex: 1},
			{headerName: this.l('Final Price'),headerTooltip: this.l('Final Price'),field: 'finalPrice',flex: 1},
			{headerName: this.l('Wbs'),headerTooltip: this.l('Wbs'),field: 'wbs',flex: 1},
			{headerName: this.l('Earmarked Fund'),headerTooltip: this.l('Earmarked Fund'),field: 'earmarkedFund',flex: 1},
			{headerName: this.l('Earmarked Fund Item'),headerTooltip: this.l('Earmarked Fund Item'),field: 'earmarkedFundItem',flex: 1},
			{headerName: this.l('P-Sms Code'),headerTooltip: this.l('P-Sms Code'),field: 'p-SmsCode',flex: 1},
			{headerName: this.l('Gi Uom'),headerTooltip: this.l('Gi Uom'),field: 'giUom',flex: 1},
			{headerName: this.l('Ending Of Record'),headerTooltip: this.l('Ending Of Record'),field: 'endingOfRecord',flex: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this.companyCode = '',
		this.plantCode = '',
		this.maruCode = '',
		this.receivingStockLine = '',
		this.productionDate = '',
		this.postingDate = '',
		this.partCode = '',
		this.quantity = '',
		this.spoiledPartsQuantity = '',
		this.spoiledMaterialQuantity = '',
		this.materialCode = '',
		this.freeShotQuantity = '',
		this.recycledQuantity = '',
		this.costCenter = '',
		this.normalCancelFlag = '',
		this.grgiNo = '',
		this.grgiType = '',
		this.materialDocType = '',
		this.materialQuantity = '',
		this.spoiledMaterialQuantity = '',
		this.relatedPartReceiveNo = '',
		this.relatedGrType = '',
		this.relatedGrTransactionType = '',
		this.in-HousePartQuantityReceive = '',
		this.relatedPartIssueNo = '',
		this.relatedGiType = '',
		this.relatedGiTransactionType = '',
		this.relatedIn-HousePartQuantityIssued = '',
		this.relatedSpoiledPartQuantityIssued = '',
		this.wip = '',
		this.productionId = '',
		this.finalPrice = '',
		this.wbs = '',
		this.earmarkedFund = '',
		this.earmarkedFundItem = '',
		this.p-SmsCode = '',
		this.giUom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			'',
            this.paginationParams.skipCount,
            this.paginationParams.pageSize
        );
    }
    onChangeRowSelection(params: { api: { getSelectedRows: () =&gt; IF_FQF3MM02Dto[] } }) {
        this.saveSelectedRow = params.api.getSelectedRows()[0] ?? new IF_FQF3MM02Dto();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IF_FQF3MM02Dto):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this._service.getFQF3MM02ToExcel(
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FQF3MM02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[(ngModel)]='receivingStockLine' name='receivingStockLine'
									class='form-control' [placeholder]="l('Receiving Stock Line')"
									type='text' (keyup.enter)='searchDatas()'&gt;
								&lt;/div&gt;
								&lt;div class='input-search'&gt;
									&lt;input [(ngModel)]='productionDate' name='productionDate'
									class='form-control' [placeholder]="l('Production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[(ngModel)]='grgiNo' name='grgiNo'
									class='form-control' [placeholder]="l('Grgi No')"
									type='text' (keyup.enter)='searchDatas()'&gt;
								&lt;/div&gt;
								&lt;div class='input-search'&gt;
									&lt;input [(ngModel)]='grgiType' name='grgiType'
									class='form-control' [placeholder]="l('Grgi Type')"
									type='text' (keyup.enter)='searchDatas()'&gt;
								&lt;/div&gt;
								&lt;div class='input-search'&gt;
									&lt;input [(ngModel)]='materialDocType' name='materialDocType'
									class='form-control' [placeholder]="l('Material Doc Type')"
									type='text' (keyup.enter)='searchDatas()'&gt;
								&lt;/div&gt;
								&lt;div class='input-search'&gt;
									&lt;input [(ngModel)]='materialQuantity' name='materialQuantity'
									class='form-control' [placeholder]="l('Material Quantity')"
									type='text' (keyup.enter)='searchDatas()'&gt;
								&lt;/div&gt;
								&lt;div class='input-search'&gt;
									&lt;input [(ngModel)]='spoiledMaterialQuantity' name='spoiledMaterialQuantity'
									class='form-control' [placeholder]="l('Spoiled Material Quantity')"
									type='text' (keyup.enter)='searchDatas()'&gt;
								&lt;/div&gt;
								&lt;div class='input-search'&gt;
									&lt;input [(ngModel)]='relatedPartReceiveNo' name='relatedPartReceiveNo'
									class='form-control' [placeholder]="l('Related Part Receive No')"
									type='text' (keyup.enter)='searchDatas()'&gt;
								&lt;/div&gt;
								&lt;div class='input-search'&gt;
									&lt;input [(ngModel)]='relatedGrType' name='relatedGrType'
									class='form-control' [placeholder]="l('Related Gr Type')"
									type='text' (keyup.enter)='searchDatas()'&gt;
								&lt;/div&gt;
								&lt;div class='input-search'&gt;
									&lt;input [(ngModel)]='relatedGrTransactionType' name='relatedGrTransactionType'
									class='form-control' [placeholder]="l('Related Gr Transaction Type')"
									type='text' (keyup.enter)='searchDatas()'&gt;
								&lt;/div&gt;
								&lt;div class='input-search'&gt;
									&lt;input [(ngModel)]='in-HousePartQuantityReceive' name='in-HousePartQuantityReceive'
									class='form-control' [placeholder]="l('In-House Part Quantity Receive')"
									type='text' (keyup.enter)='searchDatas()'&gt;
								&lt;/div&gt;
								&lt;div class='input-search'&gt;
									&lt;input [(ngModel)]='relatedGiType' name='relatedGiType'
									class='form-control' [placeholder]="l('Related Gi Type')"
									type='text' (keyup.enter)='searchDatas()'&gt;
								&lt;/div&gt;
								&lt;div class='input-search'&gt;
									&lt;input [(ngModel)]='relatedSpoiledPartQuantityIssued' name='relatedSpoiledPartQuantityIssued'
									class='form-control' [placeholder]="l('Related Spoiled Part Quantity Issued')"
									type='text' (keyup.enter)='searchDatas()'&gt;
								&lt;/div&gt;
								&lt;div class='input-search'&gt;
									&lt;input [(ngModel)]='wip' name='wip'
									class='form-control' [placeholder]="l('Wip')"
									type='text' (keyup.enter)='searchDatas()'&gt;
								&lt;/div&gt;
								&lt;div class='input-search'&gt;
									&lt;input [(ngModel)]='productionId' name='productionId'
									class='form-control' [placeholder]="l('Production Id')"
									type='text' (keyup.enter)='searchDatas()'&gt;
								&lt;/div&gt;
								&lt;div class='input-search'&gt;
									&lt;input [(ngModel)]='finalPrice' name='finalPrice'
									class='form-control' [placeholder]="l('Final Price')"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[(ngModel)]='earmarkedFundItem' name='earmarkedFundItem'
									class='form-control' [placeholder]="l('Earmarked Fund Item')"
									type='text' (keyup.enter)='searchDatas()'&gt;
								&lt;/div&gt;
								&lt;div class='input-search'&gt;
									&lt;input [(ngModel)]='giUom' name='giUom'
									class='form-control' [placeholder]="l('Gi Uom')"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(click)="createOrEditModalFQF3MM02.show()"&gt;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(click)="createOrEditModalFQF3MM02.show(selectedRow)"&gt;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&lt;create-or-edit-fqf3mm02-modal
    #createOrEditModalFQF3MM02
    (modalSave)="callBackDataGrid(dataParams)"
    (modalClose)="onChangeRowSelection(dataParams)"
&gt;
&lt;/create-or-edit-fqf3mm02-modal&gt;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#createOrEditModalFQF3MM02="bs-modal"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FQF3MM02')}}&lt;/h3&gt;
                    &lt;h3 *ngIf="!rowdata.id"&gt;{{('Create New FQF3MM02')}}&lt;/h3&gt;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title'&gt;Maru Code&lt;/label&gt;
						&lt;new-checkbox [(ngModel)]='_maruCode' name='maruCode' className='col-md-10' &gt; &lt;/new-checkbox&gt;
					&lt;/div&gt;
					&lt;div class='col-md-12 form-group row'&gt;
						&lt;label class='col-md-2 form-control title'&gt;Receiving Stock Line&lt;/label&gt;
						&lt;input type='text' class='col-md-10 form-control input-text' name='ReceivingStockLine' [(ngModel)]='rowdata.receivingStockLine'&gt;
					&lt;/div&gt;
					&lt;div class='col-md-12 form-group row'&gt;
						&lt;label class='col-md-2 form-control title'&gt;Production Date&lt;/label&gt;
						&lt;input type='text' class='col-md-10 form-control input-text' name='ProductionDate' [(ngModel)]='rowdata.productionDate'&gt;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title'&gt;Grgi No&lt;/label&gt;
						&lt;input type='text' class='col-md-10 form-control input-text' name='GrgiNo' [(ngModel)]='rowdata.grgiNo'&gt;
					&lt;/div&gt;
					&lt;div class='col-md-12 form-group row'&gt;
						&lt;label class='col-md-2 form-control title'&gt;Grgi Type&lt;/label&gt;
						&lt;input type='text' class='col-md-10 form-control input-text' name='GrgiType' [(ngModel)]='rowdata.grgiType'&gt;
					&lt;/div&gt;
					&lt;div class='col-md-12 form-group row'&gt;
						&lt;label class='col-md-2 form-control title'&gt;Material Doc Type&lt;/label&gt;
						&lt;new-checkbox [(ngModel)]='_materialDocType' name='materialDocType' className='col-md-10' &gt; &lt;/new-checkbox&gt;
					&lt;/div&gt;
					&lt;div class='col-md-12 form-group row'&gt;
						&lt;label class='col-md-2 form-control title'&gt;Material Quantity&lt;/label&gt;
						&lt;input type='text' class='col-md-10 form-control input-text' name='MaterialQuantity' [(ngModel)]='rowdata.materialQuantity'&gt;
					&lt;/div&gt;
					&lt;div class='col-md-12 form-group row'&gt;
						&lt;label class='col-md-2 form-control title'&gt;Spoiled Material Quantity&lt;/label&gt;
						&lt;input type='text' class='col-md-10 form-control input-text' name='SpoiledMaterialQuantity' [(ngModel)]='rowdata.spoiledMaterialQuantity'&gt;
					&lt;/div&gt;
					&lt;div class='col-md-12 form-group row'&gt;
						&lt;label class='col-md-2 form-control title'&gt;Related Part Receive No&lt;/label&gt;
						&lt;new-checkbox [(ngModel)]='_relatedPartReceiveNo' name='relatedPartReceiveNo' className='col-md-10' &gt; &lt;/new-checkbox&gt;
					&lt;/div&gt;
					&lt;div class='col-md-12 form-group row'&gt;
						&lt;label class='col-md-2 form-control title'&gt;Related Gr Type&lt;/label&gt;
						&lt;input type='text' class='col-md-10 form-control input-text' name='RelatedGrType' [(ngModel)]='rowdata.relatedGrType'&gt;
					&lt;/div&gt;
					&lt;div class='col-md-12 form-group row'&gt;
						&lt;label class='col-md-2 form-control title'&gt;Related Gr Transaction Type&lt;/label&gt;
						&lt;input type='text' class='col-md-10 form-control input-text' name='RelatedGrTransactionType' [(ngModel)]='rowdata.relatedGrTransactionType'&gt;
					&lt;/div&gt;
					&lt;div class='col-md-12 form-group row'&gt;
						&lt;label class='col-md-2 form-control title'&gt;In-House Part Quantity Receive&lt;/label&gt;
						&lt;input type='text' class='col-md-10 form-control input-text' name='In-HousePartQuantityReceive' [(ngModel)]='rowdata.in-HousePartQuantityReceive'&gt;
					&lt;/div&gt;
					&lt;div class='col-md-12 form-group row'&gt;
						&lt;label class='col-md-2 form-control title'&gt;Related Gi Type&lt;/label&gt;
						&lt;input type='text' class='col-md-10 form-control input-text' name='RelatedGiType' [(ngModel)]='rowdata.relatedGiType'&gt;
					&lt;/div&gt;
					&lt;div class='col-md-12 form-group row'&gt;
						&lt;label class='col-md-2 form-control title'&gt;Related Spoiled Part Quantity Issued&lt;/label&gt;
						&lt;input type='text' class='col-md-10 form-control input-text' name='RelatedSpoiledPartQuantityIssued' [(ngModel)]='rowdata.relatedSpoiledPartQuantityIssued'&gt;
					&lt;/div&gt;
					&lt;div class='col-md-12 form-group row'&gt;
						&lt;label class='col-md-2 form-control title'&gt;Wip&lt;/label&gt;
						&lt;new-checkbox [(ngModel)]='_wip' name='wip' className='col-md-10' &gt; &lt;/new-checkbox&gt;
					&lt;/div&gt;
					&lt;div class='col-md-12 form-group row'&gt;
						&lt;label class='col-md-2 form-control title'&gt;Production Id&lt;/label&gt;
						&lt;input type='text' class='col-md-10 form-control input-text' name='ProductionId' [(ngModel)]='rowdata.productionId'&gt;
					&lt;/div&gt;
					&lt;div class='col-md-12 form-group row'&gt;
						&lt;label class='col-md-2 form-control title'&gt;Final Price&lt;/label&gt;
						&lt;input type='text' class='col-md-10 form-control input-text' name='FinalPrice' [(ngModel)]='rowdata.finalPrice'&gt;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title'&gt;Earmarked Fund Item&lt;/label&gt;
						&lt;input type='text' class='col-md-10 form-control input-text' name='EarmarkedFundItem' [(ngModel)]='rowdata.earmarkedFundItem'&gt;
					&lt;/div&gt;
					&lt;div class='col-md-12 form-group row'&gt;
						&lt;label class='col-md-2 form-control title'&gt;Gi Uom&lt;/label&gt;
						&lt;input type='text' class='col-md-10 form-control input-text' name='GiUom' [(ngModel)]='rowdata.giUom'&gt;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CreateOrEditIF_FQF3MM02Dto, IF_FQF3MM02ServiceProxy } from '@shared/service-proxies/service-proxies';
import { BsDatepickerDirective } from 'ngx-bootstrap/datepicker';
@Component({
    selector: 'create-or-edit-fqf3mm02-modal',
    templateUrl: './create-or-edit-fqf3mm02-modal.component.html',
    styleUrls: ['./create-or-edit-fqf3mm02-modal.component.less']
    })
export class CreateOrEditFQF3MM02ModalComponent extends AppComponentBase {
    @ViewChild('createOrEditModalFQF3MM02',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CreateOrEditIF_FQF3MM02Dto = new CreateOrEditIF_FQF3MM02Dto();
    active: boolean = false;
    saving: boolean = false;
    _maruCode
materialDocType
relatedPartReceiveNo
wip
: boolean;
    constructor(
        injector: Injector,
        private _mstwptFQF3MM02Service: IF_FQF3MM02ServiceProxy,
    ) 
    {
        super(injector);
    }
    show(rowdata?: CreateOrEditIF_FQF3MM02Dto): void {
        if (!rowdata) this.rowdata = new CreateOrEditIF_FQF3MM02Dto();
        else this.rowdata = rowdata;
        this._maruCode
materialDocType
relatedPartReceiveNo
wip
 = (this.rowdata.maruCode
materialDocType
relatedPartReceiveNo
wip
 == "N")? false: true;
        this.active = true;
        this.modal.show();
    } 
    changeActive(event){
        this._maruCode
materialDocType
relatedPartReceiveNo
wip
 = event.target.checked;
    }
    save(): void {
    this.saving = true; 
    this.rowdata.maruCode
materialDocType
relatedPartReceiveNo
wip
 = (this._maruCode
materialDocType
relatedPartReceiveNo
wip
 == true) ? 'Y' : 'N'
    this._mstwptFQF3MM02Service.createOrEdit(this.rowdata)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FQF3MM02RoutingModule } from './fqf3mm02-routing.module';
import { FQF3MM02Component } from './fqf3mm02.component';
import { CreateOrEditFQF3MM02ModalComponent } from './create-or-edit-fqf3mm02-modal.component';
@NgModule({
    declarations: [
       FQF3MM02Component, 
        CreateOrEditFQF3MM02ModalComponent
    ],
    imports: [
        AppSharedModule, FQF3MM02RoutingModule]
})
export class FQF3MM02Module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FQF3MM02Component } from './fqf3mm02.component';
const routes: Routes = [{
    path: '',
    component: FQF3MM02Component,
    pathMatch: 'full'
}];
@NgModule({
    imports: [RouterModule.forChild(routes)],
    exports: [RouterModule],
})
export class FQF3MM02RoutingModule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AppMenuItem("FQF3MM02", "Pages.IF.IF.FQF3MM02", "flaticon-book",   "/app/main/if/if/fqf3mm02"),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'if/if/fqf3mm02',
    loadChildren: () =&gt; import('./if/if/fqf3mm02/fqf3mm02.module').then(m =&gt; m.FQF3MM02Module),
    data: { permission: 'Pages.IF.IF.FQF3MM02' }
},</v>
      </c>
      <c r="R10" s="47" t="str">
        <f>SUBSTITUTE(R9,"MstWptCalendar",$B$6)</f>
        <v>ApiServiceProxies.IF_FQF3MM02ServiceProxy,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H53</v>
      </c>
      <c r="I12" s="28" t="str">
        <f>"I"&amp;COUNTA($A:$A)</f>
        <v>I53</v>
      </c>
      <c r="J12" s="28"/>
      <c r="K12" s="28" t="str">
        <f>"K"&amp;COUNTA($A:$A)</f>
        <v>K53</v>
      </c>
      <c r="L12" s="28" t="str">
        <f>"L"&amp;COUNTA($A:$A)</f>
        <v>L53</v>
      </c>
      <c r="M12" s="28"/>
      <c r="N12" s="28"/>
      <c r="O12" s="28"/>
      <c r="P12" s="28"/>
      <c r="Q12" s="28"/>
      <c r="R12" s="28"/>
      <c r="S12" s="28" t="str">
        <f>"S"&amp;COUNTA($A:$A)</f>
        <v>S53</v>
      </c>
      <c r="T12" s="28" t="str">
        <f>"T"&amp;COUNTA($A:$A)</f>
        <v>T53</v>
      </c>
      <c r="U12" s="28" t="str">
        <f>"U"&amp;COUNTA($A:$A)</f>
        <v>U53</v>
      </c>
      <c r="V12" s="28" t="str">
        <f>"V"&amp;COUNTA($A:$A)</f>
        <v>V53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this.l('Company Code'),headerTooltip: this.l('Company Code'),field: 'companyCode',flex: 1},
			{headerName: this.l('Plant Code'),headerTooltip: this.l('Plant Code'),field: 'plantCode',flex: 1},
			{headerName: this.l('Maru Code'),headerTooltip: this.l('Maru Code'),field:  'maruCode', cellClass: ['text-center'], width: 120, cellRenderer: 'agCellButtonComponent',
buttonDefTwo: { text: params =&gt; (params.data?.'maruCode' == 'Y') ? 'Active' : 'Inactive',iconName: 'fa fa-circle',className: params =&gt; (params.data?.'maruCode' == 'Y') ? 'btnActive' : 'btnInActive',},}
			{headerName: this.l('Receiving Stock Line'),headerTooltip: this.l('Receiving Stock Line'),field: 'receivingStockLine',flex: 1},
			{headerName: this.l('Production Date'),headerTooltip: this.l('Production Date'),field: 'productionDate',flex: 1},
			{headerName: this.l('Posting Date'),headerTooltip: this.l('Posting Date'),field: 'postingDate',flex: 1},
			{headerName: this.l('Part Code'),headerTooltip: this.l('Part Code'),field: 'partCode',flex: 1},
			{headerName: this.l('Quantity'),headerTooltip: this.l('Quantity'),field: 'quantity',flex: 1},
			{headerName: this.l('Spoiled Parts Quantity'),headerTooltip: this.l('Spoiled Parts Quantity'),field: 'spoiledPartsQuantity',flex: 1},
			{headerName: this.l('Spoiled Material Quantity'),headerTooltip: this.l('Spoiled Material Quantity'),field: 'spoiledMaterialQuantity',flex: 1},
			{headerName: this.l('Material Code'),headerTooltip: this.l('Material Code'),field: 'materialCode',flex: 1},
			{headerName: this.l('Free Shot Quantity'),headerTooltip: this.l('Free Shot Quantity'),field: 'freeShotQuantity',flex: 1},
			{headerName: this.l('Recycled Quantity'),headerTooltip: this.l('Recycled Quantity'),field: 'recycledQuantity',flex: 1},
			{headerName: this.l('Cost Center'),headerTooltip: this.l('Cost Center'),field: 'costCenter',flex: 1},
			{headerName: this.l('Normal Cancel Flag'),headerTooltip: this.l('Normal Cancel Flag'),field: 'normalCancelFlag',flex: 1},
			{headerName: this.l('Grgi No'),headerTooltip: this.l('Grgi No'),field: 'grgiNo',flex: 1},
			{headerName: this.l('Grgi Type'),headerTooltip: this.l('Grgi Type'),field: 'grgiType',flex: 1},
			{headerName: this.l('Material Doc Type'),headerTooltip: this.l('Material Doc Type'),field:  'materialDocType', cellClass: ['text-center'], width: 120, cellRenderer: 'agCellButtonComponent',
buttonDefTwo: { text: params =&gt; (params.data?.'materialDocType' == 'Y') ? 'Active' : 'Inactive',iconName: 'fa fa-circle',className: params =&gt; (params.data?.'materialDocType' == 'Y') ? 'btnActive' : 'btnInActive',},}
			{headerName: this.l('Material Quantity'),headerTooltip: this.l('Material Quantity'),field: 'materialQuantity',flex: 1},
			{headerName: this.l('Spoiled Material Quantity'),headerTooltip: this.l('Spoiled Material Quantity'),field: 'spoiledMaterialQuantity',flex: 1},
			{headerName: this.l('Related Part Receive No'),headerTooltip: this.l('Related Part Receive No'),field:  'relatedPartReceiveNo', cellClass: ['text-center'], width: 120, cellRenderer: 'agCellButtonComponent',
buttonDefTwo: { text: params =&gt; (params.data?.'relatedPartReceiveNo' == 'Y') ? 'Active' : 'Inactive',iconName: 'fa fa-circle',className: params =&gt; (params.data?.'relatedPartReceiveNo' == 'Y') ? 'btnActive' : 'btnInActive',},}
			{headerName: this.l('Related Gr Type'),headerTooltip: this.l('Related Gr Type'),field: 'relatedGrType',flex: 1},
			{headerName: this.l('Related Gr Transaction Type'),headerTooltip: this.l('Related Gr Transaction Type'),field: 'relatedGrTransactionType',flex: 1},
			{headerName: this.l('In-House Part Quantity Receive'),headerTooltip: this.l('In-House Part Quantity Receive'),field: 'in-HousePartQuantityReceive',flex: 1},
			{headerName: this.l('Related Part Issue No'),headerTooltip: this.l('Related Part Issue No'),field: 'relatedPartIssueNo',flex: 1},
			{headerName: this.l('Related Gi Type'),headerTooltip: this.l('Related Gi Type'),field: 'relatedGiType',flex: 1},
			{headerName: this.l('Related Gi Transaction Type'),headerTooltip: this.l('Related Gi Transaction Type'),field: 'relatedGiTransactionType',flex: 1},
			{headerName: this.l('Related In-House Part Quantity Issued'),headerTooltip: this.l('Related In-House Part Quantity Issued'),field: 'relatedIn-HousePartQuantityIssued',flex: 1},
			{headerName: this.l('Related Spoiled Part Quantity Issued'),headerTooltip: this.l('Related Spoiled Part Quantity Issued'),field: 'relatedSpoiledPartQuantityIssued',flex: 1},
			{headerName: this.l('Wip'),headerTooltip: this.l('Wip'),field:  'wip', cellClass: ['text-center'], width: 120, cellRenderer: 'agCellButtonComponent',
buttonDefTwo: { text: params =&gt; (params.data?.'wip' == 'Y') ? 'Active' : 'Inactive',iconName: 'fa fa-circle',className: params =&gt; (params.data?.'wip' == 'Y') ? 'btnActive' : 'btnInActive',},}
			{headerName: this.l('Production Id'),headerTooltip: this.l('Production Id'),field: 'productionId',flex: 1},
			{headerName: this.l('Final Price'),headerTooltip: this.l('Final Price'),field: 'finalPrice',flex: 1},
			{headerName: this.l('Wbs'),headerTooltip: this.l('Wbs'),field: 'wbs',flex: 1},
			{headerName: this.l('Earmarked Fund'),headerTooltip: this.l('Earmarked Fund'),field: 'earmarkedFund',flex: 1},
			{headerName: this.l('Earmarked Fund Item'),headerTooltip: this.l('Earmarked Fund Item'),field: 'earmarkedFundItem',flex: 1},
			{headerName: this.l('P-Sms Code'),headerTooltip: this.l('P-Sms Code'),field: 'p-SmsCode',flex: 1},
			{headerName: this.l('Gi Uom'),headerTooltip: this.l('Gi Uom'),field: 'giUom',flex: 1},
			{headerName: this.l('Ending Of Record'),headerTooltip: this.l('Ending Of Record'),field: 'endingOfRecord',flex: 1},</v>
      </c>
      <c r="I13" s="35" t="str">
        <f ca="1">TEXTJOIN2("
",TRUE,INDIRECT(I11):INDIRECT(I12))</f>
        <v xml:space="preserve">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[(ngModel)]='receivingStockLine' name='receivingStockLine'
									class='form-control' [placeholder]="l('Receiving Stock Line')"
									type='text' (keyup.enter)='searchDatas()'&gt;
								&lt;/div&gt;
								&lt;div class='input-search'&gt;
									&lt;input [(ngModel)]='productionDate' name='productionDate'
									class='form-control' [placeholder]="l('Production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[(ngModel)]='grgiNo' name='grgiNo'
									class='form-control' [placeholder]="l('Grgi No')"
									type='text' (keyup.enter)='searchDatas()'&gt;
								&lt;/div&gt;
								&lt;div class='input-search'&gt;
									&lt;input [(ngModel)]='grgiType' name='grgiType'
									class='form-control' [placeholder]="l('Grgi Type')"
									type='text' (keyup.enter)='searchDatas()'&gt;
								&lt;/div&gt;
								&lt;div class='input-search'&gt;
									&lt;input [(ngModel)]='materialDocType' name='materialDocType'
									class='form-control' [placeholder]="l('Material Doc Type')"
									type='text' (keyup.enter)='searchDatas()'&gt;
								&lt;/div&gt;
								&lt;div class='input-search'&gt;
									&lt;input [(ngModel)]='materialQuantity' name='materialQuantity'
									class='form-control' [placeholder]="l('Material Quantity')"
									type='text' (keyup.enter)='searchDatas()'&gt;
								&lt;/div&gt;
								&lt;div class='input-search'&gt;
									&lt;input [(ngModel)]='spoiledMaterialQuantity' name='spoiledMaterialQuantity'
									class='form-control' [placeholder]="l('Spoiled Material Quantity')"
									type='text' (keyup.enter)='searchDatas()'&gt;
								&lt;/div&gt;
								&lt;div class='input-search'&gt;
									&lt;input [(ngModel)]='relatedPartReceiveNo' name='relatedPartReceiveNo'
									class='form-control' [placeholder]="l('Related Part Receive No')"
									type='text' (keyup.enter)='searchDatas()'&gt;
								&lt;/div&gt;
								&lt;div class='input-search'&gt;
									&lt;input [(ngModel)]='relatedGrType' name='relatedGrType'
									class='form-control' [placeholder]="l('Related Gr Type')"
									type='text' (keyup.enter)='searchDatas()'&gt;
								&lt;/div&gt;
								&lt;div class='input-search'&gt;
									&lt;input [(ngModel)]='relatedGrTransactionType' name='relatedGrTransactionType'
									class='form-control' [placeholder]="l('Related Gr Transaction Type')"
									type='text' (keyup.enter)='searchDatas()'&gt;
								&lt;/div&gt;
								&lt;div class='input-search'&gt;
									&lt;input [(ngModel)]='in-HousePartQuantityReceive' name='in-HousePartQuantityReceive'
									class='form-control' [placeholder]="l('In-House Part Quantity Receive')"
									type='text' (keyup.enter)='searchDatas()'&gt;
								&lt;/div&gt;
								&lt;div class='input-search'&gt;
									&lt;input [(ngModel)]='relatedGiType' name='relatedGiType'
									class='form-control' [placeholder]="l('Related Gi Type')"
									type='text' (keyup.enter)='searchDatas()'&gt;
								&lt;/div&gt;
								&lt;div class='input-search'&gt;
									&lt;input [(ngModel)]='relatedSpoiledPartQuantityIssued' name='relatedSpoiledPartQuantityIssued'
									class='form-control' [placeholder]="l('Related Spoiled Part Quantity Issued')"
									type='text' (keyup.enter)='searchDatas()'&gt;
								&lt;/div&gt;
								&lt;div class='input-search'&gt;
									&lt;input [(ngModel)]='wip' name='wip'
									class='form-control' [placeholder]="l('Wip')"
									type='text' (keyup.enter)='searchDatas()'&gt;
								&lt;/div&gt;
								&lt;div class='input-search'&gt;
									&lt;input [(ngModel)]='productionId' name='productionId'
									class='form-control' [placeholder]="l('Production Id')"
									type='text' (keyup.enter)='searchDatas()'&gt;
								&lt;/div&gt;
								&lt;div class='input-search'&gt;
									&lt;input [(ngModel)]='finalPrice' name='finalPrice'
									class='form-control' [placeholder]="l('Final Price')"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[(ngModel)]='earmarkedFundItem' name='earmarkedFundItem'
									class='form-control' [placeholder]="l('Earmarked Fund Item')"
									type='text' (keyup.enter)='searchDatas()'&gt;
								&lt;/div&gt;
								&lt;div class='input-search'&gt;
									&lt;input [(ngModel)]='giUom' name='giUom'
									class='form-control' [placeholder]="l('Gi Uom')"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title'&gt;Maru Code&lt;/label&gt;
						&lt;new-checkbox [(ngModel)]='_maruCode' name='maruCode' className='col-md-10' &gt; &lt;/new-checkbox&gt;
					&lt;/div&gt;
					&lt;div class='col-md-12 form-group row'&gt;
						&lt;label class='col-md-2 form-control title'&gt;Receiving Stock Line&lt;/label&gt;
						&lt;input type='text' class='col-md-10 form-control input-text' name='ReceivingStockLine' [(ngModel)]='rowdata.receivingStockLine'&gt;
					&lt;/div&gt;
					&lt;div class='col-md-12 form-group row'&gt;
						&lt;label class='col-md-2 form-control title'&gt;Production Date&lt;/label&gt;
						&lt;input type='text' class='col-md-10 form-control input-text' name='ProductionDate' [(ngModel)]='rowdata.productionDate'&gt;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title'&gt;Grgi No&lt;/label&gt;
						&lt;input type='text' class='col-md-10 form-control input-text' name='GrgiNo' [(ngModel)]='rowdata.grgiNo'&gt;
					&lt;/div&gt;
					&lt;div class='col-md-12 form-group row'&gt;
						&lt;label class='col-md-2 form-control title'&gt;Grgi Type&lt;/label&gt;
						&lt;input type='text' class='col-md-10 form-control input-text' name='GrgiType' [(ngModel)]='rowdata.grgiType'&gt;
					&lt;/div&gt;
					&lt;div class='col-md-12 form-group row'&gt;
						&lt;label class='col-md-2 form-control title'&gt;Material Doc Type&lt;/label&gt;
						&lt;new-checkbox [(ngModel)]='_materialDocType' name='materialDocType' className='col-md-10' &gt; &lt;/new-checkbox&gt;
					&lt;/div&gt;
					&lt;div class='col-md-12 form-group row'&gt;
						&lt;label class='col-md-2 form-control title'&gt;Material Quantity&lt;/label&gt;
						&lt;input type='text' class='col-md-10 form-control input-text' name='MaterialQuantity' [(ngModel)]='rowdata.materialQuantity'&gt;
					&lt;/div&gt;
					&lt;div class='col-md-12 form-group row'&gt;
						&lt;label class='col-md-2 form-control title'&gt;Spoiled Material Quantity&lt;/label&gt;
						&lt;input type='text' class='col-md-10 form-control input-text' name='SpoiledMaterialQuantity' [(ngModel)]='rowdata.spoiledMaterialQuantity'&gt;
					&lt;/div&gt;
					&lt;div class='col-md-12 form-group row'&gt;
						&lt;label class='col-md-2 form-control title'&gt;Related Part Receive No&lt;/label&gt;
						&lt;new-checkbox [(ngModel)]='_relatedPartReceiveNo' name='relatedPartReceiveNo' className='col-md-10' &gt; &lt;/new-checkbox&gt;
					&lt;/div&gt;
					&lt;div class='col-md-12 form-group row'&gt;
						&lt;label class='col-md-2 form-control title'&gt;Related Gr Type&lt;/label&gt;
						&lt;input type='text' class='col-md-10 form-control input-text' name='RelatedGrType' [(ngModel)]='rowdata.relatedGrType'&gt;
					&lt;/div&gt;
					&lt;div class='col-md-12 form-group row'&gt;
						&lt;label class='col-md-2 form-control title'&gt;Related Gr Transaction Type&lt;/label&gt;
						&lt;input type='text' class='col-md-10 form-control input-text' name='RelatedGrTransactionType' [(ngModel)]='rowdata.relatedGrTransactionType'&gt;
					&lt;/div&gt;
					&lt;div class='col-md-12 form-group row'&gt;
						&lt;label class='col-md-2 form-control title'&gt;In-House Part Quantity Receive&lt;/label&gt;
						&lt;input type='text' class='col-md-10 form-control input-text' name='In-HousePartQuantityReceive' [(ngModel)]='rowdata.in-HousePartQuantityReceive'&gt;
					&lt;/div&gt;
					&lt;div class='col-md-12 form-group row'&gt;
						&lt;label class='col-md-2 form-control title'&gt;Related Gi Type&lt;/label&gt;
						&lt;input type='text' class='col-md-10 form-control input-text' name='RelatedGiType' [(ngModel)]='rowdata.relatedGiType'&gt;
					&lt;/div&gt;
					&lt;div class='col-md-12 form-group row'&gt;
						&lt;label class='col-md-2 form-control title'&gt;Related Spoiled Part Quantity Issued&lt;/label&gt;
						&lt;input type='text' class='col-md-10 form-control input-text' name='RelatedSpoiledPartQuantityIssued' [(ngModel)]='rowdata.relatedSpoiledPartQuantityIssued'&gt;
					&lt;/div&gt;
					&lt;div class='col-md-12 form-group row'&gt;
						&lt;label class='col-md-2 form-control title'&gt;Wip&lt;/label&gt;
						&lt;new-checkbox [(ngModel)]='_wip' name='wip' className='col-md-10' &gt; &lt;/new-checkbox&gt;
					&lt;/div&gt;
					&lt;div class='col-md-12 form-group row'&gt;
						&lt;label class='col-md-2 form-control title'&gt;Production Id&lt;/label&gt;
						&lt;input type='text' class='col-md-10 form-control input-text' name='ProductionId' [(ngModel)]='rowdata.productionId'&gt;
					&lt;/div&gt;
					&lt;div class='col-md-12 form-group row'&gt;
						&lt;label class='col-md-2 form-control title'&gt;Final Price&lt;/label&gt;
						&lt;input type='text' class='col-md-10 form-control input-text' name='FinalPrice' [(ngModel)]='rowdata.finalPrice'&gt;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title'&gt;Earmarked Fund Item&lt;/label&gt;
						&lt;input type='text' class='col-md-10 form-control input-text' name='EarmarkedFundItem' [(ngModel)]='rowdata.earmarkedFundItem'&gt;
					&lt;/div&gt;
					&lt;div class='col-md-12 form-group row'&gt;
						&lt;label class='col-md-2 form-control title'&gt;Gi Uom&lt;/label&gt;
						&lt;input type='text' class='col-md-10 form-control input-text' name='GiUom' [(ngModel)]='rowdata.giUom'&gt;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 : string = '' ; 
	companyCode : string = '' ; 
	plantCode : string = '' ; 
	maruCode : string = '' ; 
	receivingStockLine : string = '' ; 
	productionDate : string = '' ; 
	postingDate : string = '' ; 
	partCode : string = '' ; 
	quantity
	spoiledPartsQuantity
	spoiledMaterialQuantity
	materialCode
	freeShotQuantity
	recycledQuantity
	costCenter
	normalCancelFlag : string = '' ; 
	grgiNo : string = '' ; 
	grgiType : string = '' ; 
	materialDocType : string = '' ; 
	materialQuantity : string = '' ; 
	spoiledMaterialQuantity : string = '' ; 
	relatedPartReceiveNo : string = '' ; 
	relatedGrType : string = '' ; 
	relatedGrTransactionType : string = '' ; 
	in-HousePartQuantityReceive : string = '' ; 
	relatedPartIssueNo
	relatedGiType : string = '' ; 
	relatedGiTransactionType
	relatedIn-HousePartQuantityIssued
	relatedSpoiledPartQuantityIssued : string = '' ; 
	wip : string = '' ; 
	productionId : string = '' ; 
	finalPrice : string = '' ; 
	wbs : string = '' ; 
	earmarkedFund
	earmarkedFundItem : string = '' ; 
	p-SmsCode
	giUom : string = '' ; 
	endingOfRecord</v>
      </c>
      <c r="T13" s="62" t="str">
        <f ca="1">TEXTJOIN2("
",TRUE,INDIRECT(T11):INDIRECT(T12))</f>
        <v xml:space="preserve">			this.recordId,
			this.companyCode,
			this.plantCode,
			this.maruCode,
			this.receivingStockLine,
			this.productionDate,
			this.postingDate,
			this.partCode,
			this.quantity,
			this.spoiledPartsQuantity,
			this.spoiledMaterialQuantity,
			this.materialCode,
			this.freeShotQuantity,
			this.recycledQuantity,
			this.costCenter,
			this.normalCancelFlag,
			this.grgiNo,
			this.grgiType,
			this.materialDocType,
			this.materialQuantity,
			this.spoiledMaterialQuantity,
			this.relatedPartReceiveNo,
			this.relatedGrType,
			this.relatedGrTransactionType,
			this.in-HousePartQuantityReceive,
			this.relatedPartIssueNo,
			this.relatedGiType,
			this.relatedGiTransactionType,
			this.relatedIn-HousePartQuantityIssued,
			this.relatedSpoiledPartQuantityIssued,
			this.wip,
			this.productionId,
			this.finalPrice,
			this.wbs,
			this.earmarkedFund,
			this.earmarkedFundItem,
			this.p-SmsCode,
			this.giUom,
			this.endingOfRecord,</v>
      </c>
      <c r="U13" s="62" t="str">
        <f ca="1">TEXTJOIN2("
",TRUE,INDIRECT(U11):INDIRECT(U12))</f>
        <v xml:space="preserve">		this.recordId = '',
		this.companyCode = '',
		this.plantCode = '',
		this.maruCode = '',
		this.receivingStockLine = '',
		this.productionDate = '',
		this.postingDate = '',
		this.partCode = '',
		this.quantity = '',
		this.spoiledPartsQuantity = '',
		this.spoiledMaterialQuantity = '',
		this.materialCode = '',
		this.freeShotQuantity = '',
		this.recycledQuantity = '',
		this.costCenter = '',
		this.normalCancelFlag = '',
		this.grgiNo = '',
		this.grgiType = '',
		this.materialDocType = '',
		this.materialQuantity = '',
		this.spoiledMaterialQuantity = '',
		this.relatedPartReceiveNo = '',
		this.relatedGrType = '',
		this.relatedGrTransactionType = '',
		this.in-HousePartQuantityReceive = '',
		this.relatedPartIssueNo = '',
		this.relatedGiType = '',
		this.relatedGiTransactionType = '',
		this.relatedIn-HousePartQuantityIssued = '',
		this.relatedSpoiledPartQuantityIssued = '',
		this.wip = '',
		this.productionId = '',
		this.finalPrice = '',
		this.wbs = '',
		this.earmarkedFund = '',
		this.earmarkedFundItem = '',
		this.p-SmsCode = '',
		this.giUom = '',
		this.endingOfRecord = '',</v>
      </c>
      <c r="V13" s="28" t="str">
        <f ca="1">TEXTJOIN2("
",TRUE,INDIRECT(V11):INDIRECT(V12))</f>
        <v xml:space="preserve">maruCode
materialDocType
relatedPartReceiveNo
wip
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fqf3mm02.component.ts</v>
      </c>
      <c r="I14" s="37" t="str">
        <f>B8&amp;".component.html"</f>
        <v>fqf3mm02.component.html</v>
      </c>
      <c r="J14" s="36" t="str">
        <f>B8&amp;".component.less"</f>
        <v>fqf3mm02.component.less</v>
      </c>
      <c r="K14" s="37" t="str">
        <f>"create-or-edit-"&amp;B8&amp;"-modal.component.html"</f>
        <v>create-or-edit-fqf3mm02-modal.component.html</v>
      </c>
      <c r="L14" s="37" t="str">
        <f>"create-or-edit-"&amp;B8&amp;"-modal.component.ts"</f>
        <v>create-or-edit-fqf3mm02-modal.component.ts</v>
      </c>
      <c r="M14" s="37" t="str">
        <f>"create-or-edit-"&amp;B8&amp;"-modal.component.less"</f>
        <v>create-or-edit-fqf3mm02-modal.component.less</v>
      </c>
      <c r="N14" s="37" t="str">
        <f>B8&amp;".module.ts"</f>
        <v>fqf3mm02.module.ts</v>
      </c>
      <c r="O14" s="37" t="str">
        <f>B8&amp;"-routing.module.ts"</f>
        <v>fqf3mm02-routing.module.ts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365</v>
      </c>
      <c r="B15" s="28" t="str">
        <f t="shared" ref="B15:B47" si="0">SUBSTITUTE(PROPER(A15),"_","")</f>
        <v>RecordId</v>
      </c>
      <c r="C15" s="28" t="str">
        <f t="shared" ref="C15:C47" si="1">SUBSTITUTE(PROPER(A15),"_"," ")</f>
        <v>Record Id</v>
      </c>
      <c r="D15" s="28" t="str">
        <f t="shared" ref="D15:D47" si="2">LOWER(LEFT(B15,1))&amp;RIGHT(B15,LEN(B15) - 1)</f>
        <v>recordId</v>
      </c>
      <c r="E15" s="28" t="str">
        <f>A.Backend!H9</f>
        <v>string</v>
      </c>
      <c r="F15" s="28" t="str">
        <f>A.Backend!G9</f>
        <v>7</v>
      </c>
      <c r="G15" s="28" t="str">
        <f t="shared" ref="G15:G53" si="3">IF(E15="string"," : string = '' ; ",IF(OR(E15="DateTime",E15="TimeSpan")," : any ;",IF(E15="int"," : number = 0 ;","")))</f>
        <v xml:space="preserve"> : string = '' ; </v>
      </c>
      <c r="H15" s="35" t="str">
        <f t="shared" ref="H15:H5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5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5" s="28"/>
      <c r="K15" s="35" t="str">
        <f t="shared" ref="K15:K5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</v>
      </c>
      <c r="L15" s="56" t="str">
        <f t="shared" ref="L15:L4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 : string = '' ; 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53" si="8">IF(AND(E15="string",F15="1"),D15,"")</f>
        <v/>
      </c>
    </row>
    <row r="16" spans="1:22" ht="18" customHeight="1" x14ac:dyDescent="0.25">
      <c r="A16" t="s">
        <v>366</v>
      </c>
      <c r="B16" s="28" t="str">
        <f t="shared" ref="B16" si="9">SUBSTITUTE(PROPER(A16),"_","")</f>
        <v>CompanyCode</v>
      </c>
      <c r="C16" s="28" t="str">
        <f t="shared" ref="C16" si="10">SUBSTITUTE(PROPER(A16),"_"," ")</f>
        <v>Company Code</v>
      </c>
      <c r="D16" s="28" t="str">
        <f t="shared" ref="D16" si="11">LOWER(LEFT(B16,1))&amp;RIGHT(B16,LEN(B16) - 1)</f>
        <v>companyCode</v>
      </c>
      <c r="E16" s="28" t="str">
        <f>A.Backend!H10</f>
        <v>string</v>
      </c>
      <c r="F16" s="28" t="str">
        <f>A.Backend!G10</f>
        <v>8</v>
      </c>
      <c r="G16" s="28" t="str">
        <f t="shared" si="3"/>
        <v xml:space="preserve"> : string = '' ; </v>
      </c>
      <c r="H16" s="35" t="str">
        <f t="shared" si="4"/>
        <v xml:space="preserve">			{headerName: this.l('Company Code'),headerTooltip: this.l('Company Code'),field: 'companyCode',flex: 1},</v>
      </c>
      <c r="I16" s="35" t="str">
        <f t="shared" si="5"/>
        <v xml:space="preserve">								&lt;div class='input-search'&gt;
									&lt;input [(ngModel)]='companyCode' name='companyCode'
									class='form-control' [placeholder]="l('Company Code')"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title'&gt;Company Code&lt;/label&gt;
						&lt;input type='text' class='col-md-10 form-control input-text' name='CompanyCode' [(ngModel)]='rowdata.companyCode'&gt;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53" si="13">REPT(CHAR(9),1)&amp;D16&amp;G16</f>
        <v xml:space="preserve">	companyCode : string = '' ; </v>
      </c>
      <c r="T16" s="28" t="str">
        <f t="shared" ref="T16:T53" si="14">REPT(CHAR(9),3)&amp;"this."&amp;D16&amp;","</f>
        <v xml:space="preserve">			this.companyCode,</v>
      </c>
      <c r="U16" s="28" t="str">
        <f t="shared" ref="U16:U53" si="15">IF(E16="int",REPT(CHAR(9),2)&amp;"this."&amp;D16&amp;" = 0,",REPT(CHAR(9),2)&amp;"this."&amp;D16&amp;" = '',")</f>
        <v xml:space="preserve">		this.companyCode = '',</v>
      </c>
      <c r="V16" s="28" t="str">
        <f t="shared" si="8"/>
        <v/>
      </c>
    </row>
    <row r="17" spans="1:22" ht="18" customHeight="1" x14ac:dyDescent="0.25">
      <c r="A17" t="s">
        <v>367</v>
      </c>
      <c r="B17" s="28" t="str">
        <f>SUBSTITUTE(PROPER(A17),"_","")</f>
        <v>PlantCode</v>
      </c>
      <c r="C17" s="28" t="str">
        <f>SUBSTITUTE(PROPER(A17),"_"," ")</f>
        <v>Plant Code</v>
      </c>
      <c r="D17" s="28" t="str">
        <f>LOWER(LEFT(B17,1))&amp;RIGHT(B17,LEN(B17) - 1)</f>
        <v>plantCode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this.l('Plant Code'),headerTooltip: this.l('Plant Code'),field: 'plantCode',flex: 1},</v>
      </c>
      <c r="I17" s="35" t="str">
        <f t="shared" si="5"/>
        <v xml:space="preserve">								&lt;div class='input-search'&gt;
									&lt;input [(ngModel)]='plantCode' name='plantCode'
									class='form-control' [placeholder]="l('Plant Code')"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plantCode : string = '' ; </v>
      </c>
      <c r="T17" s="28" t="str">
        <f t="shared" si="14"/>
        <v xml:space="preserve">			this.plantCode,</v>
      </c>
      <c r="U17" s="28" t="str">
        <f t="shared" si="15"/>
        <v xml:space="preserve">		this.plantCode = '',</v>
      </c>
      <c r="V17" s="28" t="str">
        <f t="shared" si="8"/>
        <v/>
      </c>
    </row>
    <row r="18" spans="1:22" ht="15" customHeight="1" x14ac:dyDescent="0.25">
      <c r="A18" t="s">
        <v>368</v>
      </c>
      <c r="B18" s="28" t="str">
        <f t="shared" ref="B18:B21" si="16">SUBSTITUTE(PROPER(A18),"_","")</f>
        <v>MaruCode</v>
      </c>
      <c r="C18" s="28" t="str">
        <f t="shared" ref="C18:C21" si="17">SUBSTITUTE(PROPER(A18),"_"," ")</f>
        <v>Maru Code</v>
      </c>
      <c r="D18" s="28" t="str">
        <f t="shared" ref="D18:D21" si="18">LOWER(LEFT(B18,1))&amp;RIGHT(B18,LEN(B18) - 1)</f>
        <v>maruCode</v>
      </c>
      <c r="E18" s="28" t="str">
        <f>A.Backend!H12</f>
        <v>string</v>
      </c>
      <c r="F18" s="28" t="str">
        <f>A.Backend!G12</f>
        <v>1</v>
      </c>
      <c r="G18" s="28" t="str">
        <f t="shared" si="3"/>
        <v xml:space="preserve"> : string = '' ; </v>
      </c>
      <c r="H18" s="35" t="str">
        <f t="shared" si="4"/>
        <v xml:space="preserve">			{headerName: this.l('Maru Code'),headerTooltip: this.l('Maru Code'),field:  'maruCode', cellClass: ['text-center'], width: 120, cellRenderer: 'agCellButtonComponent',
buttonDefTwo: { text: params =&gt; (params.data?.'maruCode' == 'Y') ? 'Active' : 'Inactive',iconName: 'fa fa-circle',className: params =&gt; (params.data?.'maruCode' == 'Y') ? 'btnActive' : 'btnInActive',},}</v>
      </c>
      <c r="I18" s="35" t="str">
        <f t="shared" si="5"/>
        <v xml:space="preserve">								&lt;div class='input-search'&gt;
									&lt;input [(ngModel)]='maruCode' name='maruCode'
									class='form-control' [placeholder]="l('Maru Code')"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title'&gt;Maru Code&lt;/label&gt;
						&lt;new-checkbox [(ngModel)]='_maruCode' name='maruCode' className='col-md-10' &gt; &lt;/new-checkbox&gt;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maruCode : string = '' ; </v>
      </c>
      <c r="T18" s="28" t="str">
        <f t="shared" si="14"/>
        <v xml:space="preserve">			this.maruCode,</v>
      </c>
      <c r="U18" s="28" t="str">
        <f t="shared" si="15"/>
        <v xml:space="preserve">		this.maruCode = '',</v>
      </c>
      <c r="V18" s="28" t="str">
        <f t="shared" si="8"/>
        <v>maruCode</v>
      </c>
    </row>
    <row r="19" spans="1:22" ht="18" customHeight="1" x14ac:dyDescent="0.25">
      <c r="A19" t="s">
        <v>369</v>
      </c>
      <c r="B19" s="28" t="str">
        <f t="shared" si="16"/>
        <v>ReceivingStockLine</v>
      </c>
      <c r="C19" s="28" t="str">
        <f t="shared" si="17"/>
        <v>Receiving Stock Line</v>
      </c>
      <c r="D19" s="28" t="str">
        <f t="shared" si="18"/>
        <v>receivingStockLine</v>
      </c>
      <c r="E19" s="28" t="str">
        <f>A.Backend!H13</f>
        <v>string</v>
      </c>
      <c r="F19" s="28" t="str">
        <f>A.Backend!G13</f>
        <v>3</v>
      </c>
      <c r="G19" s="28" t="str">
        <f t="shared" si="3"/>
        <v xml:space="preserve"> : string = '' ; </v>
      </c>
      <c r="H19" s="35" t="str">
        <f t="shared" si="4"/>
        <v xml:space="preserve">			{headerName: this.l('Receiving Stock Line'),headerTooltip: this.l('Receiving Stock Line'),field: 'receivingStockLine',flex: 1},</v>
      </c>
      <c r="I19" s="35" t="str">
        <f t="shared" si="5"/>
        <v xml:space="preserve">								&lt;div class='input-search'&gt;
									&lt;input [(ngModel)]='receivingStockLine' name='receivingStockLine'
									class='form-control' [placeholder]="l('Receiving Stock Line')"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title'&gt;Receiving Stock Line&lt;/label&gt;
						&lt;input type='text' class='col-md-10 form-control input-text' name='ReceivingStockLine' [(ngModel)]='rowdata.receivingStockLine'&gt;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receivingStockLine : string = '' ; </v>
      </c>
      <c r="T19" s="28" t="str">
        <f t="shared" si="14"/>
        <v xml:space="preserve">			this.receivingStockLine,</v>
      </c>
      <c r="U19" s="28" t="str">
        <f t="shared" si="15"/>
        <v xml:space="preserve">		this.receivingStockLine = '',</v>
      </c>
      <c r="V19" s="28" t="str">
        <f t="shared" si="8"/>
        <v/>
      </c>
    </row>
    <row r="20" spans="1:22" ht="15" customHeight="1" x14ac:dyDescent="0.25">
      <c r="A20" t="s">
        <v>370</v>
      </c>
      <c r="B20" s="28" t="str">
        <f t="shared" si="16"/>
        <v>ProductionDate</v>
      </c>
      <c r="C20" s="28" t="str">
        <f t="shared" si="17"/>
        <v>Production Date</v>
      </c>
      <c r="D20" s="28" t="str">
        <f t="shared" si="18"/>
        <v>productionDate</v>
      </c>
      <c r="E20" s="28" t="str">
        <f>A.Backend!H14</f>
        <v>string</v>
      </c>
      <c r="F20" s="28" t="str">
        <f>A.Backend!G14</f>
        <v>8</v>
      </c>
      <c r="G20" s="28" t="str">
        <f t="shared" si="3"/>
        <v xml:space="preserve"> : string = '' ; </v>
      </c>
      <c r="H20" s="35" t="str">
        <f t="shared" si="4"/>
        <v xml:space="preserve">			{headerName: this.l('Production Date'),headerTooltip: this.l('Production Date'),field: 'productionDate',flex: 1},</v>
      </c>
      <c r="I20" s="35" t="str">
        <f t="shared" si="5"/>
        <v xml:space="preserve">								&lt;div class='input-search'&gt;
									&lt;input [(ngModel)]='productionDate' name='productionDate'
									class='form-control' [placeholder]="l('Production Date')"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title'&gt;Production Date&lt;/label&gt;
						&lt;input type='text' class='col-md-10 form-control input-text' name='ProductionDate' [(ngModel)]='rowdata.productionDate'&gt;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productionDate : string = '' ; </v>
      </c>
      <c r="T20" s="28" t="str">
        <f t="shared" si="14"/>
        <v xml:space="preserve">			this.productionDate,</v>
      </c>
      <c r="U20" s="28" t="str">
        <f t="shared" si="15"/>
        <v xml:space="preserve">		this.productionDate = '',</v>
      </c>
      <c r="V20" s="28" t="str">
        <f t="shared" si="8"/>
        <v/>
      </c>
    </row>
    <row r="21" spans="1:22" ht="18" customHeight="1" x14ac:dyDescent="0.25">
      <c r="A21" t="s">
        <v>371</v>
      </c>
      <c r="B21" s="28" t="str">
        <f t="shared" si="16"/>
        <v>PostingDate</v>
      </c>
      <c r="C21" s="28" t="str">
        <f t="shared" si="17"/>
        <v>Posting Date</v>
      </c>
      <c r="D21" s="28" t="str">
        <f t="shared" si="18"/>
        <v>postingDate</v>
      </c>
      <c r="E21" s="28" t="str">
        <f>A.Backend!H15</f>
        <v>string</v>
      </c>
      <c r="F21" s="28" t="str">
        <f>A.Backend!G15</f>
        <v>8</v>
      </c>
      <c r="G21" s="28" t="str">
        <f t="shared" si="3"/>
        <v xml:space="preserve"> : string = '' ; </v>
      </c>
      <c r="H21" s="35" t="str">
        <f t="shared" si="4"/>
        <v xml:space="preserve">			{headerName: this.l('Posting Date'),headerTooltip: this.l('Posting Date'),field: 'postingDate',flex: 1},</v>
      </c>
      <c r="I21" s="35" t="str">
        <f t="shared" si="5"/>
        <v xml:space="preserve">								&lt;div class='input-search'&gt;
									&lt;input [(ngModel)]='postingDate' name='postingDate'
									class='form-control' [placeholder]="l('Posting Date')"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title'&gt;Posting Date&lt;/label&gt;
						&lt;input type='text' class='col-md-10 form-control input-text' name='PostingDate' [(ngModel)]='rowdata.postingDate'&gt;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postingDate : string = '' ; </v>
      </c>
      <c r="T21" s="28" t="str">
        <f t="shared" si="14"/>
        <v xml:space="preserve">			this.postingDate,</v>
      </c>
      <c r="U21" s="28" t="str">
        <f t="shared" si="15"/>
        <v xml:space="preserve">		this.postingDate = '',</v>
      </c>
      <c r="V21" s="28" t="str">
        <f t="shared" si="8"/>
        <v/>
      </c>
    </row>
    <row r="22" spans="1:22" ht="18" customHeight="1" x14ac:dyDescent="0.25">
      <c r="A22" t="s">
        <v>372</v>
      </c>
      <c r="B22" s="28" t="str">
        <f>SUBSTITUTE(PROPER(A22),"_","")</f>
        <v>PartCode</v>
      </c>
      <c r="C22" s="28" t="str">
        <f>SUBSTITUTE(PROPER(A22),"_"," ")</f>
        <v>Part Code</v>
      </c>
      <c r="D22" s="28" t="str">
        <f>LOWER(LEFT(B22,1))&amp;RIGHT(B22,LEN(B22) - 1)</f>
        <v>partCode</v>
      </c>
      <c r="E22" s="28" t="str">
        <f>A.Backend!H16</f>
        <v>string</v>
      </c>
      <c r="F22" s="28" t="str">
        <f>A.Backend!G16</f>
        <v>14</v>
      </c>
      <c r="G22" s="28" t="str">
        <f t="shared" si="3"/>
        <v xml:space="preserve"> : string = '' ; </v>
      </c>
      <c r="H22" s="35" t="str">
        <f t="shared" si="4"/>
        <v xml:space="preserve">			{headerName: this.l('Part Code'),headerTooltip: this.l('Part Code'),field: 'partCode',flex: 1},</v>
      </c>
      <c r="I22" s="35" t="str">
        <f t="shared" si="5"/>
        <v xml:space="preserve">								&lt;div class='input-search'&gt;
									&lt;input [(ngModel)]='partCode' name='partCode'
									class='form-control' [placeholder]="l('Part Code')"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title'&gt;Part Code&lt;/label&gt;
						&lt;input type='text' class='col-md-10 form-control input-text' name='PartCode' [(ngModel)]='rowdata.partCode'&gt;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partCode : string = '' ; </v>
      </c>
      <c r="T22" s="28" t="str">
        <f t="shared" si="14"/>
        <v xml:space="preserve">			this.partCode,</v>
      </c>
      <c r="U22" s="28" t="str">
        <f t="shared" si="15"/>
        <v xml:space="preserve">		this.partCode = '',</v>
      </c>
      <c r="V22" s="28" t="str">
        <f t="shared" si="8"/>
        <v/>
      </c>
    </row>
    <row r="23" spans="1:22" ht="15" customHeight="1" x14ac:dyDescent="0.25">
      <c r="A23" t="s">
        <v>357</v>
      </c>
      <c r="B23" s="28" t="str">
        <f t="shared" ref="B23:B41" si="20">SUBSTITUTE(PROPER(A23),"_","")</f>
        <v>Quantity</v>
      </c>
      <c r="C23" s="28" t="str">
        <f t="shared" ref="C23:C41" si="21">SUBSTITUTE(PROPER(A23),"_"," ")</f>
        <v>Quantity</v>
      </c>
      <c r="D23" s="28" t="str">
        <f t="shared" ref="D23:D41" si="22">LOWER(LEFT(B23,1))&amp;RIGHT(B23,LEN(B23) - 1)</f>
        <v>quantity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this.l('Quantity'),headerTooltip: this.l('Quantity'),field: 'quantity',flex: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41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quantity</v>
      </c>
      <c r="T23" s="28" t="str">
        <f t="shared" si="14"/>
        <v xml:space="preserve">			this.quantity,</v>
      </c>
      <c r="U23" s="28" t="str">
        <f t="shared" si="15"/>
        <v xml:space="preserve">		this.quantity = '',</v>
      </c>
      <c r="V23" s="28" t="str">
        <f t="shared" si="8"/>
        <v/>
      </c>
    </row>
    <row r="24" spans="1:22" ht="18" customHeight="1" x14ac:dyDescent="0.25">
      <c r="A24" t="s">
        <v>373</v>
      </c>
      <c r="B24" s="28" t="str">
        <f t="shared" si="20"/>
        <v>SpoiledPartsQuantity</v>
      </c>
      <c r="C24" s="28" t="str">
        <f t="shared" si="21"/>
        <v>Spoiled Parts Quantity</v>
      </c>
      <c r="D24" s="28" t="str">
        <f t="shared" si="22"/>
        <v>spoiledPartsQuantity</v>
      </c>
      <c r="E24" s="28" t="str">
        <f>A.Backend!H18</f>
        <v>int?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this.l('Spoiled Parts Quantity'),headerTooltip: this.l('Spoiled Parts Quantity'),field: 'spoiledPartsQuantity',flex: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spoiledPartsQuantity</v>
      </c>
      <c r="T24" s="28" t="str">
        <f t="shared" si="14"/>
        <v xml:space="preserve">			this.spoiledPartsQuantity,</v>
      </c>
      <c r="U24" s="28" t="str">
        <f t="shared" si="15"/>
        <v xml:space="preserve">		this.spoiledPartsQuantity = '',</v>
      </c>
      <c r="V24" s="28" t="str">
        <f t="shared" si="8"/>
        <v/>
      </c>
    </row>
    <row r="25" spans="1:22" ht="15" customHeight="1" x14ac:dyDescent="0.25">
      <c r="A25" t="s">
        <v>374</v>
      </c>
      <c r="B25" s="28" t="str">
        <f t="shared" ref="B25:B26" si="24">SUBSTITUTE(PROPER(A25),"_","")</f>
        <v>SpoiledMaterialQuantity</v>
      </c>
      <c r="C25" s="28" t="str">
        <f t="shared" ref="C25:C26" si="25">SUBSTITUTE(PROPER(A25),"_"," ")</f>
        <v>Spoiled Material Quantity</v>
      </c>
      <c r="D25" s="28" t="str">
        <f t="shared" ref="D25:D26" si="26">LOWER(LEFT(B25,1))&amp;RIGHT(B25,LEN(B25) - 1)</f>
        <v>spoiledMaterialQuantity</v>
      </c>
      <c r="E25" s="28">
        <f>A.Backend!H4</f>
        <v>0</v>
      </c>
      <c r="F25" s="28">
        <f>A.Backend!G4</f>
        <v>0</v>
      </c>
      <c r="G25" s="28" t="str">
        <f t="shared" ref="G25:G39" si="27">IF(E25="string"," : string = '' ; ",IF(OR(E25="DateTime",E25="TimeSpan")," : any ;",IF(E25="int"," : number = 0 ;","")))</f>
        <v/>
      </c>
      <c r="H25" s="35" t="str">
        <f t="shared" ref="H25:H39" si="28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this.l('Spoiled Material Quantity'),headerTooltip: this.l('Spoiled Material Quantity'),field: 'spoiledMaterialQuantity',flex: 1},</v>
      </c>
      <c r="I25" s="35" t="str">
        <f t="shared" ref="I25:I39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ref="K25:K39" si="30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56" t="str">
        <f t="shared" ref="L25:L26" si="31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ref="S25:S39" si="32">REPT(CHAR(9),1)&amp;D25&amp;G25</f>
        <v xml:space="preserve">	spoiledMaterialQuantity</v>
      </c>
      <c r="T25" s="28" t="str">
        <f t="shared" ref="T25:T39" si="33">REPT(CHAR(9),3)&amp;"this."&amp;D25&amp;","</f>
        <v xml:space="preserve">			this.spoiledMaterialQuantity,</v>
      </c>
      <c r="U25" s="28" t="str">
        <f t="shared" ref="U25:U39" si="34">IF(E25="int",REPT(CHAR(9),2)&amp;"this."&amp;D25&amp;" = 0,",REPT(CHAR(9),2)&amp;"this."&amp;D25&amp;" = '',")</f>
        <v xml:space="preserve">		this.spoiledMaterialQuantity = '',</v>
      </c>
      <c r="V25" s="28" t="str">
        <f t="shared" ref="V25:V39" si="35">IF(AND(E25="string",F25="1"),D25,"")</f>
        <v/>
      </c>
    </row>
    <row r="26" spans="1:22" ht="18" customHeight="1" x14ac:dyDescent="0.25">
      <c r="A26" t="s">
        <v>375</v>
      </c>
      <c r="B26" s="28" t="str">
        <f t="shared" si="24"/>
        <v>MaterialCode</v>
      </c>
      <c r="C26" s="28" t="str">
        <f t="shared" si="25"/>
        <v>Material Code</v>
      </c>
      <c r="D26" s="28" t="str">
        <f t="shared" si="26"/>
        <v>materialCode</v>
      </c>
      <c r="E26" s="28">
        <f>A.Backend!H5</f>
        <v>0</v>
      </c>
      <c r="F26" s="28">
        <f>A.Backend!G5</f>
        <v>0</v>
      </c>
      <c r="G26" s="28" t="str">
        <f t="shared" si="27"/>
        <v/>
      </c>
      <c r="H26" s="35" t="str">
        <f t="shared" si="28"/>
        <v xml:space="preserve">			{headerName: this.l('Material Code'),headerTooltip: this.l('Material Code'),field: 'materialCode',flex: 1},</v>
      </c>
      <c r="I26" s="35" t="str">
        <f t="shared" si="29"/>
        <v/>
      </c>
      <c r="J26" s="28"/>
      <c r="K26" s="35" t="str">
        <f t="shared" si="30"/>
        <v/>
      </c>
      <c r="L26" s="56" t="str">
        <f t="shared" si="31"/>
        <v/>
      </c>
      <c r="M26" s="28"/>
      <c r="N26" s="28"/>
      <c r="O26" s="28"/>
      <c r="P26" s="28"/>
      <c r="Q26" s="28"/>
      <c r="R26" s="28"/>
      <c r="S26" s="28" t="str">
        <f t="shared" si="32"/>
        <v xml:space="preserve">	materialCode</v>
      </c>
      <c r="T26" s="28" t="str">
        <f t="shared" si="33"/>
        <v xml:space="preserve">			this.materialCode,</v>
      </c>
      <c r="U26" s="28" t="str">
        <f t="shared" si="34"/>
        <v xml:space="preserve">		this.materialCode = '',</v>
      </c>
      <c r="V26" s="28" t="str">
        <f t="shared" si="35"/>
        <v/>
      </c>
    </row>
    <row r="27" spans="1:22" ht="18" customHeight="1" x14ac:dyDescent="0.25">
      <c r="A27" t="s">
        <v>376</v>
      </c>
      <c r="B27" s="28" t="str">
        <f>SUBSTITUTE(PROPER(A27),"_","")</f>
        <v>FreeShotQuantity</v>
      </c>
      <c r="C27" s="28" t="str">
        <f>SUBSTITUTE(PROPER(A27),"_"," ")</f>
        <v>Free Shot Quantity</v>
      </c>
      <c r="D27" s="28" t="str">
        <f>LOWER(LEFT(B27,1))&amp;RIGHT(B27,LEN(B27) - 1)</f>
        <v>freeShotQuantity</v>
      </c>
      <c r="E27" s="28" t="str">
        <f>A.Backend!H6</f>
        <v xml:space="preserve">	public class GetIF_FQF3MM02Input : PagedAndSortedResultRequestDto	
	{
</v>
      </c>
      <c r="F27" s="28" t="str">
        <f>A.Backend!G6</f>
        <v xml:space="preserve">	public class CreateOrEditIF_FQF3MM02Dto : EntityDto&lt;long?&gt;	
	{
</v>
      </c>
      <c r="G27" s="28" t="str">
        <f t="shared" si="27"/>
        <v/>
      </c>
      <c r="H27" s="35" t="str">
        <f t="shared" si="28"/>
        <v xml:space="preserve">			{headerName: this.l('Free Shot Quantity'),headerTooltip: this.l('Free Shot Quantity'),field: 'freeShotQuantity',flex: 1},</v>
      </c>
      <c r="I27" s="35" t="str">
        <f t="shared" si="29"/>
        <v/>
      </c>
      <c r="J27" s="28"/>
      <c r="K27" s="35" t="str">
        <f t="shared" si="30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32"/>
        <v xml:space="preserve">	freeShotQuantity</v>
      </c>
      <c r="T27" s="28" t="str">
        <f t="shared" si="33"/>
        <v xml:space="preserve">			this.freeShotQuantity,</v>
      </c>
      <c r="U27" s="28" t="str">
        <f t="shared" si="34"/>
        <v xml:space="preserve">		this.freeShotQuantity = '',</v>
      </c>
      <c r="V27" s="28" t="str">
        <f t="shared" si="35"/>
        <v/>
      </c>
    </row>
    <row r="28" spans="1:22" ht="15" customHeight="1" x14ac:dyDescent="0.25">
      <c r="A28" t="s">
        <v>377</v>
      </c>
      <c r="B28" s="28" t="str">
        <f t="shared" ref="B28:B34" si="36">SUBSTITUTE(PROPER(A28),"_","")</f>
        <v>RecycledQuantity</v>
      </c>
      <c r="C28" s="28" t="str">
        <f t="shared" ref="C28:C34" si="37">SUBSTITUTE(PROPER(A28),"_"," ")</f>
        <v>Recycled Quantity</v>
      </c>
      <c r="D28" s="28" t="str">
        <f t="shared" ref="D28:D34" si="38">LOWER(LEFT(B28,1))&amp;RIGHT(B28,LEN(B28) - 1)</f>
        <v>recycledQuantity</v>
      </c>
      <c r="E28" s="28">
        <f>A.Backend!H7</f>
        <v>0</v>
      </c>
      <c r="F28" s="28">
        <f>A.Backend!G7</f>
        <v>0</v>
      </c>
      <c r="G28" s="28" t="str">
        <f t="shared" si="27"/>
        <v/>
      </c>
      <c r="H28" s="35" t="str">
        <f t="shared" si="28"/>
        <v xml:space="preserve">			{headerName: this.l('Recycled Quantity'),headerTooltip: this.l('Recycled Quantity'),field: 'recycledQuantity',flex: 1},</v>
      </c>
      <c r="I28" s="35" t="str">
        <f t="shared" si="29"/>
        <v/>
      </c>
      <c r="J28" s="28"/>
      <c r="K28" s="35" t="str">
        <f t="shared" si="30"/>
        <v/>
      </c>
      <c r="L28" s="56" t="str">
        <f t="shared" ref="L28:L34" si="39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2"/>
        <v xml:space="preserve">	recycledQuantity</v>
      </c>
      <c r="T28" s="28" t="str">
        <f t="shared" si="33"/>
        <v xml:space="preserve">			this.recycledQuantity,</v>
      </c>
      <c r="U28" s="28" t="str">
        <f t="shared" si="34"/>
        <v xml:space="preserve">		this.recycledQuantity = '',</v>
      </c>
      <c r="V28" s="28" t="str">
        <f t="shared" si="35"/>
        <v/>
      </c>
    </row>
    <row r="29" spans="1:22" ht="18" customHeight="1" x14ac:dyDescent="0.25">
      <c r="A29" t="s">
        <v>359</v>
      </c>
      <c r="B29" s="28" t="str">
        <f t="shared" si="36"/>
        <v>CostCenter</v>
      </c>
      <c r="C29" s="28" t="str">
        <f t="shared" si="37"/>
        <v>Cost Center</v>
      </c>
      <c r="D29" s="28" t="str">
        <f t="shared" si="38"/>
        <v>costCenter</v>
      </c>
      <c r="E29" s="28" t="str">
        <f>A.Backend!H8</f>
        <v>Dot Net Data Type</v>
      </c>
      <c r="F29" s="28" t="str">
        <f>A.Backend!G8</f>
        <v>Length</v>
      </c>
      <c r="G29" s="28" t="str">
        <f t="shared" si="27"/>
        <v/>
      </c>
      <c r="H29" s="35" t="str">
        <f t="shared" si="28"/>
        <v xml:space="preserve">			{headerName: this.l('Cost Center'),headerTooltip: this.l('Cost Center'),field: 'costCenter',flex: 1},</v>
      </c>
      <c r="I29" s="35" t="str">
        <f t="shared" si="29"/>
        <v/>
      </c>
      <c r="J29" s="28"/>
      <c r="K29" s="35" t="str">
        <f t="shared" si="30"/>
        <v/>
      </c>
      <c r="L29" s="56" t="str">
        <f t="shared" si="39"/>
        <v/>
      </c>
      <c r="M29" s="28"/>
      <c r="N29" s="28"/>
      <c r="O29" s="28"/>
      <c r="P29" s="28"/>
      <c r="Q29" s="28"/>
      <c r="R29" s="28"/>
      <c r="S29" s="28" t="str">
        <f t="shared" si="32"/>
        <v xml:space="preserve">	costCenter</v>
      </c>
      <c r="T29" s="28" t="str">
        <f t="shared" si="33"/>
        <v xml:space="preserve">			this.costCenter,</v>
      </c>
      <c r="U29" s="28" t="str">
        <f t="shared" si="34"/>
        <v xml:space="preserve">		this.costCenter = '',</v>
      </c>
      <c r="V29" s="28" t="str">
        <f t="shared" si="35"/>
        <v/>
      </c>
    </row>
    <row r="30" spans="1:22" ht="15" customHeight="1" x14ac:dyDescent="0.25">
      <c r="A30" t="s">
        <v>399</v>
      </c>
      <c r="B30" s="28" t="str">
        <f t="shared" si="36"/>
        <v>NormalCancelFlag</v>
      </c>
      <c r="C30" s="28" t="str">
        <f t="shared" si="37"/>
        <v>Normal Cancel Flag</v>
      </c>
      <c r="D30" s="28" t="str">
        <f t="shared" si="38"/>
        <v>normalCancelFlag</v>
      </c>
      <c r="E30" s="28" t="str">
        <f>A.Backend!H9</f>
        <v>string</v>
      </c>
      <c r="F30" s="28" t="str">
        <f>A.Backend!G9</f>
        <v>7</v>
      </c>
      <c r="G30" s="28" t="str">
        <f t="shared" si="27"/>
        <v xml:space="preserve"> : string = '' ; </v>
      </c>
      <c r="H30" s="35" t="str">
        <f t="shared" si="28"/>
        <v xml:space="preserve">			{headerName: this.l('Normal Cancel Flag'),headerTooltip: this.l('Normal Cancel Flag'),field: 'normalCancelFlag',flex: 1},</v>
      </c>
      <c r="I30" s="35" t="str">
        <f t="shared" si="29"/>
        <v xml:space="preserve">								&lt;div class='input-search'&gt;
									&lt;input [(ngModel)]='normalCancelFlag' name='normalCancelFlag'
									class='form-control' [placeholder]="l('Normal Cancel Flag')"
									type='text' (keyup.enter)='searchDatas()'&gt;
								&lt;/div&gt;</v>
      </c>
      <c r="J30" s="28"/>
      <c r="K30" s="35" t="str">
        <f t="shared" si="30"/>
        <v xml:space="preserve">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</v>
      </c>
      <c r="L30" s="56" t="str">
        <f t="shared" si="39"/>
        <v/>
      </c>
      <c r="M30" s="28"/>
      <c r="N30" s="28"/>
      <c r="O30" s="28"/>
      <c r="P30" s="28"/>
      <c r="Q30" s="28"/>
      <c r="R30" s="28"/>
      <c r="S30" s="28" t="str">
        <f t="shared" si="32"/>
        <v xml:space="preserve">	normalCancelFlag : string = '' ; </v>
      </c>
      <c r="T30" s="28" t="str">
        <f t="shared" si="33"/>
        <v xml:space="preserve">			this.normalCancelFlag,</v>
      </c>
      <c r="U30" s="28" t="str">
        <f t="shared" si="34"/>
        <v xml:space="preserve">		this.normalCancelFlag = '',</v>
      </c>
      <c r="V30" s="28" t="str">
        <f t="shared" si="35"/>
        <v/>
      </c>
    </row>
    <row r="31" spans="1:22" ht="15" customHeight="1" x14ac:dyDescent="0.25">
      <c r="A31" t="s">
        <v>400</v>
      </c>
      <c r="B31" s="28" t="str">
        <f t="shared" si="36"/>
        <v>GrgiNo</v>
      </c>
      <c r="C31" s="28" t="str">
        <f t="shared" si="37"/>
        <v>Grgi No</v>
      </c>
      <c r="D31" s="28" t="str">
        <f t="shared" si="38"/>
        <v>grgiNo</v>
      </c>
      <c r="E31" s="28" t="str">
        <f>A.Backend!H10</f>
        <v>string</v>
      </c>
      <c r="F31" s="28" t="str">
        <f>A.Backend!G10</f>
        <v>8</v>
      </c>
      <c r="G31" s="28" t="str">
        <f t="shared" si="27"/>
        <v xml:space="preserve"> : string = '' ; </v>
      </c>
      <c r="H31" s="35" t="str">
        <f t="shared" si="28"/>
        <v xml:space="preserve">			{headerName: this.l('Grgi No'),headerTooltip: this.l('Grgi No'),field: 'grgiNo',flex: 1},</v>
      </c>
      <c r="I31" s="35" t="str">
        <f t="shared" si="29"/>
        <v xml:space="preserve">								&lt;div class='input-search'&gt;
									&lt;input [(ngModel)]='grgiNo' name='grgiNo'
									class='form-control' [placeholder]="l('Grgi No')"
									type='text' (keyup.enter)='searchDatas()'&gt;
								&lt;/div&gt;</v>
      </c>
      <c r="J31" s="28"/>
      <c r="K31" s="35" t="str">
        <f t="shared" si="30"/>
        <v xml:space="preserve">					&lt;div class='col-md-12 form-group row'&gt;
						&lt;label class='col-md-2 form-control title'&gt;Grgi No&lt;/label&gt;
						&lt;input type='text' class='col-md-10 form-control input-text' name='GrgiNo' [(ngModel)]='rowdata.grgiNo'&gt;
					&lt;/div&gt;</v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32"/>
        <v xml:space="preserve">	grgiNo : string = '' ; </v>
      </c>
      <c r="T31" s="28" t="str">
        <f t="shared" si="33"/>
        <v xml:space="preserve">			this.grgiNo,</v>
      </c>
      <c r="U31" s="28" t="str">
        <f t="shared" si="34"/>
        <v xml:space="preserve">		this.grgiNo = '',</v>
      </c>
      <c r="V31" s="28" t="str">
        <f t="shared" si="35"/>
        <v/>
      </c>
    </row>
    <row r="32" spans="1:22" ht="18" customHeight="1" x14ac:dyDescent="0.25">
      <c r="A32" t="s">
        <v>401</v>
      </c>
      <c r="B32" s="28" t="str">
        <f t="shared" si="36"/>
        <v>GrgiType</v>
      </c>
      <c r="C32" s="28" t="str">
        <f t="shared" si="37"/>
        <v>Grgi Type</v>
      </c>
      <c r="D32" s="28" t="str">
        <f t="shared" si="38"/>
        <v>grgiType</v>
      </c>
      <c r="E32" s="28" t="str">
        <f>A.Backend!H11</f>
        <v>string</v>
      </c>
      <c r="F32" s="28" t="str">
        <f>A.Backend!G11</f>
        <v>4</v>
      </c>
      <c r="G32" s="28" t="str">
        <f t="shared" si="27"/>
        <v xml:space="preserve"> : string = '' ; </v>
      </c>
      <c r="H32" s="35" t="str">
        <f t="shared" si="28"/>
        <v xml:space="preserve">			{headerName: this.l('Grgi Type'),headerTooltip: this.l('Grgi Type'),field: 'grgiType',flex: 1},</v>
      </c>
      <c r="I32" s="35" t="str">
        <f t="shared" si="29"/>
        <v xml:space="preserve">								&lt;div class='input-search'&gt;
									&lt;input [(ngModel)]='grgiType' name='grgiType'
									class='form-control' [placeholder]="l('Grgi Type')"
									type='text' (keyup.enter)='searchDatas()'&gt;
								&lt;/div&gt;</v>
      </c>
      <c r="J32" s="28"/>
      <c r="K32" s="35" t="str">
        <f t="shared" si="30"/>
        <v xml:space="preserve">					&lt;div class='col-md-12 form-group row'&gt;
						&lt;label class='col-md-2 form-control title'&gt;Grgi Type&lt;/label&gt;
						&lt;input type='text' class='col-md-10 form-control input-text' name='GrgiType' [(ngModel)]='rowdata.grgiType'&gt;
					&lt;/div&gt;</v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 t="shared" si="32"/>
        <v xml:space="preserve">	grgiType : string = '' ; </v>
      </c>
      <c r="T32" s="28" t="str">
        <f t="shared" si="33"/>
        <v xml:space="preserve">			this.grgiType,</v>
      </c>
      <c r="U32" s="28" t="str">
        <f t="shared" si="34"/>
        <v xml:space="preserve">		this.grgiType = '',</v>
      </c>
      <c r="V32" s="28" t="str">
        <f t="shared" si="35"/>
        <v/>
      </c>
    </row>
    <row r="33" spans="1:22" ht="15" customHeight="1" x14ac:dyDescent="0.25">
      <c r="A33" t="s">
        <v>378</v>
      </c>
      <c r="B33" s="28" t="str">
        <f t="shared" si="36"/>
        <v>MaterialDocType</v>
      </c>
      <c r="C33" s="28" t="str">
        <f t="shared" si="37"/>
        <v>Material Doc Type</v>
      </c>
      <c r="D33" s="28" t="str">
        <f t="shared" si="38"/>
        <v>materialDocType</v>
      </c>
      <c r="E33" s="28" t="str">
        <f>A.Backend!H12</f>
        <v>string</v>
      </c>
      <c r="F33" s="28" t="str">
        <f>A.Backend!G12</f>
        <v>1</v>
      </c>
      <c r="G33" s="28" t="str">
        <f t="shared" si="27"/>
        <v xml:space="preserve"> : string = '' ; </v>
      </c>
      <c r="H33" s="35" t="str">
        <f t="shared" si="28"/>
        <v xml:space="preserve">			{headerName: this.l('Material Doc Type'),headerTooltip: this.l('Material Doc Type'),field:  'materialDocType', cellClass: ['text-center'], width: 120, cellRenderer: 'agCellButtonComponent',
buttonDefTwo: { text: params =&gt; (params.data?.'materialDocType' == 'Y') ? 'Active' : 'Inactive',iconName: 'fa fa-circle',className: params =&gt; (params.data?.'materialDocType' == 'Y') ? 'btnActive' : 'btnInActive',},}</v>
      </c>
      <c r="I33" s="35" t="str">
        <f t="shared" si="29"/>
        <v xml:space="preserve">								&lt;div class='input-search'&gt;
									&lt;input [(ngModel)]='materialDocType' name='materialDocType'
									class='form-control' [placeholder]="l('Material Doc Type')"
									type='text' (keyup.enter)='searchDatas()'&gt;
								&lt;/div&gt;</v>
      </c>
      <c r="J33" s="28"/>
      <c r="K33" s="35" t="str">
        <f t="shared" si="30"/>
        <v xml:space="preserve">					&lt;div class='col-md-12 form-group row'&gt;
						&lt;label class='col-md-2 form-control title'&gt;Material Doc Type&lt;/label&gt;
						&lt;new-checkbox [(ngModel)]='_materialDocType' name='materialDocType' className='col-md-10' &gt; &lt;/new-checkbox&gt;
					&lt;/div&gt;</v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si="32"/>
        <v xml:space="preserve">	materialDocType : string = '' ; </v>
      </c>
      <c r="T33" s="28" t="str">
        <f t="shared" si="33"/>
        <v xml:space="preserve">			this.materialDocType,</v>
      </c>
      <c r="U33" s="28" t="str">
        <f t="shared" si="34"/>
        <v xml:space="preserve">		this.materialDocType = '',</v>
      </c>
      <c r="V33" s="28" t="str">
        <f t="shared" si="35"/>
        <v>materialDocType</v>
      </c>
    </row>
    <row r="34" spans="1:22" ht="18" customHeight="1" x14ac:dyDescent="0.25">
      <c r="A34" t="s">
        <v>379</v>
      </c>
      <c r="B34" s="28" t="str">
        <f t="shared" si="36"/>
        <v>MaterialQuantity</v>
      </c>
      <c r="C34" s="28" t="str">
        <f t="shared" si="37"/>
        <v>Material Quantity</v>
      </c>
      <c r="D34" s="28" t="str">
        <f t="shared" si="38"/>
        <v>materialQuantity</v>
      </c>
      <c r="E34" s="28" t="str">
        <f>A.Backend!H13</f>
        <v>string</v>
      </c>
      <c r="F34" s="28" t="str">
        <f>A.Backend!G13</f>
        <v>3</v>
      </c>
      <c r="G34" s="28" t="str">
        <f t="shared" si="27"/>
        <v xml:space="preserve"> : string = '' ; </v>
      </c>
      <c r="H34" s="35" t="str">
        <f t="shared" si="28"/>
        <v xml:space="preserve">			{headerName: this.l('Material Quantity'),headerTooltip: this.l('Material Quantity'),field: 'materialQuantity',flex: 1},</v>
      </c>
      <c r="I34" s="35" t="str">
        <f t="shared" si="29"/>
        <v xml:space="preserve">								&lt;div class='input-search'&gt;
									&lt;input [(ngModel)]='materialQuantity' name='materialQuantity'
									class='form-control' [placeholder]="l('Material Quantity')"
									type='text' (keyup.enter)='searchDatas()'&gt;
								&lt;/div&gt;</v>
      </c>
      <c r="J34" s="28"/>
      <c r="K34" s="35" t="str">
        <f t="shared" si="30"/>
        <v xml:space="preserve">					&lt;div class='col-md-12 form-group row'&gt;
						&lt;label class='col-md-2 form-control title'&gt;Material Quantity&lt;/label&gt;
						&lt;input type='text' class='col-md-10 form-control input-text' name='MaterialQuantity' [(ngModel)]='rowdata.materialQuantity'&gt;
					&lt;/div&gt;</v>
      </c>
      <c r="L34" s="56" t="str">
        <f t="shared" si="39"/>
        <v/>
      </c>
      <c r="M34" s="28"/>
      <c r="N34" s="28"/>
      <c r="O34" s="28"/>
      <c r="P34" s="28"/>
      <c r="Q34" s="28"/>
      <c r="R34" s="28"/>
      <c r="S34" s="28" t="str">
        <f t="shared" si="32"/>
        <v xml:space="preserve">	materialQuantity : string = '' ; </v>
      </c>
      <c r="T34" s="28" t="str">
        <f t="shared" si="33"/>
        <v xml:space="preserve">			this.materialQuantity,</v>
      </c>
      <c r="U34" s="28" t="str">
        <f t="shared" si="34"/>
        <v xml:space="preserve">		this.materialQuantity = '',</v>
      </c>
      <c r="V34" s="28" t="str">
        <f t="shared" si="35"/>
        <v/>
      </c>
    </row>
    <row r="35" spans="1:22" ht="18" customHeight="1" x14ac:dyDescent="0.25">
      <c r="A35" t="s">
        <v>374</v>
      </c>
      <c r="B35" s="28" t="str">
        <f>SUBSTITUTE(PROPER(A35),"_","")</f>
        <v>SpoiledMaterialQuantity</v>
      </c>
      <c r="C35" s="28" t="str">
        <f>SUBSTITUTE(PROPER(A35),"_"," ")</f>
        <v>Spoiled Material Quantity</v>
      </c>
      <c r="D35" s="28" t="str">
        <f>LOWER(LEFT(B35,1))&amp;RIGHT(B35,LEN(B35) - 1)</f>
        <v>spoiledMaterialQuantity</v>
      </c>
      <c r="E35" s="28" t="str">
        <f>A.Backend!H15</f>
        <v>string</v>
      </c>
      <c r="F35" s="28" t="str">
        <f>A.Backend!G15</f>
        <v>8</v>
      </c>
      <c r="G35" s="28" t="str">
        <f t="shared" si="27"/>
        <v xml:space="preserve"> : string = '' ; </v>
      </c>
      <c r="H35" s="35" t="str">
        <f t="shared" si="28"/>
        <v xml:space="preserve">			{headerName: this.l('Spoiled Material Quantity'),headerTooltip: this.l('Spoiled Material Quantity'),field: 'spoiledMaterialQuantity',flex: 1},</v>
      </c>
      <c r="I35" s="35" t="str">
        <f t="shared" si="29"/>
        <v xml:space="preserve">								&lt;div class='input-search'&gt;
									&lt;input [(ngModel)]='spoiledMaterialQuantity' name='spoiledMaterialQuantity'
									class='form-control' [placeholder]="l('Spoiled Material Quantity')"
									type='text' (keyup.enter)='searchDatas()'&gt;
								&lt;/div&gt;</v>
      </c>
      <c r="J35" s="28"/>
      <c r="K35" s="35" t="str">
        <f t="shared" si="30"/>
        <v xml:space="preserve">					&lt;div class='col-md-12 form-group row'&gt;
						&lt;label class='col-md-2 form-control title'&gt;Spoiled Material Quantity&lt;/label&gt;
						&lt;input type='text' class='col-md-10 form-control input-text' name='SpoiledMaterialQuantity' [(ngModel)]='rowdata.spoiledMaterialQuantity'&gt;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32"/>
        <v xml:space="preserve">	spoiledMaterialQuantity : string = '' ; </v>
      </c>
      <c r="T35" s="28" t="str">
        <f t="shared" si="33"/>
        <v xml:space="preserve">			this.spoiledMaterialQuantity,</v>
      </c>
      <c r="U35" s="28" t="str">
        <f t="shared" si="34"/>
        <v xml:space="preserve">		this.spoiledMaterialQuantity = '',</v>
      </c>
      <c r="V35" s="28" t="str">
        <f t="shared" si="35"/>
        <v/>
      </c>
    </row>
    <row r="36" spans="1:22" ht="15" customHeight="1" x14ac:dyDescent="0.25">
      <c r="A36" t="s">
        <v>403</v>
      </c>
      <c r="B36" s="28" t="str">
        <f t="shared" ref="B36:B39" si="40">SUBSTITUTE(PROPER(A36),"_","")</f>
        <v>RelatedPartReceiveNo</v>
      </c>
      <c r="C36" s="28" t="str">
        <f t="shared" ref="C36:C39" si="41">SUBSTITUTE(PROPER(A36),"_"," ")</f>
        <v>Related Part Receive No</v>
      </c>
      <c r="D36" s="28" t="str">
        <f t="shared" ref="D36:D39" si="42">LOWER(LEFT(B36,1))&amp;RIGHT(B36,LEN(B36) - 1)</f>
        <v>relatedPartReceiveNo</v>
      </c>
      <c r="E36" s="28" t="str">
        <f>A.Backend!H24</f>
        <v>string</v>
      </c>
      <c r="F36" s="28" t="str">
        <f>A.Backend!G24</f>
        <v>1</v>
      </c>
      <c r="G36" s="28" t="str">
        <f t="shared" si="27"/>
        <v xml:space="preserve"> : string = '' ; </v>
      </c>
      <c r="H36" s="35" t="str">
        <f t="shared" si="28"/>
        <v xml:space="preserve">			{headerName: this.l('Related Part Receive No'),headerTooltip: this.l('Related Part Receive No'),field:  'relatedPartReceiveNo', cellClass: ['text-center'], width: 120, cellRenderer: 'agCellButtonComponent',
buttonDefTwo: { text: params =&gt; (params.data?.'relatedPartReceiveNo' == 'Y') ? 'Active' : 'Inactive',iconName: 'fa fa-circle',className: params =&gt; (params.data?.'relatedPartReceiveNo' == 'Y') ? 'btnActive' : 'btnInActive',},}</v>
      </c>
      <c r="I36" s="35" t="str">
        <f t="shared" si="29"/>
        <v xml:space="preserve">								&lt;div class='input-search'&gt;
									&lt;input [(ngModel)]='relatedPartReceiveNo' name='relatedPartReceiveNo'
									class='form-control' [placeholder]="l('Related Part Receive No')"
									type='text' (keyup.enter)='searchDatas()'&gt;
								&lt;/div&gt;</v>
      </c>
      <c r="J36" s="28"/>
      <c r="K36" s="35" t="str">
        <f t="shared" si="30"/>
        <v xml:space="preserve">					&lt;div class='col-md-12 form-group row'&gt;
						&lt;label class='col-md-2 form-control title'&gt;Related Part Receive No&lt;/label&gt;
						&lt;new-checkbox [(ngModel)]='_relatedPartReceiveNo' name='relatedPartReceiveNo' className='col-md-10' &gt; &lt;/new-checkbox&gt;
					&lt;/div&gt;</v>
      </c>
      <c r="L36" s="56" t="str">
        <f t="shared" ref="L36:L39" si="43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32"/>
        <v xml:space="preserve">	relatedPartReceiveNo : string = '' ; </v>
      </c>
      <c r="T36" s="28" t="str">
        <f t="shared" si="33"/>
        <v xml:space="preserve">			this.relatedPartReceiveNo,</v>
      </c>
      <c r="U36" s="28" t="str">
        <f t="shared" si="34"/>
        <v xml:space="preserve">		this.relatedPartReceiveNo = '',</v>
      </c>
      <c r="V36" s="28" t="str">
        <f t="shared" si="35"/>
        <v>relatedPartReceiveNo</v>
      </c>
    </row>
    <row r="37" spans="1:22" ht="18" customHeight="1" x14ac:dyDescent="0.25">
      <c r="A37" t="s">
        <v>380</v>
      </c>
      <c r="B37" s="28" t="str">
        <f t="shared" si="40"/>
        <v>RelatedGrType</v>
      </c>
      <c r="C37" s="28" t="str">
        <f t="shared" si="41"/>
        <v>Related Gr Type</v>
      </c>
      <c r="D37" s="28" t="str">
        <f t="shared" si="42"/>
        <v>relatedGrType</v>
      </c>
      <c r="E37" s="28" t="str">
        <f>A.Backend!H25</f>
        <v>string</v>
      </c>
      <c r="F37" s="28" t="str">
        <f>A.Backend!G25</f>
        <v>10</v>
      </c>
      <c r="G37" s="28" t="str">
        <f t="shared" si="27"/>
        <v xml:space="preserve"> : string = '' ; </v>
      </c>
      <c r="H37" s="35" t="str">
        <f t="shared" si="28"/>
        <v xml:space="preserve">			{headerName: this.l('Related Gr Type'),headerTooltip: this.l('Related Gr Type'),field: 'relatedGrType',flex: 1},</v>
      </c>
      <c r="I37" s="35" t="str">
        <f t="shared" si="29"/>
        <v xml:space="preserve">								&lt;div class='input-search'&gt;
									&lt;input [(ngModel)]='relatedGrType' name='relatedGrType'
									class='form-control' [placeholder]="l('Related Gr Type')"
									type='text' (keyup.enter)='searchDatas()'&gt;
								&lt;/div&gt;</v>
      </c>
      <c r="J37" s="28"/>
      <c r="K37" s="35" t="str">
        <f t="shared" si="30"/>
        <v xml:space="preserve">					&lt;div class='col-md-12 form-group row'&gt;
						&lt;label class='col-md-2 form-control title'&gt;Related Gr Type&lt;/label&gt;
						&lt;input type='text' class='col-md-10 form-control input-text' name='RelatedGrType' [(ngModel)]='rowdata.relatedGrType'&gt;
					&lt;/div&gt;</v>
      </c>
      <c r="L37" s="56" t="str">
        <f t="shared" si="43"/>
        <v/>
      </c>
      <c r="M37" s="28"/>
      <c r="N37" s="28"/>
      <c r="O37" s="28"/>
      <c r="P37" s="28"/>
      <c r="Q37" s="28"/>
      <c r="R37" s="28"/>
      <c r="S37" s="28" t="str">
        <f t="shared" si="32"/>
        <v xml:space="preserve">	relatedGrType : string = '' ; </v>
      </c>
      <c r="T37" s="28" t="str">
        <f t="shared" si="33"/>
        <v xml:space="preserve">			this.relatedGrType,</v>
      </c>
      <c r="U37" s="28" t="str">
        <f t="shared" si="34"/>
        <v xml:space="preserve">		this.relatedGrType = '',</v>
      </c>
      <c r="V37" s="28" t="str">
        <f t="shared" si="35"/>
        <v/>
      </c>
    </row>
    <row r="38" spans="1:22" ht="15" customHeight="1" x14ac:dyDescent="0.25">
      <c r="A38" t="s">
        <v>381</v>
      </c>
      <c r="B38" s="28" t="str">
        <f t="shared" si="40"/>
        <v>RelatedGrTransactionType</v>
      </c>
      <c r="C38" s="28" t="str">
        <f t="shared" si="41"/>
        <v>Related Gr Transaction Type</v>
      </c>
      <c r="D38" s="28" t="str">
        <f t="shared" si="42"/>
        <v>relatedGrTransactionType</v>
      </c>
      <c r="E38" s="28" t="str">
        <f>A.Backend!H26</f>
        <v>string</v>
      </c>
      <c r="F38" s="28" t="str">
        <f>A.Backend!G26</f>
        <v>2</v>
      </c>
      <c r="G38" s="28" t="str">
        <f t="shared" si="27"/>
        <v xml:space="preserve"> : string = '' ; </v>
      </c>
      <c r="H38" s="35" t="str">
        <f t="shared" si="28"/>
        <v xml:space="preserve">			{headerName: this.l('Related Gr Transaction Type'),headerTooltip: this.l('Related Gr Transaction Type'),field: 'relatedGrTransactionType',flex: 1},</v>
      </c>
      <c r="I38" s="35" t="str">
        <f t="shared" si="29"/>
        <v xml:space="preserve">								&lt;div class='input-search'&gt;
									&lt;input [(ngModel)]='relatedGrTransactionType' name='relatedGrTransactionType'
									class='form-control' [placeholder]="l('Related Gr Transaction Type')"
									type='text' (keyup.enter)='searchDatas()'&gt;
								&lt;/div&gt;</v>
      </c>
      <c r="J38" s="28"/>
      <c r="K38" s="35" t="str">
        <f t="shared" si="30"/>
        <v xml:space="preserve">					&lt;div class='col-md-12 form-group row'&gt;
						&lt;label class='col-md-2 form-control title'&gt;Related Gr Transaction Type&lt;/label&gt;
						&lt;input type='text' class='col-md-10 form-control input-text' name='RelatedGrTransactionType' [(ngModel)]='rowdata.relatedGrTransactionType'&gt;
					&lt;/div&gt;</v>
      </c>
      <c r="L38" s="56" t="str">
        <f t="shared" si="43"/>
        <v/>
      </c>
      <c r="M38" s="28"/>
      <c r="N38" s="28"/>
      <c r="O38" s="28"/>
      <c r="P38" s="28"/>
      <c r="Q38" s="28"/>
      <c r="R38" s="28"/>
      <c r="S38" s="28" t="str">
        <f t="shared" si="32"/>
        <v xml:space="preserve">	relatedGrTransactionType : string = '' ; </v>
      </c>
      <c r="T38" s="28" t="str">
        <f t="shared" si="33"/>
        <v xml:space="preserve">			this.relatedGrTransactionType,</v>
      </c>
      <c r="U38" s="28" t="str">
        <f t="shared" si="34"/>
        <v xml:space="preserve">		this.relatedGrTransactionType = '',</v>
      </c>
      <c r="V38" s="28" t="str">
        <f t="shared" si="35"/>
        <v/>
      </c>
    </row>
    <row r="39" spans="1:22" ht="18" customHeight="1" x14ac:dyDescent="0.25">
      <c r="A39" t="s">
        <v>382</v>
      </c>
      <c r="B39" s="28" t="str">
        <f t="shared" si="40"/>
        <v>In-HousePartQuantityReceive</v>
      </c>
      <c r="C39" s="28" t="str">
        <f t="shared" si="41"/>
        <v>In-House Part Quantity Receive</v>
      </c>
      <c r="D39" s="28" t="str">
        <f t="shared" si="42"/>
        <v>in-HousePartQuantityReceive</v>
      </c>
      <c r="E39" s="28" t="str">
        <f>A.Backend!H27</f>
        <v>string</v>
      </c>
      <c r="F39" s="28" t="str">
        <f>A.Backend!G27</f>
        <v>2</v>
      </c>
      <c r="G39" s="28" t="str">
        <f t="shared" si="27"/>
        <v xml:space="preserve"> : string = '' ; </v>
      </c>
      <c r="H39" s="35" t="str">
        <f t="shared" si="28"/>
        <v xml:space="preserve">			{headerName: this.l('In-House Part Quantity Receive'),headerTooltip: this.l('In-House Part Quantity Receive'),field: 'in-HousePartQuantityReceive',flex: 1},</v>
      </c>
      <c r="I39" s="35" t="str">
        <f t="shared" si="29"/>
        <v xml:space="preserve">								&lt;div class='input-search'&gt;
									&lt;input [(ngModel)]='in-HousePartQuantityReceive' name='in-HousePartQuantityReceive'
									class='form-control' [placeholder]="l('In-House Part Quantity Receive')"
									type='text' (keyup.enter)='searchDatas()'&gt;
								&lt;/div&gt;</v>
      </c>
      <c r="J39" s="28"/>
      <c r="K39" s="35" t="str">
        <f t="shared" si="30"/>
        <v xml:space="preserve">					&lt;div class='col-md-12 form-group row'&gt;
						&lt;label class='col-md-2 form-control title'&gt;In-House Part Quantity Receive&lt;/label&gt;
						&lt;input type='text' class='col-md-10 form-control input-text' name='In-HousePartQuantityReceive' [(ngModel)]='rowdata.in-HousePartQuantityReceive'&gt;
					&lt;/div&gt;</v>
      </c>
      <c r="L39" s="56" t="str">
        <f t="shared" si="43"/>
        <v/>
      </c>
      <c r="M39" s="28"/>
      <c r="N39" s="28"/>
      <c r="O39" s="28"/>
      <c r="P39" s="28"/>
      <c r="Q39" s="28"/>
      <c r="R39" s="28"/>
      <c r="S39" s="28" t="str">
        <f t="shared" si="32"/>
        <v xml:space="preserve">	in-HousePartQuantityReceive : string = '' ; </v>
      </c>
      <c r="T39" s="28" t="str">
        <f t="shared" si="33"/>
        <v xml:space="preserve">			this.in-HousePartQuantityReceive,</v>
      </c>
      <c r="U39" s="28" t="str">
        <f t="shared" si="34"/>
        <v xml:space="preserve">		this.in-HousePartQuantityReceive = '',</v>
      </c>
      <c r="V39" s="28" t="str">
        <f t="shared" si="35"/>
        <v/>
      </c>
    </row>
    <row r="40" spans="1:22" ht="15" customHeight="1" x14ac:dyDescent="0.25">
      <c r="A40" t="s">
        <v>383</v>
      </c>
      <c r="B40" s="28" t="str">
        <f t="shared" si="20"/>
        <v>RelatedPartIssueNo</v>
      </c>
      <c r="C40" s="28" t="str">
        <f t="shared" si="21"/>
        <v>Related Part Issue No</v>
      </c>
      <c r="D40" s="28" t="str">
        <f t="shared" si="22"/>
        <v>relatedPartIssueNo</v>
      </c>
      <c r="E40" s="28" t="str">
        <f>A.Backend!H19</f>
        <v>int?</v>
      </c>
      <c r="F40" s="28" t="str">
        <f>A.Backend!G19</f>
        <v/>
      </c>
      <c r="G40" s="28" t="str">
        <f t="shared" si="3"/>
        <v/>
      </c>
      <c r="H40" s="35" t="str">
        <f t="shared" si="4"/>
        <v xml:space="preserve">			{headerName: this.l('Related Part Issue No'),headerTooltip: this.l('Related Part Issue No'),field: 'relatedPartIssueNo',flex: 1},</v>
      </c>
      <c r="I40" s="35" t="str">
        <f t="shared" si="5"/>
        <v/>
      </c>
      <c r="J40" s="28"/>
      <c r="K40" s="35" t="str">
        <f t="shared" si="6"/>
        <v/>
      </c>
      <c r="L40" s="56" t="str">
        <f t="shared" si="23"/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relatedPartIssueNo</v>
      </c>
      <c r="T40" s="28" t="str">
        <f t="shared" si="14"/>
        <v xml:space="preserve">			this.relatedPartIssueNo,</v>
      </c>
      <c r="U40" s="28" t="str">
        <f t="shared" si="15"/>
        <v xml:space="preserve">		this.relatedPartIssueNo = '',</v>
      </c>
      <c r="V40" s="28" t="str">
        <f t="shared" si="8"/>
        <v/>
      </c>
    </row>
    <row r="41" spans="1:22" ht="18" customHeight="1" x14ac:dyDescent="0.25">
      <c r="A41" t="s">
        <v>384</v>
      </c>
      <c r="B41" s="28" t="str">
        <f t="shared" si="20"/>
        <v>RelatedGiType</v>
      </c>
      <c r="C41" s="28" t="str">
        <f t="shared" si="21"/>
        <v>Related Gi Type</v>
      </c>
      <c r="D41" s="28" t="str">
        <f t="shared" si="22"/>
        <v>relatedGiType</v>
      </c>
      <c r="E41" s="28" t="str">
        <f>A.Backend!H20</f>
        <v>string</v>
      </c>
      <c r="F41" s="28" t="str">
        <f>A.Backend!G20</f>
        <v>40</v>
      </c>
      <c r="G41" s="28" t="str">
        <f t="shared" si="3"/>
        <v xml:space="preserve"> : string = '' ; </v>
      </c>
      <c r="H41" s="35" t="str">
        <f t="shared" si="4"/>
        <v xml:space="preserve">			{headerName: this.l('Related Gi Type'),headerTooltip: this.l('Related Gi Type'),field: 'relatedGiType',flex: 1},</v>
      </c>
      <c r="I41" s="35" t="str">
        <f t="shared" si="5"/>
        <v xml:space="preserve">								&lt;div class='input-search'&gt;
									&lt;input [(ngModel)]='relatedGiType' name='relatedGiType'
									class='form-control' [placeholder]="l('Related Gi Type')"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title'&gt;Related Gi Type&lt;/label&gt;
						&lt;input type='text' class='col-md-10 form-control input-text' name='RelatedGiType' [(ngModel)]='rowdata.relatedGiType'&gt;
					&lt;/div&gt;</v>
      </c>
      <c r="L41" s="56" t="str">
        <f t="shared" si="23"/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relatedGiType : string = '' ; </v>
      </c>
      <c r="T41" s="28" t="str">
        <f t="shared" si="14"/>
        <v xml:space="preserve">			this.relatedGiType,</v>
      </c>
      <c r="U41" s="28" t="str">
        <f t="shared" si="15"/>
        <v xml:space="preserve">		this.relatedGiType = '',</v>
      </c>
      <c r="V41" s="28" t="str">
        <f t="shared" si="8"/>
        <v/>
      </c>
    </row>
    <row r="42" spans="1:22" ht="18" customHeight="1" x14ac:dyDescent="0.25">
      <c r="A42" t="s">
        <v>385</v>
      </c>
      <c r="B42" s="28" t="str">
        <f>SUBSTITUTE(PROPER(A42),"_","")</f>
        <v>RelatedGiTransactionType</v>
      </c>
      <c r="C42" s="28" t="str">
        <f>SUBSTITUTE(PROPER(A42),"_"," ")</f>
        <v>Related Gi Transaction Type</v>
      </c>
      <c r="D42" s="28" t="str">
        <f>LOWER(LEFT(B42,1))&amp;RIGHT(B42,LEN(B42) - 1)</f>
        <v>relatedGiTransactionType</v>
      </c>
      <c r="E42" s="28" t="str">
        <f>A.Backend!H21</f>
        <v>int?</v>
      </c>
      <c r="F42" s="28" t="str">
        <f>A.Backend!G21</f>
        <v/>
      </c>
      <c r="G42" s="28" t="str">
        <f t="shared" si="3"/>
        <v/>
      </c>
      <c r="H42" s="35" t="str">
        <f t="shared" si="4"/>
        <v xml:space="preserve">			{headerName: this.l('Related Gi Transaction Type'),headerTooltip: this.l('Related Gi Transaction Type'),field: 'relatedGiTransactionType',flex: 1},</v>
      </c>
      <c r="I42" s="35" t="str">
        <f t="shared" si="5"/>
        <v/>
      </c>
      <c r="J42" s="28"/>
      <c r="K42" s="35" t="str">
        <f t="shared" si="6"/>
        <v/>
      </c>
      <c r="L42" s="56" t="str">
        <f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relatedGiTransactionType</v>
      </c>
      <c r="T42" s="28" t="str">
        <f t="shared" si="14"/>
        <v xml:space="preserve">			this.relatedGiTransactionType,</v>
      </c>
      <c r="U42" s="28" t="str">
        <f t="shared" si="15"/>
        <v xml:space="preserve">		this.relatedGiTransactionType = '',</v>
      </c>
      <c r="V42" s="28" t="str">
        <f t="shared" si="8"/>
        <v/>
      </c>
    </row>
    <row r="43" spans="1:22" ht="15" customHeight="1" x14ac:dyDescent="0.25">
      <c r="A43" t="s">
        <v>386</v>
      </c>
      <c r="B43" s="28" t="str">
        <f t="shared" ref="B43:B45" si="44">SUBSTITUTE(PROPER(A43),"_","")</f>
        <v>RelatedIn-HousePartQuantityIssued</v>
      </c>
      <c r="C43" s="28" t="str">
        <f t="shared" ref="C43:C45" si="45">SUBSTITUTE(PROPER(A43),"_"," ")</f>
        <v>Related In-House Part Quantity Issued</v>
      </c>
      <c r="D43" s="28" t="str">
        <f t="shared" ref="D43:D45" si="46">LOWER(LEFT(B43,1))&amp;RIGHT(B43,LEN(B43) - 1)</f>
        <v>relatedIn-HousePartQuantityIssued</v>
      </c>
      <c r="E43" s="28" t="str">
        <f>A.Backend!H22</f>
        <v>int?</v>
      </c>
      <c r="F43" s="28" t="str">
        <f>A.Backend!G22</f>
        <v/>
      </c>
      <c r="G43" s="28" t="str">
        <f t="shared" si="3"/>
        <v/>
      </c>
      <c r="H43" s="35" t="str">
        <f t="shared" si="4"/>
        <v xml:space="preserve">			{headerName: this.l('Related In-House Part Quantity Issued'),headerTooltip: this.l('Related In-House Part Quantity Issued'),field: 'relatedIn-HousePartQuantityIssued',flex: 1},</v>
      </c>
      <c r="I43" s="35" t="str">
        <f t="shared" si="5"/>
        <v/>
      </c>
      <c r="J43" s="28"/>
      <c r="K43" s="35" t="str">
        <f t="shared" si="6"/>
        <v/>
      </c>
      <c r="L43" s="56" t="str">
        <f t="shared" ref="L43:L45" si="47"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relatedIn-HousePartQuantityIssued</v>
      </c>
      <c r="T43" s="28" t="str">
        <f t="shared" si="14"/>
        <v xml:space="preserve">			this.relatedIn-HousePartQuantityIssued,</v>
      </c>
      <c r="U43" s="28" t="str">
        <f t="shared" si="15"/>
        <v xml:space="preserve">		this.relatedIn-HousePartQuantityIssued = '',</v>
      </c>
      <c r="V43" s="28" t="str">
        <f t="shared" si="8"/>
        <v/>
      </c>
    </row>
    <row r="44" spans="1:22" ht="18" customHeight="1" x14ac:dyDescent="0.25">
      <c r="A44" t="s">
        <v>387</v>
      </c>
      <c r="B44" s="28" t="str">
        <f t="shared" si="44"/>
        <v>RelatedSpoiledPartQuantityIssued</v>
      </c>
      <c r="C44" s="28" t="str">
        <f t="shared" si="45"/>
        <v>Related Spoiled Part Quantity Issued</v>
      </c>
      <c r="D44" s="28" t="str">
        <f t="shared" si="46"/>
        <v>relatedSpoiledPartQuantityIssued</v>
      </c>
      <c r="E44" s="28" t="str">
        <f>A.Backend!H23</f>
        <v>string</v>
      </c>
      <c r="F44" s="28" t="str">
        <f>A.Backend!G23</f>
        <v>10</v>
      </c>
      <c r="G44" s="28" t="str">
        <f t="shared" si="3"/>
        <v xml:space="preserve"> : string = '' ; </v>
      </c>
      <c r="H44" s="35" t="str">
        <f t="shared" si="4"/>
        <v xml:space="preserve">			{headerName: this.l('Related Spoiled Part Quantity Issued'),headerTooltip: this.l('Related Spoiled Part Quantity Issued'),field: 'relatedSpoiledPartQuantityIssued',flex: 1},</v>
      </c>
      <c r="I44" s="35" t="str">
        <f t="shared" si="5"/>
        <v xml:space="preserve">								&lt;div class='input-search'&gt;
									&lt;input [(ngModel)]='relatedSpoiledPartQuantityIssued' name='relatedSpoiledPartQuantityIssued'
									class='form-control' [placeholder]="l('Related Spoiled Part Quantity Issued')"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title'&gt;Related Spoiled Part Quantity Issued&lt;/label&gt;
						&lt;input type='text' class='col-md-10 form-control input-text' name='RelatedSpoiledPartQuantityIssued' [(ngModel)]='rowdata.relatedSpoiledPartQuantityIssued'&gt;
					&lt;/div&gt;</v>
      </c>
      <c r="L44" s="56" t="str">
        <f t="shared" si="47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relatedSpoiledPartQuantityIssued : string = '' ; </v>
      </c>
      <c r="T44" s="28" t="str">
        <f t="shared" si="14"/>
        <v xml:space="preserve">			this.relatedSpoiledPartQuantityIssued,</v>
      </c>
      <c r="U44" s="28" t="str">
        <f t="shared" si="15"/>
        <v xml:space="preserve">		this.relatedSpoiledPartQuantityIssued = '',</v>
      </c>
      <c r="V44" s="28" t="str">
        <f t="shared" si="8"/>
        <v/>
      </c>
    </row>
    <row r="45" spans="1:22" ht="15" customHeight="1" x14ac:dyDescent="0.25">
      <c r="A45" t="s">
        <v>388</v>
      </c>
      <c r="B45" s="28" t="str">
        <f t="shared" si="44"/>
        <v>Wip</v>
      </c>
      <c r="C45" s="28" t="str">
        <f t="shared" si="45"/>
        <v>Wip</v>
      </c>
      <c r="D45" s="28" t="str">
        <f t="shared" si="46"/>
        <v>wip</v>
      </c>
      <c r="E45" s="28" t="str">
        <f>A.Backend!H24</f>
        <v>string</v>
      </c>
      <c r="F45" s="28" t="str">
        <f>A.Backend!G24</f>
        <v>1</v>
      </c>
      <c r="G45" s="28" t="str">
        <f t="shared" si="3"/>
        <v xml:space="preserve"> : string = '' ; </v>
      </c>
      <c r="H45" s="35" t="str">
        <f t="shared" si="4"/>
        <v xml:space="preserve">			{headerName: this.l('Wip'),headerTooltip: this.l('Wip'),field:  'wip', cellClass: ['text-center'], width: 120, cellRenderer: 'agCellButtonComponent',
buttonDefTwo: { text: params =&gt; (params.data?.'wip' == 'Y') ? 'Active' : 'Inactive',iconName: 'fa fa-circle',className: params =&gt; (params.data?.'wip' == 'Y') ? 'btnActive' : 'btnInActive',},}</v>
      </c>
      <c r="I45" s="35" t="str">
        <f t="shared" si="5"/>
        <v xml:space="preserve">								&lt;div class='input-search'&gt;
									&lt;input [(ngModel)]='wip' name='wip'
									class='form-control' [placeholder]="l('Wip')"
									type='text' (keyup.enter)='searchDatas()'&gt;
								&lt;/div&gt;</v>
      </c>
      <c r="J45" s="28"/>
      <c r="K45" s="35" t="str">
        <f t="shared" si="6"/>
        <v xml:space="preserve">					&lt;div class='col-md-12 form-group row'&gt;
						&lt;label class='col-md-2 form-control title'&gt;Wip&lt;/label&gt;
						&lt;new-checkbox [(ngModel)]='_wip' name='wip' className='col-md-10' &gt; &lt;/new-checkbox&gt;
					&lt;/div&gt;</v>
      </c>
      <c r="L45" s="56" t="str">
        <f t="shared" si="47"/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wip : string = '' ; </v>
      </c>
      <c r="T45" s="28" t="str">
        <f t="shared" si="14"/>
        <v xml:space="preserve">			this.wip,</v>
      </c>
      <c r="U45" s="28" t="str">
        <f t="shared" si="15"/>
        <v xml:space="preserve">		this.wip = '',</v>
      </c>
      <c r="V45" s="28" t="str">
        <f t="shared" si="8"/>
        <v>wip</v>
      </c>
    </row>
    <row r="46" spans="1:22" ht="15" customHeight="1" x14ac:dyDescent="0.25">
      <c r="A46" t="s">
        <v>389</v>
      </c>
      <c r="B46" s="28" t="str">
        <f t="shared" ref="B46" si="48">SUBSTITUTE(PROPER(A46),"_","")</f>
        <v>ProductionId</v>
      </c>
      <c r="C46" s="28" t="str">
        <f t="shared" ref="C46" si="49">SUBSTITUTE(PROPER(A46),"_"," ")</f>
        <v>Production Id</v>
      </c>
      <c r="D46" s="28" t="str">
        <f t="shared" ref="D46" si="50">LOWER(LEFT(B46,1))&amp;RIGHT(B46,LEN(B46) - 1)</f>
        <v>productionId</v>
      </c>
      <c r="E46" s="28" t="str">
        <f>A.Backend!H25</f>
        <v>string</v>
      </c>
      <c r="F46" s="28" t="str">
        <f>A.Backend!G25</f>
        <v>10</v>
      </c>
      <c r="G46" s="28" t="str">
        <f t="shared" si="3"/>
        <v xml:space="preserve"> : string = '' ; </v>
      </c>
      <c r="H46" s="35" t="str">
        <f t="shared" si="4"/>
        <v xml:space="preserve">			{headerName: this.l('Production Id'),headerTooltip: this.l('Production Id'),field: 'productionId',flex: 1},</v>
      </c>
      <c r="I46" s="35" t="str">
        <f t="shared" si="5"/>
        <v xml:space="preserve">								&lt;div class='input-search'&gt;
									&lt;input [(ngModel)]='productionId' name='productionId'
									class='form-control' [placeholder]="l('Production Id')"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title'&gt;Production Id&lt;/label&gt;
						&lt;input type='text' class='col-md-10 form-control input-text' name='ProductionId' [(ngModel)]='rowdata.productionId'&gt;
					&lt;/div&gt;</v>
      </c>
      <c r="L46" s="56" t="str">
        <f t="shared" ref="L46" si="51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productionId : string = '' ; </v>
      </c>
      <c r="T46" s="28" t="str">
        <f t="shared" si="14"/>
        <v xml:space="preserve">			this.productionId,</v>
      </c>
      <c r="U46" s="28" t="str">
        <f t="shared" si="15"/>
        <v xml:space="preserve">		this.productionId = '',</v>
      </c>
      <c r="V46" s="28" t="str">
        <f t="shared" si="8"/>
        <v/>
      </c>
    </row>
    <row r="47" spans="1:22" ht="18" customHeight="1" x14ac:dyDescent="0.25">
      <c r="A47" t="s">
        <v>390</v>
      </c>
      <c r="B47" s="28" t="str">
        <f t="shared" si="0"/>
        <v>FinalPrice</v>
      </c>
      <c r="C47" s="28" t="str">
        <f t="shared" si="1"/>
        <v>Final Price</v>
      </c>
      <c r="D47" s="28" t="str">
        <f t="shared" si="2"/>
        <v>finalPrice</v>
      </c>
      <c r="E47" s="28" t="str">
        <f>A.Backend!H26</f>
        <v>string</v>
      </c>
      <c r="F47" s="28" t="str">
        <f>A.Backend!G26</f>
        <v>2</v>
      </c>
      <c r="G47" s="28" t="str">
        <f t="shared" si="3"/>
        <v xml:space="preserve"> : string = '' ; </v>
      </c>
      <c r="H47" s="35" t="str">
        <f t="shared" si="4"/>
        <v xml:space="preserve">			{headerName: this.l('Final Price'),headerTooltip: this.l('Final Price'),field: 'finalPrice',flex: 1},</v>
      </c>
      <c r="I47" s="35" t="str">
        <f t="shared" si="5"/>
        <v xml:space="preserve">								&lt;div class='input-search'&gt;
									&lt;input [(ngModel)]='finalPrice' name='finalPrice'
									class='form-control' [placeholder]="l('Final Price')"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title'&gt;Final Price&lt;/label&gt;
						&lt;input type='text' class='col-md-10 form-control input-text' name='FinalPrice' [(ngModel)]='rowdata.finalPrice'&gt;
					&lt;/div&gt;</v>
      </c>
      <c r="L47" s="56" t="str">
        <f t="shared" si="7"/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finalPrice : string = '' ; </v>
      </c>
      <c r="T47" s="28" t="str">
        <f t="shared" si="14"/>
        <v xml:space="preserve">			this.finalPrice,</v>
      </c>
      <c r="U47" s="28" t="str">
        <f t="shared" si="15"/>
        <v xml:space="preserve">		this.finalPrice = '',</v>
      </c>
      <c r="V47" s="28" t="str">
        <f t="shared" si="8"/>
        <v/>
      </c>
    </row>
    <row r="48" spans="1:22" ht="15" customHeight="1" x14ac:dyDescent="0.25">
      <c r="A48" t="s">
        <v>358</v>
      </c>
      <c r="B48" s="28" t="str">
        <f t="shared" ref="B48:B49" si="52">SUBSTITUTE(PROPER(A48),"_","")</f>
        <v>Wbs</v>
      </c>
      <c r="C48" s="28" t="str">
        <f t="shared" ref="C48:C49" si="53">SUBSTITUTE(PROPER(A48),"_"," ")</f>
        <v>Wbs</v>
      </c>
      <c r="D48" s="28" t="str">
        <f t="shared" ref="D48:D49" si="54">LOWER(LEFT(B48,1))&amp;RIGHT(B48,LEN(B48) - 1)</f>
        <v>wbs</v>
      </c>
      <c r="E48" s="28" t="str">
        <f>A.Backend!H27</f>
        <v>string</v>
      </c>
      <c r="F48" s="28" t="str">
        <f>A.Backend!G27</f>
        <v>2</v>
      </c>
      <c r="G48" s="28" t="str">
        <f t="shared" si="3"/>
        <v xml:space="preserve"> : string = '' ; </v>
      </c>
      <c r="H48" s="35" t="str">
        <f t="shared" si="4"/>
        <v xml:space="preserve">			{headerName: this.l('Wbs'),headerTooltip: this.l('Wbs'),field: 'wbs',flex: 1},</v>
      </c>
      <c r="I48" s="35" t="str">
        <f t="shared" si="5"/>
        <v xml:space="preserve">								&lt;div class='input-search'&gt;
									&lt;input [(ngModel)]='wbs' name='wbs'
									class='form-control' [placeholder]="l('Wbs')"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title'&gt;Wbs&lt;/label&gt;
						&lt;input type='text' class='col-md-10 form-control input-text' name='Wbs' [(ngModel)]='rowdata.wbs'&gt;
					&lt;/div&gt;</v>
      </c>
      <c r="L48" s="56" t="str">
        <f t="shared" ref="L48:L49" si="55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wbs : string = '' ; </v>
      </c>
      <c r="T48" s="28" t="str">
        <f t="shared" si="14"/>
        <v xml:space="preserve">			this.wbs,</v>
      </c>
      <c r="U48" s="28" t="str">
        <f t="shared" si="15"/>
        <v xml:space="preserve">		this.wbs = '',</v>
      </c>
      <c r="V48" s="28" t="str">
        <f t="shared" si="8"/>
        <v/>
      </c>
    </row>
    <row r="49" spans="1:22" ht="18" customHeight="1" x14ac:dyDescent="0.25">
      <c r="A49" t="s">
        <v>391</v>
      </c>
      <c r="B49" s="28" t="str">
        <f t="shared" si="52"/>
        <v>EarmarkedFund</v>
      </c>
      <c r="C49" s="28" t="str">
        <f t="shared" si="53"/>
        <v>Earmarked Fund</v>
      </c>
      <c r="D49" s="28" t="str">
        <f t="shared" si="54"/>
        <v>earmarkedFund</v>
      </c>
      <c r="E49" s="28" t="str">
        <f>A.Backend!H28</f>
        <v>int?</v>
      </c>
      <c r="F49" s="28" t="str">
        <f>A.Backend!G28</f>
        <v/>
      </c>
      <c r="G49" s="28" t="str">
        <f t="shared" si="3"/>
        <v/>
      </c>
      <c r="H49" s="35" t="str">
        <f t="shared" si="4"/>
        <v xml:space="preserve">			{headerName: this.l('Earmarked Fund'),headerTooltip: this.l('Earmarked Fund'),field: 'earmarkedFund',flex: 1},</v>
      </c>
      <c r="I49" s="35" t="str">
        <f t="shared" si="5"/>
        <v/>
      </c>
      <c r="J49" s="28"/>
      <c r="K49" s="35" t="str">
        <f t="shared" si="6"/>
        <v/>
      </c>
      <c r="L49" s="56" t="str">
        <f t="shared" si="55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earmarkedFund</v>
      </c>
      <c r="T49" s="28" t="str">
        <f t="shared" si="14"/>
        <v xml:space="preserve">			this.earmarkedFund,</v>
      </c>
      <c r="U49" s="28" t="str">
        <f t="shared" si="15"/>
        <v xml:space="preserve">		this.earmarkedFund = '',</v>
      </c>
      <c r="V49" s="28" t="str">
        <f t="shared" si="8"/>
        <v/>
      </c>
    </row>
    <row r="50" spans="1:22" ht="18" customHeight="1" x14ac:dyDescent="0.25">
      <c r="A50" t="s">
        <v>392</v>
      </c>
      <c r="B50" s="28" t="str">
        <f>SUBSTITUTE(PROPER(A50),"_","")</f>
        <v>EarmarkedFundItem</v>
      </c>
      <c r="C50" s="28" t="str">
        <f>SUBSTITUTE(PROPER(A50),"_"," ")</f>
        <v>Earmarked Fund Item</v>
      </c>
      <c r="D50" s="28" t="str">
        <f>LOWER(LEFT(B50,1))&amp;RIGHT(B50,LEN(B50) - 1)</f>
        <v>earmarkedFundItem</v>
      </c>
      <c r="E50" s="28" t="str">
        <f>A.Backend!H30</f>
        <v>string</v>
      </c>
      <c r="F50" s="28" t="str">
        <f>A.Backend!G30</f>
        <v>10</v>
      </c>
      <c r="G50" s="28" t="str">
        <f t="shared" si="3"/>
        <v xml:space="preserve"> : string = '' ; </v>
      </c>
      <c r="H50" s="35" t="str">
        <f t="shared" si="4"/>
        <v xml:space="preserve">			{headerName: this.l('Earmarked Fund Item'),headerTooltip: this.l('Earmarked Fund Item'),field: 'earmarkedFundItem',flex: 1},</v>
      </c>
      <c r="I50" s="35" t="str">
        <f t="shared" si="5"/>
        <v xml:space="preserve">								&lt;div class='input-search'&gt;
									&lt;input [(ngModel)]='earmarkedFundItem' name='earmarkedFundItem'
									class='form-control' [placeholder]="l('Earmarked Fund Item')"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title'&gt;Earmarked Fund Item&lt;/label&gt;
						&lt;input type='text' class='col-md-10 form-control input-text' name='EarmarkedFundItem' [(ngModel)]='rowdata.earmarkedFundItem'&gt;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earmarkedFundItem : string = '' ; </v>
      </c>
      <c r="T50" s="28" t="str">
        <f t="shared" si="14"/>
        <v xml:space="preserve">			this.earmarkedFundItem,</v>
      </c>
      <c r="U50" s="28" t="str">
        <f t="shared" si="15"/>
        <v xml:space="preserve">		this.earmarkedFundItem = '',</v>
      </c>
      <c r="V50" s="28" t="str">
        <f t="shared" si="8"/>
        <v/>
      </c>
    </row>
    <row r="51" spans="1:22" ht="15" customHeight="1" x14ac:dyDescent="0.25">
      <c r="A51" t="s">
        <v>393</v>
      </c>
      <c r="B51" s="28" t="str">
        <f t="shared" ref="B51:B53" si="56">SUBSTITUTE(PROPER(A51),"_","")</f>
        <v>P-SmsCode</v>
      </c>
      <c r="C51" s="28" t="str">
        <f t="shared" ref="C51:C53" si="57">SUBSTITUTE(PROPER(A51),"_"," ")</f>
        <v>P-Sms Code</v>
      </c>
      <c r="D51" s="28" t="str">
        <f t="shared" ref="D51:D53" si="58">LOWER(LEFT(B51,1))&amp;RIGHT(B51,LEN(B51) - 1)</f>
        <v>p-SmsCode</v>
      </c>
      <c r="E51" s="28" t="str">
        <f>A.Backend!H39</f>
        <v>int?</v>
      </c>
      <c r="F51" s="28" t="str">
        <f>A.Backend!G39</f>
        <v/>
      </c>
      <c r="G51" s="28" t="str">
        <f t="shared" si="3"/>
        <v/>
      </c>
      <c r="H51" s="35" t="str">
        <f t="shared" si="4"/>
        <v xml:space="preserve">			{headerName: this.l('P-Sms Code'),headerTooltip: this.l('P-Sms Code'),field: 'p-SmsCode',flex: 1},</v>
      </c>
      <c r="I51" s="35" t="str">
        <f t="shared" si="5"/>
        <v/>
      </c>
      <c r="J51" s="28"/>
      <c r="K51" s="35" t="str">
        <f t="shared" si="6"/>
        <v/>
      </c>
      <c r="L51" s="56" t="str">
        <f t="shared" ref="L51:L53" si="59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13"/>
        <v xml:space="preserve">	p-SmsCode</v>
      </c>
      <c r="T51" s="28" t="str">
        <f t="shared" si="14"/>
        <v xml:space="preserve">			this.p-SmsCode,</v>
      </c>
      <c r="U51" s="28" t="str">
        <f t="shared" si="15"/>
        <v xml:space="preserve">		this.p-SmsCode = '',</v>
      </c>
      <c r="V51" s="28" t="str">
        <f t="shared" si="8"/>
        <v/>
      </c>
    </row>
    <row r="52" spans="1:22" ht="18" customHeight="1" x14ac:dyDescent="0.25">
      <c r="A52" t="s">
        <v>394</v>
      </c>
      <c r="B52" s="28" t="str">
        <f t="shared" si="56"/>
        <v>GiUom</v>
      </c>
      <c r="C52" s="28" t="str">
        <f t="shared" si="57"/>
        <v>Gi Uom</v>
      </c>
      <c r="D52" s="28" t="str">
        <f t="shared" si="58"/>
        <v>giUom</v>
      </c>
      <c r="E52" s="28" t="str">
        <f>A.Backend!H40</f>
        <v>string</v>
      </c>
      <c r="F52" s="28" t="str">
        <f>A.Backend!G40</f>
        <v>38</v>
      </c>
      <c r="G52" s="28" t="str">
        <f t="shared" si="3"/>
        <v xml:space="preserve"> : string = '' ; </v>
      </c>
      <c r="H52" s="35" t="str">
        <f t="shared" si="4"/>
        <v xml:space="preserve">			{headerName: this.l('Gi Uom'),headerTooltip: this.l('Gi Uom'),field: 'giUom',flex: 1},</v>
      </c>
      <c r="I52" s="35" t="str">
        <f t="shared" si="5"/>
        <v xml:space="preserve">								&lt;div class='input-search'&gt;
									&lt;input [(ngModel)]='giUom' name='giUom'
									class='form-control' [placeholder]="l('Gi Uom')"
									type='text' (keyup.enter)='searchDatas()'&gt;
								&lt;/div&gt;</v>
      </c>
      <c r="J52" s="28"/>
      <c r="K52" s="35" t="str">
        <f t="shared" si="6"/>
        <v xml:space="preserve">					&lt;div class='col-md-12 form-group row'&gt;
						&lt;label class='col-md-2 form-control title'&gt;Gi Uom&lt;/label&gt;
						&lt;input type='text' class='col-md-10 form-control input-text' name='GiUom' [(ngModel)]='rowdata.giUom'&gt;
					&lt;/div&gt;</v>
      </c>
      <c r="L52" s="56" t="str">
        <f t="shared" si="59"/>
        <v/>
      </c>
      <c r="M52" s="28"/>
      <c r="N52" s="28"/>
      <c r="O52" s="28"/>
      <c r="P52" s="28"/>
      <c r="Q52" s="28"/>
      <c r="R52" s="28"/>
      <c r="S52" s="28" t="str">
        <f t="shared" si="13"/>
        <v xml:space="preserve">	giUom : string = '' ; </v>
      </c>
      <c r="T52" s="28" t="str">
        <f t="shared" si="14"/>
        <v xml:space="preserve">			this.giUom,</v>
      </c>
      <c r="U52" s="28" t="str">
        <f t="shared" si="15"/>
        <v xml:space="preserve">		this.giUom = '',</v>
      </c>
      <c r="V52" s="28" t="str">
        <f t="shared" si="8"/>
        <v/>
      </c>
    </row>
    <row r="53" spans="1:22" ht="15" customHeight="1" x14ac:dyDescent="0.25">
      <c r="A53" t="s">
        <v>395</v>
      </c>
      <c r="B53" s="28" t="str">
        <f t="shared" si="56"/>
        <v>EndingOfRecord</v>
      </c>
      <c r="C53" s="28" t="str">
        <f t="shared" si="57"/>
        <v>Ending Of Record</v>
      </c>
      <c r="D53" s="28" t="str">
        <f t="shared" si="58"/>
        <v>endingOfRecord</v>
      </c>
      <c r="E53" s="28" t="str">
        <f>A.Backend!H41</f>
        <v>int?</v>
      </c>
      <c r="F53" s="28" t="str">
        <f>A.Backend!G41</f>
        <v/>
      </c>
      <c r="G53" s="28" t="str">
        <f t="shared" si="3"/>
        <v/>
      </c>
      <c r="H53" s="35" t="str">
        <f t="shared" si="4"/>
        <v xml:space="preserve">			{headerName: this.l('Ending Of Record'),headerTooltip: this.l('Ending Of Record'),field: 'endingOfRecord',flex: 1},</v>
      </c>
      <c r="I53" s="35" t="str">
        <f t="shared" si="5"/>
        <v/>
      </c>
      <c r="J53" s="28"/>
      <c r="K53" s="35" t="str">
        <f t="shared" si="6"/>
        <v/>
      </c>
      <c r="L53" s="56" t="str">
        <f t="shared" si="59"/>
        <v/>
      </c>
      <c r="M53" s="28"/>
      <c r="N53" s="28"/>
      <c r="O53" s="28"/>
      <c r="P53" s="28"/>
      <c r="Q53" s="28"/>
      <c r="R53" s="28"/>
      <c r="S53" s="28" t="str">
        <f t="shared" si="13"/>
        <v xml:space="preserve">	endingOfRecord</v>
      </c>
      <c r="T53" s="28" t="str">
        <f t="shared" si="14"/>
        <v xml:space="preserve">			this.endingOfRecord,</v>
      </c>
      <c r="U53" s="28" t="str">
        <f t="shared" si="15"/>
        <v xml:space="preserve">		this.endingOfRecord = '',</v>
      </c>
      <c r="V53" s="28" t="str">
        <f t="shared" si="8"/>
        <v/>
      </c>
    </row>
    <row r="5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2023-08-08T02:45:59Z</dcterms:modified>
</cp:coreProperties>
</file>
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inventory\interface\"/>
    </mc:Choice>
  </mc:AlternateContent>
  <bookViews>
    <workbookView xWindow="-120" yWindow="-120" windowWidth="24240" windowHeight="1314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5" l="1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B7" i="5" l="1"/>
  <c r="B6" i="5"/>
  <c r="B2" i="5"/>
  <c r="B8" i="5" l="1"/>
  <c r="B3" i="5"/>
  <c r="L17" i="1"/>
  <c r="G17" i="1"/>
  <c r="F23" i="5" s="1"/>
  <c r="E17" i="1"/>
  <c r="H17" i="1" s="1"/>
  <c r="E23" i="5" s="1"/>
  <c r="D17" i="1"/>
  <c r="V17" i="1" s="1"/>
  <c r="L16" i="1"/>
  <c r="G16" i="1"/>
  <c r="F22" i="5" s="1"/>
  <c r="E16" i="1"/>
  <c r="H16" i="1" s="1"/>
  <c r="E22" i="5" s="1"/>
  <c r="D16" i="1"/>
  <c r="T16" i="1" s="1"/>
  <c r="L15" i="1"/>
  <c r="G15" i="1"/>
  <c r="F21" i="5" s="1"/>
  <c r="E15" i="1"/>
  <c r="H15" i="1" s="1"/>
  <c r="E21" i="5" s="1"/>
  <c r="D15" i="1"/>
  <c r="V15" i="1" s="1"/>
  <c r="G14" i="1"/>
  <c r="F20" i="5" s="1"/>
  <c r="E14" i="1"/>
  <c r="H14" i="1" s="1"/>
  <c r="E20" i="5" s="1"/>
  <c r="D14" i="1"/>
  <c r="T14" i="1" s="1"/>
  <c r="I23" i="5" l="1"/>
  <c r="H23" i="5"/>
  <c r="G23" i="5"/>
  <c r="S23" i="5" s="1"/>
  <c r="V23" i="5"/>
  <c r="U23" i="5"/>
  <c r="K23" i="5"/>
  <c r="L23" i="5"/>
  <c r="G21" i="5"/>
  <c r="S21" i="5" s="1"/>
  <c r="V21" i="5"/>
  <c r="U21" i="5"/>
  <c r="L21" i="5"/>
  <c r="K21" i="5"/>
  <c r="H21" i="5"/>
  <c r="I21" i="5"/>
  <c r="H22" i="5"/>
  <c r="G22" i="5"/>
  <c r="S22" i="5" s="1"/>
  <c r="L22" i="5"/>
  <c r="V22" i="5"/>
  <c r="U22" i="5"/>
  <c r="I22" i="5"/>
  <c r="K22" i="5"/>
  <c r="V20" i="5"/>
  <c r="U20" i="5"/>
  <c r="H20" i="5"/>
  <c r="K20" i="5"/>
  <c r="I20" i="5"/>
  <c r="G20" i="5"/>
  <c r="S20" i="5" s="1"/>
  <c r="L20" i="5"/>
  <c r="P15" i="1"/>
  <c r="W15" i="1"/>
  <c r="P17" i="1"/>
  <c r="W17" i="1"/>
  <c r="O17" i="1"/>
  <c r="J17" i="1"/>
  <c r="N17" i="1"/>
  <c r="I17" i="1"/>
  <c r="M17" i="1"/>
  <c r="M16" i="1"/>
  <c r="N16" i="1"/>
  <c r="I16" i="1"/>
  <c r="W16" i="1"/>
  <c r="O16" i="1"/>
  <c r="J16" i="1"/>
  <c r="M14" i="1"/>
  <c r="N14" i="1"/>
  <c r="I14" i="1"/>
  <c r="W14" i="1"/>
  <c r="O14" i="1"/>
  <c r="J14" i="1"/>
  <c r="M15" i="1"/>
  <c r="T15" i="1"/>
  <c r="T17" i="1"/>
  <c r="V14" i="1"/>
  <c r="V16" i="1"/>
  <c r="I15" i="1"/>
  <c r="N15" i="1"/>
  <c r="P16" i="1"/>
  <c r="P14" i="1"/>
  <c r="J15" i="1"/>
  <c r="O15" i="1"/>
  <c r="C17" i="5"/>
  <c r="B17" i="5"/>
  <c r="D17" i="5" s="1"/>
  <c r="C16" i="5"/>
  <c r="B16" i="5"/>
  <c r="D16" i="5" s="1"/>
  <c r="T16" i="5" l="1"/>
  <c r="T17" i="5"/>
  <c r="B6" i="1"/>
  <c r="G13" i="1"/>
  <c r="F19" i="5" s="1"/>
  <c r="E13" i="1"/>
  <c r="H13" i="1" s="1"/>
  <c r="E19" i="5" s="1"/>
  <c r="D13" i="1"/>
  <c r="V13" i="1" s="1"/>
  <c r="G19" i="5" l="1"/>
  <c r="S19" i="5" s="1"/>
  <c r="V19" i="5"/>
  <c r="U19" i="5"/>
  <c r="K19" i="5"/>
  <c r="I19" i="5"/>
  <c r="H19" i="5"/>
  <c r="L19" i="5"/>
  <c r="W13" i="1"/>
  <c r="N13" i="1"/>
  <c r="I13" i="1"/>
  <c r="M13" i="1"/>
  <c r="O13" i="1"/>
  <c r="J13" i="1"/>
  <c r="L13" i="1"/>
  <c r="P13" i="1"/>
  <c r="T13" i="1"/>
  <c r="C15" i="5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V18" i="5" l="1"/>
  <c r="U18" i="5"/>
  <c r="K18" i="5"/>
  <c r="I18" i="5"/>
  <c r="H18" i="5"/>
  <c r="G18" i="5"/>
  <c r="S18" i="5" s="1"/>
  <c r="L18" i="5"/>
  <c r="V17" i="5"/>
  <c r="U17" i="5"/>
  <c r="K17" i="5"/>
  <c r="I17" i="5"/>
  <c r="H17" i="5"/>
  <c r="G17" i="5"/>
  <c r="S17" i="5" s="1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K16" i="5"/>
  <c r="I16" i="5"/>
  <c r="H16" i="5"/>
  <c r="G16" i="5"/>
  <c r="S16" i="5" s="1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9" i="1"/>
  <c r="K12" i="5" l="1"/>
  <c r="H12" i="5"/>
  <c r="V12" i="5"/>
  <c r="T12" i="5"/>
  <c r="U12" i="5"/>
  <c r="I12" i="5"/>
  <c r="L12" i="5"/>
  <c r="S12" i="5"/>
  <c r="R3" i="1" l="1"/>
  <c r="D1" i="1"/>
  <c r="F6" i="1"/>
  <c r="T19" i="1"/>
  <c r="T13" i="5"/>
  <c r="T7" i="1" l="1"/>
  <c r="W19" i="1"/>
  <c r="G6" i="1" l="1"/>
  <c r="U13" i="5"/>
  <c r="K13" i="5"/>
  <c r="H13" i="5"/>
  <c r="S13" i="5"/>
  <c r="L13" i="5"/>
  <c r="I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4" i="1" l="1"/>
  <c r="L9" i="1"/>
  <c r="L10" i="1"/>
  <c r="C7" i="1"/>
  <c r="I19" i="1"/>
  <c r="P19" i="1"/>
  <c r="O19" i="1"/>
  <c r="J19" i="1"/>
  <c r="N19" i="1"/>
  <c r="Q7" i="1" l="1"/>
  <c r="M68" i="3" s="1"/>
  <c r="L7" i="1"/>
  <c r="G68" i="3" s="1"/>
  <c r="K68" i="3"/>
  <c r="J68" i="3"/>
  <c r="M19" i="1"/>
  <c r="K19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<sst xmlns="http://schemas.openxmlformats.org/spreadsheetml/2006/main" count="468" uniqueCount="376">
  <si>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</si>
  <si>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</si>
  <si>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</si>
  <si>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</si>
  <si>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</si>
  <si>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</si>
  <si>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</si>
  <si>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</si>
  <si>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</si>
  <si>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</si>
  <si>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</si>
  <si>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</si>
  <si>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</si>
  <si>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</si>
  <si>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</si>
  <si>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</si>
  <si>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</si>
  <si>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</si>
  <si>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</si>
  <si>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</si>
  <si>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</si>
  <si>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</si>
  <si>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</si>
  <si>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</si>
  <si>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</si>
  <si>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</si>
  <si>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</si>
  <si>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</si>
  <si>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</si>
  <si>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</si>
  <si>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</si>
  <si>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</si>
  <si>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</si>
  <si>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</si>
  <si>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</si>
  <si>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</si>
  <si>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</si>
  <si>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</si>
  <si>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</si>
  <si>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</si>
  <si>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</si>
  <si>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</si>
  <si>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</si>
  <si>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</si>
  <si>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</si>
  <si>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</si>
  <si>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</si>
  <si>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</si>
  <si>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</si>
  <si>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</si>
  <si>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</si>
  <si>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</si>
  <si>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</si>
  <si>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</si>
  <si>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</si>
  <si>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</si>
  <si>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</si>
  <si>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</si>
  <si>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</si>
  <si>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</si>
  <si>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</si>
  <si>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</si>
  <si>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</si>
  <si>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</si>
  <si>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</si>
  <si>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</si>
  <si>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</si>
  <si>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</si>
  <si>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</si>
  <si>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</si>
  <si>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</si>
  <si>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</si>
  <si>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</si>
  <si>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</si>
  <si>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</si>
  <si>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</si>
  <si>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</si>
  <si>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</si>
  <si>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</si>
  <si>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</si>
  <si>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</si>
  <si>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</si>
  <si>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</si>
  <si>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</si>
  <si>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</si>
  <si>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</si>
  <si>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</si>
  <si>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</si>
  <si>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</si>
  <si>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</si>
  <si>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</si>
  <si>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</si>
  <si>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</si>
  <si>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</si>
  <si>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</si>
  <si>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</si>
  <si>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</si>
  <si>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</si>
  <si>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</si>
  <si>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</si>
  <si>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</si>
  <si>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</si>
  <si>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</si>
  <si>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</si>
  <si>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</si>
  <si>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</si>
  <si>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</si>
  <si>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</si>
  <si>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</si>
  <si>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</si>
  <si>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</si>
  <si>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</si>
  <si>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</si>
  <si>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</si>
  <si>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</si>
  <si>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</si>
  <si>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</si>
  <si>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</si>
  <si>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</si>
  <si>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</si>
  <si>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</si>
  <si>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</si>
  <si>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</si>
  <si>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</si>
  <si>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</si>
  <si>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</si>
  <si>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</si>
  <si>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</si>
  <si>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</si>
  <si>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</si>
  <si>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</si>
  <si>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</si>
  <si>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</si>
  <si>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</si>
  <si>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</si>
  <si>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</si>
  <si>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</si>
  <si>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</si>
  <si>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</si>
  <si>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</si>
  <si>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</si>
  <si>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</si>
  <si>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</si>
  <si>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</si>
  <si>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</si>
  <si>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</si>
  <si>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</si>
  <si>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</si>
  <si>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</si>
  <si>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</si>
  <si>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</si>
  <si>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</si>
  <si>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</si>
  <si>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</si>
  <si>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</si>
  <si>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</si>
  <si>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</si>
  <si>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</si>
  <si>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</si>
  <si>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</si>
  <si>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</si>
  <si>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</si>
  <si>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</si>
  <si>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</si>
  <si>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</si>
  <si>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</si>
  <si>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</si>
  <si>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</si>
  <si>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</si>
  <si>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</si>
  <si>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</si>
  <si>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</si>
  <si>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</si>
  <si>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</si>
  <si>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</si>
  <si>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</si>
  <si>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</si>
  <si>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</si>
  <si>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</si>
  <si>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</si>
  <si>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</si>
  <si>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</si>
  <si>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</si>
  <si>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</si>
  <si>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</si>
  <si>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</si>
  <si>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</si>
  <si>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</si>
  <si>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</si>
  <si>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</si>
  <si>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</si>
  <si>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</si>
  <si>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</si>
  <si>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</si>
  <si>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</si>
  <si>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</si>
  <si>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</si>
  <si>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</si>
  <si>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</si>
  <si>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</si>
  <si>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</si>
  <si>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</si>
  <si>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</si>
  <si>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</si>
  <si>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</si>
  <si>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</si>
  <si>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</si>
  <si>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</si>
  <si>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</si>
  <si>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</si>
  <si>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</si>
  <si>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</si>
  <si>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</si>
  <si>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</si>
  <si>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</si>
  <si>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</si>
  <si>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</si>
  <si>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</si>
  <si>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</si>
  <si>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</si>
  <si>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</si>
  <si>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</si>
  <si>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</si>
  <si>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</si>
  <si>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</si>
  <si>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</si>
  <si>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</si>
  <si>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</si>
  <si>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</si>
  <si>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</si>
  <si>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</si>
  <si>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</si>
  <si>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</si>
  <si>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</si>
  <si>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</si>
  <si>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</si>
  <si>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</si>
  <si>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</si>
  <si>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</si>
  <si>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</si>
  <si>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</si>
  <si>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</si>
  <si>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</si>
  <si>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</si>
  <si>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</si>
  <si>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</si>
  <si>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</si>
  <si>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</si>
  <si>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</si>
  <si>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</si>
  <si>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</si>
  <si>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</si>
  <si>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</si>
  <si>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</si>
  <si>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</si>
  <si>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</si>
  <si>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</si>
  <si>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</si>
  <si>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</si>
  <si>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</si>
  <si>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</si>
  <si>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</si>
  <si>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</si>
  <si>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</si>
  <si>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</si>
  <si>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</si>
  <si>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</si>
  <si>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</si>
  <si>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</si>
  <si>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</si>
  <si>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</si>
  <si>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</si>
  <si>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</si>
  <si>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</si>
  <si>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</si>
  <si>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</si>
  <si>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</si>
  <si>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</si>
  <si>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</si>
  <si>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</si>
  <si>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</si>
  <si>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</si>
  <si>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</si>
  <si>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</si>
  <si>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</si>
  <si>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</si>
  <si>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</si>
  <si>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</si>
  <si>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</si>
  <si>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</si>
  <si>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</si>
  <si>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</si>
  <si>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</si>
  <si>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</si>
  <si>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</si>
  <si>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</si>
  <si>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</si>
  <si>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</si>
  <si>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</si>
  <si>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</si>
  <si>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</si>
  <si>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</si>
  <si>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</si>
  <si>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</si>
  <si>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</si>
  <si>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</si>
  <si>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</si>
  <si>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</si>
  <si>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</si>
  <si>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</si>
  <si>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</si>
  <si>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</si>
  <si>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</si>
  <si>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</si>
  <si>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</si>
  <si>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</si>
  <si>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</si>
  <si>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</si>
  <si>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</si>
  <si>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</si>
  <si>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</si>
  <si>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</si>
  <si>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</si>
  <si>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</si>
  <si>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</si>
  <si>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</si>
  <si>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</si>
  <si>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</si>
  <si>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</si>
  <si>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</si>
  <si>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</si>
  <si>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</si>
  <si>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</si>
  <si>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</si>
  <si>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</si>
  <si>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</si>
  <si>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</si>
  <si>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</si>
  <si>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</si>
  <si>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</si>
  <si>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</si>
  <si>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</si>
  <si>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</si>
  <si>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</si>
  <si>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</si>
  <si>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</si>
  <si>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</si>
  <si>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</si>
  <si>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</si>
  <si>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</si>
  <si>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</si>
  <si>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</si>
  <si>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</si>
  <si>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</si>
  <si>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VARCHAR(10)</t>
  </si>
  <si>
    <t>VARCHAR(4)</t>
  </si>
  <si>
    <t>VARCHAR(15)</t>
  </si>
  <si>
    <t>VARCHAR(1)</t>
  </si>
  <si>
    <t>Inventory.IF</t>
  </si>
  <si>
    <t>IF</t>
  </si>
  <si>
    <t>Record_Id</t>
  </si>
  <si>
    <t>Invoice_No</t>
  </si>
  <si>
    <t>Renban</t>
  </si>
  <si>
    <t>Container_No</t>
  </si>
  <si>
    <t>Module_No</t>
  </si>
  <si>
    <t>Devaning_Date</t>
  </si>
  <si>
    <t>Plant</t>
  </si>
  <si>
    <t>Cancel_Flag</t>
  </si>
  <si>
    <t>End_Of_Record</t>
  </si>
  <si>
    <t>VARCHAR(6)</t>
  </si>
  <si>
    <t>VARCHAR(9)</t>
  </si>
  <si>
    <t>DateTime</t>
  </si>
  <si>
    <t>Date</t>
  </si>
  <si>
    <t>FQF3MM01</t>
  </si>
  <si>
    <t>IF_FQF3MM04</t>
  </si>
  <si>
    <t>FQF3MM04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</si>
</sst>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E68" sqref="E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prod.Inventory.IF
{
	[Table("IF_FQF3MM04")]
	public class IF_FQF3MM04: FullAuditedEntity&lt;long&gt;, IEntity&lt;long&gt;	
	{
		public const int MaxInvoiceNoLength = 10;
		public const int MaxRenbanLength = 6;
		public const int MaxContainerNoLength = 15;
		public const int MaxModuleNoLength = 9;
		public const int MaxPlantLength = 4;
		public const int MaxCancelFlagLength = 1;
		public const int MaxEndOfRecordLength = 1;
		public virtual int? RecordId { get; set; }
		[StringLength(MaxInvoiceNoLength)]
		public virtual string InvoiceNo { get; set; }
		[StringLength(MaxRenbanLength)]
		public virtual string Renban { get; set; }
		[StringLength(MaxContainerNoLength)]
		public virtual string ContainerNo { get; set; }
		[StringLength(MaxModuleNoLength)]
		public virtual string ModuleNo { get; set; }
		[Column(TypeName="Date")]
		public virtual DateTime? DevaningDate { get; set; }
		[StringLength(MaxPlantLength)]
		public virtual string Plant { get; set; }
		[StringLength(MaxCancelFlagLength)]
		public virtual string CancelFlag { get; set; }
		[StringLength(MaxEndOfRecordLength)]
		public virtual string EndOfRecord { get; set; }
	}
}
</v>
      </c>
      <c r="D68" s="48" t="str">
        <f>A.Backend!O7</f>
        <v xml:space="preserve">		public const string Pages_Inventory_IF_FQF3MM04 = "Pages.Inventory.IF.FQF3MM04";
		public const string Pages_Inventory_IF_FQF3MM04_CreateEdit = "Pages.Inventory.IF.FQF3MM04.CreateEdit";
		public const string Pages_Inventory_IF_FQF3MM04_Delete = "Pages.Inventory.IF.FQF3MM04.Delete";
</v>
      </c>
      <c r="E68" s="48" t="str">
        <f>A.Backend!N7</f>
        <v xml:space="preserve">		var perIF_FQF3MM04 = PARENTS.CreateChildPermission(AppPermissions.Pages_Inventory_IF_FQF3MM04, L( "InventoryIFFQF3MM04"), multiTenancySides: MultiTenancySides.Tenant);
		perIF_FQF3MM04.CreateChildPermission(AppPermissions.Pages_Inventory_IF_FQF3MM04_CreateEdit, L( "InventoryIFFQF3MM04CreateEdit"), multiTenancySides: MultiTenancySides.Tenant);
		perIF_FQF3MM04.CreateChildPermission(AppPermissions.Pages_Inventory_IF_FQF3MM04_Delete, L( "InventoryIFFQF3MM04Delete"), multiTenancySides: MultiTenancySides.Tenant);</v>
      </c>
      <c r="F68" s="48" t="str">
        <f>A.Backend!K7</f>
        <v>public virtual DbSet&lt;IF_FQF3MM04&gt; IF_FQF3MM04s { get; set; }</v>
      </c>
      <c r="G68" s="48" t="str">
        <f ca="1">A.Backend!L7</f>
        <v xml:space="preserve">namespace prod.Inventory.IF
{
	public class IF_FQF3MM04Consts	
	{
		public const int MaxInvoiceNoLength = 10;
		public const int MaxRenbanLength = 6;
		public const int MaxContainerNoLength = 15;
		public const int MaxModuleNoLength = 9;
		public const int MaxPlantLength = 4;
		public const int MaxCancelFlagLength = 1;
		public const int MaxEndOfRecordLength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prod.Inventory.IF.Dto
{
	public class IF_FQF3MM04Dto : EntityDto&lt;long?&gt;	
	{
		public virtual int? RecordId { get; set; }
		public virtual string InvoiceNo { get; set; }
		public virtual string Renban { get; set; }
		public virtual string ContainerNo { get; set; }
		public virtual string ModuleNo { get; set; }
		public virtual DateTime? DevaningDate { get; set; }
		public virtual string Plant { get; set; }
		public virtual string CancelFlag { get; set; }
		public virtual string EndOfRecord { get; set; }
	}
	public class CreateOrEditIF_FQF3MM04Dto : EntityDto&lt;long?&gt;	
	{
		public virtual int? RecordId { get; set; }
		[StringLength(IF_FQF3MM04Consts.MaxInvoiceNoLength)]
		public virtual string InvoiceNo { get; set; }
		[StringLength(IF_FQF3MM04Consts.MaxRenbanLength)]
		public virtual string Renban { get; set; }
		[StringLength(IF_FQF3MM04Consts.MaxContainerNoLength)]
		public virtual string ContainerNo { get; set; }
		[StringLength(IF_FQF3MM04Consts.MaxModuleNoLength)]
		public virtual string ModuleNo { get; set; }
		public virtual DateTime? DevaningDate { get; set; }
		[StringLength(IF_FQF3MM04Consts.MaxPlantLength)]
		public virtual string Plant { get; set; }
		[StringLength(IF_FQF3MM04Consts.MaxCancelFlagLength)]
		public virtual string CancelFlag { get; set; }
		[StringLength(IF_FQF3MM04Consts.MaxEndOfRecordLength)]
		public virtual string EndOfRecord { get; set; }
	}
	public class GetIF_FQF3MM04Input : PagedAndSortedResultRequestDto	
	{
		public virtual string InvoiceNo { get; set; }
		public virtual string Renban { get; set; }
		public virtual string ContainerNo { get; set; }
		public virtual string ModuleNo { get; set; }
		public virtual string Plant { get; set; }
		public virtual string CancelFlag { get; set; }
		public virtual string EndOfRecord { get; set; }
	}
}
</v>
      </c>
      <c r="I68" s="48" t="str">
        <f ca="1">A.Backend!R7</f>
        <v xml:space="preserve">using Abp.Application.Services.Dto;
using System;
using System.ComponentModel.DataAnnotations;
namespace prod.Inventory.IF.Dto
{
	public class IF_FQF3MM04ExportInput{
		public virtual int? RecordId { get; set; }
		public virtual string InvoiceNo { get; set; }
		public virtual string Renban { get; set; }
		public virtual string ContainerNo { get; set; }
		public virtual string ModuleNo { get; set; }
		public virtual DateTime? DevaningDate { get; set; }
		public virtual string Plant { get; set; }
		public virtual string CancelFlag { get; set; }
		public virtual string EndOfRecord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vovina.Inventory.IF.Dto;
namespace prod.Inventory.IF
{
	public interface IIF_FQF3MM04AppService : IApplicationService
	{
		Task&lt;PagedResultDto&lt;IF_FQF3MM04Dto&gt;&gt; GetAll(GetIF_FQF3MM04Input input);
		Task CreateOrEdit(CreateOrEditIF_FQF3MM04Dto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vovina.Inventory.IF.Dto;
namespace prod.Inventory.IF.Exporting
{
	public interface IIF_FQF3MM04ExcelExporter : IApplicationService
	{
		FileDto ExportToFile(List&lt;IF_FQF3MM04Dto&gt; if_fqf3mm04);
	}
}
</v>
      </c>
      <c r="L68" s="48" t="str">
        <f ca="1">A.Backend!T7</f>
        <v>using System.Collections.Generic;
using vovina.DataExporting.Excel.NPOI;
using vovina.Dto;
using vovina.IF.IF.Exporting;
using vovina.IF.IF.Dto;
using vovina.Storage;
using vovina.IF.IF.Dto;
namespace vovina.IF.IF.Exporting
{
    public class IF_FQF3MM04ExcelExporter : NpoiExcelExporterBase, IIF_FQF3MM04ExcelExporter
    {
        public IF_FQF3MM04ExcelExporter(ITempFileCacheManager tempFileCacheManager) : base(tempFileCacheManager) { }
        public FileDto ExportToFile(List&lt;IF_FQF3MM04Dto&gt; fqf3mm04)
        {
            return CreateExcelPackage(
				"IFIFFQF3MM04.xlsx",
				excelPackage =&gt;
				 {
					var sheet = excelPackage.CreateSheet("FQF3MM04");
					AddHeader(
								sheet,
								("RecordId"),
								("InvoiceNo"),
								("Renban"),
								("ContainerNo"),
								("ModuleNo"),
								("DevaningDate"),
								("Plant"),
								("CancelFlag"),
								("EndOfRecord"),
							   );
					AddObjects(
						 sheet, 1, fqf3mm04,                                       
								_ =&gt; _.RecordId,
								_ =&gt; _.InvoiceNo,
								_ =&gt; _.Renban,
								_ =&gt; _.ContainerNo,
								_ =&gt; _.ModuleNo,
								_ =&gt; _.DevaningDate,
								_ =&gt; _.Plant,
								_ =&gt; _.CancelFlag,
								_ =&gt; _.EndOfRecord,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vovina.IF.IF.Dto;
using vovina.IF.IF.Exporting;
namespace vovina.IF.IF
{
    [AbpAuthorize(AppPermissions.Pages_IF_IF_FQF3MM04)]
    public class IF_FQF3MM04AppService : vovinaAppServiceBase, IIF_FQF3MM04AppService
    {
        private readonly IDapperRepository&lt;IF_FQF3MM04, long&gt; _dapperRepo;
        private readonly IRepository&lt;IF_FQF3MM04, long&gt; _repo;
        private readonly IIF_FQF3MM04ExcelExporter _calendarListExcelExporter;
        public IF_FQF3MM04AppService(IRepository&lt;IF_FQF3MM04,long&gt; repo, 
                                         IDapperRepository&lt;IF_FQF3MM04,long&gt; dapperRepo,
                                        IIF_FQF3MM04ExcelExporter calendarListExcelExporter
            )
        {
            _repo = repo;
            _dapperRepo = dapperRepo;
            _calendarListExcelExporter = calendarListExcelExporter;
        }
        [AbpAuthorize(AppPermissions.Pages_IF_IF_FQF3MM04_CreateEdit)]
        public async Task CreateOrEdit(CreateOrEditIF_FQF3MM04Dto input)
        {
            if (input.Id == null) await Create(input);
            else await Update(input);
        }
        //CREATE
        private async Task Create(CreateOrEditIF_FQF3MM04Dto input)
        {          
            var mainObj = ObjectMapper.Map&lt;IF_FQF3MM04&gt;(input);
            await CurrentUnitOfWork.GetDbContext&lt;vovinaDbContext&gt;().AddAsync(mainObj);
        }
        // EDIT
        private async Task Update(CreateOrEditIF_FQF3MM04Dto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[AbpAuthorize(AppPermissions.Pages_IF_IF_FQF3MM04_Delete)]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Task&lt;PagedResultDto&lt;IF_FQF3MM04Dto&gt;&gt; GetAll(GetIF_FQF3MM04Input input)
        {
            var filtered = _repo.GetAll()
				.WhereIf(!string.IsNullOrWhiteSpace(input.InvoiceNo), e =&gt; e.InvoiceNo.Contains(input.InvoiceNo))
				.WhereIf(!string.IsNullOrWhiteSpace(input.Renban), e =&gt; e.Renban.Contains(input.Renban))
				.WhereIf(!string.IsNullOrWhiteSpace(input.ContainerNo), e =&gt; e.ContainerNo.Contains(input.ContainerNo))
				.WhereIf(!string.IsNullOrWhiteSpace(input.ModuleNo), e =&gt; e.ModuleNo.Contains(input.ModuleNo))
				.WhereIf(!string.IsNullOrWhiteSpace(input.Plant), e =&gt; e.Plant.Contains(input.Plant))
				.WhereIf(!string.IsNullOrWhiteSpace(input.CancelFlag), e =&gt; e.CancelFlag.Contains(input.CancelFlag))
				.WhereIf(!string.IsNullOrWhiteSpace(input.EndOfRecord), e =&gt; e.EndOfRecord.Contains(input.EndOfRecord))                   
				;
            var pageAndFiltered = filtered.OrderBy(s =&gt; s.Id);
            var system = from o in pageAndFiltered
                         select new IF_FQF3MM04Dto
                        {
							Id = o.Id,
							RecordId = o.RecordId,
							InvoiceNo = o.InvoiceNo,
							Renban = o.Renban,
							ContainerNo = o.ContainerNo,
							ModuleNo = o.ModuleNo,
							DevaningDate = o.DevaningDate,
							Plant = o.Plant,
							CancelFlag = o.CancelFlag,
							EndOfRecord = o.EndOfRecord,
                        };
            var totalCount = await filtered.CountAsync();
			var paged = system.PageBy(input);
            return new PagedResultDto&lt;IF_FQF3MM04Dto&gt;(
                totalCount,
                 await paged.ToListAsync()
            );
        }
        public async Task&lt;FileDto&gt; GetFQF3MM04ToExcel(IF_FQF3MM04ExportInput input)
        {
            var query = from o in _repo.GetAll()
                        select new IF_FQF3MM04Dto
                        {
							Id = o.Id,
							RecordId = o.RecordId,
							InvoiceNo = o.InvoiceNo,
							Renban = o.Renban,
							ContainerNo = o.ContainerNo,
							ModuleNo = o.ModuleNo,
							DevaningDate = o.DevaningDate,
							Plant = o.Plant,
							CancelFlag = o.CancelFlag,
							EndOfRecord = o.EndOfRecord,
                        };
            var exportToExcel = await query.ToListAsync();
            return _calendarListExcelExporter.ExportToFile(exportToExcel);
        }
       // public async Task GenerateAsync()
      //  {
        //    await _dapperRepo.ExecuteAsync(IF_FQF3MM04Consts.SP_MST_WPT_CALENDAR_GENERATE);
       // }
    }
}</v>
      </c>
      <c r="N68" s="58" t="str">
        <f>A.Backend!U7</f>
        <v xml:space="preserve">  configuration.CreateMap&lt;IF_FQF3MM04Dto, IF_FQF3MM04&gt;();
  configuration.CreateMap&lt;IF_FQF3MM04, IF_FQF3MM04Dto&gt;();
  configuration.CreateMap&lt;CreateOrEditIF_FQF3MM04Dto, IF_FQF3MM04&gt;();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fqf3mm04</v>
      </c>
      <c r="C73" s="66" t="str">
        <f>"create folder " &amp;B73</f>
        <v>create folder fqf3mm04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fqf3mm04.component.ts</v>
      </c>
      <c r="D74" s="28" t="str">
        <f>B.Frontend!I14</f>
        <v>fqf3mm04.component.html</v>
      </c>
      <c r="E74" s="28" t="str">
        <f>B.Frontend!J14</f>
        <v>fqf3mm04.component.less</v>
      </c>
      <c r="F74" s="28" t="str">
        <f>B.Frontend!K14</f>
        <v>create-or-edit-fqf3mm04-modal.component.html</v>
      </c>
      <c r="G74" s="28" t="str">
        <f>B.Frontend!L14</f>
        <v>create-or-edit-fqf3mm04-modal.component.ts</v>
      </c>
      <c r="H74" s="28" t="str">
        <f>B.Frontend!M14</f>
        <v>create-or-edit-fqf3mm04-modal.component.less</v>
      </c>
      <c r="I74" s="28" t="str">
        <f>B.Frontend!N14</f>
        <v>fqf3mm04.module.ts</v>
      </c>
      <c r="J74" s="28" t="str">
        <f>B.Frontend!O14</f>
        <v>fqf3mm04-routing.module.ts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IF_FQF3MM04Dto, IF_FQF3MM04ServiceProxy } from '@shared/service-proxies/service-proxies';
import { finalize } from 'rxjs/internal/operators/finalize';
import { CreateOrEditFQF3MM04ModalComponent } from './create-or-edit-fqf3mm04-modal.component';
import { DatePipe } from '@angular/common';
import { FileDownloadService } from '@shared/utils/file-download.service';
import ceil from 'lodash-es/ceil';
import { Paginator } from 'primeng/paginator';
@Component({
    templateUrl: './fqf3mm04.component.html',
    styleUrls: ['./fqf3mm04.component.less'],
})
export class FQF3MM04Component extends AppComponentBase implements OnInit {
    @ViewChild('createOrEditModalFQF3MM04', { static: true }) createOrEditModalFQF3MM04:| CreateOrEditFQF3MM04ModalComponent|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IF_FQF3MM04Dto = new IF_FQF3MM04Dto();
    saveSelectedRow: IF_FQF3MM04Dto = new IF_FQF3MM04Dto();
    datas: IF_FQF3MM04Dto = new IF_FQF3MM04Dto();
    isLoading: boolean = false;
    dataParams: GridParams | undefined;
    rowData: any[] = [];
    gridApi!: GridApi;
    rowSelection = 'multiple';
    filter: string = '';
	pipe = new DatePipe('en-US');
	frameworkComponents: FrameworkComponent;
    	recordId
	invoiceNo : string = '' ; 
	renban : string = '' ; 
	containerNo : string = '' ; 
	moduleNo : string = '' ; 
	devaningDate
	plant : string = '' ; 
	cancelFlag : string = '' ; 
	endOfRecord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IF_FQF3MM04ServiceProxy,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this.l('Record Id'),headerTooltip: this.l('Record Id'),field: 'recordId',flex: 1},
			{headerName: this.l('Invoice No'),headerTooltip: this.l('Invoice No'),field: 'invoiceNo',flex: 1},
			{headerName: this.l('Renban'),headerTooltip: this.l('Renban'),field: 'renban',flex: 1},
			{headerName: this.l('Container No'),headerTooltip: this.l('Container No'),field: 'containerNo',flex: 1},
			{headerName: this.l('Module No'),headerTooltip: this.l('Module No'),field: 'moduleNo',flex: 1},
			{headerName: this.l('Devaning Date'),headerTooltip: this.l('Devaning Date'),field: 'devaningDate',flex: 1},
			{headerName: this.l('Plant'),headerTooltip: this.l('Plant'),field: 'plant',flex: 1},
			{headerName: this.l('Cancel Flag'),headerTooltip: this.l('Cancel Flag'),field:  'cancelFlag', cellClass: ['text-center'], width: 120, cellRenderer: 'agCellButtonComponent',
buttonDefTwo: { text: params =&gt; (params.data?.'cancelFlag' == 'Y') ? 'Active' : 'Inactive',iconName: 'fa fa-circle',className: params =&gt; (params.data?.'cancelFlag' == 'Y') ? 'btnActive' : 'btnInActive',},}
			{headerName: this.l('End Of Record'),headerTooltip: this.l('End Of Record'),field:  'endOfRecord', cellClass: ['text-center'], width: 120, cellRenderer: 'agCellButtonComponent',
buttonDefTwo: { text: params =&gt; (params.data?.'endOfRecord' == 'Y') ? 'Active' : 'Inactive',iconName: 'fa fa-circle',className: params =&gt; (params.data?.'endOfRecord'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this.recordId,
			this.invoiceNo,
			this.renban,
			this.containerNo,
			this.moduleNo,
			this.devaningDate,
			this.plant,
			this.cancelFlag,
			this.endOfRecord,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this.recordId = '',
		this.invoiceNo = '',
		this.renban = '',
		this.containerNo = '',
		this.moduleNo = '',
		this.devaningDate = '',
		this.plant = '',
		this.cancelFlag = '',
		this.endOfRecord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this.recordId,
			this.invoiceNo,
			this.renban,
			this.containerNo,
			this.moduleNo,
			this.devaningDate,
			this.plant,
			this.cancelFlag,
			this.endOfRecord,
			'',
            this.paginationParams.skipCount,
            this.paginationParams.pageSize
        );
    }
    onChangeRowSelection(params: { api: { getSelectedRows: () =&gt; IF_FQF3MM04Dto[] } }) {
        this.saveSelectedRow = params.api.getSelectedRows()[0] ?? new IF_FQF3MM04Dto();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IF_FQF3MM04Dto):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this._service.getFQF3MM04ToExcel(
			this.recordId,
			this.invoiceNo,
			this.renban,
			this.containerNo,
			this.moduleNo,
			this.devaningDate,
			this.plant,
			this.cancelFlag,
			this.endOfRecord,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FQF3MM01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[(ngModel)]='plant' name='plant'
									class='form-control' [placeholder]="l('Plant')"
									type='text' (keyup.enter)='searchDatas()'&gt;
								&lt;/div&gt;
								&lt;div class='input-search'&gt;
									&lt;input [(ngModel)]='cancelFlag' name='cancelFlag'
									class='form-control' [placeholder]="l('Cancel Flag')"
									type='text' (keyup.enter)='searchDatas()'&gt;
								&lt;/div&gt;
								&lt;div class='input-search'&gt;
									&lt;input [(ngModel)]='endOfRecord' name='endOfRecord'
									class='form-control' [placeholder]="l('End Of Record')"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(click)="createOrEditModalFQF3MM04.show()"&gt;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(click)="createOrEditModalFQF3MM04.show(selectedRow)"&gt;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&lt;create-or-edit-fqf3mm04-modal
    #createOrEditModalFQF3MM04
    (modalSave)="callBackDataGrid(dataParams)"
    (modalClose)="onChangeRowSelection(dataParams)"
&gt;
&lt;/create-or-edit-fqf3mm04-modal&gt;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#createOrEditModalFQF3MM04="bs-modal"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FQF3MM04')}}&lt;/h3&gt;
                    &lt;h3 *ngIf="!rowdata.id"&gt;{{('Create New FQF3MM04')}}&lt;/h3&gt;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title'&gt;Plant&lt;/label&gt;
						&lt;input type='text' class='col-md-10 form-control input-text' name='Plant' [(ngModel)]='rowdata.plant'&gt;
					&lt;/div&gt;
					&lt;div class='col-md-12 form-group row'&gt;
						&lt;label class='col-md-2 form-control title'&gt;Cancel Flag&lt;/label&gt;
						&lt;new-checkbox [(ngModel)]='_cancelFlag' name='cancelFlag' className='col-md-10' &gt; &lt;/new-checkbox&gt;
					&lt;/div&gt;
					&lt;div class='col-md-12 form-group row'&gt;
						&lt;label class='col-md-2 form-control title'&gt;End Of Record&lt;/label&gt;
						&lt;new-checkbox [(ngModel)]='_endOfRecord' name='endOfRecord'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CreateOrEditIF_FQF3MM04Dto, IF_FQF3MM04ServiceProxy } from '@shared/service-proxies/service-proxies';
import { BsDatepickerDirective } from 'ngx-bootstrap/datepicker';
@Component({
    selector: 'create-or-edit-fqf3mm04-modal',
    templateUrl: './create-or-edit-fqf3mm04-modal.component.html',
    styleUrls: ['./create-or-edit-fqf3mm04-modal.component.less']
    })
export class CreateOrEditFQF3MM04ModalComponent extends AppComponentBase {
    @ViewChild('createOrEditModalFQF3MM04',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CreateOrEditIF_FQF3MM04Dto = new CreateOrEditIF_FQF3MM04Dto();
    active: boolean = false;
    saving: boolean = false;
    _cancelFlag
endOfRecord: boolean;
    constructor(
        injector: Injector,
        private _mstwptFQF3MM04Service: IF_FQF3MM04ServiceProxy,
    ) 
    {
        super(injector);
    }
    show(rowdata?: CreateOrEditIF_FQF3MM04Dto): void {
        if (!rowdata) this.rowdata = new CreateOrEditIF_FQF3MM04Dto();
        else this.rowdata = rowdata;
        this._cancelFlag
endOfRecord = (this.rowdata.cancelFlag
endOfRecord == "N")? false: true;
        this.active = true;
        this.modal.show();
    } 
    changeActive(event){
        this._cancelFlag
endOfRecord = event.target.checked;
    }
    save(): void {
    this.saving = true; 
    this.rowdata.cancelFlag
endOfRecord = (this._cancelFlag
endOfRecord == true) ? 'Y' : 'N'
    this._mstwptFQF3MM04Service.createOrEdit(this.rowdata)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FQF3MM04RoutingModule } from './fqf3mm04-routing.module';
import { FQF3MM04Component } from './fqf3mm04.component';
import { CreateOrEditFQF3MM04ModalComponent } from './create-or-edit-fqf3mm04-modal.component';
@NgModule({
    declarations: [
       FQF3MM04Component, 
        CreateOrEditFQF3MM04ModalComponent
    ],
    imports: [
        AppSharedModule, FQF3MM04RoutingModule]
})
export class FQF3MM04Module {}</v>
      </c>
      <c r="J75" s="46" t="str">
        <f>B.Frontend!O10</f>
        <v>import {NgModule} from '@angular/core';
import {RouterModule, Routes} from '@angular/router';
import { FQF3MM04Component } from './fqf3mm04.component';
const routes: Routes = [{
    path: '',
    component: FQF3MM04Component,
    pathMatch: 'full'
}];
@NgModule({
    imports: [RouterModule.forChild(routes)],
    exports: [RouterModule],
})
export class FQF3MM04RoutingModule {}</v>
      </c>
      <c r="K75" s="46" t="str">
        <f>B.Frontend!P10</f>
        <v xml:space="preserve"> new AppMenuItem("FQF3MM04", "Pages.IF.IF.FQF3MM04", "flaticon-book",   "/app/main/if/if/fqf3mm04"),</v>
      </c>
      <c r="L75" s="47" t="str">
        <f>B.Frontend!Q10</f>
        <v>{
    path: 'if/if/fqf3mm04',
    loadChildren: () =&gt; import('./if/if/fqf3mm04/fqf3mm04.module').then(m =&gt; m.FQF3MM04Module),
    data: { permission: 'Pages.IF.IF.FQF3MM04' }
},</v>
      </c>
      <c r="M75" s="45" t="str">
        <f>B.Frontend!R10</f>
        <v>ApiServiceProxies.IF_FQF3MM04ServiceProxy,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9"/>
  <sheetViews>
    <sheetView tabSelected="1" workbookViewId="0">
      <pane xSplit="1" topLeftCell="B1" activePane="topRight" state="frozen"/>
      <selection pane="topRight" activeCell="D20" sqref="D20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vovina.Inventory.IF.Dto;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358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374</v>
      </c>
      <c r="C3" s="9" t="s">
        <v>41</v>
      </c>
      <c r="D3" s="9" t="s">
        <v>42</v>
      </c>
      <c r="E3" s="9" t="s">
        <v>37</v>
      </c>
      <c r="F3" s="10" t="str">
        <f>"J"&amp;COUNTA($A:$A)</f>
        <v>J17</v>
      </c>
      <c r="G3" s="4" t="s">
        <v>54</v>
      </c>
      <c r="H3" s="9" t="str">
        <f>"I"&amp;COUNTA($A:$A)</f>
        <v>I17</v>
      </c>
      <c r="I3" s="9" t="str">
        <f>REPT(CHAR(9),2)&amp;"[Required]"&amp;"
"</f>
        <v xml:space="preserve">		[Required]
</v>
      </c>
      <c r="J3" s="10" t="str">
        <f>"L"&amp;COUNTA($A:$A)</f>
        <v>L17</v>
      </c>
      <c r="K3" s="5" t="s">
        <v>53</v>
      </c>
      <c r="L3" s="10" t="str">
        <f>"M"&amp;COUNTA($A:$A)</f>
        <v>M17</v>
      </c>
      <c r="M3" s="10" t="str">
        <f>"N"&amp;COUNTA($A:$A)</f>
        <v>N17</v>
      </c>
      <c r="N3" s="10" t="str">
        <f>"O"&amp;COUNTA($A:$A)</f>
        <v>O17</v>
      </c>
      <c r="O3" s="10" t="str">
        <f>"P"&amp;COUNTA($A:$A)</f>
        <v>P17</v>
      </c>
      <c r="Q3" s="10" t="str">
        <f>RIGHT(B2,(LEN(B2)-FIND(".",B2,1)))</f>
        <v>IF</v>
      </c>
      <c r="R3" s="29" t="str">
        <f>REPT(CHAR(9),1)&amp;"public class "&amp;B3&amp;"ExportInput"&amp;C3</f>
        <v xml:space="preserve">	public class IF_FQF3MM04ExportInput{
</v>
      </c>
      <c r="S3" s="10" t="str">
        <f>"namespace "&amp;$B$6&amp;".Exporting
"&amp;$C$3</f>
        <v xml:space="preserve">namespace prod.Inventory.IF.Exporting
{
</v>
      </c>
      <c r="T3" s="10" t="str">
        <f>"T"&amp;COUNTA($A:$A)</f>
        <v>T17</v>
      </c>
      <c r="V3" s="10" t="str">
        <f>"V"&amp;COUNTA($A:$A)</f>
        <v>V17</v>
      </c>
      <c r="W3" s="9" t="str">
        <f>"W"&amp;COUNTA($A:$A)</f>
        <v>W17</v>
      </c>
    </row>
    <row r="4" spans="1:23" s="10" customFormat="1" ht="33" customHeight="1" x14ac:dyDescent="0.25">
      <c r="A4" s="1" t="s">
        <v>233</v>
      </c>
      <c r="B4" s="65" t="s">
        <v>359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375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prod.Inventory.IF</v>
      </c>
      <c r="C6" s="10" t="str">
        <f>"namespace "&amp;$B$6&amp;"
"&amp;$C$3</f>
        <v xml:space="preserve">namespace prod.Inventory.IF
{
</v>
      </c>
      <c r="D6" s="10" t="str">
        <f>REPT(CHAR(9),1)&amp;"public class "&amp;B3&amp;G3&amp;REPT(CHAR(9),1)&amp;"
"&amp;REPT(CHAR(9),1)&amp;C3</f>
        <v xml:space="preserve">	public class IF_FQF3MM04: FullAuditedEntity&lt;long&gt;, IEntity&lt;long&gt;	
	{
</v>
      </c>
      <c r="E6" s="10" t="str">
        <f>REPT(CHAR(9),1)&amp;"public class "&amp;B3&amp;"Consts"&amp;REPT(CHAR(9),1)&amp;"
"&amp;REPT(CHAR(9),1)&amp;C3</f>
        <v xml:space="preserve">	public class IF_FQF3MM04Consts	
	{
</v>
      </c>
      <c r="F6" s="10" t="str">
        <f>REPT(CHAR(9),1)&amp;"public class "&amp;B3&amp;"Dto"&amp;K3&amp;REPT(CHAR(9),1)&amp;"
"&amp;REPT(CHAR(9),1)&amp;C3</f>
        <v xml:space="preserve">	public class IF_FQF3MM04Dto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CreateOrEditIF_FQF3MM04Dto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GetIF_FQF3MM04Input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IF_FQF3MM04</v>
      </c>
      <c r="C7" s="10" t="str">
        <f>REPT(CHAR(9),1)&amp;"[Table("""&amp;B7&amp;""")]"&amp;"
"</f>
        <v xml:space="preserve">	[Table("IF_FQF3MM04")]
</v>
      </c>
      <c r="D7" s="10"/>
      <c r="E7" s="10"/>
      <c r="F7" s="10"/>
      <c r="G7" s="10"/>
      <c r="H7" s="10"/>
      <c r="I7" s="10"/>
      <c r="J7" t="str">
        <f ca="1">SUBSTITUTE(SUBSTITUTE((B1&amp;C6&amp;C7&amp;K19&amp;D6&amp;I19&amp;E3&amp;J19&amp;""&amp;REPT(CHAR(9),1)&amp;D3&amp;D3),"WorkingPattern",$Q$3),"Master",$B$4)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prod.Inventory.IF
{
	[Table("IF_FQF3MM04")]
	public class IF_FQF3MM04: FullAuditedEntity&lt;long&gt;, IEntity&lt;long&gt;	
	{
		public const int MaxInvoiceNoLength = 10;
		public const int MaxRenbanLength = 6;
		public const int MaxContainerNoLength = 15;
		public const int MaxModuleNoLength = 9;
		public const int MaxPlantLength = 4;
		public const int MaxCancelFlagLength = 1;
		public const int MaxEndOfRecordLength = 1;
		public virtual int? RecordId { get; set; }
		[StringLength(MaxInvoiceNoLength)]
		public virtual string InvoiceNo { get; set; }
		[StringLength(MaxRenbanLength)]
		public virtual string Renban { get; set; }
		[StringLength(MaxContainerNoLength)]
		public virtual string ContainerNo { get; set; }
		[StringLength(MaxModuleNoLength)]
		public virtual string ModuleNo { get; set; }
		[Column(TypeName="Date")]
		public virtual DateTime? DevaningDate { get; set; }
		[StringLength(MaxPlantLength)]
		public virtual string Plant { get; set; }
		[StringLength(MaxCancelFlagLength)]
		public virtual string CancelFlag { get; set; }
		[StringLength(MaxEndOfRecordLength)]
		public virtual string EndOfRecord { get; set; }
	}
}
</v>
      </c>
      <c r="K7" t="str">
        <f>SUBSTITUTE(SUBSTITUTE(("public virtual DbSet&lt;"&amp;B3&amp;"&gt; "&amp;B3&amp;"s { get; set; }"),"WorkingPattern",$Q$3),"Master",$B$4)</f>
        <v>public virtual DbSet&lt;IF_FQF3MM04&gt; IF_FQF3MM04s { get; set; }</v>
      </c>
      <c r="L7" t="str">
        <f ca="1">SUBSTITUTE(SUBSTITUTE((C6&amp;E6&amp;I19&amp;"
"&amp;REPT(CHAR(9),2)&amp;"// Define Store Name: Format SP_ + &lt;Store Name&gt; = &lt;Store Name&gt;
"&amp;E3&amp;REPT(CHAR(9),1)&amp;D3&amp;D3),"WorkingPattern",$Q$3),"Master",$B$4)</f>
        <v xml:space="preserve">namespace prod.Inventory.IF
{
	public class IF_FQF3MM04Consts	
	{
		public const int MaxInvoiceNoLength = 10;
		public const int MaxRenbanLength = 6;
		public const int MaxContainerNoLength = 15;
		public const int MaxModuleNoLength = 9;
		public const int MaxPlantLength = 4;
		public const int MaxCancelFlagLength = 1;
		public const int MaxEndOfRecordLength = 1;
		// Define Store Name: Format SP_ + &lt;Store Name&gt; = &lt;Store Name&gt;
	}
}
</v>
      </c>
      <c r="M7" t="str">
        <f ca="1">SUBSTITUTE(SUBSTITUTE((C1&amp;"namespace "&amp;B6&amp;".Dto"&amp;E3&amp;C3&amp;F6&amp;M19&amp;E3&amp;REPT(CHAR(9),1)&amp;D3&amp;G6&amp;N19&amp;REPT(CHAR(9),1)&amp;D3&amp;H6&amp;O19&amp;"
"&amp;REPT(CHAR(9),1)&amp;D3&amp;D3),"WorkingPattern",$Q$3),"Master",$B$4)</f>
        <v xml:space="preserve">using Abp.Application.Services.Dto;
using System;
using System.ComponentModel.DataAnnotations;
namespace prod.Inventory.IF.Dto
{
	public class IF_FQF3MM04Dto : EntityDto&lt;long?&gt;	
	{
		public virtual int? RecordId { get; set; }
		public virtual string InvoiceNo { get; set; }
		public virtual string Renban { get; set; }
		public virtual string ContainerNo { get; set; }
		public virtual string ModuleNo { get; set; }
		public virtual DateTime? DevaningDate { get; set; }
		public virtual string Plant { get; set; }
		public virtual string CancelFlag { get; set; }
		public virtual string EndOfRecord { get; set; }
	}
	public class CreateOrEditIF_FQF3MM04Dto : EntityDto&lt;long?&gt;	
	{
		public virtual int? RecordId { get; set; }
		[StringLength(IF_FQF3MM04Consts.MaxInvoiceNoLength)]
		public virtual string InvoiceNo { get; set; }
		[StringLength(IF_FQF3MM04Consts.MaxRenbanLength)]
		public virtual string Renban { get; set; }
		[StringLength(IF_FQF3MM04Consts.MaxContainerNoLength)]
		public virtual string ContainerNo { get; set; }
		[StringLength(IF_FQF3MM04Consts.MaxModuleNoLength)]
		public virtual string ModuleNo { get; set; }
		public virtual DateTime? DevaningDate { get; set; }
		[StringLength(IF_FQF3MM04Consts.MaxPlantLength)]
		public virtual string Plant { get; set; }
		[StringLength(IF_FQF3MM04Consts.MaxCancelFlagLength)]
		public virtual string CancelFlag { get; set; }
		[StringLength(IF_FQF3MM04Consts.MaxEndOfRecordLength)]
		public virtual string EndOfRecord { get; set; }
	}
	public class GetIF_FQF3MM04Input : PagedAndSortedResultRequestDto	
	{
		public virtual string InvoiceNo { get; set; }
		public virtual string Renban { get; set; }
		public virtual string ContainerNo { get; set; }
		public virtual string ModuleNo { get; set; }
		public virtual string Plant { get; set; }
		public virtual string CancelFlag { get; set; }
		public virtual string EndOfRecord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perIF_FQF3MM04 = PARENTS.CreateChildPermission(AppPermissions.Pages_Inventory_IF_FQF3MM04, L( "InventoryIFFQF3MM04"), multiTenancySides: MultiTenancySides.Tenant);
		perIF_FQF3MM04.CreateChildPermission(AppPermissions.Pages_Inventory_IF_FQF3MM04_CreateEdit, L( "InventoryIFFQF3MM04CreateEdit"), multiTenancySides: MultiTenancySides.Tenant);
		perIF_FQF3MM04.CreateChildPermission(AppPermissions.Pages_Inventory_IF_FQF3MM04_Delete, L( "InventoryIFFQF3MM04Delete"),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Pages_Inventory_IF_FQF3MM04 = "Pages.Inventory.IF.FQF3MM04";
		public const string Pages_Inventory_IF_FQF3MM04_CreateEdit = "Pages.Inventory.IF.FQF3MM04.CreateEdit";
		public const string Pages_Inventory_IF_FQF3MM04_Delete = "Pages.Inventory.IF.FQF3MM04.Delete";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vovina.Inventory.IF.Dto;
namespace prod.Inventory.IF
{
	public interface IIF_FQF3MM04AppService : IApplicationService
	{
		Task&lt;PagedResultDto&lt;IF_FQF3MM04Dto&gt;&gt; GetAll(GetIF_FQF3MM04Input input);
		Task CreateOrEdit(CreateOrEditIF_FQF3MM04Dto input);
		Task Delete(EntityDto input);
	}
}
</v>
      </c>
      <c r="Q7" t="str">
        <f ca="1">SUBSTITUTE(SUBSTITUTE(SUBSTITUTE(SUBSTITUTE(SUBSTITUTE(SUBSTITUTE(E1,"MstWptCalendar",$B$3),"&lt;PROPERTIES&gt;",P19),"Calendar",$B$5),"WorkingPattern",$Q$3),"Master",$B$4),"&lt;PARAMS_SEARCH&gt;",$W$19)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vovina.IF.IF.Dto;
using vovina.IF.IF.Exporting;
namespace vovina.IF.IF
{
    [AbpAuthorize(AppPermissions.Pages_IF_IF_FQF3MM04)]
    public class IF_FQF3MM04AppService : vovinaAppServiceBase, IIF_FQF3MM04AppService
    {
        private readonly IDapperRepository&lt;IF_FQF3MM04, long&gt; _dapperRepo;
        private readonly IRepository&lt;IF_FQF3MM04, long&gt; _repo;
        private readonly IIF_FQF3MM04ExcelExporter _calendarListExcelExporter;
        public IF_FQF3MM04AppService(IRepository&lt;IF_FQF3MM04,long&gt; repo, 
                                         IDapperRepository&lt;IF_FQF3MM04,long&gt; dapperRepo,
                                        IIF_FQF3MM04ExcelExporter calendarListExcelExporter
            )
        {
            _repo = repo;
            _dapperRepo = dapperRepo;
            _calendarListExcelExporter = calendarListExcelExporter;
        }
        [AbpAuthorize(AppPermissions.Pages_IF_IF_FQF3MM04_CreateEdit)]
        public async Task CreateOrEdit(CreateOrEditIF_FQF3MM04Dto input)
        {
            if (input.Id == null) await Create(input);
            else await Update(input);
        }
        //CREATE
        private async Task Create(CreateOrEditIF_FQF3MM04Dto input)
        {          
            var mainObj = ObjectMapper.Map&lt;IF_FQF3MM04&gt;(input);
            await CurrentUnitOfWork.GetDbContext&lt;vovinaDbContext&gt;().AddAsync(mainObj);
        }
        // EDIT
        private async Task Update(CreateOrEditIF_FQF3MM04Dto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[AbpAuthorize(AppPermissions.Pages_IF_IF_FQF3MM04_Delete)]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Task&lt;PagedResultDto&lt;IF_FQF3MM04Dto&gt;&gt; GetAll(GetIF_FQF3MM04Input input)
        {
            var filtered = _repo.GetAll()
				.WhereIf(!string.IsNullOrWhiteSpace(input.InvoiceNo), e =&gt; e.InvoiceNo.Contains(input.InvoiceNo))
				.WhereIf(!string.IsNullOrWhiteSpace(input.Renban), e =&gt; e.Renban.Contains(input.Renban))
				.WhereIf(!string.IsNullOrWhiteSpace(input.ContainerNo), e =&gt; e.ContainerNo.Contains(input.ContainerNo))
				.WhereIf(!string.IsNullOrWhiteSpace(input.ModuleNo), e =&gt; e.ModuleNo.Contains(input.ModuleNo))
				.WhereIf(!string.IsNullOrWhiteSpace(input.Plant), e =&gt; e.Plant.Contains(input.Plant))
				.WhereIf(!string.IsNullOrWhiteSpace(input.CancelFlag), e =&gt; e.CancelFlag.Contains(input.CancelFlag))
				.WhereIf(!string.IsNullOrWhiteSpace(input.EndOfRecord), e =&gt; e.EndOfRecord.Contains(input.EndOfRecord))                   
				;
            var pageAndFiltered = filtered.OrderBy(s =&gt; s.Id);
            var system = from o in pageAndFiltered
                         select new IF_FQF3MM04Dto
                        {
							Id = o.Id,
							RecordId = o.RecordId,
							InvoiceNo = o.InvoiceNo,
							Renban = o.Renban,
							ContainerNo = o.ContainerNo,
							ModuleNo = o.ModuleNo,
							DevaningDate = o.DevaningDate,
							Plant = o.Plant,
							CancelFlag = o.CancelFlag,
							EndOfRecord = o.EndOfRecord,
                        };
            var totalCount = await filtered.CountAsync();
			var paged = system.PageBy(input);
            return new PagedResultDto&lt;IF_FQF3MM04Dto&gt;(
                totalCount,
                 await paged.ToListAsync()
            );
        }
        public async Task&lt;FileDto&gt; GetFQF3MM04ToExcel(IF_FQF3MM04ExportInput input)
        {
            var query = from o in _repo.GetAll()
                        select new IF_FQF3MM04Dto
                        {
							Id = o.Id,
							RecordId = o.RecordId,
							InvoiceNo = o.InvoiceNo,
							Renban = o.Renban,
							ContainerNo = o.ContainerNo,
							ModuleNo = o.ModuleNo,
							DevaningDate = o.DevaningDate,
							Plant = o.Plant,
							CancelFlag = o.CancelFlag,
							EndOfRecord = o.EndOfRecord,
                        };
            var exportToExcel = await query.ToListAsync();
            return _calendarListExcelExporter.ExportToFile(exportToExcel);
        }
       // public async Task GenerateAsync()
      //  {
        //    await _dapperRepo.ExecuteAsync(IF_FQF3MM04Consts.SP_MST_WPT_CALENDAR_GENERATE);
       // }
    }
}</v>
      </c>
      <c r="R7" t="str">
        <f ca="1">SUBSTITUTE(SUBSTITUTE((C1&amp;"namespace "&amp;B6&amp;".Dto"&amp;E3&amp;C3&amp;R3&amp;M19&amp;E3&amp;REPT(CHAR(9),1)&amp;D3&amp;D3),"WorkingPattern",$Q$3),"Master",$B$4)</f>
        <v xml:space="preserve">using Abp.Application.Services.Dto;
using System;
using System.ComponentModel.DataAnnotations;
namespace prod.Inventory.IF.Dto
{
	public class IF_FQF3MM04ExportInput{
		public virtual int? RecordId { get; set; }
		public virtual string InvoiceNo { get; set; }
		public virtual string Renban { get; set; }
		public virtual string ContainerNo { get; set; }
		public virtual string ModuleNo { get; set; }
		public virtual DateTime? DevaningDate { get; set; }
		public virtual string Plant { get; set; }
		public virtual string CancelFlag { get; set; }
		public virtual string EndOfRecord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vovina.Inventory.IF.Dto;
namespace prod.Inventory.IF.Exporting
{
	public interface IIF_FQF3MM04ExcelExporter : IApplicationService
	{
		FileDto ExportToFile(List&lt;IF_FQF3MM04Dto&gt; if_fqf3mm04);
	}
}
</v>
      </c>
      <c r="T7" s="26" t="str">
        <f ca="1">SUBSTITUTE(SUBSTITUTE(SUBSTITUTE(SUBSTITUTE(SUBSTITUTE(SUBSTITUTE(SUBSTITUTE(T1,"MstWptCalendar",$B$3),"&lt;PROPERTIES1&gt;",V19),"&lt;PROPERTIES&gt;",T19),"Calendar",$B$5),"calendar",LOWER(B5)),"WorkingPattern",$Q$3),"Master",$B$4)</f>
        <v>using System.Collections.Generic;
using vovina.DataExporting.Excel.NPOI;
using vovina.Dto;
using vovina.IF.IF.Exporting;
using vovina.IF.IF.Dto;
using vovina.Storage;
using vovina.IF.IF.Dto;
namespace vovina.IF.IF.Exporting
{
    public class IF_FQF3MM04ExcelExporter : NpoiExcelExporterBase, IIF_FQF3MM04ExcelExporter
    {
        public IF_FQF3MM04ExcelExporter(ITempFileCacheManager tempFileCacheManager) : base(tempFileCacheManager) { }
        public FileDto ExportToFile(List&lt;IF_FQF3MM04Dto&gt; fqf3mm04)
        {
            return CreateExcelPackage(
				"IFIFFQF3MM04.xlsx",
				excelPackage =&gt;
				 {
					var sheet = excelPackage.CreateSheet("FQF3MM04");
					AddHeader(
								sheet,
								("RecordId"),
								("InvoiceNo"),
								("Renban"),
								("ContainerNo"),
								("ModuleNo"),
								("DevaningDate"),
								("Plant"),
								("CancelFlag"),
								("EndOfRecord"),
							   );
					AddObjects(
						 sheet, 1, fqf3mm04,                                       
								_ =&gt; _.RecordId,
								_ =&gt; _.InvoiceNo,
								_ =&gt; _.Renban,
								_ =&gt; _.ContainerNo,
								_ =&gt; _.ModuleNo,
								_ =&gt; _.DevaningDate,
								_ =&gt; _.Plant,
								_ =&gt; _.CancelFlag,
								_ =&gt; _.EndOfRecord,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configuration.CreateMap&lt;IF_FQF3MM04Dto, IF_FQF3MM04&gt;();
  configuration.CreateMap&lt;IF_FQF3MM04, IF_FQF3MM04Dto&gt;();
  configuration.CreateMap&lt;CreateOrEditIF_FQF3MM04Dto, IF_FQF3MM04&gt;();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360</v>
      </c>
      <c r="B9" t="s">
        <v>4</v>
      </c>
      <c r="C9" t="s">
        <v>1</v>
      </c>
      <c r="D9" t="str">
        <f t="shared" ref="D9" si="0">SUBSTITUTE(PROPER(A9),"_","")</f>
        <v>RecordId</v>
      </c>
      <c r="E9" t="str">
        <f t="shared" ref="E9" si="1">IFERROR(LEFT(B9, FIND("(",B9)-1),B9)</f>
        <v>int</v>
      </c>
      <c r="F9" s="6"/>
      <c r="G9" t="str">
        <f t="shared" ref="G9" si="2">IFERROR(MID(B9,FIND("(",B9) +1, FIND(")",B9) - FIND("(",B9) - 1),"")</f>
        <v/>
      </c>
      <c r="H9" t="str">
        <f>+VLOOKUP(E9,'Data Type Mapping'!A:B,2,)</f>
        <v>int?</v>
      </c>
      <c r="I9" t="str">
        <f t="shared" ref="I9" si="3">IF(H9="string",REPT(CHAR(9),2)&amp;"public const int Max"&amp;D9&amp;"Length = "&amp;G9&amp;";"&amp;$E$3,"" )</f>
        <v/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int? RecordId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int? RecordId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int? RecordId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" si="9">REPT(CHAR(9),7)&amp;D9&amp;" = o." &amp;D9 &amp;","</f>
        <v xml:space="preserve">							RecordId = o.RecordId,</v>
      </c>
      <c r="T9" s="63" t="str">
        <f t="shared" ref="T9" si="10">REPT(CHAR(9),8)&amp;"("""&amp;D9&amp;"""),"</f>
        <v xml:space="preserve">								("RecordId"),</v>
      </c>
      <c r="V9" s="64" t="str">
        <f t="shared" ref="V9" si="11">REPT(CHAR(9),8)&amp;"_ =&gt; _."&amp;D9&amp;","</f>
        <v xml:space="preserve">								_ =&gt; _.RecordId,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18.75" customHeight="1" x14ac:dyDescent="0.25">
      <c r="A10" t="s">
        <v>361</v>
      </c>
      <c r="B10" t="s">
        <v>354</v>
      </c>
      <c r="C10" t="s">
        <v>1</v>
      </c>
      <c r="D10" t="str">
        <f t="shared" ref="D10:D11" si="13">SUBSTITUTE(PROPER(A10),"_","")</f>
        <v>InvoiceNo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10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MaxInvoiceNoLength = 10;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[StringLength(MaxInvoiceNoLength)]
		public virtual string InvoiceNo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InvoiceNo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[StringLength(IF_FQF3MM04Consts.MaxInvoiceNoLength)]
		public virtual string InvoiceNo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InvoiceNo { get; set; }
</v>
      </c>
      <c r="P10" t="str">
        <f t="shared" ref="P10:P11" si="22">REPT(CHAR(9),7)&amp;D10&amp;" = o." &amp;D10 &amp;","</f>
        <v xml:space="preserve">							InvoiceNo = o.InvoiceNo,</v>
      </c>
      <c r="T10" s="63" t="str">
        <f t="shared" ref="T10:T11" si="23">REPT(CHAR(9),8)&amp;"("""&amp;D10&amp;"""),"</f>
        <v xml:space="preserve">								("InvoiceNo"),</v>
      </c>
      <c r="V10" s="64" t="str">
        <f t="shared" ref="V10:V11" si="24">REPT(CHAR(9),8)&amp;"_ =&gt; _."&amp;D10&amp;","</f>
        <v xml:space="preserve">								_ =&gt; _.InvoiceNo,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.WhereIf(!string.IsNullOrWhiteSpace(input.InvoiceNo), e =&gt; e.InvoiceNo.Contains(input.InvoiceNo))</v>
      </c>
    </row>
    <row r="11" spans="1:23" customFormat="1" ht="18.75" customHeight="1" x14ac:dyDescent="0.25">
      <c r="A11" t="s">
        <v>362</v>
      </c>
      <c r="B11" t="s">
        <v>369</v>
      </c>
      <c r="C11" t="s">
        <v>1</v>
      </c>
      <c r="D11" t="str">
        <f t="shared" si="13"/>
        <v>Renban</v>
      </c>
      <c r="E11" t="str">
        <f t="shared" si="14"/>
        <v>VARCHAR</v>
      </c>
      <c r="F11" s="6"/>
      <c r="G11" t="str">
        <f t="shared" si="15"/>
        <v>6</v>
      </c>
      <c r="H11" t="str">
        <f>+VLOOKUP(E11,'Data Type Mapping'!A:B,2,)</f>
        <v>string</v>
      </c>
      <c r="I11" t="str">
        <f t="shared" si="16"/>
        <v xml:space="preserve">		public const int MaxRenbanLength = 6;
</v>
      </c>
      <c r="J11" t="str">
        <f t="shared" si="17"/>
        <v xml:space="preserve">		[StringLength(MaxRenbanLength)]
		public virtual string Renban { get; set; }
</v>
      </c>
      <c r="K11" s="6"/>
      <c r="L11" t="str">
        <f t="shared" si="18"/>
        <v/>
      </c>
      <c r="M11" t="str">
        <f t="shared" si="19"/>
        <v xml:space="preserve">		public virtual string Renban { get; set; }
</v>
      </c>
      <c r="N11" t="str">
        <f t="shared" si="20"/>
        <v xml:space="preserve">		[StringLength(IF_FQF3MM04Consts.MaxRenbanLength)]
		public virtual string Renban { get; set; }
</v>
      </c>
      <c r="O11" t="str">
        <f t="shared" si="21"/>
        <v xml:space="preserve">		public virtual string Renban { get; set; }
</v>
      </c>
      <c r="P11" t="str">
        <f t="shared" si="22"/>
        <v xml:space="preserve">							Renban = o.Renban,</v>
      </c>
      <c r="T11" s="63" t="str">
        <f t="shared" si="23"/>
        <v xml:space="preserve">								("Renban"),</v>
      </c>
      <c r="V11" s="64" t="str">
        <f t="shared" si="24"/>
        <v xml:space="preserve">								_ =&gt; _.Renban,</v>
      </c>
      <c r="W11" s="63" t="str">
        <f t="shared" si="25"/>
        <v xml:space="preserve">				.WhereIf(!string.IsNullOrWhiteSpace(input.Renban), e =&gt; e.Renban.Contains(input.Renban))</v>
      </c>
    </row>
    <row r="12" spans="1:23" customFormat="1" ht="18.75" customHeight="1" x14ac:dyDescent="0.25">
      <c r="A12" t="s">
        <v>363</v>
      </c>
      <c r="B12" t="s">
        <v>356</v>
      </c>
      <c r="C12" t="s">
        <v>1</v>
      </c>
      <c r="D12" t="str">
        <f t="shared" ref="D12:D15" si="26">SUBSTITUTE(PROPER(A12),"_","")</f>
        <v>ContainerNo</v>
      </c>
      <c r="E12" t="str">
        <f t="shared" ref="E12:E15" si="27">IFERROR(LEFT(B12, FIND("(",B12)-1),B12)</f>
        <v>VARCHAR</v>
      </c>
      <c r="F12" s="6"/>
      <c r="G12" t="str">
        <f t="shared" ref="G12:G15" si="28">IFERROR(MID(B12,FIND("(",B12) +1, FIND(")",B12) - FIND("(",B12) - 1),"")</f>
        <v>15</v>
      </c>
      <c r="H12" t="str">
        <f>+VLOOKUP(E12,'Data Type Mapping'!A:B,2,)</f>
        <v>string</v>
      </c>
      <c r="I12" t="str">
        <f t="shared" ref="I12:I15" si="29">IF(H12="string",REPT(CHAR(9),2)&amp;"public const int Max"&amp;D12&amp;"Length = "&amp;G12&amp;";"&amp;$E$3,"" )</f>
        <v xml:space="preserve">		public const int MaxContainerNoLength = 15;
</v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[StringLength(MaxContainerNoLength)]
		public virtual string ContainerNo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string ContainerNo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[StringLength(IF_FQF3MM04Consts.MaxContainerNoLength)]
		public virtual string ContainerNo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 xml:space="preserve">		public virtual string ContainerNo { get; set; }
</v>
      </c>
      <c r="P12" t="str">
        <f t="shared" ref="P12:P15" si="35">REPT(CHAR(9),7)&amp;D12&amp;" = o." &amp;D12 &amp;","</f>
        <v xml:space="preserve">							ContainerNo = o.ContainerNo,</v>
      </c>
      <c r="T12" s="63" t="str">
        <f t="shared" ref="T12:T15" si="36">REPT(CHAR(9),8)&amp;"("""&amp;D12&amp;"""),"</f>
        <v xml:space="preserve">								("ContainerNo"),</v>
      </c>
      <c r="V12" s="64" t="str">
        <f t="shared" ref="V12:V15" si="37">REPT(CHAR(9),8)&amp;"_ =&gt; _."&amp;D12&amp;","</f>
        <v xml:space="preserve">								_ =&gt; _.ContainerNo,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.WhereIf(!string.IsNullOrWhiteSpace(input.ContainerNo), e =&gt; e.ContainerNo.Contains(input.ContainerNo))</v>
      </c>
    </row>
    <row r="13" spans="1:23" customFormat="1" ht="18.75" customHeight="1" x14ac:dyDescent="0.25">
      <c r="A13" t="s">
        <v>364</v>
      </c>
      <c r="B13" t="s">
        <v>370</v>
      </c>
      <c r="C13" t="s">
        <v>1</v>
      </c>
      <c r="D13" t="str">
        <f t="shared" si="26"/>
        <v>ModuleNo</v>
      </c>
      <c r="E13" t="str">
        <f t="shared" si="27"/>
        <v>VARCHAR</v>
      </c>
      <c r="F13" s="6"/>
      <c r="G13" t="str">
        <f t="shared" si="28"/>
        <v>9</v>
      </c>
      <c r="H13" t="str">
        <f>+VLOOKUP(E13,'Data Type Mapping'!A:B,2,)</f>
        <v>string</v>
      </c>
      <c r="I13" t="str">
        <f t="shared" si="29"/>
        <v xml:space="preserve">		public const int MaxModuleNoLength = 9;
</v>
      </c>
      <c r="J13" t="str">
        <f t="shared" si="30"/>
        <v xml:space="preserve">		[StringLength(MaxModuleNoLength)]
		public virtual string ModuleNo { get; set; }
</v>
      </c>
      <c r="K13" s="6"/>
      <c r="L13" t="str">
        <f t="shared" si="31"/>
        <v/>
      </c>
      <c r="M13" t="str">
        <f t="shared" si="32"/>
        <v xml:space="preserve">		public virtual string ModuleNo { get; set; }
</v>
      </c>
      <c r="N13" t="str">
        <f t="shared" si="33"/>
        <v xml:space="preserve">		[StringLength(IF_FQF3MM04Consts.MaxModuleNoLength)]
		public virtual string ModuleNo { get; set; }
</v>
      </c>
      <c r="O13" t="str">
        <f t="shared" si="34"/>
        <v xml:space="preserve">		public virtual string ModuleNo { get; set; }
</v>
      </c>
      <c r="P13" t="str">
        <f t="shared" si="35"/>
        <v xml:space="preserve">							ModuleNo = o.ModuleNo,</v>
      </c>
      <c r="T13" s="63" t="str">
        <f t="shared" si="36"/>
        <v xml:space="preserve">								("ModuleNo"),</v>
      </c>
      <c r="V13" s="64" t="str">
        <f t="shared" si="37"/>
        <v xml:space="preserve">								_ =&gt; _.ModuleNo,</v>
      </c>
      <c r="W13" s="63" t="str">
        <f t="shared" si="38"/>
        <v xml:space="preserve">				.WhereIf(!string.IsNullOrWhiteSpace(input.ModuleNo), e =&gt; e.ModuleNo.Contains(input.ModuleNo))</v>
      </c>
    </row>
    <row r="14" spans="1:23" customFormat="1" ht="18.75" customHeight="1" x14ac:dyDescent="0.25">
      <c r="A14" t="s">
        <v>365</v>
      </c>
      <c r="B14" t="s">
        <v>371</v>
      </c>
      <c r="C14" t="s">
        <v>1</v>
      </c>
      <c r="D14" t="str">
        <f t="shared" si="26"/>
        <v>DevaningDate</v>
      </c>
      <c r="E14" t="str">
        <f t="shared" si="27"/>
        <v>DateTime</v>
      </c>
      <c r="F14" s="6" t="s">
        <v>372</v>
      </c>
      <c r="G14" t="str">
        <f t="shared" si="28"/>
        <v/>
      </c>
      <c r="H14" t="str">
        <f>+VLOOKUP(E14,'Data Type Mapping'!A:B,2,)</f>
        <v>DateTime?</v>
      </c>
      <c r="I14" t="str">
        <f t="shared" si="29"/>
        <v/>
      </c>
      <c r="J14" t="str">
        <f t="shared" si="30"/>
        <v xml:space="preserve">		[Column(TypeName="Date")]
		public virtual DateTime? DevaningDate { get; set; }
</v>
      </c>
      <c r="K14" s="6"/>
      <c r="L14" t="str">
        <f t="shared" si="31"/>
        <v/>
      </c>
      <c r="M14" t="str">
        <f t="shared" si="32"/>
        <v xml:space="preserve">		public virtual DateTime? DevaningDate { get; set; }
</v>
      </c>
      <c r="N14" t="str">
        <f t="shared" si="33"/>
        <v xml:space="preserve">		public virtual DateTime? DevaningDate { get; set; }
</v>
      </c>
      <c r="O14" t="str">
        <f t="shared" si="34"/>
        <v/>
      </c>
      <c r="P14" t="str">
        <f t="shared" si="35"/>
        <v xml:space="preserve">							DevaningDate = o.DevaningDate,</v>
      </c>
      <c r="T14" s="63" t="str">
        <f t="shared" si="36"/>
        <v xml:space="preserve">								("DevaningDate"),</v>
      </c>
      <c r="V14" s="64" t="str">
        <f t="shared" si="37"/>
        <v xml:space="preserve">								_ =&gt; _.DevaningDate,</v>
      </c>
      <c r="W14" s="63" t="str">
        <f t="shared" si="38"/>
        <v/>
      </c>
    </row>
    <row r="15" spans="1:23" customFormat="1" ht="18.75" customHeight="1" x14ac:dyDescent="0.25">
      <c r="A15" t="s">
        <v>366</v>
      </c>
      <c r="B15" t="s">
        <v>355</v>
      </c>
      <c r="C15" t="s">
        <v>1</v>
      </c>
      <c r="D15" t="str">
        <f t="shared" si="26"/>
        <v>Plant</v>
      </c>
      <c r="E15" t="str">
        <f t="shared" si="27"/>
        <v>VARCHAR</v>
      </c>
      <c r="F15" s="6"/>
      <c r="G15" t="str">
        <f t="shared" si="28"/>
        <v>4</v>
      </c>
      <c r="H15" t="str">
        <f>+VLOOKUP(E15,'Data Type Mapping'!A:B,2,)</f>
        <v>string</v>
      </c>
      <c r="I15" t="str">
        <f t="shared" si="29"/>
        <v xml:space="preserve">		public const int MaxPlantLength = 4;
</v>
      </c>
      <c r="J15" t="str">
        <f t="shared" si="30"/>
        <v xml:space="preserve">		[StringLength(MaxPlantLength)]
		public virtual string Plant { get; set; }
</v>
      </c>
      <c r="K15" s="6"/>
      <c r="L15" t="str">
        <f t="shared" si="31"/>
        <v/>
      </c>
      <c r="M15" t="str">
        <f t="shared" si="32"/>
        <v xml:space="preserve">		public virtual string Plant { get; set; }
</v>
      </c>
      <c r="N15" t="str">
        <f t="shared" si="33"/>
        <v xml:space="preserve">		[StringLength(IF_FQF3MM04Consts.MaxPlantLength)]
		public virtual string Plant { get; set; }
</v>
      </c>
      <c r="O15" t="str">
        <f t="shared" si="34"/>
        <v xml:space="preserve">		public virtual string Plant { get; set; }
</v>
      </c>
      <c r="P15" t="str">
        <f t="shared" si="35"/>
        <v xml:space="preserve">							Plant = o.Plant,</v>
      </c>
      <c r="T15" s="63" t="str">
        <f t="shared" si="36"/>
        <v xml:space="preserve">								("Plant"),</v>
      </c>
      <c r="V15" s="64" t="str">
        <f t="shared" si="37"/>
        <v xml:space="preserve">								_ =&gt; _.Plant,</v>
      </c>
      <c r="W15" s="63" t="str">
        <f t="shared" si="38"/>
        <v xml:space="preserve">				.WhereIf(!string.IsNullOrWhiteSpace(input.Plant), e =&gt; e.Plant.Contains(input.Plant))</v>
      </c>
    </row>
    <row r="16" spans="1:23" customFormat="1" ht="18.75" customHeight="1" x14ac:dyDescent="0.25">
      <c r="A16" t="s">
        <v>367</v>
      </c>
      <c r="B16" t="s">
        <v>357</v>
      </c>
      <c r="C16" t="s">
        <v>1</v>
      </c>
      <c r="D16" t="str">
        <f t="shared" ref="D16:D17" si="39">SUBSTITUTE(PROPER(A16),"_","")</f>
        <v>CancelFlag</v>
      </c>
      <c r="E16" t="str">
        <f t="shared" ref="E16:E17" si="40">IFERROR(LEFT(B16, FIND("(",B16)-1),B16)</f>
        <v>VARCHAR</v>
      </c>
      <c r="F16" s="6"/>
      <c r="G16" t="str">
        <f t="shared" ref="G16:G17" si="41">IFERROR(MID(B16,FIND("(",B16) +1, FIND(")",B16) - FIND("(",B16) - 1),"")</f>
        <v>1</v>
      </c>
      <c r="H16" t="str">
        <f>+VLOOKUP(E16,'Data Type Mapping'!A:B,2,)</f>
        <v>string</v>
      </c>
      <c r="I16" t="str">
        <f t="shared" ref="I16:I17" si="42">IF(H16="string",REPT(CHAR(9),2)&amp;"public const int Max"&amp;D16&amp;"Length = "&amp;G16&amp;";"&amp;$E$3,"" )</f>
        <v xml:space="preserve">		public const int MaxCancelFlagLength = 1;
</v>
      </c>
      <c r="J16" t="str">
        <f t="shared" ref="J16:J17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[StringLength(MaxCancelFlagLength)]
		public virtual string CancelFlag { get; set; }
</v>
      </c>
      <c r="K16" s="6"/>
      <c r="L16" t="str">
        <f t="shared" ref="L16:L17" si="44">IF(K16="","",REPT(CHAR(9),1)&amp;"[Index(nameof("&amp;IF(D16="","",""&amp;D16)&amp;")"&amp;", Name="&amp;"""IX_"&amp;$B$7&amp;"_"&amp;D16&amp;""")]")</f>
        <v/>
      </c>
      <c r="M16" t="str">
        <f t="shared" ref="M16:M17" si="45">REPT(CHAR(9),2)&amp;"public virtual "&amp;IF(OR(H16="DateTime",H16="TimeSpan"),H16&amp;"?",H16)&amp;IF(C16="?","? "," ")&amp;D16&amp;" { get; set; }" &amp; "
"</f>
        <v xml:space="preserve">		public virtual string CancelFlag { get; set; }
</v>
      </c>
      <c r="N16" t="str">
        <f t="shared" ref="N16:N17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[StringLength(IF_FQF3MM04Consts.MaxCancelFlagLength)]
		public virtual string CancelFlag { get; set; }
</v>
      </c>
      <c r="O16" t="str">
        <f t="shared" ref="O16:O17" si="47">IF(OR(H16="string",H16="DateTime",H16="int"),REPT(CHAR(9),2)&amp;"public virtual "&amp;IF(OR(H16="DateTime",H16="TimeSpan"),H16&amp;"?",H16)&amp;IF(C16="?","? "," ")&amp;D16&amp;" { get; set; }"&amp;$E$3,"")</f>
        <v xml:space="preserve">		public virtual string CancelFlag { get; set; }
</v>
      </c>
      <c r="P16" t="str">
        <f t="shared" ref="P16:P17" si="48">REPT(CHAR(9),7)&amp;D16&amp;" = o." &amp;D16 &amp;","</f>
        <v xml:space="preserve">							CancelFlag = o.CancelFlag,</v>
      </c>
      <c r="T16" s="63" t="str">
        <f t="shared" ref="T16:T17" si="49">REPT(CHAR(9),8)&amp;"("""&amp;D16&amp;"""),"</f>
        <v xml:space="preserve">								("CancelFlag"),</v>
      </c>
      <c r="V16" s="64" t="str">
        <f t="shared" ref="V16:V17" si="50">REPT(CHAR(9),8)&amp;"_ =&gt; _."&amp;D16&amp;","</f>
        <v xml:space="preserve">								_ =&gt; _.CancelFlag,</v>
      </c>
      <c r="W16" s="63" t="str">
        <f t="shared" ref="W16:W17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.WhereIf(!string.IsNullOrWhiteSpace(input.CancelFlag), e =&gt; e.CancelFlag.Contains(input.CancelFlag))</v>
      </c>
    </row>
    <row r="17" spans="1:23" customFormat="1" ht="18.75" customHeight="1" x14ac:dyDescent="0.25">
      <c r="A17" t="s">
        <v>368</v>
      </c>
      <c r="B17" t="s">
        <v>357</v>
      </c>
      <c r="C17" t="s">
        <v>1</v>
      </c>
      <c r="D17" t="str">
        <f t="shared" si="39"/>
        <v>EndOfRecord</v>
      </c>
      <c r="E17" t="str">
        <f t="shared" si="40"/>
        <v>VARCHAR</v>
      </c>
      <c r="F17" s="6"/>
      <c r="G17" t="str">
        <f t="shared" si="41"/>
        <v>1</v>
      </c>
      <c r="H17" t="str">
        <f>+VLOOKUP(E17,'Data Type Mapping'!A:B,2,)</f>
        <v>string</v>
      </c>
      <c r="I17" t="str">
        <f t="shared" si="42"/>
        <v xml:space="preserve">		public const int MaxEndOfRecordLength = 1;
</v>
      </c>
      <c r="J17" t="str">
        <f t="shared" si="43"/>
        <v xml:space="preserve">		[StringLength(MaxEndOfRecordLength)]
		public virtual string EndOfRecord { get; set; }
</v>
      </c>
      <c r="K17" s="6"/>
      <c r="L17" t="str">
        <f t="shared" si="44"/>
        <v/>
      </c>
      <c r="M17" t="str">
        <f t="shared" si="45"/>
        <v xml:space="preserve">		public virtual string EndOfRecord { get; set; }
</v>
      </c>
      <c r="N17" t="str">
        <f t="shared" si="46"/>
        <v xml:space="preserve">		[StringLength(IF_FQF3MM04Consts.MaxEndOfRecordLength)]
		public virtual string EndOfRecord { get; set; }
</v>
      </c>
      <c r="O17" t="str">
        <f t="shared" si="47"/>
        <v xml:space="preserve">		public virtual string EndOfRecord { get; set; }
</v>
      </c>
      <c r="P17" t="str">
        <f t="shared" si="48"/>
        <v xml:space="preserve">							EndOfRecord = o.EndOfRecord,</v>
      </c>
      <c r="T17" s="63" t="str">
        <f t="shared" si="49"/>
        <v xml:space="preserve">								("EndOfRecord"),</v>
      </c>
      <c r="V17" s="64" t="str">
        <f t="shared" si="50"/>
        <v xml:space="preserve">								_ =&gt; _.EndOfRecord,</v>
      </c>
      <c r="W17" s="63" t="str">
        <f t="shared" si="51"/>
        <v xml:space="preserve">				.WhereIf(!string.IsNullOrWhiteSpace(input.EndOfRecord), e =&gt; e.EndOfRecord.Contains(input.EndOfRecord))</v>
      </c>
    </row>
    <row r="19" spans="1:23" ht="45.75" customHeight="1" x14ac:dyDescent="0.25">
      <c r="H19" s="11"/>
      <c r="I19" s="31" t="str">
        <f ca="1">TEXTJOIN2("
", TRUE,INDIRECT( $H$1):INDIRECT( $H$3))</f>
        <v xml:space="preserve">		public const int MaxInvoiceNoLength = 10;
		public const int MaxRenbanLength = 6;
		public const int MaxContainerNoLength = 15;
		public const int MaxModuleNoLength = 9;
		public const int MaxPlantLength = 4;
		public const int MaxCancelFlagLength = 1;
		public const int MaxEndOfRecordLength = 1;
</v>
      </c>
      <c r="J19" s="30" t="str">
        <f ca="1">TEXTJOIN2("
", TRUE,INDIRECT( $F$1):INDIRECT( $F$3))</f>
        <v xml:space="preserve">		public virtual int? RecordId { get; set; }
		[StringLength(MaxInvoiceNoLength)]
		public virtual string InvoiceNo { get; set; }
		[StringLength(MaxRenbanLength)]
		public virtual string Renban { get; set; }
		[StringLength(MaxContainerNoLength)]
		public virtual string ContainerNo { get; set; }
		[StringLength(MaxModuleNoLength)]
		public virtual string ModuleNo { get; set; }
		[Column(TypeName="Date")]
		public virtual DateTime? DevaningDate { get; set; }
		[StringLength(MaxPlantLength)]
		public virtual string Plant { get; set; }
		[StringLength(MaxCancelFlagLength)]
		public virtual string CancelFlag { get; set; }
		[StringLength(MaxEndOfRecordLength)]
		public virtual string EndOfRecord { get; set; }
</v>
      </c>
      <c r="K19" s="32" t="str">
        <f ca="1">TEXTJOIN2("
", TRUE,INDIRECT( $J$1):INDIRECT( $J$3))</f>
        <v/>
      </c>
      <c r="L19" s="12" t="s">
        <v>57</v>
      </c>
      <c r="M19" s="33" t="str">
        <f ca="1">TEXTJOIN2("
",TRUE,INDIRECT( $L$1):INDIRECT($L$3))</f>
        <v xml:space="preserve">		public virtual int? RecordId { get; set; }
		public virtual string InvoiceNo { get; set; }
		public virtual string Renban { get; set; }
		public virtual string ContainerNo { get; set; }
		public virtual string ModuleNo { get; set; }
		public virtual DateTime? DevaningDate { get; set; }
		public virtual string Plant { get; set; }
		public virtual string CancelFlag { get; set; }
		public virtual string EndOfRecord { get; set; }
</v>
      </c>
      <c r="N19" s="30" t="str">
        <f ca="1">TEXTJOIN2("
",TRUE,INDIRECT( $M$1):INDIRECT($M$3))</f>
        <v xml:space="preserve">		public virtual int? RecordId { get; set; }
		[StringLength(IF_FQF3MM04Consts.MaxInvoiceNoLength)]
		public virtual string InvoiceNo { get; set; }
		[StringLength(IF_FQF3MM04Consts.MaxRenbanLength)]
		public virtual string Renban { get; set; }
		[StringLength(IF_FQF3MM04Consts.MaxContainerNoLength)]
		public virtual string ContainerNo { get; set; }
		[StringLength(IF_FQF3MM04Consts.MaxModuleNoLength)]
		public virtual string ModuleNo { get; set; }
		public virtual DateTime? DevaningDate { get; set; }
		[StringLength(IF_FQF3MM04Consts.MaxPlantLength)]
		public virtual string Plant { get; set; }
		[StringLength(IF_FQF3MM04Consts.MaxCancelFlagLength)]
		public virtual string CancelFlag { get; set; }
		[StringLength(IF_FQF3MM04Consts.MaxEndOfRecordLength)]
		public virtual string EndOfRecord { get; set; }
</v>
      </c>
      <c r="O19" s="30" t="str">
        <f ca="1">TEXTJOIN2("
",TRUE,INDIRECT( $N$1):INDIRECT($N$3))</f>
        <v xml:space="preserve">		public virtual string InvoiceNo { get; set; }
		public virtual string Renban { get; set; }
		public virtual string ContainerNo { get; set; }
		public virtual string ModuleNo { get; set; }
		public virtual string Plant { get; set; }
		public virtual string CancelFlag { get; set; }
		public virtual string EndOfRecord { get; set; }
</v>
      </c>
      <c r="P19" s="8" t="str">
        <f ca="1">TEXTJOIN2("
",TRUE,INDIRECT( $O$1):INDIRECT($O$3))</f>
        <v xml:space="preserve">							RecordId = o.RecordId,
							InvoiceNo = o.InvoiceNo,
							Renban = o.Renban,
							ContainerNo = o.ContainerNo,
							ModuleNo = o.ModuleNo,
							DevaningDate = o.DevaningDate,
							Plant = o.Plant,
							CancelFlag = o.CancelFlag,
							EndOfRecord = o.EndOfRecord,</v>
      </c>
      <c r="T19" s="8" t="str">
        <f ca="1">TEXTJOIN2("
",TRUE,INDIRECT( $T$2):INDIRECT($T$3))</f>
        <v xml:space="preserve">								("RecordId"),
								("InvoiceNo"),
								("Renban"),
								("ContainerNo"),
								("ModuleNo"),
								("DevaningDate"),
								("Plant"),
								("CancelFlag"),
								("EndOfRecord"),</v>
      </c>
      <c r="V19" s="8" t="str">
        <f ca="1">TEXTJOIN2("
",TRUE,INDIRECT( $V$2):INDIRECT($V$3))</f>
        <v xml:space="preserve">								_ =&gt; _.RecordId,
								_ =&gt; _.InvoiceNo,
								_ =&gt; _.Renban,
								_ =&gt; _.ContainerNo,
								_ =&gt; _.ModuleNo,
								_ =&gt; _.DevaningDate,
								_ =&gt; _.Plant,
								_ =&gt; _.CancelFlag,
								_ =&gt; _.EndOfRecord,</v>
      </c>
      <c r="W19" s="8" t="str">
        <f ca="1">TEXTJOIN2("
",TRUE,INDIRECT( $W$2):INDIRECT($W$3))</f>
        <v xml:space="preserve">				.WhereIf(!string.IsNullOrWhiteSpace(input.InvoiceNo), e =&gt; e.InvoiceNo.Contains(input.InvoiceNo))
				.WhereIf(!string.IsNullOrWhiteSpace(input.Renban), e =&gt; e.Renban.Contains(input.Renban))
				.WhereIf(!string.IsNullOrWhiteSpace(input.ContainerNo), e =&gt; e.ContainerNo.Contains(input.ContainerNo))
				.WhereIf(!string.IsNullOrWhiteSpace(input.ModuleNo), e =&gt; e.ModuleNo.Contains(input.ModuleNo))
				.WhereIf(!string.IsNullOrWhiteSpace(input.Plant), e =&gt; e.Plant.Contains(input.Plant))
				.WhereIf(!string.IsNullOrWhiteSpace(input.CancelFlag), e =&gt; e.CancelFlag.Contains(input.CancelFlag))
				.WhereIf(!string.IsNullOrWhiteSpace(input.EndOfRecord), e =&gt; e.EndOfRecord.Contains(input.EndOfRecord))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5"/>
  <sheetViews>
    <sheetView workbookViewId="0">
      <selection activeCell="B1" sqref="B1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208</v>
      </c>
      <c r="B1" s="39" t="s">
        <v>373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IF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if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IF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if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IF_FQF3MM04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FQF3MM04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fqf3mm04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IF_FQF3MM04Dto, IF_FQF3MM04ServiceProxy } from '@shared/service-proxies/service-proxies';
import { finalize } from 'rxjs/internal/operators/finalize';
import { CreateOrEditFQF3MM04ModalComponent } from './create-or-edit-fqf3mm04-modal.component';
import { DatePipe } from '@angular/common';
import { FileDownloadService } from '@shared/utils/file-download.service';
import ceil from 'lodash-es/ceil';
import { Paginator } from 'primeng/paginator';
@Component({
    templateUrl: './fqf3mm04.component.html',
    styleUrls: ['./fqf3mm04.component.less'],
})
export class FQF3MM04Component extends AppComponentBase implements OnInit {
    @ViewChild('createOrEditModalFQF3MM04', { static: true }) createOrEditModalFQF3MM04:| CreateOrEditFQF3MM04ModalComponent|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IF_FQF3MM04Dto = new IF_FQF3MM04Dto();
    saveSelectedRow: IF_FQF3MM04Dto = new IF_FQF3MM04Dto();
    datas: IF_FQF3MM04Dto = new IF_FQF3MM04Dto();
    isLoading: boolean = false;
    dataParams: GridParams | undefined;
    rowData: any[] = [];
    gridApi!: GridApi;
    rowSelection = 'multiple';
    filter: string = '';
	pipe = new DatePipe('en-US');
	frameworkComponents: FrameworkComponent;
    	recordId
	invoiceNo : string = '' ; 
	renban : string = '' ; 
	containerNo : string = '' ; 
	moduleNo : string = '' ; 
	devaningDate
	plant : string = '' ; 
	cancelFlag : string = '' ; 
	endOfRecord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IF_FQF3MM04ServiceProxy,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this.l('Record Id'),headerTooltip: this.l('Record Id'),field: 'recordId',flex: 1},
			{headerName: this.l('Invoice No'),headerTooltip: this.l('Invoice No'),field: 'invoiceNo',flex: 1},
			{headerName: this.l('Renban'),headerTooltip: this.l('Renban'),field: 'renban',flex: 1},
			{headerName: this.l('Container No'),headerTooltip: this.l('Container No'),field: 'containerNo',flex: 1},
			{headerName: this.l('Module No'),headerTooltip: this.l('Module No'),field: 'moduleNo',flex: 1},
			{headerName: this.l('Devaning Date'),headerTooltip: this.l('Devaning Date'),field: 'devaningDate',flex: 1},
			{headerName: this.l('Plant'),headerTooltip: this.l('Plant'),field: 'plant',flex: 1},
			{headerName: this.l('Cancel Flag'),headerTooltip: this.l('Cancel Flag'),field:  'cancelFlag', cellClass: ['text-center'], width: 120, cellRenderer: 'agCellButtonComponent',
buttonDefTwo: { text: params =&gt; (params.data?.'cancelFlag' == 'Y') ? 'Active' : 'Inactive',iconName: 'fa fa-circle',className: params =&gt; (params.data?.'cancelFlag' == 'Y') ? 'btnActive' : 'btnInActive',},}
			{headerName: this.l('End Of Record'),headerTooltip: this.l('End Of Record'),field:  'endOfRecord', cellClass: ['text-center'], width: 120, cellRenderer: 'agCellButtonComponent',
buttonDefTwo: { text: params =&gt; (params.data?.'endOfRecord' == 'Y') ? 'Active' : 'Inactive',iconName: 'fa fa-circle',className: params =&gt; (params.data?.'endOfRecord'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this.recordId,
			this.invoiceNo,
			this.renban,
			this.containerNo,
			this.moduleNo,
			this.devaningDate,
			this.plant,
			this.cancelFlag,
			this.endOfRecord,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this.recordId = '',
		this.invoiceNo = '',
		this.renban = '',
		this.containerNo = '',
		this.moduleNo = '',
		this.devaningDate = '',
		this.plant = '',
		this.cancelFlag = '',
		this.endOfRecord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this.recordId,
			this.invoiceNo,
			this.renban,
			this.containerNo,
			this.moduleNo,
			this.devaningDate,
			this.plant,
			this.cancelFlag,
			this.endOfRecord,
			'',
            this.paginationParams.skipCount,
            this.paginationParams.pageSize
        );
    }
    onChangeRowSelection(params: { api: { getSelectedRows: () =&gt; IF_FQF3MM04Dto[] } }) {
        this.saveSelectedRow = params.api.getSelectedRows()[0] ?? new IF_FQF3MM04Dto();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IF_FQF3MM04Dto):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this._service.getFQF3MM04ToExcel(
			this.recordId,
			this.invoiceNo,
			this.renban,
			this.containerNo,
			this.moduleNo,
			this.devaningDate,
			this.plant,
			this.cancelFlag,
			this.endOfRecord,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FQF3MM01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[(ngModel)]='plant' name='plant'
									class='form-control' [placeholder]="l('Plant')"
									type='text' (keyup.enter)='searchDatas()'&gt;
								&lt;/div&gt;
								&lt;div class='input-search'&gt;
									&lt;input [(ngModel)]='cancelFlag' name='cancelFlag'
									class='form-control' [placeholder]="l('Cancel Flag')"
									type='text' (keyup.enter)='searchDatas()'&gt;
								&lt;/div&gt;
								&lt;div class='input-search'&gt;
									&lt;input [(ngModel)]='endOfRecord' name='endOfRecord'
									class='form-control' [placeholder]="l('End Of Record')"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(click)="createOrEditModalFQF3MM04.show()"&gt;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(click)="createOrEditModalFQF3MM04.show(selectedRow)"&gt;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&lt;create-or-edit-fqf3mm04-modal
    #createOrEditModalFQF3MM04
    (modalSave)="callBackDataGrid(dataParams)"
    (modalClose)="onChangeRowSelection(dataParams)"
&gt;
&lt;/create-or-edit-fqf3mm04-modal&gt;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#createOrEditModalFQF3MM04="bs-modal"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FQF3MM04')}}&lt;/h3&gt;
                    &lt;h3 *ngIf="!rowdata.id"&gt;{{('Create New FQF3MM04')}}&lt;/h3&gt;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title'&gt;Plant&lt;/label&gt;
						&lt;input type='text' class='col-md-10 form-control input-text' name='Plant' [(ngModel)]='rowdata.plant'&gt;
					&lt;/div&gt;
					&lt;div class='col-md-12 form-group row'&gt;
						&lt;label class='col-md-2 form-control title'&gt;Cancel Flag&lt;/label&gt;
						&lt;new-checkbox [(ngModel)]='_cancelFlag' name='cancelFlag' className='col-md-10' &gt; &lt;/new-checkbox&gt;
					&lt;/div&gt;
					&lt;div class='col-md-12 form-group row'&gt;
						&lt;label class='col-md-2 form-control title'&gt;End Of Record&lt;/label&gt;
						&lt;new-checkbox [(ngModel)]='_endOfRecord' name='endOfRecord'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CreateOrEditIF_FQF3MM04Dto, IF_FQF3MM04ServiceProxy } from '@shared/service-proxies/service-proxies';
import { BsDatepickerDirective } from 'ngx-bootstrap/datepicker';
@Component({
    selector: 'create-or-edit-fqf3mm04-modal',
    templateUrl: './create-or-edit-fqf3mm04-modal.component.html',
    styleUrls: ['./create-or-edit-fqf3mm04-modal.component.less']
    })
export class CreateOrEditFQF3MM04ModalComponent extends AppComponentBase {
    @ViewChild('createOrEditModalFQF3MM04',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CreateOrEditIF_FQF3MM04Dto = new CreateOrEditIF_FQF3MM04Dto();
    active: boolean = false;
    saving: boolean = false;
    _cancelFlag
endOfRecord: boolean;
    constructor(
        injector: Injector,
        private _mstwptFQF3MM04Service: IF_FQF3MM04ServiceProxy,
    ) 
    {
        super(injector);
    }
    show(rowdata?: CreateOrEditIF_FQF3MM04Dto): void {
        if (!rowdata) this.rowdata = new CreateOrEditIF_FQF3MM04Dto();
        else this.rowdata = rowdata;
        this._cancelFlag
endOfRecord = (this.rowdata.cancelFlag
endOfRecord == "N")? false: true;
        this.active = true;
        this.modal.show();
    } 
    changeActive(event){
        this._cancelFlag
endOfRecord = event.target.checked;
    }
    save(): void {
    this.saving = true; 
    this.rowdata.cancelFlag
endOfRecord = (this._cancelFlag
endOfRecord == true) ? 'Y' : 'N'
    this._mstwptFQF3MM04Service.createOrEdit(this.rowdata)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FQF3MM04RoutingModule } from './fqf3mm04-routing.module';
import { FQF3MM04Component } from './fqf3mm04.component';
import { CreateOrEditFQF3MM04ModalComponent } from './create-or-edit-fqf3mm04-modal.component';
@NgModule({
    declarations: [
       FQF3MM04Component, 
        CreateOrEditFQF3MM04ModalComponent
    ],
    imports: [
        AppSharedModule, FQF3MM04RoutingModule]
})
export class FQF3MM04Module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FQF3MM04Component } from './fqf3mm04.component';
const routes: Routes = [{
    path: '',
    component: FQF3MM04Component,
    pathMatch: 'full'
}];
@NgModule({
    imports: [RouterModule.forChild(routes)],
    exports: [RouterModule],
})
export class FQF3MM04RoutingModule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AppMenuItem("FQF3MM04", "Pages.IF.IF.FQF3MM04", "flaticon-book",   "/app/main/if/if/fqf3mm04"),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'if/if/fqf3mm04',
    loadChildren: () =&gt; import('./if/if/fqf3mm04/fqf3mm04.module').then(m =&gt; m.FQF3MM04Module),
    data: { permission: 'Pages.IF.IF.FQF3MM04' }
},</v>
      </c>
      <c r="R10" s="47" t="str">
        <f>SUBSTITUTE(R9,"MstWptCalendar",$B$6)</f>
        <v>ApiServiceProxies.IF_FQF3MM04ServiceProxy,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H23</v>
      </c>
      <c r="I12" s="28" t="str">
        <f>"I"&amp;COUNTA($A:$A)</f>
        <v>I23</v>
      </c>
      <c r="J12" s="28"/>
      <c r="K12" s="28" t="str">
        <f>"K"&amp;COUNTA($A:$A)</f>
        <v>K23</v>
      </c>
      <c r="L12" s="28" t="str">
        <f>"L"&amp;COUNTA($A:$A)</f>
        <v>L23</v>
      </c>
      <c r="M12" s="28"/>
      <c r="N12" s="28"/>
      <c r="O12" s="28"/>
      <c r="P12" s="28"/>
      <c r="Q12" s="28"/>
      <c r="R12" s="28"/>
      <c r="S12" s="28" t="str">
        <f>"S"&amp;COUNTA($A:$A)</f>
        <v>S23</v>
      </c>
      <c r="T12" s="28" t="str">
        <f>"T"&amp;COUNTA($A:$A)</f>
        <v>T23</v>
      </c>
      <c r="U12" s="28" t="str">
        <f>"U"&amp;COUNTA($A:$A)</f>
        <v>U23</v>
      </c>
      <c r="V12" s="28" t="str">
        <f>"V"&amp;COUNTA($A:$A)</f>
        <v>V23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this.l('Record Id'),headerTooltip: this.l('Record Id'),field: 'recordId',flex: 1},
			{headerName: this.l('Invoice No'),headerTooltip: this.l('Invoice No'),field: 'invoiceNo',flex: 1},
			{headerName: this.l('Renban'),headerTooltip: this.l('Renban'),field: 'renban',flex: 1},
			{headerName: this.l('Container No'),headerTooltip: this.l('Container No'),field: 'containerNo',flex: 1},
			{headerName: this.l('Module No'),headerTooltip: this.l('Module No'),field: 'moduleNo',flex: 1},
			{headerName: this.l('Devaning Date'),headerTooltip: this.l('Devaning Date'),field: 'devaningDate',flex: 1},
			{headerName: this.l('Plant'),headerTooltip: this.l('Plant'),field: 'plant',flex: 1},
			{headerName: this.l('Cancel Flag'),headerTooltip: this.l('Cancel Flag'),field:  'cancelFlag', cellClass: ['text-center'], width: 120, cellRenderer: 'agCellButtonComponent',
buttonDefTwo: { text: params =&gt; (params.data?.'cancelFlag' == 'Y') ? 'Active' : 'Inactive',iconName: 'fa fa-circle',className: params =&gt; (params.data?.'cancelFlag' == 'Y') ? 'btnActive' : 'btnInActive',},}
			{headerName: this.l('End Of Record'),headerTooltip: this.l('End Of Record'),field:  'endOfRecord', cellClass: ['text-center'], width: 120, cellRenderer: 'agCellButtonComponent',
buttonDefTwo: { text: params =&gt; (params.data?.'endOfRecord' == 'Y') ? 'Active' : 'Inactive',iconName: 'fa fa-circle',className: params =&gt; (params.data?.'endOfRecord' == 'Y') ? 'btnActive' : 'btnInActive',},}</v>
      </c>
      <c r="I13" s="35" t="str">
        <f ca="1">TEXTJOIN2("
",TRUE,INDIRECT(I11):INDIRECT(I12))</f>
        <v xml:space="preserve">								&lt;div class='input-search'&gt;
									&lt;input [(ngModel)]='invoiceNo' name='invoiceNo'
									class='form-control' [placeholder]="l('Invoice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[(ngModel)]='moduleNo' name='moduleNo'
									class='form-control' [placeholder]="l('Module No')"
									type='text' (keyup.enter)='searchDatas()'&gt;
								&lt;/div&gt;
								&lt;div class='input-search'&gt;
									&lt;input [(ngModel)]='plant' name='plant'
									class='form-control' [placeholder]="l('Plant')"
									type='text' (keyup.enter)='searchDatas()'&gt;
								&lt;/div&gt;
								&lt;div class='input-search'&gt;
									&lt;input [(ngModel)]='cancelFlag' name='cancelFlag'
									class='form-control' [placeholder]="l('Cancel Flag')"
									type='text' (keyup.enter)='searchDatas()'&gt;
								&lt;/div&gt;
								&lt;div class='input-search'&gt;
									&lt;input [(ngModel)]='endOfRecord' name='endOfRecord'
									class='form-control' [placeholder]="l('End Of Record')"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title'&gt;Invoice No&lt;/label&gt;
						&lt;input type='text' class='col-md-10 form-control input-text' name='InvoiceNo' [(ngModel)]='rowdata.invoiceNo'&gt;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title'&gt;Module No&lt;/label&gt;
						&lt;input type='text' class='col-md-10 form-control input-text' name='ModuleNo' [(ngModel)]='rowdata.moduleNo'&gt;
					&lt;/div&gt;
					&lt;div class='col-md-12 form-group row'&gt;
						&lt;label class='col-md-2 form-control title'&gt;Plant&lt;/label&gt;
						&lt;input type='text' class='col-md-10 form-control input-text' name='Plant' [(ngModel)]='rowdata.plant'&gt;
					&lt;/div&gt;
					&lt;div class='col-md-12 form-group row'&gt;
						&lt;label class='col-md-2 form-control title'&gt;Cancel Flag&lt;/label&gt;
						&lt;new-checkbox [(ngModel)]='_cancelFlag' name='cancelFlag' className='col-md-10' &gt; &lt;/new-checkbox&gt;
					&lt;/div&gt;
					&lt;div class='col-md-12 form-group row'&gt;
						&lt;label class='col-md-2 form-control title'&gt;End Of Record&lt;/label&gt;
						&lt;new-checkbox [(ngModel)]='_endOfRecord' name='endOfRecord'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recordId
	invoiceNo : string = '' ; 
	renban : string = '' ; 
	containerNo : string = '' ; 
	moduleNo : string = '' ; 
	devaningDate
	plant : string = '' ; 
	cancelFlag : string = '' ; 
	endOfRecord : string = '' ; </v>
      </c>
      <c r="T13" s="62" t="str">
        <f ca="1">TEXTJOIN2("
",TRUE,INDIRECT(T11):INDIRECT(T12))</f>
        <v xml:space="preserve">			this.recordId,
			this.invoiceNo,
			this.renban,
			this.containerNo,
			this.moduleNo,
			this.devaningDate,
			this.plant,
			this.cancelFlag,
			this.endOfRecord,</v>
      </c>
      <c r="U13" s="62" t="str">
        <f ca="1">TEXTJOIN2("
",TRUE,INDIRECT(U11):INDIRECT(U12))</f>
        <v xml:space="preserve">		this.recordId = '',
		this.invoiceNo = '',
		this.renban = '',
		this.containerNo = '',
		this.moduleNo = '',
		this.devaningDate = '',
		this.plant = '',
		this.cancelFlag = '',
		this.endOfRecord = '',</v>
      </c>
      <c r="V13" s="28" t="str">
        <f ca="1">TEXTJOIN2("
",TRUE,INDIRECT(V11):INDIRECT(V12))</f>
        <v>cancelFlag
endOfRecord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fqf3mm04.component.ts</v>
      </c>
      <c r="I14" s="37" t="str">
        <f>B8&amp;".component.html"</f>
        <v>fqf3mm04.component.html</v>
      </c>
      <c r="J14" s="36" t="str">
        <f>B8&amp;".component.less"</f>
        <v>fqf3mm04.component.less</v>
      </c>
      <c r="K14" s="37" t="str">
        <f>"create-or-edit-"&amp;B8&amp;"-modal.component.html"</f>
        <v>create-or-edit-fqf3mm04-modal.component.html</v>
      </c>
      <c r="L14" s="37" t="str">
        <f>"create-or-edit-"&amp;B8&amp;"-modal.component.ts"</f>
        <v>create-or-edit-fqf3mm04-modal.component.ts</v>
      </c>
      <c r="M14" s="37" t="str">
        <f>"create-or-edit-"&amp;B8&amp;"-modal.component.less"</f>
        <v>create-or-edit-fqf3mm04-modal.component.less</v>
      </c>
      <c r="N14" s="37" t="str">
        <f>B8&amp;".module.ts"</f>
        <v>fqf3mm04.module.ts</v>
      </c>
      <c r="O14" s="37" t="str">
        <f>B8&amp;"-routing.module.ts"</f>
        <v>fqf3mm04-routing.module.ts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360</v>
      </c>
      <c r="B15" s="28" t="str">
        <f t="shared" ref="B15" si="0">SUBSTITUTE(PROPER(A15),"_","")</f>
        <v>RecordId</v>
      </c>
      <c r="C15" s="28" t="str">
        <f t="shared" ref="C15" si="1">SUBSTITUTE(PROPER(A15),"_"," ")</f>
        <v>Record Id</v>
      </c>
      <c r="D15" s="28" t="str">
        <f t="shared" ref="D15" si="2">LOWER(LEFT(B15,1))&amp;RIGHT(B15,LEN(B15) - 1)</f>
        <v>recordId</v>
      </c>
      <c r="E15" s="28" t="str">
        <f>A.Backend!H9</f>
        <v>int?</v>
      </c>
      <c r="F15" s="28" t="str">
        <f>A.Backend!G9</f>
        <v/>
      </c>
      <c r="G15" s="28" t="str">
        <f t="shared" ref="G15:G23" si="3">IF(E15="string"," : string = '' ; ",IF(OR(E15="DateTime",E15="TimeSpan")," : any ;",IF(E15="int"," : number = 0 ;","")))</f>
        <v/>
      </c>
      <c r="H15" s="35" t="str">
        <f t="shared" ref="H15:H23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this.l('Record Id'),headerTooltip: this.l('Record Id'),field: 'recordId',flex: 1},</v>
      </c>
      <c r="I15" s="35" t="str">
        <f t="shared" ref="I15:I23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 t="shared" ref="K15:K23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recordId</v>
      </c>
      <c r="T15" s="28" t="str">
        <f>REPT(CHAR(9),3)&amp;"this."&amp;D15&amp;","</f>
        <v xml:space="preserve">			this.recordId,</v>
      </c>
      <c r="U15" s="28" t="str">
        <f>IF(E15="int",REPT(CHAR(9),2)&amp;"this."&amp;D15&amp;" = 0,",REPT(CHAR(9),2)&amp;"this."&amp;D15&amp;" = '',")</f>
        <v xml:space="preserve">		this.recordId = '',</v>
      </c>
      <c r="V15" s="28" t="str">
        <f t="shared" ref="V15:V23" si="8">IF(AND(E15="string",F15="1"),D15,"")</f>
        <v/>
      </c>
    </row>
    <row r="16" spans="1:22" ht="18" customHeight="1" x14ac:dyDescent="0.25">
      <c r="A16" t="s">
        <v>361</v>
      </c>
      <c r="B16" s="28" t="str">
        <f t="shared" ref="B16" si="9">SUBSTITUTE(PROPER(A16),"_","")</f>
        <v>InvoiceNo</v>
      </c>
      <c r="C16" s="28" t="str">
        <f t="shared" ref="C16" si="10">SUBSTITUTE(PROPER(A16),"_"," ")</f>
        <v>Invoice No</v>
      </c>
      <c r="D16" s="28" t="str">
        <f t="shared" ref="D16" si="11">LOWER(LEFT(B16,1))&amp;RIGHT(B16,LEN(B16) - 1)</f>
        <v>invoiceNo</v>
      </c>
      <c r="E16" s="28" t="str">
        <f>A.Backend!H10</f>
        <v>string</v>
      </c>
      <c r="F16" s="28" t="str">
        <f>A.Backend!G10</f>
        <v>10</v>
      </c>
      <c r="G16" s="28" t="str">
        <f t="shared" si="3"/>
        <v xml:space="preserve"> : string = '' ; </v>
      </c>
      <c r="H16" s="35" t="str">
        <f t="shared" si="4"/>
        <v xml:space="preserve">			{headerName: this.l('Invoice No'),headerTooltip: this.l('Invoice No'),field: 'invoiceNo',flex: 1},</v>
      </c>
      <c r="I16" s="35" t="str">
        <f t="shared" si="5"/>
        <v xml:space="preserve">								&lt;div class='input-search'&gt;
									&lt;input [(ngModel)]='invoiceNo' name='invoiceNo'
									class='form-control' [placeholder]="l('Invoice No')"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title'&gt;Invoice No&lt;/label&gt;
						&lt;input type='text' class='col-md-10 form-control input-text' name='InvoiceNo' [(ngModel)]='rowdata.invoiceNo'&gt;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3" si="13">REPT(CHAR(9),1)&amp;D16&amp;G16</f>
        <v xml:space="preserve">	invoiceNo : string = '' ; </v>
      </c>
      <c r="T16" s="28" t="str">
        <f t="shared" ref="T16:T23" si="14">REPT(CHAR(9),3)&amp;"this."&amp;D16&amp;","</f>
        <v xml:space="preserve">			this.invoiceNo,</v>
      </c>
      <c r="U16" s="28" t="str">
        <f t="shared" ref="U16:U23" si="15">IF(E16="int",REPT(CHAR(9),2)&amp;"this."&amp;D16&amp;" = 0,",REPT(CHAR(9),2)&amp;"this."&amp;D16&amp;" = '',")</f>
        <v xml:space="preserve">		this.invoiceNo = '',</v>
      </c>
      <c r="V16" s="28" t="str">
        <f t="shared" si="8"/>
        <v/>
      </c>
    </row>
    <row r="17" spans="1:22" ht="18" customHeight="1" x14ac:dyDescent="0.25">
      <c r="A17" t="s">
        <v>362</v>
      </c>
      <c r="B17" s="28" t="str">
        <f>SUBSTITUTE(PROPER(A17),"_","")</f>
        <v>Renban</v>
      </c>
      <c r="C17" s="28" t="str">
        <f>SUBSTITUTE(PROPER(A17),"_"," ")</f>
        <v>Renban</v>
      </c>
      <c r="D17" s="28" t="str">
        <f>LOWER(LEFT(B17,1))&amp;RIGHT(B17,LEN(B17) - 1)</f>
        <v>renban</v>
      </c>
      <c r="E17" s="28" t="str">
        <f>A.Backend!H11</f>
        <v>string</v>
      </c>
      <c r="F17" s="28" t="str">
        <f>A.Backend!G11</f>
        <v>6</v>
      </c>
      <c r="G17" s="28" t="str">
        <f t="shared" si="3"/>
        <v xml:space="preserve"> : string = '' ; </v>
      </c>
      <c r="H17" s="35" t="str">
        <f t="shared" si="4"/>
        <v xml:space="preserve">			{headerName: this.l('Renban'),headerTooltip: this.l('Renban'),field: 'renban',flex: 1},</v>
      </c>
      <c r="I17" s="35" t="str">
        <f t="shared" si="5"/>
        <v xml:space="preserve">								&lt;div class='input-search'&gt;
									&lt;input [(ngModel)]='renban' name='renban'
									class='form-control' [placeholder]="l('Renban')"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title'&gt;Renban&lt;/label&gt;
						&lt;input type='text' class='col-md-10 form-control input-text' name='Renban' [(ngModel)]='rowdata.renban'&gt;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renban : string = '' ; </v>
      </c>
      <c r="T17" s="28" t="str">
        <f t="shared" si="14"/>
        <v xml:space="preserve">			this.renban,</v>
      </c>
      <c r="U17" s="28" t="str">
        <f t="shared" si="15"/>
        <v xml:space="preserve">		this.renban = '',</v>
      </c>
      <c r="V17" s="28" t="str">
        <f t="shared" si="8"/>
        <v/>
      </c>
    </row>
    <row r="18" spans="1:22" ht="15" customHeight="1" x14ac:dyDescent="0.25">
      <c r="A18" t="s">
        <v>363</v>
      </c>
      <c r="B18" s="28" t="str">
        <f t="shared" ref="B18:B21" si="16">SUBSTITUTE(PROPER(A18),"_","")</f>
        <v>ContainerNo</v>
      </c>
      <c r="C18" s="28" t="str">
        <f t="shared" ref="C18:C21" si="17">SUBSTITUTE(PROPER(A18),"_"," ")</f>
        <v>Container No</v>
      </c>
      <c r="D18" s="28" t="str">
        <f t="shared" ref="D18:D21" si="18">LOWER(LEFT(B18,1))&amp;RIGHT(B18,LEN(B18) - 1)</f>
        <v>containerNo</v>
      </c>
      <c r="E18" s="28" t="str">
        <f>A.Backend!H12</f>
        <v>string</v>
      </c>
      <c r="F18" s="28" t="str">
        <f>A.Backend!G12</f>
        <v>15</v>
      </c>
      <c r="G18" s="28" t="str">
        <f t="shared" si="3"/>
        <v xml:space="preserve"> : string = '' ; </v>
      </c>
      <c r="H18" s="35" t="str">
        <f t="shared" si="4"/>
        <v xml:space="preserve">			{headerName: this.l('Container No'),headerTooltip: this.l('Container No'),field: 'containerNo',flex: 1},</v>
      </c>
      <c r="I18" s="35" t="str">
        <f t="shared" si="5"/>
        <v xml:space="preserve">								&lt;div class='input-search'&gt;
									&lt;input [(ngModel)]='containerNo' name='containerNo'
									class='form-control' [placeholder]="l('Container No')"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containerNo : string = '' ; </v>
      </c>
      <c r="T18" s="28" t="str">
        <f t="shared" si="14"/>
        <v xml:space="preserve">			this.containerNo,</v>
      </c>
      <c r="U18" s="28" t="str">
        <f t="shared" si="15"/>
        <v xml:space="preserve">		this.containerNo = '',</v>
      </c>
      <c r="V18" s="28" t="str">
        <f t="shared" si="8"/>
        <v/>
      </c>
    </row>
    <row r="19" spans="1:22" ht="18" customHeight="1" x14ac:dyDescent="0.25">
      <c r="A19" t="s">
        <v>364</v>
      </c>
      <c r="B19" s="28" t="str">
        <f t="shared" si="16"/>
        <v>ModuleNo</v>
      </c>
      <c r="C19" s="28" t="str">
        <f t="shared" si="17"/>
        <v>Module No</v>
      </c>
      <c r="D19" s="28" t="str">
        <f t="shared" si="18"/>
        <v>moduleNo</v>
      </c>
      <c r="E19" s="28" t="str">
        <f>A.Backend!H13</f>
        <v>string</v>
      </c>
      <c r="F19" s="28" t="str">
        <f>A.Backend!G13</f>
        <v>9</v>
      </c>
      <c r="G19" s="28" t="str">
        <f t="shared" si="3"/>
        <v xml:space="preserve"> : string = '' ; </v>
      </c>
      <c r="H19" s="35" t="str">
        <f t="shared" si="4"/>
        <v xml:space="preserve">			{headerName: this.l('Module No'),headerTooltip: this.l('Module No'),field: 'moduleNo',flex: 1},</v>
      </c>
      <c r="I19" s="35" t="str">
        <f t="shared" si="5"/>
        <v xml:space="preserve">								&lt;div class='input-search'&gt;
									&lt;input [(ngModel)]='moduleNo' name='moduleNo'
									class='form-control' [placeholder]="l('Module No')"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title'&gt;Module No&lt;/label&gt;
						&lt;input type='text' class='col-md-10 form-control input-text' name='ModuleNo' [(ngModel)]='rowdata.moduleNo'&gt;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moduleNo : string = '' ; </v>
      </c>
      <c r="T19" s="28" t="str">
        <f t="shared" si="14"/>
        <v xml:space="preserve">			this.moduleNo,</v>
      </c>
      <c r="U19" s="28" t="str">
        <f t="shared" si="15"/>
        <v xml:space="preserve">		this.moduleNo = '',</v>
      </c>
      <c r="V19" s="28" t="str">
        <f t="shared" si="8"/>
        <v/>
      </c>
    </row>
    <row r="20" spans="1:22" ht="15" customHeight="1" x14ac:dyDescent="0.25">
      <c r="A20" t="s">
        <v>365</v>
      </c>
      <c r="B20" s="28" t="str">
        <f t="shared" si="16"/>
        <v>DevaningDate</v>
      </c>
      <c r="C20" s="28" t="str">
        <f t="shared" si="17"/>
        <v>Devaning Date</v>
      </c>
      <c r="D20" s="28" t="str">
        <f t="shared" si="18"/>
        <v>devaningDate</v>
      </c>
      <c r="E20" s="28" t="str">
        <f>A.Backend!H14</f>
        <v>DateTime?</v>
      </c>
      <c r="F20" s="28" t="str">
        <f>A.Backend!G14</f>
        <v/>
      </c>
      <c r="G20" s="28" t="str">
        <f t="shared" si="3"/>
        <v/>
      </c>
      <c r="H20" s="35" t="str">
        <f t="shared" si="4"/>
        <v xml:space="preserve">			{headerName: this.l('Devaning Date'),headerTooltip: this.l('Devaning Date'),field: 'devaningDate',flex: 1},</v>
      </c>
      <c r="I20" s="35" t="str">
        <f t="shared" si="5"/>
        <v/>
      </c>
      <c r="J20" s="28"/>
      <c r="K20" s="35" t="str">
        <f t="shared" si="6"/>
        <v/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devaningDate</v>
      </c>
      <c r="T20" s="28" t="str">
        <f t="shared" si="14"/>
        <v xml:space="preserve">			this.devaningDate,</v>
      </c>
      <c r="U20" s="28" t="str">
        <f t="shared" si="15"/>
        <v xml:space="preserve">		this.devaningDate = '',</v>
      </c>
      <c r="V20" s="28" t="str">
        <f t="shared" si="8"/>
        <v/>
      </c>
    </row>
    <row r="21" spans="1:22" ht="18" customHeight="1" x14ac:dyDescent="0.25">
      <c r="A21" t="s">
        <v>366</v>
      </c>
      <c r="B21" s="28" t="str">
        <f t="shared" si="16"/>
        <v>Plant</v>
      </c>
      <c r="C21" s="28" t="str">
        <f t="shared" si="17"/>
        <v>Plant</v>
      </c>
      <c r="D21" s="28" t="str">
        <f t="shared" si="18"/>
        <v>plant</v>
      </c>
      <c r="E21" s="28" t="str">
        <f>A.Backend!H15</f>
        <v>string</v>
      </c>
      <c r="F21" s="28" t="str">
        <f>A.Backend!G15</f>
        <v>4</v>
      </c>
      <c r="G21" s="28" t="str">
        <f t="shared" si="3"/>
        <v xml:space="preserve"> : string = '' ; </v>
      </c>
      <c r="H21" s="35" t="str">
        <f t="shared" si="4"/>
        <v xml:space="preserve">			{headerName: this.l('Plant'),headerTooltip: this.l('Plant'),field: 'plant',flex: 1},</v>
      </c>
      <c r="I21" s="35" t="str">
        <f t="shared" si="5"/>
        <v xml:space="preserve">								&lt;div class='input-search'&gt;
									&lt;input [(ngModel)]='plant' name='plant'
									class='form-control' [placeholder]="l('Plant')"
									type='text' (keyup.enter)='searchDatas()'&gt;
								&lt;/div&gt;</v>
      </c>
      <c r="J21" s="28"/>
      <c r="K21" s="35" t="str">
        <f t="shared" si="6"/>
        <v xml:space="preserve">					&lt;div class='col-md-12 form-group row'&gt;
						&lt;label class='col-md-2 form-control title'&gt;Plant&lt;/label&gt;
						&lt;input type='text' class='col-md-10 form-control input-text' name='Plant' [(ngModel)]='rowdata.plant'&gt;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plant : string = '' ; </v>
      </c>
      <c r="T21" s="28" t="str">
        <f t="shared" si="14"/>
        <v xml:space="preserve">			this.plant,</v>
      </c>
      <c r="U21" s="28" t="str">
        <f t="shared" si="15"/>
        <v xml:space="preserve">		this.plant = '',</v>
      </c>
      <c r="V21" s="28" t="str">
        <f t="shared" si="8"/>
        <v/>
      </c>
    </row>
    <row r="22" spans="1:22" ht="18" customHeight="1" x14ac:dyDescent="0.25">
      <c r="A22" t="s">
        <v>367</v>
      </c>
      <c r="B22" s="28" t="str">
        <f>SUBSTITUTE(PROPER(A22),"_","")</f>
        <v>CancelFlag</v>
      </c>
      <c r="C22" s="28" t="str">
        <f>SUBSTITUTE(PROPER(A22),"_"," ")</f>
        <v>Cancel Flag</v>
      </c>
      <c r="D22" s="28" t="str">
        <f>LOWER(LEFT(B22,1))&amp;RIGHT(B22,LEN(B22) - 1)</f>
        <v>cancelFlag</v>
      </c>
      <c r="E22" s="28" t="str">
        <f>A.Backend!H16</f>
        <v>string</v>
      </c>
      <c r="F22" s="28" t="str">
        <f>A.Backend!G16</f>
        <v>1</v>
      </c>
      <c r="G22" s="28" t="str">
        <f t="shared" si="3"/>
        <v xml:space="preserve"> : string = '' ; </v>
      </c>
      <c r="H22" s="35" t="str">
        <f t="shared" si="4"/>
        <v xml:space="preserve">			{headerName: this.l('Cancel Flag'),headerTooltip: this.l('Cancel Flag'),field:  'cancelFlag', cellClass: ['text-center'], width: 120, cellRenderer: 'agCellButtonComponent',
buttonDefTwo: { text: params =&gt; (params.data?.'cancelFlag' == 'Y') ? 'Active' : 'Inactive',iconName: 'fa fa-circle',className: params =&gt; (params.data?.'cancelFlag' == 'Y') ? 'btnActive' : 'btnInActive',},}</v>
      </c>
      <c r="I22" s="35" t="str">
        <f t="shared" si="5"/>
        <v xml:space="preserve">								&lt;div class='input-search'&gt;
									&lt;input [(ngModel)]='cancelFlag' name='cancelFlag'
									class='form-control' [placeholder]="l('Cancel Flag')"
									type='text' (keyup.enter)='searchDatas()'&gt;
								&lt;/div&gt;</v>
      </c>
      <c r="J22" s="28"/>
      <c r="K22" s="35" t="str">
        <f t="shared" si="6"/>
        <v xml:space="preserve">					&lt;div class='col-md-12 form-group row'&gt;
						&lt;label class='col-md-2 form-control title'&gt;Cancel Flag&lt;/label&gt;
						&lt;new-checkbox [(ngModel)]='_cancelFlag' name='cancelFlag' className='col-md-10' &gt; &lt;/new-checkbox&gt;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cancelFlag : string = '' ; </v>
      </c>
      <c r="T22" s="28" t="str">
        <f t="shared" si="14"/>
        <v xml:space="preserve">			this.cancelFlag,</v>
      </c>
      <c r="U22" s="28" t="str">
        <f t="shared" si="15"/>
        <v xml:space="preserve">		this.cancelFlag = '',</v>
      </c>
      <c r="V22" s="28" t="str">
        <f t="shared" si="8"/>
        <v>cancelFlag</v>
      </c>
    </row>
    <row r="23" spans="1:22" ht="15" customHeight="1" x14ac:dyDescent="0.25">
      <c r="A23" t="s">
        <v>368</v>
      </c>
      <c r="B23" s="28" t="str">
        <f t="shared" ref="B23" si="20">SUBSTITUTE(PROPER(A23),"_","")</f>
        <v>EndOfRecord</v>
      </c>
      <c r="C23" s="28" t="str">
        <f t="shared" ref="C23" si="21">SUBSTITUTE(PROPER(A23),"_"," ")</f>
        <v>End Of Record</v>
      </c>
      <c r="D23" s="28" t="str">
        <f t="shared" ref="D23" si="22">LOWER(LEFT(B23,1))&amp;RIGHT(B23,LEN(B23) - 1)</f>
        <v>endOfRecord</v>
      </c>
      <c r="E23" s="28" t="str">
        <f>A.Backend!H17</f>
        <v>string</v>
      </c>
      <c r="F23" s="28" t="str">
        <f>A.Backend!G17</f>
        <v>1</v>
      </c>
      <c r="G23" s="28" t="str">
        <f t="shared" si="3"/>
        <v xml:space="preserve"> : string = '' ; </v>
      </c>
      <c r="H23" s="35" t="str">
        <f t="shared" si="4"/>
        <v xml:space="preserve">			{headerName: this.l('End Of Record'),headerTooltip: this.l('End Of Record'),field:  'endOfRecord', cellClass: ['text-center'], width: 120, cellRenderer: 'agCellButtonComponent',
buttonDefTwo: { text: params =&gt; (params.data?.'endOfRecord' == 'Y') ? 'Active' : 'Inactive',iconName: 'fa fa-circle',className: params =&gt; (params.data?.'endOfRecord' == 'Y') ? 'btnActive' : 'btnInActive',},}</v>
      </c>
      <c r="I23" s="35" t="str">
        <f t="shared" si="5"/>
        <v xml:space="preserve">								&lt;div class='input-search'&gt;
									&lt;input [(ngModel)]='endOfRecord' name='endOfRecord'
									class='form-control' [placeholder]="l('End Of Record')"
									type='text' (keyup.enter)='searchDatas()'&gt;
								&lt;/div&gt;</v>
      </c>
      <c r="J23" s="28"/>
      <c r="K23" s="35" t="str">
        <f t="shared" si="6"/>
        <v xml:space="preserve">					&lt;div class='col-md-12 form-group row'&gt;
						&lt;label class='col-md-2 form-control title'&gt;End Of Record&lt;/label&gt;
						&lt;new-checkbox [(ngModel)]='_endOfRecord' name='endOfRecord' className='col-md-10' &gt; &lt;/new-checkbox&gt;
					&lt;/div&gt;</v>
      </c>
      <c r="L23" s="56" t="str">
        <f t="shared" ref="L23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endOfRecord : string = '' ; </v>
      </c>
      <c r="T23" s="28" t="str">
        <f t="shared" si="14"/>
        <v xml:space="preserve">			this.endOfRecord,</v>
      </c>
      <c r="U23" s="28" t="str">
        <f t="shared" si="15"/>
        <v xml:space="preserve">		this.endOfRecord = '',</v>
      </c>
      <c r="V23" s="28" t="str">
        <f t="shared" si="8"/>
        <v>endOfRecord</v>
      </c>
    </row>
    <row r="25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2023-07-19T11:46:46Z</dcterms:modified>
</cp:coreProperties>
</file>
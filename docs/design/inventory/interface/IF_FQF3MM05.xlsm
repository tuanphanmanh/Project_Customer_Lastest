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MmsPublish\docs\design\inventory\interface\"/>
    </mc:Choice>
  </mc:AlternateContent>
  <bookViews>
    <workbookView xWindow="-120" yWindow="-120" windowWidth="24240" windowHeight="13140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" i="1" l="1"/>
  <c r="E22" i="1"/>
  <c r="H22" i="1" s="1"/>
  <c r="G22" i="1"/>
  <c r="L22" i="1"/>
  <c r="P22" i="1"/>
  <c r="D23" i="1"/>
  <c r="E23" i="1"/>
  <c r="H23" i="1" s="1"/>
  <c r="G23" i="1"/>
  <c r="L23" i="1"/>
  <c r="D24" i="1"/>
  <c r="E24" i="1"/>
  <c r="H24" i="1" s="1"/>
  <c r="G24" i="1"/>
  <c r="F30" i="5" s="1"/>
  <c r="L24" i="1"/>
  <c r="D25" i="1"/>
  <c r="P25" i="1" s="1"/>
  <c r="E25" i="1"/>
  <c r="H25" i="1" s="1"/>
  <c r="G25" i="1"/>
  <c r="F31" i="5" s="1"/>
  <c r="L25" i="1"/>
  <c r="D26" i="1"/>
  <c r="T26" i="1" s="1"/>
  <c r="E26" i="1"/>
  <c r="H26" i="1" s="1"/>
  <c r="G26" i="1"/>
  <c r="F32" i="5" s="1"/>
  <c r="L26" i="1"/>
  <c r="D27" i="1"/>
  <c r="E27" i="1"/>
  <c r="H27" i="1" s="1"/>
  <c r="G27" i="1"/>
  <c r="F33" i="5" s="1"/>
  <c r="L27" i="1"/>
  <c r="D28" i="1"/>
  <c r="E28" i="1"/>
  <c r="H28" i="1" s="1"/>
  <c r="I28" i="1" s="1"/>
  <c r="G28" i="1"/>
  <c r="F34" i="5" s="1"/>
  <c r="L28" i="1"/>
  <c r="D29" i="1"/>
  <c r="E29" i="1"/>
  <c r="H29" i="1" s="1"/>
  <c r="M29" i="1" s="1"/>
  <c r="G29" i="1"/>
  <c r="F35" i="5" s="1"/>
  <c r="L29" i="1"/>
  <c r="D30" i="1"/>
  <c r="P30" i="1" s="1"/>
  <c r="E30" i="1"/>
  <c r="H30" i="1" s="1"/>
  <c r="G30" i="1"/>
  <c r="F36" i="5" s="1"/>
  <c r="L30" i="1"/>
  <c r="D31" i="1"/>
  <c r="E31" i="1"/>
  <c r="H31" i="1" s="1"/>
  <c r="E37" i="5" s="1"/>
  <c r="G31" i="1"/>
  <c r="F37" i="5" s="1"/>
  <c r="L31" i="1"/>
  <c r="D32" i="1"/>
  <c r="V32" i="1" s="1"/>
  <c r="E32" i="1"/>
  <c r="H32" i="1" s="1"/>
  <c r="G32" i="1"/>
  <c r="F38" i="5" s="1"/>
  <c r="L32" i="1"/>
  <c r="D33" i="1"/>
  <c r="P33" i="1" s="1"/>
  <c r="E33" i="1"/>
  <c r="H33" i="1" s="1"/>
  <c r="E39" i="5" s="1"/>
  <c r="G33" i="1"/>
  <c r="F39" i="5" s="1"/>
  <c r="L33" i="1"/>
  <c r="D34" i="1"/>
  <c r="E34" i="1"/>
  <c r="H34" i="1" s="1"/>
  <c r="G34" i="1"/>
  <c r="F40" i="5" s="1"/>
  <c r="L34" i="1"/>
  <c r="D35" i="1"/>
  <c r="E35" i="1"/>
  <c r="H35" i="1" s="1"/>
  <c r="G35" i="1"/>
  <c r="F41" i="5" s="1"/>
  <c r="L35" i="1"/>
  <c r="D36" i="1"/>
  <c r="E36" i="1"/>
  <c r="H36" i="1" s="1"/>
  <c r="O36" i="1" s="1"/>
  <c r="G36" i="1"/>
  <c r="L36" i="1"/>
  <c r="D37" i="1"/>
  <c r="P37" i="1" s="1"/>
  <c r="E37" i="1"/>
  <c r="H37" i="1" s="1"/>
  <c r="M37" i="1" s="1"/>
  <c r="G37" i="1"/>
  <c r="F43" i="5" s="1"/>
  <c r="L37" i="1"/>
  <c r="D38" i="1"/>
  <c r="P38" i="1" s="1"/>
  <c r="E38" i="1"/>
  <c r="H38" i="1" s="1"/>
  <c r="G38" i="1"/>
  <c r="F44" i="5" s="1"/>
  <c r="L38" i="1"/>
  <c r="C30" i="5"/>
  <c r="B30" i="5"/>
  <c r="D30" i="5" s="1"/>
  <c r="T30" i="5" s="1"/>
  <c r="C29" i="5"/>
  <c r="B29" i="5"/>
  <c r="D29" i="5" s="1"/>
  <c r="T29" i="5" s="1"/>
  <c r="C28" i="5"/>
  <c r="B28" i="5"/>
  <c r="D28" i="5" s="1"/>
  <c r="T28" i="5" s="1"/>
  <c r="C27" i="5"/>
  <c r="B27" i="5"/>
  <c r="D27" i="5" s="1"/>
  <c r="T27" i="5" s="1"/>
  <c r="C26" i="5"/>
  <c r="B26" i="5"/>
  <c r="D26" i="5" s="1"/>
  <c r="T26" i="5" s="1"/>
  <c r="C25" i="5"/>
  <c r="B25" i="5"/>
  <c r="D25" i="5" s="1"/>
  <c r="T25" i="5" s="1"/>
  <c r="C24" i="5"/>
  <c r="B24" i="5"/>
  <c r="D24" i="5" s="1"/>
  <c r="T24" i="5" s="1"/>
  <c r="C23" i="5"/>
  <c r="B23" i="5"/>
  <c r="D23" i="5" s="1"/>
  <c r="T23" i="5" s="1"/>
  <c r="C22" i="5"/>
  <c r="B22" i="5"/>
  <c r="D22" i="5" s="1"/>
  <c r="T22" i="5" s="1"/>
  <c r="C21" i="5"/>
  <c r="B21" i="5"/>
  <c r="D21" i="5" s="1"/>
  <c r="T21" i="5" s="1"/>
  <c r="C20" i="5"/>
  <c r="B20" i="5"/>
  <c r="D20" i="5" s="1"/>
  <c r="T20" i="5" s="1"/>
  <c r="C19" i="5"/>
  <c r="B19" i="5"/>
  <c r="D19" i="5" s="1"/>
  <c r="T19" i="5" s="1"/>
  <c r="C18" i="5"/>
  <c r="B18" i="5"/>
  <c r="D18" i="5" s="1"/>
  <c r="T18" i="5" s="1"/>
  <c r="F42" i="5"/>
  <c r="T30" i="1"/>
  <c r="V24" i="1"/>
  <c r="M24" i="1" l="1"/>
  <c r="O24" i="1"/>
  <c r="I24" i="1"/>
  <c r="I27" i="1"/>
  <c r="O27" i="1"/>
  <c r="N38" i="1"/>
  <c r="O38" i="1"/>
  <c r="I38" i="1"/>
  <c r="J38" i="1"/>
  <c r="M38" i="1"/>
  <c r="E36" i="5"/>
  <c r="G36" i="5" s="1"/>
  <c r="O30" i="1"/>
  <c r="M30" i="1"/>
  <c r="N30" i="1"/>
  <c r="O35" i="1"/>
  <c r="M35" i="1"/>
  <c r="J35" i="1"/>
  <c r="I23" i="1"/>
  <c r="O23" i="1"/>
  <c r="O32" i="1"/>
  <c r="M32" i="1"/>
  <c r="E38" i="5"/>
  <c r="V38" i="5" s="1"/>
  <c r="I32" i="1"/>
  <c r="N32" i="1"/>
  <c r="I26" i="1"/>
  <c r="M26" i="1"/>
  <c r="N26" i="1"/>
  <c r="O26" i="1"/>
  <c r="I34" i="1"/>
  <c r="O34" i="1"/>
  <c r="I25" i="1"/>
  <c r="O25" i="1"/>
  <c r="J25" i="1"/>
  <c r="N25" i="1"/>
  <c r="M25" i="1"/>
  <c r="I22" i="1"/>
  <c r="J22" i="1"/>
  <c r="M22" i="1"/>
  <c r="N22" i="1"/>
  <c r="O22" i="1"/>
  <c r="M34" i="1"/>
  <c r="J27" i="1"/>
  <c r="O33" i="1"/>
  <c r="I37" i="1"/>
  <c r="M33" i="1"/>
  <c r="N24" i="1"/>
  <c r="J37" i="1"/>
  <c r="J28" i="1"/>
  <c r="N35" i="1"/>
  <c r="O37" i="1"/>
  <c r="N37" i="1"/>
  <c r="I31" i="1"/>
  <c r="I29" i="1"/>
  <c r="I33" i="1"/>
  <c r="J23" i="1"/>
  <c r="I36" i="1"/>
  <c r="T38" i="1"/>
  <c r="M36" i="1"/>
  <c r="P36" i="1"/>
  <c r="N36" i="1"/>
  <c r="J36" i="1"/>
  <c r="I35" i="1"/>
  <c r="P35" i="1"/>
  <c r="J34" i="1"/>
  <c r="P34" i="1"/>
  <c r="N34" i="1"/>
  <c r="T34" i="1"/>
  <c r="N33" i="1"/>
  <c r="J33" i="1"/>
  <c r="J32" i="1"/>
  <c r="P32" i="1"/>
  <c r="P31" i="1"/>
  <c r="O31" i="1"/>
  <c r="N31" i="1"/>
  <c r="M31" i="1"/>
  <c r="J31" i="1"/>
  <c r="J30" i="1"/>
  <c r="I30" i="1"/>
  <c r="P29" i="1"/>
  <c r="J29" i="1"/>
  <c r="N27" i="1"/>
  <c r="M27" i="1"/>
  <c r="P27" i="1"/>
  <c r="P26" i="1"/>
  <c r="J26" i="1"/>
  <c r="V28" i="1"/>
  <c r="P28" i="1"/>
  <c r="M28" i="1"/>
  <c r="J24" i="1"/>
  <c r="P24" i="1"/>
  <c r="P23" i="1"/>
  <c r="N23" i="1"/>
  <c r="M23" i="1"/>
  <c r="O28" i="1"/>
  <c r="O29" i="1"/>
  <c r="N28" i="1"/>
  <c r="N29" i="1"/>
  <c r="E41" i="5"/>
  <c r="E30" i="5"/>
  <c r="V30" i="5" s="1"/>
  <c r="W37" i="1"/>
  <c r="E40" i="5"/>
  <c r="W25" i="1"/>
  <c r="E42" i="5"/>
  <c r="V42" i="5" s="1"/>
  <c r="W29" i="1"/>
  <c r="V36" i="1"/>
  <c r="E32" i="5"/>
  <c r="V32" i="5" s="1"/>
  <c r="E33" i="5"/>
  <c r="G33" i="5" s="1"/>
  <c r="E34" i="5"/>
  <c r="E44" i="5"/>
  <c r="G44" i="5" s="1"/>
  <c r="V41" i="5"/>
  <c r="G39" i="5"/>
  <c r="V39" i="5"/>
  <c r="G37" i="5"/>
  <c r="V37" i="5"/>
  <c r="G41" i="5"/>
  <c r="E35" i="5"/>
  <c r="E43" i="5"/>
  <c r="E31" i="5"/>
  <c r="T27" i="1"/>
  <c r="V31" i="1"/>
  <c r="V38" i="1"/>
  <c r="V26" i="1"/>
  <c r="T35" i="1"/>
  <c r="T31" i="1"/>
  <c r="V34" i="1"/>
  <c r="V35" i="1"/>
  <c r="V30" i="1"/>
  <c r="W33" i="1"/>
  <c r="V27" i="1"/>
  <c r="W30" i="1"/>
  <c r="W28" i="1"/>
  <c r="W26" i="1"/>
  <c r="W36" i="1"/>
  <c r="W34" i="1"/>
  <c r="W24" i="1"/>
  <c r="W32" i="1"/>
  <c r="W38" i="1"/>
  <c r="W27" i="1"/>
  <c r="W31" i="1"/>
  <c r="W35" i="1"/>
  <c r="T25" i="1"/>
  <c r="T29" i="1"/>
  <c r="T33" i="1"/>
  <c r="T37" i="1"/>
  <c r="V25" i="1"/>
  <c r="V29" i="1"/>
  <c r="V33" i="1"/>
  <c r="V37" i="1"/>
  <c r="T24" i="1"/>
  <c r="T28" i="1"/>
  <c r="T32" i="1"/>
  <c r="T36" i="1"/>
  <c r="B7" i="5"/>
  <c r="B6" i="5"/>
  <c r="B2" i="5"/>
  <c r="G42" i="5" l="1"/>
  <c r="G40" i="5"/>
  <c r="G38" i="5"/>
  <c r="L30" i="5"/>
  <c r="I30" i="5"/>
  <c r="U30" i="5"/>
  <c r="G30" i="5"/>
  <c r="S30" i="5" s="1"/>
  <c r="K30" i="5"/>
  <c r="H30" i="5"/>
  <c r="G32" i="5"/>
  <c r="V34" i="5"/>
  <c r="V33" i="5"/>
  <c r="G34" i="5"/>
  <c r="G35" i="5"/>
  <c r="V31" i="5"/>
  <c r="G31" i="5"/>
  <c r="V43" i="5"/>
  <c r="G43" i="5"/>
  <c r="B8" i="5"/>
  <c r="B3" i="5"/>
  <c r="C44" i="5"/>
  <c r="K44" i="5" s="1"/>
  <c r="B44" i="5"/>
  <c r="D44" i="5" s="1"/>
  <c r="I44" i="5" s="1"/>
  <c r="C43" i="5"/>
  <c r="B43" i="5"/>
  <c r="D43" i="5" s="1"/>
  <c r="U43" i="5" s="1"/>
  <c r="C42" i="5"/>
  <c r="B42" i="5"/>
  <c r="D42" i="5" s="1"/>
  <c r="C41" i="5"/>
  <c r="B41" i="5"/>
  <c r="D41" i="5" s="1"/>
  <c r="C40" i="5"/>
  <c r="B40" i="5"/>
  <c r="D40" i="5" s="1"/>
  <c r="I40" i="5" s="1"/>
  <c r="C39" i="5"/>
  <c r="B39" i="5"/>
  <c r="D39" i="5" s="1"/>
  <c r="C38" i="5"/>
  <c r="K38" i="5" s="1"/>
  <c r="B38" i="5"/>
  <c r="D38" i="5" s="1"/>
  <c r="I38" i="5" s="1"/>
  <c r="C37" i="5"/>
  <c r="B37" i="5"/>
  <c r="D37" i="5" s="1"/>
  <c r="C36" i="5"/>
  <c r="B36" i="5"/>
  <c r="D36" i="5" s="1"/>
  <c r="V36" i="5" s="1"/>
  <c r="C35" i="5"/>
  <c r="B35" i="5"/>
  <c r="D35" i="5" s="1"/>
  <c r="U35" i="5" s="1"/>
  <c r="C34" i="5"/>
  <c r="B34" i="5"/>
  <c r="D34" i="5" s="1"/>
  <c r="I34" i="5" s="1"/>
  <c r="C33" i="5"/>
  <c r="B33" i="5"/>
  <c r="D33" i="5" s="1"/>
  <c r="I33" i="5" s="1"/>
  <c r="F29" i="5"/>
  <c r="E29" i="5"/>
  <c r="V23" i="1"/>
  <c r="F28" i="5"/>
  <c r="E28" i="5"/>
  <c r="T22" i="1"/>
  <c r="L21" i="1"/>
  <c r="G21" i="1"/>
  <c r="F27" i="5" s="1"/>
  <c r="E21" i="1"/>
  <c r="H21" i="1" s="1"/>
  <c r="E27" i="5" s="1"/>
  <c r="D21" i="1"/>
  <c r="V21" i="1" s="1"/>
  <c r="L20" i="1"/>
  <c r="G20" i="1"/>
  <c r="F26" i="5" s="1"/>
  <c r="E20" i="1"/>
  <c r="H20" i="1" s="1"/>
  <c r="D20" i="1"/>
  <c r="T20" i="1" s="1"/>
  <c r="L19" i="1"/>
  <c r="G19" i="1"/>
  <c r="F25" i="5" s="1"/>
  <c r="E19" i="1"/>
  <c r="H19" i="1" s="1"/>
  <c r="E25" i="5" s="1"/>
  <c r="D19" i="1"/>
  <c r="V19" i="1" s="1"/>
  <c r="G18" i="1"/>
  <c r="F24" i="5" s="1"/>
  <c r="E18" i="1"/>
  <c r="H18" i="1" s="1"/>
  <c r="E24" i="5" s="1"/>
  <c r="D18" i="1"/>
  <c r="T18" i="1" s="1"/>
  <c r="L17" i="1"/>
  <c r="G17" i="1"/>
  <c r="F23" i="5" s="1"/>
  <c r="E17" i="1"/>
  <c r="H17" i="1" s="1"/>
  <c r="E23" i="5" s="1"/>
  <c r="D17" i="1"/>
  <c r="V17" i="1" s="1"/>
  <c r="L16" i="1"/>
  <c r="G16" i="1"/>
  <c r="F22" i="5" s="1"/>
  <c r="E16" i="1"/>
  <c r="H16" i="1" s="1"/>
  <c r="E22" i="5" s="1"/>
  <c r="D16" i="1"/>
  <c r="T16" i="1" s="1"/>
  <c r="L15" i="1"/>
  <c r="G15" i="1"/>
  <c r="F21" i="5" s="1"/>
  <c r="E15" i="1"/>
  <c r="H15" i="1" s="1"/>
  <c r="E21" i="5" s="1"/>
  <c r="D15" i="1"/>
  <c r="V15" i="1" s="1"/>
  <c r="G14" i="1"/>
  <c r="F20" i="5" s="1"/>
  <c r="E14" i="1"/>
  <c r="H14" i="1" s="1"/>
  <c r="E20" i="5" s="1"/>
  <c r="D14" i="1"/>
  <c r="T14" i="1" s="1"/>
  <c r="K33" i="5" l="1"/>
  <c r="K34" i="5"/>
  <c r="H43" i="5"/>
  <c r="I43" i="5"/>
  <c r="H34" i="5"/>
  <c r="H40" i="5"/>
  <c r="V35" i="5"/>
  <c r="V40" i="5"/>
  <c r="K43" i="5"/>
  <c r="K40" i="5"/>
  <c r="H35" i="5"/>
  <c r="V44" i="5"/>
  <c r="G20" i="5"/>
  <c r="S20" i="5" s="1"/>
  <c r="L20" i="5"/>
  <c r="V20" i="5"/>
  <c r="U20" i="5"/>
  <c r="H20" i="5"/>
  <c r="K20" i="5"/>
  <c r="I20" i="5"/>
  <c r="S37" i="5"/>
  <c r="T37" i="5"/>
  <c r="I37" i="5"/>
  <c r="U37" i="5"/>
  <c r="T43" i="5"/>
  <c r="S43" i="5"/>
  <c r="T33" i="5"/>
  <c r="S33" i="5"/>
  <c r="U33" i="5"/>
  <c r="T39" i="5"/>
  <c r="S39" i="5"/>
  <c r="U39" i="5"/>
  <c r="I39" i="5"/>
  <c r="L43" i="5"/>
  <c r="T38" i="5"/>
  <c r="S38" i="5"/>
  <c r="U38" i="5"/>
  <c r="H33" i="5"/>
  <c r="K39" i="5"/>
  <c r="H39" i="5"/>
  <c r="K35" i="5"/>
  <c r="H37" i="5"/>
  <c r="K37" i="5"/>
  <c r="T44" i="5"/>
  <c r="S44" i="5"/>
  <c r="U44" i="5"/>
  <c r="L24" i="5"/>
  <c r="K24" i="5"/>
  <c r="I24" i="5"/>
  <c r="H24" i="5"/>
  <c r="G24" i="5"/>
  <c r="S24" i="5" s="1"/>
  <c r="V24" i="5"/>
  <c r="U24" i="5"/>
  <c r="K25" i="5"/>
  <c r="I25" i="5"/>
  <c r="H25" i="5"/>
  <c r="G25" i="5"/>
  <c r="S25" i="5" s="1"/>
  <c r="L25" i="5"/>
  <c r="V25" i="5"/>
  <c r="U25" i="5"/>
  <c r="V28" i="5"/>
  <c r="U28" i="5"/>
  <c r="K28" i="5"/>
  <c r="I28" i="5"/>
  <c r="H28" i="5"/>
  <c r="G28" i="5"/>
  <c r="S28" i="5" s="1"/>
  <c r="L28" i="5"/>
  <c r="T34" i="5"/>
  <c r="S34" i="5"/>
  <c r="U34" i="5"/>
  <c r="T40" i="5"/>
  <c r="S40" i="5"/>
  <c r="U40" i="5"/>
  <c r="I23" i="5"/>
  <c r="H23" i="5"/>
  <c r="G23" i="5"/>
  <c r="S23" i="5" s="1"/>
  <c r="K23" i="5"/>
  <c r="V23" i="5"/>
  <c r="U23" i="5"/>
  <c r="L23" i="5"/>
  <c r="K36" i="5"/>
  <c r="H36" i="5"/>
  <c r="H44" i="5"/>
  <c r="K42" i="5"/>
  <c r="H42" i="5"/>
  <c r="U27" i="5"/>
  <c r="V27" i="5"/>
  <c r="K27" i="5"/>
  <c r="I27" i="5"/>
  <c r="H27" i="5"/>
  <c r="G27" i="5"/>
  <c r="S27" i="5" s="1"/>
  <c r="L27" i="5"/>
  <c r="H38" i="5"/>
  <c r="S35" i="5"/>
  <c r="T35" i="5"/>
  <c r="T41" i="5"/>
  <c r="S41" i="5"/>
  <c r="U41" i="5"/>
  <c r="I41" i="5"/>
  <c r="G21" i="5"/>
  <c r="S21" i="5" s="1"/>
  <c r="V21" i="5"/>
  <c r="U21" i="5"/>
  <c r="I21" i="5"/>
  <c r="L21" i="5"/>
  <c r="H21" i="5"/>
  <c r="K21" i="5"/>
  <c r="V29" i="5"/>
  <c r="L29" i="5"/>
  <c r="U29" i="5"/>
  <c r="K29" i="5"/>
  <c r="I29" i="5"/>
  <c r="H29" i="5"/>
  <c r="G29" i="5"/>
  <c r="S29" i="5" s="1"/>
  <c r="H41" i="5"/>
  <c r="K41" i="5"/>
  <c r="H22" i="5"/>
  <c r="I22" i="5"/>
  <c r="G22" i="5"/>
  <c r="S22" i="5" s="1"/>
  <c r="L22" i="5"/>
  <c r="V22" i="5"/>
  <c r="U22" i="5"/>
  <c r="K22" i="5"/>
  <c r="I20" i="1"/>
  <c r="E26" i="5"/>
  <c r="T36" i="5"/>
  <c r="S36" i="5"/>
  <c r="I36" i="5"/>
  <c r="U36" i="5"/>
  <c r="T42" i="5"/>
  <c r="S42" i="5"/>
  <c r="I42" i="5"/>
  <c r="U42" i="5"/>
  <c r="I35" i="5"/>
  <c r="L35" i="5"/>
  <c r="L37" i="5"/>
  <c r="L41" i="5"/>
  <c r="L33" i="5"/>
  <c r="L38" i="5"/>
  <c r="L40" i="5"/>
  <c r="L42" i="5"/>
  <c r="L44" i="5"/>
  <c r="L34" i="5"/>
  <c r="L36" i="5"/>
  <c r="M18" i="1"/>
  <c r="I18" i="1"/>
  <c r="P15" i="1"/>
  <c r="P21" i="1"/>
  <c r="W15" i="1"/>
  <c r="P19" i="1"/>
  <c r="M20" i="1"/>
  <c r="W19" i="1"/>
  <c r="O19" i="1"/>
  <c r="J19" i="1"/>
  <c r="N19" i="1"/>
  <c r="I19" i="1"/>
  <c r="M19" i="1"/>
  <c r="W23" i="1"/>
  <c r="W21" i="1"/>
  <c r="O21" i="1"/>
  <c r="J21" i="1"/>
  <c r="N21" i="1"/>
  <c r="I21" i="1"/>
  <c r="M21" i="1"/>
  <c r="N18" i="1"/>
  <c r="V18" i="1"/>
  <c r="N20" i="1"/>
  <c r="V20" i="1"/>
  <c r="V22" i="1"/>
  <c r="J18" i="1"/>
  <c r="O18" i="1"/>
  <c r="W18" i="1"/>
  <c r="T19" i="1"/>
  <c r="J20" i="1"/>
  <c r="O20" i="1"/>
  <c r="W20" i="1"/>
  <c r="T21" i="1"/>
  <c r="W22" i="1"/>
  <c r="T23" i="1"/>
  <c r="P18" i="1"/>
  <c r="P20" i="1"/>
  <c r="P17" i="1"/>
  <c r="W17" i="1"/>
  <c r="O17" i="1"/>
  <c r="J17" i="1"/>
  <c r="N17" i="1"/>
  <c r="I17" i="1"/>
  <c r="M17" i="1"/>
  <c r="M16" i="1"/>
  <c r="N16" i="1"/>
  <c r="I16" i="1"/>
  <c r="W16" i="1"/>
  <c r="O16" i="1"/>
  <c r="J16" i="1"/>
  <c r="M14" i="1"/>
  <c r="N14" i="1"/>
  <c r="I14" i="1"/>
  <c r="W14" i="1"/>
  <c r="O14" i="1"/>
  <c r="J14" i="1"/>
  <c r="M15" i="1"/>
  <c r="T15" i="1"/>
  <c r="T17" i="1"/>
  <c r="V14" i="1"/>
  <c r="V16" i="1"/>
  <c r="I15" i="1"/>
  <c r="N15" i="1"/>
  <c r="P16" i="1"/>
  <c r="P14" i="1"/>
  <c r="J15" i="1"/>
  <c r="O15" i="1"/>
  <c r="C31" i="5"/>
  <c r="B31" i="5"/>
  <c r="D31" i="5" s="1"/>
  <c r="C17" i="5"/>
  <c r="B17" i="5"/>
  <c r="D17" i="5" s="1"/>
  <c r="C16" i="5"/>
  <c r="B16" i="5"/>
  <c r="D16" i="5" s="1"/>
  <c r="I31" i="5" l="1"/>
  <c r="H31" i="5"/>
  <c r="K31" i="5"/>
  <c r="T31" i="5"/>
  <c r="S31" i="5"/>
  <c r="U31" i="5"/>
  <c r="L26" i="5"/>
  <c r="K26" i="5"/>
  <c r="I26" i="5"/>
  <c r="H26" i="5"/>
  <c r="U26" i="5"/>
  <c r="G26" i="5"/>
  <c r="S26" i="5" s="1"/>
  <c r="V26" i="5"/>
  <c r="T16" i="5"/>
  <c r="T17" i="5"/>
  <c r="L39" i="5"/>
  <c r="B6" i="1"/>
  <c r="G13" i="1"/>
  <c r="F19" i="5" s="1"/>
  <c r="E13" i="1"/>
  <c r="H13" i="1" s="1"/>
  <c r="E19" i="5" s="1"/>
  <c r="D13" i="1"/>
  <c r="V13" i="1" s="1"/>
  <c r="V19" i="5" l="1"/>
  <c r="U19" i="5"/>
  <c r="K19" i="5"/>
  <c r="I19" i="5"/>
  <c r="H19" i="5"/>
  <c r="G19" i="5"/>
  <c r="S19" i="5" s="1"/>
  <c r="L19" i="5"/>
  <c r="W13" i="1"/>
  <c r="N13" i="1"/>
  <c r="I13" i="1"/>
  <c r="M13" i="1"/>
  <c r="O13" i="1"/>
  <c r="J13" i="1"/>
  <c r="L13" i="1"/>
  <c r="P13" i="1"/>
  <c r="T13" i="1"/>
  <c r="C32" i="5"/>
  <c r="B32" i="5"/>
  <c r="D32" i="5" s="1"/>
  <c r="I32" i="5" s="1"/>
  <c r="C15" i="5"/>
  <c r="B15" i="5"/>
  <c r="D15" i="5" s="1"/>
  <c r="T15" i="5" s="1"/>
  <c r="L12" i="1"/>
  <c r="G12" i="1"/>
  <c r="F18" i="5" s="1"/>
  <c r="E12" i="1"/>
  <c r="H12" i="1" s="1"/>
  <c r="E18" i="5" s="1"/>
  <c r="D12" i="1"/>
  <c r="V12" i="1" s="1"/>
  <c r="G11" i="1"/>
  <c r="F17" i="5" s="1"/>
  <c r="E11" i="1"/>
  <c r="H11" i="1" s="1"/>
  <c r="E17" i="5" s="1"/>
  <c r="D11" i="1"/>
  <c r="T11" i="1" s="1"/>
  <c r="H32" i="5" l="1"/>
  <c r="K32" i="5"/>
  <c r="V18" i="5"/>
  <c r="U18" i="5"/>
  <c r="K18" i="5"/>
  <c r="I18" i="5"/>
  <c r="H18" i="5"/>
  <c r="G18" i="5"/>
  <c r="S18" i="5" s="1"/>
  <c r="L18" i="5"/>
  <c r="T32" i="5"/>
  <c r="S32" i="5"/>
  <c r="U32" i="5"/>
  <c r="V17" i="5"/>
  <c r="U17" i="5"/>
  <c r="K17" i="5"/>
  <c r="I17" i="5"/>
  <c r="H17" i="5"/>
  <c r="G17" i="5"/>
  <c r="S17" i="5" s="1"/>
  <c r="L31" i="5"/>
  <c r="L17" i="5"/>
  <c r="M11" i="1"/>
  <c r="L11" i="1"/>
  <c r="P11" i="1"/>
  <c r="W12" i="1"/>
  <c r="O12" i="1"/>
  <c r="J12" i="1"/>
  <c r="I12" i="1"/>
  <c r="N12" i="1"/>
  <c r="M12" i="1"/>
  <c r="I11" i="1"/>
  <c r="N11" i="1"/>
  <c r="V11" i="1"/>
  <c r="P12" i="1"/>
  <c r="J11" i="1"/>
  <c r="O11" i="1"/>
  <c r="W11" i="1"/>
  <c r="T12" i="1"/>
  <c r="G9" i="1" l="1"/>
  <c r="F15" i="5" s="1"/>
  <c r="E9" i="1"/>
  <c r="H9" i="1" s="1"/>
  <c r="E15" i="5" s="1"/>
  <c r="D9" i="1"/>
  <c r="V9" i="1" s="1"/>
  <c r="U15" i="5" l="1"/>
  <c r="H15" i="5"/>
  <c r="G15" i="5"/>
  <c r="S15" i="5" s="1"/>
  <c r="V15" i="5"/>
  <c r="I15" i="5"/>
  <c r="L15" i="5"/>
  <c r="K15" i="5"/>
  <c r="W9" i="1"/>
  <c r="P9" i="1"/>
  <c r="T9" i="1"/>
  <c r="I9" i="1"/>
  <c r="N9" i="1"/>
  <c r="M9" i="1"/>
  <c r="J9" i="1"/>
  <c r="O9" i="1"/>
  <c r="Q3" i="1" l="1"/>
  <c r="B4" i="5" s="1"/>
  <c r="B5" i="5" s="1"/>
  <c r="G10" i="1" l="1"/>
  <c r="F16" i="5" s="1"/>
  <c r="E10" i="1"/>
  <c r="H10" i="1" s="1"/>
  <c r="E16" i="5" s="1"/>
  <c r="D10" i="1"/>
  <c r="T10" i="1" s="1"/>
  <c r="V16" i="5" l="1"/>
  <c r="U16" i="5"/>
  <c r="K16" i="5"/>
  <c r="I16" i="5"/>
  <c r="H16" i="5"/>
  <c r="G16" i="5"/>
  <c r="S16" i="5" s="1"/>
  <c r="L16" i="5"/>
  <c r="L32" i="5"/>
  <c r="P10" i="1"/>
  <c r="V10" i="1"/>
  <c r="W10" i="1"/>
  <c r="J10" i="1"/>
  <c r="I10" i="1"/>
  <c r="O10" i="1"/>
  <c r="N10" i="1"/>
  <c r="M10" i="1"/>
  <c r="W3" i="1" l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40" i="1"/>
  <c r="K12" i="5" l="1"/>
  <c r="H12" i="5"/>
  <c r="V12" i="5"/>
  <c r="T12" i="5"/>
  <c r="U12" i="5"/>
  <c r="I12" i="5"/>
  <c r="L12" i="5"/>
  <c r="S12" i="5"/>
  <c r="R3" i="1" l="1"/>
  <c r="D1" i="1"/>
  <c r="F6" i="1"/>
  <c r="T40" i="1"/>
  <c r="T13" i="5"/>
  <c r="T7" i="1" l="1"/>
  <c r="W40" i="1"/>
  <c r="G6" i="1" l="1"/>
  <c r="I13" i="5"/>
  <c r="K13" i="5"/>
  <c r="H13" i="5"/>
  <c r="S13" i="5"/>
  <c r="L13" i="5"/>
  <c r="U13" i="5"/>
  <c r="V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18" i="1" l="1"/>
  <c r="L14" i="1"/>
  <c r="L9" i="1"/>
  <c r="L10" i="1"/>
  <c r="C7" i="1"/>
  <c r="I40" i="1"/>
  <c r="P40" i="1"/>
  <c r="O40" i="1"/>
  <c r="J40" i="1"/>
  <c r="N40" i="1"/>
  <c r="Q7" i="1" l="1"/>
  <c r="M68" i="3" s="1"/>
  <c r="L7" i="1"/>
  <c r="G68" i="3" s="1"/>
  <c r="K68" i="3"/>
  <c r="J68" i="3"/>
  <c r="K40" i="1"/>
  <c r="M40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<sst xmlns="http://schemas.openxmlformats.org/spreadsheetml/2006/main" count="551" uniqueCount="398">
  <si>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</si>
  <si>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</si>
  <si>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</si>
  <si>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</si>
  <si>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</si>
  <si>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</si>
  <si>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</si>
  <si>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</si>
  <si>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</si>
  <si>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</si>
  <si>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</si>
  <si>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</si>
  <si>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</si>
  <si>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</si>
  <si>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</si>
  <si>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</si>
  <si>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</si>
  <si>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</si>
  <si>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</si>
  <si>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</si>
  <si>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</si>
  <si>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</si>
  <si>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</si>
  <si>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</si>
  <si>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</si>
  <si>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</si>
  <si>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</si>
  <si>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</si>
  <si>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</si>
  <si>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</si>
  <si>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</si>
  <si>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</si>
  <si>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</si>
  <si>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</si>
  <si>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</si>
  <si>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</si>
  <si>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</si>
  <si>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</si>
  <si>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</si>
  <si>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</si>
  <si>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</si>
  <si>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</si>
  <si>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</si>
  <si>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</si>
  <si>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</si>
  <si>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</si>
  <si>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</si>
  <si>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</si>
  <si>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</si>
  <si>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</si>
  <si>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</si>
  <si>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</si>
  <si>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</si>
  <si>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</si>
  <si>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</si>
  <si>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</si>
  <si>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</si>
  <si>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</si>
  <si>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</si>
  <si>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</si>
  <si>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</si>
  <si>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</si>
  <si>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</si>
  <si>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</si>
  <si>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</si>
  <si>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</si>
  <si>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</si>
  <si>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</si>
  <si>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</si>
  <si>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</si>
  <si>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</si>
  <si>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</si>
  <si>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</si>
  <si>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</si>
  <si>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</si>
  <si>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</si>
  <si>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</si>
  <si>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</si>
  <si>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</si>
  <si>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</si>
  <si>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</si>
  <si>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</si>
  <si>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</si>
  <si>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</si>
  <si>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</si>
  <si>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</si>
  <si>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</si>
  <si>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</si>
  <si>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</si>
  <si>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</si>
  <si>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</si>
  <si>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</si>
  <si>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</si>
  <si>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</si>
  <si>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</si>
  <si>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</si>
  <si>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</si>
  <si>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</si>
  <si>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</si>
  <si>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</si>
  <si>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</si>
  <si>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</si>
  <si>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</si>
  <si>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</si>
  <si>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</si>
  <si>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</si>
  <si>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</si>
  <si>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</si>
  <si>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</si>
  <si>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</si>
  <si>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</si>
  <si>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</si>
  <si>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</si>
  <si>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</si>
  <si>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</si>
  <si>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</si>
  <si>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</si>
  <si>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</si>
  <si>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</si>
  <si>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</si>
  <si>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</si>
  <si>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</si>
  <si>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</si>
  <si>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</si>
  <si>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</si>
  <si>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</si>
  <si>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</si>
  <si>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</si>
  <si>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</si>
  <si>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</si>
  <si>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</si>
  <si>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</si>
  <si>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</si>
  <si>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</si>
  <si>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</si>
  <si>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</si>
  <si>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</si>
  <si>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</si>
  <si>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</si>
  <si>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</si>
  <si>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</si>
  <si>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</si>
  <si>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</si>
  <si>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</si>
  <si>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</si>
  <si>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</si>
  <si>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</si>
  <si>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</si>
  <si>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</si>
  <si>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</si>
  <si>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</si>
  <si>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</si>
  <si>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</si>
  <si>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</si>
  <si>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</si>
  <si>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</si>
  <si>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</si>
  <si>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</si>
  <si>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</si>
  <si>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</si>
  <si>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</si>
  <si>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</si>
  <si>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</si>
  <si>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</si>
  <si>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</si>
  <si>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</si>
  <si>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</si>
  <si>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</si>
  <si>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</si>
  <si>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</si>
  <si>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</si>
  <si>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</si>
  <si>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</si>
  <si>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</si>
  <si>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</si>
  <si>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</si>
  <si>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</si>
  <si>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</si>
  <si>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</si>
  <si>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</si>
  <si>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</si>
  <si>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</si>
  <si>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</si>
  <si>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</si>
  <si>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</si>
  <si>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</si>
  <si>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</si>
  <si>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</si>
  <si>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</si>
  <si>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</si>
  <si>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</si>
  <si>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</si>
  <si>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</si>
  <si>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</si>
  <si>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</si>
  <si>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</si>
  <si>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</si>
  <si>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</si>
  <si>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</si>
  <si>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</si>
  <si>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</si>
  <si>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</si>
  <si>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</si>
  <si>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</si>
  <si>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</si>
  <si>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</si>
  <si>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</si>
  <si>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</si>
  <si>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</si>
  <si>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</si>
  <si>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</si>
  <si>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</si>
  <si>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</si>
  <si>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</si>
  <si>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</si>
  <si>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</si>
  <si>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</si>
  <si>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</si>
  <si>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</si>
  <si>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</si>
  <si>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</si>
  <si>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</si>
  <si>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</si>
  <si>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</si>
  <si>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</si>
  <si>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</si>
  <si>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</si>
  <si>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</si>
  <si>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</si>
  <si>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</si>
  <si>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</si>
  <si>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</si>
  <si>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</si>
  <si>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</si>
  <si>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</si>
  <si>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</si>
  <si>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</si>
  <si>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</si>
  <si>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</si>
  <si>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</si>
  <si>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</si>
  <si>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</si>
  <si>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</si>
  <si>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</si>
  <si>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</si>
  <si>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</si>
  <si>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</si>
  <si>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</si>
  <si>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</si>
  <si>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</si>
  <si>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</si>
  <si>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</si>
  <si>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</si>
  <si>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</si>
  <si>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</si>
  <si>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</si>
  <si>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</si>
  <si>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</si>
  <si>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</si>
  <si>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</si>
  <si>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</si>
  <si>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</si>
  <si>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</si>
  <si>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</si>
  <si>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</si>
  <si>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</si>
  <si>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</si>
  <si>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</si>
  <si>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</si>
  <si>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</si>
  <si>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</si>
  <si>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</si>
  <si>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</si>
  <si>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</si>
  <si>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</si>
  <si>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</si>
  <si>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</si>
  <si>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</si>
  <si>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</si>
  <si>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</si>
  <si>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</si>
  <si>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</si>
  <si>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</si>
  <si>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</si>
  <si>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</si>
  <si>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</si>
  <si>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</si>
  <si>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</si>
  <si>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</si>
  <si>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</si>
  <si>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</si>
  <si>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</si>
  <si>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</si>
  <si>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</si>
  <si>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</si>
  <si>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</si>
  <si>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</si>
  <si>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</si>
  <si>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</si>
  <si>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</si>
  <si>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</si>
  <si>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</si>
  <si>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</si>
  <si>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</si>
  <si>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</si>
  <si>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</si>
  <si>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</si>
  <si>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</si>
  <si>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</si>
  <si>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</si>
  <si>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</si>
  <si>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</si>
  <si>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</si>
  <si>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</si>
  <si>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</si>
  <si>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</si>
  <si>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</si>
  <si>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</si>
  <si>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</si>
  <si>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</si>
  <si>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</si>
  <si>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</si>
  <si>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</si>
  <si>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</si>
  <si>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</si>
  <si>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</si>
  <si>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</si>
  <si>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</si>
  <si>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</si>
  <si>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</si>
  <si>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</si>
  <si>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</si>
  <si>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</si>
  <si>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</si>
  <si>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</si>
  <si>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</si>
  <si>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</si>
  <si>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</si>
  <si>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</si>
  <si>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</si>
  <si>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</si>
  <si>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</si>
  <si>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</si>
  <si>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</si>
  <si>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</si>
  <si>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</si>
  <si>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</si>
  <si>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</si>
  <si>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</si>
  <si>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</si>
  <si>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</si>
  <si>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</si>
  <si>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</si>
  <si>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</si>
  <si>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VARCHAR(12)</t>
  </si>
  <si>
    <t>VARCHAR(10)</t>
  </si>
  <si>
    <t>VARCHAR(4)</t>
  </si>
  <si>
    <t>VARCHAR(1)</t>
  </si>
  <si>
    <t>Running_No</t>
  </si>
  <si>
    <t>Document_Date</t>
  </si>
  <si>
    <t>Posting_date</t>
  </si>
  <si>
    <t>Document_Header_Text</t>
  </si>
  <si>
    <t>Movement_Type</t>
  </si>
  <si>
    <t>Material_Code_From</t>
  </si>
  <si>
    <t>Plant_From</t>
  </si>
  <si>
    <t>Valuation_Type_From</t>
  </si>
  <si>
    <t>Storage_Location_From</t>
  </si>
  <si>
    <t>Production_Version</t>
  </si>
  <si>
    <t>Quantity</t>
  </si>
  <si>
    <t>Unit_Of_Entry</t>
  </si>
  <si>
    <t>Item_Text</t>
  </si>
  <si>
    <t>WBS</t>
  </si>
  <si>
    <t>BF_PC</t>
  </si>
  <si>
    <t>Cancel_Flag</t>
  </si>
  <si>
    <t>Vendor_No</t>
  </si>
  <si>
    <t>Profit_Center</t>
  </si>
  <si>
    <t>Reference</t>
  </si>
  <si>
    <t>GL_Account</t>
  </si>
  <si>
    <t>Cost_Center</t>
  </si>
  <si>
    <t>Material_Code_To</t>
  </si>
  <si>
    <t>Plant_To</t>
  </si>
  <si>
    <t>Valuation_Type_To</t>
  </si>
  <si>
    <t>Storage_Location_To</t>
  </si>
  <si>
    <t>Reff_Mat_Doc_No</t>
  </si>
  <si>
    <t>Shipemnt_Cat</t>
  </si>
  <si>
    <t>Asset_No</t>
  </si>
  <si>
    <t>Sub_Asset_No</t>
  </si>
  <si>
    <t>End_Of_Record</t>
  </si>
  <si>
    <t>VARCHAR(25)</t>
  </si>
  <si>
    <t>VARCHAR(3)</t>
  </si>
  <si>
    <t>VARCHAR(40)</t>
  </si>
  <si>
    <t>VARCHAR(50)</t>
  </si>
  <si>
    <t>VARCHAR(24)</t>
  </si>
  <si>
    <t>VARCHAR(16)</t>
  </si>
  <si>
    <t>IF_FQF3MM05</t>
  </si>
  <si>
    <t>FQF3MM05</t>
  </si>
  <si>
    <t>Inventory.IF</t>
  </si>
  <si>
    <t>IF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</si>
</sst>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9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2">
    <cellStyle name="Normal" xfId="0" builtinId="0"/>
    <cellStyle name="Normal 2 2 2 2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opLeftCell="A64" zoomScaleNormal="100" workbookViewId="0">
      <selection activeCell="D76" sqref="D76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71</v>
      </c>
    </row>
    <row r="2" spans="1:7" ht="15.75" x14ac:dyDescent="0.25">
      <c r="A2" s="1"/>
      <c r="B2" s="25" t="s">
        <v>193</v>
      </c>
    </row>
    <row r="3" spans="1:7" x14ac:dyDescent="0.25">
      <c r="A3" s="1"/>
      <c r="B3" s="1" t="s">
        <v>74</v>
      </c>
    </row>
    <row r="4" spans="1:7" x14ac:dyDescent="0.25">
      <c r="A4" s="1"/>
      <c r="B4" t="s">
        <v>73</v>
      </c>
    </row>
    <row r="5" spans="1:7" x14ac:dyDescent="0.25">
      <c r="A5" s="1"/>
      <c r="B5" t="s">
        <v>76</v>
      </c>
    </row>
    <row r="6" spans="1:7" x14ac:dyDescent="0.25">
      <c r="A6" s="1"/>
      <c r="B6" t="s">
        <v>84</v>
      </c>
    </row>
    <row r="7" spans="1:7" x14ac:dyDescent="0.25">
      <c r="A7" s="1"/>
      <c r="C7" s="2" t="s">
        <v>94</v>
      </c>
      <c r="D7" s="2"/>
      <c r="E7" s="2"/>
      <c r="F7" s="2" t="s">
        <v>102</v>
      </c>
      <c r="G7" s="2" t="s">
        <v>280</v>
      </c>
    </row>
    <row r="8" spans="1:7" x14ac:dyDescent="0.25">
      <c r="A8" s="1"/>
      <c r="C8" t="s">
        <v>86</v>
      </c>
      <c r="F8" s="1" t="s">
        <v>230</v>
      </c>
      <c r="G8" t="s">
        <v>230</v>
      </c>
    </row>
    <row r="9" spans="1:7" x14ac:dyDescent="0.25">
      <c r="A9" s="1"/>
      <c r="C9" t="s">
        <v>85</v>
      </c>
      <c r="F9" s="1" t="s">
        <v>95</v>
      </c>
      <c r="G9" t="s">
        <v>95</v>
      </c>
    </row>
    <row r="10" spans="1:7" x14ac:dyDescent="0.25">
      <c r="A10" s="1"/>
      <c r="D10" t="s">
        <v>86</v>
      </c>
      <c r="F10" s="1" t="s">
        <v>230</v>
      </c>
      <c r="G10" t="s">
        <v>281</v>
      </c>
    </row>
    <row r="11" spans="1:7" x14ac:dyDescent="0.25">
      <c r="A11" s="1"/>
      <c r="D11" t="s">
        <v>87</v>
      </c>
      <c r="F11" s="1" t="s">
        <v>96</v>
      </c>
      <c r="G11" t="s">
        <v>282</v>
      </c>
    </row>
    <row r="12" spans="1:7" x14ac:dyDescent="0.25">
      <c r="A12" s="1"/>
      <c r="D12" t="s">
        <v>88</v>
      </c>
      <c r="F12" s="1" t="s">
        <v>97</v>
      </c>
      <c r="G12" t="s">
        <v>283</v>
      </c>
    </row>
    <row r="13" spans="1:7" x14ac:dyDescent="0.25">
      <c r="A13" s="1"/>
      <c r="D13" t="s">
        <v>89</v>
      </c>
      <c r="F13" s="1" t="s">
        <v>98</v>
      </c>
      <c r="G13" t="s">
        <v>284</v>
      </c>
    </row>
    <row r="14" spans="1:7" x14ac:dyDescent="0.25">
      <c r="A14" s="1"/>
      <c r="D14" t="s">
        <v>90</v>
      </c>
      <c r="F14" s="1" t="s">
        <v>99</v>
      </c>
      <c r="G14" t="s">
        <v>285</v>
      </c>
    </row>
    <row r="15" spans="1:7" x14ac:dyDescent="0.25">
      <c r="A15" s="1"/>
      <c r="D15" t="s">
        <v>91</v>
      </c>
      <c r="F15" s="1" t="s">
        <v>100</v>
      </c>
      <c r="G15" t="s">
        <v>286</v>
      </c>
    </row>
    <row r="16" spans="1:7" ht="12" customHeight="1" x14ac:dyDescent="0.25">
      <c r="A16" s="1"/>
      <c r="D16" t="s">
        <v>266</v>
      </c>
      <c r="F16" s="1" t="s">
        <v>267</v>
      </c>
      <c r="G16" t="s">
        <v>287</v>
      </c>
    </row>
    <row r="17" spans="1:7" ht="12" customHeight="1" x14ac:dyDescent="0.25">
      <c r="A17" s="1"/>
      <c r="D17" t="s">
        <v>301</v>
      </c>
      <c r="F17" s="1" t="s">
        <v>302</v>
      </c>
      <c r="G17" t="s">
        <v>303</v>
      </c>
    </row>
    <row r="18" spans="1:7" x14ac:dyDescent="0.25">
      <c r="A18" s="1"/>
      <c r="D18" t="s">
        <v>345</v>
      </c>
      <c r="F18" s="1" t="s">
        <v>347</v>
      </c>
      <c r="G18" t="s">
        <v>346</v>
      </c>
    </row>
    <row r="19" spans="1:7" x14ac:dyDescent="0.25">
      <c r="A19" s="1"/>
      <c r="C19" t="s">
        <v>88</v>
      </c>
      <c r="F19" s="1" t="s">
        <v>97</v>
      </c>
      <c r="G19" t="s">
        <v>97</v>
      </c>
    </row>
    <row r="20" spans="1:7" x14ac:dyDescent="0.25">
      <c r="A20" s="1"/>
      <c r="D20" t="s">
        <v>92</v>
      </c>
      <c r="F20" s="1" t="s">
        <v>111</v>
      </c>
      <c r="G20" t="s">
        <v>288</v>
      </c>
    </row>
    <row r="21" spans="1:7" x14ac:dyDescent="0.25">
      <c r="A21" s="1"/>
      <c r="D21" t="s">
        <v>93</v>
      </c>
      <c r="F21" s="1" t="s">
        <v>101</v>
      </c>
      <c r="G21" t="s">
        <v>289</v>
      </c>
    </row>
    <row r="22" spans="1:7" x14ac:dyDescent="0.25">
      <c r="A22" s="1"/>
      <c r="C22" t="s">
        <v>89</v>
      </c>
      <c r="F22" s="1" t="s">
        <v>98</v>
      </c>
      <c r="G22" t="s">
        <v>98</v>
      </c>
    </row>
    <row r="23" spans="1:7" x14ac:dyDescent="0.25">
      <c r="A23" s="1"/>
      <c r="D23" t="s">
        <v>92</v>
      </c>
      <c r="F23" s="1" t="s">
        <v>111</v>
      </c>
      <c r="G23" t="s">
        <v>298</v>
      </c>
    </row>
    <row r="24" spans="1:7" x14ac:dyDescent="0.25">
      <c r="A24" s="1"/>
      <c r="C24" t="s">
        <v>87</v>
      </c>
      <c r="F24" s="1" t="s">
        <v>96</v>
      </c>
      <c r="G24" t="s">
        <v>96</v>
      </c>
    </row>
    <row r="25" spans="1:7" x14ac:dyDescent="0.25">
      <c r="A25" s="1"/>
      <c r="D25" t="s">
        <v>92</v>
      </c>
      <c r="F25" s="1" t="s">
        <v>111</v>
      </c>
      <c r="G25" t="s">
        <v>297</v>
      </c>
    </row>
    <row r="26" spans="1:7" x14ac:dyDescent="0.25">
      <c r="A26" s="1"/>
      <c r="C26" t="s">
        <v>90</v>
      </c>
      <c r="F26" s="1" t="s">
        <v>99</v>
      </c>
      <c r="G26" t="s">
        <v>99</v>
      </c>
    </row>
    <row r="27" spans="1:7" x14ac:dyDescent="0.25">
      <c r="A27" s="1"/>
      <c r="C27" t="s">
        <v>266</v>
      </c>
      <c r="F27" s="1" t="s">
        <v>267</v>
      </c>
      <c r="G27" t="s">
        <v>267</v>
      </c>
    </row>
    <row r="28" spans="1:7" x14ac:dyDescent="0.25">
      <c r="A28" s="1"/>
      <c r="D28" t="s">
        <v>268</v>
      </c>
      <c r="F28" s="1" t="s">
        <v>270</v>
      </c>
      <c r="G28" t="s">
        <v>290</v>
      </c>
    </row>
    <row r="29" spans="1:7" x14ac:dyDescent="0.25">
      <c r="A29" s="1"/>
      <c r="D29" t="s">
        <v>271</v>
      </c>
      <c r="F29" s="1" t="s">
        <v>269</v>
      </c>
      <c r="G29" t="s">
        <v>291</v>
      </c>
    </row>
    <row r="30" spans="1:7" x14ac:dyDescent="0.25">
      <c r="A30" s="1"/>
      <c r="D30" t="s">
        <v>272</v>
      </c>
      <c r="F30" s="1" t="s">
        <v>275</v>
      </c>
      <c r="G30" t="s">
        <v>292</v>
      </c>
    </row>
    <row r="31" spans="1:7" x14ac:dyDescent="0.25">
      <c r="A31" s="1"/>
      <c r="D31" t="s">
        <v>273</v>
      </c>
      <c r="F31" s="1" t="s">
        <v>276</v>
      </c>
      <c r="G31" t="s">
        <v>293</v>
      </c>
    </row>
    <row r="32" spans="1:7" x14ac:dyDescent="0.25">
      <c r="A32" s="1"/>
      <c r="D32" t="s">
        <v>274</v>
      </c>
      <c r="F32" s="1" t="s">
        <v>277</v>
      </c>
      <c r="G32" t="s">
        <v>294</v>
      </c>
    </row>
    <row r="33" spans="1:8" x14ac:dyDescent="0.25">
      <c r="A33" s="1"/>
      <c r="D33" t="s">
        <v>279</v>
      </c>
      <c r="F33" s="1" t="s">
        <v>278</v>
      </c>
      <c r="G33" t="s">
        <v>295</v>
      </c>
    </row>
    <row r="34" spans="1:8" x14ac:dyDescent="0.25">
      <c r="A34" s="1"/>
      <c r="C34" t="s">
        <v>301</v>
      </c>
      <c r="F34" s="1" t="s">
        <v>302</v>
      </c>
      <c r="G34" t="s">
        <v>302</v>
      </c>
    </row>
    <row r="35" spans="1:8" x14ac:dyDescent="0.25">
      <c r="A35" s="1"/>
      <c r="D35" t="s">
        <v>304</v>
      </c>
      <c r="F35" s="1" t="s">
        <v>305</v>
      </c>
      <c r="G35" t="s">
        <v>306</v>
      </c>
    </row>
    <row r="36" spans="1:8" x14ac:dyDescent="0.25">
      <c r="A36" s="1"/>
      <c r="D36" t="s">
        <v>93</v>
      </c>
      <c r="F36" s="1" t="s">
        <v>101</v>
      </c>
      <c r="G36" t="s">
        <v>307</v>
      </c>
    </row>
    <row r="37" spans="1:8" x14ac:dyDescent="0.25">
      <c r="A37" s="1"/>
      <c r="D37" t="s">
        <v>308</v>
      </c>
      <c r="F37" s="1" t="s">
        <v>309</v>
      </c>
      <c r="G37" t="s">
        <v>310</v>
      </c>
    </row>
    <row r="38" spans="1:8" x14ac:dyDescent="0.25">
      <c r="A38" s="1"/>
      <c r="D38" t="s">
        <v>311</v>
      </c>
      <c r="F38" s="1" t="s">
        <v>312</v>
      </c>
      <c r="G38" t="s">
        <v>313</v>
      </c>
    </row>
    <row r="39" spans="1:8" x14ac:dyDescent="0.25">
      <c r="A39" s="1"/>
      <c r="D39" t="s">
        <v>315</v>
      </c>
      <c r="F39" s="1" t="s">
        <v>316</v>
      </c>
      <c r="G39" t="s">
        <v>317</v>
      </c>
    </row>
    <row r="40" spans="1:8" x14ac:dyDescent="0.25">
      <c r="A40" s="1"/>
      <c r="C40" t="s">
        <v>314</v>
      </c>
      <c r="F40" s="1" t="s">
        <v>296</v>
      </c>
      <c r="G40" t="s">
        <v>296</v>
      </c>
    </row>
    <row r="41" spans="1:8" x14ac:dyDescent="0.25">
      <c r="A41" s="1"/>
      <c r="D41" t="s">
        <v>299</v>
      </c>
      <c r="F41" s="1" t="s">
        <v>299</v>
      </c>
      <c r="G41" t="s">
        <v>300</v>
      </c>
      <c r="H41" t="s">
        <v>318</v>
      </c>
    </row>
    <row r="42" spans="1:8" x14ac:dyDescent="0.25">
      <c r="A42" s="1"/>
      <c r="C42" t="s">
        <v>319</v>
      </c>
      <c r="F42" s="1" t="s">
        <v>332</v>
      </c>
      <c r="G42" t="s">
        <v>332</v>
      </c>
    </row>
    <row r="43" spans="1:8" x14ac:dyDescent="0.25">
      <c r="A43" s="1"/>
      <c r="D43" t="s">
        <v>320</v>
      </c>
      <c r="F43" s="1" t="s">
        <v>326</v>
      </c>
      <c r="G43" t="s">
        <v>333</v>
      </c>
    </row>
    <row r="44" spans="1:8" x14ac:dyDescent="0.25">
      <c r="A44" s="1"/>
      <c r="D44" t="s">
        <v>322</v>
      </c>
      <c r="F44" s="1" t="s">
        <v>327</v>
      </c>
      <c r="G44" t="s">
        <v>334</v>
      </c>
    </row>
    <row r="45" spans="1:8" x14ac:dyDescent="0.25">
      <c r="A45" s="1"/>
      <c r="D45" t="s">
        <v>321</v>
      </c>
      <c r="F45" s="1" t="s">
        <v>328</v>
      </c>
      <c r="G45" t="s">
        <v>335</v>
      </c>
    </row>
    <row r="46" spans="1:8" x14ac:dyDescent="0.25">
      <c r="A46" s="1"/>
      <c r="D46" t="s">
        <v>324</v>
      </c>
      <c r="F46" s="1" t="s">
        <v>329</v>
      </c>
      <c r="G46" t="s">
        <v>336</v>
      </c>
    </row>
    <row r="47" spans="1:8" x14ac:dyDescent="0.25">
      <c r="A47" s="1"/>
      <c r="D47" t="s">
        <v>342</v>
      </c>
      <c r="F47" s="1" t="s">
        <v>343</v>
      </c>
      <c r="G47" t="s">
        <v>344</v>
      </c>
    </row>
    <row r="48" spans="1:8" x14ac:dyDescent="0.25">
      <c r="A48" s="1"/>
      <c r="D48" t="s">
        <v>325</v>
      </c>
      <c r="F48" s="1" t="s">
        <v>330</v>
      </c>
      <c r="G48" t="s">
        <v>337</v>
      </c>
    </row>
    <row r="49" spans="1:7" x14ac:dyDescent="0.25">
      <c r="A49" s="1"/>
      <c r="D49" t="s">
        <v>323</v>
      </c>
      <c r="F49" s="1" t="s">
        <v>331</v>
      </c>
      <c r="G49" t="s">
        <v>338</v>
      </c>
    </row>
    <row r="50" spans="1:7" x14ac:dyDescent="0.25">
      <c r="A50" s="1"/>
      <c r="D50" t="s">
        <v>339</v>
      </c>
      <c r="F50" s="1" t="s">
        <v>340</v>
      </c>
      <c r="G50" t="s">
        <v>341</v>
      </c>
    </row>
    <row r="51" spans="1:7" x14ac:dyDescent="0.25">
      <c r="A51" s="1"/>
    </row>
    <row r="52" spans="1:7" x14ac:dyDescent="0.25">
      <c r="A52" s="1"/>
      <c r="B52" t="s">
        <v>83</v>
      </c>
    </row>
    <row r="53" spans="1:7" x14ac:dyDescent="0.25">
      <c r="A53" s="1"/>
      <c r="B53" t="s">
        <v>80</v>
      </c>
    </row>
    <row r="54" spans="1:7" x14ac:dyDescent="0.25">
      <c r="A54" s="1"/>
      <c r="C54" s="17" t="s">
        <v>77</v>
      </c>
    </row>
    <row r="55" spans="1:7" x14ac:dyDescent="0.25">
      <c r="A55" s="1"/>
      <c r="C55" s="16" t="s">
        <v>78</v>
      </c>
    </row>
    <row r="56" spans="1:7" x14ac:dyDescent="0.25">
      <c r="A56" s="1"/>
      <c r="C56" s="16" t="s">
        <v>79</v>
      </c>
    </row>
    <row r="57" spans="1:7" x14ac:dyDescent="0.25">
      <c r="A57" s="1"/>
      <c r="B57" t="s">
        <v>103</v>
      </c>
      <c r="C57" s="16"/>
    </row>
    <row r="58" spans="1:7" x14ac:dyDescent="0.25">
      <c r="A58" s="1"/>
      <c r="C58" s="16" t="s">
        <v>104</v>
      </c>
    </row>
    <row r="59" spans="1:7" x14ac:dyDescent="0.25">
      <c r="A59" s="1"/>
      <c r="C59" s="16" t="s">
        <v>105</v>
      </c>
    </row>
    <row r="60" spans="1:7" x14ac:dyDescent="0.25">
      <c r="A60" s="1"/>
      <c r="C60" s="16" t="s">
        <v>106</v>
      </c>
    </row>
    <row r="61" spans="1:7" x14ac:dyDescent="0.25">
      <c r="A61" s="1"/>
      <c r="C61" s="16" t="s">
        <v>108</v>
      </c>
    </row>
    <row r="62" spans="1:7" x14ac:dyDescent="0.25">
      <c r="A62" s="1"/>
      <c r="C62" s="16" t="s">
        <v>110</v>
      </c>
    </row>
    <row r="63" spans="1:7" x14ac:dyDescent="0.25">
      <c r="A63" s="1"/>
      <c r="C63" s="16" t="s">
        <v>109</v>
      </c>
    </row>
    <row r="64" spans="1:7" x14ac:dyDescent="0.25">
      <c r="A64" s="1"/>
      <c r="C64" s="16" t="s">
        <v>107</v>
      </c>
    </row>
    <row r="65" spans="2:14" ht="21" customHeight="1" x14ac:dyDescent="0.25">
      <c r="B65" s="19" t="s">
        <v>75</v>
      </c>
    </row>
    <row r="66" spans="2:14" ht="21" customHeight="1" x14ac:dyDescent="0.25">
      <c r="B66" s="59" t="s">
        <v>227</v>
      </c>
    </row>
    <row r="67" spans="2:14" ht="15.75" thickBot="1" x14ac:dyDescent="0.3">
      <c r="C67" s="1" t="s">
        <v>69</v>
      </c>
      <c r="D67" s="1" t="s">
        <v>203</v>
      </c>
      <c r="E67" s="1" t="s">
        <v>204</v>
      </c>
      <c r="F67" s="1" t="s">
        <v>195</v>
      </c>
      <c r="G67" s="1" t="s">
        <v>196</v>
      </c>
      <c r="H67" s="1" t="s">
        <v>197</v>
      </c>
      <c r="I67" s="1" t="s">
        <v>198</v>
      </c>
      <c r="J67" s="1" t="s">
        <v>202</v>
      </c>
      <c r="K67" s="1" t="s">
        <v>205</v>
      </c>
      <c r="L67" s="1" t="s">
        <v>206</v>
      </c>
      <c r="M67" s="1" t="s">
        <v>207</v>
      </c>
      <c r="N67" s="1" t="s">
        <v>223</v>
      </c>
    </row>
    <row r="68" spans="2:14" s="15" customFormat="1" ht="21.75" customHeight="1" thickBot="1" x14ac:dyDescent="0.3">
      <c r="B68" s="49" t="s">
        <v>222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prod.Inventory.IF
{
	[Table("IF_FQF3MM05")]
	public class IF_FQF3MM05: FullAuditedEntity&lt;long&gt;, IEntity&lt;long&gt;	
	{
		public const int MaxDocumentDateLength = 10;
		public const int MaxPostingDateLength = 10;
		public const int MaxDocumentHeaderTextLength = 25;
		public const int MaxMovementTypeLength = 3;
		public const int MaxMaterialCodeFromLength = 40;
		public const int MaxPlantFromLength = 4;
		public const int MaxValuationTypeFromLength = 10;
		public const int MaxStorageLocationFromLength = 4;
		public const int MaxProductionVersionLength = 4;
		public const int MaxUnitOfEntryLength = 3;
		public const int MaxItemTextLength = 50;
		public const int MaxGlAccountLength = 10;
		public const int MaxCostCenterLength = 10;
		public const int MaxWbsLength = 24;
		public const int MaxMaterialCodeToLength = 40;
		public const int MaxPlantToLength = 4;
		public const int MaxValuationTypeToLength = 10;
		public const int MaxStorageLocationToLength = 4;
		public const int MaxBfPcLength = 1;
		public const int MaxCancelFlagLength = 1;
		public const int MaxReffMatDocNoLength = 25;
		public const int MaxVendorNoLength = 10;
		public const int MaxProfitCenterLength = 10;
		public const int MaxShipemntCatLength = 1;
		public const int MaxReferenceLength = 16;
		public const int MaxAssetNoLength = 12;
		public const int MaxSubAssetNoLength = 4;
		public const int MaxEndOfRecordLength = 1;
		public virtual int? RunningNo { get; set; }
		[StringLength(MaxDocumentDateLength)]
		public virtual string DocumentDate { get; set; }
		[StringLength(MaxPostingDateLength)]
		public virtual string PostingDate { get; set; }
		[StringLength(MaxDocumentHeaderTextLength)]
		public virtual string DocumentHeaderText { get; set; }
		[StringLength(MaxMovementTypeLength)]
		public virtual string MovementType { get; set; }
		[StringLength(MaxMaterialCodeFromLength)]
		public virtual string MaterialCodeFrom { get; set; }
		[StringLength(MaxPlantFromLength)]
		public virtual string PlantFrom { get; set; }
		[StringLength(MaxValuationTypeFromLength)]
		public virtual string ValuationTypeFrom { get; set; }
		[StringLength(MaxStorageLocationFromLength)]
		public virtual string StorageLocationFrom { get; set; }
		[StringLength(MaxProductionVersionLength)]
		public virtual string ProductionVersion { get; set; }
		public virtual int? Quantity { get; set; }
		[StringLength(MaxUnitOfEntryLength)]
		public virtual string UnitOfEntry { get; set; }
		[StringLength(MaxItemTextLength)]
		public virtual string ItemText { get; set; }
		[StringLength(MaxGlAccountLength)]
		public virtual string GlAccount { get; set; }
		[StringLength(MaxCostCenterLength)]
		public virtual string CostCenter { get; set; }
		[StringLength(MaxWbsLength)]
		public virtual string Wbs { get; set; }
		[StringLength(MaxMaterialCodeToLength)]
		public virtual string MaterialCodeTo { get; set; }
		[StringLength(MaxPlantToLength)]
		public virtual string PlantTo { get; set; }
		[StringLength(MaxValuationTypeToLength)]
		public virtual string ValuationTypeTo { get; set; }
		[StringLength(MaxStorageLocationToLength)]
		public virtual string StorageLocationTo { get; set; }
		[StringLength(MaxBfPcLength)]
		public virtual string BfPc { get; set; }
		[StringLength(MaxCancelFlagLength)]
		public virtual string CancelFlag { get; set; }
		[StringLength(MaxReffMatDocNoLength)]
		public virtual string ReffMatDocNo { get; set; }
		[StringLength(MaxVendorNoLength)]
		public virtual string VendorNo { get; set; }
		[StringLength(MaxProfitCenterLength)]
		public virtual string ProfitCenter { get; set; }
		[StringLength(MaxShipemntCatLength)]
		public virtual string ShipemntCat { get; set; }
		[StringLength(MaxReferenceLength)]
		public virtual string Reference { get; set; }
		[StringLength(MaxAssetNoLength)]
		public virtual string AssetNo { get; set; }
		[StringLength(MaxSubAssetNoLength)]
		public virtual string SubAssetNo { get; set; }
		[StringLength(MaxEndOfRecordLength)]
		public virtual string EndOfRecord { get; set; }
	}
}
</v>
      </c>
      <c r="D68" s="48" t="str">
        <f>A.Backend!O7</f>
        <v xml:space="preserve">		public const string Pages_Inventory_IF_FQF3MM05 = "Pages.Inventory.IF.FQF3MM05";
		public const string Pages_Inventory_IF_FQF3MM05_CreateEdit = "Pages.Inventory.IF.FQF3MM05.CreateEdit";
		public const string Pages_Inventory_IF_FQF3MM05_Delete = "Pages.Inventory.IF.FQF3MM05.Delete";
</v>
      </c>
      <c r="E68" s="48" t="str">
        <f>A.Backend!N7</f>
        <v xml:space="preserve">		var perIF_FQF3MM05 = PARENTS.CreateChildPermission(AppPermissions.Pages_Inventory_IF_FQF3MM05, L( "InventoryIFFQF3MM05"), multiTenancySides: MultiTenancySides.Tenant);
		perIF_FQF3MM05.CreateChildPermission(AppPermissions.Pages_Inventory_IF_FQF3MM05_CreateEdit, L( "InventoryIFFQF3MM05CreateEdit"), multiTenancySides: MultiTenancySides.Tenant);
		perIF_FQF3MM05.CreateChildPermission(AppPermissions.Pages_Inventory_IF_FQF3MM05_Delete, L( "InventoryIFFQF3MM05Delete"), multiTenancySides: MultiTenancySides.Tenant);</v>
      </c>
      <c r="F68" s="48" t="str">
        <f>A.Backend!K7</f>
        <v>public virtual DbSet&lt;IF_FQF3MM05&gt; IF_FQF3MM05s { get; set; }</v>
      </c>
      <c r="G68" s="48" t="str">
        <f ca="1">A.Backend!L7</f>
        <v xml:space="preserve">namespace prod.Inventory.IF
{
	public class IF_FQF3MM05Consts	
	{
		public const int MaxDocumentDateLength = 10;
		public const int MaxPostingDateLength = 10;
		public const int MaxDocumentHeaderTextLength = 25;
		public const int MaxMovementTypeLength = 3;
		public const int MaxMaterialCodeFromLength = 40;
		public const int MaxPlantFromLength = 4;
		public const int MaxValuationTypeFromLength = 10;
		public const int MaxStorageLocationFromLength = 4;
		public const int MaxProductionVersionLength = 4;
		public const int MaxUnitOfEntryLength = 3;
		public const int MaxItemTextLength = 50;
		public const int MaxGlAccountLength = 10;
		public const int MaxCostCenterLength = 10;
		public const int MaxWbsLength = 24;
		public const int MaxMaterialCodeToLength = 40;
		public const int MaxPlantToLength = 4;
		public const int MaxValuationTypeToLength = 10;
		public const int MaxStorageLocationToLength = 4;
		public const int MaxBfPcLength = 1;
		public const int MaxCancelFlagLength = 1;
		public const int MaxReffMatDocNoLength = 25;
		public const int MaxVendorNoLength = 10;
		public const int MaxProfitCenterLength = 10;
		public const int MaxShipemntCatLength = 1;
		public const int MaxReferenceLength = 16;
		public const int MaxAssetNoLength = 12;
		public const int MaxSubAssetNoLength = 4;
		public const int MaxEndOfRecordLength = 1;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prod.Inventory.IF.Dto
{
	public class IF_FQF3MM05Dto : EntityDto&lt;long?&gt;	
	{
		public virtual int? RunningNo { get; set; }
		public virtual string DocumentDate { get; set; }
		public virtual string PostingDate { get; set; }
		public virtual string DocumentHeaderText { get; set; }
		public virtual string MovementType { get; set; }
		public virtual string MaterialCodeFrom { get; set; }
		public virtual string PlantFrom { get; set; }
		public virtual string ValuationTypeFrom { get; set; }
		public virtual string StorageLocationFrom { get; set; }
		public virtual string ProductionVersion { get; set; }
		public virtual int? Quantity { get; set; }
		public virtual string UnitOfEntry { get; set; }
		public virtual string ItemText { get; set; }
		public virtual string GlAccount { get; set; }
		public virtual string CostCenter { get; set; }
		public virtual string Wbs { get; set; }
		public virtual string MaterialCodeTo { get; set; }
		public virtual string PlantTo { get; set; }
		public virtual string ValuationTypeTo { get; set; }
		public virtual string StorageLocationTo { get; set; }
		public virtual string BfPc { get; set; }
		public virtual string CancelFlag { get; set; }
		public virtual string ReffMatDocNo { get; set; }
		public virtual string VendorNo { get; set; }
		public virtual string ProfitCenter { get; set; }
		public virtual string ShipemntCat { get; set; }
		public virtual string Reference { get; set; }
		public virtual string AssetNo { get; set; }
		public virtual string SubAssetNo { get; set; }
		public virtual string EndOfRecord { get; set; }
	}
	public class CreateOrEditIF_FQF3MM05Dto : EntityDto&lt;long?&gt;	
	{
		public virtual int? RunningNo { get; set; }
		[StringLength(IF_FQF3MM05Consts.MaxDocumentDateLength)]
		public virtual string DocumentDate { get; set; }
		[StringLength(IF_FQF3MM05Consts.MaxPostingDateLength)]
		public virtual string PostingDate { get; set; }
		[StringLength(IF_FQF3MM05Consts.MaxDocumentHeaderTextLength)]
		public virtual string DocumentHeaderText { get; set; }
		[StringLength(IF_FQF3MM05Consts.MaxMovementTypeLength)]
		public virtual string MovementType { get; set; }
		[StringLength(IF_FQF3MM05Consts.MaxMaterialCodeFromLength)]
		public virtual string MaterialCodeFrom { get; set; }
		[StringLength(IF_FQF3MM05Consts.MaxPlantFromLength)]
		public virtual string PlantFrom { get; set; }
		[StringLength(IF_FQF3MM05Consts.MaxValuationTypeFromLength)]
		public virtual string ValuationTypeFrom { get; set; }
		[StringLength(IF_FQF3MM05Consts.MaxStorageLocationFromLength)]
		public virtual string StorageLocationFrom { get; set; }
		[StringLength(IF_FQF3MM05Consts.MaxProductionVersionLength)]
		public virtual string ProductionVersion { get; set; }
		public virtual int? Quantity { get; set; }
		[StringLength(IF_FQF3MM05Consts.MaxUnitOfEntryLength)]
		public virtual string UnitOfEntry { get; set; }
		[StringLength(IF_FQF3MM05Consts.MaxItemTextLength)]
		public virtual string ItemText { get; set; }
		[StringLength(IF_FQF3MM05Consts.MaxGlAccountLength)]
		public virtual string GlAccount { get; set; }
		[StringLength(IF_FQF3MM05Consts.MaxCostCenterLength)]
		public virtual string CostCenter { get; set; }
		[StringLength(IF_FQF3MM05Consts.MaxWbsLength)]
		public virtual string Wbs { get; set; }
		[StringLength(IF_FQF3MM05Consts.MaxMaterialCodeToLength)]
		public virtual string MaterialCodeTo { get; set; }
		[StringLength(IF_FQF3MM05Consts.MaxPlantToLength)]
		public virtual string PlantTo { get; set; }
		[StringLength(IF_FQF3MM05Consts.MaxValuationTypeToLength)]
		public virtual string ValuationTypeTo { get; set; }
		[StringLength(IF_FQF3MM05Consts.MaxStorageLocationToLength)]
		public virtual string StorageLocationTo { get; set; }
		[StringLength(IF_FQF3MM05Consts.MaxBfPcLength)]
		public virtual string BfPc { get; set; }
		[StringLength(IF_FQF3MM05Consts.MaxCancelFlagLength)]
		public virtual string CancelFlag { get; set; }
		[StringLength(IF_FQF3MM05Consts.MaxReffMatDocNoLength)]
		public virtual string ReffMatDocNo { get; set; }
		[StringLength(IF_FQF3MM05Consts.MaxVendorNoLength)]
		public virtual string VendorNo { get; set; }
		[StringLength(IF_FQF3MM05Consts.MaxProfitCenterLength)]
		public virtual string ProfitCenter { get; set; }
		[StringLength(IF_FQF3MM05Consts.MaxShipemntCatLength)]
		public virtual string ShipemntCat { get; set; }
		[StringLength(IF_FQF3MM05Consts.MaxReferenceLength)]
		public virtual string Reference { get; set; }
		[StringLength(IF_FQF3MM05Consts.MaxAssetNoLength)]
		public virtual string AssetNo { get; set; }
		[StringLength(IF_FQF3MM05Consts.MaxSubAssetNoLength)]
		public virtual string SubAssetNo { get; set; }
		[StringLength(IF_FQF3MM05Consts.MaxEndOfRecordLength)]
		public virtual string EndOfRecord { get; set; }
	}
	public class GetIF_FQF3MM05Input : PagedAndSortedResultRequestDto	
	{
		public virtual string DocumentDate { get; set; }
		public virtual string PostingDate { get; set; }
		public virtual string DocumentHeaderText { get; set; }
		public virtual string MovementType { get; set; }
		public virtual string MaterialCodeFrom { get; set; }
		public virtual string PlantFrom { get; set; }
		public virtual string ValuationTypeFrom { get; set; }
		public virtual string StorageLocationFrom { get; set; }
		public virtual string ProductionVersion { get; set; }
		public virtual string UnitOfEntry { get; set; }
		public virtual string ItemText { get; set; }
		public virtual string GlAccount { get; set; }
		public virtual string CostCenter { get; set; }
		public virtual string Wbs { get; set; }
		public virtual string MaterialCodeTo { get; set; }
		public virtual string PlantTo { get; set; }
		public virtual string ValuationTypeTo { get; set; }
		public virtual string StorageLocationTo { get; set; }
		public virtual string BfPc { get; set; }
		public virtual string CancelFlag { get; set; }
		public virtual string ReffMatDocNo { get; set; }
		public virtual string VendorNo { get; set; }
		public virtual string ProfitCenter { get; set; }
		public virtual string ShipemntCat { get; set; }
		public virtual string Reference { get; set; }
		public virtual string AssetNo { get; set; }
		public virtual string SubAssetNo { get; set; }
		public virtual string EndOfRecord { get; set; }
	}
}
</v>
      </c>
      <c r="I68" s="48" t="str">
        <f ca="1">A.Backend!R7</f>
        <v xml:space="preserve">using Abp.Application.Services.Dto;
using System;
using System.ComponentModel.DataAnnotations;
namespace prod.Inventory.IF.Dto
{
	public class IF_FQF3MM05ExportInput{
		public virtual int? RunningNo { get; set; }
		public virtual string DocumentDate { get; set; }
		public virtual string PostingDate { get; set; }
		public virtual string DocumentHeaderText { get; set; }
		public virtual string MovementType { get; set; }
		public virtual string MaterialCodeFrom { get; set; }
		public virtual string PlantFrom { get; set; }
		public virtual string ValuationTypeFrom { get; set; }
		public virtual string StorageLocationFrom { get; set; }
		public virtual string ProductionVersion { get; set; }
		public virtual int? Quantity { get; set; }
		public virtual string UnitOfEntry { get; set; }
		public virtual string ItemText { get; set; }
		public virtual string GlAccount { get; set; }
		public virtual string CostCenter { get; set; }
		public virtual string Wbs { get; set; }
		public virtual string MaterialCodeTo { get; set; }
		public virtual string PlantTo { get; set; }
		public virtual string ValuationTypeTo { get; set; }
		public virtual string StorageLocationTo { get; set; }
		public virtual string BfPc { get; set; }
		public virtual string CancelFlag { get; set; }
		public virtual string ReffMatDocNo { get; set; }
		public virtual string VendorNo { get; set; }
		public virtual string ProfitCenter { get; set; }
		public virtual string ShipemntCat { get; set; }
		public virtual string Reference { get; set; }
		public virtual string AssetNo { get; set; }
		public virtual string SubAssetNo { get; set; }
		public virtual string EndOfRecord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vovina.Inventory.IF.Dto;
namespace prod.Inventory.IF
{
	public interface IIF_FQF3MM05AppService : IApplicationService
	{
		Task&lt;PagedResultDto&lt;IF_FQF3MM05Dto&gt;&gt; GetAll(GetIF_FQF3MM05Input input);
		Task CreateOrEdit(CreateOrEditIF_FQF3MM05Dto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vovina.Inventory.IF.Dto;
namespace prod.Inventory.IF.Exporting
{
	public interface IIF_FQF3MM05ExcelExporter : IApplicationService
	{
		FileDto ExportToFile(List&lt;IF_FQF3MM05Dto&gt; if_fqf3mm05);
	}
}
</v>
      </c>
      <c r="L68" s="48" t="str">
        <f ca="1">A.Backend!T7</f>
        <v>using System.Collections.Generic;
using vovina.DataExporting.Excel.NPOI;
using vovina.Dto;
using vovina.IF.IF.Exporting;
using vovina.IF.IF.Dto;
using vovina.Storage;
using vovina.IF.IF.Dto;
namespace vovina.IF.IF.Exporting
{
    public class IF_FQF3MM05ExcelExporter : NpoiExcelExporterBase, IIF_FQF3MM05ExcelExporter
    {
        public IF_FQF3MM05ExcelExporter(ITempFileCacheManager tempFileCacheManager) : base(tempFileCacheManager) { }
        public FileDto ExportToFile(List&lt;IF_FQF3MM05Dto&gt; fqf3mm05)
        {
            return CreateExcelPackage(
				"IFIFFQF3MM05.xlsx",
				excelPackage =&gt;
				 {
					var sheet = excelPackage.CreateSheet("FQF3MM05");
					AddHeader(
								sheet,
								("RunningNo"),
								("DocumentDate"),
								("PostingDate"),
								("DocumentHeaderText"),
								("MovementType"),
								("MaterialCodeFrom"),
								("PlantFrom"),
								("ValuationTypeFrom"),
								("StorageLocationFrom"),
								("ProductionVersion"),
								("Quantity"),
								("UnitOfEntry"),
								("ItemText"),
								("GlAccount"),
								("CostCenter"),
								("Wbs"),
								("MaterialCodeTo"),
								("PlantTo"),
								("ValuationTypeTo"),
								("StorageLocationTo"),
								("BfPc"),
								("CancelFlag"),
								("ReffMatDocNo"),
								("VendorNo"),
								("ProfitCenter"),
								("ShipemntCat"),
								("Reference"),
								("AssetNo"),
								("SubAssetNo"),
								("EndOfRecord"),
							   );
					AddObjects(
						 sheet, 1, fqf3mm05,                                       
								_ =&gt; _.RunningNo,
								_ =&gt; _.DocumentDate,
								_ =&gt; _.PostingDate,
								_ =&gt; _.DocumentHeaderText,
								_ =&gt; _.MovementType,
								_ =&gt; _.MaterialCodeFrom,
								_ =&gt; _.PlantFrom,
								_ =&gt; _.ValuationTypeFrom,
								_ =&gt; _.StorageLocationFrom,
								_ =&gt; _.ProductionVersion,
								_ =&gt; _.Quantity,
								_ =&gt; _.UnitOfEntry,
								_ =&gt; _.ItemText,
								_ =&gt; _.GlAccount,
								_ =&gt; _.CostCenter,
								_ =&gt; _.Wbs,
								_ =&gt; _.MaterialCodeTo,
								_ =&gt; _.PlantTo,
								_ =&gt; _.ValuationTypeTo,
								_ =&gt; _.StorageLocationTo,
								_ =&gt; _.BfPc,
								_ =&gt; _.CancelFlag,
								_ =&gt; _.ReffMatDocNo,
								_ =&gt; _.VendorNo,
								_ =&gt; _.ProfitCenter,
								_ =&gt; _.ShipemntCat,
								_ =&gt; _.Reference,
								_ =&gt; _.AssetNo,
								_ =&gt; _.SubAssetNo,
								_ =&gt; _.EndOfRecord,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vovina.IF.IF.Dto;
using vovina.IF.IF.Exporting;
namespace vovina.IF.IF
{
    [AbpAuthorize(AppPermissions.Pages_IF_IF_FQF3MM05)]
    public class IF_FQF3MM05AppService : vovinaAppServiceBase, IIF_FQF3MM05AppService
    {
        private readonly IDapperRepository&lt;IF_FQF3MM05, long&gt; _dapperRepo;
        private readonly IRepository&lt;IF_FQF3MM05, long&gt; _repo;
        private readonly IIF_FQF3MM05ExcelExporter _calendarListExcelExporter;
        public IF_FQF3MM05AppService(IRepository&lt;IF_FQF3MM05,long&gt; repo, 
                                         IDapperRepository&lt;IF_FQF3MM05,long&gt; dapperRepo,
                                        IIF_FQF3MM05ExcelExporter calendarListExcelExporter
            )
        {
            _repo = repo;
            _dapperRepo = dapperRepo;
            _calendarListExcelExporter = calendarListExcelExporter;
        }
        [AbpAuthorize(AppPermissions.Pages_IF_IF_FQF3MM05_CreateEdit)]
        public async Task CreateOrEdit(CreateOrEditIF_FQF3MM05Dto input)
        {
            if (input.Id == null) await Create(input);
            else await Update(input);
        }
        //CREATE
        private async Task Create(CreateOrEditIF_FQF3MM05Dto input)
        {          
            var mainObj = ObjectMapper.Map&lt;IF_FQF3MM05&gt;(input);
            await CurrentUnitOfWork.GetDbContext&lt;vovinaDbContext&gt;().AddAsync(mainObj);
        }
        // EDIT
        private async Task Update(CreateOrEditIF_FQF3MM05Dto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[AbpAuthorize(AppPermissions.Pages_IF_IF_FQF3MM05_Delete)]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Task&lt;PagedResultDto&lt;IF_FQF3MM05Dto&gt;&gt; GetAll(GetIF_FQF3MM05Input input)
        {
            var filtered = _repo.GetAll()
				.WhereIf(!string.IsNullOrWhiteSpace(input.DocumentDate), e =&gt; e.DocumentDate.Contains(input.DocumentDate))
				.WhereIf(!string.IsNullOrWhiteSpace(input.PostingDate), e =&gt; e.PostingDate.Contains(input.PostingDate))
				.WhereIf(!string.IsNullOrWhiteSpace(input.DocumentHeaderText), e =&gt; e.DocumentHeaderText.Contains(input.DocumentHeaderText))
				.WhereIf(!string.IsNullOrWhiteSpace(input.MovementType), e =&gt; e.MovementType.Contains(input.MovementType))
				.WhereIf(!string.IsNullOrWhiteSpace(input.MaterialCodeFrom), e =&gt; e.MaterialCodeFrom.Contains(input.MaterialCodeFrom))
				.WhereIf(!string.IsNullOrWhiteSpace(input.PlantFrom), e =&gt; e.PlantFrom.Contains(input.PlantFrom))
				.WhereIf(!string.IsNullOrWhiteSpace(input.ValuationTypeFrom), e =&gt; e.ValuationTypeFrom.Contains(input.ValuationTypeFrom))
				.WhereIf(!string.IsNullOrWhiteSpace(input.StorageLocationFrom), e =&gt; e.StorageLocationFrom.Contains(input.StorageLocationFrom))
				.WhereIf(!string.IsNullOrWhiteSpace(input.ProductionVersion), e =&gt; e.ProductionVersion.Contains(input.ProductionVersion))
				.WhereIf(!string.IsNullOrWhiteSpace(input.UnitOfEntry), e =&gt; e.UnitOfEntry.Contains(input.UnitOfEntry))
				.WhereIf(!string.IsNullOrWhiteSpace(input.ItemText), e =&gt; e.ItemText.Contains(input.ItemText))
				.WhereIf(!string.IsNullOrWhiteSpace(input.GlAccount), e =&gt; e.GlAccount.Contains(input.GlAccount))
				.WhereIf(!string.IsNullOrWhiteSpace(input.CostCenter), e =&gt; e.CostCenter.Contains(input.CostCenter))
				.WhereIf(!string.IsNullOrWhiteSpace(input.Wbs), e =&gt; e.Wbs.Contains(input.Wbs))
				.WhereIf(!string.IsNullOrWhiteSpace(input.MaterialCodeTo), e =&gt; e.MaterialCodeTo.Contains(input.MaterialCodeTo))
				.WhereIf(!string.IsNullOrWhiteSpace(input.PlantTo), e =&gt; e.PlantTo.Contains(input.PlantTo))
				.WhereIf(!string.IsNullOrWhiteSpace(input.ValuationTypeTo), e =&gt; e.ValuationTypeTo.Contains(input.ValuationTypeTo))
				.WhereIf(!string.IsNullOrWhiteSpace(input.StorageLocationTo), e =&gt; e.StorageLocationTo.Contains(input.StorageLocationTo))
				.WhereIf(!string.IsNullOrWhiteSpace(input.BfPc), e =&gt; e.BfPc.Contains(input.BfPc))
				.WhereIf(!string.IsNullOrWhiteSpace(input.CancelFlag), e =&gt; e.CancelFlag.Contains(input.CancelFlag))
				.WhereIf(!string.IsNullOrWhiteSpace(input.ReffMatDocNo), e =&gt; e.ReffMatDocNo.Contains(input.ReffMatDocNo))
				.WhereIf(!string.IsNullOrWhiteSpace(input.VendorNo), e =&gt; e.VendorNo.Contains(input.VendorNo))
				.WhereIf(!string.IsNullOrWhiteSpace(input.ProfitCenter), e =&gt; e.ProfitCenter.Contains(input.ProfitCenter))
				.WhereIf(!string.IsNullOrWhiteSpace(input.ShipemntCat), e =&gt; e.ShipemntCat.Contains(input.ShipemntCat))
				.WhereIf(!string.IsNullOrWhiteSpace(input.Reference), e =&gt; e.Reference.Contains(input.Reference))
				.WhereIf(!string.IsNullOrWhiteSpace(input.AssetNo), e =&gt; e.AssetNo.Contains(input.AssetNo))
				.WhereIf(!string.IsNullOrWhiteSpace(input.SubAssetNo), e =&gt; e.SubAssetNo.Contains(input.SubAssetNo))
				.WhereIf(!string.IsNullOrWhiteSpace(input.EndOfRecord), e =&gt; e.EndOfRecord.Contains(input.EndOfRecord))                   
				;
            var pageAndFiltered = filtered.OrderBy(s =&gt; s.Id);
            var system = from o in pageAndFiltered
                         select new IF_FQF3MM05Dto
                        {
							Id = o.Id,
							RunningNo = o.RunningNo,
							DocumentDate = o.DocumentDate,
							PostingDate = o.PostingDate,
							DocumentHeaderText = o.DocumentHeaderText,
							MovementType = o.MovementType,
							MaterialCodeFrom = o.MaterialCodeFrom,
							PlantFrom = o.PlantFrom,
							ValuationTypeFrom = o.ValuationTypeFrom,
							StorageLocationFrom = o.StorageLocationFrom,
							ProductionVersion = o.ProductionVersion,
							Quantity = o.Quantity,
							UnitOfEntry = o.UnitOfEntry,
							ItemText = o.ItemText,
							GlAccount = o.GlAccount,
							CostCenter = o.CostCenter,
							Wbs = o.Wbs,
							MaterialCodeTo = o.MaterialCodeTo,
							PlantTo = o.PlantTo,
							ValuationTypeTo = o.ValuationTypeTo,
							StorageLocationTo = o.StorageLocationTo,
							BfPc = o.BfPc,
							CancelFlag = o.CancelFlag,
							ReffMatDocNo = o.ReffMatDocNo,
							VendorNo = o.VendorNo,
							ProfitCenter = o.ProfitCenter,
							ShipemntCat = o.ShipemntCat,
							Reference = o.Reference,
							AssetNo = o.AssetNo,
							SubAssetNo = o.SubAssetNo,
							EndOfRecord = o.EndOfRecord,
                        };
            var totalCount = await filtered.CountAsync();
			var paged = system.PageBy(input);
            return new PagedResultDto&lt;IF_FQF3MM05Dto&gt;(
                totalCount,
                 await paged.ToListAsync()
            );
        }
        public async Task&lt;FileDto&gt; GetFQF3MM05ToExcel(IF_FQF3MM05ExportInput input)
        {
            var query = from o in _repo.GetAll()
                        select new IF_FQF3MM05Dto
                        {
							Id = o.Id,
							RunningNo = o.RunningNo,
							DocumentDate = o.DocumentDate,
							PostingDate = o.PostingDate,
							DocumentHeaderText = o.DocumentHeaderText,
							MovementType = o.MovementType,
							MaterialCodeFrom = o.MaterialCodeFrom,
							PlantFrom = o.PlantFrom,
							ValuationTypeFrom = o.ValuationTypeFrom,
							StorageLocationFrom = o.StorageLocationFrom,
							ProductionVersion = o.ProductionVersion,
							Quantity = o.Quantity,
							UnitOfEntry = o.UnitOfEntry,
							ItemText = o.ItemText,
							GlAccount = o.GlAccount,
							CostCenter = o.CostCenter,
							Wbs = o.Wbs,
							MaterialCodeTo = o.MaterialCodeTo,
							PlantTo = o.PlantTo,
							ValuationTypeTo = o.ValuationTypeTo,
							StorageLocationTo = o.StorageLocationTo,
							BfPc = o.BfPc,
							CancelFlag = o.CancelFlag,
							ReffMatDocNo = o.ReffMatDocNo,
							VendorNo = o.VendorNo,
							ProfitCenter = o.ProfitCenter,
							ShipemntCat = o.ShipemntCat,
							Reference = o.Reference,
							AssetNo = o.AssetNo,
							SubAssetNo = o.SubAssetNo,
							EndOfRecord = o.EndOfRecord,
                        };
            var exportToExcel = await query.ToListAsync();
            return _calendarListExcelExporter.ExportToFile(exportToExcel);
        }
       // public async Task GenerateAsync()
      //  {
        //    await _dapperRepo.ExecuteAsync(IF_FQF3MM05Consts.SP_MST_WPT_CALENDAR_GENERATE);
       // }
    }
}</v>
      </c>
      <c r="N68" s="58" t="str">
        <f>A.Backend!U7</f>
        <v xml:space="preserve">  configuration.CreateMap&lt;IF_FQF3MM05Dto, IF_FQF3MM05&gt;();
  configuration.CreateMap&lt;IF_FQF3MM05, IF_FQF3MM05Dto&gt;();
  configuration.CreateMap&lt;CreateOrEditIF_FQF3MM05Dto, IF_FQF3MM05&gt;();</v>
      </c>
    </row>
    <row r="69" spans="2:14" s="15" customFormat="1" ht="21.75" customHeight="1" x14ac:dyDescent="0.25">
      <c r="C69" s="60"/>
      <c r="H69" s="61"/>
      <c r="I69" s="61"/>
      <c r="M69" s="61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70</v>
      </c>
    </row>
    <row r="73" spans="2:14" ht="21" x14ac:dyDescent="0.35">
      <c r="B73" t="str">
        <f>B.Frontend!B8</f>
        <v>fqf3mm05</v>
      </c>
      <c r="C73" s="66" t="str">
        <f>"create folder " &amp;B73</f>
        <v>create folder fqf3mm05</v>
      </c>
      <c r="D73" s="66"/>
      <c r="E73" s="66"/>
      <c r="F73" s="66"/>
      <c r="G73" s="66"/>
      <c r="H73" s="66"/>
      <c r="I73" s="66"/>
      <c r="J73" s="66"/>
      <c r="K73" s="67" t="s">
        <v>224</v>
      </c>
      <c r="L73" s="67"/>
      <c r="M73" s="28"/>
    </row>
    <row r="74" spans="2:14" s="26" customFormat="1" ht="18" customHeight="1" x14ac:dyDescent="0.25">
      <c r="B74" s="56" t="s">
        <v>225</v>
      </c>
      <c r="C74" s="28" t="str">
        <f>B.Frontend!H14</f>
        <v>fqf3mm05.component.ts</v>
      </c>
      <c r="D74" s="28" t="str">
        <f>B.Frontend!I14</f>
        <v>fqf3mm05.component.html</v>
      </c>
      <c r="E74" s="28" t="str">
        <f>B.Frontend!J14</f>
        <v>fqf3mm05.component.less</v>
      </c>
      <c r="F74" s="28" t="str">
        <f>B.Frontend!K14</f>
        <v>create-or-edit-fqf3mm05-modal.component.html</v>
      </c>
      <c r="G74" s="28" t="str">
        <f>B.Frontend!L14</f>
        <v>create-or-edit-fqf3mm05-modal.component.ts</v>
      </c>
      <c r="H74" s="28" t="str">
        <f>B.Frontend!M14</f>
        <v>create-or-edit-fqf3mm05-modal.component.less</v>
      </c>
      <c r="I74" s="28" t="str">
        <f>B.Frontend!N14</f>
        <v>fqf3mm05.module.ts</v>
      </c>
      <c r="J74" s="28" t="str">
        <f>B.Frontend!O14</f>
        <v>fqf3mm05-routing.module.ts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228</v>
      </c>
    </row>
    <row r="75" spans="2:14" ht="21.75" customHeight="1" x14ac:dyDescent="0.25">
      <c r="B75" s="57" t="s">
        <v>222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IF_FQF3MM05Dto, IF_FQF3MM05ServiceProxy } from '@shared/service-proxies/service-proxies';
import { finalize } from 'rxjs/internal/operators/finalize';
import { CreateOrEditFQF3MM05ModalComponent } from './create-or-edit-fqf3mm05-modal.component';
import { DatePipe } from '@angular/common';
import { FileDownloadService } from '@shared/utils/file-download.service';
import ceil from 'lodash-es/ceil';
import { Paginator } from 'primeng/paginator';
@Component({
    templateUrl: './fqf3mm05.component.html',
    styleUrls: ['./fqf3mm05.component.less'],
})
export class FQF3MM05Component extends AppComponentBase implements OnInit {
    @ViewChild('createOrEditModalFQF3MM05', { static: true }) createOrEditModalFQF3MM05:| CreateOrEditFQF3MM05ModalComponent|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IF_FQF3MM05Dto = new IF_FQF3MM05Dto();
    saveSelectedRow: IF_FQF3MM05Dto = new IF_FQF3MM05Dto();
    datas: IF_FQF3MM05Dto = new IF_FQF3MM05Dto();
    isLoading: boolean = false;
    dataParams: GridParams | undefined;
    rowData: any[] = [];
    gridApi!: GridApi;
    rowSelection = 'multiple';
    filter: string = '';
	pipe = new DatePipe('en-US');
	frameworkComponents: FrameworkComponent;
    	runningNo
	documentDate : string = '' ; 
	postingDate : string = '' ; 
	documentHeaderText : string = '' ; 
	movementType : string = '' ; 
	materialCodeFrom : string = '' ; 
	plantFrom : string = '' ; 
	valuationTypeFrom : string = '' ; 
	storageLocationFrom : string = '' ; 
	productionVersion : string = '' ; 
	quantity
	unitOfEntry : string = '' ; 
	itemText : string = '' ; 
	glAccount : string = '' ; 
	costCenter : string = '' ; 
	wbs : string = '' ; 
	materialCodeTo : string = '' ; 
	plantTo : string = '' ; 
	valuationTypeTo : string = '' ; 
	storageLocationTo : string = '' ; 
	bfPc : string = '' ; 
	cancelFlag : string = '' ; 
	reffMatDocNo : string = '' ; 
	vendorNo : string = '' ; 
	profitCenter : string = '' ; 
	shipemntCat : string = '' ; 
	reference : string = '' ; 
	assetNo : string = '' ; 
	subAssetNo : string = '' ; 
	endOfRecord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IF_FQF3MM05ServiceProxy,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this.l('Running No'),headerTooltip: this.l('Running No'),field: 'runningNo',flex: 1},
			{headerName: this.l('Document Date'),headerTooltip: this.l('Document Date'),field: 'documentDate',flex: 1},
			{headerName: this.l('Posting Date'),headerTooltip: this.l('Posting Date'),field: 'postingDate',flex: 1},
			{headerName: this.l('Document Header Text'),headerTooltip: this.l('Document Header Text'),field: 'documentHeaderText',flex: 1},
			{headerName: this.l('Movement Type'),headerTooltip: this.l('Movement Type'),field: 'movementType',flex: 1},
			{headerName: this.l('Material Code From'),headerTooltip: this.l('Material Code From'),field: 'materialCodeFrom',flex: 1},
			{headerName: this.l('Plant From'),headerTooltip: this.l('Plant From'),field: 'plantFrom',flex: 1},
			{headerName: this.l('Valuation Type From'),headerTooltip: this.l('Valuation Type From'),field: 'valuationTypeFrom',flex: 1},
			{headerName: this.l('Storage Location From'),headerTooltip: this.l('Storage Location From'),field: 'storageLocationFrom',flex: 1},
			{headerName: this.l('Production Version'),headerTooltip: this.l('Production Version'),field: 'productionVersion',flex: 1},
			{headerName: this.l('Quantity'),headerTooltip: this.l('Quantity'),field: 'quantity',flex: 1},
			{headerName: this.l('Unit Of Entry'),headerTooltip: this.l('Unit Of Entry'),field: 'unitOfEntry',flex: 1},
			{headerName: this.l('Item Text'),headerTooltip: this.l('Item Text'),field: 'itemText',flex: 1},
			{headerName: this.l('Gl Account'),headerTooltip: this.l('Gl Account'),field: 'glAccount',flex: 1},
			{headerName: this.l('Cost Center'),headerTooltip: this.l('Cost Center'),field: 'costCenter',flex: 1},
			{headerName: this.l('Wbs'),headerTooltip: this.l('Wbs'),field: 'wbs',flex: 1},
			{headerName: this.l('Material Code To'),headerTooltip: this.l('Material Code To'),field: 'materialCodeTo',flex: 1},
			{headerName: this.l('Plant To'),headerTooltip: this.l('Plant To'),field: 'plantTo',flex: 1},
			{headerName: this.l('Valuation Type To'),headerTooltip: this.l('Valuation Type To'),field: 'valuationTypeTo',flex: 1},
			{headerName: this.l('Storage Location To'),headerTooltip: this.l('Storage Location To'),field: 'storageLocationTo',flex: 1},
			{headerName: this.l('Bf Pc'),headerTooltip: this.l('Bf Pc'),field:  'bfPc', cellClass: ['text-center'], width: 120, cellRenderer: 'agCellButtonComponent',
buttonDefTwo: { text: params =&gt; (params.data?.'bfPc' == 'Y') ? 'Active' : 'Inactive',iconName: 'fa fa-circle',className: params =&gt; (params.data?.'bfPc' == 'Y') ? 'btnActive' : 'btnInActive',},}
			{headerName: this.l('Cancel Flag'),headerTooltip: this.l('Cancel Flag'),field:  'cancelFlag', cellClass: ['text-center'], width: 120, cellRenderer: 'agCellButtonComponent',
buttonDefTwo: { text: params =&gt; (params.data?.'cancelFlag' == 'Y') ? 'Active' : 'Inactive',iconName: 'fa fa-circle',className: params =&gt; (params.data?.'cancelFlag' == 'Y') ? 'btnActive' : 'btnInActive',},}
			{headerName: this.l('Reff Mat Doc No'),headerTooltip: this.l('Reff Mat Doc No'),field: 'reffMatDocNo',flex: 1},
			{headerName: this.l('Vendor No'),headerTooltip: this.l('Vendor No'),field: 'vendorNo',flex: 1},
			{headerName: this.l('Profit Center'),headerTooltip: this.l('Profit Center'),field: 'profitCenter',flex: 1},
			{headerName: this.l('Shipemnt Cat'),headerTooltip: this.l('Shipemnt Cat'),field:  'shipemntCat', cellClass: ['text-center'], width: 120, cellRenderer: 'agCellButtonComponent',
buttonDefTwo: { text: params =&gt; (params.data?.'shipemntCat' == 'Y') ? 'Active' : 'Inactive',iconName: 'fa fa-circle',className: params =&gt; (params.data?.'shipemntCat' == 'Y') ? 'btnActive' : 'btnInActive',},}
			{headerName: this.l('Reference'),headerTooltip: this.l('Reference'),field: 'reference',flex: 1},
			{headerName: this.l('Asset No'),headerTooltip: this.l('Asset No'),field: 'assetNo',flex: 1},
			{headerName: this.l('Sub Asset No'),headerTooltip: this.l('Sub Asset No'),field: 'subAssetNo',flex: 1},
			{headerName: this.l('End Of Record'),headerTooltip: this.l('End Of Record'),field:  'endOfRecord', cellClass: ['text-center'], width: 120, cellRenderer: 'agCellButtonComponent',
buttonDefTwo: { text: params =&gt; (params.data?.'endOfRecord' == 'Y') ? 'Active' : 'Inactive',iconName: 'fa fa-circle',className: params =&gt; (params.data?.'endOfRecord'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this.runningNo,
			this.documentDate,
			this.postingDate,
			this.documentHeaderText,
			this.movementType,
			this.materialCodeFrom,
			this.plantFrom,
			this.valuationTypeFrom,
			this.storageLocationFrom,
			this.productionVersion,
			this.quantity,
			this.unitOfEntry,
			this.itemText,
			this.glAccount,
			this.costCenter,
			this.wbs,
			this.materialCodeTo,
			this.plantTo,
			this.valuationTypeTo,
			this.storageLocationTo,
			this.bfPc,
			this.cancelFlag,
			this.reffMatDocNo,
			this.vendorNo,
			this.profitCenter,
			this.shipemntCat,
			this.reference,
			this.assetNo,
			this.subAssetNo,
			this.endOfRecord,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this.runningNo = '',
		this.documentDate = '',
		this.postingDate = '',
		this.documentHeaderText = '',
		this.movementType = '',
		this.materialCodeFrom = '',
		this.plantFrom = '',
		this.valuationTypeFrom = '',
		this.storageLocationFrom = '',
		this.productionVersion = '',
		this.quantity = '',
		this.unitOfEntry = '',
		this.itemText = '',
		this.glAccount = '',
		this.costCenter = '',
		this.wbs = '',
		this.materialCodeTo = '',
		this.plantTo = '',
		this.valuationTypeTo = '',
		this.storageLocationTo = '',
		this.bfPc = '',
		this.cancelFlag = '',
		this.reffMatDocNo = '',
		this.vendorNo = '',
		this.profitCenter = '',
		this.shipemntCat = '',
		this.reference = '',
		this.assetNo = '',
		this.subAssetNo = '',
		this.endOfRecord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this.runningNo,
			this.documentDate,
			this.postingDate,
			this.documentHeaderText,
			this.movementType,
			this.materialCodeFrom,
			this.plantFrom,
			this.valuationTypeFrom,
			this.storageLocationFrom,
			this.productionVersion,
			this.quantity,
			this.unitOfEntry,
			this.itemText,
			this.glAccount,
			this.costCenter,
			this.wbs,
			this.materialCodeTo,
			this.plantTo,
			this.valuationTypeTo,
			this.storageLocationTo,
			this.bfPc,
			this.cancelFlag,
			this.reffMatDocNo,
			this.vendorNo,
			this.profitCenter,
			this.shipemntCat,
			this.reference,
			this.assetNo,
			this.subAssetNo,
			this.endOfRecord,
			'',
            this.paginationParams.skipCount,
            this.paginationParams.pageSize
        );
    }
    onChangeRowSelection(params: { api: { getSelectedRows: () =&gt; IF_FQF3MM05Dto[] } }) {
        this.saveSelectedRow = params.api.getSelectedRows()[0] ?? new IF_FQF3MM05Dto();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IF_FQF3MM05Dto):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this._service.getFQF3MM05ToExcel(
			this.runningNo,
			this.documentDate,
			this.postingDate,
			this.documentHeaderText,
			this.movementType,
			this.materialCodeFrom,
			this.plantFrom,
			this.valuationTypeFrom,
			this.storageLocationFrom,
			this.productionVersion,
			this.quantity,
			this.unitOfEntry,
			this.itemText,
			this.glAccount,
			this.costCenter,
			this.wbs,
			this.materialCodeTo,
			this.plantTo,
			this.valuationTypeTo,
			this.storageLocationTo,
			this.bfPc,
			this.cancelFlag,
			this.reffMatDocNo,
			this.vendorNo,
			this.profitCenter,
			this.shipemntCat,
			this.reference,
			this.assetNo,
			this.subAssetNo,
			this.endOfRecord,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FQF3MM05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[(ngModel)]='documentDate' name='documentDate'
									class='form-control' [placeholder]="l('Document Date')"
									type='text' (keyup.enter)='searchDatas()'&gt;
								&lt;/div&gt;
								&lt;div class='input-search'&gt;
									&lt;input [(ngModel)]='postingDate' name='postingDate'
									class='form-control' [placeholder]="l('Posting Date')"
									type='text' (keyup.enter)='searchDatas()'&gt;
								&lt;/div&gt;
								&lt;div class='input-search'&gt;
									&lt;input [(ngModel)]='documentHeaderText' name='documentHeaderText'
									class='form-control' [placeholder]="l('Document Header Text')"
									type='text' (keyup.enter)='searchDatas()'&gt;
								&lt;/div&gt;
								&lt;div class='input-search'&gt;
									&lt;input [(ngModel)]='movementType' name='movementType'
									class='form-control' [placeholder]="l('Movement Type')"
									type='text' (keyup.enter)='searchDatas()'&gt;
								&lt;/div&gt;
								&lt;div class='input-search'&gt;
									&lt;input [(ngModel)]='materialCodeFrom' name='materialCodeFrom'
									class='form-control' [placeholder]="l('Material Code From')"
									type='text' (keyup.enter)='searchDatas()'&gt;
								&lt;/div&gt;
								&lt;div class='input-search'&gt;
									&lt;input [(ngModel)]='plantFrom' name='plantFrom'
									class='form-control' [placeholder]="l('Plant From')"
									type='text' (keyup.enter)='searchDatas()'&gt;
								&lt;/div&gt;
								&lt;div class='input-search'&gt;
									&lt;input [(ngModel)]='valuationTypeFrom' name='valuationTypeFrom'
									class='form-control' [placeholder]="l('Valuation Type From')"
									type='text' (keyup.enter)='searchDatas()'&gt;
								&lt;/div&gt;
								&lt;div class='input-search'&gt;
									&lt;input [(ngModel)]='storageLocationFrom' name='storageLocationFrom'
									class='form-control' [placeholder]="l('Storage Location From')"
									type='text' (keyup.enter)='searchDatas()'&gt;
								&lt;/div&gt;
								&lt;div class='input-search'&gt;
									&lt;input [(ngModel)]='productionVersion' name='productionVersion'
									class='form-control' [placeholder]="l('Production Version')"
									type='text' (keyup.enter)='searchDatas()'&gt;
								&lt;/div&gt;
								&lt;div class='input-search'&gt;
									&lt;input [(ngModel)]='unitOfEntry' name='unitOfEntry'
									class='form-control' [placeholder]="l('Unit Of Entry')"
									type='text' (keyup.enter)='searchDatas()'&gt;
								&lt;/div&gt;
								&lt;div class='input-search'&gt;
									&lt;input [(ngModel)]='itemText' name='itemText'
									class='form-control' [placeholder]="l('Item Text')"
									type='text' (keyup.enter)='searchDatas()'&gt;
								&lt;/div&gt;
								&lt;div class='input-search'&gt;
									&lt;input [(ngModel)]='glAccount' name='glAccount'
									class='form-control' [placeholder]="l('Gl Account')"
									type='text' (keyup.enter)='searchDatas()'&gt;
								&lt;/div&gt;
								&lt;div class='input-search'&gt;
									&lt;input [(ngModel)]='costCenter' name='costCenter'
									class='form-control' [placeholder]="l('Cost Center')"
									type='text' (keyup.enter)='searchDatas()'&gt;
								&lt;/div&gt;
								&lt;div class='input-search'&gt;
									&lt;input [(ngModel)]='wbs' name='wbs'
									class='form-control' [placeholder]="l('Wbs')"
									type='text' (keyup.enter)='searchDatas()'&gt;
								&lt;/div&gt;
								&lt;div class='input-search'&gt;
									&lt;input [(ngModel)]='materialCodeTo' name='materialCodeTo'
									class='form-control' [placeholder]="l('Material Code To')"
									type='text' (keyup.enter)='searchDatas()'&gt;
								&lt;/div&gt;
								&lt;div class='input-search'&gt;
									&lt;input [(ngModel)]='plantTo' name='plantTo'
									class='form-control' [placeholder]="l('Plant To')"
									type='text' (keyup.enter)='searchDatas()'&gt;
								&lt;/div&gt;
								&lt;div class='input-search'&gt;
									&lt;input [(ngModel)]='valuationTypeTo' name='valuationTypeTo'
									class='form-control' [placeholder]="l('Valuation Type To')"
									type='text' (keyup.enter)='searchDatas()'&gt;
								&lt;/div&gt;
								&lt;div class='input-search'&gt;
									&lt;input [(ngModel)]='storageLocationTo' name='storageLocationTo'
									class='form-control' [placeholder]="l('Storage Location To')"
									type='text' (keyup.enter)='searchDatas()'&gt;
								&lt;/div&gt;
								&lt;div class='input-search'&gt;
									&lt;input [(ngModel)]='bfPc' name='bfPc'
									class='form-control' [placeholder]="l('Bf Pc')"
									type='text' (keyup.enter)='searchDatas()'&gt;
								&lt;/div&gt;
								&lt;div class='input-search'&gt;
									&lt;input [(ngModel)]='cancelFlag' name='cancelFlag'
									class='form-control' [placeholder]="l('Cancel Flag')"
									type='text' (keyup.enter)='searchDatas()'&gt;
								&lt;/div&gt;
								&lt;div class='input-search'&gt;
									&lt;input [(ngModel)]='reffMatDocNo' name='reffMatDocNo'
									class='form-control' [placeholder]="l('Reff Mat Doc No')"
									type='text' (keyup.enter)='searchDatas()'&gt;
								&lt;/div&gt;
								&lt;div class='input-search'&gt;
									&lt;input [(ngModel)]='vendorNo' name='vendorNo'
									class='form-control' [placeholder]="l('Vendor No')"
									type='text' (keyup.enter)='searchDatas()'&gt;
								&lt;/div&gt;
								&lt;div class='input-search'&gt;
									&lt;input [(ngModel)]='profitCenter' name='profitCenter'
									class='form-control' [placeholder]="l('Profit Center')"
									type='text' (keyup.enter)='searchDatas()'&gt;
								&lt;/div&gt;
								&lt;div class='input-search'&gt;
									&lt;input [(ngModel)]='shipemntCat' name='shipemntCat'
									class='form-control' [placeholder]="l('Shipemnt Cat')"
									type='text' (keyup.enter)='searchDatas()'&gt;
								&lt;/div&gt;
								&lt;div class='input-search'&gt;
									&lt;input [(ngModel)]='reference' name='reference'
									class='form-control' [placeholder]="l('Reference')"
									type='text' (keyup.enter)='searchDatas()'&gt;
								&lt;/div&gt;
								&lt;div class='input-search'&gt;
									&lt;input [(ngModel)]='assetNo' name='assetNo'
									class='form-control' [placeholder]="l('Asset No')"
									type='text' (keyup.enter)='searchDatas()'&gt;
								&lt;/div&gt;
								&lt;div class='input-search'&gt;
									&lt;input [(ngModel)]='subAssetNo' name='subAssetNo'
									class='form-control' [placeholder]="l('Sub Asset No')"
									type='text' (keyup.enter)='searchDatas()'&gt;
								&lt;/div&gt;
								&lt;div class='input-search'&gt;
									&lt;input [(ngModel)]='endOfRecord' name='endOfRecord'
									class='form-control' [placeholder]="l('End Of Record')"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(click)="createOrEditModalFQF3MM05.show()"&gt;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(click)="createOrEditModalFQF3MM05.show(selectedRow)"&gt;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&lt;create-or-edit-fqf3mm05-modal
    #createOrEditModalFQF3MM05
    (modalSave)="callBackDataGrid(dataParams)"
    (modalClose)="onChangeRowSelection(dataParams)"
&gt;
&lt;/create-or-edit-fqf3mm05-modal&gt;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#createOrEditModalFQF3MM05="bs-modal"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FQF3MM05')}}&lt;/h3&gt;
                    &lt;h3 *ngIf="!rowdata.id"&gt;{{('Create New FQF3MM05')}}&lt;/h3&gt;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title'&gt;Document Date&lt;/label&gt;
						&lt;input type='text' class='col-md-10 form-control input-text' name='DocumentDate' [(ngModel)]='rowdata.documentDate'&gt;
					&lt;/div&gt;
					&lt;div class='col-md-12 form-group row'&gt;
						&lt;label class='col-md-2 form-control title'&gt;Posting Date&lt;/label&gt;
						&lt;input type='text' class='col-md-10 form-control input-text' name='PostingDate' [(ngModel)]='rowdata.postingDate'&gt;
					&lt;/div&gt;
					&lt;div class='col-md-12 form-group row'&gt;
						&lt;label class='col-md-2 form-control title'&gt;Document Header Text&lt;/label&gt;
						&lt;input type='text' class='col-md-10 form-control input-text' name='DocumentHeaderText' [(ngModel)]='rowdata.documentHeaderText'&gt;
					&lt;/div&gt;
					&lt;div class='col-md-12 form-group row'&gt;
						&lt;label class='col-md-2 form-control title'&gt;Movement Type&lt;/label&gt;
						&lt;input type='text' class='col-md-10 form-control input-text' name='MovementType' [(ngModel)]='rowdata.movementType'&gt;
					&lt;/div&gt;
					&lt;div class='col-md-12 form-group row'&gt;
						&lt;label class='col-md-2 form-control title'&gt;Material Code From&lt;/label&gt;
						&lt;input type='text' class='col-md-10 form-control input-text' name='MaterialCodeFrom' [(ngModel)]='rowdata.materialCodeFrom'&gt;
					&lt;/div&gt;
					&lt;div class='col-md-12 form-group row'&gt;
						&lt;label class='col-md-2 form-control title'&gt;Plant From&lt;/label&gt;
						&lt;input type='text' class='col-md-10 form-control input-text' name='PlantFrom' [(ngModel)]='rowdata.plantFrom'&gt;
					&lt;/div&gt;
					&lt;div class='col-md-12 form-group row'&gt;
						&lt;label class='col-md-2 form-control title'&gt;Valuation Type From&lt;/label&gt;
						&lt;input type='text' class='col-md-10 form-control input-text' name='ValuationTypeFrom' [(ngModel)]='rowdata.valuationTypeFrom'&gt;
					&lt;/div&gt;
					&lt;div class='col-md-12 form-group row'&gt;
						&lt;label class='col-md-2 form-control title'&gt;Storage Location From&lt;/label&gt;
						&lt;input type='text' class='col-md-10 form-control input-text' name='StorageLocationFrom' [(ngModel)]='rowdata.storageLocationFrom'&gt;
					&lt;/div&gt;
					&lt;div class='col-md-12 form-group row'&gt;
						&lt;label class='col-md-2 form-control title'&gt;Production Version&lt;/label&gt;
						&lt;input type='text' class='col-md-10 form-control input-text' name='ProductionVersion' [(ngModel)]='rowdata.productionVersion'&gt;
					&lt;/div&gt;
					&lt;div class='col-md-12 form-group row'&gt;
						&lt;label class='col-md-2 form-control title'&gt;Unit Of Entry&lt;/label&gt;
						&lt;input type='text' class='col-md-10 form-control input-text' name='UnitOfEntry' [(ngModel)]='rowdata.unitOfEntry'&gt;
					&lt;/div&gt;
					&lt;div class='col-md-12 form-group row'&gt;
						&lt;label class='col-md-2 form-control title'&gt;Item Text&lt;/label&gt;
						&lt;input type='text' class='col-md-10 form-control input-text' name='ItemText' [(ngModel)]='rowdata.itemText'&gt;
					&lt;/div&gt;
					&lt;div class='col-md-12 form-group row'&gt;
						&lt;label class='col-md-2 form-control title'&gt;Gl Account&lt;/label&gt;
						&lt;input type='text' class='col-md-10 form-control input-text' name='GlAccount' [(ngModel)]='rowdata.glAccount'&gt;
					&lt;/div&gt;
					&lt;div class='col-md-12 form-group row'&gt;
						&lt;label class='col-md-2 form-control title'&gt;Cost Center&lt;/label&gt;
						&lt;input type='text' class='col-md-10 form-control input-text' name='CostCenter' [(ngModel)]='rowdata.costCenter'&gt;
					&lt;/div&gt;
					&lt;div class='col-md-12 form-group row'&gt;
						&lt;label class='col-md-2 form-control title'&gt;Wbs&lt;/label&gt;
						&lt;input type='text' class='col-md-10 form-control input-text' name='Wbs' [(ngModel)]='rowdata.wbs'&gt;
					&lt;/div&gt;
					&lt;div class='col-md-12 form-group row'&gt;
						&lt;label class='col-md-2 form-control title'&gt;Material Code To&lt;/label&gt;
						&lt;input type='text' class='col-md-10 form-control input-text' name='MaterialCodeTo' [(ngModel)]='rowdata.materialCodeTo'&gt;
					&lt;/div&gt;
					&lt;div class='col-md-12 form-group row'&gt;
						&lt;label class='col-md-2 form-control title'&gt;Plant To&lt;/label&gt;
						&lt;input type='text' class='col-md-10 form-control input-text' name='PlantTo' [(ngModel)]='rowdata.plantTo'&gt;
					&lt;/div&gt;
					&lt;div class='col-md-12 form-group row'&gt;
						&lt;label class='col-md-2 form-control title'&gt;Valuation Type To&lt;/label&gt;
						&lt;input type='text' class='col-md-10 form-control input-text' name='ValuationTypeTo' [(ngModel)]='rowdata.valuationTypeTo'&gt;
					&lt;/div&gt;
					&lt;div class='col-md-12 form-group row'&gt;
						&lt;label class='col-md-2 form-control title'&gt;Storage Location To&lt;/label&gt;
						&lt;input type='text' class='col-md-10 form-control input-text' name='StorageLocationTo' [(ngModel)]='rowdata.storageLocationTo'&gt;
					&lt;/div&gt;
					&lt;div class='col-md-12 form-group row'&gt;
						&lt;label class='col-md-2 form-control title'&gt;Bf Pc&lt;/label&gt;
						&lt;new-checkbox [(ngModel)]='_bfPc' name='bfPc' className='col-md-10' &gt; &lt;/new-checkbox&gt;
					&lt;/div&gt;
					&lt;div class='col-md-12 form-group row'&gt;
						&lt;label class='col-md-2 form-control title'&gt;Cancel Flag&lt;/label&gt;
						&lt;new-checkbox [(ngModel)]='_cancelFlag' name='cancelFlag' className='col-md-10' &gt; &lt;/new-checkbox&gt;
					&lt;/div&gt;
					&lt;div class='col-md-12 form-group row'&gt;
						&lt;label class='col-md-2 form-control title'&gt;Reff Mat Doc No&lt;/label&gt;
						&lt;input type='text' class='col-md-10 form-control input-text' name='ReffMatDocNo' [(ngModel)]='rowdata.reffMatDocNo'&gt;
					&lt;/div&gt;
					&lt;div class='col-md-12 form-group row'&gt;
						&lt;label class='col-md-2 form-control title'&gt;Vendor No&lt;/label&gt;
						&lt;input type='text' class='col-md-10 form-control input-text' name='VendorNo' [(ngModel)]='rowdata.vendorNo'&gt;
					&lt;/div&gt;
					&lt;div class='col-md-12 form-group row'&gt;
						&lt;label class='col-md-2 form-control title'&gt;Profit Center&lt;/label&gt;
						&lt;input type='text' class='col-md-10 form-control input-text' name='ProfitCenter' [(ngModel)]='rowdata.profitCenter'&gt;
					&lt;/div&gt;
					&lt;div class='col-md-12 form-group row'&gt;
						&lt;label class='col-md-2 form-control title'&gt;Shipemnt Cat&lt;/label&gt;
						&lt;new-checkbox [(ngModel)]='_shipemntCat' name='shipemntCat' className='col-md-10' &gt; &lt;/new-checkbox&gt;
					&lt;/div&gt;
					&lt;div class='col-md-12 form-group row'&gt;
						&lt;label class='col-md-2 form-control title'&gt;Reference&lt;/label&gt;
						&lt;input type='text' class='col-md-10 form-control input-text' name='Reference' [(ngModel)]='rowdata.reference'&gt;
					&lt;/div&gt;
					&lt;div class='col-md-12 form-group row'&gt;
						&lt;label class='col-md-2 form-control title'&gt;Asset No&lt;/label&gt;
						&lt;input type='text' class='col-md-10 form-control input-text' name='AssetNo' [(ngModel)]='rowdata.assetNo'&gt;
					&lt;/div&gt;
					&lt;div class='col-md-12 form-group row'&gt;
						&lt;label class='col-md-2 form-control title'&gt;Sub Asset No&lt;/label&gt;
						&lt;input type='text' class='col-md-10 form-control input-text' name='SubAssetNo' [(ngModel)]='rowdata.subAssetNo'&gt;
					&lt;/div&gt;
					&lt;div class='col-md-12 form-group row'&gt;
						&lt;label class='col-md-2 form-control title'&gt;End Of Record&lt;/label&gt;
						&lt;new-checkbox [(ngModel)]='_endOfRecord' name='endOfRecord'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CreateOrEditIF_FQF3MM05Dto, IF_FQF3MM05ServiceProxy } from '@shared/service-proxies/service-proxies';
import { BsDatepickerDirective } from 'ngx-bootstrap/datepicker';
@Component({
    selector: 'create-or-edit-fqf3mm05-modal',
    templateUrl: './create-or-edit-fqf3mm05-modal.component.html',
    styleUrls: ['./create-or-edit-fqf3mm05-modal.component.less']
    })
export class CreateOrEditFQF3MM05ModalComponent extends AppComponentBase {
    @ViewChild('createOrEditModalFQF3MM05',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CreateOrEditIF_FQF3MM05Dto = new CreateOrEditIF_FQF3MM05Dto();
    active: boolean = false;
    saving: boolean = false;
    _bfPc
cancelFlag
shipemntCat
endOfRecord: boolean;
    constructor(
        injector: Injector,
        private _mstwptFQF3MM05Service: IF_FQF3MM05ServiceProxy,
    ) 
    {
        super(injector);
    }
    show(rowdata?: CreateOrEditIF_FQF3MM05Dto): void {
        if (!rowdata) this.rowdata = new CreateOrEditIF_FQF3MM05Dto();
        else this.rowdata = rowdata;
        this._bfPc
cancelFlag
shipemntCat
endOfRecord = (this.rowdata.bfPc
cancelFlag
shipemntCat
endOfRecord == "N")? false: true;
        this.active = true;
        this.modal.show();
    } 
    changeActive(event){
        this._bfPc
cancelFlag
shipemntCat
endOfRecord = event.target.checked;
    }
    save(): void {
    this.saving = true; 
    this.rowdata.bfPc
cancelFlag
shipemntCat
endOfRecord = (this._bfPc
cancelFlag
shipemntCat
endOfRecord == true) ? 'Y' : 'N'
    this._mstwptFQF3MM05Service.createOrEdit(this.rowdata)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FQF3MM05RoutingModule } from './fqf3mm05-routing.module';
import { FQF3MM05Component } from './fqf3mm05.component';
import { CreateOrEditFQF3MM05ModalComponent } from './create-or-edit-fqf3mm05-modal.component';
@NgModule({
    declarations: [
       FQF3MM05Component, 
        CreateOrEditFQF3MM05ModalComponent
    ],
    imports: [
        AppSharedModule, FQF3MM05RoutingModule]
})
export class FQF3MM05Module {}</v>
      </c>
      <c r="J75" s="46" t="str">
        <f>B.Frontend!O10</f>
        <v>import {NgModule} from '@angular/core';
import {RouterModule, Routes} from '@angular/router';
import { FQF3MM05Component } from './fqf3mm05.component';
const routes: Routes = [{
    path: '',
    component: FQF3MM05Component,
    pathMatch: 'full'
}];
@NgModule({
    imports: [RouterModule.forChild(routes)],
    exports: [RouterModule],
})
export class FQF3MM05RoutingModule {}</v>
      </c>
      <c r="K75" s="46" t="str">
        <f>B.Frontend!P10</f>
        <v xml:space="preserve"> new AppMenuItem("FQF3MM05", "Pages.IF.IF.FQF3MM05", "flaticon-book",   "/app/main/if/if/fqf3mm05"),</v>
      </c>
      <c r="L75" s="47" t="str">
        <f>B.Frontend!Q10</f>
        <v>{
    path: 'if/if/fqf3mm05',
    loadChildren: () =&gt; import('./if/if/fqf3mm05/fqf3mm05.module').then(m =&gt; m.FQF3MM05Module),
    data: { permission: 'Pages.IF.IF.FQF3MM05' }
},</v>
      </c>
      <c r="M75" s="45" t="str">
        <f>B.Frontend!R10</f>
        <v>ApiServiceProxies.IF_FQF3MM05ServiceProxy,</v>
      </c>
    </row>
    <row r="77" spans="2:14" x14ac:dyDescent="0.25">
      <c r="B77" s="1" t="s">
        <v>72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40"/>
  <sheetViews>
    <sheetView tabSelected="1" workbookViewId="0">
      <pane xSplit="1" topLeftCell="B1" activePane="topRight" state="frozen"/>
      <selection pane="topRight" activeCell="B5" sqref="B5"/>
    </sheetView>
  </sheetViews>
  <sheetFormatPr defaultColWidth="9.140625" defaultRowHeight="15" x14ac:dyDescent="0.25"/>
  <cols>
    <col min="1" max="1" width="20.855468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68</v>
      </c>
      <c r="C1" s="9" t="s">
        <v>51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vovina.Inventory.IF.Dto;</v>
      </c>
      <c r="E1" s="9" t="s">
        <v>262</v>
      </c>
      <c r="F1" s="10" t="s">
        <v>235</v>
      </c>
      <c r="H1" s="10" t="s">
        <v>236</v>
      </c>
      <c r="J1" s="10" t="s">
        <v>237</v>
      </c>
      <c r="L1" s="10" t="s">
        <v>238</v>
      </c>
      <c r="M1" s="10" t="s">
        <v>239</v>
      </c>
      <c r="N1" s="10" t="s">
        <v>240</v>
      </c>
      <c r="O1" s="10" t="s">
        <v>241</v>
      </c>
      <c r="T1" s="9" t="s">
        <v>254</v>
      </c>
      <c r="U1" s="9" t="s">
        <v>226</v>
      </c>
      <c r="W1" s="9"/>
    </row>
    <row r="2" spans="1:23" s="10" customFormat="1" x14ac:dyDescent="0.25">
      <c r="A2" s="1" t="s">
        <v>12</v>
      </c>
      <c r="B2" s="27" t="s">
        <v>396</v>
      </c>
      <c r="C2" s="13" t="s">
        <v>38</v>
      </c>
      <c r="D2" s="13" t="s">
        <v>39</v>
      </c>
      <c r="E2" s="13" t="s">
        <v>40</v>
      </c>
      <c r="F2" s="13" t="s">
        <v>48</v>
      </c>
      <c r="G2" s="13" t="s">
        <v>46</v>
      </c>
      <c r="H2" s="13" t="s">
        <v>49</v>
      </c>
      <c r="I2" s="13" t="s">
        <v>43</v>
      </c>
      <c r="J2" s="13" t="s">
        <v>50</v>
      </c>
      <c r="K2" s="13" t="s">
        <v>52</v>
      </c>
      <c r="L2" s="13" t="s">
        <v>59</v>
      </c>
      <c r="M2" s="13" t="s">
        <v>58</v>
      </c>
      <c r="N2" s="13" t="s">
        <v>62</v>
      </c>
      <c r="O2" s="13" t="s">
        <v>82</v>
      </c>
      <c r="T2" s="10" t="s">
        <v>242</v>
      </c>
      <c r="V2" s="10" t="s">
        <v>243</v>
      </c>
      <c r="W2" s="9" t="s">
        <v>253</v>
      </c>
    </row>
    <row r="3" spans="1:23" s="10" customFormat="1" ht="33" customHeight="1" x14ac:dyDescent="0.25">
      <c r="A3" s="1" t="s">
        <v>5</v>
      </c>
      <c r="B3" s="27" t="s">
        <v>394</v>
      </c>
      <c r="C3" s="9" t="s">
        <v>41</v>
      </c>
      <c r="D3" s="9" t="s">
        <v>42</v>
      </c>
      <c r="E3" s="9" t="s">
        <v>37</v>
      </c>
      <c r="F3" s="10" t="str">
        <f>"J"&amp;COUNTA($A:$A)</f>
        <v>J38</v>
      </c>
      <c r="G3" s="4" t="s">
        <v>54</v>
      </c>
      <c r="H3" s="9" t="str">
        <f>"I"&amp;COUNTA($A:$A)</f>
        <v>I38</v>
      </c>
      <c r="I3" s="9" t="str">
        <f>REPT(CHAR(9),2)&amp;"[Required]"&amp;"
"</f>
        <v xml:space="preserve">		[Required]
</v>
      </c>
      <c r="J3" s="10" t="str">
        <f>"L"&amp;COUNTA($A:$A)</f>
        <v>L38</v>
      </c>
      <c r="K3" s="5" t="s">
        <v>53</v>
      </c>
      <c r="L3" s="10" t="str">
        <f>"M"&amp;COUNTA($A:$A)</f>
        <v>M38</v>
      </c>
      <c r="M3" s="10" t="str">
        <f>"N"&amp;COUNTA($A:$A)</f>
        <v>N38</v>
      </c>
      <c r="N3" s="10" t="str">
        <f>"O"&amp;COUNTA($A:$A)</f>
        <v>O38</v>
      </c>
      <c r="O3" s="10" t="str">
        <f>"P"&amp;COUNTA($A:$A)</f>
        <v>P38</v>
      </c>
      <c r="Q3" s="10" t="str">
        <f>RIGHT(B2,(LEN(B2)-FIND(".",B2,1)))</f>
        <v>IF</v>
      </c>
      <c r="R3" s="29" t="str">
        <f>REPT(CHAR(9),1)&amp;"public class "&amp;B3&amp;"ExportInput"&amp;C3</f>
        <v xml:space="preserve">	public class IF_FQF3MM05ExportInput{
</v>
      </c>
      <c r="S3" s="10" t="str">
        <f>"namespace "&amp;$B$6&amp;".Exporting
"&amp;$C$3</f>
        <v xml:space="preserve">namespace prod.Inventory.IF.Exporting
{
</v>
      </c>
      <c r="T3" s="10" t="str">
        <f>"T"&amp;COUNTA($A:$A)</f>
        <v>T38</v>
      </c>
      <c r="V3" s="10" t="str">
        <f>"V"&amp;COUNTA($A:$A)</f>
        <v>V38</v>
      </c>
      <c r="W3" s="9" t="str">
        <f>"W"&amp;COUNTA($A:$A)</f>
        <v>W38</v>
      </c>
    </row>
    <row r="4" spans="1:23" s="10" customFormat="1" ht="33" customHeight="1" x14ac:dyDescent="0.25">
      <c r="A4" s="1" t="s">
        <v>233</v>
      </c>
      <c r="B4" s="65" t="s">
        <v>397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234</v>
      </c>
      <c r="B5" s="65" t="s">
        <v>395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prod.Inventory.IF</v>
      </c>
      <c r="C6" s="10" t="str">
        <f>"namespace "&amp;$B$6&amp;"
"&amp;$C$3</f>
        <v xml:space="preserve">namespace prod.Inventory.IF
{
</v>
      </c>
      <c r="D6" s="10" t="str">
        <f>REPT(CHAR(9),1)&amp;"public class "&amp;B3&amp;G3&amp;REPT(CHAR(9),1)&amp;"
"&amp;REPT(CHAR(9),1)&amp;C3</f>
        <v xml:space="preserve">	public class IF_FQF3MM05: FullAuditedEntity&lt;long&gt;, IEntity&lt;long&gt;	
	{
</v>
      </c>
      <c r="E6" s="10" t="str">
        <f>REPT(CHAR(9),1)&amp;"public class "&amp;B3&amp;"Consts"&amp;REPT(CHAR(9),1)&amp;"
"&amp;REPT(CHAR(9),1)&amp;C3</f>
        <v xml:space="preserve">	public class IF_FQF3MM05Consts	
	{
</v>
      </c>
      <c r="F6" s="10" t="str">
        <f>REPT(CHAR(9),1)&amp;"public class "&amp;B3&amp;"Dto"&amp;K3&amp;REPT(CHAR(9),1)&amp;"
"&amp;REPT(CHAR(9),1)&amp;C3</f>
        <v xml:space="preserve">	public class IF_FQF3MM05Dto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CreateOrEditIF_FQF3MM05Dto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GetIF_FQF3MM05Input : PagedAndSortedResultRequestDto	
	{
</v>
      </c>
      <c r="I6" s="10"/>
      <c r="J6" s="1" t="s">
        <v>69</v>
      </c>
      <c r="K6" s="1" t="s">
        <v>63</v>
      </c>
      <c r="L6" s="1" t="s">
        <v>64</v>
      </c>
      <c r="M6" s="1" t="s">
        <v>65</v>
      </c>
      <c r="N6" s="1" t="s">
        <v>232</v>
      </c>
      <c r="O6" s="1" t="s">
        <v>231</v>
      </c>
      <c r="P6" s="1" t="s">
        <v>66</v>
      </c>
      <c r="Q6" s="1" t="s">
        <v>67</v>
      </c>
      <c r="R6" s="1" t="s">
        <v>199</v>
      </c>
      <c r="S6" s="1" t="s">
        <v>201</v>
      </c>
      <c r="T6" s="1" t="s">
        <v>200</v>
      </c>
      <c r="U6" s="1" t="s">
        <v>223</v>
      </c>
      <c r="W6" s="26"/>
    </row>
    <row r="7" spans="1:23" customFormat="1" ht="24.95" customHeight="1" x14ac:dyDescent="0.25">
      <c r="A7" s="1" t="s">
        <v>13</v>
      </c>
      <c r="B7" s="9" t="str">
        <f>B3</f>
        <v>IF_FQF3MM05</v>
      </c>
      <c r="C7" s="10" t="str">
        <f>REPT(CHAR(9),1)&amp;"[Table("""&amp;B7&amp;""")]"&amp;"
"</f>
        <v xml:space="preserve">	[Table("IF_FQF3MM05")]
</v>
      </c>
      <c r="D7" s="10"/>
      <c r="E7" s="10"/>
      <c r="F7" s="10"/>
      <c r="G7" s="10"/>
      <c r="H7" s="10"/>
      <c r="I7" s="10"/>
      <c r="J7" t="str">
        <f ca="1">SUBSTITUTE(SUBSTITUTE((B1&amp;C6&amp;C7&amp;K40&amp;D6&amp;I40&amp;E3&amp;J40&amp;""&amp;REPT(CHAR(9),1)&amp;D3&amp;D3),"WorkingPattern",$Q$3),"Master",$B$4)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prod.Inventory.IF
{
	[Table("IF_FQF3MM05")]
	public class IF_FQF3MM05: FullAuditedEntity&lt;long&gt;, IEntity&lt;long&gt;	
	{
		public const int MaxDocumentDateLength = 10;
		public const int MaxPostingDateLength = 10;
		public const int MaxDocumentHeaderTextLength = 25;
		public const int MaxMovementTypeLength = 3;
		public const int MaxMaterialCodeFromLength = 40;
		public const int MaxPlantFromLength = 4;
		public const int MaxValuationTypeFromLength = 10;
		public const int MaxStorageLocationFromLength = 4;
		public const int MaxProductionVersionLength = 4;
		public const int MaxUnitOfEntryLength = 3;
		public const int MaxItemTextLength = 50;
		public const int MaxGlAccountLength = 10;
		public const int MaxCostCenterLength = 10;
		public const int MaxWbsLength = 24;
		public const int MaxMaterialCodeToLength = 40;
		public const int MaxPlantToLength = 4;
		public const int MaxValuationTypeToLength = 10;
		public const int MaxStorageLocationToLength = 4;
		public const int MaxBfPcLength = 1;
		public const int MaxCancelFlagLength = 1;
		public const int MaxReffMatDocNoLength = 25;
		public const int MaxVendorNoLength = 10;
		public const int MaxProfitCenterLength = 10;
		public const int MaxShipemntCatLength = 1;
		public const int MaxReferenceLength = 16;
		public const int MaxAssetNoLength = 12;
		public const int MaxSubAssetNoLength = 4;
		public const int MaxEndOfRecordLength = 1;
		public virtual int? RunningNo { get; set; }
		[StringLength(MaxDocumentDateLength)]
		public virtual string DocumentDate { get; set; }
		[StringLength(MaxPostingDateLength)]
		public virtual string PostingDate { get; set; }
		[StringLength(MaxDocumentHeaderTextLength)]
		public virtual string DocumentHeaderText { get; set; }
		[StringLength(MaxMovementTypeLength)]
		public virtual string MovementType { get; set; }
		[StringLength(MaxMaterialCodeFromLength)]
		public virtual string MaterialCodeFrom { get; set; }
		[StringLength(MaxPlantFromLength)]
		public virtual string PlantFrom { get; set; }
		[StringLength(MaxValuationTypeFromLength)]
		public virtual string ValuationTypeFrom { get; set; }
		[StringLength(MaxStorageLocationFromLength)]
		public virtual string StorageLocationFrom { get; set; }
		[StringLength(MaxProductionVersionLength)]
		public virtual string ProductionVersion { get; set; }
		public virtual int? Quantity { get; set; }
		[StringLength(MaxUnitOfEntryLength)]
		public virtual string UnitOfEntry { get; set; }
		[StringLength(MaxItemTextLength)]
		public virtual string ItemText { get; set; }
		[StringLength(MaxGlAccountLength)]
		public virtual string GlAccount { get; set; }
		[StringLength(MaxCostCenterLength)]
		public virtual string CostCenter { get; set; }
		[StringLength(MaxWbsLength)]
		public virtual string Wbs { get; set; }
		[StringLength(MaxMaterialCodeToLength)]
		public virtual string MaterialCodeTo { get; set; }
		[StringLength(MaxPlantToLength)]
		public virtual string PlantTo { get; set; }
		[StringLength(MaxValuationTypeToLength)]
		public virtual string ValuationTypeTo { get; set; }
		[StringLength(MaxStorageLocationToLength)]
		public virtual string StorageLocationTo { get; set; }
		[StringLength(MaxBfPcLength)]
		public virtual string BfPc { get; set; }
		[StringLength(MaxCancelFlagLength)]
		public virtual string CancelFlag { get; set; }
		[StringLength(MaxReffMatDocNoLength)]
		public virtual string ReffMatDocNo { get; set; }
		[StringLength(MaxVendorNoLength)]
		public virtual string VendorNo { get; set; }
		[StringLength(MaxProfitCenterLength)]
		public virtual string ProfitCenter { get; set; }
		[StringLength(MaxShipemntCatLength)]
		public virtual string ShipemntCat { get; set; }
		[StringLength(MaxReferenceLength)]
		public virtual string Reference { get; set; }
		[StringLength(MaxAssetNoLength)]
		public virtual string AssetNo { get; set; }
		[StringLength(MaxSubAssetNoLength)]
		public virtual string SubAssetNo { get; set; }
		[StringLength(MaxEndOfRecordLength)]
		public virtual string EndOfRecord { get; set; }
	}
}
</v>
      </c>
      <c r="K7" t="str">
        <f>SUBSTITUTE(SUBSTITUTE(("public virtual DbSet&lt;"&amp;B3&amp;"&gt; "&amp;B3&amp;"s { get; set; }"),"WorkingPattern",$Q$3),"Master",$B$4)</f>
        <v>public virtual DbSet&lt;IF_FQF3MM05&gt; IF_FQF3MM05s { get; set; }</v>
      </c>
      <c r="L7" t="str">
        <f ca="1">SUBSTITUTE(SUBSTITUTE((C6&amp;E6&amp;I40&amp;"
"&amp;REPT(CHAR(9),2)&amp;"// Define Store Name: Format SP_ + &lt;Store Name&gt; = &lt;Store Name&gt;
"&amp;E3&amp;REPT(CHAR(9),1)&amp;D3&amp;D3),"WorkingPattern",$Q$3),"Master",$B$4)</f>
        <v xml:space="preserve">namespace prod.Inventory.IF
{
	public class IF_FQF3MM05Consts	
	{
		public const int MaxDocumentDateLength = 10;
		public const int MaxPostingDateLength = 10;
		public const int MaxDocumentHeaderTextLength = 25;
		public const int MaxMovementTypeLength = 3;
		public const int MaxMaterialCodeFromLength = 40;
		public const int MaxPlantFromLength = 4;
		public const int MaxValuationTypeFromLength = 10;
		public const int MaxStorageLocationFromLength = 4;
		public const int MaxProductionVersionLength = 4;
		public const int MaxUnitOfEntryLength = 3;
		public const int MaxItemTextLength = 50;
		public const int MaxGlAccountLength = 10;
		public const int MaxCostCenterLength = 10;
		public const int MaxWbsLength = 24;
		public const int MaxMaterialCodeToLength = 40;
		public const int MaxPlantToLength = 4;
		public const int MaxValuationTypeToLength = 10;
		public const int MaxStorageLocationToLength = 4;
		public const int MaxBfPcLength = 1;
		public const int MaxCancelFlagLength = 1;
		public const int MaxReffMatDocNoLength = 25;
		public const int MaxVendorNoLength = 10;
		public const int MaxProfitCenterLength = 10;
		public const int MaxShipemntCatLength = 1;
		public const int MaxReferenceLength = 16;
		public const int MaxAssetNoLength = 12;
		public const int MaxSubAssetNoLength = 4;
		public const int MaxEndOfRecordLength = 1;
		// Define Store Name: Format SP_ + &lt;Store Name&gt; = &lt;Store Name&gt;
	}
}
</v>
      </c>
      <c r="M7" t="str">
        <f ca="1">SUBSTITUTE(SUBSTITUTE((C1&amp;"namespace "&amp;B6&amp;".Dto"&amp;E3&amp;C3&amp;F6&amp;M40&amp;E3&amp;REPT(CHAR(9),1)&amp;D3&amp;G6&amp;N40&amp;REPT(CHAR(9),1)&amp;D3&amp;H6&amp;O40&amp;"
"&amp;REPT(CHAR(9),1)&amp;D3&amp;D3),"WorkingPattern",$Q$3),"Master",$B$4)</f>
        <v xml:space="preserve">using Abp.Application.Services.Dto;
using System;
using System.ComponentModel.DataAnnotations;
namespace prod.Inventory.IF.Dto
{
	public class IF_FQF3MM05Dto : EntityDto&lt;long?&gt;	
	{
		public virtual int? RunningNo { get; set; }
		public virtual string DocumentDate { get; set; }
		public virtual string PostingDate { get; set; }
		public virtual string DocumentHeaderText { get; set; }
		public virtual string MovementType { get; set; }
		public virtual string MaterialCodeFrom { get; set; }
		public virtual string PlantFrom { get; set; }
		public virtual string ValuationTypeFrom { get; set; }
		public virtual string StorageLocationFrom { get; set; }
		public virtual string ProductionVersion { get; set; }
		public virtual int? Quantity { get; set; }
		public virtual string UnitOfEntry { get; set; }
		public virtual string ItemText { get; set; }
		public virtual string GlAccount { get; set; }
		public virtual string CostCenter { get; set; }
		public virtual string Wbs { get; set; }
		public virtual string MaterialCodeTo { get; set; }
		public virtual string PlantTo { get; set; }
		public virtual string ValuationTypeTo { get; set; }
		public virtual string StorageLocationTo { get; set; }
		public virtual string BfPc { get; set; }
		public virtual string CancelFlag { get; set; }
		public virtual string ReffMatDocNo { get; set; }
		public virtual string VendorNo { get; set; }
		public virtual string ProfitCenter { get; set; }
		public virtual string ShipemntCat { get; set; }
		public virtual string Reference { get; set; }
		public virtual string AssetNo { get; set; }
		public virtual string SubAssetNo { get; set; }
		public virtual string EndOfRecord { get; set; }
	}
	public class CreateOrEditIF_FQF3MM05Dto : EntityDto&lt;long?&gt;	
	{
		public virtual int? RunningNo { get; set; }
		[StringLength(IF_FQF3MM05Consts.MaxDocumentDateLength)]
		public virtual string DocumentDate { get; set; }
		[StringLength(IF_FQF3MM05Consts.MaxPostingDateLength)]
		public virtual string PostingDate { get; set; }
		[StringLength(IF_FQF3MM05Consts.MaxDocumentHeaderTextLength)]
		public virtual string DocumentHeaderText { get; set; }
		[StringLength(IF_FQF3MM05Consts.MaxMovementTypeLength)]
		public virtual string MovementType { get; set; }
		[StringLength(IF_FQF3MM05Consts.MaxMaterialCodeFromLength)]
		public virtual string MaterialCodeFrom { get; set; }
		[StringLength(IF_FQF3MM05Consts.MaxPlantFromLength)]
		public virtual string PlantFrom { get; set; }
		[StringLength(IF_FQF3MM05Consts.MaxValuationTypeFromLength)]
		public virtual string ValuationTypeFrom { get; set; }
		[StringLength(IF_FQF3MM05Consts.MaxStorageLocationFromLength)]
		public virtual string StorageLocationFrom { get; set; }
		[StringLength(IF_FQF3MM05Consts.MaxProductionVersionLength)]
		public virtual string ProductionVersion { get; set; }
		public virtual int? Quantity { get; set; }
		[StringLength(IF_FQF3MM05Consts.MaxUnitOfEntryLength)]
		public virtual string UnitOfEntry { get; set; }
		[StringLength(IF_FQF3MM05Consts.MaxItemTextLength)]
		public virtual string ItemText { get; set; }
		[StringLength(IF_FQF3MM05Consts.MaxGlAccountLength)]
		public virtual string GlAccount { get; set; }
		[StringLength(IF_FQF3MM05Consts.MaxCostCenterLength)]
		public virtual string CostCenter { get; set; }
		[StringLength(IF_FQF3MM05Consts.MaxWbsLength)]
		public virtual string Wbs { get; set; }
		[StringLength(IF_FQF3MM05Consts.MaxMaterialCodeToLength)]
		public virtual string MaterialCodeTo { get; set; }
		[StringLength(IF_FQF3MM05Consts.MaxPlantToLength)]
		public virtual string PlantTo { get; set; }
		[StringLength(IF_FQF3MM05Consts.MaxValuationTypeToLength)]
		public virtual string ValuationTypeTo { get; set; }
		[StringLength(IF_FQF3MM05Consts.MaxStorageLocationToLength)]
		public virtual string StorageLocationTo { get; set; }
		[StringLength(IF_FQF3MM05Consts.MaxBfPcLength)]
		public virtual string BfPc { get; set; }
		[StringLength(IF_FQF3MM05Consts.MaxCancelFlagLength)]
		public virtual string CancelFlag { get; set; }
		[StringLength(IF_FQF3MM05Consts.MaxReffMatDocNoLength)]
		public virtual string ReffMatDocNo { get; set; }
		[StringLength(IF_FQF3MM05Consts.MaxVendorNoLength)]
		public virtual string VendorNo { get; set; }
		[StringLength(IF_FQF3MM05Consts.MaxProfitCenterLength)]
		public virtual string ProfitCenter { get; set; }
		[StringLength(IF_FQF3MM05Consts.MaxShipemntCatLength)]
		public virtual string ShipemntCat { get; set; }
		[StringLength(IF_FQF3MM05Consts.MaxReferenceLength)]
		public virtual string Reference { get; set; }
		[StringLength(IF_FQF3MM05Consts.MaxAssetNoLength)]
		public virtual string AssetNo { get; set; }
		[StringLength(IF_FQF3MM05Consts.MaxSubAssetNoLength)]
		public virtual string SubAssetNo { get; set; }
		[StringLength(IF_FQF3MM05Consts.MaxEndOfRecordLength)]
		public virtual string EndOfRecord { get; set; }
	}
	public class GetIF_FQF3MM05Input : PagedAndSortedResultRequestDto	
	{
		public virtual string DocumentDate { get; set; }
		public virtual string PostingDate { get; set; }
		public virtual string DocumentHeaderText { get; set; }
		public virtual string MovementType { get; set; }
		public virtual string MaterialCodeFrom { get; set; }
		public virtual string PlantFrom { get; set; }
		public virtual string ValuationTypeFrom { get; set; }
		public virtual string StorageLocationFrom { get; set; }
		public virtual string ProductionVersion { get; set; }
		public virtual string UnitOfEntry { get; set; }
		public virtual string ItemText { get; set; }
		public virtual string GlAccount { get; set; }
		public virtual string CostCenter { get; set; }
		public virtual string Wbs { get; set; }
		public virtual string MaterialCodeTo { get; set; }
		public virtual string PlantTo { get; set; }
		public virtual string ValuationTypeTo { get; set; }
		public virtual string StorageLocationTo { get; set; }
		public virtual string BfPc { get; set; }
		public virtual string CancelFlag { get; set; }
		public virtual string ReffMatDocNo { get; set; }
		public virtual string VendorNo { get; set; }
		public virtual string ProfitCenter { get; set; }
		public virtual string ShipemntCat { get; set; }
		public virtual string Reference { get; set; }
		public virtual string AssetNo { get; set; }
		public virtual string SubAssetNo { get; set; }
		public virtual string EndOfRecord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perIF_FQF3MM05 = PARENTS.CreateChildPermission(AppPermissions.Pages_Inventory_IF_FQF3MM05, L( "InventoryIFFQF3MM05"), multiTenancySides: MultiTenancySides.Tenant);
		perIF_FQF3MM05.CreateChildPermission(AppPermissions.Pages_Inventory_IF_FQF3MM05_CreateEdit, L( "InventoryIFFQF3MM05CreateEdit"), multiTenancySides: MultiTenancySides.Tenant);
		perIF_FQF3MM05.CreateChildPermission(AppPermissions.Pages_Inventory_IF_FQF3MM05_Delete, L( "InventoryIFFQF3MM05Delete"),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Pages_Inventory_IF_FQF3MM05 = "Pages.Inventory.IF.FQF3MM05";
		public const string Pages_Inventory_IF_FQF3MM05_CreateEdit = "Pages.Inventory.IF.FQF3MM05.CreateEdit";
		public const string Pages_Inventory_IF_FQF3MM05_Delete = "Pages.Inventory.IF.FQF3MM05.Delete";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vovina.Inventory.IF.Dto;
namespace prod.Inventory.IF
{
	public interface IIF_FQF3MM05AppService : IApplicationService
	{
		Task&lt;PagedResultDto&lt;IF_FQF3MM05Dto&gt;&gt; GetAll(GetIF_FQF3MM05Input input);
		Task CreateOrEdit(CreateOrEditIF_FQF3MM05Dto input);
		Task Delete(EntityDto input);
	}
}
</v>
      </c>
      <c r="Q7" t="str">
        <f ca="1">SUBSTITUTE(SUBSTITUTE(SUBSTITUTE(SUBSTITUTE(SUBSTITUTE(SUBSTITUTE(E1,"MstWptCalendar",$B$3),"&lt;PROPERTIES&gt;",P40),"Calendar",$B$5),"WorkingPattern",$Q$3),"Master",$B$4),"&lt;PARAMS_SEARCH&gt;",$W$40)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vovina.IF.IF.Dto;
using vovina.IF.IF.Exporting;
namespace vovina.IF.IF
{
    [AbpAuthorize(AppPermissions.Pages_IF_IF_FQF3MM05)]
    public class IF_FQF3MM05AppService : vovinaAppServiceBase, IIF_FQF3MM05AppService
    {
        private readonly IDapperRepository&lt;IF_FQF3MM05, long&gt; _dapperRepo;
        private readonly IRepository&lt;IF_FQF3MM05, long&gt; _repo;
        private readonly IIF_FQF3MM05ExcelExporter _calendarListExcelExporter;
        public IF_FQF3MM05AppService(IRepository&lt;IF_FQF3MM05,long&gt; repo, 
                                         IDapperRepository&lt;IF_FQF3MM05,long&gt; dapperRepo,
                                        IIF_FQF3MM05ExcelExporter calendarListExcelExporter
            )
        {
            _repo = repo;
            _dapperRepo = dapperRepo;
            _calendarListExcelExporter = calendarListExcelExporter;
        }
        [AbpAuthorize(AppPermissions.Pages_IF_IF_FQF3MM05_CreateEdit)]
        public async Task CreateOrEdit(CreateOrEditIF_FQF3MM05Dto input)
        {
            if (input.Id == null) await Create(input);
            else await Update(input);
        }
        //CREATE
        private async Task Create(CreateOrEditIF_FQF3MM05Dto input)
        {          
            var mainObj = ObjectMapper.Map&lt;IF_FQF3MM05&gt;(input);
            await CurrentUnitOfWork.GetDbContext&lt;vovinaDbContext&gt;().AddAsync(mainObj);
        }
        // EDIT
        private async Task Update(CreateOrEditIF_FQF3MM05Dto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[AbpAuthorize(AppPermissions.Pages_IF_IF_FQF3MM05_Delete)]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Task&lt;PagedResultDto&lt;IF_FQF3MM05Dto&gt;&gt; GetAll(GetIF_FQF3MM05Input input)
        {
            var filtered = _repo.GetAll()
				.WhereIf(!string.IsNullOrWhiteSpace(input.DocumentDate), e =&gt; e.DocumentDate.Contains(input.DocumentDate))
				.WhereIf(!string.IsNullOrWhiteSpace(input.PostingDate), e =&gt; e.PostingDate.Contains(input.PostingDate))
				.WhereIf(!string.IsNullOrWhiteSpace(input.DocumentHeaderText), e =&gt; e.DocumentHeaderText.Contains(input.DocumentHeaderText))
				.WhereIf(!string.IsNullOrWhiteSpace(input.MovementType), e =&gt; e.MovementType.Contains(input.MovementType))
				.WhereIf(!string.IsNullOrWhiteSpace(input.MaterialCodeFrom), e =&gt; e.MaterialCodeFrom.Contains(input.MaterialCodeFrom))
				.WhereIf(!string.IsNullOrWhiteSpace(input.PlantFrom), e =&gt; e.PlantFrom.Contains(input.PlantFrom))
				.WhereIf(!string.IsNullOrWhiteSpace(input.ValuationTypeFrom), e =&gt; e.ValuationTypeFrom.Contains(input.ValuationTypeFrom))
				.WhereIf(!string.IsNullOrWhiteSpace(input.StorageLocationFrom), e =&gt; e.StorageLocationFrom.Contains(input.StorageLocationFrom))
				.WhereIf(!string.IsNullOrWhiteSpace(input.ProductionVersion), e =&gt; e.ProductionVersion.Contains(input.ProductionVersion))
				.WhereIf(!string.IsNullOrWhiteSpace(input.UnitOfEntry), e =&gt; e.UnitOfEntry.Contains(input.UnitOfEntry))
				.WhereIf(!string.IsNullOrWhiteSpace(input.ItemText), e =&gt; e.ItemText.Contains(input.ItemText))
				.WhereIf(!string.IsNullOrWhiteSpace(input.GlAccount), e =&gt; e.GlAccount.Contains(input.GlAccount))
				.WhereIf(!string.IsNullOrWhiteSpace(input.CostCenter), e =&gt; e.CostCenter.Contains(input.CostCenter))
				.WhereIf(!string.IsNullOrWhiteSpace(input.Wbs), e =&gt; e.Wbs.Contains(input.Wbs))
				.WhereIf(!string.IsNullOrWhiteSpace(input.MaterialCodeTo), e =&gt; e.MaterialCodeTo.Contains(input.MaterialCodeTo))
				.WhereIf(!string.IsNullOrWhiteSpace(input.PlantTo), e =&gt; e.PlantTo.Contains(input.PlantTo))
				.WhereIf(!string.IsNullOrWhiteSpace(input.ValuationTypeTo), e =&gt; e.ValuationTypeTo.Contains(input.ValuationTypeTo))
				.WhereIf(!string.IsNullOrWhiteSpace(input.StorageLocationTo), e =&gt; e.StorageLocationTo.Contains(input.StorageLocationTo))
				.WhereIf(!string.IsNullOrWhiteSpace(input.BfPc), e =&gt; e.BfPc.Contains(input.BfPc))
				.WhereIf(!string.IsNullOrWhiteSpace(input.CancelFlag), e =&gt; e.CancelFlag.Contains(input.CancelFlag))
				.WhereIf(!string.IsNullOrWhiteSpace(input.ReffMatDocNo), e =&gt; e.ReffMatDocNo.Contains(input.ReffMatDocNo))
				.WhereIf(!string.IsNullOrWhiteSpace(input.VendorNo), e =&gt; e.VendorNo.Contains(input.VendorNo))
				.WhereIf(!string.IsNullOrWhiteSpace(input.ProfitCenter), e =&gt; e.ProfitCenter.Contains(input.ProfitCenter))
				.WhereIf(!string.IsNullOrWhiteSpace(input.ShipemntCat), e =&gt; e.ShipemntCat.Contains(input.ShipemntCat))
				.WhereIf(!string.IsNullOrWhiteSpace(input.Reference), e =&gt; e.Reference.Contains(input.Reference))
				.WhereIf(!string.IsNullOrWhiteSpace(input.AssetNo), e =&gt; e.AssetNo.Contains(input.AssetNo))
				.WhereIf(!string.IsNullOrWhiteSpace(input.SubAssetNo), e =&gt; e.SubAssetNo.Contains(input.SubAssetNo))
				.WhereIf(!string.IsNullOrWhiteSpace(input.EndOfRecord), e =&gt; e.EndOfRecord.Contains(input.EndOfRecord))                   
				;
            var pageAndFiltered = filtered.OrderBy(s =&gt; s.Id);
            var system = from o in pageAndFiltered
                         select new IF_FQF3MM05Dto
                        {
							Id = o.Id,
							RunningNo = o.RunningNo,
							DocumentDate = o.DocumentDate,
							PostingDate = o.PostingDate,
							DocumentHeaderText = o.DocumentHeaderText,
							MovementType = o.MovementType,
							MaterialCodeFrom = o.MaterialCodeFrom,
							PlantFrom = o.PlantFrom,
							ValuationTypeFrom = o.ValuationTypeFrom,
							StorageLocationFrom = o.StorageLocationFrom,
							ProductionVersion = o.ProductionVersion,
							Quantity = o.Quantity,
							UnitOfEntry = o.UnitOfEntry,
							ItemText = o.ItemText,
							GlAccount = o.GlAccount,
							CostCenter = o.CostCenter,
							Wbs = o.Wbs,
							MaterialCodeTo = o.MaterialCodeTo,
							PlantTo = o.PlantTo,
							ValuationTypeTo = o.ValuationTypeTo,
							StorageLocationTo = o.StorageLocationTo,
							BfPc = o.BfPc,
							CancelFlag = o.CancelFlag,
							ReffMatDocNo = o.ReffMatDocNo,
							VendorNo = o.VendorNo,
							ProfitCenter = o.ProfitCenter,
							ShipemntCat = o.ShipemntCat,
							Reference = o.Reference,
							AssetNo = o.AssetNo,
							SubAssetNo = o.SubAssetNo,
							EndOfRecord = o.EndOfRecord,
                        };
            var totalCount = await filtered.CountAsync();
			var paged = system.PageBy(input);
            return new PagedResultDto&lt;IF_FQF3MM05Dto&gt;(
                totalCount,
                 await paged.ToListAsync()
            );
        }
        public async Task&lt;FileDto&gt; GetFQF3MM05ToExcel(IF_FQF3MM05ExportInput input)
        {
            var query = from o in _repo.GetAll()
                        select new IF_FQF3MM05Dto
                        {
							Id = o.Id,
							RunningNo = o.RunningNo,
							DocumentDate = o.DocumentDate,
							PostingDate = o.PostingDate,
							DocumentHeaderText = o.DocumentHeaderText,
							MovementType = o.MovementType,
							MaterialCodeFrom = o.MaterialCodeFrom,
							PlantFrom = o.PlantFrom,
							ValuationTypeFrom = o.ValuationTypeFrom,
							StorageLocationFrom = o.StorageLocationFrom,
							ProductionVersion = o.ProductionVersion,
							Quantity = o.Quantity,
							UnitOfEntry = o.UnitOfEntry,
							ItemText = o.ItemText,
							GlAccount = o.GlAccount,
							CostCenter = o.CostCenter,
							Wbs = o.Wbs,
							MaterialCodeTo = o.MaterialCodeTo,
							PlantTo = o.PlantTo,
							ValuationTypeTo = o.ValuationTypeTo,
							StorageLocationTo = o.StorageLocationTo,
							BfPc = o.BfPc,
							CancelFlag = o.CancelFlag,
							ReffMatDocNo = o.ReffMatDocNo,
							VendorNo = o.VendorNo,
							ProfitCenter = o.ProfitCenter,
							ShipemntCat = o.ShipemntCat,
							Reference = o.Reference,
							AssetNo = o.AssetNo,
							SubAssetNo = o.SubAssetNo,
							EndOfRecord = o.EndOfRecord,
                        };
            var exportToExcel = await query.ToListAsync();
            return _calendarListExcelExporter.ExportToFile(exportToExcel);
        }
       // public async Task GenerateAsync()
      //  {
        //    await _dapperRepo.ExecuteAsync(IF_FQF3MM05Consts.SP_MST_WPT_CALENDAR_GENERATE);
       // }
    }
}</v>
      </c>
      <c r="R7" t="str">
        <f ca="1">SUBSTITUTE(SUBSTITUTE((C1&amp;"namespace "&amp;B6&amp;".Dto"&amp;E3&amp;C3&amp;R3&amp;M40&amp;E3&amp;REPT(CHAR(9),1)&amp;D3&amp;D3),"WorkingPattern",$Q$3),"Master",$B$4)</f>
        <v xml:space="preserve">using Abp.Application.Services.Dto;
using System;
using System.ComponentModel.DataAnnotations;
namespace prod.Inventory.IF.Dto
{
	public class IF_FQF3MM05ExportInput{
		public virtual int? RunningNo { get; set; }
		public virtual string DocumentDate { get; set; }
		public virtual string PostingDate { get; set; }
		public virtual string DocumentHeaderText { get; set; }
		public virtual string MovementType { get; set; }
		public virtual string MaterialCodeFrom { get; set; }
		public virtual string PlantFrom { get; set; }
		public virtual string ValuationTypeFrom { get; set; }
		public virtual string StorageLocationFrom { get; set; }
		public virtual string ProductionVersion { get; set; }
		public virtual int? Quantity { get; set; }
		public virtual string UnitOfEntry { get; set; }
		public virtual string ItemText { get; set; }
		public virtual string GlAccount { get; set; }
		public virtual string CostCenter { get; set; }
		public virtual string Wbs { get; set; }
		public virtual string MaterialCodeTo { get; set; }
		public virtual string PlantTo { get; set; }
		public virtual string ValuationTypeTo { get; set; }
		public virtual string StorageLocationTo { get; set; }
		public virtual string BfPc { get; set; }
		public virtual string CancelFlag { get; set; }
		public virtual string ReffMatDocNo { get; set; }
		public virtual string VendorNo { get; set; }
		public virtual string ProfitCenter { get; set; }
		public virtual string ShipemntCat { get; set; }
		public virtual string Reference { get; set; }
		public virtual string AssetNo { get; set; }
		public virtual string SubAssetNo { get; set; }
		public virtual string EndOfRecord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vovina.Inventory.IF.Dto;
namespace prod.Inventory.IF.Exporting
{
	public interface IIF_FQF3MM05ExcelExporter : IApplicationService
	{
		FileDto ExportToFile(List&lt;IF_FQF3MM05Dto&gt; if_fqf3mm05);
	}
}
</v>
      </c>
      <c r="T7" s="26" t="str">
        <f ca="1">SUBSTITUTE(SUBSTITUTE(SUBSTITUTE(SUBSTITUTE(SUBSTITUTE(SUBSTITUTE(SUBSTITUTE(T1,"MstWptCalendar",$B$3),"&lt;PROPERTIES1&gt;",V40),"&lt;PROPERTIES&gt;",T40),"Calendar",$B$5),"calendar",LOWER(B5)),"WorkingPattern",$Q$3),"Master",$B$4)</f>
        <v>using System.Collections.Generic;
using vovina.DataExporting.Excel.NPOI;
using vovina.Dto;
using vovina.IF.IF.Exporting;
using vovina.IF.IF.Dto;
using vovina.Storage;
using vovina.IF.IF.Dto;
namespace vovina.IF.IF.Exporting
{
    public class IF_FQF3MM05ExcelExporter : NpoiExcelExporterBase, IIF_FQF3MM05ExcelExporter
    {
        public IF_FQF3MM05ExcelExporter(ITempFileCacheManager tempFileCacheManager) : base(tempFileCacheManager) { }
        public FileDto ExportToFile(List&lt;IF_FQF3MM05Dto&gt; fqf3mm05)
        {
            return CreateExcelPackage(
				"IFIFFQF3MM05.xlsx",
				excelPackage =&gt;
				 {
					var sheet = excelPackage.CreateSheet("FQF3MM05");
					AddHeader(
								sheet,
								("RunningNo"),
								("DocumentDate"),
								("PostingDate"),
								("DocumentHeaderText"),
								("MovementType"),
								("MaterialCodeFrom"),
								("PlantFrom"),
								("ValuationTypeFrom"),
								("StorageLocationFrom"),
								("ProductionVersion"),
								("Quantity"),
								("UnitOfEntry"),
								("ItemText"),
								("GlAccount"),
								("CostCenter"),
								("Wbs"),
								("MaterialCodeTo"),
								("PlantTo"),
								("ValuationTypeTo"),
								("StorageLocationTo"),
								("BfPc"),
								("CancelFlag"),
								("ReffMatDocNo"),
								("VendorNo"),
								("ProfitCenter"),
								("ShipemntCat"),
								("Reference"),
								("AssetNo"),
								("SubAssetNo"),
								("EndOfRecord"),
							   );
					AddObjects(
						 sheet, 1, fqf3mm05,                                       
								_ =&gt; _.RunningNo,
								_ =&gt; _.DocumentDate,
								_ =&gt; _.PostingDate,
								_ =&gt; _.DocumentHeaderText,
								_ =&gt; _.MovementType,
								_ =&gt; _.MaterialCodeFrom,
								_ =&gt; _.PlantFrom,
								_ =&gt; _.ValuationTypeFrom,
								_ =&gt; _.StorageLocationFrom,
								_ =&gt; _.ProductionVersion,
								_ =&gt; _.Quantity,
								_ =&gt; _.UnitOfEntry,
								_ =&gt; _.ItemText,
								_ =&gt; _.GlAccount,
								_ =&gt; _.CostCenter,
								_ =&gt; _.Wbs,
								_ =&gt; _.MaterialCodeTo,
								_ =&gt; _.PlantTo,
								_ =&gt; _.ValuationTypeTo,
								_ =&gt; _.StorageLocationTo,
								_ =&gt; _.BfPc,
								_ =&gt; _.CancelFlag,
								_ =&gt; _.ReffMatDocNo,
								_ =&gt; _.VendorNo,
								_ =&gt; _.ProfitCenter,
								_ =&gt; _.ShipemntCat,
								_ =&gt; _.Reference,
								_ =&gt; _.AssetNo,
								_ =&gt; _.SubAssetNo,
								_ =&gt; _.EndOfRecord,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configuration.CreateMap&lt;IF_FQF3MM05Dto, IF_FQF3MM05&gt;();
  configuration.CreateMap&lt;IF_FQF3MM05, IF_FQF3MM05Dto&gt;();
  configuration.CreateMap&lt;CreateOrEditIF_FQF3MM05Dto, IF_FQF3MM05&gt;();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35</v>
      </c>
      <c r="F8" s="2" t="s">
        <v>56</v>
      </c>
      <c r="G8" s="2" t="s">
        <v>9</v>
      </c>
      <c r="H8" s="2" t="s">
        <v>15</v>
      </c>
      <c r="I8" s="2" t="s">
        <v>47</v>
      </c>
      <c r="J8" s="2" t="s">
        <v>36</v>
      </c>
      <c r="K8" s="2" t="s">
        <v>44</v>
      </c>
      <c r="L8" s="2" t="s">
        <v>45</v>
      </c>
      <c r="M8" s="2" t="s">
        <v>60</v>
      </c>
      <c r="N8" s="2" t="s">
        <v>55</v>
      </c>
      <c r="O8" s="2" t="s">
        <v>61</v>
      </c>
      <c r="P8" s="18" t="s">
        <v>81</v>
      </c>
      <c r="W8" s="3"/>
    </row>
    <row r="9" spans="1:23" customFormat="1" ht="18.75" customHeight="1" x14ac:dyDescent="0.25">
      <c r="A9" t="s">
        <v>358</v>
      </c>
      <c r="B9" t="s">
        <v>4</v>
      </c>
      <c r="C9" t="s">
        <v>1</v>
      </c>
      <c r="D9" t="str">
        <f t="shared" ref="D9" si="0">SUBSTITUTE(PROPER(A9),"_","")</f>
        <v>RunningNo</v>
      </c>
      <c r="E9" t="str">
        <f t="shared" ref="E9" si="1">IFERROR(LEFT(B9, FIND("(",B9)-1),B9)</f>
        <v>int</v>
      </c>
      <c r="F9" s="6"/>
      <c r="G9" t="str">
        <f t="shared" ref="G9" si="2">IFERROR(MID(B9,FIND("(",B9) +1, FIND(")",B9) - FIND("(",B9) - 1),"")</f>
        <v/>
      </c>
      <c r="H9" t="str">
        <f>+VLOOKUP(E9,'Data Type Mapping'!A:B,2,)</f>
        <v>int?</v>
      </c>
      <c r="I9" t="str">
        <f t="shared" ref="I9" si="3">IF(H9="string",REPT(CHAR(9),2)&amp;"public const int Max"&amp;D9&amp;"Length = "&amp;G9&amp;";"&amp;$E$3,"" )</f>
        <v/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public virtual int? RunningNo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int? RunningNo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public virtual int? RunningNo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/>
      </c>
      <c r="P9" t="str">
        <f t="shared" ref="P9" si="9">REPT(CHAR(9),7)&amp;D9&amp;" = o." &amp;D9 &amp;","</f>
        <v xml:space="preserve">							RunningNo = o.RunningNo,</v>
      </c>
      <c r="T9" s="63" t="str">
        <f t="shared" ref="T9" si="10">REPT(CHAR(9),8)&amp;"("""&amp;D9&amp;"""),"</f>
        <v xml:space="preserve">								("RunningNo"),</v>
      </c>
      <c r="V9" s="64" t="str">
        <f t="shared" ref="V9" si="11">REPT(CHAR(9),8)&amp;"_ =&gt; _."&amp;D9&amp;","</f>
        <v xml:space="preserve">								_ =&gt; _.RunningNo,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/>
      </c>
    </row>
    <row r="10" spans="1:23" customFormat="1" ht="18.75" customHeight="1" x14ac:dyDescent="0.25">
      <c r="A10" t="s">
        <v>359</v>
      </c>
      <c r="B10" t="s">
        <v>355</v>
      </c>
      <c r="C10" t="s">
        <v>1</v>
      </c>
      <c r="D10" t="str">
        <f t="shared" ref="D10:D11" si="13">SUBSTITUTE(PROPER(A10),"_","")</f>
        <v>DocumentDate</v>
      </c>
      <c r="E10" t="str">
        <f t="shared" ref="E10:E11" si="14">IFERROR(LEFT(B10, FIND("(",B10)-1),B10)</f>
        <v>VARCHAR</v>
      </c>
      <c r="F10" s="6"/>
      <c r="G10" t="str">
        <f t="shared" ref="G10:G11" si="15">IFERROR(MID(B10,FIND("(",B10) +1, FIND(")",B10) - FIND("(",B10) - 1),"")</f>
        <v>10</v>
      </c>
      <c r="H10" t="str">
        <f>+VLOOKUP(E10,'Data Type Mapping'!A:B,2,)</f>
        <v>string</v>
      </c>
      <c r="I10" t="str">
        <f t="shared" ref="I10:I11" si="16">IF(H10="string",REPT(CHAR(9),2)&amp;"public const int Max"&amp;D10&amp;"Length = "&amp;G10&amp;";"&amp;$E$3,"" )</f>
        <v xml:space="preserve">		public const int MaxDocumentDateLength = 10;
</v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[StringLength(MaxDocumentDateLength)]
		public virtual string DocumentDate { get; set; }
</v>
      </c>
      <c r="K10" s="6"/>
      <c r="L10" t="str">
        <f t="shared" ref="L10:L11" si="18">IF(K10="","",REPT(CHAR(9),1)&amp;"[Index(nameof("&amp;IF(D10="","",""&amp;D10)&amp;")"&amp;", Name="&amp;"""IX_"&amp;$B$7&amp;"_"&amp;D10&amp;""")]")</f>
        <v/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string DocumentDate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[StringLength(IF_FQF3MM05Consts.MaxDocumentDateLength)]
		public virtual string DocumentDate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 xml:space="preserve">		public virtual string DocumentDate { get; set; }
</v>
      </c>
      <c r="P10" t="str">
        <f t="shared" ref="P10:P11" si="22">REPT(CHAR(9),7)&amp;D10&amp;" = o." &amp;D10 &amp;","</f>
        <v xml:space="preserve">							DocumentDate = o.DocumentDate,</v>
      </c>
      <c r="T10" s="63" t="str">
        <f t="shared" ref="T10:T11" si="23">REPT(CHAR(9),8)&amp;"("""&amp;D10&amp;"""),"</f>
        <v xml:space="preserve">								("DocumentDate"),</v>
      </c>
      <c r="V10" s="64" t="str">
        <f t="shared" ref="V10:V11" si="24">REPT(CHAR(9),8)&amp;"_ =&gt; _."&amp;D10&amp;","</f>
        <v xml:space="preserve">								_ =&gt; _.DocumentDate,</v>
      </c>
      <c r="W10" s="63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.WhereIf(!string.IsNullOrWhiteSpace(input.DocumentDate), e =&gt; e.DocumentDate.Contains(input.DocumentDate))</v>
      </c>
    </row>
    <row r="11" spans="1:23" customFormat="1" ht="18.75" customHeight="1" x14ac:dyDescent="0.25">
      <c r="A11" t="s">
        <v>360</v>
      </c>
      <c r="B11" t="s">
        <v>355</v>
      </c>
      <c r="C11" t="s">
        <v>1</v>
      </c>
      <c r="D11" t="str">
        <f t="shared" si="13"/>
        <v>PostingDate</v>
      </c>
      <c r="E11" t="str">
        <f t="shared" si="14"/>
        <v>VARCHAR</v>
      </c>
      <c r="F11" s="6"/>
      <c r="G11" t="str">
        <f t="shared" si="15"/>
        <v>10</v>
      </c>
      <c r="H11" t="str">
        <f>+VLOOKUP(E11,'Data Type Mapping'!A:B,2,)</f>
        <v>string</v>
      </c>
      <c r="I11" t="str">
        <f t="shared" si="16"/>
        <v xml:space="preserve">		public const int MaxPostingDateLength = 10;
</v>
      </c>
      <c r="J11" t="str">
        <f t="shared" si="17"/>
        <v xml:space="preserve">		[StringLength(MaxPostingDateLength)]
		public virtual string PostingDate { get; set; }
</v>
      </c>
      <c r="K11" s="6"/>
      <c r="L11" t="str">
        <f t="shared" si="18"/>
        <v/>
      </c>
      <c r="M11" t="str">
        <f t="shared" si="19"/>
        <v xml:space="preserve">		public virtual string PostingDate { get; set; }
</v>
      </c>
      <c r="N11" t="str">
        <f t="shared" si="20"/>
        <v xml:space="preserve">		[StringLength(IF_FQF3MM05Consts.MaxPostingDateLength)]
		public virtual string PostingDate { get; set; }
</v>
      </c>
      <c r="O11" t="str">
        <f t="shared" si="21"/>
        <v xml:space="preserve">		public virtual string PostingDate { get; set; }
</v>
      </c>
      <c r="P11" t="str">
        <f t="shared" si="22"/>
        <v xml:space="preserve">							PostingDate = o.PostingDate,</v>
      </c>
      <c r="T11" s="63" t="str">
        <f t="shared" si="23"/>
        <v xml:space="preserve">								("PostingDate"),</v>
      </c>
      <c r="V11" s="64" t="str">
        <f t="shared" si="24"/>
        <v xml:space="preserve">								_ =&gt; _.PostingDate,</v>
      </c>
      <c r="W11" s="63" t="str">
        <f t="shared" si="25"/>
        <v xml:space="preserve">				.WhereIf(!string.IsNullOrWhiteSpace(input.PostingDate), e =&gt; e.PostingDate.Contains(input.PostingDate))</v>
      </c>
    </row>
    <row r="12" spans="1:23" customFormat="1" ht="18.75" customHeight="1" x14ac:dyDescent="0.25">
      <c r="A12" t="s">
        <v>361</v>
      </c>
      <c r="B12" t="s">
        <v>388</v>
      </c>
      <c r="C12" t="s">
        <v>1</v>
      </c>
      <c r="D12" t="str">
        <f t="shared" ref="D12:D15" si="26">SUBSTITUTE(PROPER(A12),"_","")</f>
        <v>DocumentHeaderText</v>
      </c>
      <c r="E12" t="str">
        <f t="shared" ref="E12:E15" si="27">IFERROR(LEFT(B12, FIND("(",B12)-1),B12)</f>
        <v>VARCHAR</v>
      </c>
      <c r="F12" s="6"/>
      <c r="G12" t="str">
        <f t="shared" ref="G12:G15" si="28">IFERROR(MID(B12,FIND("(",B12) +1, FIND(")",B12) - FIND("(",B12) - 1),"")</f>
        <v>25</v>
      </c>
      <c r="H12" t="str">
        <f>+VLOOKUP(E12,'Data Type Mapping'!A:B,2,)</f>
        <v>string</v>
      </c>
      <c r="I12" t="str">
        <f t="shared" ref="I12:I15" si="29">IF(H12="string",REPT(CHAR(9),2)&amp;"public const int Max"&amp;D12&amp;"Length = "&amp;G12&amp;";"&amp;$E$3,"" )</f>
        <v xml:space="preserve">		public const int MaxDocumentHeaderTextLength = 25;
</v>
      </c>
      <c r="J12" t="str">
        <f t="shared" ref="J12:J15" si="3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[StringLength(MaxDocumentHeaderTextLength)]
		public virtual string DocumentHeaderText { get; set; }
</v>
      </c>
      <c r="K12" s="6"/>
      <c r="L12" t="str">
        <f t="shared" ref="L12:L15" si="31">IF(K12="","",REPT(CHAR(9),1)&amp;"[Index(nameof("&amp;IF(D12="","",""&amp;D12)&amp;")"&amp;", Name="&amp;"""IX_"&amp;$B$7&amp;"_"&amp;D12&amp;""")]")</f>
        <v/>
      </c>
      <c r="M12" t="str">
        <f t="shared" ref="M12:M15" si="32">REPT(CHAR(9),2)&amp;"public virtual "&amp;IF(OR(H12="DateTime",H12="TimeSpan"),H12&amp;"?",H12)&amp;IF(C12="?","? "," ")&amp;D12&amp;" { get; set; }" &amp; "
"</f>
        <v xml:space="preserve">		public virtual string DocumentHeaderText { get; set; }
</v>
      </c>
      <c r="N12" t="str">
        <f t="shared" ref="N12:N15" si="33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[StringLength(IF_FQF3MM05Consts.MaxDocumentHeaderTextLength)]
		public virtual string DocumentHeaderText { get; set; }
</v>
      </c>
      <c r="O12" t="str">
        <f t="shared" ref="O12:O15" si="34">IF(OR(H12="string",H12="DateTime",H12="int"),REPT(CHAR(9),2)&amp;"public virtual "&amp;IF(OR(H12="DateTime",H12="TimeSpan"),H12&amp;"?",H12)&amp;IF(C12="?","? "," ")&amp;D12&amp;" { get; set; }"&amp;$E$3,"")</f>
        <v xml:space="preserve">		public virtual string DocumentHeaderText { get; set; }
</v>
      </c>
      <c r="P12" t="str">
        <f t="shared" ref="P12:P15" si="35">REPT(CHAR(9),7)&amp;D12&amp;" = o." &amp;D12 &amp;","</f>
        <v xml:space="preserve">							DocumentHeaderText = o.DocumentHeaderText,</v>
      </c>
      <c r="T12" s="63" t="str">
        <f t="shared" ref="T12:T15" si="36">REPT(CHAR(9),8)&amp;"("""&amp;D12&amp;"""),"</f>
        <v xml:space="preserve">								("DocumentHeaderText"),</v>
      </c>
      <c r="V12" s="64" t="str">
        <f t="shared" ref="V12:V15" si="37">REPT(CHAR(9),8)&amp;"_ =&gt; _."&amp;D12&amp;","</f>
        <v xml:space="preserve">								_ =&gt; _.DocumentHeaderText,</v>
      </c>
      <c r="W12" s="63" t="str">
        <f t="shared" ref="W12:W15" si="38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.WhereIf(!string.IsNullOrWhiteSpace(input.DocumentHeaderText), e =&gt; e.DocumentHeaderText.Contains(input.DocumentHeaderText))</v>
      </c>
    </row>
    <row r="13" spans="1:23" customFormat="1" ht="18.75" customHeight="1" x14ac:dyDescent="0.25">
      <c r="A13" t="s">
        <v>362</v>
      </c>
      <c r="B13" t="s">
        <v>389</v>
      </c>
      <c r="C13" t="s">
        <v>1</v>
      </c>
      <c r="D13" t="str">
        <f t="shared" si="26"/>
        <v>MovementType</v>
      </c>
      <c r="E13" t="str">
        <f t="shared" si="27"/>
        <v>VARCHAR</v>
      </c>
      <c r="F13" s="6"/>
      <c r="G13" t="str">
        <f t="shared" si="28"/>
        <v>3</v>
      </c>
      <c r="H13" t="str">
        <f>+VLOOKUP(E13,'Data Type Mapping'!A:B,2,)</f>
        <v>string</v>
      </c>
      <c r="I13" t="str">
        <f t="shared" si="29"/>
        <v xml:space="preserve">		public const int MaxMovementTypeLength = 3;
</v>
      </c>
      <c r="J13" t="str">
        <f t="shared" si="30"/>
        <v xml:space="preserve">		[StringLength(MaxMovementTypeLength)]
		public virtual string MovementType { get; set; }
</v>
      </c>
      <c r="K13" s="6"/>
      <c r="L13" t="str">
        <f t="shared" si="31"/>
        <v/>
      </c>
      <c r="M13" t="str">
        <f t="shared" si="32"/>
        <v xml:space="preserve">		public virtual string MovementType { get; set; }
</v>
      </c>
      <c r="N13" t="str">
        <f t="shared" si="33"/>
        <v xml:space="preserve">		[StringLength(IF_FQF3MM05Consts.MaxMovementTypeLength)]
		public virtual string MovementType { get; set; }
</v>
      </c>
      <c r="O13" t="str">
        <f t="shared" si="34"/>
        <v xml:space="preserve">		public virtual string MovementType { get; set; }
</v>
      </c>
      <c r="P13" t="str">
        <f t="shared" si="35"/>
        <v xml:space="preserve">							MovementType = o.MovementType,</v>
      </c>
      <c r="T13" s="63" t="str">
        <f t="shared" si="36"/>
        <v xml:space="preserve">								("MovementType"),</v>
      </c>
      <c r="V13" s="64" t="str">
        <f t="shared" si="37"/>
        <v xml:space="preserve">								_ =&gt; _.MovementType,</v>
      </c>
      <c r="W13" s="63" t="str">
        <f t="shared" si="38"/>
        <v xml:space="preserve">				.WhereIf(!string.IsNullOrWhiteSpace(input.MovementType), e =&gt; e.MovementType.Contains(input.MovementType))</v>
      </c>
    </row>
    <row r="14" spans="1:23" customFormat="1" ht="18.75" customHeight="1" x14ac:dyDescent="0.25">
      <c r="A14" t="s">
        <v>363</v>
      </c>
      <c r="B14" t="s">
        <v>390</v>
      </c>
      <c r="C14" t="s">
        <v>1</v>
      </c>
      <c r="D14" t="str">
        <f t="shared" si="26"/>
        <v>MaterialCodeFrom</v>
      </c>
      <c r="E14" t="str">
        <f t="shared" si="27"/>
        <v>VARCHAR</v>
      </c>
      <c r="F14" s="6"/>
      <c r="G14" t="str">
        <f t="shared" si="28"/>
        <v>40</v>
      </c>
      <c r="H14" t="str">
        <f>+VLOOKUP(E14,'Data Type Mapping'!A:B,2,)</f>
        <v>string</v>
      </c>
      <c r="I14" t="str">
        <f t="shared" si="29"/>
        <v xml:space="preserve">		public const int MaxMaterialCodeFromLength = 40;
</v>
      </c>
      <c r="J14" t="str">
        <f t="shared" si="30"/>
        <v xml:space="preserve">		[StringLength(MaxMaterialCodeFromLength)]
		public virtual string MaterialCodeFrom { get; set; }
</v>
      </c>
      <c r="K14" s="6"/>
      <c r="L14" t="str">
        <f t="shared" si="31"/>
        <v/>
      </c>
      <c r="M14" t="str">
        <f t="shared" si="32"/>
        <v xml:space="preserve">		public virtual string MaterialCodeFrom { get; set; }
</v>
      </c>
      <c r="N14" t="str">
        <f t="shared" si="33"/>
        <v xml:space="preserve">		[StringLength(IF_FQF3MM05Consts.MaxMaterialCodeFromLength)]
		public virtual string MaterialCodeFrom { get; set; }
</v>
      </c>
      <c r="O14" t="str">
        <f t="shared" si="34"/>
        <v xml:space="preserve">		public virtual string MaterialCodeFrom { get; set; }
</v>
      </c>
      <c r="P14" t="str">
        <f t="shared" si="35"/>
        <v xml:space="preserve">							MaterialCodeFrom = o.MaterialCodeFrom,</v>
      </c>
      <c r="T14" s="63" t="str">
        <f t="shared" si="36"/>
        <v xml:space="preserve">								("MaterialCodeFrom"),</v>
      </c>
      <c r="V14" s="64" t="str">
        <f t="shared" si="37"/>
        <v xml:space="preserve">								_ =&gt; _.MaterialCodeFrom,</v>
      </c>
      <c r="W14" s="63" t="str">
        <f t="shared" si="38"/>
        <v xml:space="preserve">				.WhereIf(!string.IsNullOrWhiteSpace(input.MaterialCodeFrom), e =&gt; e.MaterialCodeFrom.Contains(input.MaterialCodeFrom))</v>
      </c>
    </row>
    <row r="15" spans="1:23" customFormat="1" ht="18.75" customHeight="1" x14ac:dyDescent="0.25">
      <c r="A15" t="s">
        <v>364</v>
      </c>
      <c r="B15" t="s">
        <v>356</v>
      </c>
      <c r="C15" t="s">
        <v>1</v>
      </c>
      <c r="D15" t="str">
        <f t="shared" si="26"/>
        <v>PlantFrom</v>
      </c>
      <c r="E15" t="str">
        <f t="shared" si="27"/>
        <v>VARCHAR</v>
      </c>
      <c r="F15" s="6"/>
      <c r="G15" t="str">
        <f t="shared" si="28"/>
        <v>4</v>
      </c>
      <c r="H15" t="str">
        <f>+VLOOKUP(E15,'Data Type Mapping'!A:B,2,)</f>
        <v>string</v>
      </c>
      <c r="I15" t="str">
        <f t="shared" si="29"/>
        <v xml:space="preserve">		public const int MaxPlantFromLength = 4;
</v>
      </c>
      <c r="J15" t="str">
        <f t="shared" si="30"/>
        <v xml:space="preserve">		[StringLength(MaxPlantFromLength)]
		public virtual string PlantFrom { get; set; }
</v>
      </c>
      <c r="K15" s="6"/>
      <c r="L15" t="str">
        <f t="shared" si="31"/>
        <v/>
      </c>
      <c r="M15" t="str">
        <f t="shared" si="32"/>
        <v xml:space="preserve">		public virtual string PlantFrom { get; set; }
</v>
      </c>
      <c r="N15" t="str">
        <f t="shared" si="33"/>
        <v xml:space="preserve">		[StringLength(IF_FQF3MM05Consts.MaxPlantFromLength)]
		public virtual string PlantFrom { get; set; }
</v>
      </c>
      <c r="O15" t="str">
        <f t="shared" si="34"/>
        <v xml:space="preserve">		public virtual string PlantFrom { get; set; }
</v>
      </c>
      <c r="P15" t="str">
        <f t="shared" si="35"/>
        <v xml:space="preserve">							PlantFrom = o.PlantFrom,</v>
      </c>
      <c r="T15" s="63" t="str">
        <f t="shared" si="36"/>
        <v xml:space="preserve">								("PlantFrom"),</v>
      </c>
      <c r="V15" s="64" t="str">
        <f t="shared" si="37"/>
        <v xml:space="preserve">								_ =&gt; _.PlantFrom,</v>
      </c>
      <c r="W15" s="63" t="str">
        <f t="shared" si="38"/>
        <v xml:space="preserve">				.WhereIf(!string.IsNullOrWhiteSpace(input.PlantFrom), e =&gt; e.PlantFrom.Contains(input.PlantFrom))</v>
      </c>
    </row>
    <row r="16" spans="1:23" customFormat="1" ht="18.75" customHeight="1" x14ac:dyDescent="0.25">
      <c r="A16" t="s">
        <v>365</v>
      </c>
      <c r="B16" t="s">
        <v>355</v>
      </c>
      <c r="C16" t="s">
        <v>1</v>
      </c>
      <c r="D16" t="str">
        <f t="shared" ref="D16:D23" si="39">SUBSTITUTE(PROPER(A16),"_","")</f>
        <v>ValuationTypeFrom</v>
      </c>
      <c r="E16" t="str">
        <f t="shared" ref="E16:E23" si="40">IFERROR(LEFT(B16, FIND("(",B16)-1),B16)</f>
        <v>VARCHAR</v>
      </c>
      <c r="F16" s="6"/>
      <c r="G16" t="str">
        <f t="shared" ref="G16:G23" si="41">IFERROR(MID(B16,FIND("(",B16) +1, FIND(")",B16) - FIND("(",B16) - 1),"")</f>
        <v>10</v>
      </c>
      <c r="H16" t="str">
        <f>+VLOOKUP(E16,'Data Type Mapping'!A:B,2,)</f>
        <v>string</v>
      </c>
      <c r="I16" t="str">
        <f t="shared" ref="I16:I23" si="42">IF(H16="string",REPT(CHAR(9),2)&amp;"public const int Max"&amp;D16&amp;"Length = "&amp;G16&amp;";"&amp;$E$3,"" )</f>
        <v xml:space="preserve">		public const int MaxValuationTypeFromLength = 10;
</v>
      </c>
      <c r="J16" t="str">
        <f t="shared" ref="J16:J23" si="43">IF(F16="","",REPT(CHAR(9),2)&amp;"[Column(TypeName="""&amp;F16&amp;""")]"&amp;$E$3)&amp;IF(C16="Checked","",$I$3)&amp;IF(H16="string",REPT(CHAR(9),2)&amp;"[StringLength(Max"&amp;D16&amp;"Length"&amp;")]"&amp;$E$3,"")&amp;REPT(CHAR(9),2)&amp;"public virtual "&amp;H16&amp;IF(C16="?","? "," ")&amp;D16&amp;" { get; set; }" &amp; "
"</f>
        <v xml:space="preserve">		[StringLength(MaxValuationTypeFromLength)]
		public virtual string ValuationTypeFrom { get; set; }
</v>
      </c>
      <c r="K16" s="6"/>
      <c r="L16" t="str">
        <f t="shared" ref="L16:L23" si="44">IF(K16="","",REPT(CHAR(9),1)&amp;"[Index(nameof("&amp;IF(D16="","",""&amp;D16)&amp;")"&amp;", Name="&amp;"""IX_"&amp;$B$7&amp;"_"&amp;D16&amp;""")]")</f>
        <v/>
      </c>
      <c r="M16" t="str">
        <f t="shared" ref="M16:M23" si="45">REPT(CHAR(9),2)&amp;"public virtual "&amp;IF(OR(H16="DateTime",H16="TimeSpan"),H16&amp;"?",H16)&amp;IF(C16="?","? "," ")&amp;D16&amp;" { get; set; }" &amp; "
"</f>
        <v xml:space="preserve">		public virtual string ValuationTypeFrom { get; set; }
</v>
      </c>
      <c r="N16" t="str">
        <f t="shared" ref="N16:N23" si="46">IF(C16="Checked","",$I$3)&amp;IF(H16="string",REPT(CHAR(9),2)&amp;"[StringLength("&amp;$B$3&amp;"Consts.Max"&amp;D16&amp;"Length"&amp;")]"&amp;$E$3,"")&amp;REPT(CHAR(9),2)&amp;"public virtual "&amp;IF(OR(H16="DateTime",H16="TimeSpan"),H16&amp;"?",H16)&amp;IF(C16="?","? "," ")&amp;D16&amp;" { get; set; }" &amp; "
"</f>
        <v xml:space="preserve">		[StringLength(IF_FQF3MM05Consts.MaxValuationTypeFromLength)]
		public virtual string ValuationTypeFrom { get; set; }
</v>
      </c>
      <c r="O16" t="str">
        <f t="shared" ref="O16:O23" si="47">IF(OR(H16="string",H16="DateTime",H16="int"),REPT(CHAR(9),2)&amp;"public virtual "&amp;IF(OR(H16="DateTime",H16="TimeSpan"),H16&amp;"?",H16)&amp;IF(C16="?","? "," ")&amp;D16&amp;" { get; set; }"&amp;$E$3,"")</f>
        <v xml:space="preserve">		public virtual string ValuationTypeFrom { get; set; }
</v>
      </c>
      <c r="P16" t="str">
        <f t="shared" ref="P16:P23" si="48">REPT(CHAR(9),7)&amp;D16&amp;" = o." &amp;D16 &amp;","</f>
        <v xml:space="preserve">							ValuationTypeFrom = o.ValuationTypeFrom,</v>
      </c>
      <c r="T16" s="63" t="str">
        <f t="shared" ref="T16:T23" si="49">REPT(CHAR(9),8)&amp;"("""&amp;D16&amp;"""),"</f>
        <v xml:space="preserve">								("ValuationTypeFrom"),</v>
      </c>
      <c r="V16" s="64" t="str">
        <f t="shared" ref="V16:V23" si="50">REPT(CHAR(9),8)&amp;"_ =&gt; _."&amp;D16&amp;","</f>
        <v xml:space="preserve">								_ =&gt; _.ValuationTypeFrom,</v>
      </c>
      <c r="W16" s="63" t="str">
        <f t="shared" ref="W16:W23" si="51">IF(H16="string",REPT(CHAR(9),4)&amp;".WhereIf(!string.IsNullOrWhiteSpace(input."&amp;D16&amp;"), e =&gt; e."&amp;D16&amp;".Contains(input."&amp;D16&amp;"))",IF(H16="DateTime",REPT(CHAR(9),4)&amp;".WhereIf(input."&amp;D16&amp;".HasValue, t =&gt; t."&amp;D16&amp;" == input."&amp;D16&amp;".Value)",""))</f>
        <v xml:space="preserve">				.WhereIf(!string.IsNullOrWhiteSpace(input.ValuationTypeFrom), e =&gt; e.ValuationTypeFrom.Contains(input.ValuationTypeFrom))</v>
      </c>
    </row>
    <row r="17" spans="1:23" customFormat="1" ht="18.75" customHeight="1" x14ac:dyDescent="0.25">
      <c r="A17" t="s">
        <v>366</v>
      </c>
      <c r="B17" t="s">
        <v>356</v>
      </c>
      <c r="C17" t="s">
        <v>1</v>
      </c>
      <c r="D17" t="str">
        <f t="shared" si="39"/>
        <v>StorageLocationFrom</v>
      </c>
      <c r="E17" t="str">
        <f t="shared" si="40"/>
        <v>VARCHAR</v>
      </c>
      <c r="F17" s="6"/>
      <c r="G17" t="str">
        <f t="shared" si="41"/>
        <v>4</v>
      </c>
      <c r="H17" t="str">
        <f>+VLOOKUP(E17,'Data Type Mapping'!A:B,2,)</f>
        <v>string</v>
      </c>
      <c r="I17" t="str">
        <f t="shared" si="42"/>
        <v xml:space="preserve">		public const int MaxStorageLocationFromLength = 4;
</v>
      </c>
      <c r="J17" t="str">
        <f t="shared" si="43"/>
        <v xml:space="preserve">		[StringLength(MaxStorageLocationFromLength)]
		public virtual string StorageLocationFrom { get; set; }
</v>
      </c>
      <c r="K17" s="6"/>
      <c r="L17" t="str">
        <f t="shared" si="44"/>
        <v/>
      </c>
      <c r="M17" t="str">
        <f t="shared" si="45"/>
        <v xml:space="preserve">		public virtual string StorageLocationFrom { get; set; }
</v>
      </c>
      <c r="N17" t="str">
        <f t="shared" si="46"/>
        <v xml:space="preserve">		[StringLength(IF_FQF3MM05Consts.MaxStorageLocationFromLength)]
		public virtual string StorageLocationFrom { get; set; }
</v>
      </c>
      <c r="O17" t="str">
        <f t="shared" si="47"/>
        <v xml:space="preserve">		public virtual string StorageLocationFrom { get; set; }
</v>
      </c>
      <c r="P17" t="str">
        <f t="shared" si="48"/>
        <v xml:space="preserve">							StorageLocationFrom = o.StorageLocationFrom,</v>
      </c>
      <c r="T17" s="63" t="str">
        <f t="shared" si="49"/>
        <v xml:space="preserve">								("StorageLocationFrom"),</v>
      </c>
      <c r="V17" s="64" t="str">
        <f t="shared" si="50"/>
        <v xml:space="preserve">								_ =&gt; _.StorageLocationFrom,</v>
      </c>
      <c r="W17" s="63" t="str">
        <f t="shared" si="51"/>
        <v xml:space="preserve">				.WhereIf(!string.IsNullOrWhiteSpace(input.StorageLocationFrom), e =&gt; e.StorageLocationFrom.Contains(input.StorageLocationFrom))</v>
      </c>
    </row>
    <row r="18" spans="1:23" customFormat="1" ht="18.75" customHeight="1" x14ac:dyDescent="0.25">
      <c r="A18" t="s">
        <v>367</v>
      </c>
      <c r="B18" t="s">
        <v>356</v>
      </c>
      <c r="C18" t="s">
        <v>1</v>
      </c>
      <c r="D18" t="str">
        <f t="shared" si="39"/>
        <v>ProductionVersion</v>
      </c>
      <c r="E18" t="str">
        <f t="shared" si="40"/>
        <v>VARCHAR</v>
      </c>
      <c r="F18" s="6"/>
      <c r="G18" t="str">
        <f t="shared" si="41"/>
        <v>4</v>
      </c>
      <c r="H18" t="str">
        <f>+VLOOKUP(E18,'Data Type Mapping'!A:B,2,)</f>
        <v>string</v>
      </c>
      <c r="I18" t="str">
        <f t="shared" si="42"/>
        <v xml:space="preserve">		public const int MaxProductionVersionLength = 4;
</v>
      </c>
      <c r="J18" t="str">
        <f t="shared" si="43"/>
        <v xml:space="preserve">		[StringLength(MaxProductionVersionLength)]
		public virtual string ProductionVersion { get; set; }
</v>
      </c>
      <c r="K18" s="6"/>
      <c r="L18" t="str">
        <f t="shared" si="44"/>
        <v/>
      </c>
      <c r="M18" t="str">
        <f t="shared" si="45"/>
        <v xml:space="preserve">		public virtual string ProductionVersion { get; set; }
</v>
      </c>
      <c r="N18" t="str">
        <f t="shared" si="46"/>
        <v xml:space="preserve">		[StringLength(IF_FQF3MM05Consts.MaxProductionVersionLength)]
		public virtual string ProductionVersion { get; set; }
</v>
      </c>
      <c r="O18" t="str">
        <f t="shared" si="47"/>
        <v xml:space="preserve">		public virtual string ProductionVersion { get; set; }
</v>
      </c>
      <c r="P18" t="str">
        <f t="shared" si="48"/>
        <v xml:space="preserve">							ProductionVersion = o.ProductionVersion,</v>
      </c>
      <c r="T18" s="63" t="str">
        <f t="shared" si="49"/>
        <v xml:space="preserve">								("ProductionVersion"),</v>
      </c>
      <c r="V18" s="64" t="str">
        <f t="shared" si="50"/>
        <v xml:space="preserve">								_ =&gt; _.ProductionVersion,</v>
      </c>
      <c r="W18" s="63" t="str">
        <f t="shared" si="51"/>
        <v xml:space="preserve">				.WhereIf(!string.IsNullOrWhiteSpace(input.ProductionVersion), e =&gt; e.ProductionVersion.Contains(input.ProductionVersion))</v>
      </c>
    </row>
    <row r="19" spans="1:23" customFormat="1" ht="18.75" customHeight="1" x14ac:dyDescent="0.25">
      <c r="A19" t="s">
        <v>368</v>
      </c>
      <c r="B19" t="s">
        <v>4</v>
      </c>
      <c r="C19" t="s">
        <v>1</v>
      </c>
      <c r="D19" t="str">
        <f t="shared" si="39"/>
        <v>Quantity</v>
      </c>
      <c r="E19" t="str">
        <f t="shared" si="40"/>
        <v>int</v>
      </c>
      <c r="F19" s="6"/>
      <c r="G19" t="str">
        <f t="shared" si="41"/>
        <v/>
      </c>
      <c r="H19" t="str">
        <f>+VLOOKUP(E19,'Data Type Mapping'!A:B,2,)</f>
        <v>int?</v>
      </c>
      <c r="I19" t="str">
        <f t="shared" si="42"/>
        <v/>
      </c>
      <c r="J19" t="str">
        <f t="shared" si="43"/>
        <v xml:space="preserve">		public virtual int? Quantity { get; set; }
</v>
      </c>
      <c r="K19" s="6"/>
      <c r="L19" t="str">
        <f t="shared" si="44"/>
        <v/>
      </c>
      <c r="M19" t="str">
        <f t="shared" si="45"/>
        <v xml:space="preserve">		public virtual int? Quantity { get; set; }
</v>
      </c>
      <c r="N19" t="str">
        <f t="shared" si="46"/>
        <v xml:space="preserve">		public virtual int? Quantity { get; set; }
</v>
      </c>
      <c r="O19" t="str">
        <f t="shared" si="47"/>
        <v/>
      </c>
      <c r="P19" t="str">
        <f t="shared" si="48"/>
        <v xml:space="preserve">							Quantity = o.Quantity,</v>
      </c>
      <c r="T19" s="63" t="str">
        <f t="shared" si="49"/>
        <v xml:space="preserve">								("Quantity"),</v>
      </c>
      <c r="V19" s="64" t="str">
        <f t="shared" si="50"/>
        <v xml:space="preserve">								_ =&gt; _.Quantity,</v>
      </c>
      <c r="W19" s="63" t="str">
        <f t="shared" si="51"/>
        <v/>
      </c>
    </row>
    <row r="20" spans="1:23" customFormat="1" ht="18.75" customHeight="1" x14ac:dyDescent="0.25">
      <c r="A20" t="s">
        <v>369</v>
      </c>
      <c r="B20" t="s">
        <v>389</v>
      </c>
      <c r="C20" t="s">
        <v>1</v>
      </c>
      <c r="D20" t="str">
        <f t="shared" si="39"/>
        <v>UnitOfEntry</v>
      </c>
      <c r="E20" t="str">
        <f t="shared" si="40"/>
        <v>VARCHAR</v>
      </c>
      <c r="F20" s="6"/>
      <c r="G20" t="str">
        <f t="shared" si="41"/>
        <v>3</v>
      </c>
      <c r="H20" t="str">
        <f>+VLOOKUP(E20,'Data Type Mapping'!A:B,2,)</f>
        <v>string</v>
      </c>
      <c r="I20" t="str">
        <f t="shared" si="42"/>
        <v xml:space="preserve">		public const int MaxUnitOfEntryLength = 3;
</v>
      </c>
      <c r="J20" t="str">
        <f t="shared" si="43"/>
        <v xml:space="preserve">		[StringLength(MaxUnitOfEntryLength)]
		public virtual string UnitOfEntry { get; set; }
</v>
      </c>
      <c r="K20" s="6"/>
      <c r="L20" t="str">
        <f t="shared" si="44"/>
        <v/>
      </c>
      <c r="M20" t="str">
        <f t="shared" si="45"/>
        <v xml:space="preserve">		public virtual string UnitOfEntry { get; set; }
</v>
      </c>
      <c r="N20" t="str">
        <f t="shared" si="46"/>
        <v xml:space="preserve">		[StringLength(IF_FQF3MM05Consts.MaxUnitOfEntryLength)]
		public virtual string UnitOfEntry { get; set; }
</v>
      </c>
      <c r="O20" t="str">
        <f t="shared" si="47"/>
        <v xml:space="preserve">		public virtual string UnitOfEntry { get; set; }
</v>
      </c>
      <c r="P20" t="str">
        <f t="shared" si="48"/>
        <v xml:space="preserve">							UnitOfEntry = o.UnitOfEntry,</v>
      </c>
      <c r="T20" s="63" t="str">
        <f t="shared" si="49"/>
        <v xml:space="preserve">								("UnitOfEntry"),</v>
      </c>
      <c r="V20" s="64" t="str">
        <f t="shared" si="50"/>
        <v xml:space="preserve">								_ =&gt; _.UnitOfEntry,</v>
      </c>
      <c r="W20" s="63" t="str">
        <f t="shared" si="51"/>
        <v xml:space="preserve">				.WhereIf(!string.IsNullOrWhiteSpace(input.UnitOfEntry), e =&gt; e.UnitOfEntry.Contains(input.UnitOfEntry))</v>
      </c>
    </row>
    <row r="21" spans="1:23" customFormat="1" ht="18.75" customHeight="1" x14ac:dyDescent="0.25">
      <c r="A21" t="s">
        <v>370</v>
      </c>
      <c r="B21" t="s">
        <v>391</v>
      </c>
      <c r="C21" t="s">
        <v>1</v>
      </c>
      <c r="D21" t="str">
        <f t="shared" si="39"/>
        <v>ItemText</v>
      </c>
      <c r="E21" t="str">
        <f t="shared" si="40"/>
        <v>VARCHAR</v>
      </c>
      <c r="F21" s="6"/>
      <c r="G21" t="str">
        <f t="shared" si="41"/>
        <v>50</v>
      </c>
      <c r="H21" t="str">
        <f>+VLOOKUP(E21,'Data Type Mapping'!A:B,2,)</f>
        <v>string</v>
      </c>
      <c r="I21" t="str">
        <f t="shared" si="42"/>
        <v xml:space="preserve">		public const int MaxItemTextLength = 50;
</v>
      </c>
      <c r="J21" t="str">
        <f t="shared" si="43"/>
        <v xml:space="preserve">		[StringLength(MaxItemTextLength)]
		public virtual string ItemText { get; set; }
</v>
      </c>
      <c r="K21" s="6"/>
      <c r="L21" t="str">
        <f t="shared" si="44"/>
        <v/>
      </c>
      <c r="M21" t="str">
        <f t="shared" si="45"/>
        <v xml:space="preserve">		public virtual string ItemText { get; set; }
</v>
      </c>
      <c r="N21" t="str">
        <f t="shared" si="46"/>
        <v xml:space="preserve">		[StringLength(IF_FQF3MM05Consts.MaxItemTextLength)]
		public virtual string ItemText { get; set; }
</v>
      </c>
      <c r="O21" t="str">
        <f t="shared" si="47"/>
        <v xml:space="preserve">		public virtual string ItemText { get; set; }
</v>
      </c>
      <c r="P21" t="str">
        <f t="shared" si="48"/>
        <v xml:space="preserve">							ItemText = o.ItemText,</v>
      </c>
      <c r="T21" s="63" t="str">
        <f t="shared" si="49"/>
        <v xml:space="preserve">								("ItemText"),</v>
      </c>
      <c r="V21" s="64" t="str">
        <f t="shared" si="50"/>
        <v xml:space="preserve">								_ =&gt; _.ItemText,</v>
      </c>
      <c r="W21" s="63" t="str">
        <f t="shared" si="51"/>
        <v xml:space="preserve">				.WhereIf(!string.IsNullOrWhiteSpace(input.ItemText), e =&gt; e.ItemText.Contains(input.ItemText))</v>
      </c>
    </row>
    <row r="22" spans="1:23" customFormat="1" ht="18.75" customHeight="1" x14ac:dyDescent="0.25">
      <c r="A22" t="s">
        <v>377</v>
      </c>
      <c r="B22" t="s">
        <v>355</v>
      </c>
      <c r="C22" t="s">
        <v>1</v>
      </c>
      <c r="D22" t="str">
        <f t="shared" si="39"/>
        <v>GlAccount</v>
      </c>
      <c r="E22" t="str">
        <f t="shared" si="40"/>
        <v>VARCHAR</v>
      </c>
      <c r="F22" s="6"/>
      <c r="G22" t="str">
        <f t="shared" si="41"/>
        <v>10</v>
      </c>
      <c r="H22" t="str">
        <f>+VLOOKUP(E22,'Data Type Mapping'!A:B,2,)</f>
        <v>string</v>
      </c>
      <c r="I22" t="str">
        <f t="shared" si="42"/>
        <v xml:space="preserve">		public const int MaxGlAccountLength = 10;
</v>
      </c>
      <c r="J22" t="str">
        <f t="shared" si="43"/>
        <v xml:space="preserve">		[StringLength(MaxGlAccountLength)]
		public virtual string GlAccount { get; set; }
</v>
      </c>
      <c r="K22" s="6"/>
      <c r="L22" t="str">
        <f t="shared" si="44"/>
        <v/>
      </c>
      <c r="M22" t="str">
        <f t="shared" si="45"/>
        <v xml:space="preserve">		public virtual string GlAccount { get; set; }
</v>
      </c>
      <c r="N22" t="str">
        <f t="shared" si="46"/>
        <v xml:space="preserve">		[StringLength(IF_FQF3MM05Consts.MaxGlAccountLength)]
		public virtual string GlAccount { get; set; }
</v>
      </c>
      <c r="O22" t="str">
        <f t="shared" si="47"/>
        <v xml:space="preserve">		public virtual string GlAccount { get; set; }
</v>
      </c>
      <c r="P22" t="str">
        <f t="shared" si="48"/>
        <v xml:space="preserve">							GlAccount = o.GlAccount,</v>
      </c>
      <c r="T22" s="63" t="str">
        <f t="shared" si="49"/>
        <v xml:space="preserve">								("GlAccount"),</v>
      </c>
      <c r="V22" s="64" t="str">
        <f t="shared" si="50"/>
        <v xml:space="preserve">								_ =&gt; _.GlAccount,</v>
      </c>
      <c r="W22" s="63" t="str">
        <f t="shared" si="51"/>
        <v xml:space="preserve">				.WhereIf(!string.IsNullOrWhiteSpace(input.GlAccount), e =&gt; e.GlAccount.Contains(input.GlAccount))</v>
      </c>
    </row>
    <row r="23" spans="1:23" customFormat="1" ht="18.75" customHeight="1" x14ac:dyDescent="0.25">
      <c r="A23" t="s">
        <v>378</v>
      </c>
      <c r="B23" t="s">
        <v>355</v>
      </c>
      <c r="C23" t="s">
        <v>1</v>
      </c>
      <c r="D23" t="str">
        <f t="shared" si="39"/>
        <v>CostCenter</v>
      </c>
      <c r="E23" t="str">
        <f t="shared" si="40"/>
        <v>VARCHAR</v>
      </c>
      <c r="F23" s="6"/>
      <c r="G23" t="str">
        <f t="shared" si="41"/>
        <v>10</v>
      </c>
      <c r="H23" t="str">
        <f>+VLOOKUP(E23,'Data Type Mapping'!A:B,2,)</f>
        <v>string</v>
      </c>
      <c r="I23" t="str">
        <f t="shared" si="42"/>
        <v xml:space="preserve">		public const int MaxCostCenterLength = 10;
</v>
      </c>
      <c r="J23" t="str">
        <f t="shared" si="43"/>
        <v xml:space="preserve">		[StringLength(MaxCostCenterLength)]
		public virtual string CostCenter { get; set; }
</v>
      </c>
      <c r="K23" s="6"/>
      <c r="L23" t="str">
        <f t="shared" si="44"/>
        <v/>
      </c>
      <c r="M23" t="str">
        <f t="shared" si="45"/>
        <v xml:space="preserve">		public virtual string CostCenter { get; set; }
</v>
      </c>
      <c r="N23" t="str">
        <f t="shared" si="46"/>
        <v xml:space="preserve">		[StringLength(IF_FQF3MM05Consts.MaxCostCenterLength)]
		public virtual string CostCenter { get; set; }
</v>
      </c>
      <c r="O23" t="str">
        <f t="shared" si="47"/>
        <v xml:space="preserve">		public virtual string CostCenter { get; set; }
</v>
      </c>
      <c r="P23" t="str">
        <f t="shared" si="48"/>
        <v xml:space="preserve">							CostCenter = o.CostCenter,</v>
      </c>
      <c r="T23" s="63" t="str">
        <f t="shared" si="49"/>
        <v xml:space="preserve">								("CostCenter"),</v>
      </c>
      <c r="V23" s="64" t="str">
        <f t="shared" si="50"/>
        <v xml:space="preserve">								_ =&gt; _.CostCenter,</v>
      </c>
      <c r="W23" s="63" t="str">
        <f t="shared" si="51"/>
        <v xml:space="preserve">				.WhereIf(!string.IsNullOrWhiteSpace(input.CostCenter), e =&gt; e.CostCenter.Contains(input.CostCenter))</v>
      </c>
    </row>
    <row r="24" spans="1:23" customFormat="1" ht="18.75" customHeight="1" x14ac:dyDescent="0.25">
      <c r="A24" t="s">
        <v>371</v>
      </c>
      <c r="B24" t="s">
        <v>392</v>
      </c>
      <c r="C24" t="s">
        <v>1</v>
      </c>
      <c r="D24" t="str">
        <f t="shared" ref="D24:D38" si="52">SUBSTITUTE(PROPER(A24),"_","")</f>
        <v>Wbs</v>
      </c>
      <c r="E24" t="str">
        <f t="shared" ref="E24:E38" si="53">IFERROR(LEFT(B24, FIND("(",B24)-1),B24)</f>
        <v>VARCHAR</v>
      </c>
      <c r="F24" s="6"/>
      <c r="G24" t="str">
        <f t="shared" ref="G24:G38" si="54">IFERROR(MID(B24,FIND("(",B24) +1, FIND(")",B24) - FIND("(",B24) - 1),"")</f>
        <v>24</v>
      </c>
      <c r="H24" t="str">
        <f>+VLOOKUP(E24,'Data Type Mapping'!A:B,2,)</f>
        <v>string</v>
      </c>
      <c r="I24" t="str">
        <f t="shared" ref="I24:I38" si="55">IF(H24="string",REPT(CHAR(9),2)&amp;"public const int Max"&amp;D24&amp;"Length = "&amp;G24&amp;";"&amp;$E$3,"" )</f>
        <v xml:space="preserve">		public const int MaxWbsLength = 24;
</v>
      </c>
      <c r="J24" t="str">
        <f t="shared" ref="J24:J38" si="56">IF(F24="","",REPT(CHAR(9),2)&amp;"[Column(TypeName="""&amp;F24&amp;""")]"&amp;$E$3)&amp;IF(C24="Checked","",$I$3)&amp;IF(H24="string",REPT(CHAR(9),2)&amp;"[StringLength(Max"&amp;D24&amp;"Length"&amp;")]"&amp;$E$3,"")&amp;REPT(CHAR(9),2)&amp;"public virtual "&amp;H24&amp;IF(C24="?","? "," ")&amp;D24&amp;" { get; set; }" &amp; "
"</f>
        <v xml:space="preserve">		[StringLength(MaxWbsLength)]
		public virtual string Wbs { get; set; }
</v>
      </c>
      <c r="K24" s="6"/>
      <c r="L24" t="str">
        <f t="shared" ref="L24:L38" si="57">IF(K24="","",REPT(CHAR(9),1)&amp;"[Index(nameof("&amp;IF(D24="","",""&amp;D24)&amp;")"&amp;", Name="&amp;"""IX_"&amp;$B$7&amp;"_"&amp;D24&amp;""")]")</f>
        <v/>
      </c>
      <c r="M24" t="str">
        <f t="shared" ref="M24:M38" si="58">REPT(CHAR(9),2)&amp;"public virtual "&amp;IF(OR(H24="DateTime",H24="TimeSpan"),H24&amp;"?",H24)&amp;IF(C24="?","? "," ")&amp;D24&amp;" { get; set; }" &amp; "
"</f>
        <v xml:space="preserve">		public virtual string Wbs { get; set; }
</v>
      </c>
      <c r="N24" t="str">
        <f t="shared" ref="N24:N38" si="59">IF(C24="Checked","",$I$3)&amp;IF(H24="string",REPT(CHAR(9),2)&amp;"[StringLength("&amp;$B$3&amp;"Consts.Max"&amp;D24&amp;"Length"&amp;")]"&amp;$E$3,"")&amp;REPT(CHAR(9),2)&amp;"public virtual "&amp;IF(OR(H24="DateTime",H24="TimeSpan"),H24&amp;"?",H24)&amp;IF(C24="?","? "," ")&amp;D24&amp;" { get; set; }" &amp; "
"</f>
        <v xml:space="preserve">		[StringLength(IF_FQF3MM05Consts.MaxWbsLength)]
		public virtual string Wbs { get; set; }
</v>
      </c>
      <c r="O24" t="str">
        <f t="shared" ref="O24:O38" si="60">IF(OR(H24="string",H24="DateTime",H24="int"),REPT(CHAR(9),2)&amp;"public virtual "&amp;IF(OR(H24="DateTime",H24="TimeSpan"),H24&amp;"?",H24)&amp;IF(C24="?","? "," ")&amp;D24&amp;" { get; set; }"&amp;$E$3,"")</f>
        <v xml:space="preserve">		public virtual string Wbs { get; set; }
</v>
      </c>
      <c r="P24" t="str">
        <f t="shared" ref="P24:P38" si="61">REPT(CHAR(9),7)&amp;D24&amp;" = o." &amp;D24 &amp;","</f>
        <v xml:space="preserve">							Wbs = o.Wbs,</v>
      </c>
      <c r="T24" s="63" t="str">
        <f t="shared" ref="T24:T38" si="62">REPT(CHAR(9),8)&amp;"("""&amp;D24&amp;"""),"</f>
        <v xml:space="preserve">								("Wbs"),</v>
      </c>
      <c r="V24" s="64" t="str">
        <f t="shared" ref="V24:V38" si="63">REPT(CHAR(9),8)&amp;"_ =&gt; _."&amp;D24&amp;","</f>
        <v xml:space="preserve">								_ =&gt; _.Wbs,</v>
      </c>
      <c r="W24" s="63" t="str">
        <f t="shared" ref="W24:W38" si="64">IF(H24="string",REPT(CHAR(9),4)&amp;".WhereIf(!string.IsNullOrWhiteSpace(input."&amp;D24&amp;"), e =&gt; e."&amp;D24&amp;".Contains(input."&amp;D24&amp;"))",IF(H24="DateTime",REPT(CHAR(9),4)&amp;".WhereIf(input."&amp;D24&amp;".HasValue, t =&gt; t."&amp;D24&amp;" == input."&amp;D24&amp;".Value)",""))</f>
        <v xml:space="preserve">				.WhereIf(!string.IsNullOrWhiteSpace(input.Wbs), e =&gt; e.Wbs.Contains(input.Wbs))</v>
      </c>
    </row>
    <row r="25" spans="1:23" customFormat="1" ht="18.75" customHeight="1" x14ac:dyDescent="0.25">
      <c r="A25" t="s">
        <v>379</v>
      </c>
      <c r="B25" t="s">
        <v>390</v>
      </c>
      <c r="C25" t="s">
        <v>1</v>
      </c>
      <c r="D25" t="str">
        <f t="shared" si="52"/>
        <v>MaterialCodeTo</v>
      </c>
      <c r="E25" t="str">
        <f t="shared" si="53"/>
        <v>VARCHAR</v>
      </c>
      <c r="F25" s="6"/>
      <c r="G25" t="str">
        <f t="shared" si="54"/>
        <v>40</v>
      </c>
      <c r="H25" t="str">
        <f>+VLOOKUP(E25,'Data Type Mapping'!A:B,2,)</f>
        <v>string</v>
      </c>
      <c r="I25" t="str">
        <f t="shared" si="55"/>
        <v xml:space="preserve">		public const int MaxMaterialCodeToLength = 40;
</v>
      </c>
      <c r="J25" t="str">
        <f t="shared" si="56"/>
        <v xml:space="preserve">		[StringLength(MaxMaterialCodeToLength)]
		public virtual string MaterialCodeTo { get; set; }
</v>
      </c>
      <c r="K25" s="6"/>
      <c r="L25" t="str">
        <f t="shared" si="57"/>
        <v/>
      </c>
      <c r="M25" t="str">
        <f t="shared" si="58"/>
        <v xml:space="preserve">		public virtual string MaterialCodeTo { get; set; }
</v>
      </c>
      <c r="N25" t="str">
        <f t="shared" si="59"/>
        <v xml:space="preserve">		[StringLength(IF_FQF3MM05Consts.MaxMaterialCodeToLength)]
		public virtual string MaterialCodeTo { get; set; }
</v>
      </c>
      <c r="O25" t="str">
        <f t="shared" si="60"/>
        <v xml:space="preserve">		public virtual string MaterialCodeTo { get; set; }
</v>
      </c>
      <c r="P25" t="str">
        <f t="shared" si="61"/>
        <v xml:space="preserve">							MaterialCodeTo = o.MaterialCodeTo,</v>
      </c>
      <c r="T25" s="63" t="str">
        <f t="shared" si="62"/>
        <v xml:space="preserve">								("MaterialCodeTo"),</v>
      </c>
      <c r="V25" s="64" t="str">
        <f t="shared" si="63"/>
        <v xml:space="preserve">								_ =&gt; _.MaterialCodeTo,</v>
      </c>
      <c r="W25" s="63" t="str">
        <f t="shared" si="64"/>
        <v xml:space="preserve">				.WhereIf(!string.IsNullOrWhiteSpace(input.MaterialCodeTo), e =&gt; e.MaterialCodeTo.Contains(input.MaterialCodeTo))</v>
      </c>
    </row>
    <row r="26" spans="1:23" customFormat="1" ht="18.75" customHeight="1" x14ac:dyDescent="0.25">
      <c r="A26" t="s">
        <v>380</v>
      </c>
      <c r="B26" t="s">
        <v>356</v>
      </c>
      <c r="C26" t="s">
        <v>1</v>
      </c>
      <c r="D26" t="str">
        <f t="shared" si="52"/>
        <v>PlantTo</v>
      </c>
      <c r="E26" t="str">
        <f t="shared" si="53"/>
        <v>VARCHAR</v>
      </c>
      <c r="F26" s="6"/>
      <c r="G26" t="str">
        <f t="shared" si="54"/>
        <v>4</v>
      </c>
      <c r="H26" t="str">
        <f>+VLOOKUP(E26,'Data Type Mapping'!A:B,2,)</f>
        <v>string</v>
      </c>
      <c r="I26" t="str">
        <f t="shared" si="55"/>
        <v xml:space="preserve">		public const int MaxPlantToLength = 4;
</v>
      </c>
      <c r="J26" t="str">
        <f t="shared" si="56"/>
        <v xml:space="preserve">		[StringLength(MaxPlantToLength)]
		public virtual string PlantTo { get; set; }
</v>
      </c>
      <c r="K26" s="6"/>
      <c r="L26" t="str">
        <f t="shared" si="57"/>
        <v/>
      </c>
      <c r="M26" t="str">
        <f t="shared" si="58"/>
        <v xml:space="preserve">		public virtual string PlantTo { get; set; }
</v>
      </c>
      <c r="N26" t="str">
        <f t="shared" si="59"/>
        <v xml:space="preserve">		[StringLength(IF_FQF3MM05Consts.MaxPlantToLength)]
		public virtual string PlantTo { get; set; }
</v>
      </c>
      <c r="O26" t="str">
        <f t="shared" si="60"/>
        <v xml:space="preserve">		public virtual string PlantTo { get; set; }
</v>
      </c>
      <c r="P26" t="str">
        <f t="shared" si="61"/>
        <v xml:space="preserve">							PlantTo = o.PlantTo,</v>
      </c>
      <c r="T26" s="63" t="str">
        <f t="shared" si="62"/>
        <v xml:space="preserve">								("PlantTo"),</v>
      </c>
      <c r="V26" s="64" t="str">
        <f t="shared" si="63"/>
        <v xml:space="preserve">								_ =&gt; _.PlantTo,</v>
      </c>
      <c r="W26" s="63" t="str">
        <f t="shared" si="64"/>
        <v xml:space="preserve">				.WhereIf(!string.IsNullOrWhiteSpace(input.PlantTo), e =&gt; e.PlantTo.Contains(input.PlantTo))</v>
      </c>
    </row>
    <row r="27" spans="1:23" customFormat="1" ht="18.75" customHeight="1" x14ac:dyDescent="0.25">
      <c r="A27" t="s">
        <v>381</v>
      </c>
      <c r="B27" t="s">
        <v>355</v>
      </c>
      <c r="C27" t="s">
        <v>1</v>
      </c>
      <c r="D27" t="str">
        <f t="shared" si="52"/>
        <v>ValuationTypeTo</v>
      </c>
      <c r="E27" t="str">
        <f t="shared" si="53"/>
        <v>VARCHAR</v>
      </c>
      <c r="F27" s="6"/>
      <c r="G27" t="str">
        <f t="shared" si="54"/>
        <v>10</v>
      </c>
      <c r="H27" t="str">
        <f>+VLOOKUP(E27,'Data Type Mapping'!A:B,2,)</f>
        <v>string</v>
      </c>
      <c r="I27" t="str">
        <f t="shared" si="55"/>
        <v xml:space="preserve">		public const int MaxValuationTypeToLength = 10;
</v>
      </c>
      <c r="J27" t="str">
        <f t="shared" si="56"/>
        <v xml:space="preserve">		[StringLength(MaxValuationTypeToLength)]
		public virtual string ValuationTypeTo { get; set; }
</v>
      </c>
      <c r="K27" s="6"/>
      <c r="L27" t="str">
        <f t="shared" si="57"/>
        <v/>
      </c>
      <c r="M27" t="str">
        <f t="shared" si="58"/>
        <v xml:space="preserve">		public virtual string ValuationTypeTo { get; set; }
</v>
      </c>
      <c r="N27" t="str">
        <f t="shared" si="59"/>
        <v xml:space="preserve">		[StringLength(IF_FQF3MM05Consts.MaxValuationTypeToLength)]
		public virtual string ValuationTypeTo { get; set; }
</v>
      </c>
      <c r="O27" t="str">
        <f t="shared" si="60"/>
        <v xml:space="preserve">		public virtual string ValuationTypeTo { get; set; }
</v>
      </c>
      <c r="P27" t="str">
        <f t="shared" si="61"/>
        <v xml:space="preserve">							ValuationTypeTo = o.ValuationTypeTo,</v>
      </c>
      <c r="T27" s="63" t="str">
        <f t="shared" si="62"/>
        <v xml:space="preserve">								("ValuationTypeTo"),</v>
      </c>
      <c r="V27" s="64" t="str">
        <f t="shared" si="63"/>
        <v xml:space="preserve">								_ =&gt; _.ValuationTypeTo,</v>
      </c>
      <c r="W27" s="63" t="str">
        <f t="shared" si="64"/>
        <v xml:space="preserve">				.WhereIf(!string.IsNullOrWhiteSpace(input.ValuationTypeTo), e =&gt; e.ValuationTypeTo.Contains(input.ValuationTypeTo))</v>
      </c>
    </row>
    <row r="28" spans="1:23" customFormat="1" ht="18.75" customHeight="1" x14ac:dyDescent="0.25">
      <c r="A28" t="s">
        <v>382</v>
      </c>
      <c r="B28" t="s">
        <v>356</v>
      </c>
      <c r="C28" t="s">
        <v>1</v>
      </c>
      <c r="D28" t="str">
        <f t="shared" si="52"/>
        <v>StorageLocationTo</v>
      </c>
      <c r="E28" t="str">
        <f t="shared" si="53"/>
        <v>VARCHAR</v>
      </c>
      <c r="F28" s="6"/>
      <c r="G28" t="str">
        <f t="shared" si="54"/>
        <v>4</v>
      </c>
      <c r="H28" t="str">
        <f>+VLOOKUP(E28,'Data Type Mapping'!A:B,2,)</f>
        <v>string</v>
      </c>
      <c r="I28" t="str">
        <f t="shared" si="55"/>
        <v xml:space="preserve">		public const int MaxStorageLocationToLength = 4;
</v>
      </c>
      <c r="J28" t="str">
        <f t="shared" si="56"/>
        <v xml:space="preserve">		[StringLength(MaxStorageLocationToLength)]
		public virtual string StorageLocationTo { get; set; }
</v>
      </c>
      <c r="K28" s="6"/>
      <c r="L28" t="str">
        <f t="shared" si="57"/>
        <v/>
      </c>
      <c r="M28" t="str">
        <f t="shared" si="58"/>
        <v xml:space="preserve">		public virtual string StorageLocationTo { get; set; }
</v>
      </c>
      <c r="N28" t="str">
        <f t="shared" si="59"/>
        <v xml:space="preserve">		[StringLength(IF_FQF3MM05Consts.MaxStorageLocationToLength)]
		public virtual string StorageLocationTo { get; set; }
</v>
      </c>
      <c r="O28" t="str">
        <f t="shared" si="60"/>
        <v xml:space="preserve">		public virtual string StorageLocationTo { get; set; }
</v>
      </c>
      <c r="P28" t="str">
        <f t="shared" si="61"/>
        <v xml:space="preserve">							StorageLocationTo = o.StorageLocationTo,</v>
      </c>
      <c r="T28" s="63" t="str">
        <f t="shared" si="62"/>
        <v xml:space="preserve">								("StorageLocationTo"),</v>
      </c>
      <c r="V28" s="64" t="str">
        <f t="shared" si="63"/>
        <v xml:space="preserve">								_ =&gt; _.StorageLocationTo,</v>
      </c>
      <c r="W28" s="63" t="str">
        <f t="shared" si="64"/>
        <v xml:space="preserve">				.WhereIf(!string.IsNullOrWhiteSpace(input.StorageLocationTo), e =&gt; e.StorageLocationTo.Contains(input.StorageLocationTo))</v>
      </c>
    </row>
    <row r="29" spans="1:23" customFormat="1" ht="18.75" customHeight="1" x14ac:dyDescent="0.25">
      <c r="A29" t="s">
        <v>372</v>
      </c>
      <c r="B29" t="s">
        <v>357</v>
      </c>
      <c r="C29" t="s">
        <v>1</v>
      </c>
      <c r="D29" t="str">
        <f t="shared" si="52"/>
        <v>BfPc</v>
      </c>
      <c r="E29" t="str">
        <f t="shared" si="53"/>
        <v>VARCHAR</v>
      </c>
      <c r="F29" s="6"/>
      <c r="G29" t="str">
        <f t="shared" si="54"/>
        <v>1</v>
      </c>
      <c r="H29" t="str">
        <f>+VLOOKUP(E29,'Data Type Mapping'!A:B,2,)</f>
        <v>string</v>
      </c>
      <c r="I29" t="str">
        <f t="shared" si="55"/>
        <v xml:space="preserve">		public const int MaxBfPcLength = 1;
</v>
      </c>
      <c r="J29" t="str">
        <f t="shared" si="56"/>
        <v xml:space="preserve">		[StringLength(MaxBfPcLength)]
		public virtual string BfPc { get; set; }
</v>
      </c>
      <c r="K29" s="6"/>
      <c r="L29" t="str">
        <f t="shared" si="57"/>
        <v/>
      </c>
      <c r="M29" t="str">
        <f t="shared" si="58"/>
        <v xml:space="preserve">		public virtual string BfPc { get; set; }
</v>
      </c>
      <c r="N29" t="str">
        <f t="shared" si="59"/>
        <v xml:space="preserve">		[StringLength(IF_FQF3MM05Consts.MaxBfPcLength)]
		public virtual string BfPc { get; set; }
</v>
      </c>
      <c r="O29" t="str">
        <f t="shared" si="60"/>
        <v xml:space="preserve">		public virtual string BfPc { get; set; }
</v>
      </c>
      <c r="P29" t="str">
        <f t="shared" si="61"/>
        <v xml:space="preserve">							BfPc = o.BfPc,</v>
      </c>
      <c r="T29" s="63" t="str">
        <f t="shared" si="62"/>
        <v xml:space="preserve">								("BfPc"),</v>
      </c>
      <c r="V29" s="64" t="str">
        <f t="shared" si="63"/>
        <v xml:space="preserve">								_ =&gt; _.BfPc,</v>
      </c>
      <c r="W29" s="63" t="str">
        <f t="shared" si="64"/>
        <v xml:space="preserve">				.WhereIf(!string.IsNullOrWhiteSpace(input.BfPc), e =&gt; e.BfPc.Contains(input.BfPc))</v>
      </c>
    </row>
    <row r="30" spans="1:23" customFormat="1" ht="18.75" customHeight="1" x14ac:dyDescent="0.25">
      <c r="A30" t="s">
        <v>373</v>
      </c>
      <c r="B30" t="s">
        <v>357</v>
      </c>
      <c r="C30" t="s">
        <v>1</v>
      </c>
      <c r="D30" t="str">
        <f t="shared" si="52"/>
        <v>CancelFlag</v>
      </c>
      <c r="E30" t="str">
        <f t="shared" si="53"/>
        <v>VARCHAR</v>
      </c>
      <c r="F30" s="6"/>
      <c r="G30" t="str">
        <f t="shared" si="54"/>
        <v>1</v>
      </c>
      <c r="H30" t="str">
        <f>+VLOOKUP(E30,'Data Type Mapping'!A:B,2,)</f>
        <v>string</v>
      </c>
      <c r="I30" t="str">
        <f t="shared" si="55"/>
        <v xml:space="preserve">		public const int MaxCancelFlagLength = 1;
</v>
      </c>
      <c r="J30" t="str">
        <f t="shared" si="56"/>
        <v xml:space="preserve">		[StringLength(MaxCancelFlagLength)]
		public virtual string CancelFlag { get; set; }
</v>
      </c>
      <c r="K30" s="6"/>
      <c r="L30" t="str">
        <f t="shared" si="57"/>
        <v/>
      </c>
      <c r="M30" t="str">
        <f t="shared" si="58"/>
        <v xml:space="preserve">		public virtual string CancelFlag { get; set; }
</v>
      </c>
      <c r="N30" t="str">
        <f t="shared" si="59"/>
        <v xml:space="preserve">		[StringLength(IF_FQF3MM05Consts.MaxCancelFlagLength)]
		public virtual string CancelFlag { get; set; }
</v>
      </c>
      <c r="O30" t="str">
        <f t="shared" si="60"/>
        <v xml:space="preserve">		public virtual string CancelFlag { get; set; }
</v>
      </c>
      <c r="P30" t="str">
        <f t="shared" si="61"/>
        <v xml:space="preserve">							CancelFlag = o.CancelFlag,</v>
      </c>
      <c r="T30" s="63" t="str">
        <f t="shared" si="62"/>
        <v xml:space="preserve">								("CancelFlag"),</v>
      </c>
      <c r="V30" s="64" t="str">
        <f t="shared" si="63"/>
        <v xml:space="preserve">								_ =&gt; _.CancelFlag,</v>
      </c>
      <c r="W30" s="63" t="str">
        <f t="shared" si="64"/>
        <v xml:space="preserve">				.WhereIf(!string.IsNullOrWhiteSpace(input.CancelFlag), e =&gt; e.CancelFlag.Contains(input.CancelFlag))</v>
      </c>
    </row>
    <row r="31" spans="1:23" customFormat="1" ht="18.75" customHeight="1" x14ac:dyDescent="0.25">
      <c r="A31" t="s">
        <v>383</v>
      </c>
      <c r="B31" t="s">
        <v>388</v>
      </c>
      <c r="C31" t="s">
        <v>1</v>
      </c>
      <c r="D31" t="str">
        <f t="shared" si="52"/>
        <v>ReffMatDocNo</v>
      </c>
      <c r="E31" t="str">
        <f t="shared" si="53"/>
        <v>VARCHAR</v>
      </c>
      <c r="F31" s="6"/>
      <c r="G31" t="str">
        <f t="shared" si="54"/>
        <v>25</v>
      </c>
      <c r="H31" t="str">
        <f>+VLOOKUP(E31,'Data Type Mapping'!A:B,2,)</f>
        <v>string</v>
      </c>
      <c r="I31" t="str">
        <f t="shared" si="55"/>
        <v xml:space="preserve">		public const int MaxReffMatDocNoLength = 25;
</v>
      </c>
      <c r="J31" t="str">
        <f t="shared" si="56"/>
        <v xml:space="preserve">		[StringLength(MaxReffMatDocNoLength)]
		public virtual string ReffMatDocNo { get; set; }
</v>
      </c>
      <c r="K31" s="6"/>
      <c r="L31" t="str">
        <f t="shared" si="57"/>
        <v/>
      </c>
      <c r="M31" t="str">
        <f t="shared" si="58"/>
        <v xml:space="preserve">		public virtual string ReffMatDocNo { get; set; }
</v>
      </c>
      <c r="N31" t="str">
        <f t="shared" si="59"/>
        <v xml:space="preserve">		[StringLength(IF_FQF3MM05Consts.MaxReffMatDocNoLength)]
		public virtual string ReffMatDocNo { get; set; }
</v>
      </c>
      <c r="O31" t="str">
        <f t="shared" si="60"/>
        <v xml:space="preserve">		public virtual string ReffMatDocNo { get; set; }
</v>
      </c>
      <c r="P31" t="str">
        <f t="shared" si="61"/>
        <v xml:space="preserve">							ReffMatDocNo = o.ReffMatDocNo,</v>
      </c>
      <c r="T31" s="63" t="str">
        <f t="shared" si="62"/>
        <v xml:space="preserve">								("ReffMatDocNo"),</v>
      </c>
      <c r="V31" s="64" t="str">
        <f t="shared" si="63"/>
        <v xml:space="preserve">								_ =&gt; _.ReffMatDocNo,</v>
      </c>
      <c r="W31" s="63" t="str">
        <f t="shared" si="64"/>
        <v xml:space="preserve">				.WhereIf(!string.IsNullOrWhiteSpace(input.ReffMatDocNo), e =&gt; e.ReffMatDocNo.Contains(input.ReffMatDocNo))</v>
      </c>
    </row>
    <row r="32" spans="1:23" customFormat="1" ht="18.75" customHeight="1" x14ac:dyDescent="0.25">
      <c r="A32" t="s">
        <v>374</v>
      </c>
      <c r="B32" t="s">
        <v>355</v>
      </c>
      <c r="C32" t="s">
        <v>1</v>
      </c>
      <c r="D32" t="str">
        <f t="shared" si="52"/>
        <v>VendorNo</v>
      </c>
      <c r="E32" t="str">
        <f t="shared" si="53"/>
        <v>VARCHAR</v>
      </c>
      <c r="F32" s="6"/>
      <c r="G32" t="str">
        <f t="shared" si="54"/>
        <v>10</v>
      </c>
      <c r="H32" t="str">
        <f>+VLOOKUP(E32,'Data Type Mapping'!A:B,2,)</f>
        <v>string</v>
      </c>
      <c r="I32" t="str">
        <f t="shared" si="55"/>
        <v xml:space="preserve">		public const int MaxVendorNoLength = 10;
</v>
      </c>
      <c r="J32" t="str">
        <f t="shared" si="56"/>
        <v xml:space="preserve">		[StringLength(MaxVendorNoLength)]
		public virtual string VendorNo { get; set; }
</v>
      </c>
      <c r="K32" s="6"/>
      <c r="L32" t="str">
        <f t="shared" si="57"/>
        <v/>
      </c>
      <c r="M32" t="str">
        <f t="shared" si="58"/>
        <v xml:space="preserve">		public virtual string VendorNo { get; set; }
</v>
      </c>
      <c r="N32" t="str">
        <f t="shared" si="59"/>
        <v xml:space="preserve">		[StringLength(IF_FQF3MM05Consts.MaxVendorNoLength)]
		public virtual string VendorNo { get; set; }
</v>
      </c>
      <c r="O32" t="str">
        <f t="shared" si="60"/>
        <v xml:space="preserve">		public virtual string VendorNo { get; set; }
</v>
      </c>
      <c r="P32" t="str">
        <f t="shared" si="61"/>
        <v xml:space="preserve">							VendorNo = o.VendorNo,</v>
      </c>
      <c r="T32" s="63" t="str">
        <f t="shared" si="62"/>
        <v xml:space="preserve">								("VendorNo"),</v>
      </c>
      <c r="V32" s="64" t="str">
        <f t="shared" si="63"/>
        <v xml:space="preserve">								_ =&gt; _.VendorNo,</v>
      </c>
      <c r="W32" s="63" t="str">
        <f t="shared" si="64"/>
        <v xml:space="preserve">				.WhereIf(!string.IsNullOrWhiteSpace(input.VendorNo), e =&gt; e.VendorNo.Contains(input.VendorNo))</v>
      </c>
    </row>
    <row r="33" spans="1:23" customFormat="1" ht="18.75" customHeight="1" x14ac:dyDescent="0.25">
      <c r="A33" t="s">
        <v>375</v>
      </c>
      <c r="B33" t="s">
        <v>355</v>
      </c>
      <c r="C33" t="s">
        <v>1</v>
      </c>
      <c r="D33" t="str">
        <f t="shared" si="52"/>
        <v>ProfitCenter</v>
      </c>
      <c r="E33" t="str">
        <f t="shared" si="53"/>
        <v>VARCHAR</v>
      </c>
      <c r="F33" s="6"/>
      <c r="G33" t="str">
        <f t="shared" si="54"/>
        <v>10</v>
      </c>
      <c r="H33" t="str">
        <f>+VLOOKUP(E33,'Data Type Mapping'!A:B,2,)</f>
        <v>string</v>
      </c>
      <c r="I33" t="str">
        <f t="shared" si="55"/>
        <v xml:space="preserve">		public const int MaxProfitCenterLength = 10;
</v>
      </c>
      <c r="J33" t="str">
        <f t="shared" si="56"/>
        <v xml:space="preserve">		[StringLength(MaxProfitCenterLength)]
		public virtual string ProfitCenter { get; set; }
</v>
      </c>
      <c r="K33" s="6"/>
      <c r="L33" t="str">
        <f t="shared" si="57"/>
        <v/>
      </c>
      <c r="M33" t="str">
        <f t="shared" si="58"/>
        <v xml:space="preserve">		public virtual string ProfitCenter { get; set; }
</v>
      </c>
      <c r="N33" t="str">
        <f t="shared" si="59"/>
        <v xml:space="preserve">		[StringLength(IF_FQF3MM05Consts.MaxProfitCenterLength)]
		public virtual string ProfitCenter { get; set; }
</v>
      </c>
      <c r="O33" t="str">
        <f t="shared" si="60"/>
        <v xml:space="preserve">		public virtual string ProfitCenter { get; set; }
</v>
      </c>
      <c r="P33" t="str">
        <f t="shared" si="61"/>
        <v xml:space="preserve">							ProfitCenter = o.ProfitCenter,</v>
      </c>
      <c r="T33" s="63" t="str">
        <f t="shared" si="62"/>
        <v xml:space="preserve">								("ProfitCenter"),</v>
      </c>
      <c r="V33" s="64" t="str">
        <f t="shared" si="63"/>
        <v xml:space="preserve">								_ =&gt; _.ProfitCenter,</v>
      </c>
      <c r="W33" s="63" t="str">
        <f t="shared" si="64"/>
        <v xml:space="preserve">				.WhereIf(!string.IsNullOrWhiteSpace(input.ProfitCenter), e =&gt; e.ProfitCenter.Contains(input.ProfitCenter))</v>
      </c>
    </row>
    <row r="34" spans="1:23" customFormat="1" ht="18.75" customHeight="1" x14ac:dyDescent="0.25">
      <c r="A34" t="s">
        <v>384</v>
      </c>
      <c r="B34" t="s">
        <v>357</v>
      </c>
      <c r="C34" t="s">
        <v>1</v>
      </c>
      <c r="D34" t="str">
        <f t="shared" si="52"/>
        <v>ShipemntCat</v>
      </c>
      <c r="E34" t="str">
        <f t="shared" si="53"/>
        <v>VARCHAR</v>
      </c>
      <c r="F34" s="6"/>
      <c r="G34" t="str">
        <f t="shared" si="54"/>
        <v>1</v>
      </c>
      <c r="H34" t="str">
        <f>+VLOOKUP(E34,'Data Type Mapping'!A:B,2,)</f>
        <v>string</v>
      </c>
      <c r="I34" t="str">
        <f t="shared" si="55"/>
        <v xml:space="preserve">		public const int MaxShipemntCatLength = 1;
</v>
      </c>
      <c r="J34" t="str">
        <f t="shared" si="56"/>
        <v xml:space="preserve">		[StringLength(MaxShipemntCatLength)]
		public virtual string ShipemntCat { get; set; }
</v>
      </c>
      <c r="K34" s="6"/>
      <c r="L34" t="str">
        <f t="shared" si="57"/>
        <v/>
      </c>
      <c r="M34" t="str">
        <f t="shared" si="58"/>
        <v xml:space="preserve">		public virtual string ShipemntCat { get; set; }
</v>
      </c>
      <c r="N34" t="str">
        <f t="shared" si="59"/>
        <v xml:space="preserve">		[StringLength(IF_FQF3MM05Consts.MaxShipemntCatLength)]
		public virtual string ShipemntCat { get; set; }
</v>
      </c>
      <c r="O34" t="str">
        <f t="shared" si="60"/>
        <v xml:space="preserve">		public virtual string ShipemntCat { get; set; }
</v>
      </c>
      <c r="P34" t="str">
        <f t="shared" si="61"/>
        <v xml:space="preserve">							ShipemntCat = o.ShipemntCat,</v>
      </c>
      <c r="T34" s="63" t="str">
        <f t="shared" si="62"/>
        <v xml:space="preserve">								("ShipemntCat"),</v>
      </c>
      <c r="V34" s="64" t="str">
        <f t="shared" si="63"/>
        <v xml:space="preserve">								_ =&gt; _.ShipemntCat,</v>
      </c>
      <c r="W34" s="63" t="str">
        <f t="shared" si="64"/>
        <v xml:space="preserve">				.WhereIf(!string.IsNullOrWhiteSpace(input.ShipemntCat), e =&gt; e.ShipemntCat.Contains(input.ShipemntCat))</v>
      </c>
    </row>
    <row r="35" spans="1:23" customFormat="1" ht="18.75" customHeight="1" x14ac:dyDescent="0.25">
      <c r="A35" t="s">
        <v>376</v>
      </c>
      <c r="B35" t="s">
        <v>393</v>
      </c>
      <c r="C35" t="s">
        <v>1</v>
      </c>
      <c r="D35" t="str">
        <f t="shared" si="52"/>
        <v>Reference</v>
      </c>
      <c r="E35" t="str">
        <f t="shared" si="53"/>
        <v>VARCHAR</v>
      </c>
      <c r="F35" s="6"/>
      <c r="G35" t="str">
        <f t="shared" si="54"/>
        <v>16</v>
      </c>
      <c r="H35" t="str">
        <f>+VLOOKUP(E35,'Data Type Mapping'!A:B,2,)</f>
        <v>string</v>
      </c>
      <c r="I35" t="str">
        <f t="shared" si="55"/>
        <v xml:space="preserve">		public const int MaxReferenceLength = 16;
</v>
      </c>
      <c r="J35" t="str">
        <f t="shared" si="56"/>
        <v xml:space="preserve">		[StringLength(MaxReferenceLength)]
		public virtual string Reference { get; set; }
</v>
      </c>
      <c r="K35" s="6"/>
      <c r="L35" t="str">
        <f t="shared" si="57"/>
        <v/>
      </c>
      <c r="M35" t="str">
        <f t="shared" si="58"/>
        <v xml:space="preserve">		public virtual string Reference { get; set; }
</v>
      </c>
      <c r="N35" t="str">
        <f t="shared" si="59"/>
        <v xml:space="preserve">		[StringLength(IF_FQF3MM05Consts.MaxReferenceLength)]
		public virtual string Reference { get; set; }
</v>
      </c>
      <c r="O35" t="str">
        <f t="shared" si="60"/>
        <v xml:space="preserve">		public virtual string Reference { get; set; }
</v>
      </c>
      <c r="P35" t="str">
        <f t="shared" si="61"/>
        <v xml:space="preserve">							Reference = o.Reference,</v>
      </c>
      <c r="T35" s="63" t="str">
        <f t="shared" si="62"/>
        <v xml:space="preserve">								("Reference"),</v>
      </c>
      <c r="V35" s="64" t="str">
        <f t="shared" si="63"/>
        <v xml:space="preserve">								_ =&gt; _.Reference,</v>
      </c>
      <c r="W35" s="63" t="str">
        <f t="shared" si="64"/>
        <v xml:space="preserve">				.WhereIf(!string.IsNullOrWhiteSpace(input.Reference), e =&gt; e.Reference.Contains(input.Reference))</v>
      </c>
    </row>
    <row r="36" spans="1:23" customFormat="1" ht="18.75" customHeight="1" x14ac:dyDescent="0.25">
      <c r="A36" t="s">
        <v>385</v>
      </c>
      <c r="B36" t="s">
        <v>354</v>
      </c>
      <c r="C36" t="s">
        <v>1</v>
      </c>
      <c r="D36" t="str">
        <f t="shared" si="52"/>
        <v>AssetNo</v>
      </c>
      <c r="E36" t="str">
        <f t="shared" si="53"/>
        <v>VARCHAR</v>
      </c>
      <c r="F36" s="6"/>
      <c r="G36" t="str">
        <f t="shared" si="54"/>
        <v>12</v>
      </c>
      <c r="H36" t="str">
        <f>+VLOOKUP(E36,'Data Type Mapping'!A:B,2,)</f>
        <v>string</v>
      </c>
      <c r="I36" t="str">
        <f t="shared" si="55"/>
        <v xml:space="preserve">		public const int MaxAssetNoLength = 12;
</v>
      </c>
      <c r="J36" t="str">
        <f t="shared" si="56"/>
        <v xml:space="preserve">		[StringLength(MaxAssetNoLength)]
		public virtual string AssetNo { get; set; }
</v>
      </c>
      <c r="K36" s="6"/>
      <c r="L36" t="str">
        <f t="shared" si="57"/>
        <v/>
      </c>
      <c r="M36" t="str">
        <f t="shared" si="58"/>
        <v xml:space="preserve">		public virtual string AssetNo { get; set; }
</v>
      </c>
      <c r="N36" t="str">
        <f t="shared" si="59"/>
        <v xml:space="preserve">		[StringLength(IF_FQF3MM05Consts.MaxAssetNoLength)]
		public virtual string AssetNo { get; set; }
</v>
      </c>
      <c r="O36" t="str">
        <f t="shared" si="60"/>
        <v xml:space="preserve">		public virtual string AssetNo { get; set; }
</v>
      </c>
      <c r="P36" t="str">
        <f t="shared" si="61"/>
        <v xml:space="preserve">							AssetNo = o.AssetNo,</v>
      </c>
      <c r="T36" s="63" t="str">
        <f t="shared" si="62"/>
        <v xml:space="preserve">								("AssetNo"),</v>
      </c>
      <c r="V36" s="64" t="str">
        <f t="shared" si="63"/>
        <v xml:space="preserve">								_ =&gt; _.AssetNo,</v>
      </c>
      <c r="W36" s="63" t="str">
        <f t="shared" si="64"/>
        <v xml:space="preserve">				.WhereIf(!string.IsNullOrWhiteSpace(input.AssetNo), e =&gt; e.AssetNo.Contains(input.AssetNo))</v>
      </c>
    </row>
    <row r="37" spans="1:23" customFormat="1" ht="18.75" customHeight="1" x14ac:dyDescent="0.25">
      <c r="A37" t="s">
        <v>386</v>
      </c>
      <c r="B37" t="s">
        <v>356</v>
      </c>
      <c r="C37" t="s">
        <v>1</v>
      </c>
      <c r="D37" t="str">
        <f t="shared" si="52"/>
        <v>SubAssetNo</v>
      </c>
      <c r="E37" t="str">
        <f t="shared" si="53"/>
        <v>VARCHAR</v>
      </c>
      <c r="F37" s="6"/>
      <c r="G37" t="str">
        <f t="shared" si="54"/>
        <v>4</v>
      </c>
      <c r="H37" t="str">
        <f>+VLOOKUP(E37,'Data Type Mapping'!A:B,2,)</f>
        <v>string</v>
      </c>
      <c r="I37" t="str">
        <f t="shared" si="55"/>
        <v xml:space="preserve">		public const int MaxSubAssetNoLength = 4;
</v>
      </c>
      <c r="J37" t="str">
        <f t="shared" si="56"/>
        <v xml:space="preserve">		[StringLength(MaxSubAssetNoLength)]
		public virtual string SubAssetNo { get; set; }
</v>
      </c>
      <c r="K37" s="6"/>
      <c r="L37" t="str">
        <f t="shared" si="57"/>
        <v/>
      </c>
      <c r="M37" t="str">
        <f t="shared" si="58"/>
        <v xml:space="preserve">		public virtual string SubAssetNo { get; set; }
</v>
      </c>
      <c r="N37" t="str">
        <f t="shared" si="59"/>
        <v xml:space="preserve">		[StringLength(IF_FQF3MM05Consts.MaxSubAssetNoLength)]
		public virtual string SubAssetNo { get; set; }
</v>
      </c>
      <c r="O37" t="str">
        <f t="shared" si="60"/>
        <v xml:space="preserve">		public virtual string SubAssetNo { get; set; }
</v>
      </c>
      <c r="P37" t="str">
        <f t="shared" si="61"/>
        <v xml:space="preserve">							SubAssetNo = o.SubAssetNo,</v>
      </c>
      <c r="T37" s="63" t="str">
        <f t="shared" si="62"/>
        <v xml:space="preserve">								("SubAssetNo"),</v>
      </c>
      <c r="V37" s="64" t="str">
        <f t="shared" si="63"/>
        <v xml:space="preserve">								_ =&gt; _.SubAssetNo,</v>
      </c>
      <c r="W37" s="63" t="str">
        <f t="shared" si="64"/>
        <v xml:space="preserve">				.WhereIf(!string.IsNullOrWhiteSpace(input.SubAssetNo), e =&gt; e.SubAssetNo.Contains(input.SubAssetNo))</v>
      </c>
    </row>
    <row r="38" spans="1:23" customFormat="1" ht="18.75" customHeight="1" x14ac:dyDescent="0.25">
      <c r="A38" t="s">
        <v>387</v>
      </c>
      <c r="B38" t="s">
        <v>357</v>
      </c>
      <c r="C38" t="s">
        <v>1</v>
      </c>
      <c r="D38" t="str">
        <f t="shared" si="52"/>
        <v>EndOfRecord</v>
      </c>
      <c r="E38" t="str">
        <f t="shared" si="53"/>
        <v>VARCHAR</v>
      </c>
      <c r="F38" s="6"/>
      <c r="G38" t="str">
        <f t="shared" si="54"/>
        <v>1</v>
      </c>
      <c r="H38" t="str">
        <f>+VLOOKUP(E38,'Data Type Mapping'!A:B,2,)</f>
        <v>string</v>
      </c>
      <c r="I38" t="str">
        <f t="shared" si="55"/>
        <v xml:space="preserve">		public const int MaxEndOfRecordLength = 1;
</v>
      </c>
      <c r="J38" t="str">
        <f t="shared" si="56"/>
        <v xml:space="preserve">		[StringLength(MaxEndOfRecordLength)]
		public virtual string EndOfRecord { get; set; }
</v>
      </c>
      <c r="K38" s="6"/>
      <c r="L38" t="str">
        <f t="shared" si="57"/>
        <v/>
      </c>
      <c r="M38" t="str">
        <f t="shared" si="58"/>
        <v xml:space="preserve">		public virtual string EndOfRecord { get; set; }
</v>
      </c>
      <c r="N38" t="str">
        <f t="shared" si="59"/>
        <v xml:space="preserve">		[StringLength(IF_FQF3MM05Consts.MaxEndOfRecordLength)]
		public virtual string EndOfRecord { get; set; }
</v>
      </c>
      <c r="O38" t="str">
        <f t="shared" si="60"/>
        <v xml:space="preserve">		public virtual string EndOfRecord { get; set; }
</v>
      </c>
      <c r="P38" t="str">
        <f t="shared" si="61"/>
        <v xml:space="preserve">							EndOfRecord = o.EndOfRecord,</v>
      </c>
      <c r="T38" s="63" t="str">
        <f t="shared" si="62"/>
        <v xml:space="preserve">								("EndOfRecord"),</v>
      </c>
      <c r="V38" s="64" t="str">
        <f t="shared" si="63"/>
        <v xml:space="preserve">								_ =&gt; _.EndOfRecord,</v>
      </c>
      <c r="W38" s="63" t="str">
        <f t="shared" si="64"/>
        <v xml:space="preserve">				.WhereIf(!string.IsNullOrWhiteSpace(input.EndOfRecord), e =&gt; e.EndOfRecord.Contains(input.EndOfRecord))</v>
      </c>
    </row>
    <row r="40" spans="1:23" ht="45.75" customHeight="1" x14ac:dyDescent="0.25">
      <c r="H40" s="11"/>
      <c r="I40" s="31" t="str">
        <f ca="1">TEXTJOIN2("
", TRUE,INDIRECT( $H$1):INDIRECT( $H$3))</f>
        <v xml:space="preserve">		public const int MaxDocumentDateLength = 10;
		public const int MaxPostingDateLength = 10;
		public const int MaxDocumentHeaderTextLength = 25;
		public const int MaxMovementTypeLength = 3;
		public const int MaxMaterialCodeFromLength = 40;
		public const int MaxPlantFromLength = 4;
		public const int MaxValuationTypeFromLength = 10;
		public const int MaxStorageLocationFromLength = 4;
		public const int MaxProductionVersionLength = 4;
		public const int MaxUnitOfEntryLength = 3;
		public const int MaxItemTextLength = 50;
		public const int MaxGlAccountLength = 10;
		public const int MaxCostCenterLength = 10;
		public const int MaxWbsLength = 24;
		public const int MaxMaterialCodeToLength = 40;
		public const int MaxPlantToLength = 4;
		public const int MaxValuationTypeToLength = 10;
		public const int MaxStorageLocationToLength = 4;
		public const int MaxBfPcLength = 1;
		public const int MaxCancelFlagLength = 1;
		public const int MaxReffMatDocNoLength = 25;
		public const int MaxVendorNoLength = 10;
		public const int MaxProfitCenterLength = 10;
		public const int MaxShipemntCatLength = 1;
		public const int MaxReferenceLength = 16;
		public const int MaxAssetNoLength = 12;
		public const int MaxSubAssetNoLength = 4;
		public const int MaxEndOfRecordLength = 1;
</v>
      </c>
      <c r="J40" s="30" t="str">
        <f ca="1">TEXTJOIN2("
", TRUE,INDIRECT( $F$1):INDIRECT( $F$3))</f>
        <v xml:space="preserve">		public virtual int? RunningNo { get; set; }
		[StringLength(MaxDocumentDateLength)]
		public virtual string DocumentDate { get; set; }
		[StringLength(MaxPostingDateLength)]
		public virtual string PostingDate { get; set; }
		[StringLength(MaxDocumentHeaderTextLength)]
		public virtual string DocumentHeaderText { get; set; }
		[StringLength(MaxMovementTypeLength)]
		public virtual string MovementType { get; set; }
		[StringLength(MaxMaterialCodeFromLength)]
		public virtual string MaterialCodeFrom { get; set; }
		[StringLength(MaxPlantFromLength)]
		public virtual string PlantFrom { get; set; }
		[StringLength(MaxValuationTypeFromLength)]
		public virtual string ValuationTypeFrom { get; set; }
		[StringLength(MaxStorageLocationFromLength)]
		public virtual string StorageLocationFrom { get; set; }
		[StringLength(MaxProductionVersionLength)]
		public virtual string ProductionVersion { get; set; }
		public virtual int? Quantity { get; set; }
		[StringLength(MaxUnitOfEntryLength)]
		public virtual string UnitOfEntry { get; set; }
		[StringLength(MaxItemTextLength)]
		public virtual string ItemText { get; set; }
		[StringLength(MaxGlAccountLength)]
		public virtual string GlAccount { get; set; }
		[StringLength(MaxCostCenterLength)]
		public virtual string CostCenter { get; set; }
		[StringLength(MaxWbsLength)]
		public virtual string Wbs { get; set; }
		[StringLength(MaxMaterialCodeToLength)]
		public virtual string MaterialCodeTo { get; set; }
		[StringLength(MaxPlantToLength)]
		public virtual string PlantTo { get; set; }
		[StringLength(MaxValuationTypeToLength)]
		public virtual string ValuationTypeTo { get; set; }
		[StringLength(MaxStorageLocationToLength)]
		public virtual string StorageLocationTo { get; set; }
		[StringLength(MaxBfPcLength)]
		public virtual string BfPc { get; set; }
		[StringLength(MaxCancelFlagLength)]
		public virtual string CancelFlag { get; set; }
		[StringLength(MaxReffMatDocNoLength)]
		public virtual string ReffMatDocNo { get; set; }
		[StringLength(MaxVendorNoLength)]
		public virtual string VendorNo { get; set; }
		[StringLength(MaxProfitCenterLength)]
		public virtual string ProfitCenter { get; set; }
		[StringLength(MaxShipemntCatLength)]
		public virtual string ShipemntCat { get; set; }
		[StringLength(MaxReferenceLength)]
		public virtual string Reference { get; set; }
		[StringLength(MaxAssetNoLength)]
		public virtual string AssetNo { get; set; }
		[StringLength(MaxSubAssetNoLength)]
		public virtual string SubAssetNo { get; set; }
		[StringLength(MaxEndOfRecordLength)]
		public virtual string EndOfRecord { get; set; }
</v>
      </c>
      <c r="K40" s="32" t="str">
        <f ca="1">TEXTJOIN2("
", TRUE,INDIRECT( $J$1):INDIRECT( $J$3))</f>
        <v/>
      </c>
      <c r="L40" s="12" t="s">
        <v>57</v>
      </c>
      <c r="M40" s="33" t="str">
        <f ca="1">TEXTJOIN2("
",TRUE,INDIRECT( $L$1):INDIRECT($L$3))</f>
        <v xml:space="preserve">		public virtual int? RunningNo { get; set; }
		public virtual string DocumentDate { get; set; }
		public virtual string PostingDate { get; set; }
		public virtual string DocumentHeaderText { get; set; }
		public virtual string MovementType { get; set; }
		public virtual string MaterialCodeFrom { get; set; }
		public virtual string PlantFrom { get; set; }
		public virtual string ValuationTypeFrom { get; set; }
		public virtual string StorageLocationFrom { get; set; }
		public virtual string ProductionVersion { get; set; }
		public virtual int? Quantity { get; set; }
		public virtual string UnitOfEntry { get; set; }
		public virtual string ItemText { get; set; }
		public virtual string GlAccount { get; set; }
		public virtual string CostCenter { get; set; }
		public virtual string Wbs { get; set; }
		public virtual string MaterialCodeTo { get; set; }
		public virtual string PlantTo { get; set; }
		public virtual string ValuationTypeTo { get; set; }
		public virtual string StorageLocationTo { get; set; }
		public virtual string BfPc { get; set; }
		public virtual string CancelFlag { get; set; }
		public virtual string ReffMatDocNo { get; set; }
		public virtual string VendorNo { get; set; }
		public virtual string ProfitCenter { get; set; }
		public virtual string ShipemntCat { get; set; }
		public virtual string Reference { get; set; }
		public virtual string AssetNo { get; set; }
		public virtual string SubAssetNo { get; set; }
		public virtual string EndOfRecord { get; set; }
</v>
      </c>
      <c r="N40" s="30" t="str">
        <f ca="1">TEXTJOIN2("
",TRUE,INDIRECT( $M$1):INDIRECT($M$3))</f>
        <v xml:space="preserve">		public virtual int? RunningNo { get; set; }
		[StringLength(IF_FQF3MM05Consts.MaxDocumentDateLength)]
		public virtual string DocumentDate { get; set; }
		[StringLength(IF_FQF3MM05Consts.MaxPostingDateLength)]
		public virtual string PostingDate { get; set; }
		[StringLength(IF_FQF3MM05Consts.MaxDocumentHeaderTextLength)]
		public virtual string DocumentHeaderText { get; set; }
		[StringLength(IF_FQF3MM05Consts.MaxMovementTypeLength)]
		public virtual string MovementType { get; set; }
		[StringLength(IF_FQF3MM05Consts.MaxMaterialCodeFromLength)]
		public virtual string MaterialCodeFrom { get; set; }
		[StringLength(IF_FQF3MM05Consts.MaxPlantFromLength)]
		public virtual string PlantFrom { get; set; }
		[StringLength(IF_FQF3MM05Consts.MaxValuationTypeFromLength)]
		public virtual string ValuationTypeFrom { get; set; }
		[StringLength(IF_FQF3MM05Consts.MaxStorageLocationFromLength)]
		public virtual string StorageLocationFrom { get; set; }
		[StringLength(IF_FQF3MM05Consts.MaxProductionVersionLength)]
		public virtual string ProductionVersion { get; set; }
		public virtual int? Quantity { get; set; }
		[StringLength(IF_FQF3MM05Consts.MaxUnitOfEntryLength)]
		public virtual string UnitOfEntry { get; set; }
		[StringLength(IF_FQF3MM05Consts.MaxItemTextLength)]
		public virtual string ItemText { get; set; }
		[StringLength(IF_FQF3MM05Consts.MaxGlAccountLength)]
		public virtual string GlAccount { get; set; }
		[StringLength(IF_FQF3MM05Consts.MaxCostCenterLength)]
		public virtual string CostCenter { get; set; }
		[StringLength(IF_FQF3MM05Consts.MaxWbsLength)]
		public virtual string Wbs { get; set; }
		[StringLength(IF_FQF3MM05Consts.MaxMaterialCodeToLength)]
		public virtual string MaterialCodeTo { get; set; }
		[StringLength(IF_FQF3MM05Consts.MaxPlantToLength)]
		public virtual string PlantTo { get; set; }
		[StringLength(IF_FQF3MM05Consts.MaxValuationTypeToLength)]
		public virtual string ValuationTypeTo { get; set; }
		[StringLength(IF_FQF3MM05Consts.MaxStorageLocationToLength)]
		public virtual string StorageLocationTo { get; set; }
		[StringLength(IF_FQF3MM05Consts.MaxBfPcLength)]
		public virtual string BfPc { get; set; }
		[StringLength(IF_FQF3MM05Consts.MaxCancelFlagLength)]
		public virtual string CancelFlag { get; set; }
		[StringLength(IF_FQF3MM05Consts.MaxReffMatDocNoLength)]
		public virtual string ReffMatDocNo { get; set; }
		[StringLength(IF_FQF3MM05Consts.MaxVendorNoLength)]
		public virtual string VendorNo { get; set; }
		[StringLength(IF_FQF3MM05Consts.MaxProfitCenterLength)]
		public virtual string ProfitCenter { get; set; }
		[StringLength(IF_FQF3MM05Consts.MaxShipemntCatLength)]
		public virtual string ShipemntCat { get; set; }
		[StringLength(IF_FQF3MM05Consts.MaxReferenceLength)]
		public virtual string Reference { get; set; }
		[StringLength(IF_FQF3MM05Consts.MaxAssetNoLength)]
		public virtual string AssetNo { get; set; }
		[StringLength(IF_FQF3MM05Consts.MaxSubAssetNoLength)]
		public virtual string SubAssetNo { get; set; }
		[StringLength(IF_FQF3MM05Consts.MaxEndOfRecordLength)]
		public virtual string EndOfRecord { get; set; }
</v>
      </c>
      <c r="O40" s="30" t="str">
        <f ca="1">TEXTJOIN2("
",TRUE,INDIRECT( $N$1):INDIRECT($N$3))</f>
        <v xml:space="preserve">		public virtual string DocumentDate { get; set; }
		public virtual string PostingDate { get; set; }
		public virtual string DocumentHeaderText { get; set; }
		public virtual string MovementType { get; set; }
		public virtual string MaterialCodeFrom { get; set; }
		public virtual string PlantFrom { get; set; }
		public virtual string ValuationTypeFrom { get; set; }
		public virtual string StorageLocationFrom { get; set; }
		public virtual string ProductionVersion { get; set; }
		public virtual string UnitOfEntry { get; set; }
		public virtual string ItemText { get; set; }
		public virtual string GlAccount { get; set; }
		public virtual string CostCenter { get; set; }
		public virtual string Wbs { get; set; }
		public virtual string MaterialCodeTo { get; set; }
		public virtual string PlantTo { get; set; }
		public virtual string ValuationTypeTo { get; set; }
		public virtual string StorageLocationTo { get; set; }
		public virtual string BfPc { get; set; }
		public virtual string CancelFlag { get; set; }
		public virtual string ReffMatDocNo { get; set; }
		public virtual string VendorNo { get; set; }
		public virtual string ProfitCenter { get; set; }
		public virtual string ShipemntCat { get; set; }
		public virtual string Reference { get; set; }
		public virtual string AssetNo { get; set; }
		public virtual string SubAssetNo { get; set; }
		public virtual string EndOfRecord { get; set; }
</v>
      </c>
      <c r="P40" s="8" t="str">
        <f ca="1">TEXTJOIN2("
",TRUE,INDIRECT( $O$1):INDIRECT($O$3))</f>
        <v xml:space="preserve">							RunningNo = o.RunningNo,
							DocumentDate = o.DocumentDate,
							PostingDate = o.PostingDate,
							DocumentHeaderText = o.DocumentHeaderText,
							MovementType = o.MovementType,
							MaterialCodeFrom = o.MaterialCodeFrom,
							PlantFrom = o.PlantFrom,
							ValuationTypeFrom = o.ValuationTypeFrom,
							StorageLocationFrom = o.StorageLocationFrom,
							ProductionVersion = o.ProductionVersion,
							Quantity = o.Quantity,
							UnitOfEntry = o.UnitOfEntry,
							ItemText = o.ItemText,
							GlAccount = o.GlAccount,
							CostCenter = o.CostCenter,
							Wbs = o.Wbs,
							MaterialCodeTo = o.MaterialCodeTo,
							PlantTo = o.PlantTo,
							ValuationTypeTo = o.ValuationTypeTo,
							StorageLocationTo = o.StorageLocationTo,
							BfPc = o.BfPc,
							CancelFlag = o.CancelFlag,
							ReffMatDocNo = o.ReffMatDocNo,
							VendorNo = o.VendorNo,
							ProfitCenter = o.ProfitCenter,
							ShipemntCat = o.ShipemntCat,
							Reference = o.Reference,
							AssetNo = o.AssetNo,
							SubAssetNo = o.SubAssetNo,
							EndOfRecord = o.EndOfRecord,</v>
      </c>
      <c r="T40" s="8" t="str">
        <f ca="1">TEXTJOIN2("
",TRUE,INDIRECT( $T$2):INDIRECT($T$3))</f>
        <v xml:space="preserve">								("RunningNo"),
								("DocumentDate"),
								("PostingDate"),
								("DocumentHeaderText"),
								("MovementType"),
								("MaterialCodeFrom"),
								("PlantFrom"),
								("ValuationTypeFrom"),
								("StorageLocationFrom"),
								("ProductionVersion"),
								("Quantity"),
								("UnitOfEntry"),
								("ItemText"),
								("GlAccount"),
								("CostCenter"),
								("Wbs"),
								("MaterialCodeTo"),
								("PlantTo"),
								("ValuationTypeTo"),
								("StorageLocationTo"),
								("BfPc"),
								("CancelFlag"),
								("ReffMatDocNo"),
								("VendorNo"),
								("ProfitCenter"),
								("ShipemntCat"),
								("Reference"),
								("AssetNo"),
								("SubAssetNo"),
								("EndOfRecord"),</v>
      </c>
      <c r="V40" s="8" t="str">
        <f ca="1">TEXTJOIN2("
",TRUE,INDIRECT( $V$2):INDIRECT($V$3))</f>
        <v xml:space="preserve">								_ =&gt; _.RunningNo,
								_ =&gt; _.DocumentDate,
								_ =&gt; _.PostingDate,
								_ =&gt; _.DocumentHeaderText,
								_ =&gt; _.MovementType,
								_ =&gt; _.MaterialCodeFrom,
								_ =&gt; _.PlantFrom,
								_ =&gt; _.ValuationTypeFrom,
								_ =&gt; _.StorageLocationFrom,
								_ =&gt; _.ProductionVersion,
								_ =&gt; _.Quantity,
								_ =&gt; _.UnitOfEntry,
								_ =&gt; _.ItemText,
								_ =&gt; _.GlAccount,
								_ =&gt; _.CostCenter,
								_ =&gt; _.Wbs,
								_ =&gt; _.MaterialCodeTo,
								_ =&gt; _.PlantTo,
								_ =&gt; _.ValuationTypeTo,
								_ =&gt; _.StorageLocationTo,
								_ =&gt; _.BfPc,
								_ =&gt; _.CancelFlag,
								_ =&gt; _.ReffMatDocNo,
								_ =&gt; _.VendorNo,
								_ =&gt; _.ProfitCenter,
								_ =&gt; _.ShipemntCat,
								_ =&gt; _.Reference,
								_ =&gt; _.AssetNo,
								_ =&gt; _.SubAssetNo,
								_ =&gt; _.EndOfRecord,</v>
      </c>
      <c r="W40" s="8" t="str">
        <f ca="1">TEXTJOIN2("
",TRUE,INDIRECT( $W$2):INDIRECT($W$3))</f>
        <v xml:space="preserve">				.WhereIf(!string.IsNullOrWhiteSpace(input.DocumentDate), e =&gt; e.DocumentDate.Contains(input.DocumentDate))
				.WhereIf(!string.IsNullOrWhiteSpace(input.PostingDate), e =&gt; e.PostingDate.Contains(input.PostingDate))
				.WhereIf(!string.IsNullOrWhiteSpace(input.DocumentHeaderText), e =&gt; e.DocumentHeaderText.Contains(input.DocumentHeaderText))
				.WhereIf(!string.IsNullOrWhiteSpace(input.MovementType), e =&gt; e.MovementType.Contains(input.MovementType))
				.WhereIf(!string.IsNullOrWhiteSpace(input.MaterialCodeFrom), e =&gt; e.MaterialCodeFrom.Contains(input.MaterialCodeFrom))
				.WhereIf(!string.IsNullOrWhiteSpace(input.PlantFrom), e =&gt; e.PlantFrom.Contains(input.PlantFrom))
				.WhereIf(!string.IsNullOrWhiteSpace(input.ValuationTypeFrom), e =&gt; e.ValuationTypeFrom.Contains(input.ValuationTypeFrom))
				.WhereIf(!string.IsNullOrWhiteSpace(input.StorageLocationFrom), e =&gt; e.StorageLocationFrom.Contains(input.StorageLocationFrom))
				.WhereIf(!string.IsNullOrWhiteSpace(input.ProductionVersion), e =&gt; e.ProductionVersion.Contains(input.ProductionVersion))
				.WhereIf(!string.IsNullOrWhiteSpace(input.UnitOfEntry), e =&gt; e.UnitOfEntry.Contains(input.UnitOfEntry))
				.WhereIf(!string.IsNullOrWhiteSpace(input.ItemText), e =&gt; e.ItemText.Contains(input.ItemText))
				.WhereIf(!string.IsNullOrWhiteSpace(input.GlAccount), e =&gt; e.GlAccount.Contains(input.GlAccount))
				.WhereIf(!string.IsNullOrWhiteSpace(input.CostCenter), e =&gt; e.CostCenter.Contains(input.CostCenter))
				.WhereIf(!string.IsNullOrWhiteSpace(input.Wbs), e =&gt; e.Wbs.Contains(input.Wbs))
				.WhereIf(!string.IsNullOrWhiteSpace(input.MaterialCodeTo), e =&gt; e.MaterialCodeTo.Contains(input.MaterialCodeTo))
				.WhereIf(!string.IsNullOrWhiteSpace(input.PlantTo), e =&gt; e.PlantTo.Contains(input.PlantTo))
				.WhereIf(!string.IsNullOrWhiteSpace(input.ValuationTypeTo), e =&gt; e.ValuationTypeTo.Contains(input.ValuationTypeTo))
				.WhereIf(!string.IsNullOrWhiteSpace(input.StorageLocationTo), e =&gt; e.StorageLocationTo.Contains(input.StorageLocationTo))
				.WhereIf(!string.IsNullOrWhiteSpace(input.BfPc), e =&gt; e.BfPc.Contains(input.BfPc))
				.WhereIf(!string.IsNullOrWhiteSpace(input.CancelFlag), e =&gt; e.CancelFlag.Contains(input.CancelFlag))
				.WhereIf(!string.IsNullOrWhiteSpace(input.ReffMatDocNo), e =&gt; e.ReffMatDocNo.Contains(input.ReffMatDocNo))
				.WhereIf(!string.IsNullOrWhiteSpace(input.VendorNo), e =&gt; e.VendorNo.Contains(input.VendorNo))
				.WhereIf(!string.IsNullOrWhiteSpace(input.ProfitCenter), e =&gt; e.ProfitCenter.Contains(input.ProfitCenter))
				.WhereIf(!string.IsNullOrWhiteSpace(input.ShipemntCat), e =&gt; e.ShipemntCat.Contains(input.ShipemntCat))
				.WhereIf(!string.IsNullOrWhiteSpace(input.Reference), e =&gt; e.Reference.Contains(input.Reference))
				.WhereIf(!string.IsNullOrWhiteSpace(input.AssetNo), e =&gt; e.AssetNo.Contains(input.AssetNo))
				.WhereIf(!string.IsNullOrWhiteSpace(input.SubAssetNo), e =&gt; e.SubAssetNo.Contains(input.SubAssetNo))
				.WhereIf(!string.IsNullOrWhiteSpace(input.EndOfRecord), e =&gt; e.EndOfRecord.Contains(input.EndOfRecord))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46"/>
  <sheetViews>
    <sheetView topLeftCell="A35" workbookViewId="0">
      <selection activeCell="A45" sqref="A45:XFD64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x14ac:dyDescent="0.25">
      <c r="A1" s="38" t="s">
        <v>208</v>
      </c>
      <c r="B1" s="39" t="s">
        <v>395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233</v>
      </c>
      <c r="B2" s="39" t="str">
        <f>A.Backend!B4</f>
        <v>IF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233</v>
      </c>
      <c r="B3" s="39" t="str">
        <f>LOWER(B2)</f>
        <v>if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210</v>
      </c>
      <c r="B4" s="40" t="str">
        <f>A.Backend!Q3</f>
        <v>IF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210</v>
      </c>
      <c r="B5" s="40" t="str">
        <f>LOWER(B4)</f>
        <v>if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220</v>
      </c>
      <c r="B6" s="41" t="str">
        <f>A.Backend!B3</f>
        <v>IF_FQF3MM05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211</v>
      </c>
      <c r="B7" s="40" t="str">
        <f>A.Backend!B5</f>
        <v>FQF3MM05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209</v>
      </c>
      <c r="B8" s="40" t="str">
        <f>LOWER(B7)</f>
        <v>fqf3mm05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212</v>
      </c>
      <c r="B9" s="51"/>
      <c r="C9" s="50"/>
      <c r="D9" s="50"/>
      <c r="E9" s="50"/>
      <c r="F9" s="50"/>
      <c r="G9" s="50"/>
      <c r="H9" s="42" t="s">
        <v>264</v>
      </c>
      <c r="I9" s="43" t="s">
        <v>265</v>
      </c>
      <c r="J9" s="42" t="s">
        <v>215</v>
      </c>
      <c r="K9" s="44" t="s">
        <v>252</v>
      </c>
      <c r="L9" s="43" t="s">
        <v>256</v>
      </c>
      <c r="M9" s="42" t="s">
        <v>245</v>
      </c>
      <c r="N9" s="42" t="s">
        <v>216</v>
      </c>
      <c r="O9" s="42" t="s">
        <v>217</v>
      </c>
      <c r="P9" s="43" t="s">
        <v>219</v>
      </c>
      <c r="Q9" s="42" t="s">
        <v>246</v>
      </c>
      <c r="R9" s="42" t="s">
        <v>229</v>
      </c>
      <c r="S9" s="28"/>
      <c r="T9" s="28"/>
      <c r="U9" s="28"/>
      <c r="V9" s="28"/>
    </row>
    <row r="10" spans="1:22" ht="18.75" customHeight="1" x14ac:dyDescent="0.25">
      <c r="A10" s="52" t="s">
        <v>213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IF_FQF3MM05Dto, IF_FQF3MM05ServiceProxy } from '@shared/service-proxies/service-proxies';
import { finalize } from 'rxjs/internal/operators/finalize';
import { CreateOrEditFQF3MM05ModalComponent } from './create-or-edit-fqf3mm05-modal.component';
import { DatePipe } from '@angular/common';
import { FileDownloadService } from '@shared/utils/file-download.service';
import ceil from 'lodash-es/ceil';
import { Paginator } from 'primeng/paginator';
@Component({
    templateUrl: './fqf3mm05.component.html',
    styleUrls: ['./fqf3mm05.component.less'],
})
export class FQF3MM05Component extends AppComponentBase implements OnInit {
    @ViewChild('createOrEditModalFQF3MM05', { static: true }) createOrEditModalFQF3MM05:| CreateOrEditFQF3MM05ModalComponent|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IF_FQF3MM05Dto = new IF_FQF3MM05Dto();
    saveSelectedRow: IF_FQF3MM05Dto = new IF_FQF3MM05Dto();
    datas: IF_FQF3MM05Dto = new IF_FQF3MM05Dto();
    isLoading: boolean = false;
    dataParams: GridParams | undefined;
    rowData: any[] = [];
    gridApi!: GridApi;
    rowSelection = 'multiple';
    filter: string = '';
	pipe = new DatePipe('en-US');
	frameworkComponents: FrameworkComponent;
    	runningNo
	documentDate : string = '' ; 
	postingDate : string = '' ; 
	documentHeaderText : string = '' ; 
	movementType : string = '' ; 
	materialCodeFrom : string = '' ; 
	plantFrom : string = '' ; 
	valuationTypeFrom : string = '' ; 
	storageLocationFrom : string = '' ; 
	productionVersion : string = '' ; 
	quantity
	unitOfEntry : string = '' ; 
	itemText : string = '' ; 
	glAccount : string = '' ; 
	costCenter : string = '' ; 
	wbs : string = '' ; 
	materialCodeTo : string = '' ; 
	plantTo : string = '' ; 
	valuationTypeTo : string = '' ; 
	storageLocationTo : string = '' ; 
	bfPc : string = '' ; 
	cancelFlag : string = '' ; 
	reffMatDocNo : string = '' ; 
	vendorNo : string = '' ; 
	profitCenter : string = '' ; 
	shipemntCat : string = '' ; 
	reference : string = '' ; 
	assetNo : string = '' ; 
	subAssetNo : string = '' ; 
	endOfRecord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IF_FQF3MM05ServiceProxy,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this.l('Running No'),headerTooltip: this.l('Running No'),field: 'runningNo',flex: 1},
			{headerName: this.l('Document Date'),headerTooltip: this.l('Document Date'),field: 'documentDate',flex: 1},
			{headerName: this.l('Posting Date'),headerTooltip: this.l('Posting Date'),field: 'postingDate',flex: 1},
			{headerName: this.l('Document Header Text'),headerTooltip: this.l('Document Header Text'),field: 'documentHeaderText',flex: 1},
			{headerName: this.l('Movement Type'),headerTooltip: this.l('Movement Type'),field: 'movementType',flex: 1},
			{headerName: this.l('Material Code From'),headerTooltip: this.l('Material Code From'),field: 'materialCodeFrom',flex: 1},
			{headerName: this.l('Plant From'),headerTooltip: this.l('Plant From'),field: 'plantFrom',flex: 1},
			{headerName: this.l('Valuation Type From'),headerTooltip: this.l('Valuation Type From'),field: 'valuationTypeFrom',flex: 1},
			{headerName: this.l('Storage Location From'),headerTooltip: this.l('Storage Location From'),field: 'storageLocationFrom',flex: 1},
			{headerName: this.l('Production Version'),headerTooltip: this.l('Production Version'),field: 'productionVersion',flex: 1},
			{headerName: this.l('Quantity'),headerTooltip: this.l('Quantity'),field: 'quantity',flex: 1},
			{headerName: this.l('Unit Of Entry'),headerTooltip: this.l('Unit Of Entry'),field: 'unitOfEntry',flex: 1},
			{headerName: this.l('Item Text'),headerTooltip: this.l('Item Text'),field: 'itemText',flex: 1},
			{headerName: this.l('Gl Account'),headerTooltip: this.l('Gl Account'),field: 'glAccount',flex: 1},
			{headerName: this.l('Cost Center'),headerTooltip: this.l('Cost Center'),field: 'costCenter',flex: 1},
			{headerName: this.l('Wbs'),headerTooltip: this.l('Wbs'),field: 'wbs',flex: 1},
			{headerName: this.l('Material Code To'),headerTooltip: this.l('Material Code To'),field: 'materialCodeTo',flex: 1},
			{headerName: this.l('Plant To'),headerTooltip: this.l('Plant To'),field: 'plantTo',flex: 1},
			{headerName: this.l('Valuation Type To'),headerTooltip: this.l('Valuation Type To'),field: 'valuationTypeTo',flex: 1},
			{headerName: this.l('Storage Location To'),headerTooltip: this.l('Storage Location To'),field: 'storageLocationTo',flex: 1},
			{headerName: this.l('Bf Pc'),headerTooltip: this.l('Bf Pc'),field:  'bfPc', cellClass: ['text-center'], width: 120, cellRenderer: 'agCellButtonComponent',
buttonDefTwo: { text: params =&gt; (params.data?.'bfPc' == 'Y') ? 'Active' : 'Inactive',iconName: 'fa fa-circle',className: params =&gt; (params.data?.'bfPc' == 'Y') ? 'btnActive' : 'btnInActive',},}
			{headerName: this.l('Cancel Flag'),headerTooltip: this.l('Cancel Flag'),field:  'cancelFlag', cellClass: ['text-center'], width: 120, cellRenderer: 'agCellButtonComponent',
buttonDefTwo: { text: params =&gt; (params.data?.'cancelFlag' == 'Y') ? 'Active' : 'Inactive',iconName: 'fa fa-circle',className: params =&gt; (params.data?.'cancelFlag' == 'Y') ? 'btnActive' : 'btnInActive',},}
			{headerName: this.l('Reff Mat Doc No'),headerTooltip: this.l('Reff Mat Doc No'),field: 'reffMatDocNo',flex: 1},
			{headerName: this.l('Vendor No'),headerTooltip: this.l('Vendor No'),field: 'vendorNo',flex: 1},
			{headerName: this.l('Profit Center'),headerTooltip: this.l('Profit Center'),field: 'profitCenter',flex: 1},
			{headerName: this.l('Shipemnt Cat'),headerTooltip: this.l('Shipemnt Cat'),field:  'shipemntCat', cellClass: ['text-center'], width: 120, cellRenderer: 'agCellButtonComponent',
buttonDefTwo: { text: params =&gt; (params.data?.'shipemntCat' == 'Y') ? 'Active' : 'Inactive',iconName: 'fa fa-circle',className: params =&gt; (params.data?.'shipemntCat' == 'Y') ? 'btnActive' : 'btnInActive',},}
			{headerName: this.l('Reference'),headerTooltip: this.l('Reference'),field: 'reference',flex: 1},
			{headerName: this.l('Asset No'),headerTooltip: this.l('Asset No'),field: 'assetNo',flex: 1},
			{headerName: this.l('Sub Asset No'),headerTooltip: this.l('Sub Asset No'),field: 'subAssetNo',flex: 1},
			{headerName: this.l('End Of Record'),headerTooltip: this.l('End Of Record'),field:  'endOfRecord', cellClass: ['text-center'], width: 120, cellRenderer: 'agCellButtonComponent',
buttonDefTwo: { text: params =&gt; (params.data?.'endOfRecord' == 'Y') ? 'Active' : 'Inactive',iconName: 'fa fa-circle',className: params =&gt; (params.data?.'endOfRecord'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this.runningNo,
			this.documentDate,
			this.postingDate,
			this.documentHeaderText,
			this.movementType,
			this.materialCodeFrom,
			this.plantFrom,
			this.valuationTypeFrom,
			this.storageLocationFrom,
			this.productionVersion,
			this.quantity,
			this.unitOfEntry,
			this.itemText,
			this.glAccount,
			this.costCenter,
			this.wbs,
			this.materialCodeTo,
			this.plantTo,
			this.valuationTypeTo,
			this.storageLocationTo,
			this.bfPc,
			this.cancelFlag,
			this.reffMatDocNo,
			this.vendorNo,
			this.profitCenter,
			this.shipemntCat,
			this.reference,
			this.assetNo,
			this.subAssetNo,
			this.endOfRecord,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this.runningNo = '',
		this.documentDate = '',
		this.postingDate = '',
		this.documentHeaderText = '',
		this.movementType = '',
		this.materialCodeFrom = '',
		this.plantFrom = '',
		this.valuationTypeFrom = '',
		this.storageLocationFrom = '',
		this.productionVersion = '',
		this.quantity = '',
		this.unitOfEntry = '',
		this.itemText = '',
		this.glAccount = '',
		this.costCenter = '',
		this.wbs = '',
		this.materialCodeTo = '',
		this.plantTo = '',
		this.valuationTypeTo = '',
		this.storageLocationTo = '',
		this.bfPc = '',
		this.cancelFlag = '',
		this.reffMatDocNo = '',
		this.vendorNo = '',
		this.profitCenter = '',
		this.shipemntCat = '',
		this.reference = '',
		this.assetNo = '',
		this.subAssetNo = '',
		this.endOfRecord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this.runningNo,
			this.documentDate,
			this.postingDate,
			this.documentHeaderText,
			this.movementType,
			this.materialCodeFrom,
			this.plantFrom,
			this.valuationTypeFrom,
			this.storageLocationFrom,
			this.productionVersion,
			this.quantity,
			this.unitOfEntry,
			this.itemText,
			this.glAccount,
			this.costCenter,
			this.wbs,
			this.materialCodeTo,
			this.plantTo,
			this.valuationTypeTo,
			this.storageLocationTo,
			this.bfPc,
			this.cancelFlag,
			this.reffMatDocNo,
			this.vendorNo,
			this.profitCenter,
			this.shipemntCat,
			this.reference,
			this.assetNo,
			this.subAssetNo,
			this.endOfRecord,
			'',
            this.paginationParams.skipCount,
            this.paginationParams.pageSize
        );
    }
    onChangeRowSelection(params: { api: { getSelectedRows: () =&gt; IF_FQF3MM05Dto[] } }) {
        this.saveSelectedRow = params.api.getSelectedRows()[0] ?? new IF_FQF3MM05Dto();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IF_FQF3MM05Dto):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this._service.getFQF3MM05ToExcel(
			this.runningNo,
			this.documentDate,
			this.postingDate,
			this.documentHeaderText,
			this.movementType,
			this.materialCodeFrom,
			this.plantFrom,
			this.valuationTypeFrom,
			this.storageLocationFrom,
			this.productionVersion,
			this.quantity,
			this.unitOfEntry,
			this.itemText,
			this.glAccount,
			this.costCenter,
			this.wbs,
			this.materialCodeTo,
			this.plantTo,
			this.valuationTypeTo,
			this.storageLocationTo,
			this.bfPc,
			this.cancelFlag,
			this.reffMatDocNo,
			this.vendorNo,
			this.profitCenter,
			this.shipemntCat,
			this.reference,
			this.assetNo,
			this.subAssetNo,
			this.endOfRecord,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FQF3MM05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[(ngModel)]='documentDate' name='documentDate'
									class='form-control' [placeholder]="l('Document Date')"
									type='text' (keyup.enter)='searchDatas()'&gt;
								&lt;/div&gt;
								&lt;div class='input-search'&gt;
									&lt;input [(ngModel)]='postingDate' name='postingDate'
									class='form-control' [placeholder]="l('Posting Date')"
									type='text' (keyup.enter)='searchDatas()'&gt;
								&lt;/div&gt;
								&lt;div class='input-search'&gt;
									&lt;input [(ngModel)]='documentHeaderText' name='documentHeaderText'
									class='form-control' [placeholder]="l('Document Header Text')"
									type='text' (keyup.enter)='searchDatas()'&gt;
								&lt;/div&gt;
								&lt;div class='input-search'&gt;
									&lt;input [(ngModel)]='movementType' name='movementType'
									class='form-control' [placeholder]="l('Movement Type')"
									type='text' (keyup.enter)='searchDatas()'&gt;
								&lt;/div&gt;
								&lt;div class='input-search'&gt;
									&lt;input [(ngModel)]='materialCodeFrom' name='materialCodeFrom'
									class='form-control' [placeholder]="l('Material Code From')"
									type='text' (keyup.enter)='searchDatas()'&gt;
								&lt;/div&gt;
								&lt;div class='input-search'&gt;
									&lt;input [(ngModel)]='plantFrom' name='plantFrom'
									class='form-control' [placeholder]="l('Plant From')"
									type='text' (keyup.enter)='searchDatas()'&gt;
								&lt;/div&gt;
								&lt;div class='input-search'&gt;
									&lt;input [(ngModel)]='valuationTypeFrom' name='valuationTypeFrom'
									class='form-control' [placeholder]="l('Valuation Type From')"
									type='text' (keyup.enter)='searchDatas()'&gt;
								&lt;/div&gt;
								&lt;div class='input-search'&gt;
									&lt;input [(ngModel)]='storageLocationFrom' name='storageLocationFrom'
									class='form-control' [placeholder]="l('Storage Location From')"
									type='text' (keyup.enter)='searchDatas()'&gt;
								&lt;/div&gt;
								&lt;div class='input-search'&gt;
									&lt;input [(ngModel)]='productionVersion' name='productionVersion'
									class='form-control' [placeholder]="l('Production Version')"
									type='text' (keyup.enter)='searchDatas()'&gt;
								&lt;/div&gt;
								&lt;div class='input-search'&gt;
									&lt;input [(ngModel)]='unitOfEntry' name='unitOfEntry'
									class='form-control' [placeholder]="l('Unit Of Entry')"
									type='text' (keyup.enter)='searchDatas()'&gt;
								&lt;/div&gt;
								&lt;div class='input-search'&gt;
									&lt;input [(ngModel)]='itemText' name='itemText'
									class='form-control' [placeholder]="l('Item Text')"
									type='text' (keyup.enter)='searchDatas()'&gt;
								&lt;/div&gt;
								&lt;div class='input-search'&gt;
									&lt;input [(ngModel)]='glAccount' name='glAccount'
									class='form-control' [placeholder]="l('Gl Account')"
									type='text' (keyup.enter)='searchDatas()'&gt;
								&lt;/div&gt;
								&lt;div class='input-search'&gt;
									&lt;input [(ngModel)]='costCenter' name='costCenter'
									class='form-control' [placeholder]="l('Cost Center')"
									type='text' (keyup.enter)='searchDatas()'&gt;
								&lt;/div&gt;
								&lt;div class='input-search'&gt;
									&lt;input [(ngModel)]='wbs' name='wbs'
									class='form-control' [placeholder]="l('Wbs')"
									type='text' (keyup.enter)='searchDatas()'&gt;
								&lt;/div&gt;
								&lt;div class='input-search'&gt;
									&lt;input [(ngModel)]='materialCodeTo' name='materialCodeTo'
									class='form-control' [placeholder]="l('Material Code To')"
									type='text' (keyup.enter)='searchDatas()'&gt;
								&lt;/div&gt;
								&lt;div class='input-search'&gt;
									&lt;input [(ngModel)]='plantTo' name='plantTo'
									class='form-control' [placeholder]="l('Plant To')"
									type='text' (keyup.enter)='searchDatas()'&gt;
								&lt;/div&gt;
								&lt;div class='input-search'&gt;
									&lt;input [(ngModel)]='valuationTypeTo' name='valuationTypeTo'
									class='form-control' [placeholder]="l('Valuation Type To')"
									type='text' (keyup.enter)='searchDatas()'&gt;
								&lt;/div&gt;
								&lt;div class='input-search'&gt;
									&lt;input [(ngModel)]='storageLocationTo' name='storageLocationTo'
									class='form-control' [placeholder]="l('Storage Location To')"
									type='text' (keyup.enter)='searchDatas()'&gt;
								&lt;/div&gt;
								&lt;div class='input-search'&gt;
									&lt;input [(ngModel)]='bfPc' name='bfPc'
									class='form-control' [placeholder]="l('Bf Pc')"
									type='text' (keyup.enter)='searchDatas()'&gt;
								&lt;/div&gt;
								&lt;div class='input-search'&gt;
									&lt;input [(ngModel)]='cancelFlag' name='cancelFlag'
									class='form-control' [placeholder]="l('Cancel Flag')"
									type='text' (keyup.enter)='searchDatas()'&gt;
								&lt;/div&gt;
								&lt;div class='input-search'&gt;
									&lt;input [(ngModel)]='reffMatDocNo' name='reffMatDocNo'
									class='form-control' [placeholder]="l('Reff Mat Doc No')"
									type='text' (keyup.enter)='searchDatas()'&gt;
								&lt;/div&gt;
								&lt;div class='input-search'&gt;
									&lt;input [(ngModel)]='vendorNo' name='vendorNo'
									class='form-control' [placeholder]="l('Vendor No')"
									type='text' (keyup.enter)='searchDatas()'&gt;
								&lt;/div&gt;
								&lt;div class='input-search'&gt;
									&lt;input [(ngModel)]='profitCenter' name='profitCenter'
									class='form-control' [placeholder]="l('Profit Center')"
									type='text' (keyup.enter)='searchDatas()'&gt;
								&lt;/div&gt;
								&lt;div class='input-search'&gt;
									&lt;input [(ngModel)]='shipemntCat' name='shipemntCat'
									class='form-control' [placeholder]="l('Shipemnt Cat')"
									type='text' (keyup.enter)='searchDatas()'&gt;
								&lt;/div&gt;
								&lt;div class='input-search'&gt;
									&lt;input [(ngModel)]='reference' name='reference'
									class='form-control' [placeholder]="l('Reference')"
									type='text' (keyup.enter)='searchDatas()'&gt;
								&lt;/div&gt;
								&lt;div class='input-search'&gt;
									&lt;input [(ngModel)]='assetNo' name='assetNo'
									class='form-control' [placeholder]="l('Asset No')"
									type='text' (keyup.enter)='searchDatas()'&gt;
								&lt;/div&gt;
								&lt;div class='input-search'&gt;
									&lt;input [(ngModel)]='subAssetNo' name='subAssetNo'
									class='form-control' [placeholder]="l('Sub Asset No')"
									type='text' (keyup.enter)='searchDatas()'&gt;
								&lt;/div&gt;
								&lt;div class='input-search'&gt;
									&lt;input [(ngModel)]='endOfRecord' name='endOfRecord'
									class='form-control' [placeholder]="l('End Of Record')"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(click)="createOrEditModalFQF3MM05.show()"&gt;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(click)="createOrEditModalFQF3MM05.show(selectedRow)"&gt;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&lt;create-or-edit-fqf3mm05-modal
    #createOrEditModalFQF3MM05
    (modalSave)="callBackDataGrid(dataParams)"
    (modalClose)="onChangeRowSelection(dataParams)"
&gt;
&lt;/create-or-edit-fqf3mm05-modal&gt;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#createOrEditModalFQF3MM05="bs-modal"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FQF3MM05')}}&lt;/h3&gt;
                    &lt;h3 *ngIf="!rowdata.id"&gt;{{('Create New FQF3MM05')}}&lt;/h3&gt;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title'&gt;Document Date&lt;/label&gt;
						&lt;input type='text' class='col-md-10 form-control input-text' name='DocumentDate' [(ngModel)]='rowdata.documentDate'&gt;
					&lt;/div&gt;
					&lt;div class='col-md-12 form-group row'&gt;
						&lt;label class='col-md-2 form-control title'&gt;Posting Date&lt;/label&gt;
						&lt;input type='text' class='col-md-10 form-control input-text' name='PostingDate' [(ngModel)]='rowdata.postingDate'&gt;
					&lt;/div&gt;
					&lt;div class='col-md-12 form-group row'&gt;
						&lt;label class='col-md-2 form-control title'&gt;Document Header Text&lt;/label&gt;
						&lt;input type='text' class='col-md-10 form-control input-text' name='DocumentHeaderText' [(ngModel)]='rowdata.documentHeaderText'&gt;
					&lt;/div&gt;
					&lt;div class='col-md-12 form-group row'&gt;
						&lt;label class='col-md-2 form-control title'&gt;Movement Type&lt;/label&gt;
						&lt;input type='text' class='col-md-10 form-control input-text' name='MovementType' [(ngModel)]='rowdata.movementType'&gt;
					&lt;/div&gt;
					&lt;div class='col-md-12 form-group row'&gt;
						&lt;label class='col-md-2 form-control title'&gt;Material Code From&lt;/label&gt;
						&lt;input type='text' class='col-md-10 form-control input-text' name='MaterialCodeFrom' [(ngModel)]='rowdata.materialCodeFrom'&gt;
					&lt;/div&gt;
					&lt;div class='col-md-12 form-group row'&gt;
						&lt;label class='col-md-2 form-control title'&gt;Plant From&lt;/label&gt;
						&lt;input type='text' class='col-md-10 form-control input-text' name='PlantFrom' [(ngModel)]='rowdata.plantFrom'&gt;
					&lt;/div&gt;
					&lt;div class='col-md-12 form-group row'&gt;
						&lt;label class='col-md-2 form-control title'&gt;Valuation Type From&lt;/label&gt;
						&lt;input type='text' class='col-md-10 form-control input-text' name='ValuationTypeFrom' [(ngModel)]='rowdata.valuationTypeFrom'&gt;
					&lt;/div&gt;
					&lt;div class='col-md-12 form-group row'&gt;
						&lt;label class='col-md-2 form-control title'&gt;Storage Location From&lt;/label&gt;
						&lt;input type='text' class='col-md-10 form-control input-text' name='StorageLocationFrom' [(ngModel)]='rowdata.storageLocationFrom'&gt;
					&lt;/div&gt;
					&lt;div class='col-md-12 form-group row'&gt;
						&lt;label class='col-md-2 form-control title'&gt;Production Version&lt;/label&gt;
						&lt;input type='text' class='col-md-10 form-control input-text' name='ProductionVersion' [(ngModel)]='rowdata.productionVersion'&gt;
					&lt;/div&gt;
					&lt;div class='col-md-12 form-group row'&gt;
						&lt;label class='col-md-2 form-control title'&gt;Unit Of Entry&lt;/label&gt;
						&lt;input type='text' class='col-md-10 form-control input-text' name='UnitOfEntry' [(ngModel)]='rowdata.unitOfEntry'&gt;
					&lt;/div&gt;
					&lt;div class='col-md-12 form-group row'&gt;
						&lt;label class='col-md-2 form-control title'&gt;Item Text&lt;/label&gt;
						&lt;input type='text' class='col-md-10 form-control input-text' name='ItemText' [(ngModel)]='rowdata.itemText'&gt;
					&lt;/div&gt;
					&lt;div class='col-md-12 form-group row'&gt;
						&lt;label class='col-md-2 form-control title'&gt;Gl Account&lt;/label&gt;
						&lt;input type='text' class='col-md-10 form-control input-text' name='GlAccount' [(ngModel)]='rowdata.glAccount'&gt;
					&lt;/div&gt;
					&lt;div class='col-md-12 form-group row'&gt;
						&lt;label class='col-md-2 form-control title'&gt;Cost Center&lt;/label&gt;
						&lt;input type='text' class='col-md-10 form-control input-text' name='CostCenter' [(ngModel)]='rowdata.costCenter'&gt;
					&lt;/div&gt;
					&lt;div class='col-md-12 form-group row'&gt;
						&lt;label class='col-md-2 form-control title'&gt;Wbs&lt;/label&gt;
						&lt;input type='text' class='col-md-10 form-control input-text' name='Wbs' [(ngModel)]='rowdata.wbs'&gt;
					&lt;/div&gt;
					&lt;div class='col-md-12 form-group row'&gt;
						&lt;label class='col-md-2 form-control title'&gt;Material Code To&lt;/label&gt;
						&lt;input type='text' class='col-md-10 form-control input-text' name='MaterialCodeTo' [(ngModel)]='rowdata.materialCodeTo'&gt;
					&lt;/div&gt;
					&lt;div class='col-md-12 form-group row'&gt;
						&lt;label class='col-md-2 form-control title'&gt;Plant To&lt;/label&gt;
						&lt;input type='text' class='col-md-10 form-control input-text' name='PlantTo' [(ngModel)]='rowdata.plantTo'&gt;
					&lt;/div&gt;
					&lt;div class='col-md-12 form-group row'&gt;
						&lt;label class='col-md-2 form-control title'&gt;Valuation Type To&lt;/label&gt;
						&lt;input type='text' class='col-md-10 form-control input-text' name='ValuationTypeTo' [(ngModel)]='rowdata.valuationTypeTo'&gt;
					&lt;/div&gt;
					&lt;div class='col-md-12 form-group row'&gt;
						&lt;label class='col-md-2 form-control title'&gt;Storage Location To&lt;/label&gt;
						&lt;input type='text' class='col-md-10 form-control input-text' name='StorageLocationTo' [(ngModel)]='rowdata.storageLocationTo'&gt;
					&lt;/div&gt;
					&lt;div class='col-md-12 form-group row'&gt;
						&lt;label class='col-md-2 form-control title'&gt;Bf Pc&lt;/label&gt;
						&lt;new-checkbox [(ngModel)]='_bfPc' name='bfPc' className='col-md-10' &gt; &lt;/new-checkbox&gt;
					&lt;/div&gt;
					&lt;div class='col-md-12 form-group row'&gt;
						&lt;label class='col-md-2 form-control title'&gt;Cancel Flag&lt;/label&gt;
						&lt;new-checkbox [(ngModel)]='_cancelFlag' name='cancelFlag' className='col-md-10' &gt; &lt;/new-checkbox&gt;
					&lt;/div&gt;
					&lt;div class='col-md-12 form-group row'&gt;
						&lt;label class='col-md-2 form-control title'&gt;Reff Mat Doc No&lt;/label&gt;
						&lt;input type='text' class='col-md-10 form-control input-text' name='ReffMatDocNo' [(ngModel)]='rowdata.reffMatDocNo'&gt;
					&lt;/div&gt;
					&lt;div class='col-md-12 form-group row'&gt;
						&lt;label class='col-md-2 form-control title'&gt;Vendor No&lt;/label&gt;
						&lt;input type='text' class='col-md-10 form-control input-text' name='VendorNo' [(ngModel)]='rowdata.vendorNo'&gt;
					&lt;/div&gt;
					&lt;div class='col-md-12 form-group row'&gt;
						&lt;label class='col-md-2 form-control title'&gt;Profit Center&lt;/label&gt;
						&lt;input type='text' class='col-md-10 form-control input-text' name='ProfitCenter' [(ngModel)]='rowdata.profitCenter'&gt;
					&lt;/div&gt;
					&lt;div class='col-md-12 form-group row'&gt;
						&lt;label class='col-md-2 form-control title'&gt;Shipemnt Cat&lt;/label&gt;
						&lt;new-checkbox [(ngModel)]='_shipemntCat' name='shipemntCat' className='col-md-10' &gt; &lt;/new-checkbox&gt;
					&lt;/div&gt;
					&lt;div class='col-md-12 form-group row'&gt;
						&lt;label class='col-md-2 form-control title'&gt;Reference&lt;/label&gt;
						&lt;input type='text' class='col-md-10 form-control input-text' name='Reference' [(ngModel)]='rowdata.reference'&gt;
					&lt;/div&gt;
					&lt;div class='col-md-12 form-group row'&gt;
						&lt;label class='col-md-2 form-control title'&gt;Asset No&lt;/label&gt;
						&lt;input type='text' class='col-md-10 form-control input-text' name='AssetNo' [(ngModel)]='rowdata.assetNo'&gt;
					&lt;/div&gt;
					&lt;div class='col-md-12 form-group row'&gt;
						&lt;label class='col-md-2 form-control title'&gt;Sub Asset No&lt;/label&gt;
						&lt;input type='text' class='col-md-10 form-control input-text' name='SubAssetNo' [(ngModel)]='rowdata.subAssetNo'&gt;
					&lt;/div&gt;
					&lt;div class='col-md-12 form-group row'&gt;
						&lt;label class='col-md-2 form-control title'&gt;End Of Record&lt;/label&gt;
						&lt;new-checkbox [(ngModel)]='_endOfRecord' name='endOfRecord'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CreateOrEditIF_FQF3MM05Dto, IF_FQF3MM05ServiceProxy } from '@shared/service-proxies/service-proxies';
import { BsDatepickerDirective } from 'ngx-bootstrap/datepicker';
@Component({
    selector: 'create-or-edit-fqf3mm05-modal',
    templateUrl: './create-or-edit-fqf3mm05-modal.component.html',
    styleUrls: ['./create-or-edit-fqf3mm05-modal.component.less']
    })
export class CreateOrEditFQF3MM05ModalComponent extends AppComponentBase {
    @ViewChild('createOrEditModalFQF3MM05',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CreateOrEditIF_FQF3MM05Dto = new CreateOrEditIF_FQF3MM05Dto();
    active: boolean = false;
    saving: boolean = false;
    _bfPc
cancelFlag
shipemntCat
endOfRecord: boolean;
    constructor(
        injector: Injector,
        private _mstwptFQF3MM05Service: IF_FQF3MM05ServiceProxy,
    ) 
    {
        super(injector);
    }
    show(rowdata?: CreateOrEditIF_FQF3MM05Dto): void {
        if (!rowdata) this.rowdata = new CreateOrEditIF_FQF3MM05Dto();
        else this.rowdata = rowdata;
        this._bfPc
cancelFlag
shipemntCat
endOfRecord = (this.rowdata.bfPc
cancelFlag
shipemntCat
endOfRecord == "N")? false: true;
        this.active = true;
        this.modal.show();
    } 
    changeActive(event){
        this._bfPc
cancelFlag
shipemntCat
endOfRecord = event.target.checked;
    }
    save(): void {
    this.saving = true; 
    this.rowdata.bfPc
cancelFlag
shipemntCat
endOfRecord = (this._bfPc
cancelFlag
shipemntCat
endOfRecord == true) ? 'Y' : 'N'
    this._mstwptFQF3MM05Service.createOrEdit(this.rowdata)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FQF3MM05RoutingModule } from './fqf3mm05-routing.module';
import { FQF3MM05Component } from './fqf3mm05.component';
import { CreateOrEditFQF3MM05ModalComponent } from './create-or-edit-fqf3mm05-modal.component';
@NgModule({
    declarations: [
       FQF3MM05Component, 
        CreateOrEditFQF3MM05ModalComponent
    ],
    imports: [
        AppSharedModule, FQF3MM05RoutingModule]
})
export class FQF3MM05Module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FQF3MM05Component } from './fqf3mm05.component';
const routes: Routes = [{
    path: '',
    component: FQF3MM05Component,
    pathMatch: 'full'
}];
@NgModule({
    imports: [RouterModule.forChild(routes)],
    exports: [RouterModule],
})
export class FQF3MM05RoutingModule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AppMenuItem("FQF3MM05", "Pages.IF.IF.FQF3MM05", "flaticon-book",   "/app/main/if/if/fqf3mm05"),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'if/if/fqf3mm05',
    loadChildren: () =&gt; import('./if/if/fqf3mm05/fqf3mm05.module').then(m =&gt; m.FQF3MM05Module),
    data: { permission: 'Pages.IF.IF.FQF3MM05' }
},</v>
      </c>
      <c r="R10" s="47" t="str">
        <f>SUBSTITUTE(R9,"MstWptCalendar",$B$6)</f>
        <v>ApiServiceProxies.IF_FQF3MM05ServiceProxy,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244</v>
      </c>
      <c r="I11" s="28" t="s">
        <v>257</v>
      </c>
      <c r="J11" s="28"/>
      <c r="K11" s="28" t="s">
        <v>255</v>
      </c>
      <c r="L11" s="28" t="s">
        <v>258</v>
      </c>
      <c r="M11" s="35"/>
      <c r="N11" s="28"/>
      <c r="O11" s="28"/>
      <c r="P11" s="28"/>
      <c r="Q11" s="28"/>
      <c r="R11" s="28"/>
      <c r="S11" s="28" t="s">
        <v>249</v>
      </c>
      <c r="T11" s="28" t="s">
        <v>250</v>
      </c>
      <c r="U11" s="28" t="s">
        <v>259</v>
      </c>
      <c r="V11" s="28" t="s">
        <v>261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H44</v>
      </c>
      <c r="I12" s="28" t="str">
        <f>"I"&amp;COUNTA($A:$A)</f>
        <v>I44</v>
      </c>
      <c r="J12" s="28"/>
      <c r="K12" s="28" t="str">
        <f>"K"&amp;COUNTA($A:$A)</f>
        <v>K44</v>
      </c>
      <c r="L12" s="28" t="str">
        <f>"L"&amp;COUNTA($A:$A)</f>
        <v>L44</v>
      </c>
      <c r="M12" s="28"/>
      <c r="N12" s="28"/>
      <c r="O12" s="28"/>
      <c r="P12" s="28"/>
      <c r="Q12" s="28"/>
      <c r="R12" s="28"/>
      <c r="S12" s="28" t="str">
        <f>"S"&amp;COUNTA($A:$A)</f>
        <v>S44</v>
      </c>
      <c r="T12" s="28" t="str">
        <f>"T"&amp;COUNTA($A:$A)</f>
        <v>T44</v>
      </c>
      <c r="U12" s="28" t="str">
        <f>"U"&amp;COUNTA($A:$A)</f>
        <v>U44</v>
      </c>
      <c r="V12" s="28" t="str">
        <f>"V"&amp;COUNTA($A:$A)</f>
        <v>V44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this.l('Running No'),headerTooltip: this.l('Running No'),field: 'runningNo',flex: 1},
			{headerName: this.l('Document Date'),headerTooltip: this.l('Document Date'),field: 'documentDate',flex: 1},
			{headerName: this.l('Posting Date'),headerTooltip: this.l('Posting Date'),field: 'postingDate',flex: 1},
			{headerName: this.l('Document Header Text'),headerTooltip: this.l('Document Header Text'),field: 'documentHeaderText',flex: 1},
			{headerName: this.l('Movement Type'),headerTooltip: this.l('Movement Type'),field: 'movementType',flex: 1},
			{headerName: this.l('Material Code From'),headerTooltip: this.l('Material Code From'),field: 'materialCodeFrom',flex: 1},
			{headerName: this.l('Plant From'),headerTooltip: this.l('Plant From'),field: 'plantFrom',flex: 1},
			{headerName: this.l('Valuation Type From'),headerTooltip: this.l('Valuation Type From'),field: 'valuationTypeFrom',flex: 1},
			{headerName: this.l('Storage Location From'),headerTooltip: this.l('Storage Location From'),field: 'storageLocationFrom',flex: 1},
			{headerName: this.l('Production Version'),headerTooltip: this.l('Production Version'),field: 'productionVersion',flex: 1},
			{headerName: this.l('Quantity'),headerTooltip: this.l('Quantity'),field: 'quantity',flex: 1},
			{headerName: this.l('Unit Of Entry'),headerTooltip: this.l('Unit Of Entry'),field: 'unitOfEntry',flex: 1},
			{headerName: this.l('Item Text'),headerTooltip: this.l('Item Text'),field: 'itemText',flex: 1},
			{headerName: this.l('Gl Account'),headerTooltip: this.l('Gl Account'),field: 'glAccount',flex: 1},
			{headerName: this.l('Cost Center'),headerTooltip: this.l('Cost Center'),field: 'costCenter',flex: 1},
			{headerName: this.l('Wbs'),headerTooltip: this.l('Wbs'),field: 'wbs',flex: 1},
			{headerName: this.l('Material Code To'),headerTooltip: this.l('Material Code To'),field: 'materialCodeTo',flex: 1},
			{headerName: this.l('Plant To'),headerTooltip: this.l('Plant To'),field: 'plantTo',flex: 1},
			{headerName: this.l('Valuation Type To'),headerTooltip: this.l('Valuation Type To'),field: 'valuationTypeTo',flex: 1},
			{headerName: this.l('Storage Location To'),headerTooltip: this.l('Storage Location To'),field: 'storageLocationTo',flex: 1},
			{headerName: this.l('Bf Pc'),headerTooltip: this.l('Bf Pc'),field:  'bfPc', cellClass: ['text-center'], width: 120, cellRenderer: 'agCellButtonComponent',
buttonDefTwo: { text: params =&gt; (params.data?.'bfPc' == 'Y') ? 'Active' : 'Inactive',iconName: 'fa fa-circle',className: params =&gt; (params.data?.'bfPc' == 'Y') ? 'btnActive' : 'btnInActive',},}
			{headerName: this.l('Cancel Flag'),headerTooltip: this.l('Cancel Flag'),field:  'cancelFlag', cellClass: ['text-center'], width: 120, cellRenderer: 'agCellButtonComponent',
buttonDefTwo: { text: params =&gt; (params.data?.'cancelFlag' == 'Y') ? 'Active' : 'Inactive',iconName: 'fa fa-circle',className: params =&gt; (params.data?.'cancelFlag' == 'Y') ? 'btnActive' : 'btnInActive',},}
			{headerName: this.l('Reff Mat Doc No'),headerTooltip: this.l('Reff Mat Doc No'),field: 'reffMatDocNo',flex: 1},
			{headerName: this.l('Vendor No'),headerTooltip: this.l('Vendor No'),field: 'vendorNo',flex: 1},
			{headerName: this.l('Profit Center'),headerTooltip: this.l('Profit Center'),field: 'profitCenter',flex: 1},
			{headerName: this.l('Shipemnt Cat'),headerTooltip: this.l('Shipemnt Cat'),field:  'shipemntCat', cellClass: ['text-center'], width: 120, cellRenderer: 'agCellButtonComponent',
buttonDefTwo: { text: params =&gt; (params.data?.'shipemntCat' == 'Y') ? 'Active' : 'Inactive',iconName: 'fa fa-circle',className: params =&gt; (params.data?.'shipemntCat' == 'Y') ? 'btnActive' : 'btnInActive',},}
			{headerName: this.l('Reference'),headerTooltip: this.l('Reference'),field: 'reference',flex: 1},
			{headerName: this.l('Asset No'),headerTooltip: this.l('Asset No'),field: 'assetNo',flex: 1},
			{headerName: this.l('Sub Asset No'),headerTooltip: this.l('Sub Asset No'),field: 'subAssetNo',flex: 1},
			{headerName: this.l('End Of Record'),headerTooltip: this.l('End Of Record'),field:  'endOfRecord', cellClass: ['text-center'], width: 120, cellRenderer: 'agCellButtonComponent',
buttonDefTwo: { text: params =&gt; (params.data?.'endOfRecord' == 'Y') ? 'Active' : 'Inactive',iconName: 'fa fa-circle',className: params =&gt; (params.data?.'endOfRecord' == 'Y') ? 'btnActive' : 'btnInActive',},}</v>
      </c>
      <c r="I13" s="35" t="str">
        <f ca="1">TEXTJOIN2("
",TRUE,INDIRECT(I11):INDIRECT(I12))</f>
        <v xml:space="preserve">								&lt;div class='input-search'&gt;
									&lt;input [(ngModel)]='documentDate' name='documentDate'
									class='form-control' [placeholder]="l('Document Date')"
									type='text' (keyup.enter)='searchDatas()'&gt;
								&lt;/div&gt;
								&lt;div class='input-search'&gt;
									&lt;input [(ngModel)]='postingDate' name='postingDate'
									class='form-control' [placeholder]="l('Posting Date')"
									type='text' (keyup.enter)='searchDatas()'&gt;
								&lt;/div&gt;
								&lt;div class='input-search'&gt;
									&lt;input [(ngModel)]='documentHeaderText' name='documentHeaderText'
									class='form-control' [placeholder]="l('Document Header Text')"
									type='text' (keyup.enter)='searchDatas()'&gt;
								&lt;/div&gt;
								&lt;div class='input-search'&gt;
									&lt;input [(ngModel)]='movementType' name='movementType'
									class='form-control' [placeholder]="l('Movement Type')"
									type='text' (keyup.enter)='searchDatas()'&gt;
								&lt;/div&gt;
								&lt;div class='input-search'&gt;
									&lt;input [(ngModel)]='materialCodeFrom' name='materialCodeFrom'
									class='form-control' [placeholder]="l('Material Code From')"
									type='text' (keyup.enter)='searchDatas()'&gt;
								&lt;/div&gt;
								&lt;div class='input-search'&gt;
									&lt;input [(ngModel)]='plantFrom' name='plantFrom'
									class='form-control' [placeholder]="l('Plant From')"
									type='text' (keyup.enter)='searchDatas()'&gt;
								&lt;/div&gt;
								&lt;div class='input-search'&gt;
									&lt;input [(ngModel)]='valuationTypeFrom' name='valuationTypeFrom'
									class='form-control' [placeholder]="l('Valuation Type From')"
									type='text' (keyup.enter)='searchDatas()'&gt;
								&lt;/div&gt;
								&lt;div class='input-search'&gt;
									&lt;input [(ngModel)]='storageLocationFrom' name='storageLocationFrom'
									class='form-control' [placeholder]="l('Storage Location From')"
									type='text' (keyup.enter)='searchDatas()'&gt;
								&lt;/div&gt;
								&lt;div class='input-search'&gt;
									&lt;input [(ngModel)]='productionVersion' name='productionVersion'
									class='form-control' [placeholder]="l('Production Version')"
									type='text' (keyup.enter)='searchDatas()'&gt;
								&lt;/div&gt;
								&lt;div class='input-search'&gt;
									&lt;input [(ngModel)]='unitOfEntry' name='unitOfEntry'
									class='form-control' [placeholder]="l('Unit Of Entry')"
									type='text' (keyup.enter)='searchDatas()'&gt;
								&lt;/div&gt;
								&lt;div class='input-search'&gt;
									&lt;input [(ngModel)]='itemText' name='itemText'
									class='form-control' [placeholder]="l('Item Text')"
									type='text' (keyup.enter)='searchDatas()'&gt;
								&lt;/div&gt;
								&lt;div class='input-search'&gt;
									&lt;input [(ngModel)]='glAccount' name='glAccount'
									class='form-control' [placeholder]="l('Gl Account')"
									type='text' (keyup.enter)='searchDatas()'&gt;
								&lt;/div&gt;
								&lt;div class='input-search'&gt;
									&lt;input [(ngModel)]='costCenter' name='costCenter'
									class='form-control' [placeholder]="l('Cost Center')"
									type='text' (keyup.enter)='searchDatas()'&gt;
								&lt;/div&gt;
								&lt;div class='input-search'&gt;
									&lt;input [(ngModel)]='wbs' name='wbs'
									class='form-control' [placeholder]="l('Wbs')"
									type='text' (keyup.enter)='searchDatas()'&gt;
								&lt;/div&gt;
								&lt;div class='input-search'&gt;
									&lt;input [(ngModel)]='materialCodeTo' name='materialCodeTo'
									class='form-control' [placeholder]="l('Material Code To')"
									type='text' (keyup.enter)='searchDatas()'&gt;
								&lt;/div&gt;
								&lt;div class='input-search'&gt;
									&lt;input [(ngModel)]='plantTo' name='plantTo'
									class='form-control' [placeholder]="l('Plant To')"
									type='text' (keyup.enter)='searchDatas()'&gt;
								&lt;/div&gt;
								&lt;div class='input-search'&gt;
									&lt;input [(ngModel)]='valuationTypeTo' name='valuationTypeTo'
									class='form-control' [placeholder]="l('Valuation Type To')"
									type='text' (keyup.enter)='searchDatas()'&gt;
								&lt;/div&gt;
								&lt;div class='input-search'&gt;
									&lt;input [(ngModel)]='storageLocationTo' name='storageLocationTo'
									class='form-control' [placeholder]="l('Storage Location To')"
									type='text' (keyup.enter)='searchDatas()'&gt;
								&lt;/div&gt;
								&lt;div class='input-search'&gt;
									&lt;input [(ngModel)]='bfPc' name='bfPc'
									class='form-control' [placeholder]="l('Bf Pc')"
									type='text' (keyup.enter)='searchDatas()'&gt;
								&lt;/div&gt;
								&lt;div class='input-search'&gt;
									&lt;input [(ngModel)]='cancelFlag' name='cancelFlag'
									class='form-control' [placeholder]="l('Cancel Flag')"
									type='text' (keyup.enter)='searchDatas()'&gt;
								&lt;/div&gt;
								&lt;div class='input-search'&gt;
									&lt;input [(ngModel)]='reffMatDocNo' name='reffMatDocNo'
									class='form-control' [placeholder]="l('Reff Mat Doc No')"
									type='text' (keyup.enter)='searchDatas()'&gt;
								&lt;/div&gt;
								&lt;div class='input-search'&gt;
									&lt;input [(ngModel)]='vendorNo' name='vendorNo'
									class='form-control' [placeholder]="l('Vendor No')"
									type='text' (keyup.enter)='searchDatas()'&gt;
								&lt;/div&gt;
								&lt;div class='input-search'&gt;
									&lt;input [(ngModel)]='profitCenter' name='profitCenter'
									class='form-control' [placeholder]="l('Profit Center')"
									type='text' (keyup.enter)='searchDatas()'&gt;
								&lt;/div&gt;
								&lt;div class='input-search'&gt;
									&lt;input [(ngModel)]='shipemntCat' name='shipemntCat'
									class='form-control' [placeholder]="l('Shipemnt Cat')"
									type='text' (keyup.enter)='searchDatas()'&gt;
								&lt;/div&gt;
								&lt;div class='input-search'&gt;
									&lt;input [(ngModel)]='reference' name='reference'
									class='form-control' [placeholder]="l('Reference')"
									type='text' (keyup.enter)='searchDatas()'&gt;
								&lt;/div&gt;
								&lt;div class='input-search'&gt;
									&lt;input [(ngModel)]='assetNo' name='assetNo'
									class='form-control' [placeholder]="l('Asset No')"
									type='text' (keyup.enter)='searchDatas()'&gt;
								&lt;/div&gt;
								&lt;div class='input-search'&gt;
									&lt;input [(ngModel)]='subAssetNo' name='subAssetNo'
									class='form-control' [placeholder]="l('Sub Asset No')"
									type='text' (keyup.enter)='searchDatas()'&gt;
								&lt;/div&gt;
								&lt;div class='input-search'&gt;
									&lt;input [(ngModel)]='endOfRecord' name='endOfRecord'
									class='form-control' [placeholder]="l('End Of Record')"
									type='text' (keyup.enter)='searchDatas()'&gt;
								&lt;/div&gt;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title'&gt;Document Date&lt;/label&gt;
						&lt;input type='text' class='col-md-10 form-control input-text' name='DocumentDate' [(ngModel)]='rowdata.documentDate'&gt;
					&lt;/div&gt;
					&lt;div class='col-md-12 form-group row'&gt;
						&lt;label class='col-md-2 form-control title'&gt;Posting Date&lt;/label&gt;
						&lt;input type='text' class='col-md-10 form-control input-text' name='PostingDate' [(ngModel)]='rowdata.postingDate'&gt;
					&lt;/div&gt;
					&lt;div class='col-md-12 form-group row'&gt;
						&lt;label class='col-md-2 form-control title'&gt;Document Header Text&lt;/label&gt;
						&lt;input type='text' class='col-md-10 form-control input-text' name='DocumentHeaderText' [(ngModel)]='rowdata.documentHeaderText'&gt;
					&lt;/div&gt;
					&lt;div class='col-md-12 form-group row'&gt;
						&lt;label class='col-md-2 form-control title'&gt;Movement Type&lt;/label&gt;
						&lt;input type='text' class='col-md-10 form-control input-text' name='MovementType' [(ngModel)]='rowdata.movementType'&gt;
					&lt;/div&gt;
					&lt;div class='col-md-12 form-group row'&gt;
						&lt;label class='col-md-2 form-control title'&gt;Material Code From&lt;/label&gt;
						&lt;input type='text' class='col-md-10 form-control input-text' name='MaterialCodeFrom' [(ngModel)]='rowdata.materialCodeFrom'&gt;
					&lt;/div&gt;
					&lt;div class='col-md-12 form-group row'&gt;
						&lt;label class='col-md-2 form-control title'&gt;Plant From&lt;/label&gt;
						&lt;input type='text' class='col-md-10 form-control input-text' name='PlantFrom' [(ngModel)]='rowdata.plantFrom'&gt;
					&lt;/div&gt;
					&lt;div class='col-md-12 form-group row'&gt;
						&lt;label class='col-md-2 form-control title'&gt;Valuation Type From&lt;/label&gt;
						&lt;input type='text' class='col-md-10 form-control input-text' name='ValuationTypeFrom' [(ngModel)]='rowdata.valuationTypeFrom'&gt;
					&lt;/div&gt;
					&lt;div class='col-md-12 form-group row'&gt;
						&lt;label class='col-md-2 form-control title'&gt;Storage Location From&lt;/label&gt;
						&lt;input type='text' class='col-md-10 form-control input-text' name='StorageLocationFrom' [(ngModel)]='rowdata.storageLocationFrom'&gt;
					&lt;/div&gt;
					&lt;div class='col-md-12 form-group row'&gt;
						&lt;label class='col-md-2 form-control title'&gt;Production Version&lt;/label&gt;
						&lt;input type='text' class='col-md-10 form-control input-text' name='ProductionVersion' [(ngModel)]='rowdata.productionVersion'&gt;
					&lt;/div&gt;
					&lt;div class='col-md-12 form-group row'&gt;
						&lt;label class='col-md-2 form-control title'&gt;Unit Of Entry&lt;/label&gt;
						&lt;input type='text' class='col-md-10 form-control input-text' name='UnitOfEntry' [(ngModel)]='rowdata.unitOfEntry'&gt;
					&lt;/div&gt;
					&lt;div class='col-md-12 form-group row'&gt;
						&lt;label class='col-md-2 form-control title'&gt;Item Text&lt;/label&gt;
						&lt;input type='text' class='col-md-10 form-control input-text' name='ItemText' [(ngModel)]='rowdata.itemText'&gt;
					&lt;/div&gt;
					&lt;div class='col-md-12 form-group row'&gt;
						&lt;label class='col-md-2 form-control title'&gt;Gl Account&lt;/label&gt;
						&lt;input type='text' class='col-md-10 form-control input-text' name='GlAccount' [(ngModel)]='rowdata.glAccount'&gt;
					&lt;/div&gt;
					&lt;div class='col-md-12 form-group row'&gt;
						&lt;label class='col-md-2 form-control title'&gt;Cost Center&lt;/label&gt;
						&lt;input type='text' class='col-md-10 form-control input-text' name='CostCenter' [(ngModel)]='rowdata.costCenter'&gt;
					&lt;/div&gt;
					&lt;div class='col-md-12 form-group row'&gt;
						&lt;label class='col-md-2 form-control title'&gt;Wbs&lt;/label&gt;
						&lt;input type='text' class='col-md-10 form-control input-text' name='Wbs' [(ngModel)]='rowdata.wbs'&gt;
					&lt;/div&gt;
					&lt;div class='col-md-12 form-group row'&gt;
						&lt;label class='col-md-2 form-control title'&gt;Material Code To&lt;/label&gt;
						&lt;input type='text' class='col-md-10 form-control input-text' name='MaterialCodeTo' [(ngModel)]='rowdata.materialCodeTo'&gt;
					&lt;/div&gt;
					&lt;div class='col-md-12 form-group row'&gt;
						&lt;label class='col-md-2 form-control title'&gt;Plant To&lt;/label&gt;
						&lt;input type='text' class='col-md-10 form-control input-text' name='PlantTo' [(ngModel)]='rowdata.plantTo'&gt;
					&lt;/div&gt;
					&lt;div class='col-md-12 form-group row'&gt;
						&lt;label class='col-md-2 form-control title'&gt;Valuation Type To&lt;/label&gt;
						&lt;input type='text' class='col-md-10 form-control input-text' name='ValuationTypeTo' [(ngModel)]='rowdata.valuationTypeTo'&gt;
					&lt;/div&gt;
					&lt;div class='col-md-12 form-group row'&gt;
						&lt;label class='col-md-2 form-control title'&gt;Storage Location To&lt;/label&gt;
						&lt;input type='text' class='col-md-10 form-control input-text' name='StorageLocationTo' [(ngModel)]='rowdata.storageLocationTo'&gt;
					&lt;/div&gt;
					&lt;div class='col-md-12 form-group row'&gt;
						&lt;label class='col-md-2 form-control title'&gt;Bf Pc&lt;/label&gt;
						&lt;new-checkbox [(ngModel)]='_bfPc' name='bfPc' className='col-md-10' &gt; &lt;/new-checkbox&gt;
					&lt;/div&gt;
					&lt;div class='col-md-12 form-group row'&gt;
						&lt;label class='col-md-2 form-control title'&gt;Cancel Flag&lt;/label&gt;
						&lt;new-checkbox [(ngModel)]='_cancelFlag' name='cancelFlag' className='col-md-10' &gt; &lt;/new-checkbox&gt;
					&lt;/div&gt;
					&lt;div class='col-md-12 form-group row'&gt;
						&lt;label class='col-md-2 form-control title'&gt;Reff Mat Doc No&lt;/label&gt;
						&lt;input type='text' class='col-md-10 form-control input-text' name='ReffMatDocNo' [(ngModel)]='rowdata.reffMatDocNo'&gt;
					&lt;/div&gt;
					&lt;div class='col-md-12 form-group row'&gt;
						&lt;label class='col-md-2 form-control title'&gt;Vendor No&lt;/label&gt;
						&lt;input type='text' class='col-md-10 form-control input-text' name='VendorNo' [(ngModel)]='rowdata.vendorNo'&gt;
					&lt;/div&gt;
					&lt;div class='col-md-12 form-group row'&gt;
						&lt;label class='col-md-2 form-control title'&gt;Profit Center&lt;/label&gt;
						&lt;input type='text' class='col-md-10 form-control input-text' name='ProfitCenter' [(ngModel)]='rowdata.profitCenter'&gt;
					&lt;/div&gt;
					&lt;div class='col-md-12 form-group row'&gt;
						&lt;label class='col-md-2 form-control title'&gt;Shipemnt Cat&lt;/label&gt;
						&lt;new-checkbox [(ngModel)]='_shipemntCat' name='shipemntCat' className='col-md-10' &gt; &lt;/new-checkbox&gt;
					&lt;/div&gt;
					&lt;div class='col-md-12 form-group row'&gt;
						&lt;label class='col-md-2 form-control title'&gt;Reference&lt;/label&gt;
						&lt;input type='text' class='col-md-10 form-control input-text' name='Reference' [(ngModel)]='rowdata.reference'&gt;
					&lt;/div&gt;
					&lt;div class='col-md-12 form-group row'&gt;
						&lt;label class='col-md-2 form-control title'&gt;Asset No&lt;/label&gt;
						&lt;input type='text' class='col-md-10 form-control input-text' name='AssetNo' [(ngModel)]='rowdata.assetNo'&gt;
					&lt;/div&gt;
					&lt;div class='col-md-12 form-group row'&gt;
						&lt;label class='col-md-2 form-control title'&gt;Sub Asset No&lt;/label&gt;
						&lt;input type='text' class='col-md-10 form-control input-text' name='SubAssetNo' [(ngModel)]='rowdata.subAssetNo'&gt;
					&lt;/div&gt;
					&lt;div class='col-md-12 form-group row'&gt;
						&lt;label class='col-md-2 form-control title'&gt;End Of Record&lt;/label&gt;
						&lt;new-checkbox [(ngModel)]='_endOfRecord' name='endOfRecord' className='col-md-10' &gt; &lt;/new-checkbox&gt;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runningNo
	documentDate : string = '' ; 
	postingDate : string = '' ; 
	documentHeaderText : string = '' ; 
	movementType : string = '' ; 
	materialCodeFrom : string = '' ; 
	plantFrom : string = '' ; 
	valuationTypeFrom : string = '' ; 
	storageLocationFrom : string = '' ; 
	productionVersion : string = '' ; 
	quantity
	unitOfEntry : string = '' ; 
	itemText : string = '' ; 
	glAccount : string = '' ; 
	costCenter : string = '' ; 
	wbs : string = '' ; 
	materialCodeTo : string = '' ; 
	plantTo : string = '' ; 
	valuationTypeTo : string = '' ; 
	storageLocationTo : string = '' ; 
	bfPc : string = '' ; 
	cancelFlag : string = '' ; 
	reffMatDocNo : string = '' ; 
	vendorNo : string = '' ; 
	profitCenter : string = '' ; 
	shipemntCat : string = '' ; 
	reference : string = '' ; 
	assetNo : string = '' ; 
	subAssetNo : string = '' ; 
	endOfRecord : string = '' ; </v>
      </c>
      <c r="T13" s="62" t="str">
        <f ca="1">TEXTJOIN2("
",TRUE,INDIRECT(T11):INDIRECT(T12))</f>
        <v xml:space="preserve">			this.runningNo,
			this.documentDate,
			this.postingDate,
			this.documentHeaderText,
			this.movementType,
			this.materialCodeFrom,
			this.plantFrom,
			this.valuationTypeFrom,
			this.storageLocationFrom,
			this.productionVersion,
			this.quantity,
			this.unitOfEntry,
			this.itemText,
			this.glAccount,
			this.costCenter,
			this.wbs,
			this.materialCodeTo,
			this.plantTo,
			this.valuationTypeTo,
			this.storageLocationTo,
			this.bfPc,
			this.cancelFlag,
			this.reffMatDocNo,
			this.vendorNo,
			this.profitCenter,
			this.shipemntCat,
			this.reference,
			this.assetNo,
			this.subAssetNo,
			this.endOfRecord,</v>
      </c>
      <c r="U13" s="62" t="str">
        <f ca="1">TEXTJOIN2("
",TRUE,INDIRECT(U11):INDIRECT(U12))</f>
        <v xml:space="preserve">		this.runningNo = '',
		this.documentDate = '',
		this.postingDate = '',
		this.documentHeaderText = '',
		this.movementType = '',
		this.materialCodeFrom = '',
		this.plantFrom = '',
		this.valuationTypeFrom = '',
		this.storageLocationFrom = '',
		this.productionVersion = '',
		this.quantity = '',
		this.unitOfEntry = '',
		this.itemText = '',
		this.glAccount = '',
		this.costCenter = '',
		this.wbs = '',
		this.materialCodeTo = '',
		this.plantTo = '',
		this.valuationTypeTo = '',
		this.storageLocationTo = '',
		this.bfPc = '',
		this.cancelFlag = '',
		this.reffMatDocNo = '',
		this.vendorNo = '',
		this.profitCenter = '',
		this.shipemntCat = '',
		this.reference = '',
		this.assetNo = '',
		this.subAssetNo = '',
		this.endOfRecord = '',</v>
      </c>
      <c r="V13" s="28" t="str">
        <f ca="1">TEXTJOIN2("
",TRUE,INDIRECT(V11):INDIRECT(V12))</f>
        <v>bfPc
cancelFlag
shipemntCat
endOfRecord</v>
      </c>
    </row>
    <row r="14" spans="1:22" x14ac:dyDescent="0.25">
      <c r="A14" s="38" t="s">
        <v>214</v>
      </c>
      <c r="B14" s="28"/>
      <c r="C14" s="28"/>
      <c r="D14" s="28"/>
      <c r="E14" s="28"/>
      <c r="F14" s="28"/>
      <c r="G14" s="28"/>
      <c r="H14" s="36" t="str">
        <f>B8&amp;".component.ts"</f>
        <v>fqf3mm05.component.ts</v>
      </c>
      <c r="I14" s="37" t="str">
        <f>B8&amp;".component.html"</f>
        <v>fqf3mm05.component.html</v>
      </c>
      <c r="J14" s="36" t="str">
        <f>B8&amp;".component.less"</f>
        <v>fqf3mm05.component.less</v>
      </c>
      <c r="K14" s="37" t="str">
        <f>"create-or-edit-"&amp;B8&amp;"-modal.component.html"</f>
        <v>create-or-edit-fqf3mm05-modal.component.html</v>
      </c>
      <c r="L14" s="37" t="str">
        <f>"create-or-edit-"&amp;B8&amp;"-modal.component.ts"</f>
        <v>create-or-edit-fqf3mm05-modal.component.ts</v>
      </c>
      <c r="M14" s="37" t="str">
        <f>"create-or-edit-"&amp;B8&amp;"-modal.component.less"</f>
        <v>create-or-edit-fqf3mm05-modal.component.less</v>
      </c>
      <c r="N14" s="37" t="str">
        <f>B8&amp;".module.ts"</f>
        <v>fqf3mm05.module.ts</v>
      </c>
      <c r="O14" s="37" t="str">
        <f>B8&amp;"-routing.module.ts"</f>
        <v>fqf3mm05-routing.module.ts</v>
      </c>
      <c r="P14" s="37" t="s">
        <v>218</v>
      </c>
      <c r="Q14" s="37" t="s">
        <v>221</v>
      </c>
      <c r="R14" s="38" t="s">
        <v>228</v>
      </c>
      <c r="S14" s="37" t="s">
        <v>247</v>
      </c>
      <c r="T14" s="37" t="s">
        <v>248</v>
      </c>
      <c r="U14" s="37" t="s">
        <v>251</v>
      </c>
      <c r="V14" s="37" t="s">
        <v>260</v>
      </c>
    </row>
    <row r="15" spans="1:22" ht="15" customHeight="1" x14ac:dyDescent="0.25">
      <c r="A15" t="s">
        <v>358</v>
      </c>
      <c r="B15" s="28" t="str">
        <f t="shared" ref="B15:B32" si="0">SUBSTITUTE(PROPER(A15),"_","")</f>
        <v>RunningNo</v>
      </c>
      <c r="C15" s="28" t="str">
        <f t="shared" ref="C15:C32" si="1">SUBSTITUTE(PROPER(A15),"_"," ")</f>
        <v>Running No</v>
      </c>
      <c r="D15" s="28" t="str">
        <f t="shared" ref="D15:D32" si="2">LOWER(LEFT(B15,1))&amp;RIGHT(B15,LEN(B15) - 1)</f>
        <v>runningNo</v>
      </c>
      <c r="E15" s="28" t="str">
        <f>A.Backend!H9</f>
        <v>int?</v>
      </c>
      <c r="F15" s="28" t="str">
        <f>A.Backend!G9</f>
        <v/>
      </c>
      <c r="G15" s="28" t="str">
        <f t="shared" ref="G15:G44" si="3">IF(E15="string"," : string = '' ; ",IF(OR(E15="DateTime",E15="TimeSpan")," : any ;",IF(E15="int"," : number = 0 ;","")))</f>
        <v/>
      </c>
      <c r="H15" s="35" t="str">
        <f t="shared" ref="H15:H44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this.l('Running No'),headerTooltip: this.l('Running No'),field: 'runningNo',flex: 1},</v>
      </c>
      <c r="I15" s="35" t="str">
        <f t="shared" ref="I15:I44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/>
      </c>
      <c r="J15" s="28"/>
      <c r="K15" s="35" t="str">
        <f t="shared" ref="K15:K44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/>
      </c>
      <c r="L15" s="56" t="str">
        <f t="shared" ref="L15:L32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runningNo</v>
      </c>
      <c r="T15" s="28" t="str">
        <f>REPT(CHAR(9),3)&amp;"this."&amp;D15&amp;","</f>
        <v xml:space="preserve">			this.runningNo,</v>
      </c>
      <c r="U15" s="28" t="str">
        <f>IF(E15="int",REPT(CHAR(9),2)&amp;"this."&amp;D15&amp;" = 0,",REPT(CHAR(9),2)&amp;"this."&amp;D15&amp;" = '',")</f>
        <v xml:space="preserve">		this.runningNo = '',</v>
      </c>
      <c r="V15" s="28" t="str">
        <f t="shared" ref="V15:V44" si="8">IF(AND(E15="string",F15="1"),D15,"")</f>
        <v/>
      </c>
    </row>
    <row r="16" spans="1:22" ht="18" customHeight="1" x14ac:dyDescent="0.25">
      <c r="A16" t="s">
        <v>359</v>
      </c>
      <c r="B16" s="28" t="str">
        <f t="shared" ref="B16" si="9">SUBSTITUTE(PROPER(A16),"_","")</f>
        <v>DocumentDate</v>
      </c>
      <c r="C16" s="28" t="str">
        <f t="shared" ref="C16" si="10">SUBSTITUTE(PROPER(A16),"_"," ")</f>
        <v>Document Date</v>
      </c>
      <c r="D16" s="28" t="str">
        <f t="shared" ref="D16" si="11">LOWER(LEFT(B16,1))&amp;RIGHT(B16,LEN(B16) - 1)</f>
        <v>documentDate</v>
      </c>
      <c r="E16" s="28" t="str">
        <f>A.Backend!H10</f>
        <v>string</v>
      </c>
      <c r="F16" s="28" t="str">
        <f>A.Backend!G10</f>
        <v>10</v>
      </c>
      <c r="G16" s="28" t="str">
        <f t="shared" si="3"/>
        <v xml:space="preserve"> : string = '' ; </v>
      </c>
      <c r="H16" s="35" t="str">
        <f t="shared" si="4"/>
        <v xml:space="preserve">			{headerName: this.l('Document Date'),headerTooltip: this.l('Document Date'),field: 'documentDate',flex: 1},</v>
      </c>
      <c r="I16" s="35" t="str">
        <f t="shared" si="5"/>
        <v xml:space="preserve">								&lt;div class='input-search'&gt;
									&lt;input [(ngModel)]='documentDate' name='documentDate'
									class='form-control' [placeholder]="l('Document Date')"
									type='text' (keyup.enter)='searchDatas()'&gt;
								&lt;/div&gt;</v>
      </c>
      <c r="J16" s="28"/>
      <c r="K16" s="35" t="str">
        <f t="shared" si="6"/>
        <v xml:space="preserve">					&lt;div class='col-md-12 form-group row'&gt;
						&lt;label class='col-md-2 form-control title'&gt;Document Date&lt;/label&gt;
						&lt;input type='text' class='col-md-10 form-control input-text' name='DocumentDate' [(ngModel)]='rowdata.documentDate'&gt;
					&lt;/div&gt;</v>
      </c>
      <c r="L16" s="56" t="str">
        <f t="shared" ref="L16" si="12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44" si="13">REPT(CHAR(9),1)&amp;D16&amp;G16</f>
        <v xml:space="preserve">	documentDate : string = '' ; </v>
      </c>
      <c r="T16" s="28" t="str">
        <f t="shared" ref="T16:T44" si="14">REPT(CHAR(9),3)&amp;"this."&amp;D16&amp;","</f>
        <v xml:space="preserve">			this.documentDate,</v>
      </c>
      <c r="U16" s="28" t="str">
        <f t="shared" ref="U16:U44" si="15">IF(E16="int",REPT(CHAR(9),2)&amp;"this."&amp;D16&amp;" = 0,",REPT(CHAR(9),2)&amp;"this."&amp;D16&amp;" = '',")</f>
        <v xml:space="preserve">		this.documentDate = '',</v>
      </c>
      <c r="V16" s="28" t="str">
        <f t="shared" si="8"/>
        <v/>
      </c>
    </row>
    <row r="17" spans="1:22" ht="18" customHeight="1" x14ac:dyDescent="0.25">
      <c r="A17" t="s">
        <v>360</v>
      </c>
      <c r="B17" s="28" t="str">
        <f>SUBSTITUTE(PROPER(A17),"_","")</f>
        <v>PostingDate</v>
      </c>
      <c r="C17" s="28" t="str">
        <f>SUBSTITUTE(PROPER(A17),"_"," ")</f>
        <v>Posting Date</v>
      </c>
      <c r="D17" s="28" t="str">
        <f>LOWER(LEFT(B17,1))&amp;RIGHT(B17,LEN(B17) - 1)</f>
        <v>postingDate</v>
      </c>
      <c r="E17" s="28" t="str">
        <f>A.Backend!H11</f>
        <v>string</v>
      </c>
      <c r="F17" s="28" t="str">
        <f>A.Backend!G11</f>
        <v>10</v>
      </c>
      <c r="G17" s="28" t="str">
        <f t="shared" si="3"/>
        <v xml:space="preserve"> : string = '' ; </v>
      </c>
      <c r="H17" s="35" t="str">
        <f t="shared" si="4"/>
        <v xml:space="preserve">			{headerName: this.l('Posting Date'),headerTooltip: this.l('Posting Date'),field: 'postingDate',flex: 1},</v>
      </c>
      <c r="I17" s="35" t="str">
        <f t="shared" si="5"/>
        <v xml:space="preserve">								&lt;div class='input-search'&gt;
									&lt;input [(ngModel)]='postingDate' name='postingDate'
									class='form-control' [placeholder]="l('Posting Date')"
									type='text' (keyup.enter)='searchDatas()'&gt;
								&lt;/div&gt;</v>
      </c>
      <c r="J17" s="28"/>
      <c r="K17" s="35" t="str">
        <f t="shared" si="6"/>
        <v xml:space="preserve">					&lt;div class='col-md-12 form-group row'&gt;
						&lt;label class='col-md-2 form-control title'&gt;Posting Date&lt;/label&gt;
						&lt;input type='text' class='col-md-10 form-control input-text' name='PostingDate' [(ngModel)]='rowdata.postingDate'&gt;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3"/>
        <v xml:space="preserve">	postingDate : string = '' ; </v>
      </c>
      <c r="T17" s="28" t="str">
        <f t="shared" si="14"/>
        <v xml:space="preserve">			this.postingDate,</v>
      </c>
      <c r="U17" s="28" t="str">
        <f t="shared" si="15"/>
        <v xml:space="preserve">		this.postingDate = '',</v>
      </c>
      <c r="V17" s="28" t="str">
        <f t="shared" si="8"/>
        <v/>
      </c>
    </row>
    <row r="18" spans="1:22" ht="15" customHeight="1" x14ac:dyDescent="0.25">
      <c r="A18" t="s">
        <v>361</v>
      </c>
      <c r="B18" s="28" t="str">
        <f t="shared" ref="B18:B21" si="16">SUBSTITUTE(PROPER(A18),"_","")</f>
        <v>DocumentHeaderText</v>
      </c>
      <c r="C18" s="28" t="str">
        <f t="shared" ref="C18:C21" si="17">SUBSTITUTE(PROPER(A18),"_"," ")</f>
        <v>Document Header Text</v>
      </c>
      <c r="D18" s="28" t="str">
        <f t="shared" ref="D18:D21" si="18">LOWER(LEFT(B18,1))&amp;RIGHT(B18,LEN(B18) - 1)</f>
        <v>documentHeaderText</v>
      </c>
      <c r="E18" s="28" t="str">
        <f>A.Backend!H12</f>
        <v>string</v>
      </c>
      <c r="F18" s="28" t="str">
        <f>A.Backend!G12</f>
        <v>25</v>
      </c>
      <c r="G18" s="28" t="str">
        <f t="shared" si="3"/>
        <v xml:space="preserve"> : string = '' ; </v>
      </c>
      <c r="H18" s="35" t="str">
        <f t="shared" si="4"/>
        <v xml:space="preserve">			{headerName: this.l('Document Header Text'),headerTooltip: this.l('Document Header Text'),field: 'documentHeaderText',flex: 1},</v>
      </c>
      <c r="I18" s="35" t="str">
        <f t="shared" si="5"/>
        <v xml:space="preserve">								&lt;div class='input-search'&gt;
									&lt;input [(ngModel)]='documentHeaderText' name='documentHeaderText'
									class='form-control' [placeholder]="l('Document Header Text')"
									type='text' (keyup.enter)='searchDatas()'&gt;
								&lt;/div&gt;</v>
      </c>
      <c r="J18" s="28"/>
      <c r="K18" s="35" t="str">
        <f t="shared" si="6"/>
        <v xml:space="preserve">					&lt;div class='col-md-12 form-group row'&gt;
						&lt;label class='col-md-2 form-control title'&gt;Document Header Text&lt;/label&gt;
						&lt;input type='text' class='col-md-10 form-control input-text' name='DocumentHeaderText' [(ngModel)]='rowdata.documentHeaderText'&gt;
					&lt;/div&gt;</v>
      </c>
      <c r="L18" s="56" t="str">
        <f t="shared" ref="L18:L21" si="19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3"/>
        <v xml:space="preserve">	documentHeaderText : string = '' ; </v>
      </c>
      <c r="T18" s="28" t="str">
        <f t="shared" si="14"/>
        <v xml:space="preserve">			this.documentHeaderText,</v>
      </c>
      <c r="U18" s="28" t="str">
        <f t="shared" si="15"/>
        <v xml:space="preserve">		this.documentHeaderText = '',</v>
      </c>
      <c r="V18" s="28" t="str">
        <f t="shared" si="8"/>
        <v/>
      </c>
    </row>
    <row r="19" spans="1:22" ht="18" customHeight="1" x14ac:dyDescent="0.25">
      <c r="A19" t="s">
        <v>362</v>
      </c>
      <c r="B19" s="28" t="str">
        <f t="shared" si="16"/>
        <v>MovementType</v>
      </c>
      <c r="C19" s="28" t="str">
        <f t="shared" si="17"/>
        <v>Movement Type</v>
      </c>
      <c r="D19" s="28" t="str">
        <f t="shared" si="18"/>
        <v>movementType</v>
      </c>
      <c r="E19" s="28" t="str">
        <f>A.Backend!H13</f>
        <v>string</v>
      </c>
      <c r="F19" s="28" t="str">
        <f>A.Backend!G13</f>
        <v>3</v>
      </c>
      <c r="G19" s="28" t="str">
        <f t="shared" si="3"/>
        <v xml:space="preserve"> : string = '' ; </v>
      </c>
      <c r="H19" s="35" t="str">
        <f t="shared" si="4"/>
        <v xml:space="preserve">			{headerName: this.l('Movement Type'),headerTooltip: this.l('Movement Type'),field: 'movementType',flex: 1},</v>
      </c>
      <c r="I19" s="35" t="str">
        <f t="shared" si="5"/>
        <v xml:space="preserve">								&lt;div class='input-search'&gt;
									&lt;input [(ngModel)]='movementType' name='movementType'
									class='form-control' [placeholder]="l('Movement Type')"
									type='text' (keyup.enter)='searchDatas()'&gt;
								&lt;/div&gt;</v>
      </c>
      <c r="J19" s="28"/>
      <c r="K19" s="35" t="str">
        <f t="shared" si="6"/>
        <v xml:space="preserve">					&lt;div class='col-md-12 form-group row'&gt;
						&lt;label class='col-md-2 form-control title'&gt;Movement Type&lt;/label&gt;
						&lt;input type='text' class='col-md-10 form-control input-text' name='MovementType' [(ngModel)]='rowdata.movementType'&gt;
					&lt;/div&gt;</v>
      </c>
      <c r="L19" s="56" t="str">
        <f t="shared" si="19"/>
        <v/>
      </c>
      <c r="M19" s="28"/>
      <c r="N19" s="28"/>
      <c r="O19" s="28"/>
      <c r="P19" s="28"/>
      <c r="Q19" s="28"/>
      <c r="R19" s="28"/>
      <c r="S19" s="28" t="str">
        <f t="shared" si="13"/>
        <v xml:space="preserve">	movementType : string = '' ; </v>
      </c>
      <c r="T19" s="28" t="str">
        <f t="shared" si="14"/>
        <v xml:space="preserve">			this.movementType,</v>
      </c>
      <c r="U19" s="28" t="str">
        <f t="shared" si="15"/>
        <v xml:space="preserve">		this.movementType = '',</v>
      </c>
      <c r="V19" s="28" t="str">
        <f t="shared" si="8"/>
        <v/>
      </c>
    </row>
    <row r="20" spans="1:22" ht="15" customHeight="1" x14ac:dyDescent="0.25">
      <c r="A20" t="s">
        <v>363</v>
      </c>
      <c r="B20" s="28" t="str">
        <f t="shared" si="16"/>
        <v>MaterialCodeFrom</v>
      </c>
      <c r="C20" s="28" t="str">
        <f t="shared" si="17"/>
        <v>Material Code From</v>
      </c>
      <c r="D20" s="28" t="str">
        <f t="shared" si="18"/>
        <v>materialCodeFrom</v>
      </c>
      <c r="E20" s="28" t="str">
        <f>A.Backend!H14</f>
        <v>string</v>
      </c>
      <c r="F20" s="28" t="str">
        <f>A.Backend!G14</f>
        <v>40</v>
      </c>
      <c r="G20" s="28" t="str">
        <f t="shared" si="3"/>
        <v xml:space="preserve"> : string = '' ; </v>
      </c>
      <c r="H20" s="35" t="str">
        <f t="shared" si="4"/>
        <v xml:space="preserve">			{headerName: this.l('Material Code From'),headerTooltip: this.l('Material Code From'),field: 'materialCodeFrom',flex: 1},</v>
      </c>
      <c r="I20" s="35" t="str">
        <f t="shared" si="5"/>
        <v xml:space="preserve">								&lt;div class='input-search'&gt;
									&lt;input [(ngModel)]='materialCodeFrom' name='materialCodeFrom'
									class='form-control' [placeholder]="l('Material Code From')"
									type='text' (keyup.enter)='searchDatas()'&gt;
								&lt;/div&gt;</v>
      </c>
      <c r="J20" s="28"/>
      <c r="K20" s="35" t="str">
        <f t="shared" si="6"/>
        <v xml:space="preserve">					&lt;div class='col-md-12 form-group row'&gt;
						&lt;label class='col-md-2 form-control title'&gt;Material Code From&lt;/label&gt;
						&lt;input type='text' class='col-md-10 form-control input-text' name='MaterialCodeFrom' [(ngModel)]='rowdata.materialCodeFrom'&gt;
					&lt;/div&gt;</v>
      </c>
      <c r="L20" s="56" t="str">
        <f t="shared" si="19"/>
        <v/>
      </c>
      <c r="M20" s="28"/>
      <c r="N20" s="28"/>
      <c r="O20" s="28"/>
      <c r="P20" s="28"/>
      <c r="Q20" s="28"/>
      <c r="R20" s="28"/>
      <c r="S20" s="28" t="str">
        <f t="shared" si="13"/>
        <v xml:space="preserve">	materialCodeFrom : string = '' ; </v>
      </c>
      <c r="T20" s="28" t="str">
        <f t="shared" si="14"/>
        <v xml:space="preserve">			this.materialCodeFrom,</v>
      </c>
      <c r="U20" s="28" t="str">
        <f t="shared" si="15"/>
        <v xml:space="preserve">		this.materialCodeFrom = '',</v>
      </c>
      <c r="V20" s="28" t="str">
        <f t="shared" si="8"/>
        <v/>
      </c>
    </row>
    <row r="21" spans="1:22" ht="18" customHeight="1" x14ac:dyDescent="0.25">
      <c r="A21" t="s">
        <v>364</v>
      </c>
      <c r="B21" s="28" t="str">
        <f t="shared" si="16"/>
        <v>PlantFrom</v>
      </c>
      <c r="C21" s="28" t="str">
        <f t="shared" si="17"/>
        <v>Plant From</v>
      </c>
      <c r="D21" s="28" t="str">
        <f t="shared" si="18"/>
        <v>plantFrom</v>
      </c>
      <c r="E21" s="28" t="str">
        <f>A.Backend!H15</f>
        <v>string</v>
      </c>
      <c r="F21" s="28" t="str">
        <f>A.Backend!G15</f>
        <v>4</v>
      </c>
      <c r="G21" s="28" t="str">
        <f t="shared" si="3"/>
        <v xml:space="preserve"> : string = '' ; </v>
      </c>
      <c r="H21" s="35" t="str">
        <f t="shared" si="4"/>
        <v xml:space="preserve">			{headerName: this.l('Plant From'),headerTooltip: this.l('Plant From'),field: 'plantFrom',flex: 1},</v>
      </c>
      <c r="I21" s="35" t="str">
        <f t="shared" si="5"/>
        <v xml:space="preserve">								&lt;div class='input-search'&gt;
									&lt;input [(ngModel)]='plantFrom' name='plantFrom'
									class='form-control' [placeholder]="l('Plant From')"
									type='text' (keyup.enter)='searchDatas()'&gt;
								&lt;/div&gt;</v>
      </c>
      <c r="J21" s="28"/>
      <c r="K21" s="35" t="str">
        <f t="shared" si="6"/>
        <v xml:space="preserve">					&lt;div class='col-md-12 form-group row'&gt;
						&lt;label class='col-md-2 form-control title'&gt;Plant From&lt;/label&gt;
						&lt;input type='text' class='col-md-10 form-control input-text' name='PlantFrom' [(ngModel)]='rowdata.plantFrom'&gt;
					&lt;/div&gt;</v>
      </c>
      <c r="L21" s="56" t="str">
        <f t="shared" si="19"/>
        <v/>
      </c>
      <c r="M21" s="28"/>
      <c r="N21" s="28"/>
      <c r="O21" s="28"/>
      <c r="P21" s="28"/>
      <c r="Q21" s="28"/>
      <c r="R21" s="28"/>
      <c r="S21" s="28" t="str">
        <f t="shared" si="13"/>
        <v xml:space="preserve">	plantFrom : string = '' ; </v>
      </c>
      <c r="T21" s="28" t="str">
        <f t="shared" si="14"/>
        <v xml:space="preserve">			this.plantFrom,</v>
      </c>
      <c r="U21" s="28" t="str">
        <f t="shared" si="15"/>
        <v xml:space="preserve">		this.plantFrom = '',</v>
      </c>
      <c r="V21" s="28" t="str">
        <f t="shared" si="8"/>
        <v/>
      </c>
    </row>
    <row r="22" spans="1:22" ht="18" customHeight="1" x14ac:dyDescent="0.25">
      <c r="A22" t="s">
        <v>365</v>
      </c>
      <c r="B22" s="28" t="str">
        <f>SUBSTITUTE(PROPER(A22),"_","")</f>
        <v>ValuationTypeFrom</v>
      </c>
      <c r="C22" s="28" t="str">
        <f>SUBSTITUTE(PROPER(A22),"_"," ")</f>
        <v>Valuation Type From</v>
      </c>
      <c r="D22" s="28" t="str">
        <f>LOWER(LEFT(B22,1))&amp;RIGHT(B22,LEN(B22) - 1)</f>
        <v>valuationTypeFrom</v>
      </c>
      <c r="E22" s="28" t="str">
        <f>A.Backend!H16</f>
        <v>string</v>
      </c>
      <c r="F22" s="28" t="str">
        <f>A.Backend!G16</f>
        <v>10</v>
      </c>
      <c r="G22" s="28" t="str">
        <f t="shared" si="3"/>
        <v xml:space="preserve"> : string = '' ; </v>
      </c>
      <c r="H22" s="35" t="str">
        <f t="shared" si="4"/>
        <v xml:space="preserve">			{headerName: this.l('Valuation Type From'),headerTooltip: this.l('Valuation Type From'),field: 'valuationTypeFrom',flex: 1},</v>
      </c>
      <c r="I22" s="35" t="str">
        <f t="shared" si="5"/>
        <v xml:space="preserve">								&lt;div class='input-search'&gt;
									&lt;input [(ngModel)]='valuationTypeFrom' name='valuationTypeFrom'
									class='form-control' [placeholder]="l('Valuation Type From')"
									type='text' (keyup.enter)='searchDatas()'&gt;
								&lt;/div&gt;</v>
      </c>
      <c r="J22" s="28"/>
      <c r="K22" s="35" t="str">
        <f t="shared" si="6"/>
        <v xml:space="preserve">					&lt;div class='col-md-12 form-group row'&gt;
						&lt;label class='col-md-2 form-control title'&gt;Valuation Type From&lt;/label&gt;
						&lt;input type='text' class='col-md-10 form-control input-text' name='ValuationTypeFrom' [(ngModel)]='rowdata.valuationTypeFrom'&gt;
					&lt;/div&gt;</v>
      </c>
      <c r="L22" s="56" t="str">
        <f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28"/>
      <c r="N22" s="28"/>
      <c r="O22" s="28"/>
      <c r="P22" s="28"/>
      <c r="Q22" s="28"/>
      <c r="R22" s="28"/>
      <c r="S22" s="28" t="str">
        <f t="shared" si="13"/>
        <v xml:space="preserve">	valuationTypeFrom : string = '' ; </v>
      </c>
      <c r="T22" s="28" t="str">
        <f t="shared" si="14"/>
        <v xml:space="preserve">			this.valuationTypeFrom,</v>
      </c>
      <c r="U22" s="28" t="str">
        <f t="shared" si="15"/>
        <v xml:space="preserve">		this.valuationTypeFrom = '',</v>
      </c>
      <c r="V22" s="28" t="str">
        <f t="shared" si="8"/>
        <v/>
      </c>
    </row>
    <row r="23" spans="1:22" ht="15" customHeight="1" x14ac:dyDescent="0.25">
      <c r="A23" t="s">
        <v>366</v>
      </c>
      <c r="B23" s="28" t="str">
        <f t="shared" ref="B23:B26" si="20">SUBSTITUTE(PROPER(A23),"_","")</f>
        <v>StorageLocationFrom</v>
      </c>
      <c r="C23" s="28" t="str">
        <f t="shared" ref="C23:C26" si="21">SUBSTITUTE(PROPER(A23),"_"," ")</f>
        <v>Storage Location From</v>
      </c>
      <c r="D23" s="28" t="str">
        <f t="shared" ref="D23:D26" si="22">LOWER(LEFT(B23,1))&amp;RIGHT(B23,LEN(B23) - 1)</f>
        <v>storageLocationFrom</v>
      </c>
      <c r="E23" s="28" t="str">
        <f>A.Backend!H17</f>
        <v>string</v>
      </c>
      <c r="F23" s="28" t="str">
        <f>A.Backend!G17</f>
        <v>4</v>
      </c>
      <c r="G23" s="28" t="str">
        <f t="shared" si="3"/>
        <v xml:space="preserve"> : string = '' ; </v>
      </c>
      <c r="H23" s="35" t="str">
        <f t="shared" si="4"/>
        <v xml:space="preserve">			{headerName: this.l('Storage Location From'),headerTooltip: this.l('Storage Location From'),field: 'storageLocationFrom',flex: 1},</v>
      </c>
      <c r="I23" s="35" t="str">
        <f t="shared" si="5"/>
        <v xml:space="preserve">								&lt;div class='input-search'&gt;
									&lt;input [(ngModel)]='storageLocationFrom' name='storageLocationFrom'
									class='form-control' [placeholder]="l('Storage Location From')"
									type='text' (keyup.enter)='searchDatas()'&gt;
								&lt;/div&gt;</v>
      </c>
      <c r="J23" s="28"/>
      <c r="K23" s="35" t="str">
        <f t="shared" si="6"/>
        <v xml:space="preserve">					&lt;div class='col-md-12 form-group row'&gt;
						&lt;label class='col-md-2 form-control title'&gt;Storage Location From&lt;/label&gt;
						&lt;input type='text' class='col-md-10 form-control input-text' name='StorageLocationFrom' [(ngModel)]='rowdata.storageLocationFrom'&gt;
					&lt;/div&gt;</v>
      </c>
      <c r="L23" s="56" t="str">
        <f t="shared" ref="L23:L26" si="23">IF(E23="DateTime",
REPT(CHAR(9),2)&amp;"const dateValue =  this.rowdata."&amp;D23&amp;" ? new Date(this.rowdata."&amp;D23&amp;"?.toString()) : new Date();
"&amp;REPT(CHAR(9),2)&amp;"this.datepicker?.bsValueChange.emit(dateValue);","")</f>
        <v/>
      </c>
      <c r="M23" s="28"/>
      <c r="N23" s="28"/>
      <c r="O23" s="28"/>
      <c r="P23" s="28"/>
      <c r="Q23" s="28"/>
      <c r="R23" s="28"/>
      <c r="S23" s="28" t="str">
        <f t="shared" si="13"/>
        <v xml:space="preserve">	storageLocationFrom : string = '' ; </v>
      </c>
      <c r="T23" s="28" t="str">
        <f t="shared" si="14"/>
        <v xml:space="preserve">			this.storageLocationFrom,</v>
      </c>
      <c r="U23" s="28" t="str">
        <f t="shared" si="15"/>
        <v xml:space="preserve">		this.storageLocationFrom = '',</v>
      </c>
      <c r="V23" s="28" t="str">
        <f t="shared" si="8"/>
        <v/>
      </c>
    </row>
    <row r="24" spans="1:22" ht="18" customHeight="1" x14ac:dyDescent="0.25">
      <c r="A24" t="s">
        <v>367</v>
      </c>
      <c r="B24" s="28" t="str">
        <f t="shared" si="20"/>
        <v>ProductionVersion</v>
      </c>
      <c r="C24" s="28" t="str">
        <f t="shared" si="21"/>
        <v>Production Version</v>
      </c>
      <c r="D24" s="28" t="str">
        <f t="shared" si="22"/>
        <v>productionVersion</v>
      </c>
      <c r="E24" s="28" t="str">
        <f>A.Backend!H18</f>
        <v>string</v>
      </c>
      <c r="F24" s="28" t="str">
        <f>A.Backend!G18</f>
        <v>4</v>
      </c>
      <c r="G24" s="28" t="str">
        <f t="shared" si="3"/>
        <v xml:space="preserve"> : string = '' ; </v>
      </c>
      <c r="H24" s="35" t="str">
        <f t="shared" si="4"/>
        <v xml:space="preserve">			{headerName: this.l('Production Version'),headerTooltip: this.l('Production Version'),field: 'productionVersion',flex: 1},</v>
      </c>
      <c r="I24" s="35" t="str">
        <f t="shared" si="5"/>
        <v xml:space="preserve">								&lt;div class='input-search'&gt;
									&lt;input [(ngModel)]='productionVersion' name='productionVersion'
									class='form-control' [placeholder]="l('Production Version')"
									type='text' (keyup.enter)='searchDatas()'&gt;
								&lt;/div&gt;</v>
      </c>
      <c r="J24" s="28"/>
      <c r="K24" s="35" t="str">
        <f t="shared" si="6"/>
        <v xml:space="preserve">					&lt;div class='col-md-12 form-group row'&gt;
						&lt;label class='col-md-2 form-control title'&gt;Production Version&lt;/label&gt;
						&lt;input type='text' class='col-md-10 form-control input-text' name='ProductionVersion' [(ngModel)]='rowdata.productionVersion'&gt;
					&lt;/div&gt;</v>
      </c>
      <c r="L24" s="56" t="str">
        <f t="shared" si="23"/>
        <v/>
      </c>
      <c r="M24" s="28"/>
      <c r="N24" s="28"/>
      <c r="O24" s="28"/>
      <c r="P24" s="28"/>
      <c r="Q24" s="28"/>
      <c r="R24" s="28"/>
      <c r="S24" s="28" t="str">
        <f t="shared" si="13"/>
        <v xml:space="preserve">	productionVersion : string = '' ; </v>
      </c>
      <c r="T24" s="28" t="str">
        <f t="shared" si="14"/>
        <v xml:space="preserve">			this.productionVersion,</v>
      </c>
      <c r="U24" s="28" t="str">
        <f t="shared" si="15"/>
        <v xml:space="preserve">		this.productionVersion = '',</v>
      </c>
      <c r="V24" s="28" t="str">
        <f t="shared" si="8"/>
        <v/>
      </c>
    </row>
    <row r="25" spans="1:22" ht="15" customHeight="1" x14ac:dyDescent="0.25">
      <c r="A25" t="s">
        <v>368</v>
      </c>
      <c r="B25" s="28" t="str">
        <f t="shared" si="20"/>
        <v>Quantity</v>
      </c>
      <c r="C25" s="28" t="str">
        <f t="shared" si="21"/>
        <v>Quantity</v>
      </c>
      <c r="D25" s="28" t="str">
        <f t="shared" si="22"/>
        <v>quantity</v>
      </c>
      <c r="E25" s="28" t="str">
        <f>A.Backend!H19</f>
        <v>int?</v>
      </c>
      <c r="F25" s="28" t="str">
        <f>A.Backend!G19</f>
        <v/>
      </c>
      <c r="G25" s="28" t="str">
        <f t="shared" si="3"/>
        <v/>
      </c>
      <c r="H25" s="35" t="str">
        <f t="shared" si="4"/>
        <v xml:space="preserve">			{headerName: this.l('Quantity'),headerTooltip: this.l('Quantity'),field: 'quantity',flex: 1},</v>
      </c>
      <c r="I25" s="35" t="str">
        <f t="shared" si="5"/>
        <v/>
      </c>
      <c r="J25" s="28"/>
      <c r="K25" s="35" t="str">
        <f t="shared" si="6"/>
        <v/>
      </c>
      <c r="L25" s="56" t="str">
        <f t="shared" si="23"/>
        <v/>
      </c>
      <c r="M25" s="28"/>
      <c r="N25" s="28"/>
      <c r="O25" s="28"/>
      <c r="P25" s="28"/>
      <c r="Q25" s="28"/>
      <c r="R25" s="28"/>
      <c r="S25" s="28" t="str">
        <f t="shared" si="13"/>
        <v xml:space="preserve">	quantity</v>
      </c>
      <c r="T25" s="28" t="str">
        <f t="shared" si="14"/>
        <v xml:space="preserve">			this.quantity,</v>
      </c>
      <c r="U25" s="28" t="str">
        <f t="shared" si="15"/>
        <v xml:space="preserve">		this.quantity = '',</v>
      </c>
      <c r="V25" s="28" t="str">
        <f t="shared" si="8"/>
        <v/>
      </c>
    </row>
    <row r="26" spans="1:22" ht="18" customHeight="1" x14ac:dyDescent="0.25">
      <c r="A26" t="s">
        <v>369</v>
      </c>
      <c r="B26" s="28" t="str">
        <f t="shared" si="20"/>
        <v>UnitOfEntry</v>
      </c>
      <c r="C26" s="28" t="str">
        <f t="shared" si="21"/>
        <v>Unit Of Entry</v>
      </c>
      <c r="D26" s="28" t="str">
        <f t="shared" si="22"/>
        <v>unitOfEntry</v>
      </c>
      <c r="E26" s="28" t="str">
        <f>A.Backend!H20</f>
        <v>string</v>
      </c>
      <c r="F26" s="28" t="str">
        <f>A.Backend!G20</f>
        <v>3</v>
      </c>
      <c r="G26" s="28" t="str">
        <f t="shared" si="3"/>
        <v xml:space="preserve"> : string = '' ; </v>
      </c>
      <c r="H26" s="35" t="str">
        <f t="shared" si="4"/>
        <v xml:space="preserve">			{headerName: this.l('Unit Of Entry'),headerTooltip: this.l('Unit Of Entry'),field: 'unitOfEntry',flex: 1},</v>
      </c>
      <c r="I26" s="35" t="str">
        <f t="shared" si="5"/>
        <v xml:space="preserve">								&lt;div class='input-search'&gt;
									&lt;input [(ngModel)]='unitOfEntry' name='unitOfEntry'
									class='form-control' [placeholder]="l('Unit Of Entry')"
									type='text' (keyup.enter)='searchDatas()'&gt;
								&lt;/div&gt;</v>
      </c>
      <c r="J26" s="28"/>
      <c r="K26" s="35" t="str">
        <f t="shared" si="6"/>
        <v xml:space="preserve">					&lt;div class='col-md-12 form-group row'&gt;
						&lt;label class='col-md-2 form-control title'&gt;Unit Of Entry&lt;/label&gt;
						&lt;input type='text' class='col-md-10 form-control input-text' name='UnitOfEntry' [(ngModel)]='rowdata.unitOfEntry'&gt;
					&lt;/div&gt;</v>
      </c>
      <c r="L26" s="56" t="str">
        <f t="shared" si="23"/>
        <v/>
      </c>
      <c r="M26" s="28"/>
      <c r="N26" s="28"/>
      <c r="O26" s="28"/>
      <c r="P26" s="28"/>
      <c r="Q26" s="28"/>
      <c r="R26" s="28"/>
      <c r="S26" s="28" t="str">
        <f t="shared" si="13"/>
        <v xml:space="preserve">	unitOfEntry : string = '' ; </v>
      </c>
      <c r="T26" s="28" t="str">
        <f t="shared" si="14"/>
        <v xml:space="preserve">			this.unitOfEntry,</v>
      </c>
      <c r="U26" s="28" t="str">
        <f t="shared" si="15"/>
        <v xml:space="preserve">		this.unitOfEntry = '',</v>
      </c>
      <c r="V26" s="28" t="str">
        <f t="shared" si="8"/>
        <v/>
      </c>
    </row>
    <row r="27" spans="1:22" ht="18" customHeight="1" x14ac:dyDescent="0.25">
      <c r="A27" t="s">
        <v>370</v>
      </c>
      <c r="B27" s="28" t="str">
        <f>SUBSTITUTE(PROPER(A27),"_","")</f>
        <v>ItemText</v>
      </c>
      <c r="C27" s="28" t="str">
        <f>SUBSTITUTE(PROPER(A27),"_"," ")</f>
        <v>Item Text</v>
      </c>
      <c r="D27" s="28" t="str">
        <f>LOWER(LEFT(B27,1))&amp;RIGHT(B27,LEN(B27) - 1)</f>
        <v>itemText</v>
      </c>
      <c r="E27" s="28" t="str">
        <f>A.Backend!H21</f>
        <v>string</v>
      </c>
      <c r="F27" s="28" t="str">
        <f>A.Backend!G21</f>
        <v>50</v>
      </c>
      <c r="G27" s="28" t="str">
        <f t="shared" si="3"/>
        <v xml:space="preserve"> : string = '' ; </v>
      </c>
      <c r="H27" s="35" t="str">
        <f t="shared" si="4"/>
        <v xml:space="preserve">			{headerName: this.l('Item Text'),headerTooltip: this.l('Item Text'),field: 'itemText',flex: 1},</v>
      </c>
      <c r="I27" s="35" t="str">
        <f t="shared" si="5"/>
        <v xml:space="preserve">								&lt;div class='input-search'&gt;
									&lt;input [(ngModel)]='itemText' name='itemText'
									class='form-control' [placeholder]="l('Item Text')"
									type='text' (keyup.enter)='searchDatas()'&gt;
								&lt;/div&gt;</v>
      </c>
      <c r="J27" s="28"/>
      <c r="K27" s="35" t="str">
        <f t="shared" si="6"/>
        <v xml:space="preserve">					&lt;div class='col-md-12 form-group row'&gt;
						&lt;label class='col-md-2 form-control title'&gt;Item Text&lt;/label&gt;
						&lt;input type='text' class='col-md-10 form-control input-text' name='ItemText' [(ngModel)]='rowdata.itemText'&gt;
					&lt;/div&gt;</v>
      </c>
      <c r="L27" s="56" t="str">
        <f>IF(E27="DateTime",
REPT(CHAR(9),2)&amp;"const dateValue =  this.rowdata."&amp;D27&amp;" ? new Date(this.rowdata."&amp;D27&amp;"?.toString()) : new Date();
"&amp;REPT(CHAR(9),2)&amp;"this.datepicker?.bsValueChange.emit(dateValue);","")</f>
        <v/>
      </c>
      <c r="M27" s="28"/>
      <c r="N27" s="28"/>
      <c r="O27" s="28"/>
      <c r="P27" s="28"/>
      <c r="Q27" s="28"/>
      <c r="R27" s="28"/>
      <c r="S27" s="28" t="str">
        <f t="shared" si="13"/>
        <v xml:space="preserve">	itemText : string = '' ; </v>
      </c>
      <c r="T27" s="28" t="str">
        <f t="shared" si="14"/>
        <v xml:space="preserve">			this.itemText,</v>
      </c>
      <c r="U27" s="28" t="str">
        <f t="shared" si="15"/>
        <v xml:space="preserve">		this.itemText = '',</v>
      </c>
      <c r="V27" s="28" t="str">
        <f t="shared" si="8"/>
        <v/>
      </c>
    </row>
    <row r="28" spans="1:22" ht="15" customHeight="1" x14ac:dyDescent="0.25">
      <c r="A28" t="s">
        <v>377</v>
      </c>
      <c r="B28" s="28" t="str">
        <f t="shared" ref="B28:B30" si="24">SUBSTITUTE(PROPER(A28),"_","")</f>
        <v>GlAccount</v>
      </c>
      <c r="C28" s="28" t="str">
        <f t="shared" ref="C28:C30" si="25">SUBSTITUTE(PROPER(A28),"_"," ")</f>
        <v>Gl Account</v>
      </c>
      <c r="D28" s="28" t="str">
        <f t="shared" ref="D28:D30" si="26">LOWER(LEFT(B28,1))&amp;RIGHT(B28,LEN(B28) - 1)</f>
        <v>glAccount</v>
      </c>
      <c r="E28" s="28" t="str">
        <f>A.Backend!H22</f>
        <v>string</v>
      </c>
      <c r="F28" s="28" t="str">
        <f>A.Backend!G22</f>
        <v>10</v>
      </c>
      <c r="G28" s="28" t="str">
        <f t="shared" si="3"/>
        <v xml:space="preserve"> : string = '' ; </v>
      </c>
      <c r="H28" s="35" t="str">
        <f t="shared" si="4"/>
        <v xml:space="preserve">			{headerName: this.l('Gl Account'),headerTooltip: this.l('Gl Account'),field: 'glAccount',flex: 1},</v>
      </c>
      <c r="I28" s="35" t="str">
        <f t="shared" si="5"/>
        <v xml:space="preserve">								&lt;div class='input-search'&gt;
									&lt;input [(ngModel)]='glAccount' name='glAccount'
									class='form-control' [placeholder]="l('Gl Account')"
									type='text' (keyup.enter)='searchDatas()'&gt;
								&lt;/div&gt;</v>
      </c>
      <c r="J28" s="28"/>
      <c r="K28" s="35" t="str">
        <f t="shared" si="6"/>
        <v xml:space="preserve">					&lt;div class='col-md-12 form-group row'&gt;
						&lt;label class='col-md-2 form-control title'&gt;Gl Account&lt;/label&gt;
						&lt;input type='text' class='col-md-10 form-control input-text' name='GlAccount' [(ngModel)]='rowdata.glAccount'&gt;
					&lt;/div&gt;</v>
      </c>
      <c r="L28" s="56" t="str">
        <f t="shared" ref="L28:L30" si="27">IF(E28="DateTime",
REPT(CHAR(9),2)&amp;"const dateValue =  this.rowdata."&amp;D28&amp;" ? new Date(this.rowdata."&amp;D28&amp;"?.toString()) : new Date();
"&amp;REPT(CHAR(9),2)&amp;"this.datepicker?.bsValueChange.emit(dateValue);","")</f>
        <v/>
      </c>
      <c r="M28" s="28"/>
      <c r="N28" s="28"/>
      <c r="O28" s="28"/>
      <c r="P28" s="28"/>
      <c r="Q28" s="28"/>
      <c r="R28" s="28"/>
      <c r="S28" s="28" t="str">
        <f t="shared" si="13"/>
        <v xml:space="preserve">	glAccount : string = '' ; </v>
      </c>
      <c r="T28" s="28" t="str">
        <f t="shared" si="14"/>
        <v xml:space="preserve">			this.glAccount,</v>
      </c>
      <c r="U28" s="28" t="str">
        <f t="shared" si="15"/>
        <v xml:space="preserve">		this.glAccount = '',</v>
      </c>
      <c r="V28" s="28" t="str">
        <f t="shared" si="8"/>
        <v/>
      </c>
    </row>
    <row r="29" spans="1:22" ht="18" customHeight="1" x14ac:dyDescent="0.25">
      <c r="A29" t="s">
        <v>378</v>
      </c>
      <c r="B29" s="28" t="str">
        <f t="shared" si="24"/>
        <v>CostCenter</v>
      </c>
      <c r="C29" s="28" t="str">
        <f t="shared" si="25"/>
        <v>Cost Center</v>
      </c>
      <c r="D29" s="28" t="str">
        <f t="shared" si="26"/>
        <v>costCenter</v>
      </c>
      <c r="E29" s="28" t="str">
        <f>A.Backend!H23</f>
        <v>string</v>
      </c>
      <c r="F29" s="28" t="str">
        <f>A.Backend!G23</f>
        <v>10</v>
      </c>
      <c r="G29" s="28" t="str">
        <f t="shared" si="3"/>
        <v xml:space="preserve"> : string = '' ; </v>
      </c>
      <c r="H29" s="35" t="str">
        <f t="shared" si="4"/>
        <v xml:space="preserve">			{headerName: this.l('Cost Center'),headerTooltip: this.l('Cost Center'),field: 'costCenter',flex: 1},</v>
      </c>
      <c r="I29" s="35" t="str">
        <f t="shared" si="5"/>
        <v xml:space="preserve">								&lt;div class='input-search'&gt;
									&lt;input [(ngModel)]='costCenter' name='costCenter'
									class='form-control' [placeholder]="l('Cost Center')"
									type='text' (keyup.enter)='searchDatas()'&gt;
								&lt;/div&gt;</v>
      </c>
      <c r="J29" s="28"/>
      <c r="K29" s="35" t="str">
        <f t="shared" si="6"/>
        <v xml:space="preserve">					&lt;div class='col-md-12 form-group row'&gt;
						&lt;label class='col-md-2 form-control title'&gt;Cost Center&lt;/label&gt;
						&lt;input type='text' class='col-md-10 form-control input-text' name='CostCenter' [(ngModel)]='rowdata.costCenter'&gt;
					&lt;/div&gt;</v>
      </c>
      <c r="L29" s="56" t="str">
        <f t="shared" si="27"/>
        <v/>
      </c>
      <c r="M29" s="28"/>
      <c r="N29" s="28"/>
      <c r="O29" s="28"/>
      <c r="P29" s="28"/>
      <c r="Q29" s="28"/>
      <c r="R29" s="28"/>
      <c r="S29" s="28" t="str">
        <f t="shared" si="13"/>
        <v xml:space="preserve">	costCenter : string = '' ; </v>
      </c>
      <c r="T29" s="28" t="str">
        <f t="shared" si="14"/>
        <v xml:space="preserve">			this.costCenter,</v>
      </c>
      <c r="U29" s="28" t="str">
        <f t="shared" si="15"/>
        <v xml:space="preserve">		this.costCenter = '',</v>
      </c>
      <c r="V29" s="28" t="str">
        <f t="shared" si="8"/>
        <v/>
      </c>
    </row>
    <row r="30" spans="1:22" ht="15" customHeight="1" x14ac:dyDescent="0.25">
      <c r="A30" t="s">
        <v>371</v>
      </c>
      <c r="B30" s="28" t="str">
        <f t="shared" si="24"/>
        <v>Wbs</v>
      </c>
      <c r="C30" s="28" t="str">
        <f t="shared" si="25"/>
        <v>Wbs</v>
      </c>
      <c r="D30" s="28" t="str">
        <f t="shared" si="26"/>
        <v>wbs</v>
      </c>
      <c r="E30" s="28" t="str">
        <f>A.Backend!H24</f>
        <v>string</v>
      </c>
      <c r="F30" s="28" t="str">
        <f>A.Backend!G24</f>
        <v>24</v>
      </c>
      <c r="G30" s="28" t="str">
        <f t="shared" si="3"/>
        <v xml:space="preserve"> : string = '' ; </v>
      </c>
      <c r="H30" s="35" t="str">
        <f t="shared" si="4"/>
        <v xml:space="preserve">			{headerName: this.l('Wbs'),headerTooltip: this.l('Wbs'),field: 'wbs',flex: 1},</v>
      </c>
      <c r="I30" s="35" t="str">
        <f t="shared" si="5"/>
        <v xml:space="preserve">								&lt;div class='input-search'&gt;
									&lt;input [(ngModel)]='wbs' name='wbs'
									class='form-control' [placeholder]="l('Wbs')"
									type='text' (keyup.enter)='searchDatas()'&gt;
								&lt;/div&gt;</v>
      </c>
      <c r="J30" s="28"/>
      <c r="K30" s="35" t="str">
        <f t="shared" si="6"/>
        <v xml:space="preserve">					&lt;div class='col-md-12 form-group row'&gt;
						&lt;label class='col-md-2 form-control title'&gt;Wbs&lt;/label&gt;
						&lt;input type='text' class='col-md-10 form-control input-text' name='Wbs' [(ngModel)]='rowdata.wbs'&gt;
					&lt;/div&gt;</v>
      </c>
      <c r="L30" s="56" t="str">
        <f t="shared" si="27"/>
        <v/>
      </c>
      <c r="M30" s="28"/>
      <c r="N30" s="28"/>
      <c r="O30" s="28"/>
      <c r="P30" s="28"/>
      <c r="Q30" s="28"/>
      <c r="R30" s="28"/>
      <c r="S30" s="28" t="str">
        <f t="shared" si="13"/>
        <v xml:space="preserve">	wbs : string = '' ; </v>
      </c>
      <c r="T30" s="28" t="str">
        <f t="shared" si="14"/>
        <v xml:space="preserve">			this.wbs,</v>
      </c>
      <c r="U30" s="28" t="str">
        <f t="shared" si="15"/>
        <v xml:space="preserve">		this.wbs = '',</v>
      </c>
      <c r="V30" s="28" t="str">
        <f t="shared" si="8"/>
        <v/>
      </c>
    </row>
    <row r="31" spans="1:22" ht="15" customHeight="1" x14ac:dyDescent="0.25">
      <c r="A31" t="s">
        <v>379</v>
      </c>
      <c r="B31" s="28" t="str">
        <f t="shared" ref="B31" si="28">SUBSTITUTE(PROPER(A31),"_","")</f>
        <v>MaterialCodeTo</v>
      </c>
      <c r="C31" s="28" t="str">
        <f t="shared" ref="C31" si="29">SUBSTITUTE(PROPER(A31),"_"," ")</f>
        <v>Material Code To</v>
      </c>
      <c r="D31" s="28" t="str">
        <f t="shared" ref="D31" si="30">LOWER(LEFT(B31,1))&amp;RIGHT(B31,LEN(B31) - 1)</f>
        <v>materialCodeTo</v>
      </c>
      <c r="E31" s="28" t="str">
        <f>A.Backend!H25</f>
        <v>string</v>
      </c>
      <c r="F31" s="28" t="str">
        <f>A.Backend!G25</f>
        <v>40</v>
      </c>
      <c r="G31" s="28" t="str">
        <f t="shared" si="3"/>
        <v xml:space="preserve"> : string = '' ; </v>
      </c>
      <c r="H31" s="35" t="str">
        <f t="shared" si="4"/>
        <v xml:space="preserve">			{headerName: this.l('Material Code To'),headerTooltip: this.l('Material Code To'),field: 'materialCodeTo',flex: 1},</v>
      </c>
      <c r="I31" s="35" t="str">
        <f t="shared" si="5"/>
        <v xml:space="preserve">								&lt;div class='input-search'&gt;
									&lt;input [(ngModel)]='materialCodeTo' name='materialCodeTo'
									class='form-control' [placeholder]="l('Material Code To')"
									type='text' (keyup.enter)='searchDatas()'&gt;
								&lt;/div&gt;</v>
      </c>
      <c r="J31" s="28"/>
      <c r="K31" s="35" t="str">
        <f t="shared" si="6"/>
        <v xml:space="preserve">					&lt;div class='col-md-12 form-group row'&gt;
						&lt;label class='col-md-2 form-control title'&gt;Material Code To&lt;/label&gt;
						&lt;input type='text' class='col-md-10 form-control input-text' name='MaterialCodeTo' [(ngModel)]='rowdata.materialCodeTo'&gt;
					&lt;/div&gt;</v>
      </c>
      <c r="L31" s="56" t="str">
        <f t="shared" ref="L31" si="31">IF(E31="DateTime",
REPT(CHAR(9),2)&amp;"const dateValue =  this.rowdata."&amp;D31&amp;" ? new Date(this.rowdata."&amp;D31&amp;"?.toString()) : new Date();
"&amp;REPT(CHAR(9),2)&amp;"this.datepicker?.bsValueChange.emit(dateValue);","")</f>
        <v/>
      </c>
      <c r="M31" s="28"/>
      <c r="N31" s="28"/>
      <c r="O31" s="28"/>
      <c r="P31" s="28"/>
      <c r="Q31" s="28"/>
      <c r="R31" s="28"/>
      <c r="S31" s="28" t="str">
        <f t="shared" si="13"/>
        <v xml:space="preserve">	materialCodeTo : string = '' ; </v>
      </c>
      <c r="T31" s="28" t="str">
        <f t="shared" si="14"/>
        <v xml:space="preserve">			this.materialCodeTo,</v>
      </c>
      <c r="U31" s="28" t="str">
        <f t="shared" si="15"/>
        <v xml:space="preserve">		this.materialCodeTo = '',</v>
      </c>
      <c r="V31" s="28" t="str">
        <f t="shared" si="8"/>
        <v/>
      </c>
    </row>
    <row r="32" spans="1:22" ht="18" customHeight="1" x14ac:dyDescent="0.25">
      <c r="A32" t="s">
        <v>380</v>
      </c>
      <c r="B32" s="28" t="str">
        <f t="shared" si="0"/>
        <v>PlantTo</v>
      </c>
      <c r="C32" s="28" t="str">
        <f t="shared" si="1"/>
        <v>Plant To</v>
      </c>
      <c r="D32" s="28" t="str">
        <f t="shared" si="2"/>
        <v>plantTo</v>
      </c>
      <c r="E32" s="28" t="str">
        <f>A.Backend!H26</f>
        <v>string</v>
      </c>
      <c r="F32" s="28" t="str">
        <f>A.Backend!G26</f>
        <v>4</v>
      </c>
      <c r="G32" s="28" t="str">
        <f t="shared" si="3"/>
        <v xml:space="preserve"> : string = '' ; </v>
      </c>
      <c r="H32" s="35" t="str">
        <f t="shared" si="4"/>
        <v xml:space="preserve">			{headerName: this.l('Plant To'),headerTooltip: this.l('Plant To'),field: 'plantTo',flex: 1},</v>
      </c>
      <c r="I32" s="35" t="str">
        <f t="shared" si="5"/>
        <v xml:space="preserve">								&lt;div class='input-search'&gt;
									&lt;input [(ngModel)]='plantTo' name='plantTo'
									class='form-control' [placeholder]="l('Plant To')"
									type='text' (keyup.enter)='searchDatas()'&gt;
								&lt;/div&gt;</v>
      </c>
      <c r="J32" s="28"/>
      <c r="K32" s="35" t="str">
        <f t="shared" si="6"/>
        <v xml:space="preserve">					&lt;div class='col-md-12 form-group row'&gt;
						&lt;label class='col-md-2 form-control title'&gt;Plant To&lt;/label&gt;
						&lt;input type='text' class='col-md-10 form-control input-text' name='PlantTo' [(ngModel)]='rowdata.plantTo'&gt;
					&lt;/div&gt;</v>
      </c>
      <c r="L32" s="56" t="str">
        <f t="shared" si="7"/>
        <v/>
      </c>
      <c r="M32" s="28"/>
      <c r="N32" s="28"/>
      <c r="O32" s="28"/>
      <c r="P32" s="28"/>
      <c r="Q32" s="28"/>
      <c r="R32" s="28"/>
      <c r="S32" s="28" t="str">
        <f t="shared" si="13"/>
        <v xml:space="preserve">	plantTo : string = '' ; </v>
      </c>
      <c r="T32" s="28" t="str">
        <f t="shared" si="14"/>
        <v xml:space="preserve">			this.plantTo,</v>
      </c>
      <c r="U32" s="28" t="str">
        <f t="shared" si="15"/>
        <v xml:space="preserve">		this.plantTo = '',</v>
      </c>
      <c r="V32" s="28" t="str">
        <f t="shared" si="8"/>
        <v/>
      </c>
    </row>
    <row r="33" spans="1:22" ht="15" customHeight="1" x14ac:dyDescent="0.25">
      <c r="A33" t="s">
        <v>381</v>
      </c>
      <c r="B33" s="28" t="str">
        <f t="shared" ref="B33:B34" si="32">SUBSTITUTE(PROPER(A33),"_","")</f>
        <v>ValuationTypeTo</v>
      </c>
      <c r="C33" s="28" t="str">
        <f t="shared" ref="C33:C34" si="33">SUBSTITUTE(PROPER(A33),"_"," ")</f>
        <v>Valuation Type To</v>
      </c>
      <c r="D33" s="28" t="str">
        <f t="shared" ref="D33:D34" si="34">LOWER(LEFT(B33,1))&amp;RIGHT(B33,LEN(B33) - 1)</f>
        <v>valuationTypeTo</v>
      </c>
      <c r="E33" s="28" t="str">
        <f>A.Backend!H27</f>
        <v>string</v>
      </c>
      <c r="F33" s="28" t="str">
        <f>A.Backend!G27</f>
        <v>10</v>
      </c>
      <c r="G33" s="28" t="str">
        <f t="shared" si="3"/>
        <v xml:space="preserve"> : string = '' ; </v>
      </c>
      <c r="H33" s="35" t="str">
        <f t="shared" si="4"/>
        <v xml:space="preserve">			{headerName: this.l('Valuation Type To'),headerTooltip: this.l('Valuation Type To'),field: 'valuationTypeTo',flex: 1},</v>
      </c>
      <c r="I33" s="35" t="str">
        <f t="shared" si="5"/>
        <v xml:space="preserve">								&lt;div class='input-search'&gt;
									&lt;input [(ngModel)]='valuationTypeTo' name='valuationTypeTo'
									class='form-control' [placeholder]="l('Valuation Type To')"
									type='text' (keyup.enter)='searchDatas()'&gt;
								&lt;/div&gt;</v>
      </c>
      <c r="J33" s="28"/>
      <c r="K33" s="35" t="str">
        <f t="shared" si="6"/>
        <v xml:space="preserve">					&lt;div class='col-md-12 form-group row'&gt;
						&lt;label class='col-md-2 form-control title'&gt;Valuation Type To&lt;/label&gt;
						&lt;input type='text' class='col-md-10 form-control input-text' name='ValuationTypeTo' [(ngModel)]='rowdata.valuationTypeTo'&gt;
					&lt;/div&gt;</v>
      </c>
      <c r="L33" s="56" t="str">
        <f t="shared" ref="L33:L34" si="35">IF(E33="DateTime",
REPT(CHAR(9),2)&amp;"const dateValue =  this.rowdata."&amp;D33&amp;" ? new Date(this.rowdata."&amp;D33&amp;"?.toString()) : new Date();
"&amp;REPT(CHAR(9),2)&amp;"this.datepicker?.bsValueChange.emit(dateValue);","")</f>
        <v/>
      </c>
      <c r="M33" s="28"/>
      <c r="N33" s="28"/>
      <c r="O33" s="28"/>
      <c r="P33" s="28"/>
      <c r="Q33" s="28"/>
      <c r="R33" s="28"/>
      <c r="S33" s="28" t="str">
        <f t="shared" si="13"/>
        <v xml:space="preserve">	valuationTypeTo : string = '' ; </v>
      </c>
      <c r="T33" s="28" t="str">
        <f t="shared" si="14"/>
        <v xml:space="preserve">			this.valuationTypeTo,</v>
      </c>
      <c r="U33" s="28" t="str">
        <f t="shared" si="15"/>
        <v xml:space="preserve">		this.valuationTypeTo = '',</v>
      </c>
      <c r="V33" s="28" t="str">
        <f t="shared" si="8"/>
        <v/>
      </c>
    </row>
    <row r="34" spans="1:22" ht="18" customHeight="1" x14ac:dyDescent="0.25">
      <c r="A34" t="s">
        <v>382</v>
      </c>
      <c r="B34" s="28" t="str">
        <f t="shared" si="32"/>
        <v>StorageLocationTo</v>
      </c>
      <c r="C34" s="28" t="str">
        <f t="shared" si="33"/>
        <v>Storage Location To</v>
      </c>
      <c r="D34" s="28" t="str">
        <f t="shared" si="34"/>
        <v>storageLocationTo</v>
      </c>
      <c r="E34" s="28" t="str">
        <f>A.Backend!H28</f>
        <v>string</v>
      </c>
      <c r="F34" s="28" t="str">
        <f>A.Backend!G28</f>
        <v>4</v>
      </c>
      <c r="G34" s="28" t="str">
        <f t="shared" si="3"/>
        <v xml:space="preserve"> : string = '' ; </v>
      </c>
      <c r="H34" s="35" t="str">
        <f t="shared" si="4"/>
        <v xml:space="preserve">			{headerName: this.l('Storage Location To'),headerTooltip: this.l('Storage Location To'),field: 'storageLocationTo',flex: 1},</v>
      </c>
      <c r="I34" s="35" t="str">
        <f t="shared" si="5"/>
        <v xml:space="preserve">								&lt;div class='input-search'&gt;
									&lt;input [(ngModel)]='storageLocationTo' name='storageLocationTo'
									class='form-control' [placeholder]="l('Storage Location To')"
									type='text' (keyup.enter)='searchDatas()'&gt;
								&lt;/div&gt;</v>
      </c>
      <c r="J34" s="28"/>
      <c r="K34" s="35" t="str">
        <f t="shared" si="6"/>
        <v xml:space="preserve">					&lt;div class='col-md-12 form-group row'&gt;
						&lt;label class='col-md-2 form-control title'&gt;Storage Location To&lt;/label&gt;
						&lt;input type='text' class='col-md-10 form-control input-text' name='StorageLocationTo' [(ngModel)]='rowdata.storageLocationTo'&gt;
					&lt;/div&gt;</v>
      </c>
      <c r="L34" s="56" t="str">
        <f t="shared" si="35"/>
        <v/>
      </c>
      <c r="M34" s="28"/>
      <c r="N34" s="28"/>
      <c r="O34" s="28"/>
      <c r="P34" s="28"/>
      <c r="Q34" s="28"/>
      <c r="R34" s="28"/>
      <c r="S34" s="28" t="str">
        <f t="shared" si="13"/>
        <v xml:space="preserve">	storageLocationTo : string = '' ; </v>
      </c>
      <c r="T34" s="28" t="str">
        <f t="shared" si="14"/>
        <v xml:space="preserve">			this.storageLocationTo,</v>
      </c>
      <c r="U34" s="28" t="str">
        <f t="shared" si="15"/>
        <v xml:space="preserve">		this.storageLocationTo = '',</v>
      </c>
      <c r="V34" s="28" t="str">
        <f t="shared" si="8"/>
        <v/>
      </c>
    </row>
    <row r="35" spans="1:22" ht="18" customHeight="1" x14ac:dyDescent="0.25">
      <c r="A35" t="s">
        <v>372</v>
      </c>
      <c r="B35" s="28" t="str">
        <f>SUBSTITUTE(PROPER(A35),"_","")</f>
        <v>BfPc</v>
      </c>
      <c r="C35" s="28" t="str">
        <f>SUBSTITUTE(PROPER(A35),"_"," ")</f>
        <v>Bf Pc</v>
      </c>
      <c r="D35" s="28" t="str">
        <f>LOWER(LEFT(B35,1))&amp;RIGHT(B35,LEN(B35) - 1)</f>
        <v>bfPc</v>
      </c>
      <c r="E35" s="28" t="str">
        <f>A.Backend!H29</f>
        <v>string</v>
      </c>
      <c r="F35" s="28" t="str">
        <f>A.Backend!G29</f>
        <v>1</v>
      </c>
      <c r="G35" s="28" t="str">
        <f t="shared" si="3"/>
        <v xml:space="preserve"> : string = '' ; </v>
      </c>
      <c r="H35" s="35" t="str">
        <f t="shared" si="4"/>
        <v xml:space="preserve">			{headerName: this.l('Bf Pc'),headerTooltip: this.l('Bf Pc'),field:  'bfPc', cellClass: ['text-center'], width: 120, cellRenderer: 'agCellButtonComponent',
buttonDefTwo: { text: params =&gt; (params.data?.'bfPc' == 'Y') ? 'Active' : 'Inactive',iconName: 'fa fa-circle',className: params =&gt; (params.data?.'bfPc' == 'Y') ? 'btnActive' : 'btnInActive',},}</v>
      </c>
      <c r="I35" s="35" t="str">
        <f t="shared" si="5"/>
        <v xml:space="preserve">								&lt;div class='input-search'&gt;
									&lt;input [(ngModel)]='bfPc' name='bfPc'
									class='form-control' [placeholder]="l('Bf Pc')"
									type='text' (keyup.enter)='searchDatas()'&gt;
								&lt;/div&gt;</v>
      </c>
      <c r="J35" s="28"/>
      <c r="K35" s="35" t="str">
        <f t="shared" si="6"/>
        <v xml:space="preserve">					&lt;div class='col-md-12 form-group row'&gt;
						&lt;label class='col-md-2 form-control title'&gt;Bf Pc&lt;/label&gt;
						&lt;new-checkbox [(ngModel)]='_bfPc' name='bfPc' className='col-md-10' &gt; &lt;/new-checkbox&gt;
					&lt;/div&gt;</v>
      </c>
      <c r="L35" s="56" t="str">
        <f>IF(E35="DateTime",
REPT(CHAR(9),2)&amp;"const dateValue =  this.rowdata."&amp;D35&amp;" ? new Date(this.rowdata."&amp;D35&amp;"?.toString()) : new Date();
"&amp;REPT(CHAR(9),2)&amp;"this.datepicker?.bsValueChange.emit(dateValue);","")</f>
        <v/>
      </c>
      <c r="M35" s="28"/>
      <c r="N35" s="28"/>
      <c r="O35" s="28"/>
      <c r="P35" s="28"/>
      <c r="Q35" s="28"/>
      <c r="R35" s="28"/>
      <c r="S35" s="28" t="str">
        <f t="shared" si="13"/>
        <v xml:space="preserve">	bfPc : string = '' ; </v>
      </c>
      <c r="T35" s="28" t="str">
        <f t="shared" si="14"/>
        <v xml:space="preserve">			this.bfPc,</v>
      </c>
      <c r="U35" s="28" t="str">
        <f t="shared" si="15"/>
        <v xml:space="preserve">		this.bfPc = '',</v>
      </c>
      <c r="V35" s="28" t="str">
        <f t="shared" si="8"/>
        <v>bfPc</v>
      </c>
    </row>
    <row r="36" spans="1:22" ht="15" customHeight="1" x14ac:dyDescent="0.25">
      <c r="A36" t="s">
        <v>373</v>
      </c>
      <c r="B36" s="28" t="str">
        <f t="shared" ref="B36:B39" si="36">SUBSTITUTE(PROPER(A36),"_","")</f>
        <v>CancelFlag</v>
      </c>
      <c r="C36" s="28" t="str">
        <f t="shared" ref="C36:C39" si="37">SUBSTITUTE(PROPER(A36),"_"," ")</f>
        <v>Cancel Flag</v>
      </c>
      <c r="D36" s="28" t="str">
        <f t="shared" ref="D36:D39" si="38">LOWER(LEFT(B36,1))&amp;RIGHT(B36,LEN(B36) - 1)</f>
        <v>cancelFlag</v>
      </c>
      <c r="E36" s="28" t="str">
        <f>A.Backend!H30</f>
        <v>string</v>
      </c>
      <c r="F36" s="28" t="str">
        <f>A.Backend!G30</f>
        <v>1</v>
      </c>
      <c r="G36" s="28" t="str">
        <f t="shared" si="3"/>
        <v xml:space="preserve"> : string = '' ; </v>
      </c>
      <c r="H36" s="35" t="str">
        <f t="shared" si="4"/>
        <v xml:space="preserve">			{headerName: this.l('Cancel Flag'),headerTooltip: this.l('Cancel Flag'),field:  'cancelFlag', cellClass: ['text-center'], width: 120, cellRenderer: 'agCellButtonComponent',
buttonDefTwo: { text: params =&gt; (params.data?.'cancelFlag' == 'Y') ? 'Active' : 'Inactive',iconName: 'fa fa-circle',className: params =&gt; (params.data?.'cancelFlag' == 'Y') ? 'btnActive' : 'btnInActive',},}</v>
      </c>
      <c r="I36" s="35" t="str">
        <f t="shared" si="5"/>
        <v xml:space="preserve">								&lt;div class='input-search'&gt;
									&lt;input [(ngModel)]='cancelFlag' name='cancelFlag'
									class='form-control' [placeholder]="l('Cancel Flag')"
									type='text' (keyup.enter)='searchDatas()'&gt;
								&lt;/div&gt;</v>
      </c>
      <c r="J36" s="28"/>
      <c r="K36" s="35" t="str">
        <f t="shared" si="6"/>
        <v xml:space="preserve">					&lt;div class='col-md-12 form-group row'&gt;
						&lt;label class='col-md-2 form-control title'&gt;Cancel Flag&lt;/label&gt;
						&lt;new-checkbox [(ngModel)]='_cancelFlag' name='cancelFlag' className='col-md-10' &gt; &lt;/new-checkbox&gt;
					&lt;/div&gt;</v>
      </c>
      <c r="L36" s="56" t="str">
        <f t="shared" ref="L36:L39" si="39">IF(E36="DateTime",
REPT(CHAR(9),2)&amp;"const dateValue =  this.rowdata."&amp;D36&amp;" ? new Date(this.rowdata."&amp;D36&amp;"?.toString()) : new Date();
"&amp;REPT(CHAR(9),2)&amp;"this.datepicker?.bsValueChange.emit(dateValue);","")</f>
        <v/>
      </c>
      <c r="M36" s="28"/>
      <c r="N36" s="28"/>
      <c r="O36" s="28"/>
      <c r="P36" s="28"/>
      <c r="Q36" s="28"/>
      <c r="R36" s="28"/>
      <c r="S36" s="28" t="str">
        <f t="shared" si="13"/>
        <v xml:space="preserve">	cancelFlag : string = '' ; </v>
      </c>
      <c r="T36" s="28" t="str">
        <f t="shared" si="14"/>
        <v xml:space="preserve">			this.cancelFlag,</v>
      </c>
      <c r="U36" s="28" t="str">
        <f t="shared" si="15"/>
        <v xml:space="preserve">		this.cancelFlag = '',</v>
      </c>
      <c r="V36" s="28" t="str">
        <f t="shared" si="8"/>
        <v>cancelFlag</v>
      </c>
    </row>
    <row r="37" spans="1:22" ht="18" customHeight="1" x14ac:dyDescent="0.25">
      <c r="A37" t="s">
        <v>383</v>
      </c>
      <c r="B37" s="28" t="str">
        <f t="shared" si="36"/>
        <v>ReffMatDocNo</v>
      </c>
      <c r="C37" s="28" t="str">
        <f t="shared" si="37"/>
        <v>Reff Mat Doc No</v>
      </c>
      <c r="D37" s="28" t="str">
        <f t="shared" si="38"/>
        <v>reffMatDocNo</v>
      </c>
      <c r="E37" s="28" t="str">
        <f>A.Backend!H31</f>
        <v>string</v>
      </c>
      <c r="F37" s="28" t="str">
        <f>A.Backend!G31</f>
        <v>25</v>
      </c>
      <c r="G37" s="28" t="str">
        <f t="shared" si="3"/>
        <v xml:space="preserve"> : string = '' ; </v>
      </c>
      <c r="H37" s="35" t="str">
        <f t="shared" si="4"/>
        <v xml:space="preserve">			{headerName: this.l('Reff Mat Doc No'),headerTooltip: this.l('Reff Mat Doc No'),field: 'reffMatDocNo',flex: 1},</v>
      </c>
      <c r="I37" s="35" t="str">
        <f t="shared" si="5"/>
        <v xml:space="preserve">								&lt;div class='input-search'&gt;
									&lt;input [(ngModel)]='reffMatDocNo' name='reffMatDocNo'
									class='form-control' [placeholder]="l('Reff Mat Doc No')"
									type='text' (keyup.enter)='searchDatas()'&gt;
								&lt;/div&gt;</v>
      </c>
      <c r="J37" s="28"/>
      <c r="K37" s="35" t="str">
        <f t="shared" si="6"/>
        <v xml:space="preserve">					&lt;div class='col-md-12 form-group row'&gt;
						&lt;label class='col-md-2 form-control title'&gt;Reff Mat Doc No&lt;/label&gt;
						&lt;input type='text' class='col-md-10 form-control input-text' name='ReffMatDocNo' [(ngModel)]='rowdata.reffMatDocNo'&gt;
					&lt;/div&gt;</v>
      </c>
      <c r="L37" s="56" t="str">
        <f t="shared" si="39"/>
        <v/>
      </c>
      <c r="M37" s="28"/>
      <c r="N37" s="28"/>
      <c r="O37" s="28"/>
      <c r="P37" s="28"/>
      <c r="Q37" s="28"/>
      <c r="R37" s="28"/>
      <c r="S37" s="28" t="str">
        <f t="shared" si="13"/>
        <v xml:space="preserve">	reffMatDocNo : string = '' ; </v>
      </c>
      <c r="T37" s="28" t="str">
        <f t="shared" si="14"/>
        <v xml:space="preserve">			this.reffMatDocNo,</v>
      </c>
      <c r="U37" s="28" t="str">
        <f t="shared" si="15"/>
        <v xml:space="preserve">		this.reffMatDocNo = '',</v>
      </c>
      <c r="V37" s="28" t="str">
        <f t="shared" si="8"/>
        <v/>
      </c>
    </row>
    <row r="38" spans="1:22" ht="15" customHeight="1" x14ac:dyDescent="0.25">
      <c r="A38" t="s">
        <v>374</v>
      </c>
      <c r="B38" s="28" t="str">
        <f t="shared" si="36"/>
        <v>VendorNo</v>
      </c>
      <c r="C38" s="28" t="str">
        <f t="shared" si="37"/>
        <v>Vendor No</v>
      </c>
      <c r="D38" s="28" t="str">
        <f t="shared" si="38"/>
        <v>vendorNo</v>
      </c>
      <c r="E38" s="28" t="str">
        <f>A.Backend!H32</f>
        <v>string</v>
      </c>
      <c r="F38" s="28" t="str">
        <f>A.Backend!G32</f>
        <v>10</v>
      </c>
      <c r="G38" s="28" t="str">
        <f t="shared" si="3"/>
        <v xml:space="preserve"> : string = '' ; </v>
      </c>
      <c r="H38" s="35" t="str">
        <f t="shared" si="4"/>
        <v xml:space="preserve">			{headerName: this.l('Vendor No'),headerTooltip: this.l('Vendor No'),field: 'vendorNo',flex: 1},</v>
      </c>
      <c r="I38" s="35" t="str">
        <f t="shared" si="5"/>
        <v xml:space="preserve">								&lt;div class='input-search'&gt;
									&lt;input [(ngModel)]='vendorNo' name='vendorNo'
									class='form-control' [placeholder]="l('Vendor No')"
									type='text' (keyup.enter)='searchDatas()'&gt;
								&lt;/div&gt;</v>
      </c>
      <c r="J38" s="28"/>
      <c r="K38" s="35" t="str">
        <f t="shared" si="6"/>
        <v xml:space="preserve">					&lt;div class='col-md-12 form-group row'&gt;
						&lt;label class='col-md-2 form-control title'&gt;Vendor No&lt;/label&gt;
						&lt;input type='text' class='col-md-10 form-control input-text' name='VendorNo' [(ngModel)]='rowdata.vendorNo'&gt;
					&lt;/div&gt;</v>
      </c>
      <c r="L38" s="56" t="str">
        <f t="shared" si="39"/>
        <v/>
      </c>
      <c r="M38" s="28"/>
      <c r="N38" s="28"/>
      <c r="O38" s="28"/>
      <c r="P38" s="28"/>
      <c r="Q38" s="28"/>
      <c r="R38" s="28"/>
      <c r="S38" s="28" t="str">
        <f t="shared" si="13"/>
        <v xml:space="preserve">	vendorNo : string = '' ; </v>
      </c>
      <c r="T38" s="28" t="str">
        <f t="shared" si="14"/>
        <v xml:space="preserve">			this.vendorNo,</v>
      </c>
      <c r="U38" s="28" t="str">
        <f t="shared" si="15"/>
        <v xml:space="preserve">		this.vendorNo = '',</v>
      </c>
      <c r="V38" s="28" t="str">
        <f t="shared" si="8"/>
        <v/>
      </c>
    </row>
    <row r="39" spans="1:22" ht="18" customHeight="1" x14ac:dyDescent="0.25">
      <c r="A39" t="s">
        <v>375</v>
      </c>
      <c r="B39" s="28" t="str">
        <f t="shared" si="36"/>
        <v>ProfitCenter</v>
      </c>
      <c r="C39" s="28" t="str">
        <f t="shared" si="37"/>
        <v>Profit Center</v>
      </c>
      <c r="D39" s="28" t="str">
        <f t="shared" si="38"/>
        <v>profitCenter</v>
      </c>
      <c r="E39" s="28" t="str">
        <f>A.Backend!H33</f>
        <v>string</v>
      </c>
      <c r="F39" s="28" t="str">
        <f>A.Backend!G33</f>
        <v>10</v>
      </c>
      <c r="G39" s="28" t="str">
        <f t="shared" si="3"/>
        <v xml:space="preserve"> : string = '' ; </v>
      </c>
      <c r="H39" s="35" t="str">
        <f t="shared" si="4"/>
        <v xml:space="preserve">			{headerName: this.l('Profit Center'),headerTooltip: this.l('Profit Center'),field: 'profitCenter',flex: 1},</v>
      </c>
      <c r="I39" s="35" t="str">
        <f t="shared" si="5"/>
        <v xml:space="preserve">								&lt;div class='input-search'&gt;
									&lt;input [(ngModel)]='profitCenter' name='profitCenter'
									class='form-control' [placeholder]="l('Profit Center')"
									type='text' (keyup.enter)='searchDatas()'&gt;
								&lt;/div&gt;</v>
      </c>
      <c r="J39" s="28"/>
      <c r="K39" s="35" t="str">
        <f t="shared" si="6"/>
        <v xml:space="preserve">					&lt;div class='col-md-12 form-group row'&gt;
						&lt;label class='col-md-2 form-control title'&gt;Profit Center&lt;/label&gt;
						&lt;input type='text' class='col-md-10 form-control input-text' name='ProfitCenter' [(ngModel)]='rowdata.profitCenter'&gt;
					&lt;/div&gt;</v>
      </c>
      <c r="L39" s="56" t="str">
        <f t="shared" si="39"/>
        <v/>
      </c>
      <c r="M39" s="28"/>
      <c r="N39" s="28"/>
      <c r="O39" s="28"/>
      <c r="P39" s="28"/>
      <c r="Q39" s="28"/>
      <c r="R39" s="28"/>
      <c r="S39" s="28" t="str">
        <f t="shared" si="13"/>
        <v xml:space="preserve">	profitCenter : string = '' ; </v>
      </c>
      <c r="T39" s="28" t="str">
        <f t="shared" si="14"/>
        <v xml:space="preserve">			this.profitCenter,</v>
      </c>
      <c r="U39" s="28" t="str">
        <f t="shared" si="15"/>
        <v xml:space="preserve">		this.profitCenter = '',</v>
      </c>
      <c r="V39" s="28" t="str">
        <f t="shared" si="8"/>
        <v/>
      </c>
    </row>
    <row r="40" spans="1:22" ht="18" customHeight="1" x14ac:dyDescent="0.25">
      <c r="A40" t="s">
        <v>384</v>
      </c>
      <c r="B40" s="28" t="str">
        <f>SUBSTITUTE(PROPER(A40),"_","")</f>
        <v>ShipemntCat</v>
      </c>
      <c r="C40" s="28" t="str">
        <f>SUBSTITUTE(PROPER(A40),"_"," ")</f>
        <v>Shipemnt Cat</v>
      </c>
      <c r="D40" s="28" t="str">
        <f>LOWER(LEFT(B40,1))&amp;RIGHT(B40,LEN(B40) - 1)</f>
        <v>shipemntCat</v>
      </c>
      <c r="E40" s="28" t="str">
        <f>A.Backend!H34</f>
        <v>string</v>
      </c>
      <c r="F40" s="28" t="str">
        <f>A.Backend!G34</f>
        <v>1</v>
      </c>
      <c r="G40" s="28" t="str">
        <f t="shared" si="3"/>
        <v xml:space="preserve"> : string = '' ; </v>
      </c>
      <c r="H40" s="35" t="str">
        <f t="shared" si="4"/>
        <v xml:space="preserve">			{headerName: this.l('Shipemnt Cat'),headerTooltip: this.l('Shipemnt Cat'),field:  'shipemntCat', cellClass: ['text-center'], width: 120, cellRenderer: 'agCellButtonComponent',
buttonDefTwo: { text: params =&gt; (params.data?.'shipemntCat' == 'Y') ? 'Active' : 'Inactive',iconName: 'fa fa-circle',className: params =&gt; (params.data?.'shipemntCat' == 'Y') ? 'btnActive' : 'btnInActive',},}</v>
      </c>
      <c r="I40" s="35" t="str">
        <f t="shared" si="5"/>
        <v xml:space="preserve">								&lt;div class='input-search'&gt;
									&lt;input [(ngModel)]='shipemntCat' name='shipemntCat'
									class='form-control' [placeholder]="l('Shipemnt Cat')"
									type='text' (keyup.enter)='searchDatas()'&gt;
								&lt;/div&gt;</v>
      </c>
      <c r="J40" s="28"/>
      <c r="K40" s="35" t="str">
        <f t="shared" si="6"/>
        <v xml:space="preserve">					&lt;div class='col-md-12 form-group row'&gt;
						&lt;label class='col-md-2 form-control title'&gt;Shipemnt Cat&lt;/label&gt;
						&lt;new-checkbox [(ngModel)]='_shipemntCat' name='shipemntCat' className='col-md-10' &gt; &lt;/new-checkbox&gt;
					&lt;/div&gt;</v>
      </c>
      <c r="L40" s="56" t="str">
        <f>IF(E40="DateTime",
REPT(CHAR(9),2)&amp;"const dateValue =  this.rowdata."&amp;D40&amp;" ? new Date(this.rowdata."&amp;D40&amp;"?.toString()) : new Date();
"&amp;REPT(CHAR(9),2)&amp;"this.datepicker?.bsValueChange.emit(dateValue);","")</f>
        <v/>
      </c>
      <c r="M40" s="28"/>
      <c r="N40" s="28"/>
      <c r="O40" s="28"/>
      <c r="P40" s="28"/>
      <c r="Q40" s="28"/>
      <c r="R40" s="28"/>
      <c r="S40" s="28" t="str">
        <f t="shared" si="13"/>
        <v xml:space="preserve">	shipemntCat : string = '' ; </v>
      </c>
      <c r="T40" s="28" t="str">
        <f t="shared" si="14"/>
        <v xml:space="preserve">			this.shipemntCat,</v>
      </c>
      <c r="U40" s="28" t="str">
        <f t="shared" si="15"/>
        <v xml:space="preserve">		this.shipemntCat = '',</v>
      </c>
      <c r="V40" s="28" t="str">
        <f t="shared" si="8"/>
        <v>shipemntCat</v>
      </c>
    </row>
    <row r="41" spans="1:22" ht="15" customHeight="1" x14ac:dyDescent="0.25">
      <c r="A41" t="s">
        <v>376</v>
      </c>
      <c r="B41" s="28" t="str">
        <f t="shared" ref="B41:B44" si="40">SUBSTITUTE(PROPER(A41),"_","")</f>
        <v>Reference</v>
      </c>
      <c r="C41" s="28" t="str">
        <f t="shared" ref="C41:C44" si="41">SUBSTITUTE(PROPER(A41),"_"," ")</f>
        <v>Reference</v>
      </c>
      <c r="D41" s="28" t="str">
        <f t="shared" ref="D41:D44" si="42">LOWER(LEFT(B41,1))&amp;RIGHT(B41,LEN(B41) - 1)</f>
        <v>reference</v>
      </c>
      <c r="E41" s="28" t="str">
        <f>A.Backend!H35</f>
        <v>string</v>
      </c>
      <c r="F41" s="28" t="str">
        <f>A.Backend!G35</f>
        <v>16</v>
      </c>
      <c r="G41" s="28" t="str">
        <f t="shared" si="3"/>
        <v xml:space="preserve"> : string = '' ; </v>
      </c>
      <c r="H41" s="35" t="str">
        <f t="shared" si="4"/>
        <v xml:space="preserve">			{headerName: this.l('Reference'),headerTooltip: this.l('Reference'),field: 'reference',flex: 1},</v>
      </c>
      <c r="I41" s="35" t="str">
        <f t="shared" si="5"/>
        <v xml:space="preserve">								&lt;div class='input-search'&gt;
									&lt;input [(ngModel)]='reference' name='reference'
									class='form-control' [placeholder]="l('Reference')"
									type='text' (keyup.enter)='searchDatas()'&gt;
								&lt;/div&gt;</v>
      </c>
      <c r="J41" s="28"/>
      <c r="K41" s="35" t="str">
        <f t="shared" si="6"/>
        <v xml:space="preserve">					&lt;div class='col-md-12 form-group row'&gt;
						&lt;label class='col-md-2 form-control title'&gt;Reference&lt;/label&gt;
						&lt;input type='text' class='col-md-10 form-control input-text' name='Reference' [(ngModel)]='rowdata.reference'&gt;
					&lt;/div&gt;</v>
      </c>
      <c r="L41" s="56" t="str">
        <f t="shared" ref="L41:L44" si="43">IF(E41="DateTime",
REPT(CHAR(9),2)&amp;"const dateValue =  this.rowdata."&amp;D41&amp;" ? new Date(this.rowdata."&amp;D41&amp;"?.toString()) : new Date();
"&amp;REPT(CHAR(9),2)&amp;"this.datepicker?.bsValueChange.emit(dateValue);","")</f>
        <v/>
      </c>
      <c r="M41" s="28"/>
      <c r="N41" s="28"/>
      <c r="O41" s="28"/>
      <c r="P41" s="28"/>
      <c r="Q41" s="28"/>
      <c r="R41" s="28"/>
      <c r="S41" s="28" t="str">
        <f t="shared" si="13"/>
        <v xml:space="preserve">	reference : string = '' ; </v>
      </c>
      <c r="T41" s="28" t="str">
        <f t="shared" si="14"/>
        <v xml:space="preserve">			this.reference,</v>
      </c>
      <c r="U41" s="28" t="str">
        <f t="shared" si="15"/>
        <v xml:space="preserve">		this.reference = '',</v>
      </c>
      <c r="V41" s="28" t="str">
        <f t="shared" si="8"/>
        <v/>
      </c>
    </row>
    <row r="42" spans="1:22" ht="18" customHeight="1" x14ac:dyDescent="0.25">
      <c r="A42" t="s">
        <v>385</v>
      </c>
      <c r="B42" s="28" t="str">
        <f t="shared" si="40"/>
        <v>AssetNo</v>
      </c>
      <c r="C42" s="28" t="str">
        <f t="shared" si="41"/>
        <v>Asset No</v>
      </c>
      <c r="D42" s="28" t="str">
        <f t="shared" si="42"/>
        <v>assetNo</v>
      </c>
      <c r="E42" s="28" t="str">
        <f>A.Backend!H36</f>
        <v>string</v>
      </c>
      <c r="F42" s="28" t="str">
        <f>A.Backend!G36</f>
        <v>12</v>
      </c>
      <c r="G42" s="28" t="str">
        <f t="shared" si="3"/>
        <v xml:space="preserve"> : string = '' ; </v>
      </c>
      <c r="H42" s="35" t="str">
        <f t="shared" si="4"/>
        <v xml:space="preserve">			{headerName: this.l('Asset No'),headerTooltip: this.l('Asset No'),field: 'assetNo',flex: 1},</v>
      </c>
      <c r="I42" s="35" t="str">
        <f t="shared" si="5"/>
        <v xml:space="preserve">								&lt;div class='input-search'&gt;
									&lt;input [(ngModel)]='assetNo' name='assetNo'
									class='form-control' [placeholder]="l('Asset No')"
									type='text' (keyup.enter)='searchDatas()'&gt;
								&lt;/div&gt;</v>
      </c>
      <c r="J42" s="28"/>
      <c r="K42" s="35" t="str">
        <f t="shared" si="6"/>
        <v xml:space="preserve">					&lt;div class='col-md-12 form-group row'&gt;
						&lt;label class='col-md-2 form-control title'&gt;Asset No&lt;/label&gt;
						&lt;input type='text' class='col-md-10 form-control input-text' name='AssetNo' [(ngModel)]='rowdata.assetNo'&gt;
					&lt;/div&gt;</v>
      </c>
      <c r="L42" s="56" t="str">
        <f t="shared" si="43"/>
        <v/>
      </c>
      <c r="M42" s="28"/>
      <c r="N42" s="28"/>
      <c r="O42" s="28"/>
      <c r="P42" s="28"/>
      <c r="Q42" s="28"/>
      <c r="R42" s="28"/>
      <c r="S42" s="28" t="str">
        <f t="shared" si="13"/>
        <v xml:space="preserve">	assetNo : string = '' ; </v>
      </c>
      <c r="T42" s="28" t="str">
        <f t="shared" si="14"/>
        <v xml:space="preserve">			this.assetNo,</v>
      </c>
      <c r="U42" s="28" t="str">
        <f t="shared" si="15"/>
        <v xml:space="preserve">		this.assetNo = '',</v>
      </c>
      <c r="V42" s="28" t="str">
        <f t="shared" si="8"/>
        <v/>
      </c>
    </row>
    <row r="43" spans="1:22" ht="15" customHeight="1" x14ac:dyDescent="0.25">
      <c r="A43" t="s">
        <v>386</v>
      </c>
      <c r="B43" s="28" t="str">
        <f t="shared" si="40"/>
        <v>SubAssetNo</v>
      </c>
      <c r="C43" s="28" t="str">
        <f t="shared" si="41"/>
        <v>Sub Asset No</v>
      </c>
      <c r="D43" s="28" t="str">
        <f t="shared" si="42"/>
        <v>subAssetNo</v>
      </c>
      <c r="E43" s="28" t="str">
        <f>A.Backend!H37</f>
        <v>string</v>
      </c>
      <c r="F43" s="28" t="str">
        <f>A.Backend!G37</f>
        <v>4</v>
      </c>
      <c r="G43" s="28" t="str">
        <f t="shared" si="3"/>
        <v xml:space="preserve"> : string = '' ; </v>
      </c>
      <c r="H43" s="35" t="str">
        <f t="shared" si="4"/>
        <v xml:space="preserve">			{headerName: this.l('Sub Asset No'),headerTooltip: this.l('Sub Asset No'),field: 'subAssetNo',flex: 1},</v>
      </c>
      <c r="I43" s="35" t="str">
        <f t="shared" si="5"/>
        <v xml:space="preserve">								&lt;div class='input-search'&gt;
									&lt;input [(ngModel)]='subAssetNo' name='subAssetNo'
									class='form-control' [placeholder]="l('Sub Asset No')"
									type='text' (keyup.enter)='searchDatas()'&gt;
								&lt;/div&gt;</v>
      </c>
      <c r="J43" s="28"/>
      <c r="K43" s="35" t="str">
        <f t="shared" si="6"/>
        <v xml:space="preserve">					&lt;div class='col-md-12 form-group row'&gt;
						&lt;label class='col-md-2 form-control title'&gt;Sub Asset No&lt;/label&gt;
						&lt;input type='text' class='col-md-10 form-control input-text' name='SubAssetNo' [(ngModel)]='rowdata.subAssetNo'&gt;
					&lt;/div&gt;</v>
      </c>
      <c r="L43" s="56" t="str">
        <f t="shared" si="43"/>
        <v/>
      </c>
      <c r="M43" s="28"/>
      <c r="N43" s="28"/>
      <c r="O43" s="28"/>
      <c r="P43" s="28"/>
      <c r="Q43" s="28"/>
      <c r="R43" s="28"/>
      <c r="S43" s="28" t="str">
        <f t="shared" si="13"/>
        <v xml:space="preserve">	subAssetNo : string = '' ; </v>
      </c>
      <c r="T43" s="28" t="str">
        <f t="shared" si="14"/>
        <v xml:space="preserve">			this.subAssetNo,</v>
      </c>
      <c r="U43" s="28" t="str">
        <f t="shared" si="15"/>
        <v xml:space="preserve">		this.subAssetNo = '',</v>
      </c>
      <c r="V43" s="28" t="str">
        <f t="shared" si="8"/>
        <v/>
      </c>
    </row>
    <row r="44" spans="1:22" ht="18" customHeight="1" x14ac:dyDescent="0.25">
      <c r="A44" t="s">
        <v>387</v>
      </c>
      <c r="B44" s="28" t="str">
        <f t="shared" si="40"/>
        <v>EndOfRecord</v>
      </c>
      <c r="C44" s="28" t="str">
        <f t="shared" si="41"/>
        <v>End Of Record</v>
      </c>
      <c r="D44" s="28" t="str">
        <f t="shared" si="42"/>
        <v>endOfRecord</v>
      </c>
      <c r="E44" s="28" t="str">
        <f>A.Backend!H38</f>
        <v>string</v>
      </c>
      <c r="F44" s="28" t="str">
        <f>A.Backend!G38</f>
        <v>1</v>
      </c>
      <c r="G44" s="28" t="str">
        <f t="shared" si="3"/>
        <v xml:space="preserve"> : string = '' ; </v>
      </c>
      <c r="H44" s="35" t="str">
        <f t="shared" si="4"/>
        <v xml:space="preserve">			{headerName: this.l('End Of Record'),headerTooltip: this.l('End Of Record'),field:  'endOfRecord', cellClass: ['text-center'], width: 120, cellRenderer: 'agCellButtonComponent',
buttonDefTwo: { text: params =&gt; (params.data?.'endOfRecord' == 'Y') ? 'Active' : 'Inactive',iconName: 'fa fa-circle',className: params =&gt; (params.data?.'endOfRecord' == 'Y') ? 'btnActive' : 'btnInActive',},}</v>
      </c>
      <c r="I44" s="35" t="str">
        <f t="shared" si="5"/>
        <v xml:space="preserve">								&lt;div class='input-search'&gt;
									&lt;input [(ngModel)]='endOfRecord' name='endOfRecord'
									class='form-control' [placeholder]="l('End Of Record')"
									type='text' (keyup.enter)='searchDatas()'&gt;
								&lt;/div&gt;</v>
      </c>
      <c r="J44" s="28"/>
      <c r="K44" s="35" t="str">
        <f t="shared" si="6"/>
        <v xml:space="preserve">					&lt;div class='col-md-12 form-group row'&gt;
						&lt;label class='col-md-2 form-control title'&gt;End Of Record&lt;/label&gt;
						&lt;new-checkbox [(ngModel)]='_endOfRecord' name='endOfRecord' className='col-md-10' &gt; &lt;/new-checkbox&gt;
					&lt;/div&gt;</v>
      </c>
      <c r="L44" s="56" t="str">
        <f t="shared" si="43"/>
        <v/>
      </c>
      <c r="M44" s="28"/>
      <c r="N44" s="28"/>
      <c r="O44" s="28"/>
      <c r="P44" s="28"/>
      <c r="Q44" s="28"/>
      <c r="R44" s="28"/>
      <c r="S44" s="28" t="str">
        <f t="shared" si="13"/>
        <v xml:space="preserve">	endOfRecord : string = '' ; </v>
      </c>
      <c r="T44" s="28" t="str">
        <f t="shared" si="14"/>
        <v xml:space="preserve">			this.endOfRecord,</v>
      </c>
      <c r="U44" s="28" t="str">
        <f t="shared" si="15"/>
        <v xml:space="preserve">		this.endOfRecord = '',</v>
      </c>
      <c r="V44" s="28" t="str">
        <f t="shared" si="8"/>
        <v>endOfRecord</v>
      </c>
    </row>
    <row r="46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B24" sqref="B24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34</v>
      </c>
    </row>
    <row r="6" spans="1:2" x14ac:dyDescent="0.25">
      <c r="A6" t="s">
        <v>23</v>
      </c>
      <c r="B6" t="s">
        <v>353</v>
      </c>
    </row>
    <row r="7" spans="1:2" x14ac:dyDescent="0.25">
      <c r="A7" t="s">
        <v>24</v>
      </c>
      <c r="B7" t="s">
        <v>348</v>
      </c>
    </row>
    <row r="8" spans="1:2" x14ac:dyDescent="0.25">
      <c r="A8" t="s">
        <v>4</v>
      </c>
      <c r="B8" t="s">
        <v>348</v>
      </c>
    </row>
    <row r="9" spans="1:2" x14ac:dyDescent="0.25">
      <c r="A9" t="s">
        <v>0</v>
      </c>
      <c r="B9" t="s">
        <v>349</v>
      </c>
    </row>
    <row r="10" spans="1:2" x14ac:dyDescent="0.25">
      <c r="A10" t="s">
        <v>25</v>
      </c>
      <c r="B10" t="s">
        <v>352</v>
      </c>
    </row>
    <row r="11" spans="1:2" x14ac:dyDescent="0.25">
      <c r="A11" t="s">
        <v>26</v>
      </c>
      <c r="B11" t="s">
        <v>352</v>
      </c>
    </row>
    <row r="12" spans="1:2" x14ac:dyDescent="0.25">
      <c r="A12" t="s">
        <v>27</v>
      </c>
      <c r="B12" t="s">
        <v>352</v>
      </c>
    </row>
    <row r="13" spans="1:2" x14ac:dyDescent="0.25">
      <c r="A13" t="s">
        <v>28</v>
      </c>
      <c r="B13" t="s">
        <v>352</v>
      </c>
    </row>
    <row r="14" spans="1:2" x14ac:dyDescent="0.25">
      <c r="A14" t="s">
        <v>29</v>
      </c>
      <c r="B14" t="s">
        <v>352</v>
      </c>
    </row>
    <row r="15" spans="1:2" x14ac:dyDescent="0.25">
      <c r="A15" t="s">
        <v>30</v>
      </c>
      <c r="B15" t="s">
        <v>352</v>
      </c>
    </row>
    <row r="16" spans="1:2" x14ac:dyDescent="0.25">
      <c r="A16" t="s">
        <v>31</v>
      </c>
      <c r="B16" t="s">
        <v>350</v>
      </c>
    </row>
    <row r="17" spans="1:2" x14ac:dyDescent="0.25">
      <c r="A17" t="s">
        <v>3</v>
      </c>
      <c r="B17" t="s">
        <v>350</v>
      </c>
    </row>
    <row r="18" spans="1:2" x14ac:dyDescent="0.25">
      <c r="A18" t="s">
        <v>33</v>
      </c>
      <c r="B18" t="s">
        <v>350</v>
      </c>
    </row>
    <row r="19" spans="1:2" x14ac:dyDescent="0.25">
      <c r="A19" t="s">
        <v>2</v>
      </c>
      <c r="B19" t="s">
        <v>350</v>
      </c>
    </row>
    <row r="20" spans="1:2" x14ac:dyDescent="0.25">
      <c r="A20" t="s">
        <v>263</v>
      </c>
      <c r="B20" t="s">
        <v>351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190</v>
      </c>
      <c r="B2" s="23" t="s">
        <v>187</v>
      </c>
    </row>
    <row r="3" spans="1:2" x14ac:dyDescent="0.25">
      <c r="B3" s="20" t="s">
        <v>112</v>
      </c>
    </row>
    <row r="4" spans="1:2" x14ac:dyDescent="0.25">
      <c r="B4" s="20" t="s">
        <v>113</v>
      </c>
    </row>
    <row r="5" spans="1:2" x14ac:dyDescent="0.25">
      <c r="B5" s="20" t="s">
        <v>114</v>
      </c>
    </row>
    <row r="6" spans="1:2" x14ac:dyDescent="0.25">
      <c r="B6" s="20" t="s">
        <v>115</v>
      </c>
    </row>
    <row r="7" spans="1:2" x14ac:dyDescent="0.25">
      <c r="B7" s="20" t="s">
        <v>116</v>
      </c>
    </row>
    <row r="8" spans="1:2" x14ac:dyDescent="0.25">
      <c r="B8" s="20" t="s">
        <v>117</v>
      </c>
    </row>
    <row r="9" spans="1:2" x14ac:dyDescent="0.25">
      <c r="B9" s="20" t="s">
        <v>118</v>
      </c>
    </row>
    <row r="10" spans="1:2" x14ac:dyDescent="0.25">
      <c r="B10" s="20" t="s">
        <v>119</v>
      </c>
    </row>
    <row r="11" spans="1:2" x14ac:dyDescent="0.25">
      <c r="B11" s="20" t="s">
        <v>120</v>
      </c>
    </row>
    <row r="12" spans="1:2" x14ac:dyDescent="0.25">
      <c r="B12" s="20" t="s">
        <v>121</v>
      </c>
    </row>
    <row r="13" spans="1:2" x14ac:dyDescent="0.25">
      <c r="B13" s="20" t="s">
        <v>122</v>
      </c>
    </row>
    <row r="14" spans="1:2" x14ac:dyDescent="0.25">
      <c r="B14" s="20" t="s">
        <v>123</v>
      </c>
    </row>
    <row r="15" spans="1:2" x14ac:dyDescent="0.25">
      <c r="B15" s="20" t="s">
        <v>124</v>
      </c>
    </row>
    <row r="16" spans="1:2" x14ac:dyDescent="0.25">
      <c r="B16" s="20" t="s">
        <v>125</v>
      </c>
    </row>
    <row r="17" spans="1:3" x14ac:dyDescent="0.25">
      <c r="B17" s="20" t="s">
        <v>126</v>
      </c>
    </row>
    <row r="18" spans="1:3" x14ac:dyDescent="0.25">
      <c r="B18" s="20" t="s">
        <v>127</v>
      </c>
      <c r="C18" t="s">
        <v>189</v>
      </c>
    </row>
    <row r="19" spans="1:3" x14ac:dyDescent="0.25">
      <c r="B19" s="20" t="s">
        <v>128</v>
      </c>
    </row>
    <row r="20" spans="1:3" x14ac:dyDescent="0.25">
      <c r="B20" s="20" t="s">
        <v>129</v>
      </c>
    </row>
    <row r="21" spans="1:3" x14ac:dyDescent="0.25">
      <c r="B21" s="20" t="s">
        <v>130</v>
      </c>
    </row>
    <row r="22" spans="1:3" x14ac:dyDescent="0.25">
      <c r="B22" s="20" t="s">
        <v>131</v>
      </c>
      <c r="C22" t="s">
        <v>194</v>
      </c>
    </row>
    <row r="23" spans="1:3" x14ac:dyDescent="0.25">
      <c r="B23" s="20" t="s">
        <v>132</v>
      </c>
    </row>
    <row r="24" spans="1:3" x14ac:dyDescent="0.25">
      <c r="B24" s="20" t="s">
        <v>133</v>
      </c>
    </row>
    <row r="25" spans="1:3" x14ac:dyDescent="0.25">
      <c r="B25" s="20" t="s">
        <v>134</v>
      </c>
    </row>
    <row r="26" spans="1:3" x14ac:dyDescent="0.25">
      <c r="A26" s="22" t="s">
        <v>191</v>
      </c>
      <c r="B26" s="23" t="s">
        <v>188</v>
      </c>
    </row>
    <row r="27" spans="1:3" x14ac:dyDescent="0.25">
      <c r="B27" s="20" t="s">
        <v>135</v>
      </c>
    </row>
    <row r="28" spans="1:3" x14ac:dyDescent="0.25">
      <c r="B28" s="21" t="s">
        <v>136</v>
      </c>
    </row>
    <row r="29" spans="1:3" x14ac:dyDescent="0.25">
      <c r="B29" s="20" t="s">
        <v>137</v>
      </c>
    </row>
    <row r="30" spans="1:3" x14ac:dyDescent="0.25">
      <c r="B30" s="20" t="s">
        <v>138</v>
      </c>
    </row>
    <row r="31" spans="1:3" x14ac:dyDescent="0.25">
      <c r="B31" s="20" t="s">
        <v>139</v>
      </c>
    </row>
    <row r="32" spans="1:3" x14ac:dyDescent="0.25">
      <c r="B32" s="20" t="s">
        <v>140</v>
      </c>
    </row>
    <row r="33" spans="2:2" x14ac:dyDescent="0.25">
      <c r="B33" s="20" t="s">
        <v>141</v>
      </c>
    </row>
    <row r="34" spans="2:2" x14ac:dyDescent="0.25">
      <c r="B34" s="20" t="s">
        <v>142</v>
      </c>
    </row>
    <row r="35" spans="2:2" x14ac:dyDescent="0.25">
      <c r="B35" s="20" t="s">
        <v>143</v>
      </c>
    </row>
    <row r="36" spans="2:2" x14ac:dyDescent="0.25">
      <c r="B36" s="20" t="s">
        <v>144</v>
      </c>
    </row>
    <row r="37" spans="2:2" x14ac:dyDescent="0.25">
      <c r="B37" s="20" t="s">
        <v>145</v>
      </c>
    </row>
    <row r="38" spans="2:2" x14ac:dyDescent="0.25">
      <c r="B38" s="20" t="s">
        <v>146</v>
      </c>
    </row>
    <row r="39" spans="2:2" x14ac:dyDescent="0.25">
      <c r="B39" s="20" t="s">
        <v>147</v>
      </c>
    </row>
    <row r="40" spans="2:2" x14ac:dyDescent="0.25">
      <c r="B40" s="20" t="s">
        <v>148</v>
      </c>
    </row>
    <row r="41" spans="2:2" x14ac:dyDescent="0.25">
      <c r="B41" s="20" t="s">
        <v>149</v>
      </c>
    </row>
    <row r="42" spans="2:2" x14ac:dyDescent="0.25">
      <c r="B42" s="20" t="s">
        <v>150</v>
      </c>
    </row>
    <row r="43" spans="2:2" x14ac:dyDescent="0.25">
      <c r="B43" s="21" t="s">
        <v>151</v>
      </c>
    </row>
    <row r="44" spans="2:2" x14ac:dyDescent="0.25">
      <c r="B44" s="20" t="s">
        <v>137</v>
      </c>
    </row>
    <row r="45" spans="2:2" x14ac:dyDescent="0.25">
      <c r="B45" s="20" t="s">
        <v>152</v>
      </c>
    </row>
    <row r="46" spans="2:2" x14ac:dyDescent="0.25">
      <c r="B46" s="20" t="s">
        <v>153</v>
      </c>
    </row>
    <row r="47" spans="2:2" x14ac:dyDescent="0.25">
      <c r="B47" s="20" t="s">
        <v>154</v>
      </c>
    </row>
    <row r="48" spans="2:2" x14ac:dyDescent="0.25">
      <c r="B48" s="20" t="s">
        <v>155</v>
      </c>
    </row>
    <row r="49" spans="2:2" x14ac:dyDescent="0.25">
      <c r="B49" s="20" t="s">
        <v>138</v>
      </c>
    </row>
    <row r="50" spans="2:2" x14ac:dyDescent="0.25">
      <c r="B50" s="20" t="s">
        <v>139</v>
      </c>
    </row>
    <row r="51" spans="2:2" x14ac:dyDescent="0.25">
      <c r="B51" s="20" t="s">
        <v>140</v>
      </c>
    </row>
    <row r="52" spans="2:2" x14ac:dyDescent="0.25">
      <c r="B52" s="20" t="s">
        <v>141</v>
      </c>
    </row>
    <row r="53" spans="2:2" x14ac:dyDescent="0.25">
      <c r="B53" s="20" t="s">
        <v>142</v>
      </c>
    </row>
    <row r="54" spans="2:2" x14ac:dyDescent="0.25">
      <c r="B54" s="20" t="s">
        <v>143</v>
      </c>
    </row>
    <row r="55" spans="2:2" x14ac:dyDescent="0.25">
      <c r="B55" s="20" t="s">
        <v>144</v>
      </c>
    </row>
    <row r="56" spans="2:2" x14ac:dyDescent="0.25">
      <c r="B56" s="20" t="s">
        <v>156</v>
      </c>
    </row>
    <row r="57" spans="2:2" x14ac:dyDescent="0.25">
      <c r="B57" s="20" t="s">
        <v>157</v>
      </c>
    </row>
    <row r="58" spans="2:2" x14ac:dyDescent="0.25">
      <c r="B58" s="20" t="s">
        <v>145</v>
      </c>
    </row>
    <row r="59" spans="2:2" x14ac:dyDescent="0.25">
      <c r="B59" s="20" t="s">
        <v>146</v>
      </c>
    </row>
    <row r="60" spans="2:2" x14ac:dyDescent="0.25">
      <c r="B60" s="20" t="s">
        <v>158</v>
      </c>
    </row>
    <row r="61" spans="2:2" x14ac:dyDescent="0.25">
      <c r="B61" s="20" t="s">
        <v>159</v>
      </c>
    </row>
    <row r="62" spans="2:2" x14ac:dyDescent="0.25">
      <c r="B62" s="20" t="s">
        <v>160</v>
      </c>
    </row>
    <row r="63" spans="2:2" x14ac:dyDescent="0.25">
      <c r="B63" s="20" t="s">
        <v>155</v>
      </c>
    </row>
    <row r="64" spans="2:2" x14ac:dyDescent="0.25">
      <c r="B64" s="20" t="s">
        <v>147</v>
      </c>
    </row>
    <row r="65" spans="2:2" x14ac:dyDescent="0.25">
      <c r="B65" s="20" t="s">
        <v>148</v>
      </c>
    </row>
    <row r="66" spans="2:2" x14ac:dyDescent="0.25">
      <c r="B66" s="20" t="s">
        <v>161</v>
      </c>
    </row>
    <row r="67" spans="2:2" x14ac:dyDescent="0.25">
      <c r="B67" s="20" t="s">
        <v>155</v>
      </c>
    </row>
    <row r="68" spans="2:2" x14ac:dyDescent="0.25">
      <c r="B68" s="20" t="s">
        <v>149</v>
      </c>
    </row>
    <row r="69" spans="2:2" x14ac:dyDescent="0.25">
      <c r="B69" s="20" t="s">
        <v>162</v>
      </c>
    </row>
    <row r="70" spans="2:2" x14ac:dyDescent="0.25">
      <c r="B70" s="21" t="s">
        <v>163</v>
      </c>
    </row>
    <row r="71" spans="2:2" x14ac:dyDescent="0.25">
      <c r="B71" s="20" t="s">
        <v>137</v>
      </c>
    </row>
    <row r="72" spans="2:2" x14ac:dyDescent="0.25">
      <c r="B72" s="20" t="s">
        <v>138</v>
      </c>
    </row>
    <row r="73" spans="2:2" x14ac:dyDescent="0.25">
      <c r="B73" s="20" t="s">
        <v>139</v>
      </c>
    </row>
    <row r="74" spans="2:2" x14ac:dyDescent="0.25">
      <c r="B74" s="20" t="s">
        <v>140</v>
      </c>
    </row>
    <row r="75" spans="2:2" x14ac:dyDescent="0.25">
      <c r="B75" s="20" t="s">
        <v>144</v>
      </c>
    </row>
    <row r="76" spans="2:2" x14ac:dyDescent="0.25">
      <c r="B76" s="20" t="s">
        <v>146</v>
      </c>
    </row>
    <row r="77" spans="2:2" x14ac:dyDescent="0.25">
      <c r="B77" s="20" t="s">
        <v>147</v>
      </c>
    </row>
    <row r="78" spans="2:2" x14ac:dyDescent="0.25">
      <c r="B78" s="20" t="s">
        <v>148</v>
      </c>
    </row>
    <row r="79" spans="2:2" x14ac:dyDescent="0.25">
      <c r="B79" s="20" t="s">
        <v>149</v>
      </c>
    </row>
    <row r="80" spans="2:2" x14ac:dyDescent="0.25">
      <c r="B80" s="20" t="s">
        <v>162</v>
      </c>
    </row>
    <row r="81" spans="1:2" x14ac:dyDescent="0.25">
      <c r="B81" s="21" t="s">
        <v>164</v>
      </c>
    </row>
    <row r="82" spans="1:2" x14ac:dyDescent="0.25">
      <c r="B82" s="21" t="s">
        <v>165</v>
      </c>
    </row>
    <row r="83" spans="1:2" x14ac:dyDescent="0.25">
      <c r="B83" s="21" t="s">
        <v>166</v>
      </c>
    </row>
    <row r="84" spans="1:2" x14ac:dyDescent="0.25">
      <c r="B84" s="21" t="s">
        <v>167</v>
      </c>
    </row>
    <row r="85" spans="1:2" x14ac:dyDescent="0.25">
      <c r="B85" s="21" t="s">
        <v>168</v>
      </c>
    </row>
    <row r="86" spans="1:2" x14ac:dyDescent="0.25">
      <c r="B86" s="21" t="s">
        <v>169</v>
      </c>
    </row>
    <row r="87" spans="1:2" x14ac:dyDescent="0.25">
      <c r="B87" s="21" t="s">
        <v>170</v>
      </c>
    </row>
    <row r="88" spans="1:2" x14ac:dyDescent="0.25">
      <c r="A88" s="22" t="s">
        <v>192</v>
      </c>
      <c r="B88" s="24" t="s">
        <v>171</v>
      </c>
    </row>
    <row r="89" spans="1:2" x14ac:dyDescent="0.25">
      <c r="B89" s="20" t="s">
        <v>172</v>
      </c>
    </row>
    <row r="90" spans="1:2" x14ac:dyDescent="0.25">
      <c r="B90" s="20" t="s">
        <v>173</v>
      </c>
    </row>
    <row r="91" spans="1:2" x14ac:dyDescent="0.25">
      <c r="B91" s="20" t="s">
        <v>174</v>
      </c>
    </row>
    <row r="92" spans="1:2" x14ac:dyDescent="0.25">
      <c r="B92" s="20" t="s">
        <v>175</v>
      </c>
    </row>
    <row r="93" spans="1:2" x14ac:dyDescent="0.25">
      <c r="B93" s="20" t="s">
        <v>176</v>
      </c>
    </row>
    <row r="94" spans="1:2" x14ac:dyDescent="0.25">
      <c r="B94" s="20" t="s">
        <v>177</v>
      </c>
    </row>
    <row r="95" spans="1:2" x14ac:dyDescent="0.25">
      <c r="B95" s="20" t="s">
        <v>178</v>
      </c>
    </row>
    <row r="96" spans="1:2" x14ac:dyDescent="0.25">
      <c r="B96" s="20" t="s">
        <v>179</v>
      </c>
    </row>
    <row r="97" spans="2:2" x14ac:dyDescent="0.25">
      <c r="B97" s="20" t="s">
        <v>180</v>
      </c>
    </row>
    <row r="98" spans="2:2" x14ac:dyDescent="0.25">
      <c r="B98" s="20" t="s">
        <v>181</v>
      </c>
    </row>
    <row r="99" spans="2:2" x14ac:dyDescent="0.25">
      <c r="B99" s="20" t="s">
        <v>182</v>
      </c>
    </row>
    <row r="100" spans="2:2" x14ac:dyDescent="0.25">
      <c r="B100" s="20" t="s">
        <v>183</v>
      </c>
    </row>
    <row r="101" spans="2:2" x14ac:dyDescent="0.25">
      <c r="B101" s="20" t="s">
        <v>184</v>
      </c>
    </row>
    <row r="102" spans="2:2" x14ac:dyDescent="0.25">
      <c r="B102" s="20" t="s">
        <v>185</v>
      </c>
    </row>
    <row r="103" spans="2:2" x14ac:dyDescent="0.25">
      <c r="B103" s="20" t="s">
        <v>186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QuangTrung</cp:lastModifiedBy>
  <dcterms:created xsi:type="dcterms:W3CDTF">2022-04-01T07:31:40Z</dcterms:created>
  <dcterms:modified xsi:type="dcterms:W3CDTF">2023-07-20T08:06:32Z</dcterms:modified>
</cp:coreProperties>
</file>
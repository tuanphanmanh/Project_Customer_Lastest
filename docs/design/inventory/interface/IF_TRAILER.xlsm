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mms\docs\design\inventory\interface\"/>
    </mc:Choice>
  </mc:AlternateContent>
  <xr:revisionPtr revIDLastSave="0" documentId="13_ncr:1_{91AE9367-DAF3-4662-BA49-634B7A8326A9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5" l="1"/>
  <c r="B18" i="5"/>
  <c r="D18" i="5" s="1"/>
  <c r="T18" i="5" s="1"/>
  <c r="B7" i="5" l="1"/>
  <c r="B6" i="5"/>
  <c r="B2" i="5"/>
  <c r="B8" i="5" l="1"/>
  <c r="B3" i="5"/>
  <c r="C17" i="5" l="1"/>
  <c r="B17" i="5"/>
  <c r="D17" i="5" s="1"/>
  <c r="C16" i="5"/>
  <c r="B16" i="5"/>
  <c r="D16" i="5" s="1"/>
  <c r="T17" i="5" l="1"/>
  <c r="T16" i="5"/>
  <c r="B6" i="1"/>
  <c r="C15" i="5" l="1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V18" i="5" l="1"/>
  <c r="U18" i="5"/>
  <c r="K18" i="5"/>
  <c r="I18" i="5"/>
  <c r="H18" i="5"/>
  <c r="G18" i="5"/>
  <c r="S18" i="5" s="1"/>
  <c r="L18" i="5"/>
  <c r="V17" i="5"/>
  <c r="U17" i="5"/>
  <c r="K17" i="5"/>
  <c r="I17" i="5"/>
  <c r="H17" i="5"/>
  <c r="G17" i="5"/>
  <c r="S17" i="5" s="1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H16" i="5"/>
  <c r="G16" i="5"/>
  <c r="S16" i="5" s="1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4" i="1"/>
  <c r="K12" i="5" l="1"/>
  <c r="H12" i="5"/>
  <c r="V12" i="5"/>
  <c r="T12" i="5"/>
  <c r="U12" i="5"/>
  <c r="I12" i="5"/>
  <c r="L12" i="5"/>
  <c r="S12" i="5"/>
  <c r="R3" i="1" l="1"/>
  <c r="D1" i="1"/>
  <c r="F6" i="1"/>
  <c r="T14" i="1"/>
  <c r="T13" i="5"/>
  <c r="T7" i="1" l="1"/>
  <c r="W14" i="1"/>
  <c r="G6" i="1" l="1"/>
  <c r="H13" i="5"/>
  <c r="I13" i="5"/>
  <c r="L13" i="5"/>
  <c r="V13" i="5"/>
  <c r="S13" i="5"/>
  <c r="U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O14" i="1"/>
  <c r="I14" i="1"/>
  <c r="P14" i="1"/>
  <c r="N14" i="1"/>
  <c r="J14" i="1"/>
  <c r="Q7" i="1" l="1"/>
  <c r="M68" i="3" s="1"/>
  <c r="L7" i="1"/>
  <c r="G68" i="3" s="1"/>
  <c r="K68" i="3"/>
  <c r="J68" i="3"/>
  <c r="K14" i="1"/>
  <c r="M14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<sst xmlns="http://schemas.openxmlformats.org/spreadsheetml/2006/main" count="447" uniqueCount="364">
  <si>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</si>
  <si>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</si>
  <si>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</si>
  <si>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</si>
  <si>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</si>
  <si>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</si>
  <si>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</si>
  <si>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</si>
  <si>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</si>
  <si>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</si>
  <si>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</si>
  <si>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</si>
  <si>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</si>
  <si>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</si>
  <si>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</si>
  <si>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</si>
  <si>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</si>
  <si>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</si>
  <si>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</si>
  <si>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</si>
  <si>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</si>
  <si>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</si>
  <si>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</si>
  <si>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</si>
  <si>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</si>
  <si>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</si>
  <si>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</si>
  <si>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</si>
  <si>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</si>
  <si>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</si>
  <si>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</si>
  <si>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</si>
  <si>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</si>
  <si>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</si>
  <si>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</si>
  <si>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</si>
  <si>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</si>
  <si>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</si>
  <si>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</si>
  <si>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</si>
  <si>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</si>
  <si>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</si>
  <si>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</si>
  <si>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</si>
  <si>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</si>
  <si>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</si>
  <si>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</si>
  <si>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</si>
  <si>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</si>
  <si>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</si>
  <si>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</si>
  <si>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</si>
  <si>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</si>
  <si>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</si>
  <si>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</si>
  <si>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</si>
  <si>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</si>
  <si>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</si>
  <si>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</si>
  <si>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</si>
  <si>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</si>
  <si>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</si>
  <si>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</si>
  <si>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</si>
  <si>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</si>
  <si>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</si>
  <si>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</si>
  <si>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</si>
  <si>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</si>
  <si>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</si>
  <si>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</si>
  <si>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</si>
  <si>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</si>
  <si>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</si>
  <si>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</si>
  <si>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</si>
  <si>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</si>
  <si>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</si>
  <si>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</si>
  <si>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</si>
  <si>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</si>
  <si>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</si>
  <si>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</si>
  <si>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</si>
  <si>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</si>
  <si>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</si>
  <si>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</si>
  <si>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</si>
  <si>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</si>
  <si>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</si>
  <si>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</si>
  <si>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</si>
  <si>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</si>
  <si>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</si>
  <si>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</si>
  <si>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</si>
  <si>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</si>
  <si>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</si>
  <si>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</si>
  <si>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</si>
  <si>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</si>
  <si>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</si>
  <si>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</si>
  <si>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</si>
  <si>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</si>
  <si>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</si>
  <si>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</si>
  <si>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</si>
  <si>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</si>
  <si>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</si>
  <si>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</si>
  <si>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</si>
  <si>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</si>
  <si>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</si>
  <si>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</si>
  <si>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</si>
  <si>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</si>
  <si>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</si>
  <si>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</si>
  <si>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</si>
  <si>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</si>
  <si>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</si>
  <si>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</si>
  <si>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</si>
  <si>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</si>
  <si>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</si>
  <si>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</si>
  <si>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</si>
  <si>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</si>
  <si>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</si>
  <si>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</si>
  <si>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</si>
  <si>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</si>
  <si>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</si>
  <si>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</si>
  <si>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</si>
  <si>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</si>
  <si>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</si>
  <si>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</si>
  <si>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</si>
  <si>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</si>
  <si>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</si>
  <si>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</si>
  <si>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</si>
  <si>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</si>
  <si>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</si>
  <si>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</si>
  <si>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</si>
  <si>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</si>
  <si>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</si>
  <si>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</si>
  <si>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</si>
  <si>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</si>
  <si>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</si>
  <si>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</si>
  <si>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</si>
  <si>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</si>
  <si>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</si>
  <si>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</si>
  <si>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</si>
  <si>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</si>
  <si>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</si>
  <si>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</si>
  <si>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</si>
  <si>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</si>
  <si>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</si>
  <si>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</si>
  <si>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</si>
  <si>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</si>
  <si>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</si>
  <si>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</si>
  <si>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</si>
  <si>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</si>
  <si>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</si>
  <si>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</si>
  <si>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</si>
  <si>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</si>
  <si>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</si>
  <si>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</si>
  <si>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</si>
  <si>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</si>
  <si>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</si>
  <si>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</si>
  <si>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</si>
  <si>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</si>
  <si>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</si>
  <si>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</si>
  <si>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</si>
  <si>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</si>
  <si>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</si>
  <si>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</si>
  <si>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</si>
  <si>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</si>
  <si>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</si>
  <si>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</si>
  <si>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</si>
  <si>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</si>
  <si>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</si>
  <si>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</si>
  <si>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</si>
  <si>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</si>
  <si>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</si>
  <si>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</si>
  <si>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</si>
  <si>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</si>
  <si>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</si>
  <si>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</si>
  <si>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</si>
  <si>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</si>
  <si>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</si>
  <si>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</si>
  <si>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</si>
  <si>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</si>
  <si>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</si>
  <si>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</si>
  <si>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</si>
  <si>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</si>
  <si>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</si>
  <si>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</si>
  <si>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</si>
  <si>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</si>
  <si>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</si>
  <si>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</si>
  <si>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</si>
  <si>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</si>
  <si>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</si>
  <si>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</si>
  <si>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</si>
  <si>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</si>
  <si>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</si>
  <si>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</si>
  <si>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</si>
  <si>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</si>
  <si>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</si>
  <si>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</si>
  <si>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</si>
  <si>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</si>
  <si>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</si>
  <si>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</si>
  <si>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</si>
  <si>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</si>
  <si>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</si>
  <si>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</si>
  <si>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</si>
  <si>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</si>
  <si>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</si>
  <si>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</si>
  <si>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</si>
  <si>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</si>
  <si>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</si>
  <si>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</si>
  <si>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</si>
  <si>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</si>
  <si>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</si>
  <si>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</si>
  <si>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</si>
  <si>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</si>
  <si>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</si>
  <si>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</si>
  <si>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</si>
  <si>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</si>
  <si>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</si>
  <si>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</si>
  <si>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</si>
  <si>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</si>
  <si>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</si>
  <si>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</si>
  <si>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</si>
  <si>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</si>
  <si>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</si>
  <si>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</si>
  <si>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</si>
  <si>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</si>
  <si>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</si>
  <si>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</si>
  <si>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</si>
  <si>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</si>
  <si>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</si>
  <si>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</si>
  <si>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</si>
  <si>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</si>
  <si>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</si>
  <si>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</si>
  <si>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</si>
  <si>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</si>
  <si>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</si>
  <si>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</si>
  <si>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</si>
  <si>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</si>
  <si>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</si>
  <si>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</si>
  <si>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</si>
  <si>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</si>
  <si>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</si>
  <si>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</si>
  <si>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</si>
  <si>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</si>
  <si>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</si>
  <si>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</si>
  <si>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</si>
  <si>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</si>
  <si>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</si>
  <si>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</si>
  <si>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</si>
  <si>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</si>
  <si>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</si>
  <si>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</si>
  <si>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</si>
  <si>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</si>
  <si>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</si>
  <si>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</si>
  <si>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</si>
  <si>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</si>
  <si>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</si>
  <si>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</si>
  <si>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</si>
  <si>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</si>
  <si>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</si>
  <si>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</si>
  <si>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</si>
  <si>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</si>
  <si>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</si>
  <si>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</si>
  <si>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</si>
  <si>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</si>
  <si>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</si>
  <si>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</si>
  <si>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</si>
  <si>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</si>
  <si>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</si>
  <si>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</si>
  <si>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</si>
  <si>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</si>
  <si>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</si>
  <si>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</si>
  <si>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</si>
  <si>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</si>
  <si>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</si>
  <si>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</si>
  <si>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</si>
  <si>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</si>
  <si>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</si>
  <si>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</si>
  <si>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</si>
  <si>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</si>
  <si>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</si>
  <si>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</si>
  <si>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</si>
  <si>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</si>
  <si>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</si>
  <si>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</si>
  <si>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</si>
  <si>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</si>
  <si>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</si>
  <si>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Begin_Of_Record</t>
  </si>
  <si>
    <t>Record_Id</t>
  </si>
  <si>
    <t>Record_Count</t>
  </si>
  <si>
    <t>End_Of_Record</t>
  </si>
  <si>
    <t>Inventory.IF</t>
  </si>
  <si>
    <t>IF</t>
  </si>
  <si>
    <t>VARCHAR(1)</t>
  </si>
  <si>
    <t>VARCHAR(7)</t>
  </si>
  <si>
    <t>IF_TRAILER</t>
  </si>
  <si>
    <t>Trailer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</si>
</sst>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opLeftCell="A61" zoomScaleNormal="100" workbookViewId="0">
      <selection activeCell="C68" sqref="C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e">
        <f ca="1">A.Backend!J7</f>
        <v>#NAME?</v>
      </c>
      <c r="D68" s="48" t="str">
        <f>A.Backend!O7</f>
        <v xml:space="preserve">		public const string Pages_Inventory_IF_IF_TRAILER = "Pages.Inventory.IF.IF_TRAILER";
		public const string Pages_Inventory_IF_IF_TRAILER_CreateEdit = "Pages.Inventory.IF.IF_TRAILER.CreateEdit";
		public const string Pages_Inventory_IF_IF_TRAILER_Delete = "Pages.Inventory.IF.IF_TRAILER.Delete";
</v>
      </c>
      <c r="E68" s="48" t="str">
        <f>A.Backend!N7</f>
        <v xml:space="preserve">		var perIF_TRAILER = PARENTS.CreateChildPermission(AppPermissions.Pages_Inventory_IF_IF_TRAILER, L( "InventoryIFIF_TRAILER"), multiTenancySides: MultiTenancySides.Tenant);
		perIF_TRAILER.CreateChildPermission(AppPermissions.Pages_Inventory_IF_IF_TRAILER_CreateEdit, L( "InventoryIFIF_TRAILERCreateEdit"), multiTenancySides: MultiTenancySides.Tenant);
		perIF_TRAILER.CreateChildPermission(AppPermissions.Pages_Inventory_IF_IF_TRAILER_Delete, L( "InventoryIFIF_TRAILERDelete"), multiTenancySides: MultiTenancySides.Tenant);</v>
      </c>
      <c r="F68" s="48" t="str">
        <f>A.Backend!K7</f>
        <v>public virtual DbSet&lt;IF_TRAILER&gt; IF_TRAILERs { get; set; }</v>
      </c>
      <c r="G68" s="48" t="e">
        <f ca="1">A.Backend!L7</f>
        <v>#NAME?</v>
      </c>
      <c r="H68" s="48" t="e">
        <f ca="1">A.Backend!M7</f>
        <v>#NAME?</v>
      </c>
      <c r="I68" s="48" t="e">
        <f ca="1">A.Backend!R7</f>
        <v>#NAME?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vovina.Inventory.IF.Dto;
namespace prod.Inventory.IF
{
	public interface IIF_TRAILERAppService : IApplicationService
	{
		Task&lt;PagedResultDto&lt;IF_TRAILERDto&gt;&gt; GetAll(GetIF_TRAILERInput input);
		Task CreateOrEdit(CreateOrEditIF_TRAILERDto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vovina.Inventory.IF.Dto;
namespace prod.Inventory.IF.Exporting
{
	public interface IIF_TRAILERExcelExporter : IApplicationService
	{
		FileDto ExportToFile(List&lt;IF_TRAILERDto&gt; if_trailer);
	}
}
</v>
      </c>
      <c r="L68" s="48" t="e">
        <f ca="1">A.Backend!T7</f>
        <v>#NAME?</v>
      </c>
      <c r="M68" s="55" t="e">
        <f ca="1">A.Backend!Q7</f>
        <v>#NAME?</v>
      </c>
      <c r="N68" s="58" t="str">
        <f>A.Backend!U7</f>
        <v xml:space="preserve">  configuration.CreateMap&lt;IF_TRAILERDto, IF_TRAILER&gt;();
  configuration.CreateMap&lt;IF_TRAILER, IF_TRAILERDto&gt;();
  configuration.CreateMap&lt;CreateOrEditIF_TRAILERDto, IF_TRAILER&gt;();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if_trailer</v>
      </c>
      <c r="C73" s="66" t="str">
        <f>"create folder " &amp;B73</f>
        <v>create folder if_trailer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if_trailer.component.ts</v>
      </c>
      <c r="D74" s="28" t="str">
        <f>B.Frontend!I14</f>
        <v>if_trailer.component.html</v>
      </c>
      <c r="E74" s="28" t="str">
        <f>B.Frontend!J14</f>
        <v>if_trailer.component.less</v>
      </c>
      <c r="F74" s="28" t="str">
        <f>B.Frontend!K14</f>
        <v>create-or-edit-if_trailer-modal.component.html</v>
      </c>
      <c r="G74" s="28" t="str">
        <f>B.Frontend!L14</f>
        <v>create-or-edit-if_trailer-modal.component.ts</v>
      </c>
      <c r="H74" s="28" t="str">
        <f>B.Frontend!M14</f>
        <v>create-or-edit-if_trailer-modal.component.less</v>
      </c>
      <c r="I74" s="28" t="str">
        <f>B.Frontend!N14</f>
        <v>if_trailer.module.ts</v>
      </c>
      <c r="J74" s="28" t="str">
        <f>B.Frontend!O14</f>
        <v>if_trailer-routing.module.ts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e">
        <f ca="1">B.Frontend!H10</f>
        <v>#NAME?</v>
      </c>
      <c r="D75" s="46" t="e">
        <f ca="1">B.Frontend!I10</f>
        <v>#NAME?</v>
      </c>
      <c r="E75" s="46" t="str">
        <f>B.Frontend!J10</f>
        <v>.input-search{
    width: 250px;
    border-radius: 10px;
    margin-left: 10px;
}
.btn-search{
    width: 50px;
    margin-left: 10px;
}</v>
      </c>
      <c r="F75" s="46" t="e">
        <f ca="1">B.Frontend!K10</f>
        <v>#NAME?</v>
      </c>
      <c r="G75" s="46" t="e">
        <f ca="1">B.Frontend!L10</f>
        <v>#NAME?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IF_TRAILERRoutingModule } from './if_trailer-routing.module';
import { IF_TRAILERComponent } from './if_trailer.component';
import { CreateOrEditIF_TRAILERModalComponent } from './create-or-edit-if_trailer-modal.component';
@NgModule({
    declarations: [
       IF_TRAILERComponent, 
        CreateOrEditIF_TRAILERModalComponent
    ],
    imports: [
        AppSharedModule, IF_TRAILERRoutingModule]
})
export class IF_TRAILERModule {}</v>
      </c>
      <c r="J75" s="46" t="str">
        <f>B.Frontend!O10</f>
        <v>import {NgModule} from '@angular/core';
import {RouterModule, Routes} from '@angular/router';
import { IF_TRAILERComponent } from './if_trailer.component';
const routes: Routes = [{
    path: '',
    component: IF_TRAILERComponent,
    pathMatch: 'full'
}];
@NgModule({
    imports: [RouterModule.forChild(routes)],
    exports: [RouterModule],
})
export class IF_TRAILERRoutingModule {}</v>
      </c>
      <c r="K75" s="46" t="str">
        <f>B.Frontend!P10</f>
        <v xml:space="preserve"> new AppMenuItem("IF_TRAILER", "Pages.IF.IF.IF_TRAILER", "flaticon-book",   "/app/main/if/if/if_trailer"),</v>
      </c>
      <c r="L75" s="47" t="str">
        <f>B.Frontend!Q10</f>
        <v>{
    path: 'if/if/if_trailer',
    loadChildren: () =&gt; import('./if/if/if_trailer/if_trailer.module').then(m =&gt; m.IF_TRAILERModule),
    data: { permission: 'Pages.IF.IF.IF_TRAILER' }
},</v>
      </c>
      <c r="M75" s="45" t="str">
        <f>B.Frontend!R10</f>
        <v>ApiServiceProxies.IF_TRAILERServiceProxy,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4"/>
  <sheetViews>
    <sheetView tabSelected="1" workbookViewId="0">
      <pane xSplit="1" topLeftCell="B1" activePane="topRight" state="frozen"/>
      <selection pane="topRight" activeCell="B3" sqref="B3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vovina.Inventory.IF.Dto;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358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362</v>
      </c>
      <c r="C3" s="9" t="s">
        <v>41</v>
      </c>
      <c r="D3" s="9" t="s">
        <v>42</v>
      </c>
      <c r="E3" s="9" t="s">
        <v>37</v>
      </c>
      <c r="F3" s="10" t="str">
        <f>"J"&amp;COUNTA($A:$A)</f>
        <v>J12</v>
      </c>
      <c r="G3" s="4" t="s">
        <v>54</v>
      </c>
      <c r="H3" s="9" t="str">
        <f>"I"&amp;COUNTA($A:$A)</f>
        <v>I12</v>
      </c>
      <c r="I3" s="9" t="str">
        <f>REPT(CHAR(9),2)&amp;"[Required]"&amp;"
"</f>
        <v xml:space="preserve">		[Required]
</v>
      </c>
      <c r="J3" s="10" t="str">
        <f>"L"&amp;COUNTA($A:$A)</f>
        <v>L12</v>
      </c>
      <c r="K3" s="5" t="s">
        <v>53</v>
      </c>
      <c r="L3" s="10" t="str">
        <f>"M"&amp;COUNTA($A:$A)</f>
        <v>M12</v>
      </c>
      <c r="M3" s="10" t="str">
        <f>"N"&amp;COUNTA($A:$A)</f>
        <v>N12</v>
      </c>
      <c r="N3" s="10" t="str">
        <f>"O"&amp;COUNTA($A:$A)</f>
        <v>O12</v>
      </c>
      <c r="O3" s="10" t="str">
        <f>"P"&amp;COUNTA($A:$A)</f>
        <v>P12</v>
      </c>
      <c r="Q3" s="10" t="str">
        <f>RIGHT(B2,(LEN(B2)-FIND(".",B2,1)))</f>
        <v>IF</v>
      </c>
      <c r="R3" s="29" t="str">
        <f>REPT(CHAR(9),1)&amp;"public class "&amp;B3&amp;"ExportInput"&amp;C3</f>
        <v xml:space="preserve">	public class IF_TRAILERExportInput{
</v>
      </c>
      <c r="S3" s="10" t="str">
        <f>"namespace "&amp;$B$6&amp;".Exporting
"&amp;$C$3</f>
        <v xml:space="preserve">namespace prod.Inventory.IF.Exporting
{
</v>
      </c>
      <c r="T3" s="10" t="str">
        <f>"T"&amp;COUNTA($A:$A)</f>
        <v>T12</v>
      </c>
      <c r="V3" s="10" t="str">
        <f>"V"&amp;COUNTA($A:$A)</f>
        <v>V12</v>
      </c>
      <c r="W3" s="9" t="str">
        <f>"W"&amp;COUNTA($A:$A)</f>
        <v>W12</v>
      </c>
    </row>
    <row r="4" spans="1:23" s="10" customFormat="1" ht="33" customHeight="1" x14ac:dyDescent="0.25">
      <c r="A4" s="1" t="s">
        <v>233</v>
      </c>
      <c r="B4" s="65" t="s">
        <v>359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362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prod.Inventory.IF</v>
      </c>
      <c r="C6" s="10" t="str">
        <f>"namespace "&amp;$B$6&amp;"
"&amp;$C$3</f>
        <v xml:space="preserve">namespace prod.Inventory.IF
{
</v>
      </c>
      <c r="D6" s="10" t="str">
        <f>REPT(CHAR(9),1)&amp;"public class "&amp;B3&amp;G3&amp;REPT(CHAR(9),1)&amp;"
"&amp;REPT(CHAR(9),1)&amp;C3</f>
        <v xml:space="preserve">	public class IF_TRAILER: FullAuditedEntity&lt;long&gt;, IEntity&lt;long&gt;	
	{
</v>
      </c>
      <c r="E6" s="10" t="str">
        <f>REPT(CHAR(9),1)&amp;"public class "&amp;B3&amp;"Consts"&amp;REPT(CHAR(9),1)&amp;"
"&amp;REPT(CHAR(9),1)&amp;C3</f>
        <v xml:space="preserve">	public class IF_TRAILERConsts	
	{
</v>
      </c>
      <c r="F6" s="10" t="str">
        <f>REPT(CHAR(9),1)&amp;"public class "&amp;B3&amp;"Dto"&amp;K3&amp;REPT(CHAR(9),1)&amp;"
"&amp;REPT(CHAR(9),1)&amp;C3</f>
        <v xml:space="preserve">	public class IF_TRAILERDto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CreateOrEditIF_TRAILERDto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GetIF_TRAILERInput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IF_TRAILER</v>
      </c>
      <c r="C7" s="10" t="str">
        <f>REPT(CHAR(9),1)&amp;"[Table("""&amp;B7&amp;""")]"&amp;"
"</f>
        <v xml:space="preserve">	[Table("IF_TRAILER")]
</v>
      </c>
      <c r="D7" s="10"/>
      <c r="E7" s="10"/>
      <c r="F7" s="10"/>
      <c r="G7" s="10"/>
      <c r="H7" s="10"/>
      <c r="I7" s="10"/>
      <c r="J7" t="e">
        <f ca="1">SUBSTITUTE(SUBSTITUTE((B1&amp;C6&amp;C7&amp;K14&amp;D6&amp;I14&amp;E3&amp;J14&amp;""&amp;REPT(CHAR(9),1)&amp;D3&amp;D3),"WorkingPattern",$Q$3),"Master",$B$4)</f>
        <v>#NAME?</v>
      </c>
      <c r="K7" t="str">
        <f>SUBSTITUTE(SUBSTITUTE(("public virtual DbSet&lt;"&amp;B3&amp;"&gt; "&amp;B3&amp;"s { get; set; }"),"WorkingPattern",$Q$3),"Master",$B$4)</f>
        <v>public virtual DbSet&lt;IF_TRAILER&gt; IF_TRAILERs { get; set; }</v>
      </c>
      <c r="L7" t="e">
        <f ca="1">SUBSTITUTE(SUBSTITUTE((C6&amp;E6&amp;I14&amp;"
"&amp;REPT(CHAR(9),2)&amp;"// Define Store Name: Format SP_ + &lt;Store Name&gt; = &lt;Store Name&gt;
"&amp;E3&amp;REPT(CHAR(9),1)&amp;D3&amp;D3),"WorkingPattern",$Q$3),"Master",$B$4)</f>
        <v>#NAME?</v>
      </c>
      <c r="M7" t="e">
        <f ca="1">SUBSTITUTE(SUBSTITUTE((C1&amp;"namespace "&amp;B6&amp;".Dto"&amp;E3&amp;C3&amp;F6&amp;M14&amp;E3&amp;REPT(CHAR(9),1)&amp;D3&amp;G6&amp;N14&amp;REPT(CHAR(9),1)&amp;D3&amp;H6&amp;O14&amp;"
"&amp;REPT(CHAR(9),1)&amp;D3&amp;D3),"WorkingPattern",$Q$3),"Master",$B$4)</f>
        <v>#NAME?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perIF_TRAILER = PARENTS.CreateChildPermission(AppPermissions.Pages_Inventory_IF_IF_TRAILER, L( "InventoryIFIF_TRAILER"), multiTenancySides: MultiTenancySides.Tenant);
		perIF_TRAILER.CreateChildPermission(AppPermissions.Pages_Inventory_IF_IF_TRAILER_CreateEdit, L( "InventoryIFIF_TRAILERCreateEdit"), multiTenancySides: MultiTenancySides.Tenant);
		perIF_TRAILER.CreateChildPermission(AppPermissions.Pages_Inventory_IF_IF_TRAILER_Delete, L( "InventoryIFIF_TRAILERDelete"),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Pages_Inventory_IF_IF_TRAILER = "Pages.Inventory.IF.IF_TRAILER";
		public const string Pages_Inventory_IF_IF_TRAILER_CreateEdit = "Pages.Inventory.IF.IF_TRAILER.CreateEdit";
		public const string Pages_Inventory_IF_IF_TRAILER_Delete = "Pages.Inventory.IF.IF_TRAILER.Delete";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
{
	public interface IIF_TRAILERAppService : IApplicationService
	{
		Task&lt;PagedResultDto&lt;IF_TRAILERDto&gt;&gt; GetAll(GetIF_TRAILERInput input);
		Task CreateOrEdit(CreateOrEditIF_TRAILERDto input);
		Task Delete(EntityDto input);
	}
}
</v>
      </c>
      <c r="Q7" t="e">
        <f ca="1">SUBSTITUTE(SUBSTITUTE(SUBSTITUTE(SUBSTITUTE(SUBSTITUTE(SUBSTITUTE(E1,"MstWptCalendar",$B$3),"&lt;PROPERTIES&gt;",P14),"Calendar",$B$5),"WorkingPattern",$Q$3),"Master",$B$4),"&lt;PARAMS_SEARCH&gt;",$W$14)</f>
        <v>#NAME?</v>
      </c>
      <c r="R7" t="e">
        <f ca="1">SUBSTITUTE(SUBSTITUTE((C1&amp;"namespace "&amp;B6&amp;".Dto"&amp;E3&amp;C3&amp;R3&amp;M14&amp;E3&amp;REPT(CHAR(9),1)&amp;D3&amp;D3),"WorkingPattern",$Q$3),"Master",$B$4)</f>
        <v>#NAME?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prod.Inventory.IF.Exporting
{
	public interface IIF_TRAILERExcelExporter : IApplicationService
	{
		FileDto ExportToFile(List&lt;IF_TRAILERDto&gt; if_trailer);
	}
}
</v>
      </c>
      <c r="T7" s="26" t="e">
        <f ca="1">SUBSTITUTE(SUBSTITUTE(SUBSTITUTE(SUBSTITUTE(SUBSTITUTE(SUBSTITUTE(SUBSTITUTE(T1,"MstWptCalendar",$B$3),"&lt;PROPERTIES1&gt;",V14),"&lt;PROPERTIES&gt;",T14),"Calendar",$B$5),"calendar",LOWER(B5)),"WorkingPattern",$Q$3),"Master",$B$4)</f>
        <v>#NAME?</v>
      </c>
      <c r="U7" s="26" t="str">
        <f>SUBSTITUTE(SUBSTITUTE(U1,"MstWptCalendar",$B$3),"Master",$B$4)</f>
        <v xml:space="preserve">  configuration.CreateMap&lt;IF_TRAILERDto, IF_TRAILER&gt;();
  configuration.CreateMap&lt;IF_TRAILER, IF_TRAILERDto&gt;();
  configuration.CreateMap&lt;CreateOrEditIF_TRAILERDto, IF_TRAILER&gt;();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354</v>
      </c>
      <c r="B9" t="s">
        <v>360</v>
      </c>
      <c r="C9" t="s">
        <v>1</v>
      </c>
      <c r="D9" t="str">
        <f t="shared" ref="D9" si="0">SUBSTITUTE(PROPER(A9),"_","")</f>
        <v>BeginOfRecord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1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MaxBeginOfRecordLength = 1;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[StringLength(MaxBeginOfRecordLength)]
		public virtual string BeginOfRecord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BeginOfRecord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[StringLength(IF_TRAILERConsts.MaxBeginOfRecordLength)]
		public virtual string BeginOfRecord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BeginOfRecord { get; set; }
</v>
      </c>
      <c r="P9" t="str">
        <f t="shared" ref="P9" si="9">REPT(CHAR(9),7)&amp;D9&amp;" = o." &amp;D9 &amp;","</f>
        <v xml:space="preserve">							BeginOfRecord = o.BeginOfRecord,</v>
      </c>
      <c r="T9" s="63" t="str">
        <f t="shared" ref="T9" si="10">REPT(CHAR(9),8)&amp;"("""&amp;D9&amp;"""),"</f>
        <v xml:space="preserve">								("BeginOfRecord"),</v>
      </c>
      <c r="V9" s="64" t="str">
        <f t="shared" ref="V9" si="11">REPT(CHAR(9),8)&amp;"_ =&gt; _."&amp;D9&amp;","</f>
        <v xml:space="preserve">								_ =&gt; _.BeginOfRecord,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.WhereIf(!string.IsNullOrWhiteSpace(input.BeginOfRecord), e =&gt; e.BeginOfRecord.Contains(input.BeginOfRecord))</v>
      </c>
    </row>
    <row r="10" spans="1:23" customFormat="1" ht="18.75" customHeight="1" x14ac:dyDescent="0.25">
      <c r="A10" t="s">
        <v>355</v>
      </c>
      <c r="B10" t="s">
        <v>360</v>
      </c>
      <c r="C10" t="s">
        <v>1</v>
      </c>
      <c r="D10" t="str">
        <f t="shared" ref="D10:D11" si="13">SUBSTITUTE(PROPER(A10),"_","")</f>
        <v>RecordId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1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MaxRecordIdLength = 1;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[StringLength(MaxRecordIdLength)]
		public virtual string RecordId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RecordId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[StringLength(IF_TRAILERConsts.MaxRecordIdLength)]
		public virtual string RecordId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RecordId { get; set; }
</v>
      </c>
      <c r="P10" t="str">
        <f t="shared" ref="P10:P11" si="22">REPT(CHAR(9),7)&amp;D10&amp;" = o." &amp;D10 &amp;","</f>
        <v xml:space="preserve">							RecordId = o.RecordId,</v>
      </c>
      <c r="T10" s="63" t="str">
        <f t="shared" ref="T10:T11" si="23">REPT(CHAR(9),8)&amp;"("""&amp;D10&amp;"""),"</f>
        <v xml:space="preserve">								("RecordId"),</v>
      </c>
      <c r="V10" s="64" t="str">
        <f t="shared" ref="V10:V11" si="24">REPT(CHAR(9),8)&amp;"_ =&gt; _."&amp;D10&amp;","</f>
        <v xml:space="preserve">								_ =&gt; _.RecordId,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.WhereIf(!string.IsNullOrWhiteSpace(input.RecordId), e =&gt; e.RecordId.Contains(input.RecordId))</v>
      </c>
    </row>
    <row r="11" spans="1:23" customFormat="1" ht="18.75" customHeight="1" x14ac:dyDescent="0.25">
      <c r="A11" t="s">
        <v>356</v>
      </c>
      <c r="B11" t="s">
        <v>361</v>
      </c>
      <c r="C11" t="s">
        <v>1</v>
      </c>
      <c r="D11" t="str">
        <f t="shared" si="13"/>
        <v>RecordCount</v>
      </c>
      <c r="E11" t="str">
        <f t="shared" si="14"/>
        <v>VARCHAR</v>
      </c>
      <c r="F11" s="6"/>
      <c r="G11" t="str">
        <f t="shared" si="15"/>
        <v>7</v>
      </c>
      <c r="H11" t="str">
        <f>+VLOOKUP(E11,'Data Type Mapping'!A:B,2,)</f>
        <v>string</v>
      </c>
      <c r="I11" t="str">
        <f t="shared" si="16"/>
        <v xml:space="preserve">		public const int MaxRecordCountLength = 7;
</v>
      </c>
      <c r="J11" t="str">
        <f t="shared" si="17"/>
        <v xml:space="preserve">		[StringLength(MaxRecordCountLength)]
		public virtual string RecordCount { get; set; }
</v>
      </c>
      <c r="K11" s="6"/>
      <c r="L11" t="str">
        <f t="shared" si="18"/>
        <v/>
      </c>
      <c r="M11" t="str">
        <f t="shared" si="19"/>
        <v xml:space="preserve">		public virtual string RecordCount { get; set; }
</v>
      </c>
      <c r="N11" t="str">
        <f t="shared" si="20"/>
        <v xml:space="preserve">		[StringLength(IF_TRAILERConsts.MaxRecordCountLength)]
		public virtual string RecordCount { get; set; }
</v>
      </c>
      <c r="O11" t="str">
        <f t="shared" si="21"/>
        <v xml:space="preserve">		public virtual string RecordCount { get; set; }
</v>
      </c>
      <c r="P11" t="str">
        <f t="shared" si="22"/>
        <v xml:space="preserve">							RecordCount = o.RecordCount,</v>
      </c>
      <c r="T11" s="63" t="str">
        <f t="shared" si="23"/>
        <v xml:space="preserve">								("RecordCount"),</v>
      </c>
      <c r="V11" s="64" t="str">
        <f t="shared" si="24"/>
        <v xml:space="preserve">								_ =&gt; _.RecordCount,</v>
      </c>
      <c r="W11" s="63" t="str">
        <f t="shared" si="25"/>
        <v xml:space="preserve">				.WhereIf(!string.IsNullOrWhiteSpace(input.RecordCount), e =&gt; e.RecordCount.Contains(input.RecordCount))</v>
      </c>
    </row>
    <row r="12" spans="1:23" customFormat="1" ht="18.75" customHeight="1" x14ac:dyDescent="0.25">
      <c r="A12" t="s">
        <v>357</v>
      </c>
      <c r="B12" t="s">
        <v>360</v>
      </c>
      <c r="C12" t="s">
        <v>1</v>
      </c>
      <c r="D12" t="str">
        <f t="shared" ref="D12" si="26">SUBSTITUTE(PROPER(A12),"_","")</f>
        <v>EndOfRecord</v>
      </c>
      <c r="E12" t="str">
        <f t="shared" ref="E12" si="27">IFERROR(LEFT(B12, FIND("(",B12)-1),B12)</f>
        <v>VARCHAR</v>
      </c>
      <c r="F12" s="6"/>
      <c r="G12" t="str">
        <f t="shared" ref="G12" si="28">IFERROR(MID(B12,FIND("(",B12) +1, FIND(")",B12) - FIND("(",B12) - 1),"")</f>
        <v>1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MaxEndOfRecordLength = 1;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[StringLength(MaxEndOfRecordLength)]
		public virtual string EndOfRecord { get; set; }
</v>
      </c>
      <c r="K12" s="6"/>
      <c r="L12" t="str">
        <f t="shared" ref="L12" si="31">IF(K12="","",REPT(CHAR(9),1)&amp;"[Index(nameof("&amp;IF(D12="","",""&amp;D12)&amp;")"&amp;", Name="&amp;"""IX_"&amp;$B$7&amp;"_"&amp;D12&amp;""")]")</f>
        <v/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string EndOfRecord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[StringLength(IF_TRAILERConsts.MaxEndOfRecordLength)]
		public virtual string EndOfRecord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 xml:space="preserve">		public virtual string EndOfRecord { get; set; }
</v>
      </c>
      <c r="P12" t="str">
        <f t="shared" ref="P12" si="35">REPT(CHAR(9),7)&amp;D12&amp;" = o." &amp;D12 &amp;","</f>
        <v xml:space="preserve">							EndOfRecord = o.EndOfRecord,</v>
      </c>
      <c r="T12" s="63" t="str">
        <f t="shared" ref="T12" si="36">REPT(CHAR(9),8)&amp;"("""&amp;D12&amp;"""),"</f>
        <v xml:space="preserve">								("EndOfRecord"),</v>
      </c>
      <c r="V12" s="64" t="str">
        <f t="shared" ref="V12" si="37">REPT(CHAR(9),8)&amp;"_ =&gt; _."&amp;D12&amp;","</f>
        <v xml:space="preserve">								_ =&gt; _.EndOfRecord,</v>
      </c>
      <c r="W12" s="63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.WhereIf(!string.IsNullOrWhiteSpace(input.EndOfRecord), e =&gt; e.EndOfRecord.Contains(input.EndOfRecord))</v>
      </c>
    </row>
    <row r="14" spans="1:23" ht="45.75" customHeight="1" x14ac:dyDescent="0.25">
      <c r="H14" s="11"/>
      <c r="I14" s="31" t="e">
        <f ca="1">TEXTJOIN2("
", TRUE,INDIRECT( $H$1):INDIRECT( $H$3))</f>
        <v>#NAME?</v>
      </c>
      <c r="J14" s="30" t="e">
        <f ca="1">TEXTJOIN2("
", TRUE,INDIRECT( $F$1):INDIRECT( $F$3))</f>
        <v>#NAME?</v>
      </c>
      <c r="K14" s="32" t="e">
        <f ca="1">TEXTJOIN2("
", TRUE,INDIRECT( $J$1):INDIRECT( $J$3))</f>
        <v>#NAME?</v>
      </c>
      <c r="L14" s="12" t="s">
        <v>57</v>
      </c>
      <c r="M14" s="33" t="e">
        <f ca="1">TEXTJOIN2("
",TRUE,INDIRECT( $L$1):INDIRECT($L$3))</f>
        <v>#NAME?</v>
      </c>
      <c r="N14" s="30" t="e">
        <f ca="1">TEXTJOIN2("
",TRUE,INDIRECT( $M$1):INDIRECT($M$3))</f>
        <v>#NAME?</v>
      </c>
      <c r="O14" s="30" t="e">
        <f ca="1">TEXTJOIN2("
",TRUE,INDIRECT( $N$1):INDIRECT($N$3))</f>
        <v>#NAME?</v>
      </c>
      <c r="P14" s="8" t="e">
        <f ca="1">TEXTJOIN2("
",TRUE,INDIRECT( $O$1):INDIRECT($O$3))</f>
        <v>#NAME?</v>
      </c>
      <c r="T14" s="8" t="e">
        <f ca="1">TEXTJOIN2("
",TRUE,INDIRECT( $T$2):INDIRECT($T$3))</f>
        <v>#NAME?</v>
      </c>
      <c r="V14" s="8" t="e">
        <f ca="1">TEXTJOIN2("
",TRUE,INDIRECT( $V$2):INDIRECT($V$3))</f>
        <v>#NAME?</v>
      </c>
      <c r="W14" s="8" t="e">
        <f ca="1">TEXTJOIN2("
",TRUE,INDIRECT( $W$2):INDIRECT($W$3))</f>
        <v>#NAME?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0"/>
  <sheetViews>
    <sheetView workbookViewId="0">
      <selection activeCell="B10" sqref="B10:B11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208</v>
      </c>
      <c r="B1" s="39" t="s">
        <v>363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IF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if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IF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if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IF_TRAILER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IF_TRAILER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if_trailer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e">
        <f ca="1">SUBSTITUTE(SUBSTITUTE(SUBSTITUTE(SUBSTITUTE(SUBSTITUTE(SUBSTITUTE(SUBSTITUTE(H9,"MstWptCalendar",$B$6),"Calendar",$B$7),"calendar",$B$8),"&lt;PROPERTIES&gt;",H13),"&lt;DECLARE&gt;",S13),"&lt;PARAMS&gt;",T13),"&lt;CLEARPARAMS&gt;",U13)</f>
        <v>#NAME?</v>
      </c>
      <c r="I10" s="45" t="e">
        <f ca="1">SUBSTITUTE(SUBSTITUTE(SUBSTITUTE(SUBSTITUTE(SUBSTITUTE(I9,"MstWptCalendar",$B$6),"Calendar",$B$7),"calendar",$B$8),"&lt;PROPERTIES&gt;",I13),"&lt;FULL_TITLE&gt;",B1)</f>
        <v>#NAME?</v>
      </c>
      <c r="J10" s="45" t="str">
        <f>J9</f>
        <v>.input-search{
    width: 250px;
    border-radius: 10px;
    margin-left: 10px;
}
.btn-search{
    width: 50px;
    margin-left: 10px;
}</v>
      </c>
      <c r="K10" s="45" t="e">
        <f ca="1">SUBSTITUTE(SUBSTITUTE(SUBSTITUTE(SUBSTITUTE(K9,"MstWptCalendar",$B$6),"Calendar",$B$7),"calendar",$B$8),"&lt;PROPERTIES&gt;",K13)</f>
        <v>#NAME?</v>
      </c>
      <c r="L10" s="45" t="e">
        <f ca="1">SUBSTITUTE(SUBSTITUTE(SUBSTITUTE(SUBSTITUTE(SUBSTITUTE(L9,"MstWptCalendar",$B$6),"Calendar",$B$7),"calendar",$B$8),"&lt;VIEWDATETIME&gt;",$L$13),"isActive",$V$13)</f>
        <v>#NAME?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IF_TRAILERRoutingModule } from './if_trailer-routing.module';
import { IF_TRAILERComponent } from './if_trailer.component';
import { CreateOrEditIF_TRAILERModalComponent } from './create-or-edit-if_trailer-modal.component';
@NgModule({
    declarations: [
       IF_TRAILERComponent, 
        CreateOrEditIF_TRAILERModalComponent
    ],
    imports: [
        AppSharedModule, IF_TRAILERRoutingModule]
})
export class IF_TRAILERModule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IF_TRAILERComponent } from './if_trailer.component';
const routes: Routes = [{
    path: '',
    component: IF_TRAILERComponent,
    pathMatch: 'full'
}];
@NgModule({
    imports: [RouterModule.forChild(routes)],
    exports: [RouterModule],
})
export class IF_TRAILERRoutingModule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AppMenuItem("IF_TRAILER", "Pages.IF.IF.IF_TRAILER", "flaticon-book",   "/app/main/if/if/if_trailer"),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'if/if/if_trailer',
    loadChildren: () =&gt; import('./if/if/if_trailer/if_trailer.module').then(m =&gt; m.IF_TRAILERModule),
    data: { permission: 'Pages.IF.IF.IF_TRAILER' }
},</v>
      </c>
      <c r="R10" s="47" t="str">
        <f>SUBSTITUTE(R9,"MstWptCalendar",$B$6)</f>
        <v>ApiServiceProxies.IF_TRAILERServiceProxy,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H18</v>
      </c>
      <c r="I12" s="28" t="str">
        <f>"I"&amp;COUNTA($A:$A)</f>
        <v>I18</v>
      </c>
      <c r="J12" s="28"/>
      <c r="K12" s="28" t="str">
        <f>"K"&amp;COUNTA($A:$A)</f>
        <v>K18</v>
      </c>
      <c r="L12" s="28" t="str">
        <f>"L"&amp;COUNTA($A:$A)</f>
        <v>L18</v>
      </c>
      <c r="M12" s="28"/>
      <c r="N12" s="28"/>
      <c r="O12" s="28"/>
      <c r="P12" s="28"/>
      <c r="Q12" s="28"/>
      <c r="R12" s="28"/>
      <c r="S12" s="28" t="str">
        <f>"S"&amp;COUNTA($A:$A)</f>
        <v>S18</v>
      </c>
      <c r="T12" s="28" t="str">
        <f>"T"&amp;COUNTA($A:$A)</f>
        <v>T18</v>
      </c>
      <c r="U12" s="28" t="str">
        <f>"U"&amp;COUNTA($A:$A)</f>
        <v>U18</v>
      </c>
      <c r="V12" s="28" t="str">
        <f>"V"&amp;COUNTA($A:$A)</f>
        <v>V18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e">
        <f ca="1">TEXTJOIN2("
",TRUE,INDIRECT(H11):INDIRECT(H12))</f>
        <v>#NAME?</v>
      </c>
      <c r="I13" s="35" t="e">
        <f ca="1">TEXTJOIN2("
",TRUE,INDIRECT(I11):INDIRECT(I12))</f>
        <v>#NAME?</v>
      </c>
      <c r="J13" s="28"/>
      <c r="K13" s="35" t="e">
        <f ca="1">TEXTJOIN2("
",TRUE,INDIRECT(K11):INDIRECT(K12))</f>
        <v>#NAME?</v>
      </c>
      <c r="L13" s="56" t="e">
        <f ca="1">TEXTJOIN2("
",TRUE,INDIRECT(L11):INDIRECT(L12))</f>
        <v>#NAME?</v>
      </c>
      <c r="M13" s="28"/>
      <c r="N13" s="28"/>
      <c r="O13" s="28"/>
      <c r="P13" s="28"/>
      <c r="Q13" s="28"/>
      <c r="R13" s="28"/>
      <c r="S13" s="62" t="e">
        <f ca="1">TEXTJOIN2("
",TRUE,INDIRECT(S11):INDIRECT(S12))</f>
        <v>#NAME?</v>
      </c>
      <c r="T13" s="62" t="e">
        <f ca="1">TEXTJOIN2("
",TRUE,INDIRECT(T11):INDIRECT(T12))</f>
        <v>#NAME?</v>
      </c>
      <c r="U13" s="62" t="e">
        <f ca="1">TEXTJOIN2("
",TRUE,INDIRECT(U11):INDIRECT(U12))</f>
        <v>#NAME?</v>
      </c>
      <c r="V13" s="28" t="e">
        <f ca="1">TEXTJOIN2("
",TRUE,INDIRECT(V11):INDIRECT(V12))</f>
        <v>#NAME?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if_trailer.component.ts</v>
      </c>
      <c r="I14" s="37" t="str">
        <f>B8&amp;".component.html"</f>
        <v>if_trailer.component.html</v>
      </c>
      <c r="J14" s="36" t="str">
        <f>B8&amp;".component.less"</f>
        <v>if_trailer.component.less</v>
      </c>
      <c r="K14" s="37" t="str">
        <f>"create-or-edit-"&amp;B8&amp;"-modal.component.html"</f>
        <v>create-or-edit-if_trailer-modal.component.html</v>
      </c>
      <c r="L14" s="37" t="str">
        <f>"create-or-edit-"&amp;B8&amp;"-modal.component.ts"</f>
        <v>create-or-edit-if_trailer-modal.component.ts</v>
      </c>
      <c r="M14" s="37" t="str">
        <f>"create-or-edit-"&amp;B8&amp;"-modal.component.less"</f>
        <v>create-or-edit-if_trailer-modal.component.less</v>
      </c>
      <c r="N14" s="37" t="str">
        <f>B8&amp;".module.ts"</f>
        <v>if_trailer.module.ts</v>
      </c>
      <c r="O14" s="37" t="str">
        <f>B8&amp;"-routing.module.ts"</f>
        <v>if_trailer-routing.module.ts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354</v>
      </c>
      <c r="B15" s="28" t="str">
        <f t="shared" ref="B15" si="0">SUBSTITUTE(PROPER(A15),"_","")</f>
        <v>BeginOfRecord</v>
      </c>
      <c r="C15" s="28" t="str">
        <f t="shared" ref="C15" si="1">SUBSTITUTE(PROPER(A15),"_"," ")</f>
        <v>Begin Of Record</v>
      </c>
      <c r="D15" s="28" t="str">
        <f t="shared" ref="D15" si="2">LOWER(LEFT(B15,1))&amp;RIGHT(B15,LEN(B15) - 1)</f>
        <v>beginOfRecord</v>
      </c>
      <c r="E15" s="28" t="str">
        <f>A.Backend!H9</f>
        <v>string</v>
      </c>
      <c r="F15" s="28" t="str">
        <f>A.Backend!G9</f>
        <v>1</v>
      </c>
      <c r="G15" s="28" t="str">
        <f t="shared" ref="G15:G18" si="3">IF(E15="string"," : string = '' ; ",IF(OR(E15="DateTime",E15="TimeSpan")," : any ;",IF(E15="int"," : number = 0 ;","")))</f>
        <v xml:space="preserve"> : string = '' ; </v>
      </c>
      <c r="H15" s="35" t="str">
        <f t="shared" ref="H15:H18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this.l('Begin Of Record'),headerTooltip: this.l('Begin Of Record'),field:  'beginOfRecord', cellClass: ['text-center'], width: 120, cellRenderer: 'agCellButtonComponent',
buttonDefTwo: { text: params =&gt; (params.data?.'beginOfRecord' == 'Y') ? 'Active' : 'Inactive',iconName: 'fa fa-circle',className: params =&gt; (params.data?.'beginOfRecord' == 'Y') ? 'btnActive' : 'btnInActive',},}</v>
      </c>
      <c r="I15" s="35" t="str">
        <f t="shared" ref="I15:I1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[(ngModel)]='beginOfRecord' name='beginOfRecord'
									class='form-control' [placeholder]="l('Begin Of Record')"
									type='text' (keyup.enter)='searchDatas()'&gt;
								&lt;/div&gt;</v>
      </c>
      <c r="J15" s="28"/>
      <c r="K15" s="35" t="str">
        <f t="shared" ref="K15:K18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title'&gt;Begin Of Record&lt;/label&gt;
						&lt;new-checkbox [(ngModel)]='_beginOfRecord' name='beginOfRecord' className='col-md-10' &gt; &lt;/new-checkbox&gt;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beginOfRecord : string = '' ; </v>
      </c>
      <c r="T15" s="28" t="str">
        <f>REPT(CHAR(9),3)&amp;"this."&amp;D15&amp;","</f>
        <v xml:space="preserve">			this.beginOfRecord,</v>
      </c>
      <c r="U15" s="28" t="str">
        <f>IF(E15="int",REPT(CHAR(9),2)&amp;"this."&amp;D15&amp;" = 0,",REPT(CHAR(9),2)&amp;"this."&amp;D15&amp;" = '',")</f>
        <v xml:space="preserve">		this.beginOfRecord = '',</v>
      </c>
      <c r="V15" s="28" t="str">
        <f t="shared" ref="V15:V18" si="8">IF(AND(E15="string",F15="1"),D15,"")</f>
        <v>beginOfRecord</v>
      </c>
    </row>
    <row r="16" spans="1:22" ht="18" customHeight="1" x14ac:dyDescent="0.25">
      <c r="A16" t="s">
        <v>355</v>
      </c>
      <c r="B16" s="28" t="str">
        <f t="shared" ref="B16" si="9">SUBSTITUTE(PROPER(A16),"_","")</f>
        <v>RecordId</v>
      </c>
      <c r="C16" s="28" t="str">
        <f t="shared" ref="C16" si="10">SUBSTITUTE(PROPER(A16),"_"," ")</f>
        <v>Record Id</v>
      </c>
      <c r="D16" s="28" t="str">
        <f t="shared" ref="D16" si="11">LOWER(LEFT(B16,1))&amp;RIGHT(B16,LEN(B16) - 1)</f>
        <v>recordId</v>
      </c>
      <c r="E16" s="28" t="str">
        <f>A.Backend!H10</f>
        <v>string</v>
      </c>
      <c r="F16" s="28" t="str">
        <f>A.Backend!G10</f>
        <v>1</v>
      </c>
      <c r="G16" s="28" t="str">
        <f t="shared" si="3"/>
        <v xml:space="preserve"> : string = '' ; </v>
      </c>
      <c r="H16" s="35" t="str">
        <f t="shared" si="4"/>
        <v xml:space="preserve">			{headerName: this.l('Record Id'),headerTooltip: this.l('Record Id'),field:  'recordId', cellClass: ['text-center'], width: 120, cellRenderer: 'agCellButtonComponent',
buttonDefTwo: { text: params =&gt; (params.data?.'recordId' == 'Y') ? 'Active' : 'Inactive',iconName: 'fa fa-circle',className: params =&gt; (params.data?.'recordId' == 'Y') ? 'btnActive' : 'btnInActive',},}</v>
      </c>
      <c r="I16" s="35" t="str">
        <f t="shared" si="5"/>
        <v xml:space="preserve">								&lt;div class='input-search'&gt;
									&lt;input [(ngModel)]='recordId' name='recordId'
									class='form-control' [placeholder]="l('Record Id')"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title'&gt;Record Id&lt;/label&gt;
						&lt;new-checkbox [(ngModel)]='_recordId' name='recordId' className='col-md-10' &gt; &lt;/new-checkbox&gt;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8" si="13">REPT(CHAR(9),1)&amp;D16&amp;G16</f>
        <v xml:space="preserve">	recordId : string = '' ; </v>
      </c>
      <c r="T16" s="28" t="str">
        <f t="shared" ref="T16:T18" si="14">REPT(CHAR(9),3)&amp;"this."&amp;D16&amp;","</f>
        <v xml:space="preserve">			this.recordId,</v>
      </c>
      <c r="U16" s="28" t="str">
        <f t="shared" ref="U16:U18" si="15">IF(E16="int",REPT(CHAR(9),2)&amp;"this."&amp;D16&amp;" = 0,",REPT(CHAR(9),2)&amp;"this."&amp;D16&amp;" = '',")</f>
        <v xml:space="preserve">		this.recordId = '',</v>
      </c>
      <c r="V16" s="28" t="str">
        <f t="shared" si="8"/>
        <v>recordId</v>
      </c>
    </row>
    <row r="17" spans="1:22" ht="18" customHeight="1" x14ac:dyDescent="0.25">
      <c r="A17" t="s">
        <v>356</v>
      </c>
      <c r="B17" s="28" t="str">
        <f>SUBSTITUTE(PROPER(A17),"_","")</f>
        <v>RecordCount</v>
      </c>
      <c r="C17" s="28" t="str">
        <f>SUBSTITUTE(PROPER(A17),"_"," ")</f>
        <v>Record Count</v>
      </c>
      <c r="D17" s="28" t="str">
        <f>LOWER(LEFT(B17,1))&amp;RIGHT(B17,LEN(B17) - 1)</f>
        <v>recordCount</v>
      </c>
      <c r="E17" s="28" t="str">
        <f>A.Backend!H11</f>
        <v>string</v>
      </c>
      <c r="F17" s="28" t="str">
        <f>A.Backend!G11</f>
        <v>7</v>
      </c>
      <c r="G17" s="28" t="str">
        <f t="shared" si="3"/>
        <v xml:space="preserve"> : string = '' ; </v>
      </c>
      <c r="H17" s="35" t="str">
        <f t="shared" si="4"/>
        <v xml:space="preserve">			{headerName: this.l('Record Count'),headerTooltip: this.l('Record Count'),field: 'recordCount',flex: 1},</v>
      </c>
      <c r="I17" s="35" t="str">
        <f t="shared" si="5"/>
        <v xml:space="preserve">								&lt;div class='input-search'&gt;
									&lt;input [(ngModel)]='recordCount' name='recordCount'
									class='form-control' [placeholder]="l('Record Count')"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title'&gt;Record Count&lt;/label&gt;
						&lt;input type='text' class='col-md-10 form-control input-text' name='RecordCount' [(ngModel)]='rowdata.recordCount'&gt;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recordCount : string = '' ; </v>
      </c>
      <c r="T17" s="28" t="str">
        <f t="shared" si="14"/>
        <v xml:space="preserve">			this.recordCount,</v>
      </c>
      <c r="U17" s="28" t="str">
        <f t="shared" si="15"/>
        <v xml:space="preserve">		this.recordCount = '',</v>
      </c>
      <c r="V17" s="28" t="str">
        <f t="shared" si="8"/>
        <v/>
      </c>
    </row>
    <row r="18" spans="1:22" ht="15" customHeight="1" x14ac:dyDescent="0.25">
      <c r="A18" t="s">
        <v>357</v>
      </c>
      <c r="B18" s="28" t="str">
        <f t="shared" ref="B18" si="16">SUBSTITUTE(PROPER(A18),"_","")</f>
        <v>EndOfRecord</v>
      </c>
      <c r="C18" s="28" t="str">
        <f t="shared" ref="C18" si="17">SUBSTITUTE(PROPER(A18),"_"," ")</f>
        <v>End Of Record</v>
      </c>
      <c r="D18" s="28" t="str">
        <f t="shared" ref="D18" si="18">LOWER(LEFT(B18,1))&amp;RIGHT(B18,LEN(B18) - 1)</f>
        <v>endOfRecord</v>
      </c>
      <c r="E18" s="28" t="str">
        <f>A.Backend!H12</f>
        <v>string</v>
      </c>
      <c r="F18" s="28" t="str">
        <f>A.Backend!G12</f>
        <v>1</v>
      </c>
      <c r="G18" s="28" t="str">
        <f t="shared" si="3"/>
        <v xml:space="preserve"> : string = '' ; </v>
      </c>
      <c r="H18" s="35" t="str">
        <f t="shared" si="4"/>
        <v xml:space="preserve">			{headerName: this.l('End Of Record'),headerTooltip: this.l('End Of Record'),field:  'endOfRecord', cellClass: ['text-center'], width: 120, cellRenderer: 'agCellButtonComponent',
buttonDefTwo: { text: params =&gt; (params.data?.'endOfRecord' == 'Y') ? 'Active' : 'Inactive',iconName: 'fa fa-circle',className: params =&gt; (params.data?.'endOfRecord' == 'Y') ? 'btnActive' : 'btnInActive',},}</v>
      </c>
      <c r="I18" s="35" t="str">
        <f t="shared" si="5"/>
        <v xml:space="preserve">								&lt;div class='input-search'&gt;
									&lt;input [(ngModel)]='endOfRecord' name='endOfRecord'
									class='form-control' [placeholder]="l('End Of Record')"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title'&gt;End Of Record&lt;/label&gt;
						&lt;new-checkbox [(ngModel)]='_endOfRecord' name='endOfRecord' className='col-md-10' &gt; &lt;/new-checkbox&gt;
					&lt;/div&gt;</v>
      </c>
      <c r="L18" s="56" t="str">
        <f t="shared" ref="L18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endOfRecord : string = '' ; </v>
      </c>
      <c r="T18" s="28" t="str">
        <f t="shared" si="14"/>
        <v xml:space="preserve">			this.endOfRecord,</v>
      </c>
      <c r="U18" s="28" t="str">
        <f t="shared" si="15"/>
        <v xml:space="preserve">		this.endOfRecord = '',</v>
      </c>
      <c r="V18" s="28" t="str">
        <f t="shared" si="8"/>
        <v>endOfRecord</v>
      </c>
    </row>
    <row r="2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admin</cp:lastModifiedBy>
  <dcterms:created xsi:type="dcterms:W3CDTF">2022-04-01T07:31:40Z</dcterms:created>
  <dcterms:modified xsi:type="dcterms:W3CDTF">2023-07-19T11:28:08Z</dcterms:modified>
</cp:coreProperties>
</file>
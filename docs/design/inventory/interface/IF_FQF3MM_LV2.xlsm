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mms\docs\design\inventory\interface\"/>
    </mc:Choice>
  </mc:AlternateContent>
  <xr:revisionPtr revIDLastSave="0" documentId="13_ncr:1_{8C988BA9-39CE-4C4A-A02B-58D52D21278C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5" l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2" i="5"/>
  <c r="B8" i="5" l="1"/>
  <c r="B3" i="5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G21" i="5" l="1"/>
  <c r="S21" i="5" s="1"/>
  <c r="V21" i="5"/>
  <c r="U21" i="5"/>
  <c r="L21" i="5"/>
  <c r="K21" i="5"/>
  <c r="H21" i="5"/>
  <c r="I21" i="5"/>
  <c r="V20" i="5"/>
  <c r="U20" i="5"/>
  <c r="H20" i="5"/>
  <c r="K20" i="5"/>
  <c r="I20" i="5"/>
  <c r="G20" i="5"/>
  <c r="S20" i="5" s="1"/>
  <c r="L20" i="5"/>
  <c r="P15" i="1"/>
  <c r="W15" i="1"/>
  <c r="M14" i="1"/>
  <c r="N14" i="1"/>
  <c r="I14" i="1"/>
  <c r="W14" i="1"/>
  <c r="O14" i="1"/>
  <c r="J14" i="1"/>
  <c r="M15" i="1"/>
  <c r="T15" i="1"/>
  <c r="V14" i="1"/>
  <c r="I15" i="1"/>
  <c r="N15" i="1"/>
  <c r="P14" i="1"/>
  <c r="J15" i="1"/>
  <c r="O15" i="1"/>
  <c r="C17" i="5"/>
  <c r="B17" i="5"/>
  <c r="D17" i="5" s="1"/>
  <c r="C16" i="5"/>
  <c r="B16" i="5"/>
  <c r="D16" i="5" s="1"/>
  <c r="T16" i="5" l="1"/>
  <c r="T17" i="5"/>
  <c r="B6" i="1"/>
  <c r="G13" i="1"/>
  <c r="F19" i="5" s="1"/>
  <c r="E13" i="1"/>
  <c r="H13" i="1" s="1"/>
  <c r="E19" i="5" s="1"/>
  <c r="D13" i="1"/>
  <c r="V13" i="1" s="1"/>
  <c r="G19" i="5" l="1"/>
  <c r="S19" i="5" s="1"/>
  <c r="V19" i="5"/>
  <c r="U19" i="5"/>
  <c r="K19" i="5"/>
  <c r="I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U18" i="5"/>
  <c r="K18" i="5"/>
  <c r="I18" i="5"/>
  <c r="H18" i="5"/>
  <c r="G18" i="5"/>
  <c r="S18" i="5" s="1"/>
  <c r="L18" i="5"/>
  <c r="V17" i="5"/>
  <c r="U17" i="5"/>
  <c r="K17" i="5"/>
  <c r="I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7" i="1"/>
  <c r="T13" i="5"/>
  <c r="T7" i="1" l="1"/>
  <c r="W17" i="1"/>
  <c r="G6" i="1" l="1"/>
  <c r="U13" i="5"/>
  <c r="S13" i="5"/>
  <c r="H13" i="5"/>
  <c r="K13" i="5"/>
  <c r="V13" i="5"/>
  <c r="I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L9" i="1"/>
  <c r="L10" i="1"/>
  <c r="C7" i="1"/>
  <c r="I17" i="1"/>
  <c r="P17" i="1"/>
  <c r="O17" i="1"/>
  <c r="J17" i="1"/>
  <c r="N17" i="1"/>
  <c r="Q7" i="1" l="1"/>
  <c r="M68" i="3" s="1"/>
  <c r="L7" i="1"/>
  <c r="G68" i="3" s="1"/>
  <c r="K68" i="3"/>
  <c r="J68" i="3"/>
  <c r="M17" i="1"/>
  <c r="K1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<sst xmlns="http://schemas.openxmlformats.org/spreadsheetml/2006/main" count="460" uniqueCount="372">
  <si>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</si>
  <si>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</si>
  <si>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</si>
  <si>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</si>
  <si>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</si>
  <si>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</si>
  <si>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</si>
  <si>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</si>
  <si>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</si>
  <si>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</si>
  <si>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</si>
  <si>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</si>
  <si>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</si>
  <si>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</si>
  <si>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</si>
  <si>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</si>
  <si>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</si>
  <si>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</si>
  <si>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</si>
  <si>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</si>
  <si>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</si>
  <si>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</si>
  <si>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</si>
  <si>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</si>
  <si>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</si>
  <si>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</si>
  <si>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</si>
  <si>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</si>
  <si>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</si>
  <si>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</si>
  <si>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</si>
  <si>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</si>
  <si>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</si>
  <si>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</si>
  <si>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</si>
  <si>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</si>
  <si>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</si>
  <si>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</si>
  <si>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</si>
  <si>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</si>
  <si>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</si>
  <si>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</si>
  <si>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</si>
  <si>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</si>
  <si>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</si>
  <si>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</si>
  <si>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</si>
  <si>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</si>
  <si>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</si>
  <si>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</si>
  <si>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</si>
  <si>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</si>
  <si>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</si>
  <si>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</si>
  <si>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</si>
  <si>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</si>
  <si>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</si>
  <si>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</si>
  <si>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</si>
  <si>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</si>
  <si>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</si>
  <si>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</si>
  <si>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</si>
  <si>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</si>
  <si>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</si>
  <si>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</si>
  <si>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</si>
  <si>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</si>
  <si>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</si>
  <si>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</si>
  <si>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</si>
  <si>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</si>
  <si>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</si>
  <si>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</si>
  <si>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</si>
  <si>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</si>
  <si>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</si>
  <si>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</si>
  <si>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</si>
  <si>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</si>
  <si>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</si>
  <si>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</si>
  <si>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</si>
  <si>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</si>
  <si>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</si>
  <si>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</si>
  <si>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</si>
  <si>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</si>
  <si>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</si>
  <si>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</si>
  <si>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</si>
  <si>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</si>
  <si>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</si>
  <si>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</si>
  <si>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</si>
  <si>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</si>
  <si>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</si>
  <si>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</si>
  <si>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</si>
  <si>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</si>
  <si>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</si>
  <si>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</si>
  <si>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</si>
  <si>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</si>
  <si>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</si>
  <si>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</si>
  <si>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</si>
  <si>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</si>
  <si>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</si>
  <si>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</si>
  <si>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</si>
  <si>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</si>
  <si>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</si>
  <si>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</si>
  <si>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</si>
  <si>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</si>
  <si>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</si>
  <si>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</si>
  <si>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</si>
  <si>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</si>
  <si>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</si>
  <si>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</si>
  <si>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</si>
  <si>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</si>
  <si>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</si>
  <si>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</si>
  <si>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</si>
  <si>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</si>
  <si>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</si>
  <si>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</si>
  <si>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</si>
  <si>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</si>
  <si>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</si>
  <si>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</si>
  <si>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</si>
  <si>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</si>
  <si>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</si>
  <si>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</si>
  <si>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</si>
  <si>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</si>
  <si>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</si>
  <si>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</si>
  <si>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</si>
  <si>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</si>
  <si>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</si>
  <si>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</si>
  <si>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</si>
  <si>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</si>
  <si>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</si>
  <si>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</si>
  <si>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</si>
  <si>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</si>
  <si>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</si>
  <si>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</si>
  <si>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</si>
  <si>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</si>
  <si>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</si>
  <si>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</si>
  <si>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</si>
  <si>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</si>
  <si>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</si>
  <si>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</si>
  <si>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</si>
  <si>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</si>
  <si>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</si>
  <si>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</si>
  <si>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</si>
  <si>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</si>
  <si>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</si>
  <si>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</si>
  <si>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</si>
  <si>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</si>
  <si>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</si>
  <si>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</si>
  <si>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</si>
  <si>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</si>
  <si>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</si>
  <si>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</si>
  <si>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</si>
  <si>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</si>
  <si>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</si>
  <si>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</si>
  <si>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</si>
  <si>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</si>
  <si>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</si>
  <si>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</si>
  <si>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</si>
  <si>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</si>
  <si>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</si>
  <si>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</si>
  <si>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</si>
  <si>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</si>
  <si>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</si>
  <si>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</si>
  <si>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</si>
  <si>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</si>
  <si>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</si>
  <si>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</si>
  <si>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</si>
  <si>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</si>
  <si>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</si>
  <si>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</si>
  <si>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</si>
  <si>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</si>
  <si>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</si>
  <si>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</si>
  <si>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</si>
  <si>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</si>
  <si>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</si>
  <si>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</si>
  <si>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</si>
  <si>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</si>
  <si>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</si>
  <si>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</si>
  <si>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</si>
  <si>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</si>
  <si>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</si>
  <si>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</si>
  <si>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</si>
  <si>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</si>
  <si>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</si>
  <si>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</si>
  <si>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</si>
  <si>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</si>
  <si>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</si>
  <si>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</si>
  <si>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</si>
  <si>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</si>
  <si>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</si>
  <si>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</si>
  <si>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</si>
  <si>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</si>
  <si>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</si>
  <si>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</si>
  <si>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</si>
  <si>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</si>
  <si>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</si>
  <si>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</si>
  <si>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</si>
  <si>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</si>
  <si>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</si>
  <si>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</si>
  <si>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</si>
  <si>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</si>
  <si>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</si>
  <si>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</si>
  <si>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</si>
  <si>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</si>
  <si>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</si>
  <si>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</si>
  <si>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</si>
  <si>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</si>
  <si>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</si>
  <si>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</si>
  <si>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</si>
  <si>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</si>
  <si>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</si>
  <si>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</si>
  <si>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</si>
  <si>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</si>
  <si>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</si>
  <si>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</si>
  <si>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</si>
  <si>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</si>
  <si>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</si>
  <si>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</si>
  <si>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</si>
  <si>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</si>
  <si>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</si>
  <si>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</si>
  <si>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</si>
  <si>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</si>
  <si>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</si>
  <si>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</si>
  <si>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</si>
  <si>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</si>
  <si>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</si>
  <si>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</si>
  <si>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</si>
  <si>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</si>
  <si>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</si>
  <si>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</si>
  <si>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</si>
  <si>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</si>
  <si>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</si>
  <si>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</si>
  <si>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</si>
  <si>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</si>
  <si>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</si>
  <si>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</si>
  <si>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</si>
  <si>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</si>
  <si>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</si>
  <si>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</si>
  <si>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</si>
  <si>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</si>
  <si>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</si>
  <si>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</si>
  <si>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</si>
  <si>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</si>
  <si>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</si>
  <si>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</si>
  <si>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</si>
  <si>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</si>
  <si>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</si>
  <si>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</si>
  <si>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</si>
  <si>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</si>
  <si>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</si>
  <si>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</si>
  <si>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</si>
  <si>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</si>
  <si>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</si>
  <si>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</si>
  <si>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</si>
  <si>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</si>
  <si>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</si>
  <si>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</si>
  <si>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</si>
  <si>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</si>
  <si>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</si>
  <si>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</si>
  <si>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</si>
  <si>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</si>
  <si>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</si>
  <si>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</si>
  <si>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</si>
  <si>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</si>
  <si>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</si>
  <si>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</si>
  <si>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</si>
  <si>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</si>
  <si>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</si>
  <si>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</si>
  <si>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</si>
  <si>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</si>
  <si>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</si>
  <si>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</si>
  <si>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</si>
  <si>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</si>
  <si>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</si>
  <si>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</si>
  <si>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</si>
  <si>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</si>
  <si>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</si>
  <si>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</si>
  <si>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</si>
  <si>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</si>
  <si>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</si>
  <si>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</si>
  <si>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</si>
  <si>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</si>
  <si>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</si>
  <si>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</si>
  <si>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Inventory.IF</t>
  </si>
  <si>
    <t>IF</t>
  </si>
  <si>
    <t>DateTime</t>
  </si>
  <si>
    <t>Date</t>
  </si>
  <si>
    <t>File_Id</t>
  </si>
  <si>
    <t>File_Description</t>
  </si>
  <si>
    <t>Content</t>
  </si>
  <si>
    <t>Interface_Date</t>
  </si>
  <si>
    <t>Status</t>
  </si>
  <si>
    <t>Status_Date_Time</t>
  </si>
  <si>
    <t>File_Path</t>
  </si>
  <si>
    <t>VARCHAR(50)</t>
  </si>
  <si>
    <t>VARCHAR(200)</t>
  </si>
  <si>
    <t>nVARCHAR(max)</t>
  </si>
  <si>
    <t>VARCHAR(20)</t>
  </si>
  <si>
    <t>IF_FQF3MM_LV2</t>
  </si>
  <si>
    <t>FQF3MM_LV2</t>
  </si>
  <si>
    <t>FQF3MM Lv2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</si>
</sst>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opLeftCell="A61" zoomScaleNormal="100" workbookViewId="0">
      <selection activeCell="E68" sqref="E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Pages_Inventory_IF_FQF3MM_LV2 = "Pages.Inventory.IF.FQF3MM_LV2";
		public const string Pages_Inventory_IF_FQF3MM_LV2_CreateEdit = "Pages.Inventory.IF.FQF3MM_LV2.CreateEdit";
		public const string Pages_Inventory_IF_FQF3MM_LV2_Delete = "Pages.Inventory.IF.FQF3MM_LV2.Delete";
</v>
      </c>
      <c r="E68" s="48" t="str">
        <f>A.Backend!N7</f>
        <v xml:space="preserve">		var perIF_FQF3MM_LV2 = PARENTS.CreateChildPermission(AppPermissions.Pages_Inventory_IF_FQF3MM_LV2, L( "InventoryIFFQF3MM_LV2"), multiTenancySides: MultiTenancySides.Tenant);
		perIF_FQF3MM_LV2.CreateChildPermission(AppPermissions.Pages_Inventory_IF_FQF3MM_LV2_CreateEdit, L( "InventoryIFFQF3MM_LV2CreateEdit"), multiTenancySides: MultiTenancySides.Tenant);
		perIF_FQF3MM_LV2.CreateChildPermission(AppPermissions.Pages_Inventory_IF_FQF3MM_LV2_Delete, L( "InventoryIFFQF3MM_LV2Delete"), multiTenancySides: MultiTenancySides.Tenant);</v>
      </c>
      <c r="F68" s="48" t="str">
        <f>A.Backend!K7</f>
        <v>public virtual DbSet&lt;IF_FQF3MM_LV2&gt; IF_FQF3MM_LV2s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IIF_FQF3MM_LV2AppService : IApplicationService
	{
		Task&lt;PagedResultDto&lt;IF_FQF3MM_LV2Dto&gt;&gt; GetAll(GetIF_FQF3MM_LV2Input input);
		Task CreateOrEdit(CreateOrEditIF_FQF3MM_LV2Dto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IIF_FQF3MM_LV2ExcelExporter : IApplicationService
	{
		FileDto ExportToFile(List&lt;IF_FQF3MM_LV2Dto&gt; if_fqf3mm_lv2);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configuration.CreateMap&lt;IF_FQF3MM_LV2Dto, IF_FQF3MM_LV2&gt;();
  configuration.CreateMap&lt;IF_FQF3MM_LV2, IF_FQF3MM_LV2Dto&gt;();
  configuration.CreateMap&lt;CreateOrEditIF_FQF3MM_LV2Dto, IF_FQF3MM_LV2&gt;();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fqf3mm_lv2</v>
      </c>
      <c r="C73" s="66" t="str">
        <f>"create folder " &amp;B73</f>
        <v>create folder fqf3mm_lv2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fqf3mm_lv2.component.ts</v>
      </c>
      <c r="D74" s="28" t="str">
        <f>B.Frontend!I14</f>
        <v>fqf3mm_lv2.component.html</v>
      </c>
      <c r="E74" s="28" t="str">
        <f>B.Frontend!J14</f>
        <v>fqf3mm_lv2.component.less</v>
      </c>
      <c r="F74" s="28" t="str">
        <f>B.Frontend!K14</f>
        <v>create-or-edit-fqf3mm_lv2-modal.component.html</v>
      </c>
      <c r="G74" s="28" t="str">
        <f>B.Frontend!L14</f>
        <v>create-or-edit-fqf3mm_lv2-modal.component.ts</v>
      </c>
      <c r="H74" s="28" t="str">
        <f>B.Frontend!M14</f>
        <v>create-or-edit-fqf3mm_lv2-modal.component.less</v>
      </c>
      <c r="I74" s="28" t="str">
        <f>B.Frontend!N14</f>
        <v>fqf3mm_lv2.module.ts</v>
      </c>
      <c r="J74" s="28" t="str">
        <f>B.Frontend!O14</f>
        <v>fqf3mm_lv2-routing.module.ts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FQF3MM_LV2RoutingModule } from './fqf3mm_lv2-routing.module';
import { FQF3MM_LV2Component } from './fqf3mm_lv2.component';
import { CreateOrEditFQF3MM_LV2ModalComponent } from './create-or-edit-fqf3mm_lv2-modal.component';
@NgModule({
    declarations: [
       FQF3MM_LV2Component, 
        CreateOrEditFQF3MM_LV2ModalComponent
    ],
    imports: [
        AppSharedModule, FQF3MM_LV2RoutingModule]
})
export class FQF3MM_LV2Module {}</v>
      </c>
      <c r="J75" s="46" t="str">
        <f>B.Frontend!O10</f>
        <v>import {NgModule} from '@angular/core';
import {RouterModule, Routes} from '@angular/router';
import { FQF3MM_LV2Component } from './fqf3mm_lv2.component';
const routes: Routes = [{
    path: '',
    component: FQF3MM_LV2Component,
    pathMatch: 'full'
}];
@NgModule({
    imports: [RouterModule.forChild(routes)],
    exports: [RouterModule],
})
export class FQF3MM_LV2RoutingModule {}</v>
      </c>
      <c r="K75" s="46" t="str">
        <f>B.Frontend!P10</f>
        <v xml:space="preserve"> new AppMenuItem("FQF3MM_LV2", "Pages.IF.IF.FQF3MM_LV2", "flaticon-book",   "/app/main/if/if/fqf3mm_lv2"),</v>
      </c>
      <c r="L75" s="47" t="str">
        <f>B.Frontend!Q10</f>
        <v>{
    path: 'if/if/fqf3mm_lv2',
    loadChildren: () =&gt; import('./if/if/fqf3mm_lv2/fqf3mm_lv2.module').then(m =&gt; m.FQF3MM_LV2Module),
    data: { permission: 'Pages.IF.IF.FQF3MM_LV2' }
},</v>
      </c>
      <c r="M75" s="45" t="str">
        <f>B.Frontend!R10</f>
        <v>ApiServiceProxies.IF_FQF3MM_LV2ServiceProxy,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7"/>
  <sheetViews>
    <sheetView tabSelected="1" workbookViewId="0">
      <pane xSplit="1" topLeftCell="B1" activePane="topRight" state="frozen"/>
      <selection pane="topRight" activeCell="B4" sqref="B4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354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369</v>
      </c>
      <c r="C3" s="9" t="s">
        <v>41</v>
      </c>
      <c r="D3" s="9" t="s">
        <v>42</v>
      </c>
      <c r="E3" s="9" t="s">
        <v>37</v>
      </c>
      <c r="F3" s="10" t="str">
        <f>"J"&amp;COUNTA($A:$A)</f>
        <v>J15</v>
      </c>
      <c r="G3" s="4" t="s">
        <v>54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53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IF_FQF3MM_LV2ExportInput{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233</v>
      </c>
      <c r="B4" s="65" t="s">
        <v>355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IF_FQF3MM_LV2: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IF_FQF3MM_LV2Consts	
	{
</v>
      </c>
      <c r="F6" s="10" t="str">
        <f>REPT(CHAR(9),1)&amp;"public class "&amp;B3&amp;"Dto"&amp;K3&amp;REPT(CHAR(9),1)&amp;"
"&amp;REPT(CHAR(9),1)&amp;C3</f>
        <v xml:space="preserve">	public class IF_FQF3MM_LV2Dto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CreateOrEditIF_FQF3MM_LV2Dto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GetIF_FQF3MM_LV2Input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IF_FQF3MM_LV2</v>
      </c>
      <c r="C7" s="10" t="str">
        <f>REPT(CHAR(9),1)&amp;"[Table("""&amp;B7&amp;""")]"&amp;"
"</f>
        <v xml:space="preserve">	[Table("IF_FQF3MM_LV2")]
</v>
      </c>
      <c r="D7" s="10"/>
      <c r="E7" s="10"/>
      <c r="F7" s="10"/>
      <c r="G7" s="10"/>
      <c r="H7" s="10"/>
      <c r="I7" s="10"/>
      <c r="J7" t="e">
        <f ca="1">SUBSTITUTE(SUBSTITUTE((B1&amp;C6&amp;C7&amp;K17&amp;D6&amp;I17&amp;E3&amp;J17&amp;""&amp;REPT(CHAR(9),1)&amp;D3&amp;D3),"WorkingPattern",$Q$3),"Master",$B$4)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DbSet&lt;IF_FQF3MM_LV2&gt; IF_FQF3MM_LV2s { get; set; }</v>
      </c>
      <c r="L7" t="e">
        <f ca="1">SUBSTITUTE(SUBSTITUTE((C6&amp;E6&amp;I17&amp;"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perIF_FQF3MM_LV2 = PARENTS.CreateChildPermission(AppPermissions.Pages_Inventory_IF_FQF3MM_LV2, L( "InventoryIFFQF3MM_LV2"), multiTenancySides: MultiTenancySides.Tenant);
		perIF_FQF3MM_LV2.CreateChildPermission(AppPermissions.Pages_Inventory_IF_FQF3MM_LV2_CreateEdit, L( "InventoryIFFQF3MM_LV2CreateEdit"), multiTenancySides: MultiTenancySides.Tenant);
		perIF_FQF3MM_LV2.CreateChildPermission(AppPermissions.Pages_Inventory_IF_FQF3MM_LV2_Delete, L( "InventoryIFFQF3MM_LV2Delete"),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Pages_Inventory_IF_FQF3MM_LV2 = "Pages.Inventory.IF.FQF3MM_LV2";
		public const string Pages_Inventory_IF_FQF3MM_LV2_CreateEdit = "Pages.Inventory.IF.FQF3MM_LV2.CreateEdit";
		public const string Pages_Inventory_IF_FQF3MM_LV2_Delete = "Pages.Inventory.IF.FQF3MM_LV2.Delete";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IIF_FQF3MM_LV2AppService : IApplicationService
	{
		Task&lt;PagedResultDto&lt;IF_FQF3MM_LV2Dto&gt;&gt; GetAll(GetIF_FQF3MM_LV2Input input);
		Task CreateOrEdit(CreateOrEditIF_FQF3MM_LV2Dto input);
		Task Delete(EntityDto input);
	}
}
</v>
      </c>
      <c r="Q7" t="e">
        <f ca="1">SUBSTITUTE(SUBSTITUTE(SUBSTITUTE(SUBSTITUTE(SUBSTITUTE(SUBSTITUTE(E1,"MstWptCalendar",$B$3),"&lt;PROPERTIES&gt;",P17),"Calendar",$B$5),"WorkingPattern",$Q$3),"Master",$B$4),"&lt;PARAMS_SEARCH&gt;",$W$17)</f>
        <v>#NAME?</v>
      </c>
      <c r="R7" t="e">
        <f ca="1">SUBSTITUTE(SUBSTITUTE((C1&amp;"namespace "&amp;B6&amp;".Dto"&amp;E3&amp;C3&amp;R3&amp;M17&amp;E3&amp;REPT(CHAR(9),1)&amp;D3&amp;D3),"WorkingPattern",$Q$3),"Master",$B$4)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IIF_FQF3MM_LV2ExcelExporter : IApplicationService
	{
		FileDto ExportToFile(List&lt;IF_FQF3MM_LV2Dto&gt; if_fqf3mm_lv2);
	}
}
</v>
      </c>
      <c r="T7" s="26" t="e">
        <f ca="1">SUBSTITUTE(SUBSTITUTE(SUBSTITUTE(SUBSTITUTE(SUBSTITUTE(SUBSTITUTE(SUBSTITUTE(T1,"MstWptCalendar",$B$3),"&lt;PROPERTIES1&gt;",V17),"&lt;PROPERTIES&gt;",T17),"Calendar",$B$5),"calendar",LOWER(B5)),"WorkingPattern",$Q$3),"Master",$B$4)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configuration.CreateMap&lt;IF_FQF3MM_LV2Dto, IF_FQF3MM_LV2&gt;();
  configuration.CreateMap&lt;IF_FQF3MM_LV2, IF_FQF3MM_LV2Dto&gt;();
  configuration.CreateMap&lt;CreateOrEditIF_FQF3MM_LV2Dto, IF_FQF3MM_LV2&gt;();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365</v>
      </c>
      <c r="C9" t="s">
        <v>1</v>
      </c>
      <c r="D9" t="str">
        <f t="shared" ref="D9" si="0">SUBSTITUTE(PROPER(A9),"_","")</f>
        <v>FileId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MaxFileIdLength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[StringLength(MaxFileIdLength)]
		public virtual string FileId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FileId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[StringLength(IF_FQF3MM_LV2Consts.MaxFileIdLength)]
		public virtual string FileId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FileId { get; set; }
</v>
      </c>
      <c r="P9" t="str">
        <f t="shared" ref="P9" si="9">REPT(CHAR(9),7)&amp;D9&amp;" = o." &amp;D9 &amp;","</f>
        <v xml:space="preserve">							FileId = o.FileId,</v>
      </c>
      <c r="T9" s="63" t="str">
        <f t="shared" ref="T9" si="10">REPT(CHAR(9),8)&amp;"("""&amp;D9&amp;"""),"</f>
        <v xml:space="preserve">								("FileId"),</v>
      </c>
      <c r="V9" s="64" t="str">
        <f t="shared" ref="V9" si="11">REPT(CHAR(9),8)&amp;"_ =&gt; _."&amp;D9&amp;","</f>
        <v xml:space="preserve">								_ =&gt; _.FileId,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.WhereIf(!string.IsNullOrWhiteSpace(input.FileId), e =&gt; e.FileId.Contains(input.FileId))</v>
      </c>
    </row>
    <row r="10" spans="1:23" customFormat="1" ht="18.75" customHeight="1" x14ac:dyDescent="0.25">
      <c r="A10" t="s">
        <v>359</v>
      </c>
      <c r="B10" t="s">
        <v>366</v>
      </c>
      <c r="C10" t="s">
        <v>1</v>
      </c>
      <c r="D10" t="str">
        <f t="shared" ref="D10:D11" si="13">SUBSTITUTE(PROPER(A10),"_","")</f>
        <v>FileDescription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MaxFileDescriptionLength = 200;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[StringLength(MaxFileDescriptionLength)]
		public virtual string FileDescription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FileDescription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[StringLength(IF_FQF3MM_LV2Consts.MaxFileDescriptionLength)]
		public virtual string FileDescription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FileDescription { get; set; }
</v>
      </c>
      <c r="P10" t="str">
        <f t="shared" ref="P10:P11" si="22">REPT(CHAR(9),7)&amp;D10&amp;" = o." &amp;D10 &amp;","</f>
        <v xml:space="preserve">							FileDescription = o.FileDescription,</v>
      </c>
      <c r="T10" s="63" t="str">
        <f t="shared" ref="T10:T11" si="23">REPT(CHAR(9),8)&amp;"("""&amp;D10&amp;"""),"</f>
        <v xml:space="preserve">								("FileDescription"),</v>
      </c>
      <c r="V10" s="64" t="str">
        <f t="shared" ref="V10:V11" si="24">REPT(CHAR(9),8)&amp;"_ =&gt; _."&amp;D10&amp;","</f>
        <v xml:space="preserve">								_ =&gt; _.FileDescription,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.WhereIf(!string.IsNullOrWhiteSpace(input.FileDescription), e =&gt; e.FileDescription.Contains(input.FileDescription))</v>
      </c>
    </row>
    <row r="11" spans="1:23" customFormat="1" ht="18.75" customHeight="1" x14ac:dyDescent="0.25">
      <c r="A11" t="s">
        <v>360</v>
      </c>
      <c r="B11" t="s">
        <v>367</v>
      </c>
      <c r="C11" t="s">
        <v>1</v>
      </c>
      <c r="D11" t="str">
        <f t="shared" si="13"/>
        <v>Content</v>
      </c>
      <c r="E11" t="str">
        <f t="shared" si="14"/>
        <v>nVARCHAR</v>
      </c>
      <c r="F11" s="6"/>
      <c r="G11" t="str">
        <f t="shared" si="15"/>
        <v>max</v>
      </c>
      <c r="H11" t="str">
        <f>+VLOOKUP(E11,'Data Type Mapping'!A:B,2,)</f>
        <v>string</v>
      </c>
      <c r="I11" t="str">
        <f t="shared" si="16"/>
        <v xml:space="preserve">		public const int MaxContentLength = max;
</v>
      </c>
      <c r="J11" t="str">
        <f t="shared" si="17"/>
        <v xml:space="preserve">		[StringLength(MaxContentLength)]
		public virtual string Content { get; set; }
</v>
      </c>
      <c r="K11" s="6"/>
      <c r="L11" t="str">
        <f t="shared" si="18"/>
        <v/>
      </c>
      <c r="M11" t="str">
        <f t="shared" si="19"/>
        <v xml:space="preserve">		public virtual string Content { get; set; }
</v>
      </c>
      <c r="N11" t="str">
        <f t="shared" si="20"/>
        <v xml:space="preserve">		[StringLength(IF_FQF3MM_LV2Consts.MaxContentLength)]
		public virtual string Content { get; set; }
</v>
      </c>
      <c r="O11" t="str">
        <f t="shared" si="21"/>
        <v xml:space="preserve">		public virtual string Content { get; set; }
</v>
      </c>
      <c r="P11" t="str">
        <f t="shared" si="22"/>
        <v xml:space="preserve">							Content = o.Content,</v>
      </c>
      <c r="T11" s="63" t="str">
        <f t="shared" si="23"/>
        <v xml:space="preserve">								("Content"),</v>
      </c>
      <c r="V11" s="64" t="str">
        <f t="shared" si="24"/>
        <v xml:space="preserve">								_ =&gt; _.Content,</v>
      </c>
      <c r="W11" s="63" t="str">
        <f t="shared" si="25"/>
        <v xml:space="preserve">				.WhereIf(!string.IsNullOrWhiteSpace(input.Content), e =&gt; e.Content.Contains(input.Content))</v>
      </c>
    </row>
    <row r="12" spans="1:23" customFormat="1" ht="18.75" customHeight="1" x14ac:dyDescent="0.25">
      <c r="A12" t="s">
        <v>361</v>
      </c>
      <c r="B12" t="s">
        <v>365</v>
      </c>
      <c r="C12" t="s">
        <v>1</v>
      </c>
      <c r="D12" t="str">
        <f t="shared" ref="D12:D15" si="26">SUBSTITUTE(PROPER(A12),"_","")</f>
        <v>InterfaceDate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MaxInterfaceDateLength = 50;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[StringLength(MaxInterfaceDateLength)]
		public virtual string InterfaceDate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InterfaceDate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[StringLength(IF_FQF3MM_LV2Consts.MaxInterfaceDateLength)]
		public virtual string InterfaceDate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InterfaceDate { get; set; }
</v>
      </c>
      <c r="P12" t="str">
        <f t="shared" ref="P12:P15" si="35">REPT(CHAR(9),7)&amp;D12&amp;" = o." &amp;D12 &amp;","</f>
        <v xml:space="preserve">							InterfaceDate = o.InterfaceDate,</v>
      </c>
      <c r="T12" s="63" t="str">
        <f t="shared" ref="T12:T15" si="36">REPT(CHAR(9),8)&amp;"("""&amp;D12&amp;"""),"</f>
        <v xml:space="preserve">								("InterfaceDate"),</v>
      </c>
      <c r="V12" s="64" t="str">
        <f t="shared" ref="V12:V15" si="37">REPT(CHAR(9),8)&amp;"_ =&gt; _."&amp;D12&amp;","</f>
        <v xml:space="preserve">								_ =&gt; _.InterfaceDate,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.WhereIf(!string.IsNullOrWhiteSpace(input.InterfaceDate), e =&gt; e.InterfaceDate.Contains(input.InterfaceDate))</v>
      </c>
    </row>
    <row r="13" spans="1:23" customFormat="1" ht="18.75" customHeight="1" x14ac:dyDescent="0.25">
      <c r="A13" t="s">
        <v>362</v>
      </c>
      <c r="B13" t="s">
        <v>368</v>
      </c>
      <c r="C13" t="s">
        <v>1</v>
      </c>
      <c r="D13" t="str">
        <f t="shared" si="26"/>
        <v>Status</v>
      </c>
      <c r="E13" t="str">
        <f t="shared" si="27"/>
        <v>VARCHAR</v>
      </c>
      <c r="F13" s="6"/>
      <c r="G13" t="str">
        <f t="shared" si="28"/>
        <v>20</v>
      </c>
      <c r="H13" t="str">
        <f>+VLOOKUP(E13,'Data Type Mapping'!A:B,2,)</f>
        <v>string</v>
      </c>
      <c r="I13" t="str">
        <f t="shared" si="29"/>
        <v xml:space="preserve">		public const int MaxStatusLength = 20;
</v>
      </c>
      <c r="J13" t="str">
        <f t="shared" si="30"/>
        <v xml:space="preserve">		[StringLength(MaxStatusLength)]
		public virtual string Status { get; set; }
</v>
      </c>
      <c r="K13" s="6"/>
      <c r="L13" t="str">
        <f t="shared" si="31"/>
        <v/>
      </c>
      <c r="M13" t="str">
        <f t="shared" si="32"/>
        <v xml:space="preserve">		public virtual string Status { get; set; }
</v>
      </c>
      <c r="N13" t="str">
        <f t="shared" si="33"/>
        <v xml:space="preserve">		[StringLength(IF_FQF3MM_LV2Consts.MaxStatusLength)]
		public virtual string Status { get; set; }
</v>
      </c>
      <c r="O13" t="str">
        <f t="shared" si="34"/>
        <v xml:space="preserve">		public virtual string Status { get; set; }
</v>
      </c>
      <c r="P13" t="str">
        <f t="shared" si="35"/>
        <v xml:space="preserve">							Status = o.Status,</v>
      </c>
      <c r="T13" s="63" t="str">
        <f t="shared" si="36"/>
        <v xml:space="preserve">								("Status"),</v>
      </c>
      <c r="V13" s="64" t="str">
        <f t="shared" si="37"/>
        <v xml:space="preserve">								_ =&gt; _.Status,</v>
      </c>
      <c r="W13" s="63" t="str">
        <f t="shared" si="38"/>
        <v xml:space="preserve">				.WhereIf(!string.IsNullOrWhiteSpace(input.Status), e =&gt; e.Status.Contains(input.Status))</v>
      </c>
    </row>
    <row r="14" spans="1:23" customFormat="1" ht="18.75" customHeight="1" x14ac:dyDescent="0.25">
      <c r="A14" t="s">
        <v>363</v>
      </c>
      <c r="B14" t="s">
        <v>356</v>
      </c>
      <c r="C14" t="s">
        <v>1</v>
      </c>
      <c r="D14" t="str">
        <f t="shared" si="26"/>
        <v>StatusDateTime</v>
      </c>
      <c r="E14" t="str">
        <f t="shared" si="27"/>
        <v>DateTime</v>
      </c>
      <c r="F14" s="6" t="s">
        <v>357</v>
      </c>
      <c r="G14" t="str">
        <f t="shared" si="28"/>
        <v/>
      </c>
      <c r="H14" t="str">
        <f>+VLOOKUP(E14,'Data Type Mapping'!A:B,2,)</f>
        <v>DateTime?</v>
      </c>
      <c r="I14" t="str">
        <f t="shared" si="29"/>
        <v/>
      </c>
      <c r="J14" t="str">
        <f t="shared" si="30"/>
        <v xml:space="preserve">		[Column(TypeName="Date")]
		public virtual DateTime? StatusDateTime { get; set; }
</v>
      </c>
      <c r="K14" s="6"/>
      <c r="L14" t="str">
        <f t="shared" si="31"/>
        <v/>
      </c>
      <c r="M14" t="str">
        <f t="shared" si="32"/>
        <v xml:space="preserve">		public virtual DateTime? StatusDateTime { get; set; }
</v>
      </c>
      <c r="N14" t="str">
        <f t="shared" si="33"/>
        <v xml:space="preserve">		public virtual DateTime? StatusDateTime { get; set; }
</v>
      </c>
      <c r="O14" t="str">
        <f t="shared" si="34"/>
        <v/>
      </c>
      <c r="P14" t="str">
        <f t="shared" si="35"/>
        <v xml:space="preserve">							StatusDateTime = o.StatusDateTime,</v>
      </c>
      <c r="T14" s="63" t="str">
        <f t="shared" si="36"/>
        <v xml:space="preserve">								("StatusDateTime"),</v>
      </c>
      <c r="V14" s="64" t="str">
        <f t="shared" si="37"/>
        <v xml:space="preserve">								_ =&gt; _.StatusDateTime,</v>
      </c>
      <c r="W14" s="63" t="str">
        <f t="shared" si="38"/>
        <v/>
      </c>
    </row>
    <row r="15" spans="1:23" customFormat="1" ht="18.75" customHeight="1" x14ac:dyDescent="0.25">
      <c r="A15" t="s">
        <v>364</v>
      </c>
      <c r="B15" t="s">
        <v>366</v>
      </c>
      <c r="C15" t="s">
        <v>1</v>
      </c>
      <c r="D15" t="str">
        <f t="shared" si="26"/>
        <v>FilePath</v>
      </c>
      <c r="E15" t="str">
        <f t="shared" si="27"/>
        <v>VARCHAR</v>
      </c>
      <c r="F15" s="6"/>
      <c r="G15" t="str">
        <f t="shared" si="28"/>
        <v>200</v>
      </c>
      <c r="H15" t="str">
        <f>+VLOOKUP(E15,'Data Type Mapping'!A:B,2,)</f>
        <v>string</v>
      </c>
      <c r="I15" t="str">
        <f t="shared" si="29"/>
        <v xml:space="preserve">		public const int MaxFilePathLength = 200;
</v>
      </c>
      <c r="J15" t="str">
        <f t="shared" si="30"/>
        <v xml:space="preserve">		[StringLength(MaxFilePathLength)]
		public virtual string FilePath { get; set; }
</v>
      </c>
      <c r="K15" s="6"/>
      <c r="L15" t="str">
        <f t="shared" si="31"/>
        <v/>
      </c>
      <c r="M15" t="str">
        <f t="shared" si="32"/>
        <v xml:space="preserve">		public virtual string FilePath { get; set; }
</v>
      </c>
      <c r="N15" t="str">
        <f t="shared" si="33"/>
        <v xml:space="preserve">		[StringLength(IF_FQF3MM_LV2Consts.MaxFilePathLength)]
		public virtual string FilePath { get; set; }
</v>
      </c>
      <c r="O15" t="str">
        <f t="shared" si="34"/>
        <v xml:space="preserve">		public virtual string FilePath { get; set; }
</v>
      </c>
      <c r="P15" t="str">
        <f t="shared" si="35"/>
        <v xml:space="preserve">							FilePath = o.FilePath,</v>
      </c>
      <c r="T15" s="63" t="str">
        <f t="shared" si="36"/>
        <v xml:space="preserve">								("FilePath"),</v>
      </c>
      <c r="V15" s="64" t="str">
        <f t="shared" si="37"/>
        <v xml:space="preserve">								_ =&gt; _.FilePath,</v>
      </c>
      <c r="W15" s="63" t="str">
        <f t="shared" si="38"/>
        <v xml:space="preserve">				.WhereIf(!string.IsNullOrWhiteSpace(input.FilePath), e =&gt; e.FilePath.Contains(input.FilePath))</v>
      </c>
    </row>
    <row r="17" spans="8:23" ht="45.75" customHeight="1" x14ac:dyDescent="0.25">
      <c r="H17" s="11"/>
      <c r="I17" s="31" t="e">
        <f ca="1">TEXTJOIN2("
", TRUE,INDIRECT( $H$1):INDIRECT( $H$3))</f>
        <v>#NAME?</v>
      </c>
      <c r="J17" s="30" t="e">
        <f ca="1">TEXTJOIN2("
", TRUE,INDIRECT( $F$1):INDIRECT( $F$3))</f>
        <v>#NAME?</v>
      </c>
      <c r="K17" s="32" t="e">
        <f ca="1">TEXTJOIN2("
", TRUE,INDIRECT( $J$1):INDIRECT( $J$3))</f>
        <v>#NAME?</v>
      </c>
      <c r="L17" s="12" t="s">
        <v>57</v>
      </c>
      <c r="M17" s="33" t="e">
        <f ca="1">TEXTJOIN2("
",TRUE,INDIRECT( $L$1):INDIRECT($L$3))</f>
        <v>#NAME?</v>
      </c>
      <c r="N17" s="30" t="e">
        <f ca="1">TEXTJOIN2("
",TRUE,INDIRECT( $M$1):INDIRECT($M$3))</f>
        <v>#NAME?</v>
      </c>
      <c r="O17" s="30" t="e">
        <f ca="1">TEXTJOIN2("
",TRUE,INDIRECT( $N$1):INDIRECT($N$3))</f>
        <v>#NAME?</v>
      </c>
      <c r="P17" s="8" t="e">
        <f ca="1">TEXTJOIN2("
",TRUE,INDIRECT( $O$1):INDIRECT($O$3))</f>
        <v>#NAME?</v>
      </c>
      <c r="T17" s="8" t="e">
        <f ca="1">TEXTJOIN2("
",TRUE,INDIRECT( $T$2):INDIRECT($T$3))</f>
        <v>#NAME?</v>
      </c>
      <c r="V17" s="8" t="e">
        <f ca="1">TEXTJOIN2("
",TRUE,INDIRECT( $V$2):INDIRECT($V$3))</f>
        <v>#NAME?</v>
      </c>
      <c r="W17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3"/>
  <sheetViews>
    <sheetView workbookViewId="0">
      <selection activeCell="B8" sqref="B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371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IF_FQF3MM_LV2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FQF3MM_LV2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fqf3mm_lv2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FQF3MM_LV2RoutingModule } from './fqf3mm_lv2-routing.module';
import { FQF3MM_LV2Component } from './fqf3mm_lv2.component';
import { CreateOrEditFQF3MM_LV2ModalComponent } from './create-or-edit-fqf3mm_lv2-modal.component';
@NgModule({
    declarations: [
       FQF3MM_LV2Component, 
        CreateOrEditFQF3MM_LV2ModalComponent
    ],
    imports: [
        AppSharedModule, FQF3MM_LV2RoutingModule]
})
export class FQF3MM_LV2Module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FQF3MM_LV2Component } from './fqf3mm_lv2.component';
const routes: Routes = [{
    path: '',
    component: FQF3MM_LV2Component,
    pathMatch: 'full'
}];
@NgModule({
    imports: [RouterModule.forChild(routes)],
    exports: [RouterModule],
})
export class FQF3MM_LV2RoutingModule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AppMenuItem("FQF3MM_LV2", "Pages.IF.IF.FQF3MM_LV2", "flaticon-book",   "/app/main/if/if/fqf3mm_lv2"),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'if/if/fqf3mm_lv2',
    loadChildren: () =&gt; import('./if/if/fqf3mm_lv2/fqf3mm_lv2.module').then(m =&gt; m.FQF3MM_LV2Module),
    data: { permission: 'Pages.IF.IF.FQF3MM_LV2' }
},</v>
      </c>
      <c r="R10" s="47" t="str">
        <f>SUBSTITUTE(R9,"MstWptCalendar",$B$6)</f>
        <v>ApiServiceProxies.IF_FQF3MM_LV2ServiceProxy,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fqf3mm_lv2.component.ts</v>
      </c>
      <c r="I14" s="37" t="str">
        <f>B8&amp;".component.html"</f>
        <v>fqf3mm_lv2.component.html</v>
      </c>
      <c r="J14" s="36" t="str">
        <f>B8&amp;".component.less"</f>
        <v>fqf3mm_lv2.component.less</v>
      </c>
      <c r="K14" s="37" t="str">
        <f>"create-or-edit-"&amp;B8&amp;"-modal.component.html"</f>
        <v>create-or-edit-fqf3mm_lv2-modal.component.html</v>
      </c>
      <c r="L14" s="37" t="str">
        <f>"create-or-edit-"&amp;B8&amp;"-modal.component.ts"</f>
        <v>create-or-edit-fqf3mm_lv2-modal.component.ts</v>
      </c>
      <c r="M14" s="37" t="str">
        <f>"create-or-edit-"&amp;B8&amp;"-modal.component.less"</f>
        <v>create-or-edit-fqf3mm_lv2-modal.component.less</v>
      </c>
      <c r="N14" s="37" t="str">
        <f>B8&amp;".module.ts"</f>
        <v>fqf3mm_lv2.module.ts</v>
      </c>
      <c r="O14" s="37" t="str">
        <f>B8&amp;"-routing.module.ts"</f>
        <v>fqf3mm_lv2-routing.module.ts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" si="0">SUBSTITUTE(PROPER(A15),"_","")</f>
        <v>FileId</v>
      </c>
      <c r="C15" s="28" t="str">
        <f t="shared" ref="C15" si="1">SUBSTITUTE(PROPER(A15),"_"," ")</f>
        <v>File Id</v>
      </c>
      <c r="D15" s="28" t="str">
        <f t="shared" ref="D15" si="2">LOWER(LEFT(B15,1))&amp;RIGHT(B15,LEN(B15) - 1)</f>
        <v>fileId</v>
      </c>
      <c r="E15" s="28" t="str">
        <f>A.Backend!H9</f>
        <v>string</v>
      </c>
      <c r="F15" s="28" t="str">
        <f>A.Backend!G9</f>
        <v>50</v>
      </c>
      <c r="G15" s="28" t="str">
        <f t="shared" ref="G15:G21" si="3">IF(E15="string"," : string = '' ; ",IF(OR(E15="DateTime",E15="TimeSpan")," : any ;",IF(E15="int"," : number = 0 ;","")))</f>
        <v xml:space="preserve"> : string = '' ; </v>
      </c>
      <c r="H15" s="35" t="str">
        <f t="shared" ref="H15:H2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this.l('File Id'),headerTooltip: this.l('File Id'),field: 'fileId',flex: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[(ngModel)]='fileId' name='fileId'
									class='form-control' [placeholder]="l('File Id')"
									type='text' (keyup.enter)='searchDatas()'&gt;
								&lt;/div&gt;</v>
      </c>
      <c r="J15" s="28"/>
      <c r="K15" s="35" t="str">
        <f t="shared" ref="K15:K21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title'&gt;File Id&lt;/label&gt;
						&lt;input type='text' class='col-md-10 form-control input-text' name='FileId' [(ngModel)]='rowdata.fileId'&gt;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fileId : string = '' ; </v>
      </c>
      <c r="T15" s="28" t="str">
        <f>REPT(CHAR(9),3)&amp;"this."&amp;D15&amp;","</f>
        <v xml:space="preserve">			this.fileId,</v>
      </c>
      <c r="U15" s="28" t="str">
        <f>IF(E15="int",REPT(CHAR(9),2)&amp;"this."&amp;D15&amp;" = 0,",REPT(CHAR(9),2)&amp;"this."&amp;D15&amp;" = '',")</f>
        <v xml:space="preserve">		this.fileId = '',</v>
      </c>
      <c r="V15" s="28" t="str">
        <f t="shared" ref="V15:V21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FileDescription</v>
      </c>
      <c r="C16" s="28" t="str">
        <f t="shared" ref="C16" si="10">SUBSTITUTE(PROPER(A16),"_"," ")</f>
        <v>File Description</v>
      </c>
      <c r="D16" s="28" t="str">
        <f t="shared" ref="D16" si="11">LOWER(LEFT(B16,1))&amp;RIGHT(B16,LEN(B16) - 1)</f>
        <v>fileDescription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this.l('File Description'),headerTooltip: this.l('File Description'),field: 'fileDescription',flex: 1},</v>
      </c>
      <c r="I16" s="35" t="str">
        <f t="shared" si="5"/>
        <v xml:space="preserve">								&lt;div class='input-search'&gt;
									&lt;input [(ngModel)]='fileDescription' name='fileDescription'
									class='form-control' [placeholder]="l('File Description')"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title'&gt;File Description&lt;/label&gt;
						&lt;input type='text' class='col-md-10 form-control input-text' name='FileDescription' [(ngModel)]='rowdata.fileDescription'&gt;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3">REPT(CHAR(9),1)&amp;D16&amp;G16</f>
        <v xml:space="preserve">	fileDescription : string = '' ; </v>
      </c>
      <c r="T16" s="28" t="str">
        <f t="shared" ref="T16:T21" si="14">REPT(CHAR(9),3)&amp;"this."&amp;D16&amp;","</f>
        <v xml:space="preserve">			this.fileDescription,</v>
      </c>
      <c r="U16" s="28" t="str">
        <f t="shared" ref="U16:U21" si="15">IF(E16="int",REPT(CHAR(9),2)&amp;"this."&amp;D16&amp;" = 0,",REPT(CHAR(9),2)&amp;"this."&amp;D16&amp;" = '',")</f>
        <v xml:space="preserve">		this.fileDescription = '',</v>
      </c>
      <c r="V16" s="28" t="str">
        <f t="shared" si="8"/>
        <v/>
      </c>
    </row>
    <row r="17" spans="1:22" ht="18" customHeight="1" x14ac:dyDescent="0.25">
      <c r="A17" t="s">
        <v>360</v>
      </c>
      <c r="B17" s="28" t="str">
        <f>SUBSTITUTE(PROPER(A17),"_","")</f>
        <v>Content</v>
      </c>
      <c r="C17" s="28" t="str">
        <f>SUBSTITUTE(PROPER(A17),"_"," ")</f>
        <v>Content</v>
      </c>
      <c r="D17" s="28" t="str">
        <f>LOWER(LEFT(B17,1))&amp;RIGHT(B17,LEN(B17) - 1)</f>
        <v>content</v>
      </c>
      <c r="E17" s="28" t="str">
        <f>A.Backend!H11</f>
        <v>string</v>
      </c>
      <c r="F17" s="28" t="str">
        <f>A.Backend!G11</f>
        <v>max</v>
      </c>
      <c r="G17" s="28" t="str">
        <f t="shared" si="3"/>
        <v xml:space="preserve"> : string = '' ; </v>
      </c>
      <c r="H17" s="35" t="str">
        <f t="shared" si="4"/>
        <v xml:space="preserve">			{headerName: this.l('Content'),headerTooltip: this.l('Content'),field: 'content',flex: 1},</v>
      </c>
      <c r="I17" s="35" t="str">
        <f t="shared" si="5"/>
        <v xml:space="preserve">								&lt;div class='input-search'&gt;
									&lt;input [(ngModel)]='content' name='content'
									class='form-control' [placeholder]="l('Content')"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title'&gt;Content&lt;/label&gt;
						&lt;input type='text' class='col-md-10 form-control input-text' name='Content' [(ngModel)]='rowdata.content'&gt;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content : string = '' ; </v>
      </c>
      <c r="T17" s="28" t="str">
        <f t="shared" si="14"/>
        <v xml:space="preserve">			this.content,</v>
      </c>
      <c r="U17" s="28" t="str">
        <f t="shared" si="15"/>
        <v xml:space="preserve">		this.content = '',</v>
      </c>
      <c r="V17" s="28" t="str">
        <f t="shared" si="8"/>
        <v/>
      </c>
    </row>
    <row r="18" spans="1:22" ht="15" customHeight="1" x14ac:dyDescent="0.25">
      <c r="A18" t="s">
        <v>361</v>
      </c>
      <c r="B18" s="28" t="str">
        <f t="shared" ref="B18:B21" si="16">SUBSTITUTE(PROPER(A18),"_","")</f>
        <v>InterfaceDate</v>
      </c>
      <c r="C18" s="28" t="str">
        <f t="shared" ref="C18:C21" si="17">SUBSTITUTE(PROPER(A18),"_"," ")</f>
        <v>Interface Date</v>
      </c>
      <c r="D18" s="28" t="str">
        <f t="shared" ref="D18:D21" si="18">LOWER(LEFT(B18,1))&amp;RIGHT(B18,LEN(B18) - 1)</f>
        <v>interfaceDate</v>
      </c>
      <c r="E18" s="28" t="str">
        <f>A.Backend!H12</f>
        <v>string</v>
      </c>
      <c r="F18" s="28" t="str">
        <f>A.Backend!G12</f>
        <v>50</v>
      </c>
      <c r="G18" s="28" t="str">
        <f t="shared" si="3"/>
        <v xml:space="preserve"> : string = '' ; </v>
      </c>
      <c r="H18" s="35" t="str">
        <f t="shared" si="4"/>
        <v xml:space="preserve">			{headerName: this.l('Interface Date'),headerTooltip: this.l('Interface Date'),field: 'interfaceDate',flex: 1},</v>
      </c>
      <c r="I18" s="35" t="str">
        <f t="shared" si="5"/>
        <v xml:space="preserve">								&lt;div class='input-search'&gt;
									&lt;input [(ngModel)]='interfaceDate' name='interfaceDate'
									class='form-control' [placeholder]="l('Interface Date')"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title'&gt;Interface Date&lt;/label&gt;
						&lt;input type='text' class='col-md-10 form-control input-text' name='InterfaceDate' [(ngModel)]='rowdata.interfaceDate'&gt;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interfaceDate : string = '' ; </v>
      </c>
      <c r="T18" s="28" t="str">
        <f t="shared" si="14"/>
        <v xml:space="preserve">			this.interfaceDate,</v>
      </c>
      <c r="U18" s="28" t="str">
        <f t="shared" si="15"/>
        <v xml:space="preserve">		this.interfaceDate = '',</v>
      </c>
      <c r="V18" s="28" t="str">
        <f t="shared" si="8"/>
        <v/>
      </c>
    </row>
    <row r="19" spans="1:22" ht="18" customHeight="1" x14ac:dyDescent="0.25">
      <c r="A19" t="s">
        <v>362</v>
      </c>
      <c r="B19" s="28" t="str">
        <f t="shared" si="16"/>
        <v>Status</v>
      </c>
      <c r="C19" s="28" t="str">
        <f t="shared" si="17"/>
        <v>Status</v>
      </c>
      <c r="D19" s="28" t="str">
        <f t="shared" si="18"/>
        <v>status</v>
      </c>
      <c r="E19" s="28" t="str">
        <f>A.Backend!H13</f>
        <v>string</v>
      </c>
      <c r="F19" s="28" t="str">
        <f>A.Backend!G13</f>
        <v>20</v>
      </c>
      <c r="G19" s="28" t="str">
        <f t="shared" si="3"/>
        <v xml:space="preserve"> : string = '' ; </v>
      </c>
      <c r="H19" s="35" t="str">
        <f t="shared" si="4"/>
        <v xml:space="preserve">			{headerName: this.l('Status'),headerTooltip: this.l('Status'),field: 'status',flex: 1},</v>
      </c>
      <c r="I19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status : string = '' ; </v>
      </c>
      <c r="T19" s="28" t="str">
        <f t="shared" si="14"/>
        <v xml:space="preserve">			this.status,</v>
      </c>
      <c r="U19" s="28" t="str">
        <f t="shared" si="15"/>
        <v xml:space="preserve">		this.status = '',</v>
      </c>
      <c r="V19" s="28" t="str">
        <f t="shared" si="8"/>
        <v/>
      </c>
    </row>
    <row r="20" spans="1:22" ht="15" customHeight="1" x14ac:dyDescent="0.25">
      <c r="A20" t="s">
        <v>363</v>
      </c>
      <c r="B20" s="28" t="str">
        <f t="shared" si="16"/>
        <v>StatusDateTime</v>
      </c>
      <c r="C20" s="28" t="str">
        <f t="shared" si="17"/>
        <v>Status Date Time</v>
      </c>
      <c r="D20" s="28" t="str">
        <f t="shared" si="18"/>
        <v>statusDateTime</v>
      </c>
      <c r="E20" s="28" t="str">
        <f>A.Backend!H14</f>
        <v>DateTime?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this.l('Status Date Time'),headerTooltip: this.l('Status Date Time'),field: 'statusDateTime',flex: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statusDateTime</v>
      </c>
      <c r="T20" s="28" t="str">
        <f t="shared" si="14"/>
        <v xml:space="preserve">			this.statusDateTime,</v>
      </c>
      <c r="U20" s="28" t="str">
        <f t="shared" si="15"/>
        <v xml:space="preserve">		this.statusDateTime = '',</v>
      </c>
      <c r="V20" s="28" t="str">
        <f t="shared" si="8"/>
        <v/>
      </c>
    </row>
    <row r="21" spans="1:22" ht="18" customHeight="1" x14ac:dyDescent="0.25">
      <c r="A21" t="s">
        <v>364</v>
      </c>
      <c r="B21" s="28" t="str">
        <f t="shared" si="16"/>
        <v>FilePath</v>
      </c>
      <c r="C21" s="28" t="str">
        <f t="shared" si="17"/>
        <v>File Path</v>
      </c>
      <c r="D21" s="28" t="str">
        <f t="shared" si="18"/>
        <v>filePath</v>
      </c>
      <c r="E21" s="28" t="str">
        <f>A.Backend!H15</f>
        <v>string</v>
      </c>
      <c r="F21" s="28" t="str">
        <f>A.Backend!G15</f>
        <v>200</v>
      </c>
      <c r="G21" s="28" t="str">
        <f t="shared" si="3"/>
        <v xml:space="preserve"> : string = '' ; </v>
      </c>
      <c r="H21" s="35" t="str">
        <f t="shared" si="4"/>
        <v xml:space="preserve">			{headerName: this.l('File Path'),headerTooltip: this.l('File Path'),field: 'filePath',flex: 1},</v>
      </c>
      <c r="I21" s="35" t="str">
        <f t="shared" si="5"/>
        <v xml:space="preserve">								&lt;div class='input-search'&gt;
									&lt;input [(ngModel)]='filePath' name='filePath'
									class='form-control' [placeholder]="l('File Path')"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title'&gt;File Path&lt;/label&gt;
						&lt;input type='text' class='col-md-10 form-control input-text' name='FilePath' [(ngModel)]='rowdata.filePath'&gt;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filePath : string = '' ; </v>
      </c>
      <c r="T21" s="28" t="str">
        <f t="shared" si="14"/>
        <v xml:space="preserve">			this.filePath,</v>
      </c>
      <c r="U21" s="28" t="str">
        <f t="shared" si="15"/>
        <v xml:space="preserve">		this.filePath = '',</v>
      </c>
      <c r="V21" s="28" t="str">
        <f t="shared" si="8"/>
        <v/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admin</cp:lastModifiedBy>
  <dcterms:created xsi:type="dcterms:W3CDTF">2022-04-01T07:31:40Z</dcterms:created>
  <dcterms:modified xsi:type="dcterms:W3CDTF">2023-07-20T07:43:08Z</dcterms:modified>
</cp:coreProperties>
</file>
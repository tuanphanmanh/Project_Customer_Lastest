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interface\"/>
    </mc:Choice>
  </mc:AlternateContent>
  <xr:revisionPtr revIDLastSave="0" documentId="13_ncr:1_{03E90E9F-CCBB-4C8F-80F7-19300B18445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6" i="5" l="1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L37" i="5" s="1"/>
  <c r="E38" i="5"/>
  <c r="E39" i="5"/>
  <c r="E40" i="5"/>
  <c r="E41" i="5"/>
  <c r="E42" i="5"/>
  <c r="E43" i="5"/>
  <c r="E44" i="5"/>
  <c r="E45" i="5"/>
  <c r="E46" i="5"/>
  <c r="E47" i="5"/>
  <c r="E48" i="5"/>
  <c r="E49" i="5"/>
  <c r="L49" i="5" s="1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L30" i="5"/>
  <c r="L29" i="5"/>
  <c r="L48" i="5"/>
  <c r="L47" i="5"/>
  <c r="L46" i="5"/>
  <c r="L45" i="5"/>
  <c r="L43" i="5"/>
  <c r="L42" i="5"/>
  <c r="L40" i="5"/>
  <c r="L36" i="5"/>
  <c r="L21" i="5"/>
  <c r="L54" i="5"/>
  <c r="L59" i="5"/>
  <c r="L60" i="5"/>
  <c r="L65" i="5"/>
  <c r="L70" i="5"/>
  <c r="L71" i="5"/>
  <c r="E57" i="1"/>
  <c r="H57" i="1" s="1"/>
  <c r="G45" i="1"/>
  <c r="E33" i="1"/>
  <c r="H33" i="1" s="1"/>
  <c r="L38" i="1"/>
  <c r="G38" i="1"/>
  <c r="E38" i="1"/>
  <c r="H38" i="1" s="1"/>
  <c r="D38" i="1"/>
  <c r="V38" i="1" s="1"/>
  <c r="L37" i="1"/>
  <c r="G37" i="1"/>
  <c r="E37" i="1"/>
  <c r="H37" i="1" s="1"/>
  <c r="D37" i="1"/>
  <c r="V37" i="1" s="1"/>
  <c r="L36" i="1"/>
  <c r="G36" i="1"/>
  <c r="E36" i="1"/>
  <c r="H36" i="1" s="1"/>
  <c r="J36" i="1" s="1"/>
  <c r="D36" i="1"/>
  <c r="V36" i="1" s="1"/>
  <c r="L35" i="1"/>
  <c r="G35" i="1"/>
  <c r="E35" i="1"/>
  <c r="H35" i="1" s="1"/>
  <c r="N35" i="1" s="1"/>
  <c r="D35" i="1"/>
  <c r="V35" i="1" s="1"/>
  <c r="L34" i="1"/>
  <c r="G34" i="1"/>
  <c r="E34" i="1"/>
  <c r="H34" i="1" s="1"/>
  <c r="O34" i="1" s="1"/>
  <c r="D34" i="1"/>
  <c r="V34" i="1" s="1"/>
  <c r="L33" i="1"/>
  <c r="G33" i="1"/>
  <c r="D33" i="1"/>
  <c r="T33" i="1" s="1"/>
  <c r="L32" i="1"/>
  <c r="G32" i="1"/>
  <c r="E32" i="1"/>
  <c r="H32" i="1" s="1"/>
  <c r="D32" i="1"/>
  <c r="V32" i="1" s="1"/>
  <c r="L31" i="1"/>
  <c r="G31" i="1"/>
  <c r="E31" i="1"/>
  <c r="H31" i="1" s="1"/>
  <c r="D31" i="1"/>
  <c r="V31" i="1" s="1"/>
  <c r="T30" i="1"/>
  <c r="L30" i="1"/>
  <c r="G30" i="1"/>
  <c r="E30" i="1"/>
  <c r="H30" i="1" s="1"/>
  <c r="J30" i="1" s="1"/>
  <c r="D30" i="1"/>
  <c r="V30" i="1" s="1"/>
  <c r="L29" i="1"/>
  <c r="G29" i="1"/>
  <c r="E29" i="1"/>
  <c r="H29" i="1" s="1"/>
  <c r="D29" i="1"/>
  <c r="V29" i="1" s="1"/>
  <c r="L28" i="1"/>
  <c r="G28" i="1"/>
  <c r="E28" i="1"/>
  <c r="H28" i="1" s="1"/>
  <c r="D28" i="1"/>
  <c r="V28" i="1" s="1"/>
  <c r="L27" i="1"/>
  <c r="G27" i="1"/>
  <c r="E27" i="1"/>
  <c r="H27" i="1" s="1"/>
  <c r="D27" i="1"/>
  <c r="T27" i="1" s="1"/>
  <c r="L26" i="1"/>
  <c r="G26" i="1"/>
  <c r="E26" i="1"/>
  <c r="H26" i="1" s="1"/>
  <c r="W26" i="1" s="1"/>
  <c r="D26" i="1"/>
  <c r="V26" i="1" s="1"/>
  <c r="L56" i="1"/>
  <c r="G56" i="1"/>
  <c r="E56" i="1"/>
  <c r="H56" i="1" s="1"/>
  <c r="D56" i="1"/>
  <c r="V56" i="1" s="1"/>
  <c r="L55" i="1"/>
  <c r="G55" i="1"/>
  <c r="E55" i="1"/>
  <c r="H55" i="1" s="1"/>
  <c r="D55" i="1"/>
  <c r="V55" i="1" s="1"/>
  <c r="L54" i="1"/>
  <c r="G54" i="1"/>
  <c r="E54" i="1"/>
  <c r="H54" i="1" s="1"/>
  <c r="D54" i="1"/>
  <c r="V54" i="1" s="1"/>
  <c r="L53" i="1"/>
  <c r="G53" i="1"/>
  <c r="E53" i="1"/>
  <c r="H53" i="1" s="1"/>
  <c r="D53" i="1"/>
  <c r="V53" i="1" s="1"/>
  <c r="L52" i="1"/>
  <c r="G52" i="1"/>
  <c r="E52" i="1"/>
  <c r="H52" i="1" s="1"/>
  <c r="D52" i="1"/>
  <c r="V52" i="1" s="1"/>
  <c r="L51" i="1"/>
  <c r="G51" i="1"/>
  <c r="E51" i="1"/>
  <c r="H51" i="1" s="1"/>
  <c r="D51" i="1"/>
  <c r="T51" i="1" s="1"/>
  <c r="L50" i="1"/>
  <c r="G50" i="1"/>
  <c r="E50" i="1"/>
  <c r="H50" i="1" s="1"/>
  <c r="D50" i="1"/>
  <c r="V50" i="1" s="1"/>
  <c r="L49" i="1"/>
  <c r="G49" i="1"/>
  <c r="E49" i="1"/>
  <c r="H49" i="1" s="1"/>
  <c r="D49" i="1"/>
  <c r="V49" i="1" s="1"/>
  <c r="L48" i="1"/>
  <c r="G48" i="1"/>
  <c r="E48" i="1"/>
  <c r="H48" i="1" s="1"/>
  <c r="D48" i="1"/>
  <c r="V48" i="1" s="1"/>
  <c r="L47" i="1"/>
  <c r="G47" i="1"/>
  <c r="E47" i="1"/>
  <c r="H47" i="1" s="1"/>
  <c r="D47" i="1"/>
  <c r="V47" i="1" s="1"/>
  <c r="L46" i="1"/>
  <c r="H46" i="1"/>
  <c r="G46" i="1"/>
  <c r="E46" i="1"/>
  <c r="D46" i="1"/>
  <c r="V46" i="1" s="1"/>
  <c r="L45" i="1"/>
  <c r="D45" i="1"/>
  <c r="T45" i="1" s="1"/>
  <c r="L44" i="1"/>
  <c r="G44" i="1"/>
  <c r="E44" i="1"/>
  <c r="H44" i="1" s="1"/>
  <c r="D44" i="1"/>
  <c r="V44" i="1" s="1"/>
  <c r="L43" i="1"/>
  <c r="G43" i="1"/>
  <c r="E43" i="1"/>
  <c r="H43" i="1" s="1"/>
  <c r="D43" i="1"/>
  <c r="V43" i="1" s="1"/>
  <c r="L63" i="1"/>
  <c r="G63" i="1"/>
  <c r="E63" i="1"/>
  <c r="H63" i="1" s="1"/>
  <c r="D63" i="1"/>
  <c r="V63" i="1" s="1"/>
  <c r="L62" i="1"/>
  <c r="G62" i="1"/>
  <c r="E62" i="1"/>
  <c r="H62" i="1" s="1"/>
  <c r="D62" i="1"/>
  <c r="V62" i="1" s="1"/>
  <c r="L61" i="1"/>
  <c r="G61" i="1"/>
  <c r="E61" i="1"/>
  <c r="H61" i="1" s="1"/>
  <c r="D61" i="1"/>
  <c r="V61" i="1" s="1"/>
  <c r="L60" i="1"/>
  <c r="G60" i="1"/>
  <c r="E60" i="1"/>
  <c r="H60" i="1" s="1"/>
  <c r="D60" i="1"/>
  <c r="V60" i="1" s="1"/>
  <c r="L59" i="1"/>
  <c r="G59" i="1"/>
  <c r="E59" i="1"/>
  <c r="H59" i="1" s="1"/>
  <c r="D59" i="1"/>
  <c r="V59" i="1" s="1"/>
  <c r="L58" i="1"/>
  <c r="G58" i="1"/>
  <c r="E58" i="1"/>
  <c r="H58" i="1" s="1"/>
  <c r="D58" i="1"/>
  <c r="T58" i="1" s="1"/>
  <c r="L57" i="1"/>
  <c r="G57" i="1"/>
  <c r="D57" i="1"/>
  <c r="V57" i="1" s="1"/>
  <c r="D22" i="1"/>
  <c r="P22" i="1" s="1"/>
  <c r="E22" i="1"/>
  <c r="H22" i="1" s="1"/>
  <c r="G22" i="1"/>
  <c r="L22" i="1"/>
  <c r="D23" i="1"/>
  <c r="E23" i="1"/>
  <c r="H23" i="1" s="1"/>
  <c r="G23" i="1"/>
  <c r="L23" i="1"/>
  <c r="D24" i="1"/>
  <c r="V24" i="1" s="1"/>
  <c r="E24" i="1"/>
  <c r="H24" i="1" s="1"/>
  <c r="G24" i="1"/>
  <c r="L24" i="1"/>
  <c r="D25" i="1"/>
  <c r="P25" i="1" s="1"/>
  <c r="E25" i="1"/>
  <c r="H25" i="1" s="1"/>
  <c r="G25" i="1"/>
  <c r="L25" i="1"/>
  <c r="D39" i="1"/>
  <c r="T39" i="1" s="1"/>
  <c r="E39" i="1"/>
  <c r="H39" i="1" s="1"/>
  <c r="G39" i="1"/>
  <c r="L39" i="1"/>
  <c r="D40" i="1"/>
  <c r="E40" i="1"/>
  <c r="H40" i="1" s="1"/>
  <c r="G40" i="1"/>
  <c r="L40" i="1"/>
  <c r="D41" i="1"/>
  <c r="E41" i="1"/>
  <c r="H41" i="1" s="1"/>
  <c r="G41" i="1"/>
  <c r="L41" i="1"/>
  <c r="D42" i="1"/>
  <c r="E42" i="1"/>
  <c r="H42" i="1" s="1"/>
  <c r="G42" i="1"/>
  <c r="L42" i="1"/>
  <c r="D64" i="1"/>
  <c r="P64" i="1" s="1"/>
  <c r="E64" i="1"/>
  <c r="H64" i="1" s="1"/>
  <c r="G64" i="1"/>
  <c r="L64" i="1"/>
  <c r="D65" i="1"/>
  <c r="E65" i="1"/>
  <c r="H65" i="1" s="1"/>
  <c r="G65" i="1"/>
  <c r="L65" i="1"/>
  <c r="D66" i="1"/>
  <c r="V66" i="1" s="1"/>
  <c r="E66" i="1"/>
  <c r="H66" i="1" s="1"/>
  <c r="G66" i="1"/>
  <c r="L66" i="1"/>
  <c r="D67" i="1"/>
  <c r="P67" i="1" s="1"/>
  <c r="E67" i="1"/>
  <c r="H67" i="1" s="1"/>
  <c r="G67" i="1"/>
  <c r="L67" i="1"/>
  <c r="D68" i="1"/>
  <c r="E68" i="1"/>
  <c r="H68" i="1" s="1"/>
  <c r="G68" i="1"/>
  <c r="L68" i="1"/>
  <c r="L72" i="5" l="1"/>
  <c r="L31" i="5"/>
  <c r="L24" i="5"/>
  <c r="L58" i="5"/>
  <c r="L20" i="5"/>
  <c r="L26" i="5"/>
  <c r="L32" i="5"/>
  <c r="L19" i="5"/>
  <c r="L27" i="5"/>
  <c r="L33" i="5"/>
  <c r="L25" i="5"/>
  <c r="L41" i="5"/>
  <c r="L28" i="5"/>
  <c r="L34" i="5"/>
  <c r="L35" i="5"/>
  <c r="L66" i="5"/>
  <c r="L64" i="5"/>
  <c r="L22" i="5"/>
  <c r="L38" i="5"/>
  <c r="L44" i="5"/>
  <c r="L50" i="5"/>
  <c r="L23" i="5"/>
  <c r="L39" i="5"/>
  <c r="L51" i="5"/>
  <c r="L52" i="5"/>
  <c r="L69" i="5"/>
  <c r="L63" i="5"/>
  <c r="L57" i="5"/>
  <c r="L53" i="5"/>
  <c r="L74" i="5"/>
  <c r="L68" i="5"/>
  <c r="L62" i="5"/>
  <c r="L56" i="5"/>
  <c r="L73" i="5"/>
  <c r="L67" i="5"/>
  <c r="L61" i="5"/>
  <c r="L55" i="5"/>
  <c r="E45" i="1"/>
  <c r="H45" i="1" s="1"/>
  <c r="M29" i="1"/>
  <c r="N29" i="1"/>
  <c r="O28" i="1"/>
  <c r="M28" i="1"/>
  <c r="T34" i="1"/>
  <c r="M36" i="1"/>
  <c r="W32" i="1"/>
  <c r="J29" i="1"/>
  <c r="M35" i="1"/>
  <c r="J28" i="1"/>
  <c r="O29" i="1"/>
  <c r="T31" i="1"/>
  <c r="J35" i="1"/>
  <c r="O52" i="1"/>
  <c r="T26" i="1"/>
  <c r="P28" i="1"/>
  <c r="J34" i="1"/>
  <c r="O35" i="1"/>
  <c r="T28" i="1"/>
  <c r="M34" i="1"/>
  <c r="W38" i="1"/>
  <c r="M30" i="1"/>
  <c r="T32" i="1"/>
  <c r="P34" i="1"/>
  <c r="J54" i="1"/>
  <c r="M54" i="1"/>
  <c r="W37" i="1"/>
  <c r="I37" i="1"/>
  <c r="O37" i="1"/>
  <c r="N37" i="1"/>
  <c r="J37" i="1"/>
  <c r="M37" i="1"/>
  <c r="O33" i="1"/>
  <c r="N33" i="1"/>
  <c r="M33" i="1"/>
  <c r="W33" i="1"/>
  <c r="J33" i="1"/>
  <c r="I33" i="1"/>
  <c r="O27" i="1"/>
  <c r="N27" i="1"/>
  <c r="M27" i="1"/>
  <c r="J27" i="1"/>
  <c r="I27" i="1"/>
  <c r="W27" i="1"/>
  <c r="W31" i="1"/>
  <c r="I31" i="1"/>
  <c r="O31" i="1"/>
  <c r="N31" i="1"/>
  <c r="M31" i="1"/>
  <c r="J31" i="1"/>
  <c r="V27" i="1"/>
  <c r="V33" i="1"/>
  <c r="M52" i="1"/>
  <c r="I26" i="1"/>
  <c r="P29" i="1"/>
  <c r="N30" i="1"/>
  <c r="I32" i="1"/>
  <c r="P35" i="1"/>
  <c r="N36" i="1"/>
  <c r="I38" i="1"/>
  <c r="J26" i="1"/>
  <c r="W28" i="1"/>
  <c r="T29" i="1"/>
  <c r="O30" i="1"/>
  <c r="J32" i="1"/>
  <c r="W34" i="1"/>
  <c r="T35" i="1"/>
  <c r="O36" i="1"/>
  <c r="J38" i="1"/>
  <c r="P30" i="1"/>
  <c r="P36" i="1"/>
  <c r="M26" i="1"/>
  <c r="W29" i="1"/>
  <c r="M32" i="1"/>
  <c r="W35" i="1"/>
  <c r="T36" i="1"/>
  <c r="M38" i="1"/>
  <c r="N26" i="1"/>
  <c r="I28" i="1"/>
  <c r="P31" i="1"/>
  <c r="N32" i="1"/>
  <c r="I34" i="1"/>
  <c r="P37" i="1"/>
  <c r="N38" i="1"/>
  <c r="O26" i="1"/>
  <c r="W30" i="1"/>
  <c r="O32" i="1"/>
  <c r="W36" i="1"/>
  <c r="T37" i="1"/>
  <c r="O38" i="1"/>
  <c r="P26" i="1"/>
  <c r="I29" i="1"/>
  <c r="P32" i="1"/>
  <c r="I35" i="1"/>
  <c r="P38" i="1"/>
  <c r="T38" i="1"/>
  <c r="P27" i="1"/>
  <c r="N28" i="1"/>
  <c r="I30" i="1"/>
  <c r="P33" i="1"/>
  <c r="N34" i="1"/>
  <c r="I36" i="1"/>
  <c r="W50" i="1"/>
  <c r="P52" i="1"/>
  <c r="T50" i="1"/>
  <c r="O46" i="1"/>
  <c r="J48" i="1"/>
  <c r="T52" i="1"/>
  <c r="W44" i="1"/>
  <c r="M46" i="1"/>
  <c r="M48" i="1"/>
  <c r="P46" i="1"/>
  <c r="T48" i="1"/>
  <c r="W63" i="1"/>
  <c r="T44" i="1"/>
  <c r="T46" i="1"/>
  <c r="W56" i="1"/>
  <c r="W55" i="1"/>
  <c r="O55" i="1"/>
  <c r="I55" i="1"/>
  <c r="N55" i="1"/>
  <c r="M55" i="1"/>
  <c r="J55" i="1"/>
  <c r="W62" i="1"/>
  <c r="I62" i="1"/>
  <c r="J62" i="1"/>
  <c r="O51" i="1"/>
  <c r="N51" i="1"/>
  <c r="M51" i="1"/>
  <c r="J51" i="1"/>
  <c r="I51" i="1"/>
  <c r="W51" i="1"/>
  <c r="M53" i="1"/>
  <c r="J53" i="1"/>
  <c r="I53" i="1"/>
  <c r="N53" i="1"/>
  <c r="W53" i="1"/>
  <c r="O53" i="1"/>
  <c r="W49" i="1"/>
  <c r="O49" i="1"/>
  <c r="N49" i="1"/>
  <c r="M49" i="1"/>
  <c r="I49" i="1"/>
  <c r="J49" i="1"/>
  <c r="N59" i="1"/>
  <c r="O59" i="1"/>
  <c r="M59" i="1"/>
  <c r="M47" i="1"/>
  <c r="N47" i="1"/>
  <c r="J47" i="1"/>
  <c r="I47" i="1"/>
  <c r="O47" i="1"/>
  <c r="W47" i="1"/>
  <c r="O45" i="1"/>
  <c r="N45" i="1"/>
  <c r="M45" i="1"/>
  <c r="W45" i="1"/>
  <c r="J45" i="1"/>
  <c r="I45" i="1"/>
  <c r="I61" i="1"/>
  <c r="M61" i="1"/>
  <c r="J61" i="1"/>
  <c r="I43" i="1"/>
  <c r="W43" i="1"/>
  <c r="J43" i="1"/>
  <c r="O43" i="1"/>
  <c r="N43" i="1"/>
  <c r="M43" i="1"/>
  <c r="I44" i="1"/>
  <c r="P47" i="1"/>
  <c r="N48" i="1"/>
  <c r="I50" i="1"/>
  <c r="P53" i="1"/>
  <c r="N54" i="1"/>
  <c r="I56" i="1"/>
  <c r="J44" i="1"/>
  <c r="W46" i="1"/>
  <c r="T47" i="1"/>
  <c r="O48" i="1"/>
  <c r="J50" i="1"/>
  <c r="W52" i="1"/>
  <c r="T53" i="1"/>
  <c r="O54" i="1"/>
  <c r="J56" i="1"/>
  <c r="P48" i="1"/>
  <c r="P54" i="1"/>
  <c r="M44" i="1"/>
  <c r="M50" i="1"/>
  <c r="T54" i="1"/>
  <c r="M56" i="1"/>
  <c r="P43" i="1"/>
  <c r="N44" i="1"/>
  <c r="I46" i="1"/>
  <c r="P49" i="1"/>
  <c r="N50" i="1"/>
  <c r="I52" i="1"/>
  <c r="P55" i="1"/>
  <c r="N56" i="1"/>
  <c r="T57" i="1"/>
  <c r="P59" i="1"/>
  <c r="T43" i="1"/>
  <c r="O44" i="1"/>
  <c r="J46" i="1"/>
  <c r="W48" i="1"/>
  <c r="T49" i="1"/>
  <c r="O50" i="1"/>
  <c r="J52" i="1"/>
  <c r="W54" i="1"/>
  <c r="T55" i="1"/>
  <c r="O56" i="1"/>
  <c r="T59" i="1"/>
  <c r="P44" i="1"/>
  <c r="P50" i="1"/>
  <c r="P56" i="1"/>
  <c r="V51" i="1"/>
  <c r="T56" i="1"/>
  <c r="V45" i="1"/>
  <c r="P45" i="1"/>
  <c r="N46" i="1"/>
  <c r="I48" i="1"/>
  <c r="P51" i="1"/>
  <c r="N52" i="1"/>
  <c r="I54" i="1"/>
  <c r="M60" i="1"/>
  <c r="J60" i="1"/>
  <c r="I60" i="1"/>
  <c r="W60" i="1"/>
  <c r="O60" i="1"/>
  <c r="N60" i="1"/>
  <c r="O58" i="1"/>
  <c r="N58" i="1"/>
  <c r="W58" i="1"/>
  <c r="M58" i="1"/>
  <c r="J58" i="1"/>
  <c r="I58" i="1"/>
  <c r="W57" i="1"/>
  <c r="O57" i="1"/>
  <c r="N57" i="1"/>
  <c r="M57" i="1"/>
  <c r="J57" i="1"/>
  <c r="I57" i="1"/>
  <c r="P60" i="1"/>
  <c r="N61" i="1"/>
  <c r="I63" i="1"/>
  <c r="W59" i="1"/>
  <c r="T60" i="1"/>
  <c r="O61" i="1"/>
  <c r="M62" i="1"/>
  <c r="J63" i="1"/>
  <c r="V58" i="1"/>
  <c r="P61" i="1"/>
  <c r="N62" i="1"/>
  <c r="T61" i="1"/>
  <c r="O62" i="1"/>
  <c r="M63" i="1"/>
  <c r="I59" i="1"/>
  <c r="P62" i="1"/>
  <c r="N63" i="1"/>
  <c r="J59" i="1"/>
  <c r="W61" i="1"/>
  <c r="T62" i="1"/>
  <c r="O63" i="1"/>
  <c r="P57" i="1"/>
  <c r="P63" i="1"/>
  <c r="T63" i="1"/>
  <c r="T64" i="1"/>
  <c r="P58" i="1"/>
  <c r="M42" i="1"/>
  <c r="I41" i="1"/>
  <c r="M24" i="1"/>
  <c r="O24" i="1"/>
  <c r="I24" i="1"/>
  <c r="I40" i="1"/>
  <c r="O40" i="1"/>
  <c r="O64" i="1"/>
  <c r="M64" i="1"/>
  <c r="N64" i="1"/>
  <c r="I23" i="1"/>
  <c r="O23" i="1"/>
  <c r="O66" i="1"/>
  <c r="M66" i="1"/>
  <c r="I66" i="1"/>
  <c r="N66" i="1"/>
  <c r="I39" i="1"/>
  <c r="M39" i="1"/>
  <c r="N39" i="1"/>
  <c r="O39" i="1"/>
  <c r="I68" i="1"/>
  <c r="O68" i="1"/>
  <c r="I25" i="1"/>
  <c r="O25" i="1"/>
  <c r="J25" i="1"/>
  <c r="N25" i="1"/>
  <c r="M25" i="1"/>
  <c r="I22" i="1"/>
  <c r="J22" i="1"/>
  <c r="M22" i="1"/>
  <c r="N22" i="1"/>
  <c r="O22" i="1"/>
  <c r="M68" i="1"/>
  <c r="J40" i="1"/>
  <c r="O67" i="1"/>
  <c r="M67" i="1"/>
  <c r="N24" i="1"/>
  <c r="J41" i="1"/>
  <c r="I65" i="1"/>
  <c r="I42" i="1"/>
  <c r="I67" i="1"/>
  <c r="J23" i="1"/>
  <c r="J68" i="1"/>
  <c r="P68" i="1"/>
  <c r="N68" i="1"/>
  <c r="T68" i="1"/>
  <c r="N67" i="1"/>
  <c r="J67" i="1"/>
  <c r="J66" i="1"/>
  <c r="P66" i="1"/>
  <c r="P65" i="1"/>
  <c r="O65" i="1"/>
  <c r="N65" i="1"/>
  <c r="M65" i="1"/>
  <c r="J65" i="1"/>
  <c r="J64" i="1"/>
  <c r="I64" i="1"/>
  <c r="P42" i="1"/>
  <c r="J42" i="1"/>
  <c r="N40" i="1"/>
  <c r="M40" i="1"/>
  <c r="P40" i="1"/>
  <c r="P39" i="1"/>
  <c r="J39" i="1"/>
  <c r="V41" i="1"/>
  <c r="P41" i="1"/>
  <c r="M41" i="1"/>
  <c r="J24" i="1"/>
  <c r="P24" i="1"/>
  <c r="P23" i="1"/>
  <c r="N23" i="1"/>
  <c r="M23" i="1"/>
  <c r="O41" i="1"/>
  <c r="O42" i="1"/>
  <c r="N41" i="1"/>
  <c r="N42" i="1"/>
  <c r="W25" i="1"/>
  <c r="W42" i="1"/>
  <c r="T40" i="1"/>
  <c r="V65" i="1"/>
  <c r="V39" i="1"/>
  <c r="T65" i="1"/>
  <c r="V68" i="1"/>
  <c r="V64" i="1"/>
  <c r="W67" i="1"/>
  <c r="V40" i="1"/>
  <c r="W64" i="1"/>
  <c r="W41" i="1"/>
  <c r="W39" i="1"/>
  <c r="W68" i="1"/>
  <c r="W24" i="1"/>
  <c r="W66" i="1"/>
  <c r="W40" i="1"/>
  <c r="W65" i="1"/>
  <c r="T25" i="1"/>
  <c r="T42" i="1"/>
  <c r="T67" i="1"/>
  <c r="V25" i="1"/>
  <c r="V42" i="1"/>
  <c r="V67" i="1"/>
  <c r="T24" i="1"/>
  <c r="T41" i="1"/>
  <c r="T66" i="1"/>
  <c r="B7" i="5"/>
  <c r="B6" i="5"/>
  <c r="B2" i="5"/>
  <c r="B8" i="5" l="1"/>
  <c r="B3" i="5"/>
  <c r="V23" i="1"/>
  <c r="T22" i="1"/>
  <c r="L21" i="1"/>
  <c r="G21" i="1"/>
  <c r="E21" i="1"/>
  <c r="H21" i="1" s="1"/>
  <c r="D21" i="1"/>
  <c r="V21" i="1" s="1"/>
  <c r="L20" i="1"/>
  <c r="G20" i="1"/>
  <c r="E20" i="1"/>
  <c r="H20" i="1" s="1"/>
  <c r="D20" i="1"/>
  <c r="T20" i="1" s="1"/>
  <c r="L19" i="1"/>
  <c r="G19" i="1"/>
  <c r="E19" i="1"/>
  <c r="H19" i="1" s="1"/>
  <c r="D19" i="1"/>
  <c r="V19" i="1" s="1"/>
  <c r="G18" i="1"/>
  <c r="E18" i="1"/>
  <c r="H18" i="1" s="1"/>
  <c r="D18" i="1"/>
  <c r="T18" i="1" s="1"/>
  <c r="L17" i="1"/>
  <c r="G17" i="1"/>
  <c r="E17" i="1"/>
  <c r="H17" i="1" s="1"/>
  <c r="D17" i="1"/>
  <c r="V17" i="1" s="1"/>
  <c r="L16" i="1"/>
  <c r="G16" i="1"/>
  <c r="E16" i="1"/>
  <c r="H16" i="1" s="1"/>
  <c r="D16" i="1"/>
  <c r="T16" i="1" s="1"/>
  <c r="L15" i="1"/>
  <c r="G15" i="1"/>
  <c r="E15" i="1"/>
  <c r="H15" i="1" s="1"/>
  <c r="D15" i="1"/>
  <c r="V15" i="1" s="1"/>
  <c r="G14" i="1"/>
  <c r="E14" i="1"/>
  <c r="H14" i="1" s="1"/>
  <c r="D14" i="1"/>
  <c r="T14" i="1" s="1"/>
  <c r="I20" i="1" l="1"/>
  <c r="M18" i="1"/>
  <c r="I18" i="1"/>
  <c r="P15" i="1"/>
  <c r="P21" i="1"/>
  <c r="W15" i="1"/>
  <c r="P19" i="1"/>
  <c r="M20" i="1"/>
  <c r="W19" i="1"/>
  <c r="O19" i="1"/>
  <c r="J19" i="1"/>
  <c r="N19" i="1"/>
  <c r="I19" i="1"/>
  <c r="M19" i="1"/>
  <c r="W23" i="1"/>
  <c r="W21" i="1"/>
  <c r="O21" i="1"/>
  <c r="J21" i="1"/>
  <c r="N21" i="1"/>
  <c r="I21" i="1"/>
  <c r="M21" i="1"/>
  <c r="N18" i="1"/>
  <c r="V18" i="1"/>
  <c r="N20" i="1"/>
  <c r="V20" i="1"/>
  <c r="V22" i="1"/>
  <c r="J18" i="1"/>
  <c r="O18" i="1"/>
  <c r="W18" i="1"/>
  <c r="T19" i="1"/>
  <c r="J20" i="1"/>
  <c r="O20" i="1"/>
  <c r="W20" i="1"/>
  <c r="T21" i="1"/>
  <c r="W22" i="1"/>
  <c r="T23" i="1"/>
  <c r="P18" i="1"/>
  <c r="P20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B6" i="1" l="1"/>
  <c r="G13" i="1"/>
  <c r="E13" i="1"/>
  <c r="H13" i="1" s="1"/>
  <c r="D13" i="1"/>
  <c r="V13" i="1" s="1"/>
  <c r="W13" i="1" l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L18" i="5" l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L16" i="5" l="1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70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70" i="1"/>
  <c r="T7" i="1" l="1"/>
  <c r="W70" i="1"/>
  <c r="G6" i="1" l="1"/>
  <c r="S13" i="5"/>
  <c r="I13" i="5"/>
  <c r="K13" i="5"/>
  <c r="L13" i="5"/>
  <c r="H13" i="5"/>
  <c r="U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14" i="1"/>
  <c r="L9" i="1"/>
  <c r="L10" i="1"/>
  <c r="C7" i="1"/>
  <c r="I70" i="1"/>
  <c r="N70" i="1"/>
  <c r="P70" i="1"/>
  <c r="J70" i="1"/>
  <c r="O70" i="1"/>
  <c r="Q7" i="1" l="1"/>
  <c r="M68" i="3" s="1"/>
  <c r="L7" i="1"/>
  <c r="G68" i="3" s="1"/>
  <c r="K68" i="3"/>
  <c r="J68" i="3"/>
  <c r="K70" i="1"/>
  <c r="M7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<sst xmlns="http://schemas.openxmlformats.org/spreadsheetml/2006/main" count="671" uniqueCount="438">
  <si>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</si>
  <si>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</si>
  <si>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</si>
  <si>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</si>
  <si>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</si>
  <si>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</si>
  <si>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</si>
  <si>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</si>
  <si>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</si>
  <si>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</si>
  <si>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</si>
  <si>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</si>
  <si>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</si>
  <si>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</si>
  <si>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</si>
  <si>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</si>
  <si>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</si>
  <si>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</si>
  <si>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</si>
  <si>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</si>
  <si>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</si>
  <si>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</si>
  <si>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</si>
  <si>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</si>
  <si>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</si>
  <si>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</si>
  <si>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</si>
  <si>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</si>
  <si>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</si>
  <si>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</si>
  <si>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</si>
  <si>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</si>
  <si>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</si>
  <si>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</si>
  <si>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</si>
  <si>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</si>
  <si>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</si>
  <si>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</si>
  <si>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</si>
  <si>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</si>
  <si>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</si>
  <si>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</si>
  <si>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</si>
  <si>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</si>
  <si>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</si>
  <si>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</si>
  <si>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</si>
  <si>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</si>
  <si>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</si>
  <si>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</si>
  <si>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</si>
  <si>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</si>
  <si>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</si>
  <si>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</si>
  <si>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</si>
  <si>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</si>
  <si>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</si>
  <si>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</si>
  <si>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</si>
  <si>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</si>
  <si>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</si>
  <si>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</si>
  <si>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</si>
  <si>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</si>
  <si>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</si>
  <si>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</si>
  <si>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</si>
  <si>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</si>
  <si>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</si>
  <si>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</si>
  <si>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</si>
  <si>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</si>
  <si>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</si>
  <si>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</si>
  <si>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</si>
  <si>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</si>
  <si>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</si>
  <si>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</si>
  <si>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</si>
  <si>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</si>
  <si>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</si>
  <si>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</si>
  <si>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</si>
  <si>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</si>
  <si>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</si>
  <si>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</si>
  <si>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</si>
  <si>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</si>
  <si>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</si>
  <si>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</si>
  <si>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</si>
  <si>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</si>
  <si>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</si>
  <si>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</si>
  <si>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</si>
  <si>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</si>
  <si>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</si>
  <si>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</si>
  <si>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</si>
  <si>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</si>
  <si>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</si>
  <si>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</si>
  <si>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</si>
  <si>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</si>
  <si>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</si>
  <si>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</si>
  <si>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</si>
  <si>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</si>
  <si>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</si>
  <si>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</si>
  <si>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</si>
  <si>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</si>
  <si>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</si>
  <si>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</si>
  <si>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</si>
  <si>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</si>
  <si>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</si>
  <si>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</si>
  <si>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</si>
  <si>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</si>
  <si>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</si>
  <si>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</si>
  <si>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</si>
  <si>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</si>
  <si>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</si>
  <si>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</si>
  <si>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</si>
  <si>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</si>
  <si>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</si>
  <si>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</si>
  <si>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</si>
  <si>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</si>
  <si>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</si>
  <si>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</si>
  <si>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</si>
  <si>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</si>
  <si>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</si>
  <si>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</si>
  <si>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</si>
  <si>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</si>
  <si>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</si>
  <si>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</si>
  <si>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</si>
  <si>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</si>
  <si>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</si>
  <si>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</si>
  <si>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</si>
  <si>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</si>
  <si>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</si>
  <si>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</si>
  <si>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</si>
  <si>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</si>
  <si>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</si>
  <si>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</si>
  <si>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</si>
  <si>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</si>
  <si>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</si>
  <si>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</si>
  <si>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</si>
  <si>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</si>
  <si>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</si>
  <si>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</si>
  <si>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</si>
  <si>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</si>
  <si>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</si>
  <si>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</si>
  <si>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</si>
  <si>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</si>
  <si>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</si>
  <si>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</si>
  <si>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</si>
  <si>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</si>
  <si>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</si>
  <si>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</si>
  <si>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</si>
  <si>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</si>
  <si>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</si>
  <si>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</si>
  <si>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</si>
  <si>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</si>
  <si>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</si>
  <si>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</si>
  <si>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</si>
  <si>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</si>
  <si>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</si>
  <si>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</si>
  <si>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</si>
  <si>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</si>
  <si>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</si>
  <si>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</si>
  <si>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</si>
  <si>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</si>
  <si>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</si>
  <si>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</si>
  <si>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</si>
  <si>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</si>
  <si>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</si>
  <si>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</si>
  <si>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</si>
  <si>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</si>
  <si>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</si>
  <si>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</si>
  <si>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</si>
  <si>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</si>
  <si>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</si>
  <si>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</si>
  <si>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</si>
  <si>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</si>
  <si>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</si>
  <si>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</si>
  <si>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</si>
  <si>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</si>
  <si>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</si>
  <si>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</si>
  <si>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</si>
  <si>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</si>
  <si>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</si>
  <si>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</si>
  <si>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</si>
  <si>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</si>
  <si>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</si>
  <si>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</si>
  <si>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</si>
  <si>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</si>
  <si>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</si>
  <si>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</si>
  <si>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</si>
  <si>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</si>
  <si>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</si>
  <si>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</si>
  <si>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</si>
  <si>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</si>
  <si>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</si>
  <si>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</si>
  <si>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</si>
  <si>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</si>
  <si>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</si>
  <si>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</si>
  <si>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</si>
  <si>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</si>
  <si>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</si>
  <si>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</si>
  <si>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</si>
  <si>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</si>
  <si>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</si>
  <si>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</si>
  <si>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</si>
  <si>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</si>
  <si>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</si>
  <si>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</si>
  <si>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</si>
  <si>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</si>
  <si>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</si>
  <si>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</si>
  <si>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</si>
  <si>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</si>
  <si>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</si>
  <si>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</si>
  <si>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</si>
  <si>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</si>
  <si>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</si>
  <si>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</si>
  <si>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</si>
  <si>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</si>
  <si>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</si>
  <si>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</si>
  <si>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</si>
  <si>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</si>
  <si>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</si>
  <si>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</si>
  <si>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</si>
  <si>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</si>
  <si>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</si>
  <si>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</si>
  <si>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</si>
  <si>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</si>
  <si>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</si>
  <si>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</si>
  <si>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</si>
  <si>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</si>
  <si>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</si>
  <si>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</si>
  <si>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</si>
  <si>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</si>
  <si>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</si>
  <si>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</si>
  <si>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</si>
  <si>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</si>
  <si>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</si>
  <si>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</si>
  <si>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</si>
  <si>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</si>
  <si>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</si>
  <si>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</si>
  <si>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</si>
  <si>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</si>
  <si>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</si>
  <si>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</si>
  <si>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</si>
  <si>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</si>
  <si>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</si>
  <si>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</si>
  <si>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</si>
  <si>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</si>
  <si>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</si>
  <si>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</si>
  <si>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</si>
  <si>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</si>
  <si>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</si>
  <si>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</si>
  <si>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</si>
  <si>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</si>
  <si>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</si>
  <si>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</si>
  <si>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</si>
  <si>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</si>
  <si>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</si>
  <si>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</si>
  <si>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</si>
  <si>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</si>
  <si>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</si>
  <si>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</si>
  <si>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</si>
  <si>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</si>
  <si>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</si>
  <si>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</si>
  <si>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</si>
  <si>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</si>
  <si>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</si>
  <si>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</si>
  <si>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</si>
  <si>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</si>
  <si>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</si>
  <si>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</si>
  <si>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</si>
  <si>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</si>
  <si>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</si>
  <si>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</si>
  <si>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</si>
  <si>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</si>
  <si>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</si>
  <si>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</si>
  <si>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</si>
  <si>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</si>
  <si>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</si>
  <si>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</si>
  <si>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</si>
  <si>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</si>
  <si>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</si>
  <si>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</si>
  <si>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</si>
  <si>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</si>
  <si>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</si>
  <si>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</si>
  <si>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Document_Date</t>
  </si>
  <si>
    <t>Item_Text</t>
  </si>
  <si>
    <t>WBS</t>
  </si>
  <si>
    <t>Cancel_Flag</t>
  </si>
  <si>
    <t>Profit_Center</t>
  </si>
  <si>
    <t>Inventory.IF</t>
  </si>
  <si>
    <t>IF</t>
  </si>
  <si>
    <t>IF_FQF3MM03</t>
  </si>
  <si>
    <t>FQF3MM03</t>
  </si>
  <si>
    <t>Record_ID</t>
  </si>
  <si>
    <t>Company_Code</t>
  </si>
  <si>
    <t>Document_No</t>
  </si>
  <si>
    <t>Document_Type</t>
  </si>
  <si>
    <t>Customer_Code</t>
  </si>
  <si>
    <t>Customer_Plant_Code</t>
  </si>
  <si>
    <t>Customer_Dock_Code</t>
  </si>
  <si>
    <t>Part_Category</t>
  </si>
  <si>
    <t>Withholding_Tax_Flag</t>
  </si>
  <si>
    <t>Withholding_Tax_Rate</t>
  </si>
  <si>
    <t>Order_Type</t>
  </si>
  <si>
    <t>PDS_No</t>
  </si>
  <si>
    <t>Part_Received_Date</t>
  </si>
  <si>
    <t>Sequence_Date</t>
  </si>
  <si>
    <t>Sequence_No</t>
  </si>
  <si>
    <t>Part_No</t>
  </si>
  <si>
    <t>Reference_Document_No</t>
  </si>
  <si>
    <t>Posting_Date</t>
  </si>
  <si>
    <t>Supplier_Code</t>
  </si>
  <si>
    <t>Supplier_Plant_Code</t>
  </si>
  <si>
    <t>Part_Quantity</t>
  </si>
  <si>
    <t>Unit_Buying_Price</t>
  </si>
  <si>
    <t>Unit_Buying_Amount</t>
  </si>
  <si>
    <t>Unit_Selling_Price</t>
  </si>
  <si>
    <t>Unit_Selling_Amount</t>
  </si>
  <si>
    <t>Price_Status</t>
  </si>
  <si>
    <t>Total_Amount</t>
  </si>
  <si>
    <t>VAT_Amount</t>
  </si>
  <si>
    <t>VAT_Code</t>
  </si>
  <si>
    <t>Payment_Term</t>
  </si>
  <si>
    <t>Reason_Code</t>
  </si>
  <si>
    <t>Mark_Code</t>
  </si>
  <si>
    <t>Sign_Code</t>
  </si>
  <si>
    <t>Supplier_Invoice_No</t>
  </si>
  <si>
    <t>TOPAS_SMR_No</t>
  </si>
  <si>
    <t>TOPAS_SMR_Item_No</t>
  </si>
  <si>
    <t>Customer_Branch</t>
  </si>
  <si>
    <t>Cost_center</t>
  </si>
  <si>
    <t>Asset</t>
  </si>
  <si>
    <t>Order_Reason_Code</t>
  </si>
  <si>
    <t>Retro_Flag</t>
  </si>
  <si>
    <t>Valuation_Type</t>
  </si>
  <si>
    <t>Condition_Type</t>
  </si>
  <si>
    <t>Condition_Type_Amt</t>
  </si>
  <si>
    <t>Prepaid_Tax_Amt</t>
  </si>
  <si>
    <t>Withholding_Tax_Amt</t>
  </si>
  <si>
    <t>Stamp_Fee_Amt</t>
  </si>
  <si>
    <t>GL_Amount</t>
  </si>
  <si>
    <t>SPT_Code</t>
  </si>
  <si>
    <t>Higher_Level_Item</t>
  </si>
  <si>
    <t>Withholding_Tax_base_Amt</t>
  </si>
  <si>
    <t>Type_of_Sales</t>
  </si>
  <si>
    <t>Due_Date</t>
  </si>
  <si>
    <t>Payment_Method</t>
  </si>
  <si>
    <t>Ending_Of_Record</t>
  </si>
  <si>
    <t>varchar(7)</t>
  </si>
  <si>
    <t>varchar(4)</t>
  </si>
  <si>
    <t>varchar(20)</t>
  </si>
  <si>
    <t>varchar(2)</t>
  </si>
  <si>
    <t>varchar(8)</t>
  </si>
  <si>
    <t>varchar(1)</t>
  </si>
  <si>
    <t>varchar(5)</t>
  </si>
  <si>
    <t>varchar(25)</t>
  </si>
  <si>
    <t>varchar(10)</t>
  </si>
  <si>
    <t>varchar(40)</t>
  </si>
  <si>
    <t>varchar(14)</t>
  </si>
  <si>
    <t>varchar(11)</t>
  </si>
  <si>
    <t>varchar(13)</t>
  </si>
  <si>
    <t>varchar(16)</t>
  </si>
  <si>
    <t>varchar(9)</t>
  </si>
  <si>
    <t>varchar(24)</t>
  </si>
  <si>
    <t>varchar(17)</t>
  </si>
  <si>
    <t>varchar(23)</t>
  </si>
  <si>
    <t>varchar(3)</t>
  </si>
  <si>
    <t>varchar(50)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</si>
</sst>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9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2">
    <cellStyle name="Normal" xfId="0" builtinId="0"/>
    <cellStyle name="Normal 2 2 2 2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4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[Table("IF_FQF3MM03")]
	public class IF_FQF3MM03: FullAuditedEntity&lt;long&gt;, IEntity&lt;long&gt;	
	{
		public const int MaxRecordIdLength = 7;
		public const int MaxCompanyCodeLength = 4;
		public const int MaxDocumentNoLength = 20;
		public const int MaxDocumentTypeLength = 2;
		public const int MaxDocumentDateLength = 8;
		public const int MaxCustomerCodeLength = 4;
		public const int MaxCustomerPlantCodeLength = 4;
		public const int MaxCustomerDockCodeLength = 4;
		public const int MaxPartCategoryLength = 1;
		public const int MaxWithholdingTaxFlagLength = 1;
		public const int MaxWithholdingTaxRateLength = 5;
		public const int MaxOrderTypeLength = 1;
		public const int MaxPdsNoLength = 25;
		public const int MaxPartReceivedDateLength = 8;
		public const int MaxSequenceDateLength = 8;
		public const int MaxSequenceNoLength = 10;
		public const int MaxPartNoLength = 40;
		public const int MaxReferenceDocumentNoLength = 20;
		public const int MaxPostingDateLength = 8;
		public const int MaxSupplierCodeLength = 10;
		public const int MaxSupplierPlantCodeLength = 1;
		public const int MaxPartQuantityLength = 14;
		public const int MaxUnitBuyingPriceLength = 11;
		public const int MaxUnitBuyingAmountLength = 13;
		public const int MaxUnitSellingPriceLength = 11;
		public const int MaxUnitSellingAmountLength = 13;
		public const int MaxPriceStatusLength = 1;
		public const int MaxTotalAmountLength = 13;
		public const int MaxVatAmountLength = 13;
		public const int MaxVatCodeLength = 5;
		public const int MaxPaymentTermLength = 4;
		public const int MaxReasonCodeLength = 1;
		public const int MaxMarkCodeLength = 1;
		public const int MaxSignCodeLength = 1;
		public const int MaxCancelFlagLength = 1;
		public const int MaxSupplierInvoiceNoLength = 16;
		public const int MaxTopasSmrNoLength = 9;
		public const int MaxTopasSmrItemNoLength = 4;
		public const int MaxCustomerBranchLength = 40;
		public const int MaxCostCenterLength = 10;
		public const int MaxWbsLength = 24;
		public const int MaxAssetLength = 17;
		public const int MaxOrderReasonCodeLength = 1;
		public const int MaxRetroFlagLength = 1;
		public const int MaxValuationTypeLength = 10;
		public const int MaxConditionTypeLength = 4;
		public const int MaxConditionTypeAmtLength = 23;
		public const int MaxPrepaidTaxAmtLength = 23;
		public const int MaxWithholdingTaxAmtLength = 23;
		public const int MaxStampFeeAmtLength = 23;
		public const int MaxGlAmountLength = 23;
		public const int MaxSptCodeLength = 5;
		public const int MaxHigherLevelItemLength = 7;
		public const int MaxWithholdingTaxBaseAmtLength = 23;
		public const int MaxTypeOfSalesLength = 3;
		public const int MaxProfitCenterLength = 10;
		public const int MaxDueDateLength = 8;
		public const int MaxItemTextLength = 50;
		public const int MaxPaymentMethodLength = 1;
		public const int MaxEndingOfRecordLength = 1;
		[StringLength(MaxRecordIdLength)]
		public virtual string RecordId { get; set; }
		[StringLength(MaxCompanyCodeLength)]
		public virtual string CompanyCode { get; set; }
		[StringLength(MaxDocumentNoLength)]
		public virtual string DocumentNo { get; set; }
		[StringLength(MaxDocumentTypeLength)]
		public virtual string DocumentType { get; set; }
		[StringLength(MaxDocumentDateLength)]
		public virtual string DocumentDate { get; set; }
		[StringLength(MaxCustomerCodeLength)]
		public virtual string CustomerCode { get; set; }
		[StringLength(MaxCustomerPlantCodeLength)]
		public virtual string CustomerPlantCode { get; set; }
		[StringLength(MaxCustomerDockCodeLength)]
		public virtual string CustomerDockCode { get; set; }
		[StringLength(MaxPartCategoryLength)]
		public virtual string PartCategory { get; set; }
		[StringLength(MaxWithholdingTaxFlagLength)]
		public virtual string WithholdingTaxFlag { get; set; }
		[StringLength(MaxWithholdingTaxRateLength)]
		public virtual string WithholdingTaxRate { get; set; }
		[StringLength(MaxOrderTypeLength)]
		public virtual string OrderType { get; set; }
		[StringLength(MaxPdsNoLength)]
		public virtual string PdsNo { get; set; }
		[StringLength(MaxPartReceivedDateLength)]
		public virtual string PartReceivedDate { get; set; }
		[StringLength(MaxSequenceDateLength)]
		public virtual string SequenceDate { get; set; }
		[StringLength(MaxSequenceNoLength)]
		public virtual string SequenceNo { get; set; }
		[StringLength(MaxPartNoLength)]
		public virtual string PartNo { get; set; }
		[StringLength(MaxReferenceDocumentNoLength)]
		public virtual string ReferenceDocumentNo { get; set; }
		[StringLength(MaxPostingDateLength)]
		public virtual string PostingDate { get; set; }
		[StringLength(MaxSupplierCodeLength)]
		public virtual string SupplierCode { get; set; }
		[StringLength(MaxSupplierPlantCodeLength)]
		public virtual string SupplierPlantCode { get; set; }
		[StringLength(MaxPartQuantityLength)]
		public virtual string PartQuantity { get; set; }
		[StringLength(MaxUnitBuyingPriceLength)]
		public virtual string UnitBuyingPrice { get; set; }
		[StringLength(MaxUnitBuyingAmountLength)]
		public virtual string UnitBuyingAmount { get; set; }
		[StringLength(MaxUnitSellingPriceLength)]
		public virtual string UnitSellingPrice { get; set; }
		[StringLength(MaxUnitSellingAmountLength)]
		public virtual string UnitSellingAmount { get; set; }
		[StringLength(MaxPriceStatusLength)]
		public virtual string PriceStatus { get; set; }
		[StringLength(MaxTotalAmountLength)]
		public virtual string TotalAmount { get; set; }
		[StringLength(MaxVatAmountLength)]
		public virtual string VatAmount { get; set; }
		[StringLength(MaxVatCodeLength)]
		public virtual string VatCode { get; set; }
		[StringLength(MaxPaymentTermLength)]
		public virtual string PaymentTerm { get; set; }
		[StringLength(MaxReasonCodeLength)]
		public virtual string ReasonCode { get; set; }
		[StringLength(MaxMarkCodeLength)]
		public virtual string MarkCode { get; set; }
		[StringLength(MaxSignCodeLength)]
		public virtual string SignCode { get; set; }
		[StringLength(MaxCancelFlagLength)]
		public virtual string CancelFlag { get; set; }
		[StringLength(MaxSupplierInvoiceNoLength)]
		public virtual string SupplierInvoiceNo { get; set; }
		[StringLength(MaxTopasSmrNoLength)]
		public virtual string TopasSmrNo { get; set; }
		[StringLength(MaxTopasSmrItemNoLength)]
		public virtual string TopasSmrItemNo { get; set; }
		[StringLength(MaxCustomerBranchLength)]
		public virtual string CustomerBranch { get; set; }
		[StringLength(MaxCostCenterLength)]
		public virtual string CostCenter { get; set; }
		[StringLength(MaxWbsLength)]
		public virtual string Wbs { get; set; }
		[StringLength(MaxAssetLength)]
		public virtual string Asset { get; set; }
		[StringLength(MaxOrderReasonCodeLength)]
		public virtual string OrderReasonCode { get; set; }
		[StringLength(MaxRetroFlagLength)]
		public virtual string RetroFlag { get; set; }
		[StringLength(MaxValuationTypeLength)]
		public virtual string ValuationType { get; set; }
		[StringLength(MaxConditionTypeLength)]
		public virtual string ConditionType { get; set; }
		[StringLength(MaxConditionTypeAmtLength)]
		public virtual string ConditionTypeAmt { get; set; }
		[StringLength(MaxPrepaidTaxAmtLength)]
		public virtual string PrepaidTaxAmt { get; set; }
		[StringLength(MaxWithholdingTaxAmtLength)]
		public virtual string WithholdingTaxAmt { get; set; }
		[StringLength(MaxStampFeeAmtLength)]
		public virtual string StampFeeAmt { get; set; }
		[StringLength(MaxGlAmountLength)]
		public virtual string GlAmount { get; set; }
		[StringLength(MaxSptCodeLength)]
		public virtual string SptCode { get; set; }
		[StringLength(MaxHigherLevelItemLength)]
		public virtual string HigherLevelItem { get; set; }
		[StringLength(MaxWithholdingTaxBaseAmtLength)]
		public virtual string WithholdingTaxBaseAmt { get; set; }
		[StringLength(MaxTypeOfSalesLength)]
		public virtual string TypeOfSales { get; set; }
		[StringLength(MaxProfitCenterLength)]
		public virtual string ProfitCenter { get; set; }
		[StringLength(MaxDueDateLength)]
		public virtual string DueDate { get; set; }
		[StringLength(MaxItemTextLength)]
		public virtual string ItemText { get; set; }
		[StringLength(MaxPaymentMethodLength)]
		public virtual string PaymentMethod { get; set; }
		[StringLength(MaxEndingOfRecordLength)]
		public virtual string EndingOfRecord { get; set; }
	}
}
</v>
      </c>
      <c r="D68" s="48" t="str">
        <f>A.Backend!O7</f>
        <v xml:space="preserve">		public const string Pages_Inventory_IF_FQF3MM03 = "Pages.Inventory.IF.FQF3MM03";
		public const string Pages_Inventory_IF_FQF3MM03_CreateEdit = "Pages.Inventory.IF.FQF3MM03.CreateEdit";
		public const string Pages_Inventory_IF_FQF3MM03_Delete = "Pages.Inventory.IF.FQF3MM03.Delete";
</v>
      </c>
      <c r="E68" s="48" t="str">
        <f>A.Backend!N7</f>
        <v xml:space="preserve">		var perIF_FQF3MM03 = PARENTS.CreateChildPermission(AppPermissions.Pages_Inventory_IF_FQF3MM03, L( "InventoryIFFQF3MM03"), multiTenancySides: MultiTenancySides.Tenant);
		perIF_FQF3MM03.CreateChildPermission(AppPermissions.Pages_Inventory_IF_FQF3MM03_CreateEdit, L( "InventoryIFFQF3MM03CreateEdit"), multiTenancySides: MultiTenancySides.Tenant);
		perIF_FQF3MM03.CreateChildPermission(AppPermissions.Pages_Inventory_IF_FQF3MM03_Delete, L( "InventoryIFFQF3MM03Delete"), multiTenancySides: MultiTenancySides.Tenant);</v>
      </c>
      <c r="F68" s="48" t="str">
        <f>A.Backend!K7</f>
        <v>public virtual DbSet&lt;IF_FQF3MM03&gt; IF_FQF3MM03s { get; set; }</v>
      </c>
      <c r="G68" s="48" t="str">
        <f ca="1">A.Backend!L7</f>
        <v xml:space="preserve">namespace prod.Inventory.IF
{
	public class IF_FQF3MM03Consts	
	{
		public const int MaxRecordIdLength = 7;
		public const int MaxCompanyCodeLength = 4;
		public const int MaxDocumentNoLength = 20;
		public const int MaxDocumentTypeLength = 2;
		public const int MaxDocumentDateLength = 8;
		public const int MaxCustomerCodeLength = 4;
		public const int MaxCustomerPlantCodeLength = 4;
		public const int MaxCustomerDockCodeLength = 4;
		public const int MaxPartCategoryLength = 1;
		public const int MaxWithholdingTaxFlagLength = 1;
		public const int MaxWithholdingTaxRateLength = 5;
		public const int MaxOrderTypeLength = 1;
		public const int MaxPdsNoLength = 25;
		public const int MaxPartReceivedDateLength = 8;
		public const int MaxSequenceDateLength = 8;
		public const int MaxSequenceNoLength = 10;
		public const int MaxPartNoLength = 40;
		public const int MaxReferenceDocumentNoLength = 20;
		public const int MaxPostingDateLength = 8;
		public const int MaxSupplierCodeLength = 10;
		public const int MaxSupplierPlantCodeLength = 1;
		public const int MaxPartQuantityLength = 14;
		public const int MaxUnitBuyingPriceLength = 11;
		public const int MaxUnitBuyingAmountLength = 13;
		public const int MaxUnitSellingPriceLength = 11;
		public const int MaxUnitSellingAmountLength = 13;
		public const int MaxPriceStatusLength = 1;
		public const int MaxTotalAmountLength = 13;
		public const int MaxVatAmountLength = 13;
		public const int MaxVatCodeLength = 5;
		public const int MaxPaymentTermLength = 4;
		public const int MaxReasonCodeLength = 1;
		public const int MaxMarkCodeLength = 1;
		public const int MaxSignCodeLength = 1;
		public const int MaxCancelFlagLength = 1;
		public const int MaxSupplierInvoiceNoLength = 16;
		public const int MaxTopasSmrNoLength = 9;
		public const int MaxTopasSmrItemNoLength = 4;
		public const int MaxCustomerBranchLength = 40;
		public const int MaxCostCenterLength = 10;
		public const int MaxWbsLength = 24;
		public const int MaxAssetLength = 17;
		public const int MaxOrderReasonCodeLength = 1;
		public const int MaxRetroFlagLength = 1;
		public const int MaxValuationTypeLength = 10;
		public const int MaxConditionTypeLength = 4;
		public const int MaxConditionTypeAmtLength = 23;
		public const int MaxPrepaidTaxAmtLength = 23;
		public const int MaxWithholdingTaxAmtLength = 23;
		public const int MaxStampFeeAmtLength = 23;
		public const int MaxGlAmountLength = 23;
		public const int MaxSptCodeLength = 5;
		public const int MaxHigherLevelItemLength = 7;
		public const int MaxWithholdingTaxBaseAmtLength = 23;
		public const int MaxTypeOfSalesLength = 3;
		public const int MaxProfitCenterLength = 10;
		public const int MaxDueDateLength = 8;
		public const int MaxItemTextLength = 50;
		public const int MaxPaymentMethodLength = 1;
		public const int MaxEndingOfRecordLength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prod.Inventory.IF.Dto
{
	public class IF_FQF3MM03Dto : EntityDto&lt;long?&gt;	
	{
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	}
	public class CreateOrEditIF_FQF3MM03Dto : EntityDto&lt;long?&gt;	
	{
		[StringLength(IF_FQF3MM03Consts.MaxRecordIdLength)]
		public virtual string RecordId { get; set; }
		[StringLength(IF_FQF3MM03Consts.MaxCompanyCodeLength)]
		public virtual string CompanyCode { get; set; }
		[StringLength(IF_FQF3MM03Consts.MaxDocumentNoLength)]
		public virtual string DocumentNo { get; set; }
		[StringLength(IF_FQF3MM03Consts.MaxDocumentTypeLength)]
		public virtual string DocumentType { get; set; }
		[StringLength(IF_FQF3MM03Consts.MaxDocumentDateLength)]
		public virtual string DocumentDate { get; set; }
		[StringLength(IF_FQF3MM03Consts.MaxCustomerCodeLength)]
		public virtual string CustomerCode { get; set; }
		[StringLength(IF_FQF3MM03Consts.MaxCustomerPlantCodeLength)]
		public virtual string CustomerPlantCode { get; set; }
		[StringLength(IF_FQF3MM03Consts.MaxCustomerDockCodeLength)]
		public virtual string CustomerDockCode { get; set; }
		[StringLength(IF_FQF3MM03Consts.MaxPartCategoryLength)]
		public virtual string PartCategory { get; set; }
		[StringLength(IF_FQF3MM03Consts.MaxWithholdingTaxFlagLength)]
		public virtual string WithholdingTaxFlag { get; set; }
		[StringLength(IF_FQF3MM03Consts.MaxWithholdingTaxRateLength)]
		public virtual string WithholdingTaxRate { get; set; }
		[StringLength(IF_FQF3MM03Consts.MaxOrderTypeLength)]
		public virtual string OrderType { get; set; }
		[StringLength(IF_FQF3MM03Consts.MaxPdsNoLength)]
		public virtual string PdsNo { get; set; }
		[StringLength(IF_FQF3MM03Consts.MaxPartReceivedDateLength)]
		public virtual string PartReceivedDate { get; set; }
		[StringLength(IF_FQF3MM03Consts.MaxSequenceDateLength)]
		public virtual string SequenceDate { get; set; }
		[StringLength(IF_FQF3MM03Consts.MaxSequenceNoLength)]
		public virtual string SequenceNo { get; set; }
		[StringLength(IF_FQF3MM03Consts.MaxPartNoLength)]
		public virtual string PartNo { get; set; }
		[StringLength(IF_FQF3MM03Consts.MaxReferenceDocumentNoLength)]
		public virtual string ReferenceDocumentNo { get; set; }
		[StringLength(IF_FQF3MM03Consts.MaxPostingDateLength)]
		public virtual string PostingDate { get; set; }
		[StringLength(IF_FQF3MM03Consts.MaxSupplierCodeLength)]
		public virtual string SupplierCode { get; set; }
		[StringLength(IF_FQF3MM03Consts.MaxSupplierPlantCodeLength)]
		public virtual string SupplierPlantCode { get; set; }
		[StringLength(IF_FQF3MM03Consts.MaxPartQuantityLength)]
		public virtual string PartQuantity { get; set; }
		[StringLength(IF_FQF3MM03Consts.MaxUnitBuyingPriceLength)]
		public virtual string UnitBuyingPrice { get; set; }
		[StringLength(IF_FQF3MM03Consts.MaxUnitBuyingAmountLength)]
		public virtual string UnitBuyingAmount { get; set; }
		[StringLength(IF_FQF3MM03Consts.MaxUnitSellingPriceLength)]
		public virtual string UnitSellingPrice { get; set; }
		[StringLength(IF_FQF3MM03Consts.MaxUnitSellingAmountLength)]
		public virtual string UnitSellingAmount { get; set; }
		[StringLength(IF_FQF3MM03Consts.MaxPriceStatusLength)]
		public virtual string PriceStatus { get; set; }
		[StringLength(IF_FQF3MM03Consts.MaxTotalAmountLength)]
		public virtual string TotalAmount { get; set; }
		[StringLength(IF_FQF3MM03Consts.MaxVatAmountLength)]
		public virtual string VatAmount { get; set; }
		[StringLength(IF_FQF3MM03Consts.MaxVatCodeLength)]
		public virtual string VatCode { get; set; }
		[StringLength(IF_FQF3MM03Consts.MaxPaymentTermLength)]
		public virtual string PaymentTerm { get; set; }
		[StringLength(IF_FQF3MM03Consts.MaxReasonCodeLength)]
		public virtual string ReasonCode { get; set; }
		[StringLength(IF_FQF3MM03Consts.MaxMarkCodeLength)]
		public virtual string MarkCode { get; set; }
		[StringLength(IF_FQF3MM03Consts.MaxSignCodeLength)]
		public virtual string SignCode { get; set; }
		[StringLength(IF_FQF3MM03Consts.MaxCancelFlagLength)]
		public virtual string CancelFlag { get; set; }
		[StringLength(IF_FQF3MM03Consts.MaxSupplierInvoiceNoLength)]
		public virtual string SupplierInvoiceNo { get; set; }
		[StringLength(IF_FQF3MM03Consts.MaxTopasSmrNoLength)]
		public virtual string TopasSmrNo { get; set; }
		[StringLength(IF_FQF3MM03Consts.MaxTopasSmrItemNoLength)]
		public virtual string TopasSmrItemNo { get; set; }
		[StringLength(IF_FQF3MM03Consts.MaxCustomerBranchLength)]
		public virtual string CustomerBranch { get; set; }
		[StringLength(IF_FQF3MM03Consts.MaxCostCenterLength)]
		public virtual string CostCenter { get; set; }
		[StringLength(IF_FQF3MM03Consts.MaxWbsLength)]
		public virtual string Wbs { get; set; }
		[StringLength(IF_FQF3MM03Consts.MaxAssetLength)]
		public virtual string Asset { get; set; }
		[StringLength(IF_FQF3MM03Consts.MaxOrderReasonCodeLength)]
		public virtual string OrderReasonCode { get; set; }
		[StringLength(IF_FQF3MM03Consts.MaxRetroFlagLength)]
		public virtual string RetroFlag { get; set; }
		[StringLength(IF_FQF3MM03Consts.MaxValuationTypeLength)]
		public virtual string ValuationType { get; set; }
		[StringLength(IF_FQF3MM03Consts.MaxConditionTypeLength)]
		public virtual string ConditionType { get; set; }
		[StringLength(IF_FQF3MM03Consts.MaxConditionTypeAmtLength)]
		public virtual string ConditionTypeAmt { get; set; }
		[StringLength(IF_FQF3MM03Consts.MaxPrepaidTaxAmtLength)]
		public virtual string PrepaidTaxAmt { get; set; }
		[StringLength(IF_FQF3MM03Consts.MaxWithholdingTaxAmtLength)]
		public virtual string WithholdingTaxAmt { get; set; }
		[StringLength(IF_FQF3MM03Consts.MaxStampFeeAmtLength)]
		public virtual string StampFeeAmt { get; set; }
		[StringLength(IF_FQF3MM03Consts.MaxGlAmountLength)]
		public virtual string GlAmount { get; set; }
		[StringLength(IF_FQF3MM03Consts.MaxSptCodeLength)]
		public virtual string SptCode { get; set; }
		[StringLength(IF_FQF3MM03Consts.MaxHigherLevelItemLength)]
		public virtual string HigherLevelItem { get; set; }
		[StringLength(IF_FQF3MM03Consts.MaxWithholdingTaxBaseAmtLength)]
		public virtual string WithholdingTaxBaseAmt { get; set; }
		[StringLength(IF_FQF3MM03Consts.MaxTypeOfSalesLength)]
		public virtual string TypeOfSales { get; set; }
		[StringLength(IF_FQF3MM03Consts.MaxProfitCenterLength)]
		public virtual string ProfitCenter { get; set; }
		[StringLength(IF_FQF3MM03Consts.MaxDueDateLength)]
		public virtual string DueDate { get; set; }
		[StringLength(IF_FQF3MM03Consts.MaxItemTextLength)]
		public virtual string ItemText { get; set; }
		[StringLength(IF_FQF3MM03Consts.MaxPaymentMethodLength)]
		public virtual string PaymentMethod { get; set; }
		[StringLength(IF_FQF3MM03Consts.MaxEndingOfRecordLength)]
		public virtual string EndingOfRecord { get; set; }
	}
	public class GetIF_FQF3MM03Input : PagedAndSortedResultRequestDto	
	{
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	}
}
</v>
      </c>
      <c r="I68" s="48" t="str">
        <f ca="1">A.Backend!R7</f>
        <v xml:space="preserve">using Abp.Application.Services.Dto;
using System;
using System.ComponentModel.DataAnnotations;
namespace prod.Inventory.IF.Dto
{
	public class IF_FQF3MM03ExportInput{
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IIF_FQF3MM03AppService : IApplicationService
	{
		Task&lt;PagedResultDto&lt;IF_FQF3MM03Dto&gt;&gt; GetAll(GetIF_FQF3MM03Input input);
		Task CreateOrEdit(CreateOrEditIF_FQF3MM03Dto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IIF_FQF3MM03ExcelExporter : IApplicationService
	{
		FileDto ExportToFile(List&lt;IF_FQF3MM03Dto&gt; if_fqf3mm03);
	}
}
</v>
      </c>
      <c r="L68" s="48" t="str">
        <f ca="1">A.Backend!T7</f>
        <v>using System.Collections.Generic;
using vovina.DataExporting.Excel.NPOI;
using vovina.Dto;
using vovina.IF.IF.Exporting;
using vovina.IF.IF.Dto;
using vovina.Storage;
using vovina.IF.IF.Dto;
namespace vovina.IF.IF.Exporting
{
    public class IF_FQF3MM03ExcelExporter : NpoiExcelExporterBase, IIF_FQF3MM03ExcelExporter
    {
        public IF_FQF3MM03ExcelExporter(ITempFileCacheManager tempFileCacheManager) : base(tempFileCacheManager) { }
        public FileDto ExportToFile(List&lt;IF_FQF3MM03Dto&gt; fqf3mm03)
        {
            return CreateExcelPackage(
				"IFIFFQF3MM03.xlsx",
				excelPackage =&gt;
				 {
					var sheet = excelPackage.CreateSheet("FQF3MM03");
					AddHeader(
								sheet,
								("RecordId"),
								("CompanyCode"),
								("DocumentNo"),
								("DocumentType"),
								("DocumentDate"),
								("CustomerCode"),
								("CustomerPlantCode"),
								("CustomerDockCode"),
								("PartCategory"),
								("WithholdingTaxFlag"),
								("WithholdingTaxRate"),
								("OrderType"),
								("PdsNo"),
								("PartReceivedDate"),
								("SequenceDate"),
								("SequenceNo"),
								("PartNo"),
								("ReferenceDocumentNo"),
								("PostingDate"),
								("SupplierCode"),
								("SupplierPlantCode"),
								("PartQuantity"),
								("UnitBuyingPrice"),
								("UnitBuyingAmount"),
								("UnitSellingPrice"),
								("UnitSellingAmount"),
								("PriceStatus"),
								("TotalAmount"),
								("VatAmount"),
								("VatCode"),
								("PaymentTerm"),
								("ReasonCode"),
								("MarkCode"),
								("SignCode"),
								("CancelFlag"),
								("SupplierInvoiceNo"),
								("TopasSmrNo"),
								("TopasSmrItemNo"),
								("CustomerBranch"),
								("CostCenter"),
								("Wbs"),
								("Asset"),
								("OrderReasonCode"),
								("RetroFlag"),
								("ValuationType"),
								("ConditionType"),
								("ConditionTypeAmt"),
								("PrepaidTaxAmt"),
								("WithholdingTaxAmt"),
								("StampFeeAmt"),
								("GlAmount"),
								("SptCode"),
								("HigherLevelItem"),
								("WithholdingTaxBaseAmt"),
								("TypeOfSales"),
								("ProfitCenter"),
								("DueDate"),
								("ItemText"),
								("PaymentMethod"),
								("EndingOfRecord"),
							   );
					AddObjects(
						 sheet, 1, fqf3mm03,                                       
								_ =&gt; _.RecordId,
								_ =&gt; _.CompanyCode,
								_ =&gt; _.DocumentNo,
								_ =&gt; _.DocumentType,
								_ =&gt; _.DocumentDate,
								_ =&gt; _.CustomerCode,
								_ =&gt; _.CustomerPlantCode,
								_ =&gt; _.CustomerDockCode,
								_ =&gt; _.PartCategory,
								_ =&gt; _.WithholdingTaxFlag,
								_ =&gt; _.WithholdingTaxRate,
								_ =&gt; _.OrderType,
								_ =&gt; _.PdsNo,
								_ =&gt; _.PartReceivedDate,
								_ =&gt; _.SequenceDate,
								_ =&gt; _.SequenceNo,
								_ =&gt; _.PartNo,
								_ =&gt; _.ReferenceDocumentNo,
								_ =&gt; _.PostingDate,
								_ =&gt; _.SupplierCode,
								_ =&gt; _.SupplierPlantCode,
								_ =&gt; _.PartQuantity,
								_ =&gt; _.UnitBuyingPrice,
								_ =&gt; _.UnitBuyingAmount,
								_ =&gt; _.UnitSellingPrice,
								_ =&gt; _.UnitSellingAmount,
								_ =&gt; _.PriceStatus,
								_ =&gt; _.TotalAmount,
								_ =&gt; _.VatAmount,
								_ =&gt; _.VatCode,
								_ =&gt; _.PaymentTerm,
								_ =&gt; _.ReasonCode,
								_ =&gt; _.MarkCode,
								_ =&gt; _.SignCode,
								_ =&gt; _.CancelFlag,
								_ =&gt; _.SupplierInvoiceNo,
								_ =&gt; _.TopasSmrNo,
								_ =&gt; _.TopasSmrItemNo,
								_ =&gt; _.CustomerBranch,
								_ =&gt; _.CostCenter,
								_ =&gt; _.Wbs,
								_ =&gt; _.Asset,
								_ =&gt; _.OrderReasonCode,
								_ =&gt; _.RetroFlag,
								_ =&gt; _.ValuationType,
								_ =&gt; _.ConditionType,
								_ =&gt; _.ConditionTypeAmt,
								_ =&gt; _.PrepaidTaxAmt,
								_ =&gt; _.WithholdingTaxAmt,
								_ =&gt; _.StampFeeAmt,
								_ =&gt; _.GlAmount,
								_ =&gt; _.SptCode,
								_ =&gt; _.HigherLevelItem,
								_ =&gt; _.WithholdingTaxBaseAmt,
								_ =&gt; _.TypeOfSales,
								_ =&gt; _.ProfitCenter,
								_ =&gt; _.DueDate,
								_ =&gt; _.ItemText,
								_ =&gt; _.PaymentMethod,
								_ =&gt; _.EndingOfRecord,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[AbpAuthorize(AppPermissions.Pages_IF_IF_FQF3MM03)]
    public class IF_FQF3MM03AppService : vovinaAppServiceBase, IIF_FQF3MM03AppService
    {
        private readonly IDapperRepository&lt;IF_FQF3MM03, long&gt; _dapperRepo;
        private readonly IRepository&lt;IF_FQF3MM03, long&gt; _repo;
        private readonly IIF_FQF3MM03ExcelExporter _calendarListExcelExporter;
        public IF_FQF3MM03AppService(IRepository&lt;IF_FQF3MM03,long&gt; repo, 
                                         IDapperRepository&lt;IF_FQF3MM03,long&gt; dapperRepo,
                                        IIF_FQF3MM03ExcelExporter calendarListExcelExporter
            )
        {
            _repo = repo;
            _dapperRepo = dapperRepo;
            _calendarListExcelExporter = calendarListExcelExporter;
        }
        [AbpAuthorize(AppPermissions.Pages_IF_IF_FQF3MM03_CreateEdit)]
        public async Task CreateOrEdit(CreateOrEditIF_FQF3MM03Dto input)
        {
            if (input.Id == null) await Create(input);
            else await Update(input);
        }
        //CREATE
        private async Task Create(CreateOrEditIF_FQF3MM03Dto input)
        {          
            var mainObj = ObjectMapper.Map&lt;IF_FQF3MM03&gt;(input);
            await CurrentUnitOfWork.GetDbContext&lt;vovinaDbContext&gt;().AddAsync(mainObj);
        }
        // EDIT
        private async Task Update(CreateOrEditIF_FQF3MM03Dto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[AbpAuthorize(AppPermissions.Pages_IF_IF_FQF3MM03_Delete)]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Task&lt;PagedResultDto&lt;IF_FQF3MM03Dto&gt;&gt; GetAll(GetIF_FQF3MM03Input input)
        {
            var filtered = _repo.GetAll()
				.WhereIf(!string.IsNullOrWhiteSpace(input.RecordId), e =&gt; e.RecordId.Contains(input.RecordId))
				.WhereIf(!string.IsNullOrWhiteSpace(input.CompanyCode), e =&gt; e.CompanyCode.Contains(input.CompanyCode))
				.WhereIf(!string.IsNullOrWhiteSpace(input.DocumentNo), e =&gt; e.DocumentNo.Contains(input.DocumentNo))
				.WhereIf(!string.IsNullOrWhiteSpace(input.DocumentType), e =&gt; e.DocumentType.Contains(input.DocumentType))
				.WhereIf(!string.IsNullOrWhiteSpace(input.DocumentDate), e =&gt; e.DocumentDate.Contains(input.DocumentDate))
				.WhereIf(!string.IsNullOrWhiteSpace(input.CustomerCode), e =&gt; e.CustomerCode.Contains(input.CustomerCode))
				.WhereIf(!string.IsNullOrWhiteSpace(input.CustomerPlantCode), e =&gt; e.CustomerPlantCode.Contains(input.CustomerPlantCode))
				.WhereIf(!string.IsNullOrWhiteSpace(input.CustomerDockCode), e =&gt; e.CustomerDockCode.Contains(input.CustomerDockCode))
				.WhereIf(!string.IsNullOrWhiteSpace(input.PartCategory), e =&gt; e.PartCategory.Contains(input.PartCategory))
				.WhereIf(!string.IsNullOrWhiteSpace(input.WithholdingTaxFlag), e =&gt; e.WithholdingTaxFlag.Contains(input.WithholdingTaxFlag))
				.WhereIf(!string.IsNullOrWhiteSpace(input.WithholdingTaxRate), e =&gt; e.WithholdingTaxRate.Contains(input.WithholdingTaxRate))
				.WhereIf(!string.IsNullOrWhiteSpace(input.OrderType), e =&gt; e.OrderType.Contains(input.OrderType))
				.WhereIf(!string.IsNullOrWhiteSpace(input.PdsNo), e =&gt; e.PdsNo.Contains(input.PdsNo))
				.WhereIf(!string.IsNullOrWhiteSpace(input.PartReceivedDate), e =&gt; e.PartReceivedDate.Contains(input.PartReceivedDate))
				.WhereIf(!string.IsNullOrWhiteSpace(input.SequenceDate), e =&gt; e.SequenceDate.Contains(input.SequenceDate))
				.WhereIf(!string.IsNullOrWhiteSpace(input.SequenceNo), e =&gt; e.SequenceNo.Contains(input.SequenceNo))
				.WhereIf(!string.IsNullOrWhiteSpace(input.PartNo), e =&gt; e.PartNo.Contains(input.PartNo))
				.WhereIf(!string.IsNullOrWhiteSpace(input.ReferenceDocumentNo), e =&gt; e.ReferenceDocumentNo.Contains(input.ReferenceDocumentNo))
				.WhereIf(!string.IsNullOrWhiteSpace(input.PostingDate), e =&gt; e.PostingDate.Contains(input.PostingDate))
				.WhereIf(!string.IsNullOrWhiteSpace(input.SupplierCode), e =&gt; e.SupplierCode.Contains(input.SupplierCode))
				.WhereIf(!string.IsNullOrWhiteSpace(input.SupplierPlantCode), e =&gt; e.SupplierPlantCode.Contains(input.SupplierPlantCode))
				.WhereIf(!string.IsNullOrWhiteSpace(input.PartQuantity), e =&gt; e.PartQuantity.Contains(input.PartQuantity))
				.WhereIf(!string.IsNullOrWhiteSpace(input.UnitBuyingPrice), e =&gt; e.UnitBuyingPrice.Contains(input.UnitBuyingPrice))
				.WhereIf(!string.IsNullOrWhiteSpace(input.UnitBuyingAmount), e =&gt; e.UnitBuyingAmount.Contains(input.UnitBuyingAmount))
				.WhereIf(!string.IsNullOrWhiteSpace(input.UnitSellingPrice), e =&gt; e.UnitSellingPrice.Contains(input.UnitSellingPrice))
				.WhereIf(!string.IsNullOrWhiteSpace(input.UnitSellingAmount), e =&gt; e.UnitSellingAmount.Contains(input.UnitSellingAmount))
				.WhereIf(!string.IsNullOrWhiteSpace(input.PriceStatus), e =&gt; e.PriceStatus.Contains(input.PriceStatus))
				.WhereIf(!string.IsNullOrWhiteSpace(input.TotalAmount), e =&gt; e.TotalAmount.Contains(input.TotalAmount))
				.WhereIf(!string.IsNullOrWhiteSpace(input.VatAmount), e =&gt; e.VatAmount.Contains(input.VatAmount))
				.WhereIf(!string.IsNullOrWhiteSpace(input.VatCode), e =&gt; e.VatCode.Contains(input.VatCode))
				.WhereIf(!string.IsNullOrWhiteSpace(input.PaymentTerm), e =&gt; e.PaymentTerm.Contains(input.PaymentTerm))
				.WhereIf(!string.IsNullOrWhiteSpace(input.ReasonCode), e =&gt; e.ReasonCode.Contains(input.ReasonCode))
				.WhereIf(!string.IsNullOrWhiteSpace(input.MarkCode), e =&gt; e.MarkCode.Contains(input.MarkCode))
				.WhereIf(!string.IsNullOrWhiteSpace(input.SignCode), e =&gt; e.SignCode.Contains(input.SignCode))
				.WhereIf(!string.IsNullOrWhiteSpace(input.CancelFlag), e =&gt; e.CancelFlag.Contains(input.CancelFlag))
				.WhereIf(!string.IsNullOrWhiteSpace(input.SupplierInvoiceNo), e =&gt; e.SupplierInvoiceNo.Contains(input.SupplierInvoiceNo))
				.WhereIf(!string.IsNullOrWhiteSpace(input.TopasSmrNo), e =&gt; e.TopasSmrNo.Contains(input.TopasSmrNo))
				.WhereIf(!string.IsNullOrWhiteSpace(input.TopasSmrItemNo), e =&gt; e.TopasSmrItemNo.Contains(input.TopasSmrItemNo))
				.WhereIf(!string.IsNullOrWhiteSpace(input.CustomerBranch), e =&gt; e.CustomerBranch.Contains(input.CustomerBranch))
				.WhereIf(!string.IsNullOrWhiteSpace(input.CostCenter), e =&gt; e.CostCenter.Contains(input.CostCenter))
				.WhereIf(!string.IsNullOrWhiteSpace(input.Wbs), e =&gt; e.Wbs.Contains(input.Wbs))
				.WhereIf(!string.IsNullOrWhiteSpace(input.Asset), e =&gt; e.Asset.Contains(input.Asset))
				.WhereIf(!string.IsNullOrWhiteSpace(input.OrderReasonCode), e =&gt; e.OrderReasonCode.Contains(input.OrderReasonCode))
				.WhereIf(!string.IsNullOrWhiteSpace(input.RetroFlag), e =&gt; e.RetroFlag.Contains(input.RetroFlag))
				.WhereIf(!string.IsNullOrWhiteSpace(input.ValuationType), e =&gt; e.ValuationType.Contains(input.ValuationType))
				.WhereIf(!string.IsNullOrWhiteSpace(input.ConditionType), e =&gt; e.ConditionType.Contains(input.ConditionType))
				.WhereIf(!string.IsNullOrWhiteSpace(input.ConditionTypeAmt), e =&gt; e.ConditionTypeAmt.Contains(input.ConditionTypeAmt))
				.WhereIf(!string.IsNullOrWhiteSpace(input.PrepaidTaxAmt), e =&gt; e.PrepaidTaxAmt.Contains(input.PrepaidTaxAmt))
				.WhereIf(!string.IsNullOrWhiteSpace(input.WithholdingTaxAmt), e =&gt; e.WithholdingTaxAmt.Contains(input.WithholdingTaxAmt))
				.WhereIf(!string.IsNullOrWhiteSpace(input.StampFeeAmt), e =&gt; e.StampFeeAmt.Contains(input.StampFeeAmt))
				.WhereIf(!string.IsNullOrWhiteSpace(input.GlAmount), e =&gt; e.GlAmount.Contains(input.GlAmount))
				.WhereIf(!string.IsNullOrWhiteSpace(input.SptCode), e =&gt; e.SptCode.Contains(input.SptCode))
				.WhereIf(!string.IsNullOrWhiteSpace(input.HigherLevelItem), e =&gt; e.HigherLevelItem.Contains(input.HigherLevelItem))
				.WhereIf(!string.IsNullOrWhiteSpace(input.WithholdingTaxBaseAmt), e =&gt; e.WithholdingTaxBaseAmt.Contains(input.WithholdingTaxBaseAmt))
				.WhereIf(!string.IsNullOrWhiteSpace(input.TypeOfSales), e =&gt; e.TypeOfSales.Contains(input.TypeOfSales))
				.WhereIf(!string.IsNullOrWhiteSpace(input.ProfitCenter), e =&gt; e.ProfitCenter.Contains(input.ProfitCenter))
				.WhereIf(!string.IsNullOrWhiteSpace(input.DueDate), e =&gt; e.DueDate.Contains(input.DueDate))
				.WhereIf(!string.IsNullOrWhiteSpace(input.ItemText), e =&gt; e.ItemText.Contains(input.ItemText))
				.WhereIf(!string.IsNullOrWhiteSpace(input.PaymentMethod), e =&gt; e.PaymentMethod.Contains(input.PaymentMethod))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IF_FQF3MM03Dto
                        {
							Id = o.Id,
							RecordId = o.RecordId,
							CompanyCode = o.CompanyCode,
							DocumentNo = o.DocumentNo,
							DocumentType = o.DocumentType,
							DocumentDate = o.DocumentDate,
							CustomerCode = o.CustomerCode,
							CustomerPlantCode = o.CustomerPlantCode,
							CustomerDockCode = o.CustomerDockCode,
							PartCategory = o.PartCategory,
							WithholdingTaxFlag = o.WithholdingTaxFlag,
							WithholdingTaxRate = o.WithholdingTaxRate,
							OrderType = o.OrderType,
							PdsNo = o.PdsNo,
							PartReceivedDate = o.PartReceivedDate,
							SequenceDate = o.SequenceDate,
							SequenceNo = o.SequenceNo,
							PartNo = o.PartNo,
							ReferenceDocumentNo = o.ReferenceDocumentNo,
							PostingDate = o.PostingDate,
							SupplierCode = o.SupplierCode,
							SupplierPlantCode = o.SupplierPlantCode,
							PartQuantity = o.PartQuantity,
							UnitBuyingPrice = o.UnitBuyingPrice,
							UnitBuyingAmount = o.UnitBuyingAmount,
							UnitSellingPrice = o.UnitSellingPrice,
							UnitSellingAmount = o.UnitSellingAmount,
							PriceStatus = o.PriceStatus,
							TotalAmount = o.TotalAmount,
							VatAmount = o.VatAmount,
							VatCode = o.VatCode,
							PaymentTerm = o.PaymentTerm,
							ReasonCode = o.ReasonCode,
							MarkCode = o.MarkCode,
							SignCode = o.SignCode,
							CancelFlag = o.CancelFlag,
							SupplierInvoiceNo = o.SupplierInvoiceNo,
							TopasSmrNo = o.TopasSmrNo,
							TopasSmrItemNo = o.TopasSmrItemNo,
							CustomerBranch = o.CustomerBranch,
							CostCenter = o.CostCenter,
							Wbs = o.Wbs,
							Asset = o.Asset,
							OrderReasonCode = o.OrderReasonCode,
							RetroFlag = o.RetroFlag,
							ValuationType = o.ValuationType,
							ConditionType = o.ConditionType,
							ConditionTypeAmt = o.ConditionTypeAmt,
							PrepaidTaxAmt = o.PrepaidTaxAmt,
							WithholdingTaxAmt = o.WithholdingTaxAmt,
							StampFeeAmt = o.StampFeeAmt,
							GlAmount = o.GlAmount,
							SptCode = o.SptCode,
							HigherLevelItem = o.HigherLevelItem,
							WithholdingTaxBaseAmt = o.WithholdingTaxBaseAmt,
							TypeOfSales = o.TypeOfSales,
							ProfitCenter = o.ProfitCenter,
							DueDate = o.DueDate,
							ItemText = o.ItemText,
							PaymentMethod = o.PaymentMethod,
							EndingOfRecord = o.EndingOfRecord,
                        };
            var totalCount = await filtered.CountAsync();
			var paged = system.PageBy(input);
            return new PagedResultDto&lt;IF_FQF3MM03Dto&gt;(
                totalCount,
                 await paged.ToListAsync()
            );
        }
        public async Task&lt;FileDto&gt; GetFQF3MM03ToExcel(IF_FQF3MM03ExportInput input)
        {
            var query = from o in _repo.GetAll()
                        select new IF_FQF3MM03Dto
                        {
							Id = o.Id,
							RecordId = o.RecordId,
							CompanyCode = o.CompanyCode,
							DocumentNo = o.DocumentNo,
							DocumentType = o.DocumentType,
							DocumentDate = o.DocumentDate,
							CustomerCode = o.CustomerCode,
							CustomerPlantCode = o.CustomerPlantCode,
							CustomerDockCode = o.CustomerDockCode,
							PartCategory = o.PartCategory,
							WithholdingTaxFlag = o.WithholdingTaxFlag,
							WithholdingTaxRate = o.WithholdingTaxRate,
							OrderType = o.OrderType,
							PdsNo = o.PdsNo,
							PartReceivedDate = o.PartReceivedDate,
							SequenceDate = o.SequenceDate,
							SequenceNo = o.SequenceNo,
							PartNo = o.PartNo,
							ReferenceDocumentNo = o.ReferenceDocumentNo,
							PostingDate = o.PostingDate,
							SupplierCode = o.SupplierCode,
							SupplierPlantCode = o.SupplierPlantCode,
							PartQuantity = o.PartQuantity,
							UnitBuyingPrice = o.UnitBuyingPrice,
							UnitBuyingAmount = o.UnitBuyingAmount,
							UnitSellingPrice = o.UnitSellingPrice,
							UnitSellingAmount = o.UnitSellingAmount,
							PriceStatus = o.PriceStatus,
							TotalAmount = o.TotalAmount,
							VatAmount = o.VatAmount,
							VatCode = o.VatCode,
							PaymentTerm = o.PaymentTerm,
							ReasonCode = o.ReasonCode,
							MarkCode = o.MarkCode,
							SignCode = o.SignCode,
							CancelFlag = o.CancelFlag,
							SupplierInvoiceNo = o.SupplierInvoiceNo,
							TopasSmrNo = o.TopasSmrNo,
							TopasSmrItemNo = o.TopasSmrItemNo,
							CustomerBranch = o.CustomerBranch,
							CostCenter = o.CostCenter,
							Wbs = o.Wbs,
							Asset = o.Asset,
							OrderReasonCode = o.OrderReasonCode,
							RetroFlag = o.RetroFlag,
							ValuationType = o.ValuationType,
							ConditionType = o.ConditionType,
							ConditionTypeAmt = o.ConditionTypeAmt,
							PrepaidTaxAmt = o.PrepaidTaxAmt,
							WithholdingTaxAmt = o.WithholdingTaxAmt,
							StampFeeAmt = o.StampFeeAmt,
							GlAmount = o.GlAmount,
							SptCode = o.SptCode,
							HigherLevelItem = o.HigherLevelItem,
							WithholdingTaxBaseAmt = o.WithholdingTaxBaseAmt,
							TypeOfSales = o.TypeOfSales,
							ProfitCenter = o.ProfitCenter,
							DueDate = o.DueDate,
							ItemText = o.ItemText,
							PaymentMethod = o.PaymentMethod,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_dapperRepo.ExecuteAsync(IF_FQF3MM03Consts.SP_MST_WPT_CALENDAR_GENERATE);
       // }
    }
}</v>
      </c>
      <c r="N68" s="58" t="str">
        <f>A.Backend!U7</f>
        <v xml:space="preserve">  configuration.CreateMap&lt;IF_FQF3MM03Dto, IF_FQF3MM03&gt;();
  configuration.CreateMap&lt;IF_FQF3MM03, IF_FQF3MM03Dto&gt;();
  configuration.CreateMap&lt;CreateOrEditIF_FQF3MM03Dto, IF_FQF3MM03&gt;();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fqf3mm03</v>
      </c>
      <c r="C73" s="66" t="str">
        <f>"create folder " &amp;B73</f>
        <v>create folder fqf3mm03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fqf3mm03.component.ts</v>
      </c>
      <c r="D74" s="28" t="str">
        <f>B.Frontend!I14</f>
        <v>fqf3mm03.component.html</v>
      </c>
      <c r="E74" s="28" t="str">
        <f>B.Frontend!J14</f>
        <v>fqf3mm03.component.less</v>
      </c>
      <c r="F74" s="28" t="str">
        <f>B.Frontend!K14</f>
        <v>create-or-edit-fqf3mm03-modal.component.html</v>
      </c>
      <c r="G74" s="28" t="str">
        <f>B.Frontend!L14</f>
        <v>create-or-edit-fqf3mm03-modal.component.ts</v>
      </c>
      <c r="H74" s="28" t="str">
        <f>B.Frontend!M14</f>
        <v>create-or-edit-fqf3mm03-modal.component.less</v>
      </c>
      <c r="I74" s="28" t="str">
        <f>B.Frontend!N14</f>
        <v>fqf3mm03.module.ts</v>
      </c>
      <c r="J74" s="28" t="str">
        <f>B.Frontend!O14</f>
        <v>fqf3mm03-routing.module.ts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IF_FQF3MM03Dto, IF_FQF3MM03ServiceProxy } from '@shared/service-proxies/service-proxies';
import { finalize } from 'rxjs/internal/operators/finalize';
import { CreateOrEditFQF3MM03ModalComponent } from './create-or-edit-fqf3mm03-modal.component';
import { DatePipe } from '@angular/common';
import { FileDownloadService } from '@shared/utils/file-download.service';
import ceil from 'lodash-es/ceil';
import { Paginator } from 'primeng/paginator';
@Component({
    templateUrl: './fqf3mm03.component.html',
    styleUrls: ['./fqf3mm03.component.less'],
})
export class FQF3MM03Component extends AppComponentBase implements OnInit {
    @ViewChild('createOrEditModalFQF3MM03', { static: true }) createOrEditModalFQF3MM03:| CreateOrEditFQF3MM03ModalComponent|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IF_FQF3MM03Dto = new IF_FQF3MM03Dto();
    saveSelectedRow: IF_FQF3MM03Dto = new IF_FQF3MM03Dto();
    datas: IF_FQF3MM03Dto = new IF_FQF3MM03Dto();
    isLoading: boolean = false;
    dataParams: GridParams | undefined;
    rowData: any[] = [];
    gridApi!: GridApi;
    rowSelection = 'multiple';
    filter: string = '';
	pipe = new DatePipe('en-US');
	frameworkComponents: FrameworkComponent;
    	recordId : string = '' ; 
	companyCode : string = '' ; 
	documentNo : string = '' ; 
	documentType : string = '' ; 
	documentDate : string = '' ; 
	customerCode : string = '' ; 
	customerPlantCode : string = '' ; 
	customerDockCode : string = '' ; 
	partCategory : string = '' ; 
	withholdingTaxFlag : string = '' ; 
	withholdingTaxRate : string = '' ; 
	orderType : string = '' ; 
	pdsNo : string = '' ; 
	partReceivedDate : string = '' ; 
	sequenceDate : string = '' ; 
	sequenceNo : string = '' ; 
	partNo : string = '' ; 
	referenceDocumentNo : string = '' ; 
	postingDate : string = '' ; 
	supplierCode : string = '' ; 
	supplierPlantCode : string = '' ; 
	partQuantity : string = '' ; 
	unitBuyingPrice : string = '' ; 
	unitBuyingAmount : string = '' ; 
	unitSellingPrice : string = '' ; 
	unitSellingAmount : string = '' ; 
	priceStatus : string = '' ; 
	totalAmount : string = '' ; 
	vatAmount : string = '' ; 
	vatCode : string = '' ; 
	paymentTerm : string = '' ; 
	reasonCode : string = '' ; 
	markCode : string = '' ; 
	signCode : string = '' ; 
	cancelFlag : string = '' ; 
	supplierInvoiceNo : string = '' ; 
	topasSmrNo : string = '' ; 
	topasSmrItemNo : string = '' ; 
	customerBranch : string = '' ; 
	costCenter : string = '' ; 
	wbs : string = '' ; 
	asset : string = '' ; 
	orderReasonCode : string = '' ; 
	retroFlag : string = '' ; 
	valuationType : string = '' ; 
	conditionType : string = '' ; 
	conditionTypeAmt : string = '' ; 
	prepaidTaxAmt : string = '' ; 
	withholdingTaxAmt : string = '' ; 
	stampFeeAmt : string = '' ; 
	glAmount : string = '' ; 
	sptCode : string = '' ; 
	higherLevelItem : string = '' ; 
	withholdingTaxBaseAmt : string = '' ; 
	typeOfSales : string = '' ; 
	profitCenter : string = '' ; 
	dueDate : string = '' ; 
	itemText : string = '' ; 
	paymentMethod : string = '' ; 
	endingOfRecord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IF_FQF3MM03ServiceProxy,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this.l('Company Code'),headerTooltip: this.l('Company Code'),field: 'companyCode',flex: 1},
			{headerName: this.l('Document No'),headerTooltip: this.l('Document No'),field: 'documentNo',flex: 1},
			{headerName: this.l('Document Type'),headerTooltip: this.l('Document Type'),field: 'documentType',flex: 1},
			{headerName: this.l('Document Date'),headerTooltip: this.l('Document Date'),field: 'documentDate',flex: 1},
			{headerName: this.l('Customer Code'),headerTooltip: this.l('Customer Code'),field: 'customerCode',flex: 1},
			{headerName: this.l('Customer Plant Code'),headerTooltip: this.l('Customer Plant Code'),field: 'customerPlantCode',flex: 1},
			{headerName: this.l('Customer Dock Code'),headerTooltip: this.l('Customer Dock Code'),field: 'customerDockCode',flex: 1},
			{headerName: this.l('Part Category'),headerTooltip: this.l('Part Category'),field:  'partCategory', cellClass: ['text-center'], width: 120, cellRenderer: 'agCellButtonComponent',
buttonDefTwo: { text: params =&gt; (params.data?.'partCategory' == 'Y') ? 'Active' : 'Inactive',iconName: 'fa fa-circle',className: params =&gt; (params.data?.'partCategory' == 'Y') ? 'btnActive' : 'btnInActive',},}
			{headerName: this.l('Withholding Tax Flag'),headerTooltip: this.l('Withholding Tax Flag'),field:  'withholdingTaxFlag', cellClass: ['text-center'], width: 120, cellRenderer: 'agCellButtonComponent',
buttonDefTwo: { text: params =&gt; (params.data?.'withholdingTaxFlag' == 'Y') ? 'Active' : 'Inactive',iconName: 'fa fa-circle',className: params =&gt; (params.data?.'withholdingTaxFlag' == 'Y') ? 'btnActive' : 'btnInActive',},}
			{headerName: this.l('Withholding Tax Rate'),headerTooltip: this.l('Withholding Tax Rate'),field: 'withholdingTaxRate',flex: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this.l('Pds No'),headerTooltip: this.l('Pds No'),field: 'pdsNo',flex: 1},
			{headerName: this.l('Part Received Date'),headerTooltip: this.l('Part Received Date'),field: 'partReceivedDate',flex: 1},
			{headerName: this.l('Sequence Date'),headerTooltip: this.l('Sequence Date'),field: 'sequenceDate',flex: 1},
			{headerName: this.l('Sequence No'),headerTooltip: this.l('Sequence No'),field: 'sequenceNo',flex: 1},
			{headerName: this.l('Part No'),headerTooltip: this.l('Part No'),field: 'partNo',flex: 1},
			{headerName: this.l('Reference Document No'),headerTooltip: this.l('Reference Document No'),field: 'referenceDocumentNo',flex: 1},
			{headerName: this.l('Posting Date'),headerTooltip: this.l('Posting Date'),field: 'postingDate',flex: 1},
			{headerName: this.l('Supplier Code'),headerTooltip: this.l('Supplier Code'),field: 'supplierCode',flex: 1},
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
			{headerName: this.l('Part Quantity'),headerTooltip: this.l('Part Quantity'),field: 'partQuantity',flex: 1},
			{headerName: this.l('Unit Buying Price'),headerTooltip: this.l('Unit Buying Price'),field: 'unitBuyingPrice',flex: 1},
			{headerName: this.l('Unit Buying Amount'),headerTooltip: this.l('Unit Buying Amount'),field: 'unitBuyingAmount',flex: 1},
			{headerName: this.l('Unit Selling Price'),headerTooltip: this.l('Unit Selling Price'),field: 'unitSellingPrice',flex: 1},
			{headerName: this.l('Unit Selling Amount'),headerTooltip: this.l('Unit Selling Amount'),field: 'unitSellingAmount',flex: 1},
			{headerName: this.l('Price Status'),headerTooltip: this.l('Price Status'),field:  'priceStatus', cellClass: ['text-center'], width: 120, cellRenderer: 'agCellButtonComponent',
buttonDefTwo: { text: params =&gt; (params.data?.'priceStatus' == 'Y') ? 'Active' : 'Inactive',iconName: 'fa fa-circle',className: params =&gt; (params.data?.'priceStatus' == 'Y') ? 'btnActive' : 'btnInActive',},}
			{headerName: this.l('Total Amount'),headerTooltip: this.l('Total Amount'),field: 'totalAmount',flex: 1},
			{headerName: this.l('Vat Amount'),headerTooltip: this.l('Vat Amount'),field: 'vatAmount',flex: 1},
			{headerName: this.l('Vat Code'),headerTooltip: this.l('Vat Code'),field: 'vatCode',flex: 1},
			{headerName: this.l('Payment Term'),headerTooltip: this.l('Payment Term'),field: 'paymentTerm',flex: 1},
			{headerName: this.l('Reason Code'),headerTooltip: this.l('Reason Code'),field:  'reasonCode', cellClass: ['text-center'], width: 120, cellRenderer: 'agCellButtonComponent',
buttonDefTwo: { text: params =&gt; (params.data?.'reasonCode' == 'Y') ? 'Active' : 'Inactive',iconName: 'fa fa-circle',className: params =&gt; (params.data?.'reasonCode' == 'Y') ? 'btnActive' : 'btnInActive',},}
			{headerName: this.l('Mark Code'),headerTooltip: this.l('Mark Code'),field:  'markCode', cellClass: ['text-center'], width: 120, cellRenderer: 'agCellButtonComponent',
buttonDefTwo: { text: params =&gt; (params.data?.'markCode' == 'Y') ? 'Active' : 'Inactive',iconName: 'fa fa-circle',className: params =&gt; (params.data?.'markCode' == 'Y') ? 'btnActive' : 'btnInActive',},}
			{headerName: this.l('Sign Code'),headerTooltip: this.l('Sign Code'),field:  'signCode', cellClass: ['text-center'], width: 120, cellRenderer: 'agCellButtonComponent',
buttonDefTwo: { text: params =&gt; (params.data?.'signCode' == 'Y') ? 'Active' : 'Inactive',iconName: 'fa fa-circle',className: params =&gt; (params.data?.'signCode' == 'Y') ? 'btnActive' : 'btnInActive',},}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this.l('Supplier Invoice No'),headerTooltip: this.l('Supplier Invoice No'),field: 'supplierInvoiceNo',flex: 1},
			{headerName: this.l('Topas Smr No'),headerTooltip: this.l('Topas Smr No'),field: 'topasSmrNo',flex: 1},
			{headerName: this.l('Topas Smr Item No'),headerTooltip: this.l('Topas Smr Item No'),field: 'topasSmrItemNo',flex: 1},
			{headerName: this.l('Customer Branch'),headerTooltip: this.l('Customer Branch'),field: 'customerBranch',flex: 1},
			{headerName: this.l('Cost Center'),headerTooltip: this.l('Cost Center'),field: 'costCenter',flex: 1},
			{headerName: this.l('Wbs'),headerTooltip: this.l('Wbs'),field: 'wbs',flex: 1},
			{headerName: this.l('Asset'),headerTooltip: this.l('Asset'),field: 'asset',flex: 1},
			{headerName: this.l('Order Reason Code'),headerTooltip: this.l('Order Reason Code'),field:  'orderReasonCode', cellClass: ['text-center'], width: 120, cellRenderer: 'agCellButtonComponent',
buttonDefTwo: { text: params =&gt; (params.data?.'orderReasonCode' == 'Y') ? 'Active' : 'Inactive',iconName: 'fa fa-circle',className: params =&gt; (params.data?.'orderReasonCode' == 'Y') ? 'btnActive' : 'btnInActive',},}
			{headerName: this.l('Retro Flag'),headerTooltip: this.l('Retro Flag'),field:  'retroFlag', cellClass: ['text-center'], width: 120, cellRenderer: 'agCellButtonComponent',
buttonDefTwo: { text: params =&gt; (params.data?.'retroFlag' == 'Y') ? 'Active' : 'Inactive',iconName: 'fa fa-circle',className: params =&gt; (params.data?.'retroFlag' == 'Y') ? 'btnActive' : 'btnInActive',},}
			{headerName: this.l('Valuation Type'),headerTooltip: this.l('Valuation Type'),field: 'valuationType',flex: 1},
			{headerName: this.l('Condition Type'),headerTooltip: this.l('Condition Type'),field: 'conditionType',flex: 1},
			{headerName: this.l('Condition Type Amt'),headerTooltip: this.l('Condition Type Amt'),field: 'conditionTypeAmt',flex: 1},
			{headerName: this.l('Prepaid Tax Amt'),headerTooltip: this.l('Prepaid Tax Amt'),field: 'prepaidTaxAmt',flex: 1},
			{headerName: this.l('Withholding Tax Amt'),headerTooltip: this.l('Withholding Tax Amt'),field: 'withholdingTaxAmt',flex: 1},
			{headerName: this.l('Stamp Fee Amt'),headerTooltip: this.l('Stamp Fee Amt'),field: 'stampFeeAmt',flex: 1},
			{headerName: this.l('Gl Amount'),headerTooltip: this.l('Gl Amount'),field: 'glAmount',flex: 1},
			{headerName: this.l('Spt Code'),headerTooltip: this.l('Spt Code'),field: 'sptCode',flex: 1},
			{headerName: this.l('Higher Level Item'),headerTooltip: this.l('Higher Level Item'),field: 'higherLevelItem',flex: 1},
			{headerName: this.l('Withholding Tax Base Amt'),headerTooltip: this.l('Withholding Tax Base Amt'),field: 'withholdingTaxBaseAmt',flex: 1},
			{headerName: this.l('Type Of Sales'),headerTooltip: this.l('Type Of Sales'),field: 'typeOfSales',flex: 1},
			{headerName: this.l('Profit Center'),headerTooltip: this.l('Profit Center'),field: 'profitCenter',flex: 1},
			{headerName: this.l('Due Date'),headerTooltip: this.l('Due Date'),field: 'dueDate',flex: 1},
			{headerName: this.l('Item Text'),headerTooltip: this.l('Item Text'),field: 'itemText',flex: 1},
			{headerName: this.l('Payment Method'),headerTooltip: this.l('Payment Method'),field:  'paymentMethod', cellClass: ['text-center'], width: 120, cellRenderer: 'agCellButtonComponent',
buttonDefTwo: { text: params =&gt; (params.data?.'paymentMethod' == 'Y') ? 'Active' : 'Inactive',iconName: 'fa fa-circle',className: params =&gt; (params.data?.'paymentMethod' == 'Y') ? 'btnActive' : 'btnInActive',},}
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this.companyCode,
			this.documentNo,
			this.documentType,
			this.documentDate,
			this.customerCode,
			this.customerPlantCode,
			this.customerDockCode,
			this.partCategory,
			this.withholdingTaxFlag,
			this.withholdingTaxRate,
			this.orderType,
			this.pdsNo,
			this.partReceivedDate,
			this.sequenceDate,
			this.sequenceNo,
			this.partNo,
			this.referenceDocumentNo,
			this.postingDate,
			this.supplierCode,
			this.supplierPlantCode,
			this.partQuantity,
			this.unitBuyingPrice,
			this.unitBuyingAmount,
			this.unitSellingPrice,
			this.unitSellingAmount,
			this.priceStatus,
			this.totalAmount,
			this.vatAmount,
			this.vatCode,
			this.paymentTerm,
			this.reasonCode,
			this.markCode,
			this.signCode,
			this.cancelFlag,
			this.supplierInvoiceNo,
			this.topasSmrNo,
			this.topasSmrItemNo,
			this.customerBranch,
			this.costCenter,
			this.wbs,
			this.asset,
			this.orderReasonCode,
			this.retroFlag,
			this.valuationType,
			this.conditionType,
			this.conditionTypeAmt,
			this.prepaidTaxAmt,
			this.withholdingTaxAmt,
			this.stampFeeAmt,
			this.glAmount,
			this.sptCode,
			this.higherLevelItem,
			this.withholdingTaxBaseAmt,
			this.typeOfSales,
			this.profitCenter,
			this.dueDate,
			this.itemText,
			this.paymentMethod,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this.companyCode = '',
		this.documentNo = '',
		this.documentType = '',
		this.documentDate = '',
		this.customerCode = '',
		this.customerPlantCode = '',
		this.customerDockCode = '',
		this.partCategory = '',
		this.withholdingTaxFlag = '',
		this.withholdingTaxRate = '',
		this.orderType = '',
		this.pdsNo = '',
		this.partReceivedDate = '',
		this.sequenceDate = '',
		this.sequenceNo = '',
		this.partNo = '',
		this.referenceDocumentNo = '',
		this.postingDate = '',
		this.supplierCode = '',
		this.supplierPlantCode = '',
		this.partQuantity = '',
		this.unitBuyingPrice = '',
		this.unitBuyingAmount = '',
		this.unitSellingPrice = '',
		this.unitSellingAmount = '',
		this.priceStatus = '',
		this.totalAmount = '',
		this.vatAmount = '',
		this.vatCode = '',
		this.paymentTerm = '',
		this.reasonCode = '',
		this.markCode = '',
		this.signCode = '',
		this.cancelFlag = '',
		this.supplierInvoiceNo = '',
		this.topasSmrNo = '',
		this.topasSmrItemNo = '',
		this.customerBranch = '',
		this.costCenter = '',
		this.wbs = '',
		this.asset = '',
		this.orderReasonCode = '',
		this.retroFlag = '',
		this.valuationType = '',
		this.conditionType = '',
		this.conditionTypeAmt = '',
		this.prepaidTaxAmt = '',
		this.withholdingTaxAmt = '',
		this.stampFeeAmt = '',
		this.glAmount = '',
		this.sptCode = '',
		this.higherLevelItem = '',
		this.withholdingTaxBaseAmt = '',
		this.typeOfSales = '',
		this.profitCenter = '',
		this.dueDate = '',
		this.itemText = '',
		this.paymentMethod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this.companyCode,
			this.documentNo,
			this.documentType,
			this.documentDate,
			this.customerCode,
			this.customerPlantCode,
			this.customerDockCode,
			this.partCategory,
			this.withholdingTaxFlag,
			this.withholdingTaxRate,
			this.orderType,
			this.pdsNo,
			this.partReceivedDate,
			this.sequenceDate,
			this.sequenceNo,
			this.partNo,
			this.referenceDocumentNo,
			this.postingDate,
			this.supplierCode,
			this.supplierPlantCode,
			this.partQuantity,
			this.unitBuyingPrice,
			this.unitBuyingAmount,
			this.unitSellingPrice,
			this.unitSellingAmount,
			this.priceStatus,
			this.totalAmount,
			this.vatAmount,
			this.vatCode,
			this.paymentTerm,
			this.reasonCode,
			this.markCode,
			this.signCode,
			this.cancelFlag,
			this.supplierInvoiceNo,
			this.topasSmrNo,
			this.topasSmrItemNo,
			this.customerBranch,
			this.costCenter,
			this.wbs,
			this.asset,
			this.orderReasonCode,
			this.retroFlag,
			this.valuationType,
			this.conditionType,
			this.conditionTypeAmt,
			this.prepaidTaxAmt,
			this.withholdingTaxAmt,
			this.stampFeeAmt,
			this.glAmount,
			this.sptCode,
			this.higherLevelItem,
			this.withholdingTaxBaseAmt,
			this.typeOfSales,
			this.profitCenter,
			this.dueDate,
			this.itemText,
			this.paymentMethod,
			this.endingOfRecord,
			'',
            this.paginationParams.skipCount,
            this.paginationParams.pageSize
        );
    }
    onChangeRowSelection(params: { api: { getSelectedRows: () =&gt; IF_FQF3MM03Dto[] } }) {
        this.saveSelectedRow = params.api.getSelectedRows()[0] ?? new IF_FQF3MM03Dto();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IF_FQF3MM03Dto):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this._service.getFQF3MM03ToExcel(
			this.recordId,
			this.companyCode,
			this.documentNo,
			this.documentType,
			this.documentDate,
			this.customerCode,
			this.customerPlantCode,
			this.customerDockCode,
			this.partCategory,
			this.withholdingTaxFlag,
			this.withholdingTaxRate,
			this.orderType,
			this.pdsNo,
			this.partReceivedDate,
			this.sequenceDate,
			this.sequenceNo,
			this.partNo,
			this.referenceDocumentNo,
			this.postingDate,
			this.supplierCode,
			this.supplierPlantCode,
			this.partQuantity,
			this.unitBuyingPrice,
			this.unitBuyingAmount,
			this.unitSellingPrice,
			this.unitSellingAmount,
			this.priceStatus,
			this.totalAmount,
			this.vatAmount,
			this.vatCode,
			this.paymentTerm,
			this.reasonCode,
			this.markCode,
			this.signCode,
			this.cancelFlag,
			this.supplierInvoiceNo,
			this.topasSmrNo,
			this.topasSmrItemNo,
			this.customerBranch,
			this.costCenter,
			this.wbs,
			this.asset,
			this.orderReasonCode,
			this.retroFlag,
			this.valuationType,
			this.conditionType,
			this.conditionTypeAmt,
			this.prepaidTaxAmt,
			this.withholdingTaxAmt,
			this.stampFeeAmt,
			this.glAmount,
			this.sptCode,
			this.higherLevelItem,
			this.withholdingTaxBaseAmt,
			this.typeOfSales,
			this.profitCenter,
			this.dueDate,
			this.itemText,
			this.paymentMethod,
			this.endingOfRecord,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FQF3MM03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[(ngModel)]='documentNo' name='documentNo'
									class='form-control' [placeholder]="l('Document No')"
									type='text' (keyup.enter)='searchDatas()'&gt;
								&lt;/div&gt;
								&lt;div class='input-search'&gt;
									&lt;input [(ngModel)]='documentType' name='documentType'
									class='form-control' [placeholder]="l('Document Type')"
									type='text' (keyup.enter)='searchDatas()'&gt;
								&lt;/div&gt;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[(ngModel)]='customerCode' name='customerCode'
									class='form-control' [placeholder]="l('Customer Code')"
									type='text' (keyup.enter)='searchDatas()'&gt;
								&lt;/div&gt;
								&lt;div class='input-search'&gt;
									&lt;input [(ngModel)]='customerPlantCode' name='customerPlantCode'
									class='form-control' [placeholder]="l('Customer Plant Code')"
									type='text' (keyup.enter)='searchDatas()'&gt;
								&lt;/div&gt;
								&lt;div class='input-search'&gt;
									&lt;input [(ngModel)]='customerDockCode' name='customerDockCode'
									class='form-control' [placeholder]="l('Customer Dock Code')"
									type='text' (keyup.enter)='searchDatas()'&gt;
								&lt;/div&gt;
								&lt;div class='input-search'&gt;
									&lt;input [(ngModel)]='partCategory' name='partCategory'
									class='form-control' [placeholder]="l('Part Category')"
									type='text' (keyup.enter)='searchDatas()'&gt;
								&lt;/div&gt;
								&lt;div class='input-search'&gt;
									&lt;input [(ngModel)]='withholdingTaxFlag' name='withholdingTaxFlag'
									class='form-control' [placeholder]="l('Withholding Tax Flag')"
									type='text' (keyup.enter)='searchDatas()'&gt;
								&lt;/div&gt;
								&lt;div class='input-search'&gt;
									&lt;input [(ngModel)]='withholdingTaxRate' name='withholdingTaxRate'
									class='form-control' [placeholder]="l('Withholding Tax Rate')"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[(ngModel)]='pdsNo' name='pdsNo'
									class='form-control' [placeholder]="l('Pds No')"
									type='text' (keyup.enter)='searchDatas()'&gt;
								&lt;/div&gt;
								&lt;div class='input-search'&gt;
									&lt;input [(ngModel)]='partReceivedDate' name='partReceivedDate'
									class='form-control' [placeholder]="l('Part Received Date')"
									type='text' (keyup.enter)='searchDatas()'&gt;
								&lt;/div&gt;
								&lt;div class='input-search'&gt;
									&lt;input [(ngModel)]='sequenceDate' name='sequenceDate'
									class='form-control' [placeholder]="l('Sequence Date')"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[(ngModel)]='referenceDocumentNo' name='referenceDocumentNo'
									class='form-control' [placeholder]="l('Reference Document No')"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[(ngModel)]='supplierPlantCode' name='supplierPlantCode'
									class='form-control' [placeholder]="l('Supplier Plant Code')"
									type='text' (keyup.enter)='searchDatas()'&gt;
								&lt;/div&gt;
								&lt;div class='input-search'&gt;
									&lt;input [(ngModel)]='partQuantity' name='partQuantity'
									class='form-control' [placeholder]="l('Part Quantity')"
									type='text' (keyup.enter)='searchDatas()'&gt;
								&lt;/div&gt;
								&lt;div class='input-search'&gt;
									&lt;input [(ngModel)]='unitBuyingPrice' name='unitBuyingPrice'
									class='form-control' [placeholder]="l('Unit Buying Price')"
									type='text' (keyup.enter)='searchDatas()'&gt;
								&lt;/div&gt;
								&lt;div class='input-search'&gt;
									&lt;input [(ngModel)]='unitBuyingAmount' name='unitBuyingAmount'
									class='form-control' [placeholder]="l('Unit Buying Amount')"
									type='text' (keyup.enter)='searchDatas()'&gt;
								&lt;/div&gt;
								&lt;div class='input-search'&gt;
									&lt;input [(ngModel)]='unitSellingPrice' name='unitSellingPrice'
									class='form-control' [placeholder]="l('Unit Selling Price')"
									type='text' (keyup.enter)='searchDatas()'&gt;
								&lt;/div&gt;
								&lt;div class='input-search'&gt;
									&lt;input [(ngModel)]='unitSellingAmount' name='unitSellingAmount'
									class='form-control' [placeholder]="l('Unit Selling Amount')"
									type='text' (keyup.enter)='searchDatas()'&gt;
								&lt;/div&gt;
								&lt;div class='input-search'&gt;
									&lt;input [(ngModel)]='priceStatus' name='priceStatus'
									class='form-control' [placeholder]="l('Price Status')"
									type='text' (keyup.enter)='searchDatas()'&gt;
								&lt;/div&gt;
								&lt;div class='input-search'&gt;
									&lt;input [(ngModel)]='totalAmount' name='totalAmount'
									class='form-control' [placeholder]="l('Total Amount')"
									type='text' (keyup.enter)='searchDatas()'&gt;
								&lt;/div&gt;
								&lt;div class='input-search'&gt;
									&lt;input [(ngModel)]='vatAmount' name='vatAmount'
									class='form-control' [placeholder]="l('Vat Amount')"
									type='text' (keyup.enter)='searchDatas()'&gt;
								&lt;/div&gt;
								&lt;div class='input-search'&gt;
									&lt;input [(ngModel)]='vatCode' name='vatCode'
									class='form-control' [placeholder]="l('Vat Code')"
									type='text' (keyup.enter)='searchDatas()'&gt;
								&lt;/div&gt;
								&lt;div class='input-search'&gt;
									&lt;input [(ngModel)]='paymentTerm' name='paymentTerm'
									class='form-control' [placeholder]="l('Payment Term')"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[(ngModel)]='markCode' name='markCode'
									class='form-control' [placeholder]="l('Mark Code')"
									type='text' (keyup.enter)='searchDatas()'&gt;
								&lt;/div&gt;
								&lt;div class='input-search'&gt;
									&lt;input [(ngModel)]='signCode' name='signCode'
									class='form-control' [placeholder]="l('Sign Code')"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[(ngModel)]='supplierInvoiceNo' name='supplierInvoiceNo'
									class='form-control' [placeholder]="l('Supplier Invoice No')"
									type='text' (keyup.enter)='searchDatas()'&gt;
								&lt;/div&gt;
								&lt;div class='input-search'&gt;
									&lt;input [(ngModel)]='topasSmrNo' name='topasSmrNo'
									class='form-control' [placeholder]="l('Topas Smr No')"
									type='text' (keyup.enter)='searchDatas()'&gt;
								&lt;/div&gt;
								&lt;div class='input-search'&gt;
									&lt;input [(ngModel)]='topasSmrItemNo' name='topasSmrItemNo'
									class='form-control' [placeholder]="l('Topas Smr Item No')"
									type='text' (keyup.enter)='searchDatas()'&gt;
								&lt;/div&gt;
								&lt;div class='input-search'&gt;
									&lt;input [(ngModel)]='customerBranch' name='customerBranch'
									class='form-control' [placeholder]="l('Customer Branch')"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[(ngModel)]='asset' name='asset'
									class='form-control' [placeholder]="l('Asset')"
									type='text' (keyup.enter)='searchDatas()'&gt;
								&lt;/div&gt;
								&lt;div class='input-search'&gt;
									&lt;input [(ngModel)]='orderReasonCode' name='orderReasonCode'
									class='form-control' [placeholder]="l('Order Reason Code')"
									type='text' (keyup.enter)='searchDatas()'&gt;
								&lt;/div&gt;
								&lt;div class='input-search'&gt;
									&lt;input [(ngModel)]='retroFlag' name='retroFlag'
									class='form-control' [placeholder]="l('Retro Flag')"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[(ngModel)]='conditionType' name='conditionType'
									class='form-control' [placeholder]="l('Condition Type')"
									type='text' (keyup.enter)='searchDatas()'&gt;
								&lt;/div&gt;
								&lt;div class='input-search'&gt;
									&lt;input [(ngModel)]='conditionTypeAmt' name='conditionTypeAmt'
									class='form-control' [placeholder]="l('Condition Type Amt')"
									type='text' (keyup.enter)='searchDatas()'&gt;
								&lt;/div&gt;
								&lt;div class='input-search'&gt;
									&lt;input [(ngModel)]='prepaidTaxAmt' name='prepaidTaxAmt'
									class='form-control' [placeholder]="l('Prepaid Tax Amt')"
									type='text' (keyup.enter)='searchDatas()'&gt;
								&lt;/div&gt;
								&lt;div class='input-search'&gt;
									&lt;input [(ngModel)]='withholdingTaxAmt' name='withholdingTaxAmt'
									class='form-control' [placeholder]="l('Withholding Tax Amt')"
									type='text' (keyup.enter)='searchDatas()'&gt;
								&lt;/div&gt;
								&lt;div class='input-search'&gt;
									&lt;input [(ngModel)]='stampFeeAmt' name='stampFeeAmt'
									class='form-control' [placeholder]="l('Stamp Fee Amt')"
									type='text' (keyup.enter)='searchDatas()'&gt;
								&lt;/div&gt;
								&lt;div class='input-search'&gt;
									&lt;input [(ngModel)]='glAmount' name='glAmount'
									class='form-control' [placeholder]="l('Gl Amount')"
									type='text' (keyup.enter)='searchDatas()'&gt;
								&lt;/div&gt;
								&lt;div class='input-search'&gt;
									&lt;input [(ngModel)]='sptCode' name='sptCode'
									class='form-control' [placeholder]="l('Spt Code')"
									type='text' (keyup.enter)='searchDatas()'&gt;
								&lt;/div&gt;
								&lt;div class='input-search'&gt;
									&lt;input [(ngModel)]='higherLevelItem' name='higherLevelItem'
									class='form-control' [placeholder]="l('Higher Level Item')"
									type='text' (keyup.enter)='searchDatas()'&gt;
								&lt;/div&gt;
								&lt;div class='input-search'&gt;
									&lt;input [(ngModel)]='withholdingTaxBaseAmt' name='withholdingTaxBaseAmt'
									class='form-control' [placeholder]="l('Withholding Tax Base Amt')"
									type='text' (keyup.enter)='searchDatas()'&gt;
								&lt;/div&gt;
								&lt;div class='input-search'&gt;
									&lt;input [(ngModel)]='typeOfSales' name='typeOfSales'
									class='form-control' [placeholder]="l('Type Of Sales')"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[(ngModel)]='dueDate' name='dueDate'
									class='form-control' [placeholder]="l('Due Date')"
									type='text' (keyup.enter)='searchDatas()'&gt;
								&lt;/div&gt;
								&lt;div class='input-search'&gt;
									&lt;input [(ngModel)]='itemText' name='itemText'
									class='form-control' [placeholder]="l('Item Text')"
									type='text' (keyup.enter)='searchDatas()'&gt;
								&lt;/div&gt;
								&lt;div class='input-search'&gt;
									&lt;input [(ngModel)]='paymentMethod' name='paymentMethod'
									class='form-control' [placeholder]="l('Payment Method')"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(click)="createOrEditModalFQF3MM03.show()"&gt;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(click)="createOrEditModalFQF3MM03.show(selectedRow)"&gt;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&lt;create-or-edit-fqf3mm03-modal
    #createOrEditModalFQF3MM03
    (modalSave)="callBackDataGrid(dataParams)"
    (modalClose)="onChangeRowSelection(dataParams)"
&gt;
&lt;/create-or-edit-fqf3mm03-modal&gt;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#createOrEditModalFQF3MM03="bs-modal"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FQF3MM03')}}&lt;/h3&gt;
                    &lt;h3 *ngIf="!rowdata.id"&gt;{{('Create New FQF3MM03')}}&lt;/h3&gt;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title'&gt;Document No&lt;/label&gt;
						&lt;input type='text' class='col-md-10 form-control input-text' name='DocumentNo' [(ngModel)]='rowdata.documentNo'&gt;
					&lt;/div&gt;
					&lt;div class='col-md-12 form-group row'&gt;
						&lt;label class='col-md-2 form-control title'&gt;Document Type&lt;/label&gt;
						&lt;input type='text' class='col-md-10 form-control input-text' name='DocumentType' [(ngModel)]='rowdata.documentType'&gt;
					&lt;/div&gt;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title'&gt;Customer Code&lt;/label&gt;
						&lt;input type='text' class='col-md-10 form-control input-text' name='CustomerCode' [(ngModel)]='rowdata.customerCode'&gt;
					&lt;/div&gt;
					&lt;div class='col-md-12 form-group row'&gt;
						&lt;label class='col-md-2 form-control title'&gt;Customer Plant Code&lt;/label&gt;
						&lt;input type='text' class='col-md-10 form-control input-text' name='CustomerPlantCode' [(ngModel)]='rowdata.customerPlantCode'&gt;
					&lt;/div&gt;
					&lt;div class='col-md-12 form-group row'&gt;
						&lt;label class='col-md-2 form-control title'&gt;Customer Dock Code&lt;/label&gt;
						&lt;input type='text' class='col-md-10 form-control input-text' name='CustomerDockCode' [(ngModel)]='rowdata.customerDockCode'&gt;
					&lt;/div&gt;
					&lt;div class='col-md-12 form-group row'&gt;
						&lt;label class='col-md-2 form-control title'&gt;Part Category&lt;/label&gt;
						&lt;new-checkbox [(ngModel)]='_partCategory' name='partCategory' className='col-md-10' &gt; &lt;/new-checkbox&gt;
					&lt;/div&gt;
					&lt;div class='col-md-12 form-group row'&gt;
						&lt;label class='col-md-2 form-control title'&gt;Withholding Tax Flag&lt;/label&gt;
						&lt;new-checkbox [(ngModel)]='_withholdingTaxFlag' name='withholdingTaxFlag' className='col-md-10' &gt; &lt;/new-checkbox&gt;
					&lt;/div&gt;
					&lt;div class='col-md-12 form-group row'&gt;
						&lt;label class='col-md-2 form-control title'&gt;Withholding Tax Rate&lt;/label&gt;
						&lt;input type='text' class='col-md-10 form-control input-text' name='WithholdingTaxRate' [(ngModel)]='rowdata.withholdingTaxRate'&gt;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title'&gt;Pds No&lt;/label&gt;
						&lt;input type='text' class='col-md-10 form-control input-text' name='PdsNo' [(ngModel)]='rowdata.pdsNo'&gt;
					&lt;/div&gt;
					&lt;div class='col-md-12 form-group row'&gt;
						&lt;label class='col-md-2 form-control title'&gt;Part Received Date&lt;/label&gt;
						&lt;input type='text' class='col-md-10 form-control input-text' name='PartReceivedDate' [(ngModel)]='rowdata.partReceivedDate'&gt;
					&lt;/div&gt;
					&lt;div class='col-md-12 form-group row'&gt;
						&lt;label class='col-md-2 form-control title'&gt;Sequence Date&lt;/label&gt;
						&lt;input type='text' class='col-md-10 form-control input-text' name='SequenceDate' [(ngModel)]='rowdata.sequenceDate'&gt;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title'&gt;Reference Document No&lt;/label&gt;
						&lt;input type='text' class='col-md-10 form-control input-text' name='ReferenceDocumentNo' [(ngModel)]='rowdata.referenceDocumentNo'&gt;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
					&lt;div class='col-md-12 form-group row'&gt;
						&lt;label class='col-md-2 form-control title'&gt;Part Quantity&lt;/label&gt;
						&lt;input type='text' class='col-md-10 form-control input-text' name='PartQuantity' [(ngModel)]='rowdata.partQuantity'&gt;
					&lt;/div&gt;
					&lt;div class='col-md-12 form-group row'&gt;
						&lt;label class='col-md-2 form-control title'&gt;Unit Buying Price&lt;/label&gt;
						&lt;input type='text' class='col-md-10 form-control input-text' name='UnitBuyingPrice' [(ngModel)]='rowdata.unitBuyingPrice'&gt;
					&lt;/div&gt;
					&lt;div class='col-md-12 form-group row'&gt;
						&lt;label class='col-md-2 form-control title'&gt;Unit Buying Amount&lt;/label&gt;
						&lt;input type='text' class='col-md-10 form-control input-text' name='UnitBuyingAmount' [(ngModel)]='rowdata.unitBuyingAmount'&gt;
					&lt;/div&gt;
					&lt;div class='col-md-12 form-group row'&gt;
						&lt;label class='col-md-2 form-control title'&gt;Unit Selling Price&lt;/label&gt;
						&lt;input type='text' class='col-md-10 form-control input-text' name='UnitSellingPrice' [(ngModel)]='rowdata.unitSellingPrice'&gt;
					&lt;/div&gt;
					&lt;div class='col-md-12 form-group row'&gt;
						&lt;label class='col-md-2 form-control title'&gt;Unit Selling Amount&lt;/label&gt;
						&lt;input type='text' class='col-md-10 form-control input-text' name='UnitSellingAmount' [(ngModel)]='rowdata.unitSellingAmount'&gt;
					&lt;/div&gt;
					&lt;div class='col-md-12 form-group row'&gt;
						&lt;label class='col-md-2 form-control title'&gt;Price Status&lt;/label&gt;
						&lt;new-checkbox [(ngModel)]='_priceStatus' name='priceStatus' className='col-md-10' &gt; &lt;/new-checkbox&gt;
					&lt;/div&gt;
					&lt;div class='col-md-12 form-group row'&gt;
						&lt;label class='col-md-2 form-control title'&gt;Total Amount&lt;/label&gt;
						&lt;input type='text' class='col-md-10 form-control input-text' name='TotalAmount' [(ngModel)]='rowdata.totalAmount'&gt;
					&lt;/div&gt;
					&lt;div class='col-md-12 form-group row'&gt;
						&lt;label class='col-md-2 form-control title'&gt;Vat Amount&lt;/label&gt;
						&lt;input type='text' class='col-md-10 form-control input-text' name='VatAmount' [(ngModel)]='rowdata.vatAmount'&gt;
					&lt;/div&gt;
					&lt;div class='col-md-12 form-group row'&gt;
						&lt;label class='col-md-2 form-control title'&gt;Vat Code&lt;/label&gt;
						&lt;input type='text' class='col-md-10 form-control input-text' name='VatCode' [(ngModel)]='rowdata.vatCode'&gt;
					&lt;/div&gt;
					&lt;div class='col-md-12 form-group row'&gt;
						&lt;label class='col-md-2 form-control title'&gt;Payment Term&lt;/label&gt;
						&lt;input type='text' class='col-md-10 form-control input-text' name='PaymentTerm' [(ngModel)]='rowdata.paymentTerm'&gt;
					&lt;/div&gt;
					&lt;div class='col-md-12 form-group row'&gt;
						&lt;label class='col-md-2 form-control title'&gt;Reason Code&lt;/label&gt;
						&lt;new-checkbox [(ngModel)]='_reasonCode' name='reasonCode' className='col-md-10' &gt; &lt;/new-checkbox&gt;
					&lt;/div&gt;
					&lt;div class='col-md-12 form-group row'&gt;
						&lt;label class='col-md-2 form-control title'&gt;Mark Code&lt;/label&gt;
						&lt;new-checkbox [(ngModel)]='_markCode' name='markCode' className='col-md-10' &gt; &lt;/new-checkbox&gt;
					&lt;/div&gt;
					&lt;div class='col-md-12 form-group row'&gt;
						&lt;label class='col-md-2 form-control title'&gt;Sign Code&lt;/label&gt;
						&lt;new-checkbox [(ngModel)]='_signCode' name='signCode' className='col-md-10' &gt; &lt;/new-checkbox&gt;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title'&gt;Supplier Invoice No&lt;/label&gt;
						&lt;input type='text' class='col-md-10 form-control input-text' name='SupplierInvoiceNo' [(ngModel)]='rowdata.supplierInvoiceNo'&gt;
					&lt;/div&gt;
					&lt;div class='col-md-12 form-group row'&gt;
						&lt;label class='col-md-2 form-control title'&gt;Topas Smr No&lt;/label&gt;
						&lt;input type='text' class='col-md-10 form-control input-text' name='TopasSmrNo' [(ngModel)]='rowdata.topasSmrNo'&gt;
					&lt;/div&gt;
					&lt;div class='col-md-12 form-group row'&gt;
						&lt;label class='col-md-2 form-control title'&gt;Topas Smr Item No&lt;/label&gt;
						&lt;input type='text' class='col-md-10 form-control input-text' name='TopasSmrItemNo' [(ngModel)]='rowdata.topasSmrItemNo'&gt;
					&lt;/div&gt;
					&lt;div class='col-md-12 form-group row'&gt;
						&lt;label class='col-md-2 form-control title'&gt;Customer Branch&lt;/label&gt;
						&lt;input type='text' class='col-md-10 form-control input-text' name='CustomerBranch' [(ngModel)]='rowdata.customerBranch'&gt;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title'&gt;Asset&lt;/label&gt;
						&lt;input type='text' class='col-md-10 form-control input-text' name='Asset' [(ngModel)]='rowdata.asset'&gt;
					&lt;/div&gt;
					&lt;div class='col-md-12 form-group row'&gt;
						&lt;label class='col-md-2 form-control title'&gt;Order Reason Code&lt;/label&gt;
						&lt;new-checkbox [(ngModel)]='_orderReasonCode' name='orderReasonCode' className='col-md-10' &gt; &lt;/new-checkbox&gt;
					&lt;/div&gt;
					&lt;div class='col-md-12 form-group row'&gt;
						&lt;label class='col-md-2 form-control title'&gt;Retro Flag&lt;/label&gt;
						&lt;new-checkbox [(ngModel)]='_retroFlag' name='retroFlag'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title'&gt;Condition Type&lt;/label&gt;
						&lt;input type='text' class='col-md-10 form-control input-text' name='ConditionType' [(ngModel)]='rowdata.conditionType'&gt;
					&lt;/div&gt;
					&lt;div class='col-md-12 form-group row'&gt;
						&lt;label class='col-md-2 form-control title'&gt;Condition Type Amt&lt;/label&gt;
						&lt;input type='text' class='col-md-10 form-control input-text' name='ConditionTypeAmt' [(ngModel)]='rowdata.conditionTypeAmt'&gt;
					&lt;/div&gt;
					&lt;div class='col-md-12 form-group row'&gt;
						&lt;label class='col-md-2 form-control title'&gt;Prepaid Tax Amt&lt;/label&gt;
						&lt;input type='text' class='col-md-10 form-control input-text' name='PrepaidTaxAmt' [(ngModel)]='rowdata.prepaidTaxAmt'&gt;
					&lt;/div&gt;
					&lt;div class='col-md-12 form-group row'&gt;
						&lt;label class='col-md-2 form-control title'&gt;Withholding Tax Amt&lt;/label&gt;
						&lt;input type='text' class='col-md-10 form-control input-text' name='WithholdingTaxAmt' [(ngModel)]='rowdata.withholdingTaxAmt'&gt;
					&lt;/div&gt;
					&lt;div class='col-md-12 form-group row'&gt;
						&lt;label class='col-md-2 form-control title'&gt;Stamp Fee Amt&lt;/label&gt;
						&lt;input type='text' class='col-md-10 form-control input-text' name='StampFeeAmt' [(ngModel)]='rowdata.stampFeeAmt'&gt;
					&lt;/div&gt;
					&lt;div class='col-md-12 form-group row'&gt;
						&lt;label class='col-md-2 form-control title'&gt;Gl Amount&lt;/label&gt;
						&lt;input type='text' class='col-md-10 form-control input-text' name='GlAmount' [(ngModel)]='rowdata.glAmount'&gt;
					&lt;/div&gt;
					&lt;div class='col-md-12 form-group row'&gt;
						&lt;label class='col-md-2 form-control title'&gt;Spt Code&lt;/label&gt;
						&lt;input type='text' class='col-md-10 form-control input-text' name='SptCode' [(ngModel)]='rowdata.sptCode'&gt;
					&lt;/div&gt;
					&lt;div class='col-md-12 form-group row'&gt;
						&lt;label class='col-md-2 form-control title'&gt;Higher Level Item&lt;/label&gt;
						&lt;input type='text' class='col-md-10 form-control input-text' name='HigherLevelItem' [(ngModel)]='rowdata.higherLevelItem'&gt;
					&lt;/div&gt;
					&lt;div class='col-md-12 form-group row'&gt;
						&lt;label class='col-md-2 form-control title'&gt;Withholding Tax Base Amt&lt;/label&gt;
						&lt;input type='text' class='col-md-10 form-control input-text' name='WithholdingTaxBaseAmt' [(ngModel)]='rowdata.withholdingTaxBaseAmt'&gt;
					&lt;/div&gt;
					&lt;div class='col-md-12 form-group row'&gt;
						&lt;label class='col-md-2 form-control title'&gt;Type Of Sales&lt;/label&gt;
						&lt;input type='text' class='col-md-10 form-control input-text' name='TypeOfSales' [(ngModel)]='rowdata.typeOfSales'&gt;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title'&gt;Due Date&lt;/label&gt;
						&lt;input type='text' class='col-md-10 form-control input-text' name='DueDate' [(ngModel)]='rowdata.dueDate'&gt;
					&lt;/div&gt;
					&lt;div class='col-md-12 form-group row'&gt;
						&lt;label class='col-md-2 form-control title'&gt;Item Text&lt;/label&gt;
						&lt;input type='text' class='col-md-10 form-control input-text' name='ItemText' [(ngModel)]='rowdata.itemText'&gt;
					&lt;/div&gt;
					&lt;div class='col-md-12 form-group row'&gt;
						&lt;label class='col-md-2 form-control title'&gt;Payment Method&lt;/label&gt;
						&lt;new-checkbox [(ngModel)]='_paymentMethod' name='paymentMethod' className='col-md-10' &gt; &lt;/new-checkbox&gt;
					&lt;/div&gt;
					&lt;div class='col-md-12 form-group row'&gt;
						&lt;label class='col-md-2 form-control title'&gt;Ending Of Record&lt;/label&gt;
						&lt;new-checkbox [(ngModel)]='_endingOfRecord' name='endingOfRecord'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CreateOrEditIF_FQF3MM03Dto, IF_FQF3MM03ServiceProxy } from '@shared/service-proxies/service-proxies';
import { BsDatepickerDirective } from 'ngx-bootstrap/datepicker';
@Component({
    selector: 'create-or-edit-fqf3mm03-modal',
    templateUrl: './create-or-edit-fqf3mm03-modal.component.html',
    styleUrls: ['./create-or-edit-fqf3mm03-modal.component.less']
    })
export class CreateOrEditFQF3MM03ModalComponent extends AppComponentBase {
    @ViewChild('createOrEditModalFQF3MM03',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CreateOrEditIF_FQF3MM03Dto = new CreateOrEditIF_FQF3MM03Dto();
    active: boolean = false;
    saving: boolean = false;
    _partCategory
withholdingTaxFlag
orderType
supplierPlantCode
priceStatus
reasonCode
markCode
signCode
cancelFlag
orderReasonCode
retroFlag
paymentMethod
endingOfRecord: boolean;
    constructor(
        injector: Injector,
        private _mstwptFQF3MM03Service: IF_FQF3MM03ServiceProxy,
    ) 
    {
        super(injector);
    }
    show(rowdata?: CreateOrEditIF_FQF3MM03Dto): void {
        if (!rowdata) this.rowdata = new CreateOrEditIF_FQF3MM03Dto();
        else this.rowdata = rowdata;
        this._partCategory
withholdingTaxFlag
orderType
supplierPlantCode
priceStatus
reasonCode
markCode
signCode
cancelFlag
orderReasonCode
retroFlag
paymentMethod
endingOfRecord = (this.rowdata.partCategory
withholdingTaxFlag
orderType
supplierPlantCode
priceStatus
reasonCode
markCode
signCode
cancelFlag
orderReasonCode
retroFlag
paymentMethod
endingOfRecord == "N")? false: true;
        this.active = true;
        this.modal.show();
    } 
    changeActive(event){
        this._partCategory
withholdingTaxFlag
orderType
supplierPlantCode
priceStatus
reasonCode
markCode
signCode
cancelFlag
orderReasonCode
retroFlag
paymentMethod
endingOfRecord = event.target.checked;
    }
    save(): void {
    this.saving = true; 
    this.rowdata.partCategory
withholdingTaxFlag
orderType
supplierPlantCode
priceStatus
reasonCode
markCode
signCode
cancelFlag
orderReasonCode
retroFlag
paymentMethod
endingOfRecord = (this._partCategory
withholdingTaxFlag
orderType
supplierPlantCode
priceStatus
reasonCode
markCode
signCode
cancelFlag
orderReasonCode
retroFlag
paymentMethod
endingOfRecord == true) ? 'Y' : 'N'
    this._mstwptFQF3MM03Service.createOrEdit(this.rowdata)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FQF3MM03RoutingModule } from './fqf3mm03-routing.module';
import { FQF3MM03Component } from './fqf3mm03.component';
import { CreateOrEditFQF3MM03ModalComponent } from './create-or-edit-fqf3mm03-modal.component';
@NgModule({
    declarations: [
       FQF3MM03Component, 
        CreateOrEditFQF3MM03ModalComponent
    ],
    imports: [
        AppSharedModule, FQF3MM03RoutingModule]
})
export class FQF3MM03Module {}</v>
      </c>
      <c r="J75" s="46" t="str">
        <f>B.Frontend!O10</f>
        <v>import {NgModule} from '@angular/core';
import {RouterModule, Routes} from '@angular/router';
import { FQF3MM03Component } from './fqf3mm03.component';
const routes: Routes = [{
    path: '',
    component: FQF3MM03Component,
    pathMatch: 'full'
}];
@NgModule({
    imports: [RouterModule.forChild(routes)],
    exports: [RouterModule],
})
export class FQF3MM03RoutingModule {}</v>
      </c>
      <c r="K75" s="46" t="str">
        <f>B.Frontend!P10</f>
        <v xml:space="preserve"> new AppMenuItem("FQF3MM03", "Pages.IF.IF.FQF3MM03", "flaticon-book",   "/app/main/if/if/fqf3mm03"),</v>
      </c>
      <c r="L75" s="47" t="str">
        <f>B.Frontend!Q10</f>
        <v>{
    path: 'if/if/fqf3mm03',
    loadChildren: () =&gt; import('./if/if/fqf3mm03/fqf3mm03.module').then(m =&gt; m.FQF3MM03Module),
    data: { permission: 'Pages.IF.IF.FQF3MM03' }
},</v>
      </c>
      <c r="M75" s="45" t="str">
        <f>B.Frontend!R10</f>
        <v>ApiServiceProxies.IF_FQF3MM03ServiceProxy,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70"/>
  <sheetViews>
    <sheetView workbookViewId="0">
      <pane xSplit="1" topLeftCell="B1" activePane="topRight" state="frozen"/>
      <selection pane="topRight" activeCell="K14" sqref="K14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41</v>
      </c>
      <c r="D3" s="9" t="s">
        <v>42</v>
      </c>
      <c r="E3" s="9" t="s">
        <v>37</v>
      </c>
      <c r="F3" s="10" t="str">
        <f>"J"&amp;COUNTA($A:$A)</f>
        <v>J68</v>
      </c>
      <c r="G3" s="4" t="s">
        <v>54</v>
      </c>
      <c r="H3" s="9" t="str">
        <f>"I"&amp;COUNTA($A:$A)</f>
        <v>I68</v>
      </c>
      <c r="I3" s="9" t="str">
        <f>REPT(CHAR(9),2)&amp;"[Required]"&amp;"
"</f>
        <v xml:space="preserve">		[Required]
</v>
      </c>
      <c r="J3" s="10" t="str">
        <f>"L"&amp;COUNTA($A:$A)</f>
        <v>L68</v>
      </c>
      <c r="K3" s="5" t="s">
        <v>53</v>
      </c>
      <c r="L3" s="10" t="str">
        <f>"M"&amp;COUNTA($A:$A)</f>
        <v>M68</v>
      </c>
      <c r="M3" s="10" t="str">
        <f>"N"&amp;COUNTA($A:$A)</f>
        <v>N68</v>
      </c>
      <c r="N3" s="10" t="str">
        <f>"O"&amp;COUNTA($A:$A)</f>
        <v>O68</v>
      </c>
      <c r="O3" s="10" t="str">
        <f>"P"&amp;COUNTA($A:$A)</f>
        <v>P68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IF_FQF3MM03ExportInput{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T68</v>
      </c>
      <c r="V3" s="10" t="str">
        <f>"V"&amp;COUNTA($A:$A)</f>
        <v>V68</v>
      </c>
      <c r="W3" s="9" t="str">
        <f>"W"&amp;COUNTA($A:$A)</f>
        <v>W68</v>
      </c>
    </row>
    <row r="4" spans="1:23" s="10" customFormat="1" ht="33" customHeight="1" x14ac:dyDescent="0.25">
      <c r="A4" s="1" t="s">
        <v>233</v>
      </c>
      <c r="B4" s="65" t="s">
        <v>360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IF_FQF3MM03: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IF_FQF3MM03Consts	
	{
</v>
      </c>
      <c r="F6" s="10" t="str">
        <f>REPT(CHAR(9),1)&amp;"public class "&amp;B3&amp;"Dto"&amp;K3&amp;REPT(CHAR(9),1)&amp;"
"&amp;REPT(CHAR(9),1)&amp;C3</f>
        <v xml:space="preserve">	public class IF_FQF3MM03Dto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CreateOrEditIF_FQF3MM03Dto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GetIF_FQF3MM03Input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IF_FQF3MM03</v>
      </c>
      <c r="C7" s="10" t="str">
        <f>REPT(CHAR(9),1)&amp;"[Table("""&amp;B7&amp;""")]"&amp;"
"</f>
        <v xml:space="preserve">	[Table("IF_FQF3MM03")]
</v>
      </c>
      <c r="D7" s="10"/>
      <c r="E7" s="10"/>
      <c r="F7" s="10"/>
      <c r="G7" s="10"/>
      <c r="H7" s="10"/>
      <c r="I7" s="10"/>
      <c r="J7" t="str">
        <f ca="1">SUBSTITUTE(SUBSTITUTE((B1&amp;C6&amp;C7&amp;K70&amp;D6&amp;I70&amp;E3&amp;J70&amp;""&amp;REPT(CHAR(9),1)&amp;D3&amp;D3),"WorkingPattern",$Q$3),"Master",$B$4)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[Table("IF_FQF3MM03")]
	public class IF_FQF3MM03: FullAuditedEntity&lt;long&gt;, IEntity&lt;long&gt;	
	{
		public const int MaxRecordIdLength = 7;
		public const int MaxCompanyCodeLength = 4;
		public const int MaxDocumentNoLength = 20;
		public const int MaxDocumentTypeLength = 2;
		public const int MaxDocumentDateLength = 8;
		public const int MaxCustomerCodeLength = 4;
		public const int MaxCustomerPlantCodeLength = 4;
		public const int MaxCustomerDockCodeLength = 4;
		public const int MaxPartCategoryLength = 1;
		public const int MaxWithholdingTaxFlagLength = 1;
		public const int MaxWithholdingTaxRateLength = 5;
		public const int MaxOrderTypeLength = 1;
		public const int MaxPdsNoLength = 25;
		public const int MaxPartReceivedDateLength = 8;
		public const int MaxSequenceDateLength = 8;
		public const int MaxSequenceNoLength = 10;
		public const int MaxPartNoLength = 40;
		public const int MaxReferenceDocumentNoLength = 20;
		public const int MaxPostingDateLength = 8;
		public const int MaxSupplierCodeLength = 10;
		public const int MaxSupplierPlantCodeLength = 1;
		public const int MaxPartQuantityLength = 14;
		public const int MaxUnitBuyingPriceLength = 11;
		public const int MaxUnitBuyingAmountLength = 13;
		public const int MaxUnitSellingPriceLength = 11;
		public const int MaxUnitSellingAmountLength = 13;
		public const int MaxPriceStatusLength = 1;
		public const int MaxTotalAmountLength = 13;
		public const int MaxVatAmountLength = 13;
		public const int MaxVatCodeLength = 5;
		public const int MaxPaymentTermLength = 4;
		public const int MaxReasonCodeLength = 1;
		public const int MaxMarkCodeLength = 1;
		public const int MaxSignCodeLength = 1;
		public const int MaxCancelFlagLength = 1;
		public const int MaxSupplierInvoiceNoLength = 16;
		public const int MaxTopasSmrNoLength = 9;
		public const int MaxTopasSmrItemNoLength = 4;
		public const int MaxCustomerBranchLength = 40;
		public const int MaxCostCenterLength = 10;
		public const int MaxWbsLength = 24;
		public const int MaxAssetLength = 17;
		public const int MaxOrderReasonCodeLength = 1;
		public const int MaxRetroFlagLength = 1;
		public const int MaxValuationTypeLength = 10;
		public const int MaxConditionTypeLength = 4;
		public const int MaxConditionTypeAmtLength = 23;
		public const int MaxPrepaidTaxAmtLength = 23;
		public const int MaxWithholdingTaxAmtLength = 23;
		public const int MaxStampFeeAmtLength = 23;
		public const int MaxGlAmountLength = 23;
		public const int MaxSptCodeLength = 5;
		public const int MaxHigherLevelItemLength = 7;
		public const int MaxWithholdingTaxBaseAmtLength = 23;
		public const int MaxTypeOfSalesLength = 3;
		public const int MaxProfitCenterLength = 10;
		public const int MaxDueDateLength = 8;
		public const int MaxItemTextLength = 50;
		public const int MaxPaymentMethodLength = 1;
		public const int MaxEndingOfRecordLength = 1;
		[StringLength(MaxRecordIdLength)]
		public virtual string RecordId { get; set; }
		[StringLength(MaxCompanyCodeLength)]
		public virtual string CompanyCode { get; set; }
		[StringLength(MaxDocumentNoLength)]
		public virtual string DocumentNo { get; set; }
		[StringLength(MaxDocumentTypeLength)]
		public virtual string DocumentType { get; set; }
		[StringLength(MaxDocumentDateLength)]
		public virtual string DocumentDate { get; set; }
		[StringLength(MaxCustomerCodeLength)]
		public virtual string CustomerCode { get; set; }
		[StringLength(MaxCustomerPlantCodeLength)]
		public virtual string CustomerPlantCode { get; set; }
		[StringLength(MaxCustomerDockCodeLength)]
		public virtual string CustomerDockCode { get; set; }
		[StringLength(MaxPartCategoryLength)]
		public virtual string PartCategory { get; set; }
		[StringLength(MaxWithholdingTaxFlagLength)]
		public virtual string WithholdingTaxFlag { get; set; }
		[StringLength(MaxWithholdingTaxRateLength)]
		public virtual string WithholdingTaxRate { get; set; }
		[StringLength(MaxOrderTypeLength)]
		public virtual string OrderType { get; set; }
		[StringLength(MaxPdsNoLength)]
		public virtual string PdsNo { get; set; }
		[StringLength(MaxPartReceivedDateLength)]
		public virtual string PartReceivedDate { get; set; }
		[StringLength(MaxSequenceDateLength)]
		public virtual string SequenceDate { get; set; }
		[StringLength(MaxSequenceNoLength)]
		public virtual string SequenceNo { get; set; }
		[StringLength(MaxPartNoLength)]
		public virtual string PartNo { get; set; }
		[StringLength(MaxReferenceDocumentNoLength)]
		public virtual string ReferenceDocumentNo { get; set; }
		[StringLength(MaxPostingDateLength)]
		public virtual string PostingDate { get; set; }
		[StringLength(MaxSupplierCodeLength)]
		public virtual string SupplierCode { get; set; }
		[StringLength(MaxSupplierPlantCodeLength)]
		public virtual string SupplierPlantCode { get; set; }
		[StringLength(MaxPartQuantityLength)]
		public virtual string PartQuantity { get; set; }
		[StringLength(MaxUnitBuyingPriceLength)]
		public virtual string UnitBuyingPrice { get; set; }
		[StringLength(MaxUnitBuyingAmountLength)]
		public virtual string UnitBuyingAmount { get; set; }
		[StringLength(MaxUnitSellingPriceLength)]
		public virtual string UnitSellingPrice { get; set; }
		[StringLength(MaxUnitSellingAmountLength)]
		public virtual string UnitSellingAmount { get; set; }
		[StringLength(MaxPriceStatusLength)]
		public virtual string PriceStatus { get; set; }
		[StringLength(MaxTotalAmountLength)]
		public virtual string TotalAmount { get; set; }
		[StringLength(MaxVatAmountLength)]
		public virtual string VatAmount { get; set; }
		[StringLength(MaxVatCodeLength)]
		public virtual string VatCode { get; set; }
		[StringLength(MaxPaymentTermLength)]
		public virtual string PaymentTerm { get; set; }
		[StringLength(MaxReasonCodeLength)]
		public virtual string ReasonCode { get; set; }
		[StringLength(MaxMarkCodeLength)]
		public virtual string MarkCode { get; set; }
		[StringLength(MaxSignCodeLength)]
		public virtual string SignCode { get; set; }
		[StringLength(MaxCancelFlagLength)]
		public virtual string CancelFlag { get; set; }
		[StringLength(MaxSupplierInvoiceNoLength)]
		public virtual string SupplierInvoiceNo { get; set; }
		[StringLength(MaxTopasSmrNoLength)]
		public virtual string TopasSmrNo { get; set; }
		[StringLength(MaxTopasSmrItemNoLength)]
		public virtual string TopasSmrItemNo { get; set; }
		[StringLength(MaxCustomerBranchLength)]
		public virtual string CustomerBranch { get; set; }
		[StringLength(MaxCostCenterLength)]
		public virtual string CostCenter { get; set; }
		[StringLength(MaxWbsLength)]
		public virtual string Wbs { get; set; }
		[StringLength(MaxAssetLength)]
		public virtual string Asset { get; set; }
		[StringLength(MaxOrderReasonCodeLength)]
		public virtual string OrderReasonCode { get; set; }
		[StringLength(MaxRetroFlagLength)]
		public virtual string RetroFlag { get; set; }
		[StringLength(MaxValuationTypeLength)]
		public virtual string ValuationType { get; set; }
		[StringLength(MaxConditionTypeLength)]
		public virtual string ConditionType { get; set; }
		[StringLength(MaxConditionTypeAmtLength)]
		public virtual string ConditionTypeAmt { get; set; }
		[StringLength(MaxPrepaidTaxAmtLength)]
		public virtual string PrepaidTaxAmt { get; set; }
		[StringLength(MaxWithholdingTaxAmtLength)]
		public virtual string WithholdingTaxAmt { get; set; }
		[StringLength(MaxStampFeeAmtLength)]
		public virtual string StampFeeAmt { get; set; }
		[StringLength(MaxGlAmountLength)]
		public virtual string GlAmount { get; set; }
		[StringLength(MaxSptCodeLength)]
		public virtual string SptCode { get; set; }
		[StringLength(MaxHigherLevelItemLength)]
		public virtual string HigherLevelItem { get; set; }
		[StringLength(MaxWithholdingTaxBaseAmtLength)]
		public virtual string WithholdingTaxBaseAmt { get; set; }
		[StringLength(MaxTypeOfSalesLength)]
		public virtual string TypeOfSales { get; set; }
		[StringLength(MaxProfitCenterLength)]
		public virtual string ProfitCenter { get; set; }
		[StringLength(MaxDueDateLength)]
		public virtual string DueDate { get; set; }
		[StringLength(MaxItemTextLength)]
		public virtual string ItemText { get; set; }
		[StringLength(MaxPaymentMethodLength)]
		public virtual string PaymentMethod { get; set; }
		[StringLength(MaxEndingOfRecordLength)]
		public virtual string EndingOfRecord { get; set; }
	}
}
</v>
      </c>
      <c r="K7" t="str">
        <f>SUBSTITUTE(SUBSTITUTE(("public virtual DbSet&lt;"&amp;B3&amp;"&gt; "&amp;B3&amp;"s { get; set; }"),"WorkingPattern",$Q$3),"Master",$B$4)</f>
        <v>public virtual DbSet&lt;IF_FQF3MM03&gt; IF_FQF3MM03s { get; set; }</v>
      </c>
      <c r="L7" t="str">
        <f ca="1">SUBSTITUTE(SUBSTITUTE((C6&amp;E6&amp;I70&amp;"
"&amp;REPT(CHAR(9),2)&amp;"// Define Store Name: Format SP_ + &lt;Store Name&gt; = &lt;Store Name&gt;
"&amp;E3&amp;REPT(CHAR(9),1)&amp;D3&amp;D3),"WorkingPattern",$Q$3),"Master",$B$4)</f>
        <v xml:space="preserve">namespace prod.Inventory.IF
{
	public class IF_FQF3MM03Consts	
	{
		public const int MaxRecordIdLength = 7;
		public const int MaxCompanyCodeLength = 4;
		public const int MaxDocumentNoLength = 20;
		public const int MaxDocumentTypeLength = 2;
		public const int MaxDocumentDateLength = 8;
		public const int MaxCustomerCodeLength = 4;
		public const int MaxCustomerPlantCodeLength = 4;
		public const int MaxCustomerDockCodeLength = 4;
		public const int MaxPartCategoryLength = 1;
		public const int MaxWithholdingTaxFlagLength = 1;
		public const int MaxWithholdingTaxRateLength = 5;
		public const int MaxOrderTypeLength = 1;
		public const int MaxPdsNoLength = 25;
		public const int MaxPartReceivedDateLength = 8;
		public const int MaxSequenceDateLength = 8;
		public const int MaxSequenceNoLength = 10;
		public const int MaxPartNoLength = 40;
		public const int MaxReferenceDocumentNoLength = 20;
		public const int MaxPostingDateLength = 8;
		public const int MaxSupplierCodeLength = 10;
		public const int MaxSupplierPlantCodeLength = 1;
		public const int MaxPartQuantityLength = 14;
		public const int MaxUnitBuyingPriceLength = 11;
		public const int MaxUnitBuyingAmountLength = 13;
		public const int MaxUnitSellingPriceLength = 11;
		public const int MaxUnitSellingAmountLength = 13;
		public const int MaxPriceStatusLength = 1;
		public const int MaxTotalAmountLength = 13;
		public const int MaxVatAmountLength = 13;
		public const int MaxVatCodeLength = 5;
		public const int MaxPaymentTermLength = 4;
		public const int MaxReasonCodeLength = 1;
		public const int MaxMarkCodeLength = 1;
		public const int MaxSignCodeLength = 1;
		public const int MaxCancelFlagLength = 1;
		public const int MaxSupplierInvoiceNoLength = 16;
		public const int MaxTopasSmrNoLength = 9;
		public const int MaxTopasSmrItemNoLength = 4;
		public const int MaxCustomerBranchLength = 40;
		public const int MaxCostCenterLength = 10;
		public const int MaxWbsLength = 24;
		public const int MaxAssetLength = 17;
		public const int MaxOrderReasonCodeLength = 1;
		public const int MaxRetroFlagLength = 1;
		public const int MaxValuationTypeLength = 10;
		public const int MaxConditionTypeLength = 4;
		public const int MaxConditionTypeAmtLength = 23;
		public const int MaxPrepaidTaxAmtLength = 23;
		public const int MaxWithholdingTaxAmtLength = 23;
		public const int MaxStampFeeAmtLength = 23;
		public const int MaxGlAmountLength = 23;
		public const int MaxSptCodeLength = 5;
		public const int MaxHigherLevelItemLength = 7;
		public const int MaxWithholdingTaxBaseAmtLength = 23;
		public const int MaxTypeOfSalesLength = 3;
		public const int MaxProfitCenterLength = 10;
		public const int MaxDueDateLength = 8;
		public const int MaxItemTextLength = 50;
		public const int MaxPaymentMethodLength = 1;
		public const int MaxEndingOfRecordLength = 1;
		// Define Store Name: Format SP_ + &lt;Store Name&gt; = &lt;Store Name&gt;
	}
}
</v>
      </c>
      <c r="M7" t="str">
        <f ca="1">SUBSTITUTE(SUBSTITUTE((C1&amp;"namespace "&amp;B6&amp;".Dto"&amp;E3&amp;C3&amp;F6&amp;M70&amp;E3&amp;REPT(CHAR(9),1)&amp;D3&amp;G6&amp;N70&amp;REPT(CHAR(9),1)&amp;D3&amp;H6&amp;O70&amp;"
"&amp;REPT(CHAR(9),1)&amp;D3&amp;D3),"WorkingPattern",$Q$3),"Master",$B$4)</f>
        <v xml:space="preserve">using Abp.Application.Services.Dto;
using System;
using System.ComponentModel.DataAnnotations;
namespace prod.Inventory.IF.Dto
{
	public class IF_FQF3MM03Dto : EntityDto&lt;long?&gt;	
	{
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	}
	public class CreateOrEditIF_FQF3MM03Dto : EntityDto&lt;long?&gt;	
	{
		[StringLength(IF_FQF3MM03Consts.MaxRecordIdLength)]
		public virtual string RecordId { get; set; }
		[StringLength(IF_FQF3MM03Consts.MaxCompanyCodeLength)]
		public virtual string CompanyCode { get; set; }
		[StringLength(IF_FQF3MM03Consts.MaxDocumentNoLength)]
		public virtual string DocumentNo { get; set; }
		[StringLength(IF_FQF3MM03Consts.MaxDocumentTypeLength)]
		public virtual string DocumentType { get; set; }
		[StringLength(IF_FQF3MM03Consts.MaxDocumentDateLength)]
		public virtual string DocumentDate { get; set; }
		[StringLength(IF_FQF3MM03Consts.MaxCustomerCodeLength)]
		public virtual string CustomerCode { get; set; }
		[StringLength(IF_FQF3MM03Consts.MaxCustomerPlantCodeLength)]
		public virtual string CustomerPlantCode { get; set; }
		[StringLength(IF_FQF3MM03Consts.MaxCustomerDockCodeLength)]
		public virtual string CustomerDockCode { get; set; }
		[StringLength(IF_FQF3MM03Consts.MaxPartCategoryLength)]
		public virtual string PartCategory { get; set; }
		[StringLength(IF_FQF3MM03Consts.MaxWithholdingTaxFlagLength)]
		public virtual string WithholdingTaxFlag { get; set; }
		[StringLength(IF_FQF3MM03Consts.MaxWithholdingTaxRateLength)]
		public virtual string WithholdingTaxRate { get; set; }
		[StringLength(IF_FQF3MM03Consts.MaxOrderTypeLength)]
		public virtual string OrderType { get; set; }
		[StringLength(IF_FQF3MM03Consts.MaxPdsNoLength)]
		public virtual string PdsNo { get; set; }
		[StringLength(IF_FQF3MM03Consts.MaxPartReceivedDateLength)]
		public virtual string PartReceivedDate { get; set; }
		[StringLength(IF_FQF3MM03Consts.MaxSequenceDateLength)]
		public virtual string SequenceDate { get; set; }
		[StringLength(IF_FQF3MM03Consts.MaxSequenceNoLength)]
		public virtual string SequenceNo { get; set; }
		[StringLength(IF_FQF3MM03Consts.MaxPartNoLength)]
		public virtual string PartNo { get; set; }
		[StringLength(IF_FQF3MM03Consts.MaxReferenceDocumentNoLength)]
		public virtual string ReferenceDocumentNo { get; set; }
		[StringLength(IF_FQF3MM03Consts.MaxPostingDateLength)]
		public virtual string PostingDate { get; set; }
		[StringLength(IF_FQF3MM03Consts.MaxSupplierCodeLength)]
		public virtual string SupplierCode { get; set; }
		[StringLength(IF_FQF3MM03Consts.MaxSupplierPlantCodeLength)]
		public virtual string SupplierPlantCode { get; set; }
		[StringLength(IF_FQF3MM03Consts.MaxPartQuantityLength)]
		public virtual string PartQuantity { get; set; }
		[StringLength(IF_FQF3MM03Consts.MaxUnitBuyingPriceLength)]
		public virtual string UnitBuyingPrice { get; set; }
		[StringLength(IF_FQF3MM03Consts.MaxUnitBuyingAmountLength)]
		public virtual string UnitBuyingAmount { get; set; }
		[StringLength(IF_FQF3MM03Consts.MaxUnitSellingPriceLength)]
		public virtual string UnitSellingPrice { get; set; }
		[StringLength(IF_FQF3MM03Consts.MaxUnitSellingAmountLength)]
		public virtual string UnitSellingAmount { get; set; }
		[StringLength(IF_FQF3MM03Consts.MaxPriceStatusLength)]
		public virtual string PriceStatus { get; set; }
		[StringLength(IF_FQF3MM03Consts.MaxTotalAmountLength)]
		public virtual string TotalAmount { get; set; }
		[StringLength(IF_FQF3MM03Consts.MaxVatAmountLength)]
		public virtual string VatAmount { get; set; }
		[StringLength(IF_FQF3MM03Consts.MaxVatCodeLength)]
		public virtual string VatCode { get; set; }
		[StringLength(IF_FQF3MM03Consts.MaxPaymentTermLength)]
		public virtual string PaymentTerm { get; set; }
		[StringLength(IF_FQF3MM03Consts.MaxReasonCodeLength)]
		public virtual string ReasonCode { get; set; }
		[StringLength(IF_FQF3MM03Consts.MaxMarkCodeLength)]
		public virtual string MarkCode { get; set; }
		[StringLength(IF_FQF3MM03Consts.MaxSignCodeLength)]
		public virtual string SignCode { get; set; }
		[StringLength(IF_FQF3MM03Consts.MaxCancelFlagLength)]
		public virtual string CancelFlag { get; set; }
		[StringLength(IF_FQF3MM03Consts.MaxSupplierInvoiceNoLength)]
		public virtual string SupplierInvoiceNo { get; set; }
		[StringLength(IF_FQF3MM03Consts.MaxTopasSmrNoLength)]
		public virtual string TopasSmrNo { get; set; }
		[StringLength(IF_FQF3MM03Consts.MaxTopasSmrItemNoLength)]
		public virtual string TopasSmrItemNo { get; set; }
		[StringLength(IF_FQF3MM03Consts.MaxCustomerBranchLength)]
		public virtual string CustomerBranch { get; set; }
		[StringLength(IF_FQF3MM03Consts.MaxCostCenterLength)]
		public virtual string CostCenter { get; set; }
		[StringLength(IF_FQF3MM03Consts.MaxWbsLength)]
		public virtual string Wbs { get; set; }
		[StringLength(IF_FQF3MM03Consts.MaxAssetLength)]
		public virtual string Asset { get; set; }
		[StringLength(IF_FQF3MM03Consts.MaxOrderReasonCodeLength)]
		public virtual string OrderReasonCode { get; set; }
		[StringLength(IF_FQF3MM03Consts.MaxRetroFlagLength)]
		public virtual string RetroFlag { get; set; }
		[StringLength(IF_FQF3MM03Consts.MaxValuationTypeLength)]
		public virtual string ValuationType { get; set; }
		[StringLength(IF_FQF3MM03Consts.MaxConditionTypeLength)]
		public virtual string ConditionType { get; set; }
		[StringLength(IF_FQF3MM03Consts.MaxConditionTypeAmtLength)]
		public virtual string ConditionTypeAmt { get; set; }
		[StringLength(IF_FQF3MM03Consts.MaxPrepaidTaxAmtLength)]
		public virtual string PrepaidTaxAmt { get; set; }
		[StringLength(IF_FQF3MM03Consts.MaxWithholdingTaxAmtLength)]
		public virtual string WithholdingTaxAmt { get; set; }
		[StringLength(IF_FQF3MM03Consts.MaxStampFeeAmtLength)]
		public virtual string StampFeeAmt { get; set; }
		[StringLength(IF_FQF3MM03Consts.MaxGlAmountLength)]
		public virtual string GlAmount { get; set; }
		[StringLength(IF_FQF3MM03Consts.MaxSptCodeLength)]
		public virtual string SptCode { get; set; }
		[StringLength(IF_FQF3MM03Consts.MaxHigherLevelItemLength)]
		public virtual string HigherLevelItem { get; set; }
		[StringLength(IF_FQF3MM03Consts.MaxWithholdingTaxBaseAmtLength)]
		public virtual string WithholdingTaxBaseAmt { get; set; }
		[StringLength(IF_FQF3MM03Consts.MaxTypeOfSalesLength)]
		public virtual string TypeOfSales { get; set; }
		[StringLength(IF_FQF3MM03Consts.MaxProfitCenterLength)]
		public virtual string ProfitCenter { get; set; }
		[StringLength(IF_FQF3MM03Consts.MaxDueDateLength)]
		public virtual string DueDate { get; set; }
		[StringLength(IF_FQF3MM03Consts.MaxItemTextLength)]
		public virtual string ItemText { get; set; }
		[StringLength(IF_FQF3MM03Consts.MaxPaymentMethodLength)]
		public virtual string PaymentMethod { get; set; }
		[StringLength(IF_FQF3MM03Consts.MaxEndingOfRecordLength)]
		public virtual string EndingOfRecord { get; set; }
	}
	public class GetIF_FQF3MM03Input : PagedAndSortedResultRequestDto	
	{
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perIF_FQF3MM03 = PARENTS.CreateChildPermission(AppPermissions.Pages_Inventory_IF_FQF3MM03, L( "InventoryIFFQF3MM03"), multiTenancySides: MultiTenancySides.Tenant);
		perIF_FQF3MM03.CreateChildPermission(AppPermissions.Pages_Inventory_IF_FQF3MM03_CreateEdit, L( "InventoryIFFQF3MM03CreateEdit"), multiTenancySides: MultiTenancySides.Tenant);
		perIF_FQF3MM03.CreateChildPermission(AppPermissions.Pages_Inventory_IF_FQF3MM03_Delete, L( "InventoryIFFQF3MM03Delete"),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Pages_Inventory_IF_FQF3MM03 = "Pages.Inventory.IF.FQF3MM03";
		public const string Pages_Inventory_IF_FQF3MM03_CreateEdit = "Pages.Inventory.IF.FQF3MM03.CreateEdit";
		public const string Pages_Inventory_IF_FQF3MM03_Delete = "Pages.Inventory.IF.FQF3MM03.Delete";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IIF_FQF3MM03AppService : IApplicationService
	{
		Task&lt;PagedResultDto&lt;IF_FQF3MM03Dto&gt;&gt; GetAll(GetIF_FQF3MM03Input input);
		Task CreateOrEdit(CreateOrEditIF_FQF3MM03Dto input);
		Task Delete(EntityDto input);
	}
}
</v>
      </c>
      <c r="Q7" t="str">
        <f ca="1">SUBSTITUTE(SUBSTITUTE(SUBSTITUTE(SUBSTITUTE(SUBSTITUTE(SUBSTITUTE(E1,"MstWptCalendar",$B$3),"&lt;PROPERTIES&gt;",P70),"Calendar",$B$5),"WorkingPattern",$Q$3),"Master",$B$4),"&lt;PARAMS_SEARCH&gt;",$W$70)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[AbpAuthorize(AppPermissions.Pages_IF_IF_FQF3MM03)]
    public class IF_FQF3MM03AppService : vovinaAppServiceBase, IIF_FQF3MM03AppService
    {
        private readonly IDapperRepository&lt;IF_FQF3MM03, long&gt; _dapperRepo;
        private readonly IRepository&lt;IF_FQF3MM03, long&gt; _repo;
        private readonly IIF_FQF3MM03ExcelExporter _calendarListExcelExporter;
        public IF_FQF3MM03AppService(IRepository&lt;IF_FQF3MM03,long&gt; repo, 
                                         IDapperRepository&lt;IF_FQF3MM03,long&gt; dapperRepo,
                                        IIF_FQF3MM03ExcelExporter calendarListExcelExporter
            )
        {
            _repo = repo;
            _dapperRepo = dapperRepo;
            _calendarListExcelExporter = calendarListExcelExporter;
        }
        [AbpAuthorize(AppPermissions.Pages_IF_IF_FQF3MM03_CreateEdit)]
        public async Task CreateOrEdit(CreateOrEditIF_FQF3MM03Dto input)
        {
            if (input.Id == null) await Create(input);
            else await Update(input);
        }
        //CREATE
        private async Task Create(CreateOrEditIF_FQF3MM03Dto input)
        {          
            var mainObj = ObjectMapper.Map&lt;IF_FQF3MM03&gt;(input);
            await CurrentUnitOfWork.GetDbContext&lt;vovinaDbContext&gt;().AddAsync(mainObj);
        }
        // EDIT
        private async Task Update(CreateOrEditIF_FQF3MM03Dto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[AbpAuthorize(AppPermissions.Pages_IF_IF_FQF3MM03_Delete)]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Task&lt;PagedResultDto&lt;IF_FQF3MM03Dto&gt;&gt; GetAll(GetIF_FQF3MM03Input input)
        {
            var filtered = _repo.GetAll()
				.WhereIf(!string.IsNullOrWhiteSpace(input.RecordId), e =&gt; e.RecordId.Contains(input.RecordId))
				.WhereIf(!string.IsNullOrWhiteSpace(input.CompanyCode), e =&gt; e.CompanyCode.Contains(input.CompanyCode))
				.WhereIf(!string.IsNullOrWhiteSpace(input.DocumentNo), e =&gt; e.DocumentNo.Contains(input.DocumentNo))
				.WhereIf(!string.IsNullOrWhiteSpace(input.DocumentType), e =&gt; e.DocumentType.Contains(input.DocumentType))
				.WhereIf(!string.IsNullOrWhiteSpace(input.DocumentDate), e =&gt; e.DocumentDate.Contains(input.DocumentDate))
				.WhereIf(!string.IsNullOrWhiteSpace(input.CustomerCode), e =&gt; e.CustomerCode.Contains(input.CustomerCode))
				.WhereIf(!string.IsNullOrWhiteSpace(input.CustomerPlantCode), e =&gt; e.CustomerPlantCode.Contains(input.CustomerPlantCode))
				.WhereIf(!string.IsNullOrWhiteSpace(input.CustomerDockCode), e =&gt; e.CustomerDockCode.Contains(input.CustomerDockCode))
				.WhereIf(!string.IsNullOrWhiteSpace(input.PartCategory), e =&gt; e.PartCategory.Contains(input.PartCategory))
				.WhereIf(!string.IsNullOrWhiteSpace(input.WithholdingTaxFlag), e =&gt; e.WithholdingTaxFlag.Contains(input.WithholdingTaxFlag))
				.WhereIf(!string.IsNullOrWhiteSpace(input.WithholdingTaxRate), e =&gt; e.WithholdingTaxRate.Contains(input.WithholdingTaxRate))
				.WhereIf(!string.IsNullOrWhiteSpace(input.OrderType), e =&gt; e.OrderType.Contains(input.OrderType))
				.WhereIf(!string.IsNullOrWhiteSpace(input.PdsNo), e =&gt; e.PdsNo.Contains(input.PdsNo))
				.WhereIf(!string.IsNullOrWhiteSpace(input.PartReceivedDate), e =&gt; e.PartReceivedDate.Contains(input.PartReceivedDate))
				.WhereIf(!string.IsNullOrWhiteSpace(input.SequenceDate), e =&gt; e.SequenceDate.Contains(input.SequenceDate))
				.WhereIf(!string.IsNullOrWhiteSpace(input.SequenceNo), e =&gt; e.SequenceNo.Contains(input.SequenceNo))
				.WhereIf(!string.IsNullOrWhiteSpace(input.PartNo), e =&gt; e.PartNo.Contains(input.PartNo))
				.WhereIf(!string.IsNullOrWhiteSpace(input.ReferenceDocumentNo), e =&gt; e.ReferenceDocumentNo.Contains(input.ReferenceDocumentNo))
				.WhereIf(!string.IsNullOrWhiteSpace(input.PostingDate), e =&gt; e.PostingDate.Contains(input.PostingDate))
				.WhereIf(!string.IsNullOrWhiteSpace(input.SupplierCode), e =&gt; e.SupplierCode.Contains(input.SupplierCode))
				.WhereIf(!string.IsNullOrWhiteSpace(input.SupplierPlantCode), e =&gt; e.SupplierPlantCode.Contains(input.SupplierPlantCode))
				.WhereIf(!string.IsNullOrWhiteSpace(input.PartQuantity), e =&gt; e.PartQuantity.Contains(input.PartQuantity))
				.WhereIf(!string.IsNullOrWhiteSpace(input.UnitBuyingPrice), e =&gt; e.UnitBuyingPrice.Contains(input.UnitBuyingPrice))
				.WhereIf(!string.IsNullOrWhiteSpace(input.UnitBuyingAmount), e =&gt; e.UnitBuyingAmount.Contains(input.UnitBuyingAmount))
				.WhereIf(!string.IsNullOrWhiteSpace(input.UnitSellingPrice), e =&gt; e.UnitSellingPrice.Contains(input.UnitSellingPrice))
				.WhereIf(!string.IsNullOrWhiteSpace(input.UnitSellingAmount), e =&gt; e.UnitSellingAmount.Contains(input.UnitSellingAmount))
				.WhereIf(!string.IsNullOrWhiteSpace(input.PriceStatus), e =&gt; e.PriceStatus.Contains(input.PriceStatus))
				.WhereIf(!string.IsNullOrWhiteSpace(input.TotalAmount), e =&gt; e.TotalAmount.Contains(input.TotalAmount))
				.WhereIf(!string.IsNullOrWhiteSpace(input.VatAmount), e =&gt; e.VatAmount.Contains(input.VatAmount))
				.WhereIf(!string.IsNullOrWhiteSpace(input.VatCode), e =&gt; e.VatCode.Contains(input.VatCode))
				.WhereIf(!string.IsNullOrWhiteSpace(input.PaymentTerm), e =&gt; e.PaymentTerm.Contains(input.PaymentTerm))
				.WhereIf(!string.IsNullOrWhiteSpace(input.ReasonCode), e =&gt; e.ReasonCode.Contains(input.ReasonCode))
				.WhereIf(!string.IsNullOrWhiteSpace(input.MarkCode), e =&gt; e.MarkCode.Contains(input.MarkCode))
				.WhereIf(!string.IsNullOrWhiteSpace(input.SignCode), e =&gt; e.SignCode.Contains(input.SignCode))
				.WhereIf(!string.IsNullOrWhiteSpace(input.CancelFlag), e =&gt; e.CancelFlag.Contains(input.CancelFlag))
				.WhereIf(!string.IsNullOrWhiteSpace(input.SupplierInvoiceNo), e =&gt; e.SupplierInvoiceNo.Contains(input.SupplierInvoiceNo))
				.WhereIf(!string.IsNullOrWhiteSpace(input.TopasSmrNo), e =&gt; e.TopasSmrNo.Contains(input.TopasSmrNo))
				.WhereIf(!string.IsNullOrWhiteSpace(input.TopasSmrItemNo), e =&gt; e.TopasSmrItemNo.Contains(input.TopasSmrItemNo))
				.WhereIf(!string.IsNullOrWhiteSpace(input.CustomerBranch), e =&gt; e.CustomerBranch.Contains(input.CustomerBranch))
				.WhereIf(!string.IsNullOrWhiteSpace(input.CostCenter), e =&gt; e.CostCenter.Contains(input.CostCenter))
				.WhereIf(!string.IsNullOrWhiteSpace(input.Wbs), e =&gt; e.Wbs.Contains(input.Wbs))
				.WhereIf(!string.IsNullOrWhiteSpace(input.Asset), e =&gt; e.Asset.Contains(input.Asset))
				.WhereIf(!string.IsNullOrWhiteSpace(input.OrderReasonCode), e =&gt; e.OrderReasonCode.Contains(input.OrderReasonCode))
				.WhereIf(!string.IsNullOrWhiteSpace(input.RetroFlag), e =&gt; e.RetroFlag.Contains(input.RetroFlag))
				.WhereIf(!string.IsNullOrWhiteSpace(input.ValuationType), e =&gt; e.ValuationType.Contains(input.ValuationType))
				.WhereIf(!string.IsNullOrWhiteSpace(input.ConditionType), e =&gt; e.ConditionType.Contains(input.ConditionType))
				.WhereIf(!string.IsNullOrWhiteSpace(input.ConditionTypeAmt), e =&gt; e.ConditionTypeAmt.Contains(input.ConditionTypeAmt))
				.WhereIf(!string.IsNullOrWhiteSpace(input.PrepaidTaxAmt), e =&gt; e.PrepaidTaxAmt.Contains(input.PrepaidTaxAmt))
				.WhereIf(!string.IsNullOrWhiteSpace(input.WithholdingTaxAmt), e =&gt; e.WithholdingTaxAmt.Contains(input.WithholdingTaxAmt))
				.WhereIf(!string.IsNullOrWhiteSpace(input.StampFeeAmt), e =&gt; e.StampFeeAmt.Contains(input.StampFeeAmt))
				.WhereIf(!string.IsNullOrWhiteSpace(input.GlAmount), e =&gt; e.GlAmount.Contains(input.GlAmount))
				.WhereIf(!string.IsNullOrWhiteSpace(input.SptCode), e =&gt; e.SptCode.Contains(input.SptCode))
				.WhereIf(!string.IsNullOrWhiteSpace(input.HigherLevelItem), e =&gt; e.HigherLevelItem.Contains(input.HigherLevelItem))
				.WhereIf(!string.IsNullOrWhiteSpace(input.WithholdingTaxBaseAmt), e =&gt; e.WithholdingTaxBaseAmt.Contains(input.WithholdingTaxBaseAmt))
				.WhereIf(!string.IsNullOrWhiteSpace(input.TypeOfSales), e =&gt; e.TypeOfSales.Contains(input.TypeOfSales))
				.WhereIf(!string.IsNullOrWhiteSpace(input.ProfitCenter), e =&gt; e.ProfitCenter.Contains(input.ProfitCenter))
				.WhereIf(!string.IsNullOrWhiteSpace(input.DueDate), e =&gt; e.DueDate.Contains(input.DueDate))
				.WhereIf(!string.IsNullOrWhiteSpace(input.ItemText), e =&gt; e.ItemText.Contains(input.ItemText))
				.WhereIf(!string.IsNullOrWhiteSpace(input.PaymentMethod), e =&gt; e.PaymentMethod.Contains(input.PaymentMethod))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IF_FQF3MM03Dto
                        {
							Id = o.Id,
							RecordId = o.RecordId,
							CompanyCode = o.CompanyCode,
							DocumentNo = o.DocumentNo,
							DocumentType = o.DocumentType,
							DocumentDate = o.DocumentDate,
							CustomerCode = o.CustomerCode,
							CustomerPlantCode = o.CustomerPlantCode,
							CustomerDockCode = o.CustomerDockCode,
							PartCategory = o.PartCategory,
							WithholdingTaxFlag = o.WithholdingTaxFlag,
							WithholdingTaxRate = o.WithholdingTaxRate,
							OrderType = o.OrderType,
							PdsNo = o.PdsNo,
							PartReceivedDate = o.PartReceivedDate,
							SequenceDate = o.SequenceDate,
							SequenceNo = o.SequenceNo,
							PartNo = o.PartNo,
							ReferenceDocumentNo = o.ReferenceDocumentNo,
							PostingDate = o.PostingDate,
							SupplierCode = o.SupplierCode,
							SupplierPlantCode = o.SupplierPlantCode,
							PartQuantity = o.PartQuantity,
							UnitBuyingPrice = o.UnitBuyingPrice,
							UnitBuyingAmount = o.UnitBuyingAmount,
							UnitSellingPrice = o.UnitSellingPrice,
							UnitSellingAmount = o.UnitSellingAmount,
							PriceStatus = o.PriceStatus,
							TotalAmount = o.TotalAmount,
							VatAmount = o.VatAmount,
							VatCode = o.VatCode,
							PaymentTerm = o.PaymentTerm,
							ReasonCode = o.ReasonCode,
							MarkCode = o.MarkCode,
							SignCode = o.SignCode,
							CancelFlag = o.CancelFlag,
							SupplierInvoiceNo = o.SupplierInvoiceNo,
							TopasSmrNo = o.TopasSmrNo,
							TopasSmrItemNo = o.TopasSmrItemNo,
							CustomerBranch = o.CustomerBranch,
							CostCenter = o.CostCenter,
							Wbs = o.Wbs,
							Asset = o.Asset,
							OrderReasonCode = o.OrderReasonCode,
							RetroFlag = o.RetroFlag,
							ValuationType = o.ValuationType,
							ConditionType = o.ConditionType,
							ConditionTypeAmt = o.ConditionTypeAmt,
							PrepaidTaxAmt = o.PrepaidTaxAmt,
							WithholdingTaxAmt = o.WithholdingTaxAmt,
							StampFeeAmt = o.StampFeeAmt,
							GlAmount = o.GlAmount,
							SptCode = o.SptCode,
							HigherLevelItem = o.HigherLevelItem,
							WithholdingTaxBaseAmt = o.WithholdingTaxBaseAmt,
							TypeOfSales = o.TypeOfSales,
							ProfitCenter = o.ProfitCenter,
							DueDate = o.DueDate,
							ItemText = o.ItemText,
							PaymentMethod = o.PaymentMethod,
							EndingOfRecord = o.EndingOfRecord,
                        };
            var totalCount = await filtered.CountAsync();
			var paged = system.PageBy(input);
            return new PagedResultDto&lt;IF_FQF3MM03Dto&gt;(
                totalCount,
                 await paged.ToListAsync()
            );
        }
        public async Task&lt;FileDto&gt; GetFQF3MM03ToExcel(IF_FQF3MM03ExportInput input)
        {
            var query = from o in _repo.GetAll()
                        select new IF_FQF3MM03Dto
                        {
							Id = o.Id,
							RecordId = o.RecordId,
							CompanyCode = o.CompanyCode,
							DocumentNo = o.DocumentNo,
							DocumentType = o.DocumentType,
							DocumentDate = o.DocumentDate,
							CustomerCode = o.CustomerCode,
							CustomerPlantCode = o.CustomerPlantCode,
							CustomerDockCode = o.CustomerDockCode,
							PartCategory = o.PartCategory,
							WithholdingTaxFlag = o.WithholdingTaxFlag,
							WithholdingTaxRate = o.WithholdingTaxRate,
							OrderType = o.OrderType,
							PdsNo = o.PdsNo,
							PartReceivedDate = o.PartReceivedDate,
							SequenceDate = o.SequenceDate,
							SequenceNo = o.SequenceNo,
							PartNo = o.PartNo,
							ReferenceDocumentNo = o.ReferenceDocumentNo,
							PostingDate = o.PostingDate,
							SupplierCode = o.SupplierCode,
							SupplierPlantCode = o.SupplierPlantCode,
							PartQuantity = o.PartQuantity,
							UnitBuyingPrice = o.UnitBuyingPrice,
							UnitBuyingAmount = o.UnitBuyingAmount,
							UnitSellingPrice = o.UnitSellingPrice,
							UnitSellingAmount = o.UnitSellingAmount,
							PriceStatus = o.PriceStatus,
							TotalAmount = o.TotalAmount,
							VatAmount = o.VatAmount,
							VatCode = o.VatCode,
							PaymentTerm = o.PaymentTerm,
							ReasonCode = o.ReasonCode,
							MarkCode = o.MarkCode,
							SignCode = o.SignCode,
							CancelFlag = o.CancelFlag,
							SupplierInvoiceNo = o.SupplierInvoiceNo,
							TopasSmrNo = o.TopasSmrNo,
							TopasSmrItemNo = o.TopasSmrItemNo,
							CustomerBranch = o.CustomerBranch,
							CostCenter = o.CostCenter,
							Wbs = o.Wbs,
							Asset = o.Asset,
							OrderReasonCode = o.OrderReasonCode,
							RetroFlag = o.RetroFlag,
							ValuationType = o.ValuationType,
							ConditionType = o.ConditionType,
							ConditionTypeAmt = o.ConditionTypeAmt,
							PrepaidTaxAmt = o.PrepaidTaxAmt,
							WithholdingTaxAmt = o.WithholdingTaxAmt,
							StampFeeAmt = o.StampFeeAmt,
							GlAmount = o.GlAmount,
							SptCode = o.SptCode,
							HigherLevelItem = o.HigherLevelItem,
							WithholdingTaxBaseAmt = o.WithholdingTaxBaseAmt,
							TypeOfSales = o.TypeOfSales,
							ProfitCenter = o.ProfitCenter,
							DueDate = o.DueDate,
							ItemText = o.ItemText,
							PaymentMethod = o.PaymentMethod,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_dapperRepo.ExecuteAsync(IF_FQF3MM03Consts.SP_MST_WPT_CALENDAR_GENERATE);
       // }
    }
}</v>
      </c>
      <c r="R7" t="str">
        <f ca="1">SUBSTITUTE(SUBSTITUTE((C1&amp;"namespace "&amp;B6&amp;".Dto"&amp;E3&amp;C3&amp;R3&amp;M70&amp;E3&amp;REPT(CHAR(9),1)&amp;D3&amp;D3),"WorkingPattern",$Q$3),"Master",$B$4)</f>
        <v xml:space="preserve">using Abp.Application.Services.Dto;
using System;
using System.ComponentModel.DataAnnotations;
namespace prod.Inventory.IF.Dto
{
	public class IF_FQF3MM03ExportInput{
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IIF_FQF3MM03ExcelExporter : IApplicationService
	{
		FileDto ExportToFile(List&lt;IF_FQF3MM03Dto&gt; if_fqf3mm03);
	}
}
</v>
      </c>
      <c r="T7" s="26" t="str">
        <f ca="1">SUBSTITUTE(SUBSTITUTE(SUBSTITUTE(SUBSTITUTE(SUBSTITUTE(SUBSTITUTE(SUBSTITUTE(T1,"MstWptCalendar",$B$3),"&lt;PROPERTIES1&gt;",V70),"&lt;PROPERTIES&gt;",T70),"Calendar",$B$5),"calendar",LOWER(B5)),"WorkingPattern",$Q$3),"Master",$B$4)</f>
        <v>using System.Collections.Generic;
using vovina.DataExporting.Excel.NPOI;
using vovina.Dto;
using vovina.IF.IF.Exporting;
using vovina.IF.IF.Dto;
using vovina.Storage;
using vovina.IF.IF.Dto;
namespace vovina.IF.IF.Exporting
{
    public class IF_FQF3MM03ExcelExporter : NpoiExcelExporterBase, IIF_FQF3MM03ExcelExporter
    {
        public IF_FQF3MM03ExcelExporter(ITempFileCacheManager tempFileCacheManager) : base(tempFileCacheManager) { }
        public FileDto ExportToFile(List&lt;IF_FQF3MM03Dto&gt; fqf3mm03)
        {
            return CreateExcelPackage(
				"IFIFFQF3MM03.xlsx",
				excelPackage =&gt;
				 {
					var sheet = excelPackage.CreateSheet("FQF3MM03");
					AddHeader(
								sheet,
								("RecordId"),
								("CompanyCode"),
								("DocumentNo"),
								("DocumentType"),
								("DocumentDate"),
								("CustomerCode"),
								("CustomerPlantCode"),
								("CustomerDockCode"),
								("PartCategory"),
								("WithholdingTaxFlag"),
								("WithholdingTaxRate"),
								("OrderType"),
								("PdsNo"),
								("PartReceivedDate"),
								("SequenceDate"),
								("SequenceNo"),
								("PartNo"),
								("ReferenceDocumentNo"),
								("PostingDate"),
								("SupplierCode"),
								("SupplierPlantCode"),
								("PartQuantity"),
								("UnitBuyingPrice"),
								("UnitBuyingAmount"),
								("UnitSellingPrice"),
								("UnitSellingAmount"),
								("PriceStatus"),
								("TotalAmount"),
								("VatAmount"),
								("VatCode"),
								("PaymentTerm"),
								("ReasonCode"),
								("MarkCode"),
								("SignCode"),
								("CancelFlag"),
								("SupplierInvoiceNo"),
								("TopasSmrNo"),
								("TopasSmrItemNo"),
								("CustomerBranch"),
								("CostCenter"),
								("Wbs"),
								("Asset"),
								("OrderReasonCode"),
								("RetroFlag"),
								("ValuationType"),
								("ConditionType"),
								("ConditionTypeAmt"),
								("PrepaidTaxAmt"),
								("WithholdingTaxAmt"),
								("StampFeeAmt"),
								("GlAmount"),
								("SptCode"),
								("HigherLevelItem"),
								("WithholdingTaxBaseAmt"),
								("TypeOfSales"),
								("ProfitCenter"),
								("DueDate"),
								("ItemText"),
								("PaymentMethod"),
								("EndingOfRecord"),
							   );
					AddObjects(
						 sheet, 1, fqf3mm03,                                       
								_ =&gt; _.RecordId,
								_ =&gt; _.CompanyCode,
								_ =&gt; _.DocumentNo,
								_ =&gt; _.DocumentType,
								_ =&gt; _.DocumentDate,
								_ =&gt; _.CustomerCode,
								_ =&gt; _.CustomerPlantCode,
								_ =&gt; _.CustomerDockCode,
								_ =&gt; _.PartCategory,
								_ =&gt; _.WithholdingTaxFlag,
								_ =&gt; _.WithholdingTaxRate,
								_ =&gt; _.OrderType,
								_ =&gt; _.PdsNo,
								_ =&gt; _.PartReceivedDate,
								_ =&gt; _.SequenceDate,
								_ =&gt; _.SequenceNo,
								_ =&gt; _.PartNo,
								_ =&gt; _.ReferenceDocumentNo,
								_ =&gt; _.PostingDate,
								_ =&gt; _.SupplierCode,
								_ =&gt; _.SupplierPlantCode,
								_ =&gt; _.PartQuantity,
								_ =&gt; _.UnitBuyingPrice,
								_ =&gt; _.UnitBuyingAmount,
								_ =&gt; _.UnitSellingPrice,
								_ =&gt; _.UnitSellingAmount,
								_ =&gt; _.PriceStatus,
								_ =&gt; _.TotalAmount,
								_ =&gt; _.VatAmount,
								_ =&gt; _.VatCode,
								_ =&gt; _.PaymentTerm,
								_ =&gt; _.ReasonCode,
								_ =&gt; _.MarkCode,
								_ =&gt; _.SignCode,
								_ =&gt; _.CancelFlag,
								_ =&gt; _.SupplierInvoiceNo,
								_ =&gt; _.TopasSmrNo,
								_ =&gt; _.TopasSmrItemNo,
								_ =&gt; _.CustomerBranch,
								_ =&gt; _.CostCenter,
								_ =&gt; _.Wbs,
								_ =&gt; _.Asset,
								_ =&gt; _.OrderReasonCode,
								_ =&gt; _.RetroFlag,
								_ =&gt; _.ValuationType,
								_ =&gt; _.ConditionType,
								_ =&gt; _.ConditionTypeAmt,
								_ =&gt; _.PrepaidTaxAmt,
								_ =&gt; _.WithholdingTaxAmt,
								_ =&gt; _.StampFeeAmt,
								_ =&gt; _.GlAmount,
								_ =&gt; _.SptCode,
								_ =&gt; _.HigherLevelItem,
								_ =&gt; _.WithholdingTaxBaseAmt,
								_ =&gt; _.TypeOfSales,
								_ =&gt; _.ProfitCenter,
								_ =&gt; _.DueDate,
								_ =&gt; _.ItemText,
								_ =&gt; _.PaymentMethod,
								_ =&gt; _.EndingOfRecord,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configuration.CreateMap&lt;IF_FQF3MM03Dto, IF_FQF3MM03&gt;();
  configuration.CreateMap&lt;IF_FQF3MM03, IF_FQF3MM03Dto&gt;();
  configuration.CreateMap&lt;CreateOrEditIF_FQF3MM03Dto, IF_FQF3MM03&gt;();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363</v>
      </c>
      <c r="B9" t="s">
        <v>418</v>
      </c>
      <c r="C9" t="s">
        <v>1</v>
      </c>
      <c r="D9" t="str">
        <f t="shared" ref="D9" si="0">SUBSTITUTE(PROPER(A9),"_","")</f>
        <v>RecordId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7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MaxRecordIdLength = 7;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[StringLength(MaxRecordIdLength)]
		public virtual string RecordId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RecordId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[StringLength(IF_FQF3MM03Consts.MaxRecordIdLength)]
		public virtual string RecordId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RecordId { get; set; }
</v>
      </c>
      <c r="P9" t="str">
        <f t="shared" ref="P9" si="9">REPT(CHAR(9),7)&amp;D9&amp;" = o." &amp;D9 &amp;","</f>
        <v xml:space="preserve">							RecordId = o.RecordId,</v>
      </c>
      <c r="T9" s="63" t="str">
        <f t="shared" ref="T9" si="10">REPT(CHAR(9),8)&amp;"("""&amp;D9&amp;"""),"</f>
        <v xml:space="preserve">								("RecordId"),</v>
      </c>
      <c r="V9" s="64" t="str">
        <f t="shared" ref="V9" si="11">REPT(CHAR(9),8)&amp;"_ =&gt; _."&amp;D9&amp;","</f>
        <v xml:space="preserve">								_ =&gt; _.RecordId,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.WhereIf(!string.IsNullOrWhiteSpace(input.RecordId), e =&gt; e.RecordId.Contains(input.RecordId))</v>
      </c>
    </row>
    <row r="10" spans="1:23" customFormat="1" ht="18.75" customHeight="1" x14ac:dyDescent="0.25">
      <c r="A10" t="s">
        <v>364</v>
      </c>
      <c r="B10" t="s">
        <v>419</v>
      </c>
      <c r="C10" t="s">
        <v>1</v>
      </c>
      <c r="D10" t="str">
        <f t="shared" ref="D10:D11" si="13">SUBSTITUTE(PROPER(A10),"_","")</f>
        <v>CompanyCode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4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MaxCompanyCodeLength = 4;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[StringLength(MaxCompanyCodeLength)]
		public virtual string CompanyCode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CompanyCode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[StringLength(IF_FQF3MM03Consts.MaxCompanyCodeLength)]
		public virtual string CompanyCode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CompanyCode { get; set; }
</v>
      </c>
      <c r="P10" t="str">
        <f t="shared" ref="P10:P11" si="22">REPT(CHAR(9),7)&amp;D10&amp;" = o." &amp;D10 &amp;","</f>
        <v xml:space="preserve">							CompanyCode = o.CompanyCode,</v>
      </c>
      <c r="T10" s="63" t="str">
        <f t="shared" ref="T10:T11" si="23">REPT(CHAR(9),8)&amp;"("""&amp;D10&amp;"""),"</f>
        <v xml:space="preserve">								("CompanyCode"),</v>
      </c>
      <c r="V10" s="64" t="str">
        <f t="shared" ref="V10:V11" si="24">REPT(CHAR(9),8)&amp;"_ =&gt; _."&amp;D10&amp;","</f>
        <v xml:space="preserve">								_ =&gt; _.CompanyCode,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.WhereIf(!string.IsNullOrWhiteSpace(input.CompanyCode), e =&gt; e.CompanyCode.Contains(input.CompanyCode))</v>
      </c>
    </row>
    <row r="11" spans="1:23" customFormat="1" ht="18.75" customHeight="1" x14ac:dyDescent="0.25">
      <c r="A11" t="s">
        <v>365</v>
      </c>
      <c r="B11" t="s">
        <v>420</v>
      </c>
      <c r="C11" t="s">
        <v>1</v>
      </c>
      <c r="D11" t="str">
        <f t="shared" si="13"/>
        <v>DocumentNo</v>
      </c>
      <c r="E11" t="str">
        <f t="shared" si="14"/>
        <v>varchar</v>
      </c>
      <c r="F11" s="6"/>
      <c r="G11" t="str">
        <f t="shared" si="15"/>
        <v>20</v>
      </c>
      <c r="H11" t="str">
        <f>+VLOOKUP(E11,'Data Type Mapping'!A:B,2,)</f>
        <v>string</v>
      </c>
      <c r="I11" t="str">
        <f t="shared" si="16"/>
        <v xml:space="preserve">		public const int MaxDocumentNoLength = 20;
</v>
      </c>
      <c r="J11" t="str">
        <f t="shared" si="17"/>
        <v xml:space="preserve">		[StringLength(MaxDocumentNoLength)]
		public virtual string DocumentNo { get; set; }
</v>
      </c>
      <c r="K11" s="6"/>
      <c r="L11" t="str">
        <f t="shared" si="18"/>
        <v/>
      </c>
      <c r="M11" t="str">
        <f t="shared" si="19"/>
        <v xml:space="preserve">		public virtual string DocumentNo { get; set; }
</v>
      </c>
      <c r="N11" t="str">
        <f t="shared" si="20"/>
        <v xml:space="preserve">		[StringLength(IF_FQF3MM03Consts.MaxDocumentNoLength)]
		public virtual string DocumentNo { get; set; }
</v>
      </c>
      <c r="O11" t="str">
        <f t="shared" si="21"/>
        <v xml:space="preserve">		public virtual string DocumentNo { get; set; }
</v>
      </c>
      <c r="P11" t="str">
        <f t="shared" si="22"/>
        <v xml:space="preserve">							DocumentNo = o.DocumentNo,</v>
      </c>
      <c r="T11" s="63" t="str">
        <f t="shared" si="23"/>
        <v xml:space="preserve">								("DocumentNo"),</v>
      </c>
      <c r="V11" s="64" t="str">
        <f t="shared" si="24"/>
        <v xml:space="preserve">								_ =&gt; _.DocumentNo,</v>
      </c>
      <c r="W11" s="63" t="str">
        <f t="shared" si="25"/>
        <v xml:space="preserve">				.WhereIf(!string.IsNullOrWhiteSpace(input.DocumentNo), e =&gt; e.DocumentNo.Contains(input.DocumentNo))</v>
      </c>
    </row>
    <row r="12" spans="1:23" customFormat="1" ht="18.75" customHeight="1" x14ac:dyDescent="0.25">
      <c r="A12" t="s">
        <v>366</v>
      </c>
      <c r="B12" t="s">
        <v>421</v>
      </c>
      <c r="C12" t="s">
        <v>1</v>
      </c>
      <c r="D12" t="str">
        <f t="shared" ref="D12:D15" si="26">SUBSTITUTE(PROPER(A12),"_","")</f>
        <v>DocumentType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2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MaxDocumentTypeLength = 2;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[StringLength(MaxDocumentTypeLength)]
		public virtual string DocumentType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DocumentType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[StringLength(IF_FQF3MM03Consts.MaxDocumentTypeLength)]
		public virtual string DocumentType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DocumentType { get; set; }
</v>
      </c>
      <c r="P12" t="str">
        <f t="shared" ref="P12:P15" si="35">REPT(CHAR(9),7)&amp;D12&amp;" = o." &amp;D12 &amp;","</f>
        <v xml:space="preserve">							DocumentType = o.DocumentType,</v>
      </c>
      <c r="T12" s="63" t="str">
        <f t="shared" ref="T12:T15" si="36">REPT(CHAR(9),8)&amp;"("""&amp;D12&amp;"""),"</f>
        <v xml:space="preserve">								("DocumentType"),</v>
      </c>
      <c r="V12" s="64" t="str">
        <f t="shared" ref="V12:V15" si="37">REPT(CHAR(9),8)&amp;"_ =&gt; _."&amp;D12&amp;","</f>
        <v xml:space="preserve">								_ =&gt; _.DocumentType,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.WhereIf(!string.IsNullOrWhiteSpace(input.DocumentType), e =&gt; e.DocumentType.Contains(input.DocumentType))</v>
      </c>
    </row>
    <row r="13" spans="1:23" customFormat="1" ht="18.75" customHeight="1" x14ac:dyDescent="0.25">
      <c r="A13" t="s">
        <v>354</v>
      </c>
      <c r="B13" t="s">
        <v>422</v>
      </c>
      <c r="C13" t="s">
        <v>1</v>
      </c>
      <c r="D13" t="str">
        <f t="shared" si="26"/>
        <v>DocumentDate</v>
      </c>
      <c r="E13" t="str">
        <f t="shared" si="27"/>
        <v>varchar</v>
      </c>
      <c r="F13" s="6"/>
      <c r="G13" t="str">
        <f t="shared" si="28"/>
        <v>8</v>
      </c>
      <c r="H13" t="str">
        <f>+VLOOKUP(E13,'Data Type Mapping'!A:B,2,)</f>
        <v>string</v>
      </c>
      <c r="I13" t="str">
        <f t="shared" si="29"/>
        <v xml:space="preserve">		public const int MaxDocumentDateLength = 8;
</v>
      </c>
      <c r="J13" t="str">
        <f t="shared" si="30"/>
        <v xml:space="preserve">		[StringLength(MaxDocumentDateLength)]
		public virtual string DocumentDate { get; set; }
</v>
      </c>
      <c r="K13" s="6"/>
      <c r="L13" t="str">
        <f t="shared" si="31"/>
        <v/>
      </c>
      <c r="M13" t="str">
        <f t="shared" si="32"/>
        <v xml:space="preserve">		public virtual string DocumentDate { get; set; }
</v>
      </c>
      <c r="N13" t="str">
        <f t="shared" si="33"/>
        <v xml:space="preserve">		[StringLength(IF_FQF3MM03Consts.MaxDocumentDateLength)]
		public virtual string DocumentDate { get; set; }
</v>
      </c>
      <c r="O13" t="str">
        <f t="shared" si="34"/>
        <v xml:space="preserve">		public virtual string DocumentDate { get; set; }
</v>
      </c>
      <c r="P13" t="str">
        <f t="shared" si="35"/>
        <v xml:space="preserve">							DocumentDate = o.DocumentDate,</v>
      </c>
      <c r="T13" s="63" t="str">
        <f t="shared" si="36"/>
        <v xml:space="preserve">								("DocumentDate"),</v>
      </c>
      <c r="V13" s="64" t="str">
        <f t="shared" si="37"/>
        <v xml:space="preserve">								_ =&gt; _.DocumentDate,</v>
      </c>
      <c r="W13" s="63" t="str">
        <f t="shared" si="38"/>
        <v xml:space="preserve">				.WhereIf(!string.IsNullOrWhiteSpace(input.DocumentDate), e =&gt; e.DocumentDate.Contains(input.DocumentDate))</v>
      </c>
    </row>
    <row r="14" spans="1:23" customFormat="1" ht="18.75" customHeight="1" x14ac:dyDescent="0.25">
      <c r="A14" t="s">
        <v>367</v>
      </c>
      <c r="B14" t="s">
        <v>419</v>
      </c>
      <c r="C14" t="s">
        <v>1</v>
      </c>
      <c r="D14" t="str">
        <f t="shared" si="26"/>
        <v>CustomerCode</v>
      </c>
      <c r="E14" t="str">
        <f t="shared" si="27"/>
        <v>varchar</v>
      </c>
      <c r="F14" s="6"/>
      <c r="G14" t="str">
        <f t="shared" si="28"/>
        <v>4</v>
      </c>
      <c r="H14" t="str">
        <f>+VLOOKUP(E14,'Data Type Mapping'!A:B,2,)</f>
        <v>string</v>
      </c>
      <c r="I14" t="str">
        <f t="shared" si="29"/>
        <v xml:space="preserve">		public const int MaxCustomerCodeLength = 4;
</v>
      </c>
      <c r="J14" t="str">
        <f t="shared" si="30"/>
        <v xml:space="preserve">		[StringLength(MaxCustomerCodeLength)]
		public virtual string CustomerCode { get; set; }
</v>
      </c>
      <c r="K14" s="6"/>
      <c r="L14" t="str">
        <f t="shared" si="31"/>
        <v/>
      </c>
      <c r="M14" t="str">
        <f t="shared" si="32"/>
        <v xml:space="preserve">		public virtual string CustomerCode { get; set; }
</v>
      </c>
      <c r="N14" t="str">
        <f t="shared" si="33"/>
        <v xml:space="preserve">		[StringLength(IF_FQF3MM03Consts.MaxCustomerCodeLength)]
		public virtual string CustomerCode { get; set; }
</v>
      </c>
      <c r="O14" t="str">
        <f t="shared" si="34"/>
        <v xml:space="preserve">		public virtual string CustomerCode { get; set; }
</v>
      </c>
      <c r="P14" t="str">
        <f t="shared" si="35"/>
        <v xml:space="preserve">							CustomerCode = o.CustomerCode,</v>
      </c>
      <c r="T14" s="63" t="str">
        <f t="shared" si="36"/>
        <v xml:space="preserve">								("CustomerCode"),</v>
      </c>
      <c r="V14" s="64" t="str">
        <f t="shared" si="37"/>
        <v xml:space="preserve">								_ =&gt; _.CustomerCode,</v>
      </c>
      <c r="W14" s="63" t="str">
        <f t="shared" si="38"/>
        <v xml:space="preserve">				.WhereIf(!string.IsNullOrWhiteSpace(input.CustomerCode), e =&gt; e.CustomerCode.Contains(input.CustomerCode))</v>
      </c>
    </row>
    <row r="15" spans="1:23" customFormat="1" ht="18.75" customHeight="1" x14ac:dyDescent="0.25">
      <c r="A15" t="s">
        <v>368</v>
      </c>
      <c r="B15" t="s">
        <v>419</v>
      </c>
      <c r="C15" t="s">
        <v>1</v>
      </c>
      <c r="D15" t="str">
        <f t="shared" si="26"/>
        <v>CustomerPlantCode</v>
      </c>
      <c r="E15" t="str">
        <f t="shared" si="27"/>
        <v>varchar</v>
      </c>
      <c r="F15" s="6"/>
      <c r="G15" t="str">
        <f t="shared" si="28"/>
        <v>4</v>
      </c>
      <c r="H15" t="str">
        <f>+VLOOKUP(E15,'Data Type Mapping'!A:B,2,)</f>
        <v>string</v>
      </c>
      <c r="I15" t="str">
        <f t="shared" si="29"/>
        <v xml:space="preserve">		public const int MaxCustomerPlantCodeLength = 4;
</v>
      </c>
      <c r="J15" t="str">
        <f t="shared" si="30"/>
        <v xml:space="preserve">		[StringLength(MaxCustomerPlantCodeLength)]
		public virtual string CustomerPlantCode { get; set; }
</v>
      </c>
      <c r="K15" s="6"/>
      <c r="L15" t="str">
        <f t="shared" si="31"/>
        <v/>
      </c>
      <c r="M15" t="str">
        <f t="shared" si="32"/>
        <v xml:space="preserve">		public virtual string CustomerPlantCode { get; set; }
</v>
      </c>
      <c r="N15" t="str">
        <f t="shared" si="33"/>
        <v xml:space="preserve">		[StringLength(IF_FQF3MM03Consts.MaxCustomerPlantCodeLength)]
		public virtual string CustomerPlantCode { get; set; }
</v>
      </c>
      <c r="O15" t="str">
        <f t="shared" si="34"/>
        <v xml:space="preserve">		public virtual string CustomerPlantCode { get; set; }
</v>
      </c>
      <c r="P15" t="str">
        <f t="shared" si="35"/>
        <v xml:space="preserve">							CustomerPlantCode = o.CustomerPlantCode,</v>
      </c>
      <c r="T15" s="63" t="str">
        <f t="shared" si="36"/>
        <v xml:space="preserve">								("CustomerPlantCode"),</v>
      </c>
      <c r="V15" s="64" t="str">
        <f t="shared" si="37"/>
        <v xml:space="preserve">								_ =&gt; _.CustomerPlantCode,</v>
      </c>
      <c r="W15" s="63" t="str">
        <f t="shared" si="38"/>
        <v xml:space="preserve">				.WhereIf(!string.IsNullOrWhiteSpace(input.CustomerPlantCode), e =&gt; e.CustomerPlantCode.Contains(input.CustomerPlantCode))</v>
      </c>
    </row>
    <row r="16" spans="1:23" customFormat="1" ht="18.75" customHeight="1" x14ac:dyDescent="0.25">
      <c r="A16" t="s">
        <v>369</v>
      </c>
      <c r="B16" t="s">
        <v>419</v>
      </c>
      <c r="C16" t="s">
        <v>1</v>
      </c>
      <c r="D16" t="str">
        <f t="shared" ref="D16:D23" si="39">SUBSTITUTE(PROPER(A16),"_","")</f>
        <v>CustomerDockCode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4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MaxCustomerDockCodeLength = 4;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[StringLength(MaxCustomerDockCodeLength)]
		public virtual string CustomerDockCode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CustomerDockCode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[StringLength(IF_FQF3MM03Consts.MaxCustomerDockCodeLength)]
		public virtual string CustomerDockCode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CustomerDockCode { get; set; }
</v>
      </c>
      <c r="P16" t="str">
        <f t="shared" ref="P16:P23" si="48">REPT(CHAR(9),7)&amp;D16&amp;" = o." &amp;D16 &amp;","</f>
        <v xml:space="preserve">							CustomerDockCode = o.CustomerDockCode,</v>
      </c>
      <c r="T16" s="63" t="str">
        <f t="shared" ref="T16:T23" si="49">REPT(CHAR(9),8)&amp;"("""&amp;D16&amp;"""),"</f>
        <v xml:space="preserve">								("CustomerDockCode"),</v>
      </c>
      <c r="V16" s="64" t="str">
        <f t="shared" ref="V16:V23" si="50">REPT(CHAR(9),8)&amp;"_ =&gt; _."&amp;D16&amp;","</f>
        <v xml:space="preserve">								_ =&gt; _.CustomerDockCode,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.WhereIf(!string.IsNullOrWhiteSpace(input.CustomerDockCode), e =&gt; e.CustomerDockCode.Contains(input.CustomerDockCode))</v>
      </c>
    </row>
    <row r="17" spans="1:23" customFormat="1" ht="18.75" customHeight="1" x14ac:dyDescent="0.25">
      <c r="A17" t="s">
        <v>370</v>
      </c>
      <c r="B17" t="s">
        <v>423</v>
      </c>
      <c r="C17" t="s">
        <v>1</v>
      </c>
      <c r="D17" t="str">
        <f t="shared" si="39"/>
        <v>PartCategory</v>
      </c>
      <c r="E17" t="str">
        <f t="shared" si="40"/>
        <v>varchar</v>
      </c>
      <c r="F17" s="6"/>
      <c r="G17" t="str">
        <f t="shared" si="41"/>
        <v>1</v>
      </c>
      <c r="H17" t="str">
        <f>+VLOOKUP(E17,'Data Type Mapping'!A:B,2,)</f>
        <v>string</v>
      </c>
      <c r="I17" t="str">
        <f t="shared" si="42"/>
        <v xml:space="preserve">		public const int MaxPartCategoryLength = 1;
</v>
      </c>
      <c r="J17" t="str">
        <f t="shared" si="43"/>
        <v xml:space="preserve">		[StringLength(MaxPartCategoryLength)]
		public virtual string PartCategory { get; set; }
</v>
      </c>
      <c r="K17" s="6"/>
      <c r="L17" t="str">
        <f t="shared" si="44"/>
        <v/>
      </c>
      <c r="M17" t="str">
        <f t="shared" si="45"/>
        <v xml:space="preserve">		public virtual string PartCategory { get; set; }
</v>
      </c>
      <c r="N17" t="str">
        <f t="shared" si="46"/>
        <v xml:space="preserve">		[StringLength(IF_FQF3MM03Consts.MaxPartCategoryLength)]
		public virtual string PartCategory { get; set; }
</v>
      </c>
      <c r="O17" t="str">
        <f t="shared" si="47"/>
        <v xml:space="preserve">		public virtual string PartCategory { get; set; }
</v>
      </c>
      <c r="P17" t="str">
        <f t="shared" si="48"/>
        <v xml:space="preserve">							PartCategory = o.PartCategory,</v>
      </c>
      <c r="T17" s="63" t="str">
        <f t="shared" si="49"/>
        <v xml:space="preserve">								("PartCategory"),</v>
      </c>
      <c r="V17" s="64" t="str">
        <f t="shared" si="50"/>
        <v xml:space="preserve">								_ =&gt; _.PartCategory,</v>
      </c>
      <c r="W17" s="63" t="str">
        <f t="shared" si="51"/>
        <v xml:space="preserve">				.WhereIf(!string.IsNullOrWhiteSpace(input.PartCategory), e =&gt; e.PartCategory.Contains(input.PartCategory))</v>
      </c>
    </row>
    <row r="18" spans="1:23" customFormat="1" ht="18.75" customHeight="1" x14ac:dyDescent="0.25">
      <c r="A18" t="s">
        <v>371</v>
      </c>
      <c r="B18" t="s">
        <v>423</v>
      </c>
      <c r="C18" t="s">
        <v>1</v>
      </c>
      <c r="D18" t="str">
        <f t="shared" si="39"/>
        <v>WithholdingTaxFlag</v>
      </c>
      <c r="E18" t="str">
        <f t="shared" si="40"/>
        <v>varchar</v>
      </c>
      <c r="F18" s="6"/>
      <c r="G18" t="str">
        <f t="shared" si="41"/>
        <v>1</v>
      </c>
      <c r="H18" t="str">
        <f>+VLOOKUP(E18,'Data Type Mapping'!A:B,2,)</f>
        <v>string</v>
      </c>
      <c r="I18" t="str">
        <f t="shared" si="42"/>
        <v xml:space="preserve">		public const int MaxWithholdingTaxFlagLength = 1;
</v>
      </c>
      <c r="J18" t="str">
        <f t="shared" si="43"/>
        <v xml:space="preserve">		[StringLength(MaxWithholdingTaxFlagLength)]
		public virtual string WithholdingTaxFlag { get; set; }
</v>
      </c>
      <c r="K18" s="6"/>
      <c r="L18" t="str">
        <f t="shared" si="44"/>
        <v/>
      </c>
      <c r="M18" t="str">
        <f t="shared" si="45"/>
        <v xml:space="preserve">		public virtual string WithholdingTaxFlag { get; set; }
</v>
      </c>
      <c r="N18" t="str">
        <f t="shared" si="46"/>
        <v xml:space="preserve">		[StringLength(IF_FQF3MM03Consts.MaxWithholdingTaxFlagLength)]
		public virtual string WithholdingTaxFlag { get; set; }
</v>
      </c>
      <c r="O18" t="str">
        <f t="shared" si="47"/>
        <v xml:space="preserve">		public virtual string WithholdingTaxFlag { get; set; }
</v>
      </c>
      <c r="P18" t="str">
        <f t="shared" si="48"/>
        <v xml:space="preserve">							WithholdingTaxFlag = o.WithholdingTaxFlag,</v>
      </c>
      <c r="T18" s="63" t="str">
        <f t="shared" si="49"/>
        <v xml:space="preserve">								("WithholdingTaxFlag"),</v>
      </c>
      <c r="V18" s="64" t="str">
        <f t="shared" si="50"/>
        <v xml:space="preserve">								_ =&gt; _.WithholdingTaxFlag,</v>
      </c>
      <c r="W18" s="63" t="str">
        <f t="shared" si="51"/>
        <v xml:space="preserve">				.WhereIf(!string.IsNullOrWhiteSpace(input.WithholdingTaxFlag), e =&gt; e.WithholdingTaxFlag.Contains(input.WithholdingTaxFlag))</v>
      </c>
    </row>
    <row r="19" spans="1:23" customFormat="1" ht="18.75" customHeight="1" x14ac:dyDescent="0.25">
      <c r="A19" t="s">
        <v>372</v>
      </c>
      <c r="B19" t="s">
        <v>424</v>
      </c>
      <c r="C19" t="s">
        <v>1</v>
      </c>
      <c r="D19" t="str">
        <f t="shared" si="39"/>
        <v>WithholdingTaxRate</v>
      </c>
      <c r="E19" t="str">
        <f t="shared" si="40"/>
        <v>varchar</v>
      </c>
      <c r="F19" s="6"/>
      <c r="G19" t="str">
        <f t="shared" si="41"/>
        <v>5</v>
      </c>
      <c r="H19" t="str">
        <f>+VLOOKUP(E19,'Data Type Mapping'!A:B,2,)</f>
        <v>string</v>
      </c>
      <c r="I19" t="str">
        <f t="shared" si="42"/>
        <v xml:space="preserve">		public const int MaxWithholdingTaxRateLength = 5;
</v>
      </c>
      <c r="J19" t="str">
        <f t="shared" si="43"/>
        <v xml:space="preserve">		[StringLength(MaxWithholdingTaxRateLength)]
		public virtual string WithholdingTaxRate { get; set; }
</v>
      </c>
      <c r="K19" s="6"/>
      <c r="L19" t="str">
        <f t="shared" si="44"/>
        <v/>
      </c>
      <c r="M19" t="str">
        <f t="shared" si="45"/>
        <v xml:space="preserve">		public virtual string WithholdingTaxRate { get; set; }
</v>
      </c>
      <c r="N19" t="str">
        <f t="shared" si="46"/>
        <v xml:space="preserve">		[StringLength(IF_FQF3MM03Consts.MaxWithholdingTaxRateLength)]
		public virtual string WithholdingTaxRate { get; set; }
</v>
      </c>
      <c r="O19" t="str">
        <f t="shared" si="47"/>
        <v xml:space="preserve">		public virtual string WithholdingTaxRate { get; set; }
</v>
      </c>
      <c r="P19" t="str">
        <f t="shared" si="48"/>
        <v xml:space="preserve">							WithholdingTaxRate = o.WithholdingTaxRate,</v>
      </c>
      <c r="T19" s="63" t="str">
        <f t="shared" si="49"/>
        <v xml:space="preserve">								("WithholdingTaxRate"),</v>
      </c>
      <c r="V19" s="64" t="str">
        <f t="shared" si="50"/>
        <v xml:space="preserve">								_ =&gt; _.WithholdingTaxRate,</v>
      </c>
      <c r="W19" s="63" t="str">
        <f t="shared" si="51"/>
        <v xml:space="preserve">				.WhereIf(!string.IsNullOrWhiteSpace(input.WithholdingTaxRate), e =&gt; e.WithholdingTaxRate.Contains(input.WithholdingTaxRate))</v>
      </c>
    </row>
    <row r="20" spans="1:23" customFormat="1" ht="18.75" customHeight="1" x14ac:dyDescent="0.25">
      <c r="A20" t="s">
        <v>373</v>
      </c>
      <c r="B20" t="s">
        <v>423</v>
      </c>
      <c r="C20" t="s">
        <v>1</v>
      </c>
      <c r="D20" t="str">
        <f t="shared" si="39"/>
        <v>OrderType</v>
      </c>
      <c r="E20" t="str">
        <f t="shared" si="40"/>
        <v>varchar</v>
      </c>
      <c r="F20" s="6"/>
      <c r="G20" t="str">
        <f t="shared" si="41"/>
        <v>1</v>
      </c>
      <c r="H20" t="str">
        <f>+VLOOKUP(E20,'Data Type Mapping'!A:B,2,)</f>
        <v>string</v>
      </c>
      <c r="I20" t="str">
        <f t="shared" si="42"/>
        <v xml:space="preserve">		public const int MaxOrderTypeLength = 1;
</v>
      </c>
      <c r="J20" t="str">
        <f t="shared" si="43"/>
        <v xml:space="preserve">		[StringLength(MaxOrderTypeLength)]
		public virtual string OrderType { get; set; }
</v>
      </c>
      <c r="K20" s="6"/>
      <c r="L20" t="str">
        <f t="shared" si="44"/>
        <v/>
      </c>
      <c r="M20" t="str">
        <f t="shared" si="45"/>
        <v xml:space="preserve">		public virtual string OrderType { get; set; }
</v>
      </c>
      <c r="N20" t="str">
        <f t="shared" si="46"/>
        <v xml:space="preserve">		[StringLength(IF_FQF3MM03Consts.MaxOrderTypeLength)]
		public virtual string OrderType { get; set; }
</v>
      </c>
      <c r="O20" t="str">
        <f t="shared" si="47"/>
        <v xml:space="preserve">		public virtual string OrderType { get; set; }
</v>
      </c>
      <c r="P20" t="str">
        <f t="shared" si="48"/>
        <v xml:space="preserve">							OrderType = o.OrderType,</v>
      </c>
      <c r="T20" s="63" t="str">
        <f t="shared" si="49"/>
        <v xml:space="preserve">								("OrderType"),</v>
      </c>
      <c r="V20" s="64" t="str">
        <f t="shared" si="50"/>
        <v xml:space="preserve">								_ =&gt; _.OrderType,</v>
      </c>
      <c r="W20" s="63" t="str">
        <f t="shared" si="51"/>
        <v xml:space="preserve">				.WhereIf(!string.IsNullOrWhiteSpace(input.OrderType), e =&gt; e.OrderType.Contains(input.OrderType))</v>
      </c>
    </row>
    <row r="21" spans="1:23" customFormat="1" ht="18.75" customHeight="1" x14ac:dyDescent="0.25">
      <c r="A21" t="s">
        <v>374</v>
      </c>
      <c r="B21" t="s">
        <v>425</v>
      </c>
      <c r="C21" t="s">
        <v>1</v>
      </c>
      <c r="D21" t="str">
        <f t="shared" si="39"/>
        <v>PdsNo</v>
      </c>
      <c r="E21" t="str">
        <f t="shared" si="40"/>
        <v>varchar</v>
      </c>
      <c r="F21" s="6"/>
      <c r="G21" t="str">
        <f t="shared" si="41"/>
        <v>25</v>
      </c>
      <c r="H21" t="str">
        <f>+VLOOKUP(E21,'Data Type Mapping'!A:B,2,)</f>
        <v>string</v>
      </c>
      <c r="I21" t="str">
        <f t="shared" si="42"/>
        <v xml:space="preserve">		public const int MaxPdsNoLength = 25;
</v>
      </c>
      <c r="J21" t="str">
        <f t="shared" si="43"/>
        <v xml:space="preserve">		[StringLength(MaxPdsNoLength)]
		public virtual string PdsNo { get; set; }
</v>
      </c>
      <c r="K21" s="6"/>
      <c r="L21" t="str">
        <f t="shared" si="44"/>
        <v/>
      </c>
      <c r="M21" t="str">
        <f t="shared" si="45"/>
        <v xml:space="preserve">		public virtual string PdsNo { get; set; }
</v>
      </c>
      <c r="N21" t="str">
        <f t="shared" si="46"/>
        <v xml:space="preserve">		[StringLength(IF_FQF3MM03Consts.MaxPdsNoLength)]
		public virtual string PdsNo { get; set; }
</v>
      </c>
      <c r="O21" t="str">
        <f t="shared" si="47"/>
        <v xml:space="preserve">		public virtual string PdsNo { get; set; }
</v>
      </c>
      <c r="P21" t="str">
        <f t="shared" si="48"/>
        <v xml:space="preserve">							PdsNo = o.PdsNo,</v>
      </c>
      <c r="T21" s="63" t="str">
        <f t="shared" si="49"/>
        <v xml:space="preserve">								("PdsNo"),</v>
      </c>
      <c r="V21" s="64" t="str">
        <f t="shared" si="50"/>
        <v xml:space="preserve">								_ =&gt; _.PdsNo,</v>
      </c>
      <c r="W21" s="63" t="str">
        <f t="shared" si="51"/>
        <v xml:space="preserve">				.WhereIf(!string.IsNullOrWhiteSpace(input.PdsNo), e =&gt; e.PdsNo.Contains(input.PdsNo))</v>
      </c>
    </row>
    <row r="22" spans="1:23" customFormat="1" ht="18.75" customHeight="1" x14ac:dyDescent="0.25">
      <c r="A22" t="s">
        <v>375</v>
      </c>
      <c r="B22" t="s">
        <v>422</v>
      </c>
      <c r="C22" t="s">
        <v>1</v>
      </c>
      <c r="D22" t="str">
        <f t="shared" si="39"/>
        <v>PartReceivedDate</v>
      </c>
      <c r="E22" t="str">
        <f t="shared" si="40"/>
        <v>varchar</v>
      </c>
      <c r="F22" s="6"/>
      <c r="G22" t="str">
        <f t="shared" si="41"/>
        <v>8</v>
      </c>
      <c r="H22" t="str">
        <f>+VLOOKUP(E22,'Data Type Mapping'!A:B,2,)</f>
        <v>string</v>
      </c>
      <c r="I22" t="str">
        <f t="shared" si="42"/>
        <v xml:space="preserve">		public const int MaxPartReceivedDateLength = 8;
</v>
      </c>
      <c r="J22" t="str">
        <f t="shared" si="43"/>
        <v xml:space="preserve">		[StringLength(MaxPartReceivedDateLength)]
		public virtual string PartReceivedDate { get; set; }
</v>
      </c>
      <c r="K22" s="6"/>
      <c r="L22" t="str">
        <f t="shared" si="44"/>
        <v/>
      </c>
      <c r="M22" t="str">
        <f t="shared" si="45"/>
        <v xml:space="preserve">		public virtual string PartReceivedDate { get; set; }
</v>
      </c>
      <c r="N22" t="str">
        <f t="shared" si="46"/>
        <v xml:space="preserve">		[StringLength(IF_FQF3MM03Consts.MaxPartReceivedDateLength)]
		public virtual string PartReceivedDate { get; set; }
</v>
      </c>
      <c r="O22" t="str">
        <f t="shared" si="47"/>
        <v xml:space="preserve">		public virtual string PartReceivedDate { get; set; }
</v>
      </c>
      <c r="P22" t="str">
        <f t="shared" si="48"/>
        <v xml:space="preserve">							PartReceivedDate = o.PartReceivedDate,</v>
      </c>
      <c r="T22" s="63" t="str">
        <f t="shared" si="49"/>
        <v xml:space="preserve">								("PartReceivedDate"),</v>
      </c>
      <c r="V22" s="64" t="str">
        <f t="shared" si="50"/>
        <v xml:space="preserve">								_ =&gt; _.PartReceivedDate,</v>
      </c>
      <c r="W22" s="63" t="str">
        <f t="shared" si="51"/>
        <v xml:space="preserve">				.WhereIf(!string.IsNullOrWhiteSpace(input.PartReceivedDate), e =&gt; e.PartReceivedDate.Contains(input.PartReceivedDate))</v>
      </c>
    </row>
    <row r="23" spans="1:23" customFormat="1" ht="18.75" customHeight="1" x14ac:dyDescent="0.25">
      <c r="A23" t="s">
        <v>376</v>
      </c>
      <c r="B23" t="s">
        <v>422</v>
      </c>
      <c r="C23" t="s">
        <v>1</v>
      </c>
      <c r="D23" t="str">
        <f t="shared" si="39"/>
        <v>SequenceDate</v>
      </c>
      <c r="E23" t="str">
        <f t="shared" si="40"/>
        <v>varchar</v>
      </c>
      <c r="F23" s="6"/>
      <c r="G23" t="str">
        <f t="shared" si="41"/>
        <v>8</v>
      </c>
      <c r="H23" t="str">
        <f>+VLOOKUP(E23,'Data Type Mapping'!A:B,2,)</f>
        <v>string</v>
      </c>
      <c r="I23" t="str">
        <f t="shared" si="42"/>
        <v xml:space="preserve">		public const int MaxSequenceDateLength = 8;
</v>
      </c>
      <c r="J23" t="str">
        <f t="shared" si="43"/>
        <v xml:space="preserve">		[StringLength(MaxSequenceDateLength)]
		public virtual string SequenceDate { get; set; }
</v>
      </c>
      <c r="K23" s="6"/>
      <c r="L23" t="str">
        <f t="shared" si="44"/>
        <v/>
      </c>
      <c r="M23" t="str">
        <f t="shared" si="45"/>
        <v xml:space="preserve">		public virtual string SequenceDate { get; set; }
</v>
      </c>
      <c r="N23" t="str">
        <f t="shared" si="46"/>
        <v xml:space="preserve">		[StringLength(IF_FQF3MM03Consts.MaxSequenceDateLength)]
		public virtual string SequenceDate { get; set; }
</v>
      </c>
      <c r="O23" t="str">
        <f t="shared" si="47"/>
        <v xml:space="preserve">		public virtual string SequenceDate { get; set; }
</v>
      </c>
      <c r="P23" t="str">
        <f t="shared" si="48"/>
        <v xml:space="preserve">							SequenceDate = o.SequenceDate,</v>
      </c>
      <c r="T23" s="63" t="str">
        <f t="shared" si="49"/>
        <v xml:space="preserve">								("SequenceDate"),</v>
      </c>
      <c r="V23" s="64" t="str">
        <f t="shared" si="50"/>
        <v xml:space="preserve">								_ =&gt; _.SequenceDate,</v>
      </c>
      <c r="W23" s="63" t="str">
        <f t="shared" si="51"/>
        <v xml:space="preserve">				.WhereIf(!string.IsNullOrWhiteSpace(input.SequenceDate), e =&gt; e.SequenceDate.Contains(input.SequenceDate))</v>
      </c>
    </row>
    <row r="24" spans="1:23" customFormat="1" ht="18.75" customHeight="1" x14ac:dyDescent="0.25">
      <c r="A24" t="s">
        <v>377</v>
      </c>
      <c r="B24" t="s">
        <v>426</v>
      </c>
      <c r="C24" t="s">
        <v>1</v>
      </c>
      <c r="D24" t="str">
        <f t="shared" ref="D24:D68" si="52">SUBSTITUTE(PROPER(A24),"_","")</f>
        <v>SequenceNo</v>
      </c>
      <c r="E24" t="str">
        <f t="shared" ref="E24:E68" si="53">IFERROR(LEFT(B24, FIND("(",B24)-1),B24)</f>
        <v>varchar</v>
      </c>
      <c r="F24" s="6"/>
      <c r="G24" t="str">
        <f t="shared" ref="G24:G68" si="54">IFERROR(MID(B24,FIND("(",B24) +1, FIND(")",B24) - FIND("(",B24) - 1),"")</f>
        <v>10</v>
      </c>
      <c r="H24" t="str">
        <f>+VLOOKUP(E24,'Data Type Mapping'!A:B,2,)</f>
        <v>string</v>
      </c>
      <c r="I24" t="str">
        <f t="shared" ref="I24:I68" si="55">IF(H24="string",REPT(CHAR(9),2)&amp;"public const int Max"&amp;D24&amp;"Length = "&amp;G24&amp;";"&amp;$E$3,"" )</f>
        <v xml:space="preserve">		public const int MaxSequenceNoLength = 10;
</v>
      </c>
      <c r="J24" t="str">
        <f t="shared" ref="J24:J68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[StringLength(MaxSequenceNoLength)]
		public virtual string SequenceNo { get; set; }
</v>
      </c>
      <c r="K24" s="6"/>
      <c r="L24" t="str">
        <f t="shared" ref="L24:L68" si="57">IF(K24="","",REPT(CHAR(9),1)&amp;"[Index(nameof("&amp;IF(D24="","",""&amp;D24)&amp;")"&amp;", Name="&amp;"""IX_"&amp;$B$7&amp;"_"&amp;D24&amp;""")]")</f>
        <v/>
      </c>
      <c r="M24" t="str">
        <f t="shared" ref="M24:M68" si="58">REPT(CHAR(9),2)&amp;"public virtual "&amp;IF(OR(H24="DateTime",H24="TimeSpan"),H24&amp;"?",H24)&amp;IF(C24="?","? "," ")&amp;D24&amp;" { get; set; }" &amp; "
"</f>
        <v xml:space="preserve">		public virtual string SequenceNo { get; set; }
</v>
      </c>
      <c r="N24" t="str">
        <f t="shared" ref="N24:N68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[StringLength(IF_FQF3MM03Consts.MaxSequenceNoLength)]
		public virtual string SequenceNo { get; set; }
</v>
      </c>
      <c r="O24" t="str">
        <f t="shared" ref="O24:O68" si="60">IF(OR(H24="string",H24="DateTime",H24="int"),REPT(CHAR(9),2)&amp;"public virtual "&amp;IF(OR(H24="DateTime",H24="TimeSpan"),H24&amp;"?",H24)&amp;IF(C24="?","? "," ")&amp;D24&amp;" { get; set; }"&amp;$E$3,"")</f>
        <v xml:space="preserve">		public virtual string SequenceNo { get; set; }
</v>
      </c>
      <c r="P24" t="str">
        <f t="shared" ref="P24:P68" si="61">REPT(CHAR(9),7)&amp;D24&amp;" = o." &amp;D24 &amp;","</f>
        <v xml:space="preserve">							SequenceNo = o.SequenceNo,</v>
      </c>
      <c r="T24" s="63" t="str">
        <f t="shared" ref="T24:T68" si="62">REPT(CHAR(9),8)&amp;"("""&amp;D24&amp;"""),"</f>
        <v xml:space="preserve">								("SequenceNo"),</v>
      </c>
      <c r="V24" s="64" t="str">
        <f t="shared" ref="V24:V68" si="63">REPT(CHAR(9),8)&amp;"_ =&gt; _."&amp;D24&amp;","</f>
        <v xml:space="preserve">								_ =&gt; _.SequenceNo,</v>
      </c>
      <c r="W24" s="63" t="str">
        <f t="shared" ref="W24:W68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.WhereIf(!string.IsNullOrWhiteSpace(input.SequenceNo), e =&gt; e.SequenceNo.Contains(input.SequenceNo))</v>
      </c>
    </row>
    <row r="25" spans="1:23" customFormat="1" ht="18.75" customHeight="1" x14ac:dyDescent="0.25">
      <c r="A25" t="s">
        <v>378</v>
      </c>
      <c r="B25" t="s">
        <v>427</v>
      </c>
      <c r="C25" t="s">
        <v>1</v>
      </c>
      <c r="D25" t="str">
        <f t="shared" si="52"/>
        <v>PartNo</v>
      </c>
      <c r="E25" t="str">
        <f t="shared" si="53"/>
        <v>varchar</v>
      </c>
      <c r="F25" s="6"/>
      <c r="G25" t="str">
        <f t="shared" si="54"/>
        <v>40</v>
      </c>
      <c r="H25" t="str">
        <f>+VLOOKUP(E25,'Data Type Mapping'!A:B,2,)</f>
        <v>string</v>
      </c>
      <c r="I25" t="str">
        <f t="shared" si="55"/>
        <v xml:space="preserve">		public const int MaxPartNoLength = 40;
</v>
      </c>
      <c r="J25" t="str">
        <f t="shared" si="56"/>
        <v xml:space="preserve">		[StringLength(MaxPartNoLength)]
		public virtual string PartNo { get; set; }
</v>
      </c>
      <c r="K25" s="6"/>
      <c r="L25" t="str">
        <f t="shared" si="57"/>
        <v/>
      </c>
      <c r="M25" t="str">
        <f t="shared" si="58"/>
        <v xml:space="preserve">		public virtual string PartNo { get; set; }
</v>
      </c>
      <c r="N25" t="str">
        <f t="shared" si="59"/>
        <v xml:space="preserve">		[StringLength(IF_FQF3MM03Consts.MaxPartNoLength)]
		public virtual string PartNo { get; set; }
</v>
      </c>
      <c r="O25" t="str">
        <f t="shared" si="60"/>
        <v xml:space="preserve">		public virtual string PartNo { get; set; }
</v>
      </c>
      <c r="P25" t="str">
        <f t="shared" si="61"/>
        <v xml:space="preserve">							PartNo = o.PartNo,</v>
      </c>
      <c r="T25" s="63" t="str">
        <f t="shared" si="62"/>
        <v xml:space="preserve">								("PartNo"),</v>
      </c>
      <c r="V25" s="64" t="str">
        <f t="shared" si="63"/>
        <v xml:space="preserve">								_ =&gt; _.PartNo,</v>
      </c>
      <c r="W25" s="63" t="str">
        <f t="shared" si="64"/>
        <v xml:space="preserve">				.WhereIf(!string.IsNullOrWhiteSpace(input.PartNo), e =&gt; e.PartNo.Contains(input.PartNo))</v>
      </c>
    </row>
    <row r="26" spans="1:23" customFormat="1" ht="18.75" customHeight="1" x14ac:dyDescent="0.25">
      <c r="A26" t="s">
        <v>379</v>
      </c>
      <c r="B26" t="s">
        <v>420</v>
      </c>
      <c r="C26" t="s">
        <v>1</v>
      </c>
      <c r="D26" t="str">
        <f t="shared" ref="D26:D38" si="65">SUBSTITUTE(PROPER(A26),"_","")</f>
        <v>ReferenceDocumentNo</v>
      </c>
      <c r="E26" t="str">
        <f t="shared" ref="E26:E38" si="66">IFERROR(LEFT(B26, FIND("(",B26)-1),B26)</f>
        <v>varchar</v>
      </c>
      <c r="F26" s="6"/>
      <c r="G26" t="str">
        <f t="shared" ref="G26:G38" si="67">IFERROR(MID(B26,FIND("(",B26) +1, FIND(")",B26) - FIND("(",B26) - 1),"")</f>
        <v>20</v>
      </c>
      <c r="H26" t="str">
        <f>+VLOOKUP(E26,'Data Type Mapping'!A:B,2,)</f>
        <v>string</v>
      </c>
      <c r="I26" t="str">
        <f t="shared" ref="I26:I38" si="68">IF(H26="string",REPT(CHAR(9),2)&amp;"public const int Max"&amp;D26&amp;"Length = "&amp;G26&amp;";"&amp;$E$3,"" )</f>
        <v xml:space="preserve">		public const int MaxReferenceDocumentNoLength = 20;
</v>
      </c>
      <c r="J26" t="str">
        <f t="shared" ref="J26:J38" si="69">IF(F26="","",REPT(CHAR(9),2)&amp;"[Column(TypeName="""&amp;F26&amp;""")]"&amp;$E$3)&amp;IF(C26="Checked","",$I$3)&amp;IF(H26="string",REPT(CHAR(9),2)&amp;"[StringLength(Max"&amp;D26&amp;"Length"&amp;")]"&amp;$E$3,"")&amp;REPT(CHAR(9),2)&amp;"public virtual "&amp;H26&amp;IF(C26="?","? "," ")&amp;D26&amp;" { get; set; }" &amp; "
"</f>
        <v xml:space="preserve">		[StringLength(MaxReferenceDocumentNoLength)]
		public virtual string ReferenceDocumentNo { get; set; }
</v>
      </c>
      <c r="K26" s="6"/>
      <c r="L26" t="str">
        <f t="shared" ref="L26:L38" si="70">IF(K26="","",REPT(CHAR(9),1)&amp;"[Index(nameof("&amp;IF(D26="","",""&amp;D26)&amp;")"&amp;", Name="&amp;"""IX_"&amp;$B$7&amp;"_"&amp;D26&amp;""")]")</f>
        <v/>
      </c>
      <c r="M26" t="str">
        <f t="shared" ref="M26:M38" si="71">REPT(CHAR(9),2)&amp;"public virtual "&amp;IF(OR(H26="DateTime",H26="TimeSpan"),H26&amp;"?",H26)&amp;IF(C26="?","? "," ")&amp;D26&amp;" { get; set; }" &amp; "
"</f>
        <v xml:space="preserve">		public virtual string ReferenceDocumentNo { get; set; }
</v>
      </c>
      <c r="N26" t="str">
        <f t="shared" ref="N26:N38" si="72">IF(C26="Checked","",$I$3)&amp;IF(H26="string",REPT(CHAR(9),2)&amp;"[StringLength("&amp;$B$3&amp;"Consts.Max"&amp;D26&amp;"Length"&amp;")]"&amp;$E$3,"")&amp;REPT(CHAR(9),2)&amp;"public virtual "&amp;IF(OR(H26="DateTime",H26="TimeSpan"),H26&amp;"?",H26)&amp;IF(C26="?","? "," ")&amp;D26&amp;" { get; set; }" &amp; "
"</f>
        <v xml:space="preserve">		[StringLength(IF_FQF3MM03Consts.MaxReferenceDocumentNoLength)]
		public virtual string ReferenceDocumentNo { get; set; }
</v>
      </c>
      <c r="O26" t="str">
        <f t="shared" ref="O26:O38" si="73">IF(OR(H26="string",H26="DateTime",H26="int"),REPT(CHAR(9),2)&amp;"public virtual "&amp;IF(OR(H26="DateTime",H26="TimeSpan"),H26&amp;"?",H26)&amp;IF(C26="?","? "," ")&amp;D26&amp;" { get; set; }"&amp;$E$3,"")</f>
        <v xml:space="preserve">		public virtual string ReferenceDocumentNo { get; set; }
</v>
      </c>
      <c r="P26" t="str">
        <f t="shared" ref="P26:P38" si="74">REPT(CHAR(9),7)&amp;D26&amp;" = o." &amp;D26 &amp;","</f>
        <v xml:space="preserve">							ReferenceDocumentNo = o.ReferenceDocumentNo,</v>
      </c>
      <c r="T26" s="63" t="str">
        <f t="shared" ref="T26:T38" si="75">REPT(CHAR(9),8)&amp;"("""&amp;D26&amp;"""),"</f>
        <v xml:space="preserve">								("ReferenceDocumentNo"),</v>
      </c>
      <c r="V26" s="64" t="str">
        <f t="shared" ref="V26:V38" si="76">REPT(CHAR(9),8)&amp;"_ =&gt; _."&amp;D26&amp;","</f>
        <v xml:space="preserve">								_ =&gt; _.ReferenceDocumentNo,</v>
      </c>
      <c r="W26" s="63" t="str">
        <f t="shared" ref="W26:W38" si="77">IF(H26="string",REPT(CHAR(9),4)&amp;".WhereIf(!string.IsNullOrWhiteSpace(input."&amp;D26&amp;"), e =&gt; e."&amp;D26&amp;".Contains(input."&amp;D26&amp;"))",IF(H26="DateTime",REPT(CHAR(9),4)&amp;".WhereIf(input."&amp;D26&amp;".HasValue, t =&gt; t."&amp;D26&amp;" == input."&amp;D26&amp;".Value)",""))</f>
        <v xml:space="preserve">				.WhereIf(!string.IsNullOrWhiteSpace(input.ReferenceDocumentNo), e =&gt; e.ReferenceDocumentNo.Contains(input.ReferenceDocumentNo))</v>
      </c>
    </row>
    <row r="27" spans="1:23" customFormat="1" ht="18.75" customHeight="1" x14ac:dyDescent="0.25">
      <c r="A27" t="s">
        <v>380</v>
      </c>
      <c r="B27" t="s">
        <v>422</v>
      </c>
      <c r="C27" t="s">
        <v>1</v>
      </c>
      <c r="D27" t="str">
        <f t="shared" si="65"/>
        <v>PostingDate</v>
      </c>
      <c r="E27" t="str">
        <f t="shared" si="66"/>
        <v>varchar</v>
      </c>
      <c r="F27" s="6"/>
      <c r="G27" t="str">
        <f t="shared" si="67"/>
        <v>8</v>
      </c>
      <c r="H27" t="str">
        <f>+VLOOKUP(E27,'Data Type Mapping'!A:B,2,)</f>
        <v>string</v>
      </c>
      <c r="I27" t="str">
        <f t="shared" si="68"/>
        <v xml:space="preserve">		public const int MaxPostingDateLength = 8;
</v>
      </c>
      <c r="J27" t="str">
        <f t="shared" si="69"/>
        <v xml:space="preserve">		[StringLength(MaxPostingDateLength)]
		public virtual string PostingDate { get; set; }
</v>
      </c>
      <c r="K27" s="6"/>
      <c r="L27" t="str">
        <f t="shared" si="70"/>
        <v/>
      </c>
      <c r="M27" t="str">
        <f t="shared" si="71"/>
        <v xml:space="preserve">		public virtual string PostingDate { get; set; }
</v>
      </c>
      <c r="N27" t="str">
        <f t="shared" si="72"/>
        <v xml:space="preserve">		[StringLength(IF_FQF3MM03Consts.MaxPostingDateLength)]
		public virtual string PostingDate { get; set; }
</v>
      </c>
      <c r="O27" t="str">
        <f t="shared" si="73"/>
        <v xml:space="preserve">		public virtual string PostingDate { get; set; }
</v>
      </c>
      <c r="P27" t="str">
        <f t="shared" si="74"/>
        <v xml:space="preserve">							PostingDate = o.PostingDate,</v>
      </c>
      <c r="T27" s="63" t="str">
        <f t="shared" si="75"/>
        <v xml:space="preserve">								("PostingDate"),</v>
      </c>
      <c r="V27" s="64" t="str">
        <f t="shared" si="76"/>
        <v xml:space="preserve">								_ =&gt; _.PostingDate,</v>
      </c>
      <c r="W27" s="63" t="str">
        <f t="shared" si="77"/>
        <v xml:space="preserve">				.WhereIf(!string.IsNullOrWhiteSpace(input.PostingDate), e =&gt; e.PostingDate.Contains(input.PostingDate))</v>
      </c>
    </row>
    <row r="28" spans="1:23" customFormat="1" ht="18.75" customHeight="1" x14ac:dyDescent="0.25">
      <c r="A28" t="s">
        <v>381</v>
      </c>
      <c r="B28" t="s">
        <v>426</v>
      </c>
      <c r="C28" t="s">
        <v>1</v>
      </c>
      <c r="D28" t="str">
        <f t="shared" si="65"/>
        <v>SupplierCode</v>
      </c>
      <c r="E28" t="str">
        <f t="shared" si="66"/>
        <v>varchar</v>
      </c>
      <c r="F28" s="6"/>
      <c r="G28" t="str">
        <f t="shared" si="67"/>
        <v>10</v>
      </c>
      <c r="H28" t="str">
        <f>+VLOOKUP(E28,'Data Type Mapping'!A:B,2,)</f>
        <v>string</v>
      </c>
      <c r="I28" t="str">
        <f t="shared" si="68"/>
        <v xml:space="preserve">		public const int MaxSupplierCodeLength = 10;
</v>
      </c>
      <c r="J28" t="str">
        <f t="shared" si="69"/>
        <v xml:space="preserve">		[StringLength(MaxSupplierCodeLength)]
		public virtual string SupplierCode { get; set; }
</v>
      </c>
      <c r="K28" s="6"/>
      <c r="L28" t="str">
        <f t="shared" si="70"/>
        <v/>
      </c>
      <c r="M28" t="str">
        <f t="shared" si="71"/>
        <v xml:space="preserve">		public virtual string SupplierCode { get; set; }
</v>
      </c>
      <c r="N28" t="str">
        <f t="shared" si="72"/>
        <v xml:space="preserve">		[StringLength(IF_FQF3MM03Consts.MaxSupplierCodeLength)]
		public virtual string SupplierCode { get; set; }
</v>
      </c>
      <c r="O28" t="str">
        <f t="shared" si="73"/>
        <v xml:space="preserve">		public virtual string SupplierCode { get; set; }
</v>
      </c>
      <c r="P28" t="str">
        <f t="shared" si="74"/>
        <v xml:space="preserve">							SupplierCode = o.SupplierCode,</v>
      </c>
      <c r="T28" s="63" t="str">
        <f t="shared" si="75"/>
        <v xml:space="preserve">								("SupplierCode"),</v>
      </c>
      <c r="V28" s="64" t="str">
        <f t="shared" si="76"/>
        <v xml:space="preserve">								_ =&gt; _.SupplierCode,</v>
      </c>
      <c r="W28" s="63" t="str">
        <f t="shared" si="77"/>
        <v xml:space="preserve">				.WhereIf(!string.IsNullOrWhiteSpace(input.SupplierCode), e =&gt; e.SupplierCode.Contains(input.SupplierCode))</v>
      </c>
    </row>
    <row r="29" spans="1:23" customFormat="1" ht="18.75" customHeight="1" x14ac:dyDescent="0.25">
      <c r="A29" t="s">
        <v>382</v>
      </c>
      <c r="B29" t="s">
        <v>423</v>
      </c>
      <c r="C29" t="s">
        <v>1</v>
      </c>
      <c r="D29" t="str">
        <f t="shared" si="65"/>
        <v>SupplierPlantCode</v>
      </c>
      <c r="E29" t="str">
        <f t="shared" si="66"/>
        <v>varchar</v>
      </c>
      <c r="F29" s="6"/>
      <c r="G29" t="str">
        <f t="shared" si="67"/>
        <v>1</v>
      </c>
      <c r="H29" t="str">
        <f>+VLOOKUP(E29,'Data Type Mapping'!A:B,2,)</f>
        <v>string</v>
      </c>
      <c r="I29" t="str">
        <f t="shared" si="68"/>
        <v xml:space="preserve">		public const int MaxSupplierPlantCodeLength = 1;
</v>
      </c>
      <c r="J29" t="str">
        <f t="shared" si="69"/>
        <v xml:space="preserve">		[StringLength(MaxSupplierPlantCodeLength)]
		public virtual string SupplierPlantCode { get; set; }
</v>
      </c>
      <c r="K29" s="6"/>
      <c r="L29" t="str">
        <f t="shared" si="70"/>
        <v/>
      </c>
      <c r="M29" t="str">
        <f t="shared" si="71"/>
        <v xml:space="preserve">		public virtual string SupplierPlantCode { get; set; }
</v>
      </c>
      <c r="N29" t="str">
        <f t="shared" si="72"/>
        <v xml:space="preserve">		[StringLength(IF_FQF3MM03Consts.MaxSupplierPlantCodeLength)]
		public virtual string SupplierPlantCode { get; set; }
</v>
      </c>
      <c r="O29" t="str">
        <f t="shared" si="73"/>
        <v xml:space="preserve">		public virtual string SupplierPlantCode { get; set; }
</v>
      </c>
      <c r="P29" t="str">
        <f t="shared" si="74"/>
        <v xml:space="preserve">							SupplierPlantCode = o.SupplierPlantCode,</v>
      </c>
      <c r="T29" s="63" t="str">
        <f t="shared" si="75"/>
        <v xml:space="preserve">								("SupplierPlantCode"),</v>
      </c>
      <c r="V29" s="64" t="str">
        <f t="shared" si="76"/>
        <v xml:space="preserve">								_ =&gt; _.SupplierPlantCode,</v>
      </c>
      <c r="W29" s="63" t="str">
        <f t="shared" si="77"/>
        <v xml:space="preserve">				.WhereIf(!string.IsNullOrWhiteSpace(input.SupplierPlantCode), e =&gt; e.SupplierPlantCode.Contains(input.SupplierPlantCode))</v>
      </c>
    </row>
    <row r="30" spans="1:23" customFormat="1" ht="18.75" customHeight="1" x14ac:dyDescent="0.25">
      <c r="A30" t="s">
        <v>383</v>
      </c>
      <c r="B30" t="s">
        <v>428</v>
      </c>
      <c r="C30" t="s">
        <v>1</v>
      </c>
      <c r="D30" t="str">
        <f t="shared" si="65"/>
        <v>PartQuantity</v>
      </c>
      <c r="E30" t="str">
        <f t="shared" si="66"/>
        <v>varchar</v>
      </c>
      <c r="F30" s="6"/>
      <c r="G30" t="str">
        <f t="shared" si="67"/>
        <v>14</v>
      </c>
      <c r="H30" t="str">
        <f>+VLOOKUP(E30,'Data Type Mapping'!A:B,2,)</f>
        <v>string</v>
      </c>
      <c r="I30" t="str">
        <f t="shared" si="68"/>
        <v xml:space="preserve">		public const int MaxPartQuantityLength = 14;
</v>
      </c>
      <c r="J30" t="str">
        <f t="shared" si="69"/>
        <v xml:space="preserve">		[StringLength(MaxPartQuantityLength)]
		public virtual string PartQuantity { get; set; }
</v>
      </c>
      <c r="K30" s="6"/>
      <c r="L30" t="str">
        <f t="shared" si="70"/>
        <v/>
      </c>
      <c r="M30" t="str">
        <f t="shared" si="71"/>
        <v xml:space="preserve">		public virtual string PartQuantity { get; set; }
</v>
      </c>
      <c r="N30" t="str">
        <f t="shared" si="72"/>
        <v xml:space="preserve">		[StringLength(IF_FQF3MM03Consts.MaxPartQuantityLength)]
		public virtual string PartQuantity { get; set; }
</v>
      </c>
      <c r="O30" t="str">
        <f t="shared" si="73"/>
        <v xml:space="preserve">		public virtual string PartQuantity { get; set; }
</v>
      </c>
      <c r="P30" t="str">
        <f t="shared" si="74"/>
        <v xml:space="preserve">							PartQuantity = o.PartQuantity,</v>
      </c>
      <c r="T30" s="63" t="str">
        <f t="shared" si="75"/>
        <v xml:space="preserve">								("PartQuantity"),</v>
      </c>
      <c r="V30" s="64" t="str">
        <f t="shared" si="76"/>
        <v xml:space="preserve">								_ =&gt; _.PartQuantity,</v>
      </c>
      <c r="W30" s="63" t="str">
        <f t="shared" si="77"/>
        <v xml:space="preserve">				.WhereIf(!string.IsNullOrWhiteSpace(input.PartQuantity), e =&gt; e.PartQuantity.Contains(input.PartQuantity))</v>
      </c>
    </row>
    <row r="31" spans="1:23" customFormat="1" ht="18.75" customHeight="1" x14ac:dyDescent="0.25">
      <c r="A31" t="s">
        <v>384</v>
      </c>
      <c r="B31" t="s">
        <v>429</v>
      </c>
      <c r="C31" t="s">
        <v>1</v>
      </c>
      <c r="D31" t="str">
        <f t="shared" si="65"/>
        <v>UnitBuyingPrice</v>
      </c>
      <c r="E31" t="str">
        <f t="shared" si="66"/>
        <v>varchar</v>
      </c>
      <c r="F31" s="6"/>
      <c r="G31" t="str">
        <f t="shared" si="67"/>
        <v>11</v>
      </c>
      <c r="H31" t="str">
        <f>+VLOOKUP(E31,'Data Type Mapping'!A:B,2,)</f>
        <v>string</v>
      </c>
      <c r="I31" t="str">
        <f t="shared" si="68"/>
        <v xml:space="preserve">		public const int MaxUnitBuyingPriceLength = 11;
</v>
      </c>
      <c r="J31" t="str">
        <f t="shared" si="69"/>
        <v xml:space="preserve">		[StringLength(MaxUnitBuyingPriceLength)]
		public virtual string UnitBuyingPrice { get; set; }
</v>
      </c>
      <c r="K31" s="6"/>
      <c r="L31" t="str">
        <f t="shared" si="70"/>
        <v/>
      </c>
      <c r="M31" t="str">
        <f t="shared" si="71"/>
        <v xml:space="preserve">		public virtual string UnitBuyingPrice { get; set; }
</v>
      </c>
      <c r="N31" t="str">
        <f t="shared" si="72"/>
        <v xml:space="preserve">		[StringLength(IF_FQF3MM03Consts.MaxUnitBuyingPriceLength)]
		public virtual string UnitBuyingPrice { get; set; }
</v>
      </c>
      <c r="O31" t="str">
        <f t="shared" si="73"/>
        <v xml:space="preserve">		public virtual string UnitBuyingPrice { get; set; }
</v>
      </c>
      <c r="P31" t="str">
        <f t="shared" si="74"/>
        <v xml:space="preserve">							UnitBuyingPrice = o.UnitBuyingPrice,</v>
      </c>
      <c r="T31" s="63" t="str">
        <f t="shared" si="75"/>
        <v xml:space="preserve">								("UnitBuyingPrice"),</v>
      </c>
      <c r="V31" s="64" t="str">
        <f t="shared" si="76"/>
        <v xml:space="preserve">								_ =&gt; _.UnitBuyingPrice,</v>
      </c>
      <c r="W31" s="63" t="str">
        <f t="shared" si="77"/>
        <v xml:space="preserve">				.WhereIf(!string.IsNullOrWhiteSpace(input.UnitBuyingPrice), e =&gt; e.UnitBuyingPrice.Contains(input.UnitBuyingPrice))</v>
      </c>
    </row>
    <row r="32" spans="1:23" customFormat="1" ht="18.75" customHeight="1" x14ac:dyDescent="0.25">
      <c r="A32" t="s">
        <v>385</v>
      </c>
      <c r="B32" t="s">
        <v>430</v>
      </c>
      <c r="C32" t="s">
        <v>1</v>
      </c>
      <c r="D32" t="str">
        <f t="shared" si="65"/>
        <v>UnitBuyingAmount</v>
      </c>
      <c r="E32" t="str">
        <f t="shared" si="66"/>
        <v>varchar</v>
      </c>
      <c r="F32" s="6"/>
      <c r="G32" t="str">
        <f t="shared" si="67"/>
        <v>13</v>
      </c>
      <c r="H32" t="str">
        <f>+VLOOKUP(E32,'Data Type Mapping'!A:B,2,)</f>
        <v>string</v>
      </c>
      <c r="I32" t="str">
        <f t="shared" si="68"/>
        <v xml:space="preserve">		public const int MaxUnitBuyingAmountLength = 13;
</v>
      </c>
      <c r="J32" t="str">
        <f t="shared" si="69"/>
        <v xml:space="preserve">		[StringLength(MaxUnitBuyingAmountLength)]
		public virtual string UnitBuyingAmount { get; set; }
</v>
      </c>
      <c r="K32" s="6"/>
      <c r="L32" t="str">
        <f t="shared" si="70"/>
        <v/>
      </c>
      <c r="M32" t="str">
        <f t="shared" si="71"/>
        <v xml:space="preserve">		public virtual string UnitBuyingAmount { get; set; }
</v>
      </c>
      <c r="N32" t="str">
        <f t="shared" si="72"/>
        <v xml:space="preserve">		[StringLength(IF_FQF3MM03Consts.MaxUnitBuyingAmountLength)]
		public virtual string UnitBuyingAmount { get; set; }
</v>
      </c>
      <c r="O32" t="str">
        <f t="shared" si="73"/>
        <v xml:space="preserve">		public virtual string UnitBuyingAmount { get; set; }
</v>
      </c>
      <c r="P32" t="str">
        <f t="shared" si="74"/>
        <v xml:space="preserve">							UnitBuyingAmount = o.UnitBuyingAmount,</v>
      </c>
      <c r="T32" s="63" t="str">
        <f t="shared" si="75"/>
        <v xml:space="preserve">								("UnitBuyingAmount"),</v>
      </c>
      <c r="V32" s="64" t="str">
        <f t="shared" si="76"/>
        <v xml:space="preserve">								_ =&gt; _.UnitBuyingAmount,</v>
      </c>
      <c r="W32" s="63" t="str">
        <f t="shared" si="77"/>
        <v xml:space="preserve">				.WhereIf(!string.IsNullOrWhiteSpace(input.UnitBuyingAmount), e =&gt; e.UnitBuyingAmount.Contains(input.UnitBuyingAmount))</v>
      </c>
    </row>
    <row r="33" spans="1:23" customFormat="1" ht="18.75" customHeight="1" x14ac:dyDescent="0.25">
      <c r="A33" t="s">
        <v>386</v>
      </c>
      <c r="B33" t="s">
        <v>429</v>
      </c>
      <c r="C33" t="s">
        <v>1</v>
      </c>
      <c r="D33" t="str">
        <f t="shared" si="65"/>
        <v>UnitSellingPrice</v>
      </c>
      <c r="E33" t="str">
        <f t="shared" si="66"/>
        <v>varchar</v>
      </c>
      <c r="F33" s="6"/>
      <c r="G33" t="str">
        <f t="shared" si="67"/>
        <v>11</v>
      </c>
      <c r="H33" t="str">
        <f>+VLOOKUP(E33,'Data Type Mapping'!A:B,2,)</f>
        <v>string</v>
      </c>
      <c r="I33" t="str">
        <f t="shared" si="68"/>
        <v xml:space="preserve">		public const int MaxUnitSellingPriceLength = 11;
</v>
      </c>
      <c r="J33" t="str">
        <f t="shared" si="69"/>
        <v xml:space="preserve">		[StringLength(MaxUnitSellingPriceLength)]
		public virtual string UnitSellingPrice { get; set; }
</v>
      </c>
      <c r="K33" s="6"/>
      <c r="L33" t="str">
        <f t="shared" si="70"/>
        <v/>
      </c>
      <c r="M33" t="str">
        <f t="shared" si="71"/>
        <v xml:space="preserve">		public virtual string UnitSellingPrice { get; set; }
</v>
      </c>
      <c r="N33" t="str">
        <f t="shared" si="72"/>
        <v xml:space="preserve">		[StringLength(IF_FQF3MM03Consts.MaxUnitSellingPriceLength)]
		public virtual string UnitSellingPrice { get; set; }
</v>
      </c>
      <c r="O33" t="str">
        <f t="shared" si="73"/>
        <v xml:space="preserve">		public virtual string UnitSellingPrice { get; set; }
</v>
      </c>
      <c r="P33" t="str">
        <f t="shared" si="74"/>
        <v xml:space="preserve">							UnitSellingPrice = o.UnitSellingPrice,</v>
      </c>
      <c r="T33" s="63" t="str">
        <f t="shared" si="75"/>
        <v xml:space="preserve">								("UnitSellingPrice"),</v>
      </c>
      <c r="V33" s="64" t="str">
        <f t="shared" si="76"/>
        <v xml:space="preserve">								_ =&gt; _.UnitSellingPrice,</v>
      </c>
      <c r="W33" s="63" t="str">
        <f t="shared" si="77"/>
        <v xml:space="preserve">				.WhereIf(!string.IsNullOrWhiteSpace(input.UnitSellingPrice), e =&gt; e.UnitSellingPrice.Contains(input.UnitSellingPrice))</v>
      </c>
    </row>
    <row r="34" spans="1:23" customFormat="1" ht="18.75" customHeight="1" x14ac:dyDescent="0.25">
      <c r="A34" t="s">
        <v>387</v>
      </c>
      <c r="B34" t="s">
        <v>430</v>
      </c>
      <c r="C34" t="s">
        <v>1</v>
      </c>
      <c r="D34" t="str">
        <f t="shared" si="65"/>
        <v>UnitSellingAmount</v>
      </c>
      <c r="E34" t="str">
        <f t="shared" si="66"/>
        <v>varchar</v>
      </c>
      <c r="F34" s="6"/>
      <c r="G34" t="str">
        <f t="shared" si="67"/>
        <v>13</v>
      </c>
      <c r="H34" t="str">
        <f>+VLOOKUP(E34,'Data Type Mapping'!A:B,2,)</f>
        <v>string</v>
      </c>
      <c r="I34" t="str">
        <f t="shared" si="68"/>
        <v xml:space="preserve">		public const int MaxUnitSellingAmountLength = 13;
</v>
      </c>
      <c r="J34" t="str">
        <f t="shared" si="69"/>
        <v xml:space="preserve">		[StringLength(MaxUnitSellingAmountLength)]
		public virtual string UnitSellingAmount { get; set; }
</v>
      </c>
      <c r="K34" s="6"/>
      <c r="L34" t="str">
        <f t="shared" si="70"/>
        <v/>
      </c>
      <c r="M34" t="str">
        <f t="shared" si="71"/>
        <v xml:space="preserve">		public virtual string UnitSellingAmount { get; set; }
</v>
      </c>
      <c r="N34" t="str">
        <f t="shared" si="72"/>
        <v xml:space="preserve">		[StringLength(IF_FQF3MM03Consts.MaxUnitSellingAmountLength)]
		public virtual string UnitSellingAmount { get; set; }
</v>
      </c>
      <c r="O34" t="str">
        <f t="shared" si="73"/>
        <v xml:space="preserve">		public virtual string UnitSellingAmount { get; set; }
</v>
      </c>
      <c r="P34" t="str">
        <f t="shared" si="74"/>
        <v xml:space="preserve">							UnitSellingAmount = o.UnitSellingAmount,</v>
      </c>
      <c r="T34" s="63" t="str">
        <f t="shared" si="75"/>
        <v xml:space="preserve">								("UnitSellingAmount"),</v>
      </c>
      <c r="V34" s="64" t="str">
        <f t="shared" si="76"/>
        <v xml:space="preserve">								_ =&gt; _.UnitSellingAmount,</v>
      </c>
      <c r="W34" s="63" t="str">
        <f t="shared" si="77"/>
        <v xml:space="preserve">				.WhereIf(!string.IsNullOrWhiteSpace(input.UnitSellingAmount), e =&gt; e.UnitSellingAmount.Contains(input.UnitSellingAmount))</v>
      </c>
    </row>
    <row r="35" spans="1:23" customFormat="1" ht="18.75" customHeight="1" x14ac:dyDescent="0.25">
      <c r="A35" t="s">
        <v>388</v>
      </c>
      <c r="B35" t="s">
        <v>423</v>
      </c>
      <c r="C35" t="s">
        <v>1</v>
      </c>
      <c r="D35" t="str">
        <f t="shared" si="65"/>
        <v>PriceStatus</v>
      </c>
      <c r="E35" t="str">
        <f t="shared" si="66"/>
        <v>varchar</v>
      </c>
      <c r="F35" s="6"/>
      <c r="G35" t="str">
        <f t="shared" si="67"/>
        <v>1</v>
      </c>
      <c r="H35" t="str">
        <f>+VLOOKUP(E35,'Data Type Mapping'!A:B,2,)</f>
        <v>string</v>
      </c>
      <c r="I35" t="str">
        <f t="shared" si="68"/>
        <v xml:space="preserve">		public const int MaxPriceStatusLength = 1;
</v>
      </c>
      <c r="J35" t="str">
        <f t="shared" si="69"/>
        <v xml:space="preserve">		[StringLength(MaxPriceStatusLength)]
		public virtual string PriceStatus { get; set; }
</v>
      </c>
      <c r="K35" s="6"/>
      <c r="L35" t="str">
        <f t="shared" si="70"/>
        <v/>
      </c>
      <c r="M35" t="str">
        <f t="shared" si="71"/>
        <v xml:space="preserve">		public virtual string PriceStatus { get; set; }
</v>
      </c>
      <c r="N35" t="str">
        <f t="shared" si="72"/>
        <v xml:space="preserve">		[StringLength(IF_FQF3MM03Consts.MaxPriceStatusLength)]
		public virtual string PriceStatus { get; set; }
</v>
      </c>
      <c r="O35" t="str">
        <f t="shared" si="73"/>
        <v xml:space="preserve">		public virtual string PriceStatus { get; set; }
</v>
      </c>
      <c r="P35" t="str">
        <f t="shared" si="74"/>
        <v xml:space="preserve">							PriceStatus = o.PriceStatus,</v>
      </c>
      <c r="T35" s="63" t="str">
        <f t="shared" si="75"/>
        <v xml:space="preserve">								("PriceStatus"),</v>
      </c>
      <c r="V35" s="64" t="str">
        <f t="shared" si="76"/>
        <v xml:space="preserve">								_ =&gt; _.PriceStatus,</v>
      </c>
      <c r="W35" s="63" t="str">
        <f t="shared" si="77"/>
        <v xml:space="preserve">				.WhereIf(!string.IsNullOrWhiteSpace(input.PriceStatus), e =&gt; e.PriceStatus.Contains(input.PriceStatus))</v>
      </c>
    </row>
    <row r="36" spans="1:23" customFormat="1" ht="18.75" customHeight="1" x14ac:dyDescent="0.25">
      <c r="A36" t="s">
        <v>389</v>
      </c>
      <c r="B36" t="s">
        <v>430</v>
      </c>
      <c r="C36" t="s">
        <v>1</v>
      </c>
      <c r="D36" t="str">
        <f t="shared" si="65"/>
        <v>TotalAmount</v>
      </c>
      <c r="E36" t="str">
        <f t="shared" si="66"/>
        <v>varchar</v>
      </c>
      <c r="F36" s="6"/>
      <c r="G36" t="str">
        <f t="shared" si="67"/>
        <v>13</v>
      </c>
      <c r="H36" t="str">
        <f>+VLOOKUP(E36,'Data Type Mapping'!A:B,2,)</f>
        <v>string</v>
      </c>
      <c r="I36" t="str">
        <f t="shared" si="68"/>
        <v xml:space="preserve">		public const int MaxTotalAmountLength = 13;
</v>
      </c>
      <c r="J36" t="str">
        <f t="shared" si="69"/>
        <v xml:space="preserve">		[StringLength(MaxTotalAmountLength)]
		public virtual string TotalAmount { get; set; }
</v>
      </c>
      <c r="K36" s="6"/>
      <c r="L36" t="str">
        <f t="shared" si="70"/>
        <v/>
      </c>
      <c r="M36" t="str">
        <f t="shared" si="71"/>
        <v xml:space="preserve">		public virtual string TotalAmount { get; set; }
</v>
      </c>
      <c r="N36" t="str">
        <f t="shared" si="72"/>
        <v xml:space="preserve">		[StringLength(IF_FQF3MM03Consts.MaxTotalAmountLength)]
		public virtual string TotalAmount { get; set; }
</v>
      </c>
      <c r="O36" t="str">
        <f t="shared" si="73"/>
        <v xml:space="preserve">		public virtual string TotalAmount { get; set; }
</v>
      </c>
      <c r="P36" t="str">
        <f t="shared" si="74"/>
        <v xml:space="preserve">							TotalAmount = o.TotalAmount,</v>
      </c>
      <c r="T36" s="63" t="str">
        <f t="shared" si="75"/>
        <v xml:space="preserve">								("TotalAmount"),</v>
      </c>
      <c r="V36" s="64" t="str">
        <f t="shared" si="76"/>
        <v xml:space="preserve">								_ =&gt; _.TotalAmount,</v>
      </c>
      <c r="W36" s="63" t="str">
        <f t="shared" si="77"/>
        <v xml:space="preserve">				.WhereIf(!string.IsNullOrWhiteSpace(input.TotalAmount), e =&gt; e.TotalAmount.Contains(input.TotalAmount))</v>
      </c>
    </row>
    <row r="37" spans="1:23" customFormat="1" ht="18.75" customHeight="1" x14ac:dyDescent="0.25">
      <c r="A37" t="s">
        <v>390</v>
      </c>
      <c r="B37" t="s">
        <v>430</v>
      </c>
      <c r="C37" t="s">
        <v>1</v>
      </c>
      <c r="D37" t="str">
        <f t="shared" si="65"/>
        <v>VatAmount</v>
      </c>
      <c r="E37" t="str">
        <f t="shared" si="66"/>
        <v>varchar</v>
      </c>
      <c r="F37" s="6"/>
      <c r="G37" t="str">
        <f t="shared" si="67"/>
        <v>13</v>
      </c>
      <c r="H37" t="str">
        <f>+VLOOKUP(E37,'Data Type Mapping'!A:B,2,)</f>
        <v>string</v>
      </c>
      <c r="I37" t="str">
        <f t="shared" si="68"/>
        <v xml:space="preserve">		public const int MaxVatAmountLength = 13;
</v>
      </c>
      <c r="J37" t="str">
        <f t="shared" si="69"/>
        <v xml:space="preserve">		[StringLength(MaxVatAmountLength)]
		public virtual string VatAmount { get; set; }
</v>
      </c>
      <c r="K37" s="6"/>
      <c r="L37" t="str">
        <f t="shared" si="70"/>
        <v/>
      </c>
      <c r="M37" t="str">
        <f t="shared" si="71"/>
        <v xml:space="preserve">		public virtual string VatAmount { get; set; }
</v>
      </c>
      <c r="N37" t="str">
        <f t="shared" si="72"/>
        <v xml:space="preserve">		[StringLength(IF_FQF3MM03Consts.MaxVatAmountLength)]
		public virtual string VatAmount { get; set; }
</v>
      </c>
      <c r="O37" t="str">
        <f t="shared" si="73"/>
        <v xml:space="preserve">		public virtual string VatAmount { get; set; }
</v>
      </c>
      <c r="P37" t="str">
        <f t="shared" si="74"/>
        <v xml:space="preserve">							VatAmount = o.VatAmount,</v>
      </c>
      <c r="T37" s="63" t="str">
        <f t="shared" si="75"/>
        <v xml:space="preserve">								("VatAmount"),</v>
      </c>
      <c r="V37" s="64" t="str">
        <f t="shared" si="76"/>
        <v xml:space="preserve">								_ =&gt; _.VatAmount,</v>
      </c>
      <c r="W37" s="63" t="str">
        <f t="shared" si="77"/>
        <v xml:space="preserve">				.WhereIf(!string.IsNullOrWhiteSpace(input.VatAmount), e =&gt; e.VatAmount.Contains(input.VatAmount))</v>
      </c>
    </row>
    <row r="38" spans="1:23" customFormat="1" ht="18.75" customHeight="1" x14ac:dyDescent="0.25">
      <c r="A38" t="s">
        <v>391</v>
      </c>
      <c r="B38" t="s">
        <v>424</v>
      </c>
      <c r="C38" t="s">
        <v>1</v>
      </c>
      <c r="D38" t="str">
        <f t="shared" si="65"/>
        <v>VatCode</v>
      </c>
      <c r="E38" t="str">
        <f t="shared" si="66"/>
        <v>varchar</v>
      </c>
      <c r="F38" s="6"/>
      <c r="G38" t="str">
        <f t="shared" si="67"/>
        <v>5</v>
      </c>
      <c r="H38" t="str">
        <f>+VLOOKUP(E38,'Data Type Mapping'!A:B,2,)</f>
        <v>string</v>
      </c>
      <c r="I38" t="str">
        <f t="shared" si="68"/>
        <v xml:space="preserve">		public const int MaxVatCodeLength = 5;
</v>
      </c>
      <c r="J38" t="str">
        <f t="shared" si="69"/>
        <v xml:space="preserve">		[StringLength(MaxVatCodeLength)]
		public virtual string VatCode { get; set; }
</v>
      </c>
      <c r="K38" s="6"/>
      <c r="L38" t="str">
        <f t="shared" si="70"/>
        <v/>
      </c>
      <c r="M38" t="str">
        <f t="shared" si="71"/>
        <v xml:space="preserve">		public virtual string VatCode { get; set; }
</v>
      </c>
      <c r="N38" t="str">
        <f t="shared" si="72"/>
        <v xml:space="preserve">		[StringLength(IF_FQF3MM03Consts.MaxVatCodeLength)]
		public virtual string VatCode { get; set; }
</v>
      </c>
      <c r="O38" t="str">
        <f t="shared" si="73"/>
        <v xml:space="preserve">		public virtual string VatCode { get; set; }
</v>
      </c>
      <c r="P38" t="str">
        <f t="shared" si="74"/>
        <v xml:space="preserve">							VatCode = o.VatCode,</v>
      </c>
      <c r="T38" s="63" t="str">
        <f t="shared" si="75"/>
        <v xml:space="preserve">								("VatCode"),</v>
      </c>
      <c r="V38" s="64" t="str">
        <f t="shared" si="76"/>
        <v xml:space="preserve">								_ =&gt; _.VatCode,</v>
      </c>
      <c r="W38" s="63" t="str">
        <f t="shared" si="77"/>
        <v xml:space="preserve">				.WhereIf(!string.IsNullOrWhiteSpace(input.VatCode), e =&gt; e.VatCode.Contains(input.VatCode))</v>
      </c>
    </row>
    <row r="39" spans="1:23" customFormat="1" ht="18.75" customHeight="1" x14ac:dyDescent="0.25">
      <c r="A39" t="s">
        <v>392</v>
      </c>
      <c r="B39" t="s">
        <v>419</v>
      </c>
      <c r="C39" t="s">
        <v>1</v>
      </c>
      <c r="D39" t="str">
        <f t="shared" si="52"/>
        <v>PaymentTerm</v>
      </c>
      <c r="E39" t="str">
        <f t="shared" si="53"/>
        <v>varchar</v>
      </c>
      <c r="F39" s="6"/>
      <c r="G39" t="str">
        <f t="shared" si="54"/>
        <v>4</v>
      </c>
      <c r="H39" t="str">
        <f>+VLOOKUP(E39,'Data Type Mapping'!A:B,2,)</f>
        <v>string</v>
      </c>
      <c r="I39" t="str">
        <f t="shared" si="55"/>
        <v xml:space="preserve">		public const int MaxPaymentTermLength = 4;
</v>
      </c>
      <c r="J39" t="str">
        <f t="shared" si="56"/>
        <v xml:space="preserve">		[StringLength(MaxPaymentTermLength)]
		public virtual string PaymentTerm { get; set; }
</v>
      </c>
      <c r="K39" s="6"/>
      <c r="L39" t="str">
        <f t="shared" si="57"/>
        <v/>
      </c>
      <c r="M39" t="str">
        <f t="shared" si="58"/>
        <v xml:space="preserve">		public virtual string PaymentTerm { get; set; }
</v>
      </c>
      <c r="N39" t="str">
        <f t="shared" si="59"/>
        <v xml:space="preserve">		[StringLength(IF_FQF3MM03Consts.MaxPaymentTermLength)]
		public virtual string PaymentTerm { get; set; }
</v>
      </c>
      <c r="O39" t="str">
        <f t="shared" si="60"/>
        <v xml:space="preserve">		public virtual string PaymentTerm { get; set; }
</v>
      </c>
      <c r="P39" t="str">
        <f t="shared" si="61"/>
        <v xml:space="preserve">							PaymentTerm = o.PaymentTerm,</v>
      </c>
      <c r="T39" s="63" t="str">
        <f t="shared" si="62"/>
        <v xml:space="preserve">								("PaymentTerm"),</v>
      </c>
      <c r="V39" s="64" t="str">
        <f t="shared" si="63"/>
        <v xml:space="preserve">								_ =&gt; _.PaymentTerm,</v>
      </c>
      <c r="W39" s="63" t="str">
        <f t="shared" si="64"/>
        <v xml:space="preserve">				.WhereIf(!string.IsNullOrWhiteSpace(input.PaymentTerm), e =&gt; e.PaymentTerm.Contains(input.PaymentTerm))</v>
      </c>
    </row>
    <row r="40" spans="1:23" customFormat="1" ht="18.75" customHeight="1" x14ac:dyDescent="0.25">
      <c r="A40" t="s">
        <v>393</v>
      </c>
      <c r="B40" t="s">
        <v>423</v>
      </c>
      <c r="C40" t="s">
        <v>1</v>
      </c>
      <c r="D40" t="str">
        <f t="shared" si="52"/>
        <v>ReasonCode</v>
      </c>
      <c r="E40" t="str">
        <f t="shared" si="53"/>
        <v>varchar</v>
      </c>
      <c r="F40" s="6"/>
      <c r="G40" t="str">
        <f t="shared" si="54"/>
        <v>1</v>
      </c>
      <c r="H40" t="str">
        <f>+VLOOKUP(E40,'Data Type Mapping'!A:B,2,)</f>
        <v>string</v>
      </c>
      <c r="I40" t="str">
        <f t="shared" si="55"/>
        <v xml:space="preserve">		public const int MaxReasonCodeLength = 1;
</v>
      </c>
      <c r="J40" t="str">
        <f t="shared" si="56"/>
        <v xml:space="preserve">		[StringLength(MaxReasonCodeLength)]
		public virtual string ReasonCode { get; set; }
</v>
      </c>
      <c r="K40" s="6"/>
      <c r="L40" t="str">
        <f t="shared" si="57"/>
        <v/>
      </c>
      <c r="M40" t="str">
        <f t="shared" si="58"/>
        <v xml:space="preserve">		public virtual string ReasonCode { get; set; }
</v>
      </c>
      <c r="N40" t="str">
        <f t="shared" si="59"/>
        <v xml:space="preserve">		[StringLength(IF_FQF3MM03Consts.MaxReasonCodeLength)]
		public virtual string ReasonCode { get; set; }
</v>
      </c>
      <c r="O40" t="str">
        <f t="shared" si="60"/>
        <v xml:space="preserve">		public virtual string ReasonCode { get; set; }
</v>
      </c>
      <c r="P40" t="str">
        <f t="shared" si="61"/>
        <v xml:space="preserve">							ReasonCode = o.ReasonCode,</v>
      </c>
      <c r="T40" s="63" t="str">
        <f t="shared" si="62"/>
        <v xml:space="preserve">								("ReasonCode"),</v>
      </c>
      <c r="V40" s="64" t="str">
        <f t="shared" si="63"/>
        <v xml:space="preserve">								_ =&gt; _.ReasonCode,</v>
      </c>
      <c r="W40" s="63" t="str">
        <f t="shared" si="64"/>
        <v xml:space="preserve">				.WhereIf(!string.IsNullOrWhiteSpace(input.ReasonCode), e =&gt; e.ReasonCode.Contains(input.ReasonCode))</v>
      </c>
    </row>
    <row r="41" spans="1:23" customFormat="1" ht="18.75" customHeight="1" x14ac:dyDescent="0.25">
      <c r="A41" t="s">
        <v>394</v>
      </c>
      <c r="B41" t="s">
        <v>423</v>
      </c>
      <c r="C41" t="s">
        <v>1</v>
      </c>
      <c r="D41" t="str">
        <f t="shared" si="52"/>
        <v>MarkCode</v>
      </c>
      <c r="E41" t="str">
        <f t="shared" si="53"/>
        <v>varchar</v>
      </c>
      <c r="F41" s="6"/>
      <c r="G41" t="str">
        <f t="shared" si="54"/>
        <v>1</v>
      </c>
      <c r="H41" t="str">
        <f>+VLOOKUP(E41,'Data Type Mapping'!A:B,2,)</f>
        <v>string</v>
      </c>
      <c r="I41" t="str">
        <f t="shared" si="55"/>
        <v xml:space="preserve">		public const int MaxMarkCodeLength = 1;
</v>
      </c>
      <c r="J41" t="str">
        <f t="shared" si="56"/>
        <v xml:space="preserve">		[StringLength(MaxMarkCodeLength)]
		public virtual string MarkCode { get; set; }
</v>
      </c>
      <c r="K41" s="6"/>
      <c r="L41" t="str">
        <f t="shared" si="57"/>
        <v/>
      </c>
      <c r="M41" t="str">
        <f t="shared" si="58"/>
        <v xml:space="preserve">		public virtual string MarkCode { get; set; }
</v>
      </c>
      <c r="N41" t="str">
        <f t="shared" si="59"/>
        <v xml:space="preserve">		[StringLength(IF_FQF3MM03Consts.MaxMarkCodeLength)]
		public virtual string MarkCode { get; set; }
</v>
      </c>
      <c r="O41" t="str">
        <f t="shared" si="60"/>
        <v xml:space="preserve">		public virtual string MarkCode { get; set; }
</v>
      </c>
      <c r="P41" t="str">
        <f t="shared" si="61"/>
        <v xml:space="preserve">							MarkCode = o.MarkCode,</v>
      </c>
      <c r="T41" s="63" t="str">
        <f t="shared" si="62"/>
        <v xml:space="preserve">								("MarkCode"),</v>
      </c>
      <c r="V41" s="64" t="str">
        <f t="shared" si="63"/>
        <v xml:space="preserve">								_ =&gt; _.MarkCode,</v>
      </c>
      <c r="W41" s="63" t="str">
        <f t="shared" si="64"/>
        <v xml:space="preserve">				.WhereIf(!string.IsNullOrWhiteSpace(input.MarkCode), e =&gt; e.MarkCode.Contains(input.MarkCode))</v>
      </c>
    </row>
    <row r="42" spans="1:23" customFormat="1" ht="18.75" customHeight="1" x14ac:dyDescent="0.25">
      <c r="A42" t="s">
        <v>395</v>
      </c>
      <c r="B42" t="s">
        <v>423</v>
      </c>
      <c r="C42" t="s">
        <v>1</v>
      </c>
      <c r="D42" t="str">
        <f t="shared" si="52"/>
        <v>SignCode</v>
      </c>
      <c r="E42" t="str">
        <f t="shared" si="53"/>
        <v>varchar</v>
      </c>
      <c r="F42" s="6"/>
      <c r="G42" t="str">
        <f t="shared" si="54"/>
        <v>1</v>
      </c>
      <c r="H42" t="str">
        <f>+VLOOKUP(E42,'Data Type Mapping'!A:B,2,)</f>
        <v>string</v>
      </c>
      <c r="I42" t="str">
        <f t="shared" si="55"/>
        <v xml:space="preserve">		public const int MaxSignCodeLength = 1;
</v>
      </c>
      <c r="J42" t="str">
        <f t="shared" si="56"/>
        <v xml:space="preserve">		[StringLength(MaxSignCodeLength)]
		public virtual string SignCode { get; set; }
</v>
      </c>
      <c r="K42" s="6"/>
      <c r="L42" t="str">
        <f t="shared" si="57"/>
        <v/>
      </c>
      <c r="M42" t="str">
        <f t="shared" si="58"/>
        <v xml:space="preserve">		public virtual string SignCode { get; set; }
</v>
      </c>
      <c r="N42" t="str">
        <f t="shared" si="59"/>
        <v xml:space="preserve">		[StringLength(IF_FQF3MM03Consts.MaxSignCodeLength)]
		public virtual string SignCode { get; set; }
</v>
      </c>
      <c r="O42" t="str">
        <f t="shared" si="60"/>
        <v xml:space="preserve">		public virtual string SignCode { get; set; }
</v>
      </c>
      <c r="P42" t="str">
        <f t="shared" si="61"/>
        <v xml:space="preserve">							SignCode = o.SignCode,</v>
      </c>
      <c r="T42" s="63" t="str">
        <f t="shared" si="62"/>
        <v xml:space="preserve">								("SignCode"),</v>
      </c>
      <c r="V42" s="64" t="str">
        <f t="shared" si="63"/>
        <v xml:space="preserve">								_ =&gt; _.SignCode,</v>
      </c>
      <c r="W42" s="63" t="str">
        <f t="shared" si="64"/>
        <v xml:space="preserve">				.WhereIf(!string.IsNullOrWhiteSpace(input.SignCode), e =&gt; e.SignCode.Contains(input.SignCode))</v>
      </c>
    </row>
    <row r="43" spans="1:23" customFormat="1" ht="18.75" customHeight="1" x14ac:dyDescent="0.25">
      <c r="A43" t="s">
        <v>357</v>
      </c>
      <c r="B43" t="s">
        <v>423</v>
      </c>
      <c r="C43" t="s">
        <v>1</v>
      </c>
      <c r="D43" t="str">
        <f t="shared" si="52"/>
        <v>CancelFlag</v>
      </c>
      <c r="E43" t="str">
        <f t="shared" si="53"/>
        <v>varchar</v>
      </c>
      <c r="F43" s="6"/>
      <c r="G43" t="str">
        <f t="shared" si="54"/>
        <v>1</v>
      </c>
      <c r="H43" t="str">
        <f>+VLOOKUP(E43,'Data Type Mapping'!A:B,2,)</f>
        <v>string</v>
      </c>
      <c r="I43" t="str">
        <f t="shared" si="55"/>
        <v xml:space="preserve">		public const int MaxCancelFlagLength = 1;
</v>
      </c>
      <c r="J43" t="str">
        <f t="shared" si="56"/>
        <v xml:space="preserve">		[StringLength(MaxCancelFlagLength)]
		public virtual string CancelFlag { get; set; }
</v>
      </c>
      <c r="K43" s="6"/>
      <c r="L43" t="str">
        <f t="shared" si="57"/>
        <v/>
      </c>
      <c r="M43" t="str">
        <f t="shared" si="58"/>
        <v xml:space="preserve">		public virtual string CancelFlag { get; set; }
</v>
      </c>
      <c r="N43" t="str">
        <f t="shared" si="59"/>
        <v xml:space="preserve">		[StringLength(IF_FQF3MM03Consts.MaxCancelFlagLength)]
		public virtual string CancelFlag { get; set; }
</v>
      </c>
      <c r="O43" t="str">
        <f t="shared" si="60"/>
        <v xml:space="preserve">		public virtual string CancelFlag { get; set; }
</v>
      </c>
      <c r="P43" t="str">
        <f t="shared" si="61"/>
        <v xml:space="preserve">							CancelFlag = o.CancelFlag,</v>
      </c>
      <c r="T43" s="63" t="str">
        <f t="shared" si="62"/>
        <v xml:space="preserve">								("CancelFlag"),</v>
      </c>
      <c r="V43" s="64" t="str">
        <f t="shared" si="63"/>
        <v xml:space="preserve">								_ =&gt; _.CancelFlag,</v>
      </c>
      <c r="W43" s="63" t="str">
        <f t="shared" si="64"/>
        <v xml:space="preserve">				.WhereIf(!string.IsNullOrWhiteSpace(input.CancelFlag), e =&gt; e.CancelFlag.Contains(input.CancelFlag))</v>
      </c>
    </row>
    <row r="44" spans="1:23" customFormat="1" ht="18.75" customHeight="1" x14ac:dyDescent="0.25">
      <c r="A44" t="s">
        <v>396</v>
      </c>
      <c r="B44" t="s">
        <v>431</v>
      </c>
      <c r="C44" t="s">
        <v>1</v>
      </c>
      <c r="D44" t="str">
        <f t="shared" si="52"/>
        <v>SupplierInvoiceNo</v>
      </c>
      <c r="E44" t="str">
        <f t="shared" si="53"/>
        <v>varchar</v>
      </c>
      <c r="F44" s="6"/>
      <c r="G44" t="str">
        <f t="shared" si="54"/>
        <v>16</v>
      </c>
      <c r="H44" t="str">
        <f>+VLOOKUP(E44,'Data Type Mapping'!A:B,2,)</f>
        <v>string</v>
      </c>
      <c r="I44" t="str">
        <f t="shared" si="55"/>
        <v xml:space="preserve">		public const int MaxSupplierInvoiceNoLength = 16;
</v>
      </c>
      <c r="J44" t="str">
        <f t="shared" si="56"/>
        <v xml:space="preserve">		[StringLength(MaxSupplierInvoiceNoLength)]
		public virtual string SupplierInvoiceNo { get; set; }
</v>
      </c>
      <c r="K44" s="6"/>
      <c r="L44" t="str">
        <f t="shared" si="57"/>
        <v/>
      </c>
      <c r="M44" t="str">
        <f t="shared" si="58"/>
        <v xml:space="preserve">		public virtual string SupplierInvoiceNo { get; set; }
</v>
      </c>
      <c r="N44" t="str">
        <f t="shared" si="59"/>
        <v xml:space="preserve">		[StringLength(IF_FQF3MM03Consts.MaxSupplierInvoiceNoLength)]
		public virtual string SupplierInvoiceNo { get; set; }
</v>
      </c>
      <c r="O44" t="str">
        <f t="shared" si="60"/>
        <v xml:space="preserve">		public virtual string SupplierInvoiceNo { get; set; }
</v>
      </c>
      <c r="P44" t="str">
        <f t="shared" si="61"/>
        <v xml:space="preserve">							SupplierInvoiceNo = o.SupplierInvoiceNo,</v>
      </c>
      <c r="T44" s="63" t="str">
        <f t="shared" si="62"/>
        <v xml:space="preserve">								("SupplierInvoiceNo"),</v>
      </c>
      <c r="V44" s="64" t="str">
        <f t="shared" si="63"/>
        <v xml:space="preserve">								_ =&gt; _.SupplierInvoiceNo,</v>
      </c>
      <c r="W44" s="63" t="str">
        <f t="shared" si="64"/>
        <v xml:space="preserve">				.WhereIf(!string.IsNullOrWhiteSpace(input.SupplierInvoiceNo), e =&gt; e.SupplierInvoiceNo.Contains(input.SupplierInvoiceNo))</v>
      </c>
    </row>
    <row r="45" spans="1:23" customFormat="1" ht="18.75" customHeight="1" x14ac:dyDescent="0.25">
      <c r="A45" t="s">
        <v>397</v>
      </c>
      <c r="B45" t="s">
        <v>432</v>
      </c>
      <c r="C45" t="s">
        <v>1</v>
      </c>
      <c r="D45" t="str">
        <f t="shared" si="52"/>
        <v>TopasSmrNo</v>
      </c>
      <c r="E45" t="str">
        <f t="shared" si="53"/>
        <v>varchar</v>
      </c>
      <c r="F45" s="6"/>
      <c r="G45" t="str">
        <f t="shared" si="54"/>
        <v>9</v>
      </c>
      <c r="H45" t="str">
        <f>+VLOOKUP(E45,'Data Type Mapping'!A:B,2,)</f>
        <v>string</v>
      </c>
      <c r="I45" t="str">
        <f t="shared" si="55"/>
        <v xml:space="preserve">		public const int MaxTopasSmrNoLength = 9;
</v>
      </c>
      <c r="J45" t="str">
        <f t="shared" si="56"/>
        <v xml:space="preserve">		[StringLength(MaxTopasSmrNoLength)]
		public virtual string TopasSmrNo { get; set; }
</v>
      </c>
      <c r="K45" s="6"/>
      <c r="L45" t="str">
        <f t="shared" si="57"/>
        <v/>
      </c>
      <c r="M45" t="str">
        <f t="shared" si="58"/>
        <v xml:space="preserve">		public virtual string TopasSmrNo { get; set; }
</v>
      </c>
      <c r="N45" t="str">
        <f t="shared" si="59"/>
        <v xml:space="preserve">		[StringLength(IF_FQF3MM03Consts.MaxTopasSmrNoLength)]
		public virtual string TopasSmrNo { get; set; }
</v>
      </c>
      <c r="O45" t="str">
        <f t="shared" si="60"/>
        <v xml:space="preserve">		public virtual string TopasSmrNo { get; set; }
</v>
      </c>
      <c r="P45" t="str">
        <f t="shared" si="61"/>
        <v xml:space="preserve">							TopasSmrNo = o.TopasSmrNo,</v>
      </c>
      <c r="T45" s="63" t="str">
        <f t="shared" si="62"/>
        <v xml:space="preserve">								("TopasSmrNo"),</v>
      </c>
      <c r="V45" s="64" t="str">
        <f t="shared" si="63"/>
        <v xml:space="preserve">								_ =&gt; _.TopasSmrNo,</v>
      </c>
      <c r="W45" s="63" t="str">
        <f t="shared" si="64"/>
        <v xml:space="preserve">				.WhereIf(!string.IsNullOrWhiteSpace(input.TopasSmrNo), e =&gt; e.TopasSmrNo.Contains(input.TopasSmrNo))</v>
      </c>
    </row>
    <row r="46" spans="1:23" customFormat="1" ht="18.75" customHeight="1" x14ac:dyDescent="0.25">
      <c r="A46" t="s">
        <v>398</v>
      </c>
      <c r="B46" t="s">
        <v>419</v>
      </c>
      <c r="C46" t="s">
        <v>1</v>
      </c>
      <c r="D46" t="str">
        <f t="shared" si="52"/>
        <v>TopasSmrItemNo</v>
      </c>
      <c r="E46" t="str">
        <f t="shared" si="53"/>
        <v>varchar</v>
      </c>
      <c r="F46" s="6"/>
      <c r="G46" t="str">
        <f t="shared" si="54"/>
        <v>4</v>
      </c>
      <c r="H46" t="str">
        <f>+VLOOKUP(E46,'Data Type Mapping'!A:B,2,)</f>
        <v>string</v>
      </c>
      <c r="I46" t="str">
        <f t="shared" si="55"/>
        <v xml:space="preserve">		public const int MaxTopasSmrItemNoLength = 4;
</v>
      </c>
      <c r="J46" t="str">
        <f t="shared" si="56"/>
        <v xml:space="preserve">		[StringLength(MaxTopasSmrItemNoLength)]
		public virtual string TopasSmrItemNo { get; set; }
</v>
      </c>
      <c r="K46" s="6"/>
      <c r="L46" t="str">
        <f t="shared" si="57"/>
        <v/>
      </c>
      <c r="M46" t="str">
        <f t="shared" si="58"/>
        <v xml:space="preserve">		public virtual string TopasSmrItemNo { get; set; }
</v>
      </c>
      <c r="N46" t="str">
        <f t="shared" si="59"/>
        <v xml:space="preserve">		[StringLength(IF_FQF3MM03Consts.MaxTopasSmrItemNoLength)]
		public virtual string TopasSmrItemNo { get; set; }
</v>
      </c>
      <c r="O46" t="str">
        <f t="shared" si="60"/>
        <v xml:space="preserve">		public virtual string TopasSmrItemNo { get; set; }
</v>
      </c>
      <c r="P46" t="str">
        <f t="shared" si="61"/>
        <v xml:space="preserve">							TopasSmrItemNo = o.TopasSmrItemNo,</v>
      </c>
      <c r="T46" s="63" t="str">
        <f t="shared" si="62"/>
        <v xml:space="preserve">								("TopasSmrItemNo"),</v>
      </c>
      <c r="V46" s="64" t="str">
        <f t="shared" si="63"/>
        <v xml:space="preserve">								_ =&gt; _.TopasSmrItemNo,</v>
      </c>
      <c r="W46" s="63" t="str">
        <f t="shared" si="64"/>
        <v xml:space="preserve">				.WhereIf(!string.IsNullOrWhiteSpace(input.TopasSmrItemNo), e =&gt; e.TopasSmrItemNo.Contains(input.TopasSmrItemNo))</v>
      </c>
    </row>
    <row r="47" spans="1:23" customFormat="1" ht="18.75" customHeight="1" x14ac:dyDescent="0.25">
      <c r="A47" t="s">
        <v>399</v>
      </c>
      <c r="B47" t="s">
        <v>427</v>
      </c>
      <c r="C47" t="s">
        <v>1</v>
      </c>
      <c r="D47" t="str">
        <f t="shared" si="52"/>
        <v>CustomerBranch</v>
      </c>
      <c r="E47" t="str">
        <f t="shared" si="53"/>
        <v>varchar</v>
      </c>
      <c r="F47" s="6"/>
      <c r="G47" t="str">
        <f t="shared" si="54"/>
        <v>40</v>
      </c>
      <c r="H47" t="str">
        <f>+VLOOKUP(E47,'Data Type Mapping'!A:B,2,)</f>
        <v>string</v>
      </c>
      <c r="I47" t="str">
        <f t="shared" si="55"/>
        <v xml:space="preserve">		public const int MaxCustomerBranchLength = 40;
</v>
      </c>
      <c r="J47" t="str">
        <f t="shared" si="56"/>
        <v xml:space="preserve">		[StringLength(MaxCustomerBranchLength)]
		public virtual string CustomerBranch { get; set; }
</v>
      </c>
      <c r="K47" s="6"/>
      <c r="L47" t="str">
        <f t="shared" si="57"/>
        <v/>
      </c>
      <c r="M47" t="str">
        <f t="shared" si="58"/>
        <v xml:space="preserve">		public virtual string CustomerBranch { get; set; }
</v>
      </c>
      <c r="N47" t="str">
        <f t="shared" si="59"/>
        <v xml:space="preserve">		[StringLength(IF_FQF3MM03Consts.MaxCustomerBranchLength)]
		public virtual string CustomerBranch { get; set; }
</v>
      </c>
      <c r="O47" t="str">
        <f t="shared" si="60"/>
        <v xml:space="preserve">		public virtual string CustomerBranch { get; set; }
</v>
      </c>
      <c r="P47" t="str">
        <f t="shared" si="61"/>
        <v xml:space="preserve">							CustomerBranch = o.CustomerBranch,</v>
      </c>
      <c r="T47" s="63" t="str">
        <f t="shared" si="62"/>
        <v xml:space="preserve">								("CustomerBranch"),</v>
      </c>
      <c r="V47" s="64" t="str">
        <f t="shared" si="63"/>
        <v xml:space="preserve">								_ =&gt; _.CustomerBranch,</v>
      </c>
      <c r="W47" s="63" t="str">
        <f t="shared" si="64"/>
        <v xml:space="preserve">				.WhereIf(!string.IsNullOrWhiteSpace(input.CustomerBranch), e =&gt; e.CustomerBranch.Contains(input.CustomerBranch))</v>
      </c>
    </row>
    <row r="48" spans="1:23" customFormat="1" ht="18.75" customHeight="1" x14ac:dyDescent="0.25">
      <c r="A48" t="s">
        <v>400</v>
      </c>
      <c r="B48" t="s">
        <v>426</v>
      </c>
      <c r="C48" t="s">
        <v>1</v>
      </c>
      <c r="D48" t="str">
        <f t="shared" si="52"/>
        <v>CostCenter</v>
      </c>
      <c r="E48" t="str">
        <f t="shared" si="53"/>
        <v>varchar</v>
      </c>
      <c r="F48" s="6"/>
      <c r="G48" t="str">
        <f t="shared" si="54"/>
        <v>10</v>
      </c>
      <c r="H48" t="str">
        <f>+VLOOKUP(E48,'Data Type Mapping'!A:B,2,)</f>
        <v>string</v>
      </c>
      <c r="I48" t="str">
        <f t="shared" si="55"/>
        <v xml:space="preserve">		public const int MaxCostCenterLength = 10;
</v>
      </c>
      <c r="J48" t="str">
        <f t="shared" si="56"/>
        <v xml:space="preserve">		[StringLength(MaxCostCenterLength)]
		public virtual string CostCenter { get; set; }
</v>
      </c>
      <c r="K48" s="6"/>
      <c r="L48" t="str">
        <f t="shared" si="57"/>
        <v/>
      </c>
      <c r="M48" t="str">
        <f t="shared" si="58"/>
        <v xml:space="preserve">		public virtual string CostCenter { get; set; }
</v>
      </c>
      <c r="N48" t="str">
        <f t="shared" si="59"/>
        <v xml:space="preserve">		[StringLength(IF_FQF3MM03Consts.MaxCostCenterLength)]
		public virtual string CostCenter { get; set; }
</v>
      </c>
      <c r="O48" t="str">
        <f t="shared" si="60"/>
        <v xml:space="preserve">		public virtual string CostCenter { get; set; }
</v>
      </c>
      <c r="P48" t="str">
        <f t="shared" si="61"/>
        <v xml:space="preserve">							CostCenter = o.CostCenter,</v>
      </c>
      <c r="T48" s="63" t="str">
        <f t="shared" si="62"/>
        <v xml:space="preserve">								("CostCenter"),</v>
      </c>
      <c r="V48" s="64" t="str">
        <f t="shared" si="63"/>
        <v xml:space="preserve">								_ =&gt; _.CostCenter,</v>
      </c>
      <c r="W48" s="63" t="str">
        <f t="shared" si="64"/>
        <v xml:space="preserve">				.WhereIf(!string.IsNullOrWhiteSpace(input.CostCenter), e =&gt; e.CostCenter.Contains(input.CostCenter))</v>
      </c>
    </row>
    <row r="49" spans="1:23" customFormat="1" ht="18.75" customHeight="1" x14ac:dyDescent="0.25">
      <c r="A49" t="s">
        <v>356</v>
      </c>
      <c r="B49" t="s">
        <v>433</v>
      </c>
      <c r="C49" t="s">
        <v>1</v>
      </c>
      <c r="D49" t="str">
        <f t="shared" si="52"/>
        <v>Wbs</v>
      </c>
      <c r="E49" t="str">
        <f t="shared" si="53"/>
        <v>varchar</v>
      </c>
      <c r="F49" s="6"/>
      <c r="G49" t="str">
        <f t="shared" si="54"/>
        <v>24</v>
      </c>
      <c r="H49" t="str">
        <f>+VLOOKUP(E49,'Data Type Mapping'!A:B,2,)</f>
        <v>string</v>
      </c>
      <c r="I49" t="str">
        <f t="shared" si="55"/>
        <v xml:space="preserve">		public const int MaxWbsLength = 24;
</v>
      </c>
      <c r="J49" t="str">
        <f t="shared" si="56"/>
        <v xml:space="preserve">		[StringLength(MaxWbsLength)]
		public virtual string Wbs { get; set; }
</v>
      </c>
      <c r="K49" s="6"/>
      <c r="L49" t="str">
        <f t="shared" si="57"/>
        <v/>
      </c>
      <c r="M49" t="str">
        <f t="shared" si="58"/>
        <v xml:space="preserve">		public virtual string Wbs { get; set; }
</v>
      </c>
      <c r="N49" t="str">
        <f t="shared" si="59"/>
        <v xml:space="preserve">		[StringLength(IF_FQF3MM03Consts.MaxWbsLength)]
		public virtual string Wbs { get; set; }
</v>
      </c>
      <c r="O49" t="str">
        <f t="shared" si="60"/>
        <v xml:space="preserve">		public virtual string Wbs { get; set; }
</v>
      </c>
      <c r="P49" t="str">
        <f t="shared" si="61"/>
        <v xml:space="preserve">							Wbs = o.Wbs,</v>
      </c>
      <c r="T49" s="63" t="str">
        <f t="shared" si="62"/>
        <v xml:space="preserve">								("Wbs"),</v>
      </c>
      <c r="V49" s="64" t="str">
        <f t="shared" si="63"/>
        <v xml:space="preserve">								_ =&gt; _.Wbs,</v>
      </c>
      <c r="W49" s="63" t="str">
        <f t="shared" si="64"/>
        <v xml:space="preserve">				.WhereIf(!string.IsNullOrWhiteSpace(input.Wbs), e =&gt; e.Wbs.Contains(input.Wbs))</v>
      </c>
    </row>
    <row r="50" spans="1:23" customFormat="1" ht="18.75" customHeight="1" x14ac:dyDescent="0.25">
      <c r="A50" t="s">
        <v>401</v>
      </c>
      <c r="B50" t="s">
        <v>434</v>
      </c>
      <c r="C50" t="s">
        <v>1</v>
      </c>
      <c r="D50" t="str">
        <f t="shared" ref="D50:D56" si="78">SUBSTITUTE(PROPER(A50),"_","")</f>
        <v>Asset</v>
      </c>
      <c r="E50" t="str">
        <f t="shared" ref="E50:E56" si="79">IFERROR(LEFT(B50, FIND("(",B50)-1),B50)</f>
        <v>varchar</v>
      </c>
      <c r="F50" s="6"/>
      <c r="G50" t="str">
        <f t="shared" ref="G50:G56" si="80">IFERROR(MID(B50,FIND("(",B50) +1, FIND(")",B50) - FIND("(",B50) - 1),"")</f>
        <v>17</v>
      </c>
      <c r="H50" t="str">
        <f>+VLOOKUP(E50,'Data Type Mapping'!A:B,2,)</f>
        <v>string</v>
      </c>
      <c r="I50" t="str">
        <f t="shared" ref="I50:I56" si="81">IF(H50="string",REPT(CHAR(9),2)&amp;"public const int Max"&amp;D50&amp;"Length = "&amp;G50&amp;";"&amp;$E$3,"" )</f>
        <v xml:space="preserve">		public const int MaxAssetLength = 17;
</v>
      </c>
      <c r="J50" t="str">
        <f t="shared" ref="J50:J56" si="82">IF(F50="","",REPT(CHAR(9),2)&amp;"[Column(TypeName="""&amp;F50&amp;""")]"&amp;$E$3)&amp;IF(C50="Checked","",$I$3)&amp;IF(H50="string",REPT(CHAR(9),2)&amp;"[StringLength(Max"&amp;D50&amp;"Length"&amp;")]"&amp;$E$3,"")&amp;REPT(CHAR(9),2)&amp;"public virtual "&amp;H50&amp;IF(C50="?","? "," ")&amp;D50&amp;" { get; set; }" &amp; "
"</f>
        <v xml:space="preserve">		[StringLength(MaxAssetLength)]
		public virtual string Asset { get; set; }
</v>
      </c>
      <c r="K50" s="6"/>
      <c r="L50" t="str">
        <f t="shared" ref="L50:L56" si="83">IF(K50="","",REPT(CHAR(9),1)&amp;"[Index(nameof("&amp;IF(D50="","",""&amp;D50)&amp;")"&amp;", Name="&amp;"""IX_"&amp;$B$7&amp;"_"&amp;D50&amp;""")]")</f>
        <v/>
      </c>
      <c r="M50" t="str">
        <f t="shared" ref="M50:M56" si="84">REPT(CHAR(9),2)&amp;"public virtual "&amp;IF(OR(H50="DateTime",H50="TimeSpan"),H50&amp;"?",H50)&amp;IF(C50="?","? "," ")&amp;D50&amp;" { get; set; }" &amp; "
"</f>
        <v xml:space="preserve">		public virtual string Asset { get; set; }
</v>
      </c>
      <c r="N50" t="str">
        <f t="shared" ref="N50:N56" si="85">IF(C50="Checked","",$I$3)&amp;IF(H50="string",REPT(CHAR(9),2)&amp;"[StringLength("&amp;$B$3&amp;"Consts.Max"&amp;D50&amp;"Length"&amp;")]"&amp;$E$3,"")&amp;REPT(CHAR(9),2)&amp;"public virtual "&amp;IF(OR(H50="DateTime",H50="TimeSpan"),H50&amp;"?",H50)&amp;IF(C50="?","? "," ")&amp;D50&amp;" { get; set; }" &amp; "
"</f>
        <v xml:space="preserve">		[StringLength(IF_FQF3MM03Consts.MaxAssetLength)]
		public virtual string Asset { get; set; }
</v>
      </c>
      <c r="O50" t="str">
        <f t="shared" ref="O50:O56" si="86">IF(OR(H50="string",H50="DateTime",H50="int"),REPT(CHAR(9),2)&amp;"public virtual "&amp;IF(OR(H50="DateTime",H50="TimeSpan"),H50&amp;"?",H50)&amp;IF(C50="?","? "," ")&amp;D50&amp;" { get; set; }"&amp;$E$3,"")</f>
        <v xml:space="preserve">		public virtual string Asset { get; set; }
</v>
      </c>
      <c r="P50" t="str">
        <f t="shared" ref="P50:P56" si="87">REPT(CHAR(9),7)&amp;D50&amp;" = o." &amp;D50 &amp;","</f>
        <v xml:space="preserve">							Asset = o.Asset,</v>
      </c>
      <c r="T50" s="63" t="str">
        <f t="shared" ref="T50:T56" si="88">REPT(CHAR(9),8)&amp;"("""&amp;D50&amp;"""),"</f>
        <v xml:space="preserve">								("Asset"),</v>
      </c>
      <c r="V50" s="64" t="str">
        <f t="shared" ref="V50:V56" si="89">REPT(CHAR(9),8)&amp;"_ =&gt; _."&amp;D50&amp;","</f>
        <v xml:space="preserve">								_ =&gt; _.Asset,</v>
      </c>
      <c r="W50" s="63" t="str">
        <f t="shared" ref="W50:W56" si="90">IF(H50="string",REPT(CHAR(9),4)&amp;".WhereIf(!string.IsNullOrWhiteSpace(input."&amp;D50&amp;"), e =&gt; e."&amp;D50&amp;".Contains(input."&amp;D50&amp;"))",IF(H50="DateTime",REPT(CHAR(9),4)&amp;".WhereIf(input."&amp;D50&amp;".HasValue, t =&gt; t."&amp;D50&amp;" == input."&amp;D50&amp;".Value)",""))</f>
        <v xml:space="preserve">				.WhereIf(!string.IsNullOrWhiteSpace(input.Asset), e =&gt; e.Asset.Contains(input.Asset))</v>
      </c>
    </row>
    <row r="51" spans="1:23" customFormat="1" ht="18.75" customHeight="1" x14ac:dyDescent="0.25">
      <c r="A51" t="s">
        <v>402</v>
      </c>
      <c r="B51" t="s">
        <v>423</v>
      </c>
      <c r="C51" t="s">
        <v>1</v>
      </c>
      <c r="D51" t="str">
        <f t="shared" si="78"/>
        <v>OrderReasonCode</v>
      </c>
      <c r="E51" t="str">
        <f t="shared" si="79"/>
        <v>varchar</v>
      </c>
      <c r="F51" s="6"/>
      <c r="G51" t="str">
        <f t="shared" si="80"/>
        <v>1</v>
      </c>
      <c r="H51" t="str">
        <f>+VLOOKUP(E51,'Data Type Mapping'!A:B,2,)</f>
        <v>string</v>
      </c>
      <c r="I51" t="str">
        <f t="shared" si="81"/>
        <v xml:space="preserve">		public const int MaxOrderReasonCodeLength = 1;
</v>
      </c>
      <c r="J51" t="str">
        <f t="shared" si="82"/>
        <v xml:space="preserve">		[StringLength(MaxOrderReasonCodeLength)]
		public virtual string OrderReasonCode { get; set; }
</v>
      </c>
      <c r="K51" s="6"/>
      <c r="L51" t="str">
        <f t="shared" si="83"/>
        <v/>
      </c>
      <c r="M51" t="str">
        <f t="shared" si="84"/>
        <v xml:space="preserve">		public virtual string OrderReasonCode { get; set; }
</v>
      </c>
      <c r="N51" t="str">
        <f t="shared" si="85"/>
        <v xml:space="preserve">		[StringLength(IF_FQF3MM03Consts.MaxOrderReasonCodeLength)]
		public virtual string OrderReasonCode { get; set; }
</v>
      </c>
      <c r="O51" t="str">
        <f t="shared" si="86"/>
        <v xml:space="preserve">		public virtual string OrderReasonCode { get; set; }
</v>
      </c>
      <c r="P51" t="str">
        <f t="shared" si="87"/>
        <v xml:space="preserve">							OrderReasonCode = o.OrderReasonCode,</v>
      </c>
      <c r="T51" s="63" t="str">
        <f t="shared" si="88"/>
        <v xml:space="preserve">								("OrderReasonCode"),</v>
      </c>
      <c r="V51" s="64" t="str">
        <f t="shared" si="89"/>
        <v xml:space="preserve">								_ =&gt; _.OrderReasonCode,</v>
      </c>
      <c r="W51" s="63" t="str">
        <f t="shared" si="90"/>
        <v xml:space="preserve">				.WhereIf(!string.IsNullOrWhiteSpace(input.OrderReasonCode), e =&gt; e.OrderReasonCode.Contains(input.OrderReasonCode))</v>
      </c>
    </row>
    <row r="52" spans="1:23" customFormat="1" ht="18.75" customHeight="1" x14ac:dyDescent="0.25">
      <c r="A52" t="s">
        <v>403</v>
      </c>
      <c r="B52" t="s">
        <v>423</v>
      </c>
      <c r="C52" t="s">
        <v>1</v>
      </c>
      <c r="D52" t="str">
        <f t="shared" si="78"/>
        <v>RetroFlag</v>
      </c>
      <c r="E52" t="str">
        <f t="shared" si="79"/>
        <v>varchar</v>
      </c>
      <c r="F52" s="6"/>
      <c r="G52" t="str">
        <f t="shared" si="80"/>
        <v>1</v>
      </c>
      <c r="H52" t="str">
        <f>+VLOOKUP(E52,'Data Type Mapping'!A:B,2,)</f>
        <v>string</v>
      </c>
      <c r="I52" t="str">
        <f t="shared" si="81"/>
        <v xml:space="preserve">		public const int MaxRetroFlagLength = 1;
</v>
      </c>
      <c r="J52" t="str">
        <f t="shared" si="82"/>
        <v xml:space="preserve">		[StringLength(MaxRetroFlagLength)]
		public virtual string RetroFlag { get; set; }
</v>
      </c>
      <c r="K52" s="6"/>
      <c r="L52" t="str">
        <f t="shared" si="83"/>
        <v/>
      </c>
      <c r="M52" t="str">
        <f t="shared" si="84"/>
        <v xml:space="preserve">		public virtual string RetroFlag { get; set; }
</v>
      </c>
      <c r="N52" t="str">
        <f t="shared" si="85"/>
        <v xml:space="preserve">		[StringLength(IF_FQF3MM03Consts.MaxRetroFlagLength)]
		public virtual string RetroFlag { get; set; }
</v>
      </c>
      <c r="O52" t="str">
        <f t="shared" si="86"/>
        <v xml:space="preserve">		public virtual string RetroFlag { get; set; }
</v>
      </c>
      <c r="P52" t="str">
        <f t="shared" si="87"/>
        <v xml:space="preserve">							RetroFlag = o.RetroFlag,</v>
      </c>
      <c r="T52" s="63" t="str">
        <f t="shared" si="88"/>
        <v xml:space="preserve">								("RetroFlag"),</v>
      </c>
      <c r="V52" s="64" t="str">
        <f t="shared" si="89"/>
        <v xml:space="preserve">								_ =&gt; _.RetroFlag,</v>
      </c>
      <c r="W52" s="63" t="str">
        <f t="shared" si="90"/>
        <v xml:space="preserve">				.WhereIf(!string.IsNullOrWhiteSpace(input.RetroFlag), e =&gt; e.RetroFlag.Contains(input.RetroFlag))</v>
      </c>
    </row>
    <row r="53" spans="1:23" customFormat="1" ht="18.75" customHeight="1" x14ac:dyDescent="0.25">
      <c r="A53" t="s">
        <v>404</v>
      </c>
      <c r="B53" t="s">
        <v>426</v>
      </c>
      <c r="C53" t="s">
        <v>1</v>
      </c>
      <c r="D53" t="str">
        <f t="shared" si="78"/>
        <v>ValuationType</v>
      </c>
      <c r="E53" t="str">
        <f t="shared" si="79"/>
        <v>varchar</v>
      </c>
      <c r="F53" s="6"/>
      <c r="G53" t="str">
        <f t="shared" si="80"/>
        <v>10</v>
      </c>
      <c r="H53" t="str">
        <f>+VLOOKUP(E53,'Data Type Mapping'!A:B,2,)</f>
        <v>string</v>
      </c>
      <c r="I53" t="str">
        <f t="shared" si="81"/>
        <v xml:space="preserve">		public const int MaxValuationTypeLength = 10;
</v>
      </c>
      <c r="J53" t="str">
        <f t="shared" si="82"/>
        <v xml:space="preserve">		[StringLength(MaxValuationTypeLength)]
		public virtual string ValuationType { get; set; }
</v>
      </c>
      <c r="K53" s="6"/>
      <c r="L53" t="str">
        <f t="shared" si="83"/>
        <v/>
      </c>
      <c r="M53" t="str">
        <f t="shared" si="84"/>
        <v xml:space="preserve">		public virtual string ValuationType { get; set; }
</v>
      </c>
      <c r="N53" t="str">
        <f t="shared" si="85"/>
        <v xml:space="preserve">		[StringLength(IF_FQF3MM03Consts.MaxValuationTypeLength)]
		public virtual string ValuationType { get; set; }
</v>
      </c>
      <c r="O53" t="str">
        <f t="shared" si="86"/>
        <v xml:space="preserve">		public virtual string ValuationType { get; set; }
</v>
      </c>
      <c r="P53" t="str">
        <f t="shared" si="87"/>
        <v xml:space="preserve">							ValuationType = o.ValuationType,</v>
      </c>
      <c r="T53" s="63" t="str">
        <f t="shared" si="88"/>
        <v xml:space="preserve">								("ValuationType"),</v>
      </c>
      <c r="V53" s="64" t="str">
        <f t="shared" si="89"/>
        <v xml:space="preserve">								_ =&gt; _.ValuationType,</v>
      </c>
      <c r="W53" s="63" t="str">
        <f t="shared" si="90"/>
        <v xml:space="preserve">				.WhereIf(!string.IsNullOrWhiteSpace(input.ValuationType), e =&gt; e.ValuationType.Contains(input.ValuationType))</v>
      </c>
    </row>
    <row r="54" spans="1:23" customFormat="1" ht="18.75" customHeight="1" x14ac:dyDescent="0.25">
      <c r="A54" t="s">
        <v>405</v>
      </c>
      <c r="B54" t="s">
        <v>419</v>
      </c>
      <c r="C54" t="s">
        <v>1</v>
      </c>
      <c r="D54" t="str">
        <f t="shared" si="78"/>
        <v>ConditionType</v>
      </c>
      <c r="E54" t="str">
        <f t="shared" si="79"/>
        <v>varchar</v>
      </c>
      <c r="F54" s="6"/>
      <c r="G54" t="str">
        <f t="shared" si="80"/>
        <v>4</v>
      </c>
      <c r="H54" t="str">
        <f>+VLOOKUP(E54,'Data Type Mapping'!A:B,2,)</f>
        <v>string</v>
      </c>
      <c r="I54" t="str">
        <f t="shared" si="81"/>
        <v xml:space="preserve">		public const int MaxConditionTypeLength = 4;
</v>
      </c>
      <c r="J54" t="str">
        <f t="shared" si="82"/>
        <v xml:space="preserve">		[StringLength(MaxConditionTypeLength)]
		public virtual string ConditionType { get; set; }
</v>
      </c>
      <c r="K54" s="6"/>
      <c r="L54" t="str">
        <f t="shared" si="83"/>
        <v/>
      </c>
      <c r="M54" t="str">
        <f t="shared" si="84"/>
        <v xml:space="preserve">		public virtual string ConditionType { get; set; }
</v>
      </c>
      <c r="N54" t="str">
        <f t="shared" si="85"/>
        <v xml:space="preserve">		[StringLength(IF_FQF3MM03Consts.MaxConditionTypeLength)]
		public virtual string ConditionType { get; set; }
</v>
      </c>
      <c r="O54" t="str">
        <f t="shared" si="86"/>
        <v xml:space="preserve">		public virtual string ConditionType { get; set; }
</v>
      </c>
      <c r="P54" t="str">
        <f t="shared" si="87"/>
        <v xml:space="preserve">							ConditionType = o.ConditionType,</v>
      </c>
      <c r="T54" s="63" t="str">
        <f t="shared" si="88"/>
        <v xml:space="preserve">								("ConditionType"),</v>
      </c>
      <c r="V54" s="64" t="str">
        <f t="shared" si="89"/>
        <v xml:space="preserve">								_ =&gt; _.ConditionType,</v>
      </c>
      <c r="W54" s="63" t="str">
        <f t="shared" si="90"/>
        <v xml:space="preserve">				.WhereIf(!string.IsNullOrWhiteSpace(input.ConditionType), e =&gt; e.ConditionType.Contains(input.ConditionType))</v>
      </c>
    </row>
    <row r="55" spans="1:23" customFormat="1" ht="18.75" customHeight="1" x14ac:dyDescent="0.25">
      <c r="A55" t="s">
        <v>406</v>
      </c>
      <c r="B55" t="s">
        <v>435</v>
      </c>
      <c r="C55" t="s">
        <v>1</v>
      </c>
      <c r="D55" t="str">
        <f t="shared" si="78"/>
        <v>ConditionTypeAmt</v>
      </c>
      <c r="E55" t="str">
        <f t="shared" si="79"/>
        <v>varchar</v>
      </c>
      <c r="F55" s="6"/>
      <c r="G55" t="str">
        <f t="shared" si="80"/>
        <v>23</v>
      </c>
      <c r="H55" t="str">
        <f>+VLOOKUP(E55,'Data Type Mapping'!A:B,2,)</f>
        <v>string</v>
      </c>
      <c r="I55" t="str">
        <f t="shared" si="81"/>
        <v xml:space="preserve">		public const int MaxConditionTypeAmtLength = 23;
</v>
      </c>
      <c r="J55" t="str">
        <f t="shared" si="82"/>
        <v xml:space="preserve">		[StringLength(MaxConditionTypeAmtLength)]
		public virtual string ConditionTypeAmt { get; set; }
</v>
      </c>
      <c r="K55" s="6"/>
      <c r="L55" t="str">
        <f t="shared" si="83"/>
        <v/>
      </c>
      <c r="M55" t="str">
        <f t="shared" si="84"/>
        <v xml:space="preserve">		public virtual string ConditionTypeAmt { get; set; }
</v>
      </c>
      <c r="N55" t="str">
        <f t="shared" si="85"/>
        <v xml:space="preserve">		[StringLength(IF_FQF3MM03Consts.MaxConditionTypeAmtLength)]
		public virtual string ConditionTypeAmt { get; set; }
</v>
      </c>
      <c r="O55" t="str">
        <f t="shared" si="86"/>
        <v xml:space="preserve">		public virtual string ConditionTypeAmt { get; set; }
</v>
      </c>
      <c r="P55" t="str">
        <f t="shared" si="87"/>
        <v xml:space="preserve">							ConditionTypeAmt = o.ConditionTypeAmt,</v>
      </c>
      <c r="T55" s="63" t="str">
        <f t="shared" si="88"/>
        <v xml:space="preserve">								("ConditionTypeAmt"),</v>
      </c>
      <c r="V55" s="64" t="str">
        <f t="shared" si="89"/>
        <v xml:space="preserve">								_ =&gt; _.ConditionTypeAmt,</v>
      </c>
      <c r="W55" s="63" t="str">
        <f t="shared" si="90"/>
        <v xml:space="preserve">				.WhereIf(!string.IsNullOrWhiteSpace(input.ConditionTypeAmt), e =&gt; e.ConditionTypeAmt.Contains(input.ConditionTypeAmt))</v>
      </c>
    </row>
    <row r="56" spans="1:23" customFormat="1" ht="18.75" customHeight="1" x14ac:dyDescent="0.25">
      <c r="A56" t="s">
        <v>407</v>
      </c>
      <c r="B56" t="s">
        <v>435</v>
      </c>
      <c r="C56" t="s">
        <v>1</v>
      </c>
      <c r="D56" t="str">
        <f t="shared" si="78"/>
        <v>PrepaidTaxAmt</v>
      </c>
      <c r="E56" t="str">
        <f t="shared" si="79"/>
        <v>varchar</v>
      </c>
      <c r="F56" s="6"/>
      <c r="G56" t="str">
        <f t="shared" si="80"/>
        <v>23</v>
      </c>
      <c r="H56" t="str">
        <f>+VLOOKUP(E56,'Data Type Mapping'!A:B,2,)</f>
        <v>string</v>
      </c>
      <c r="I56" t="str">
        <f t="shared" si="81"/>
        <v xml:space="preserve">		public const int MaxPrepaidTaxAmtLength = 23;
</v>
      </c>
      <c r="J56" t="str">
        <f t="shared" si="82"/>
        <v xml:space="preserve">		[StringLength(MaxPrepaidTaxAmtLength)]
		public virtual string PrepaidTaxAmt { get; set; }
</v>
      </c>
      <c r="K56" s="6"/>
      <c r="L56" t="str">
        <f t="shared" si="83"/>
        <v/>
      </c>
      <c r="M56" t="str">
        <f t="shared" si="84"/>
        <v xml:space="preserve">		public virtual string PrepaidTaxAmt { get; set; }
</v>
      </c>
      <c r="N56" t="str">
        <f t="shared" si="85"/>
        <v xml:space="preserve">		[StringLength(IF_FQF3MM03Consts.MaxPrepaidTaxAmtLength)]
		public virtual string PrepaidTaxAmt { get; set; }
</v>
      </c>
      <c r="O56" t="str">
        <f t="shared" si="86"/>
        <v xml:space="preserve">		public virtual string PrepaidTaxAmt { get; set; }
</v>
      </c>
      <c r="P56" t="str">
        <f t="shared" si="87"/>
        <v xml:space="preserve">							PrepaidTaxAmt = o.PrepaidTaxAmt,</v>
      </c>
      <c r="T56" s="63" t="str">
        <f t="shared" si="88"/>
        <v xml:space="preserve">								("PrepaidTaxAmt"),</v>
      </c>
      <c r="V56" s="64" t="str">
        <f t="shared" si="89"/>
        <v xml:space="preserve">								_ =&gt; _.PrepaidTaxAmt,</v>
      </c>
      <c r="W56" s="63" t="str">
        <f t="shared" si="90"/>
        <v xml:space="preserve">				.WhereIf(!string.IsNullOrWhiteSpace(input.PrepaidTaxAmt), e =&gt; e.PrepaidTaxAmt.Contains(input.PrepaidTaxAmt))</v>
      </c>
    </row>
    <row r="57" spans="1:23" customFormat="1" ht="18.75" customHeight="1" x14ac:dyDescent="0.25">
      <c r="A57" t="s">
        <v>408</v>
      </c>
      <c r="B57" t="s">
        <v>435</v>
      </c>
      <c r="C57" t="s">
        <v>1</v>
      </c>
      <c r="D57" t="str">
        <f t="shared" ref="D57:D63" si="91">SUBSTITUTE(PROPER(A57),"_","")</f>
        <v>WithholdingTaxAmt</v>
      </c>
      <c r="E57" t="str">
        <f t="shared" ref="E57:E63" si="92">IFERROR(LEFT(B57, FIND("(",B57)-1),B57)</f>
        <v>varchar</v>
      </c>
      <c r="F57" s="6"/>
      <c r="G57" t="str">
        <f t="shared" ref="G57:G63" si="93">IFERROR(MID(B57,FIND("(",B57) +1, FIND(")",B57) - FIND("(",B57) - 1),"")</f>
        <v>23</v>
      </c>
      <c r="H57" t="str">
        <f>+VLOOKUP(E57,'Data Type Mapping'!A:B,2,)</f>
        <v>string</v>
      </c>
      <c r="I57" t="str">
        <f t="shared" ref="I57:I63" si="94">IF(H57="string",REPT(CHAR(9),2)&amp;"public const int Max"&amp;D57&amp;"Length = "&amp;G57&amp;";"&amp;$E$3,"" )</f>
        <v xml:space="preserve">		public const int MaxWithholdingTaxAmtLength = 23;
</v>
      </c>
      <c r="J57" t="str">
        <f t="shared" ref="J57:J63" si="95">IF(F57="","",REPT(CHAR(9),2)&amp;"[Column(TypeName="""&amp;F57&amp;""")]"&amp;$E$3)&amp;IF(C57="Checked","",$I$3)&amp;IF(H57="string",REPT(CHAR(9),2)&amp;"[StringLength(Max"&amp;D57&amp;"Length"&amp;")]"&amp;$E$3,"")&amp;REPT(CHAR(9),2)&amp;"public virtual "&amp;H57&amp;IF(C57="?","? "," ")&amp;D57&amp;" { get; set; }" &amp; "
"</f>
        <v xml:space="preserve">		[StringLength(MaxWithholdingTaxAmtLength)]
		public virtual string WithholdingTaxAmt { get; set; }
</v>
      </c>
      <c r="K57" s="6"/>
      <c r="L57" t="str">
        <f t="shared" ref="L57:L63" si="96">IF(K57="","",REPT(CHAR(9),1)&amp;"[Index(nameof("&amp;IF(D57="","",""&amp;D57)&amp;")"&amp;", Name="&amp;"""IX_"&amp;$B$7&amp;"_"&amp;D57&amp;""")]")</f>
        <v/>
      </c>
      <c r="M57" t="str">
        <f t="shared" ref="M57:M63" si="97">REPT(CHAR(9),2)&amp;"public virtual "&amp;IF(OR(H57="DateTime",H57="TimeSpan"),H57&amp;"?",H57)&amp;IF(C57="?","? "," ")&amp;D57&amp;" { get; set; }" &amp; "
"</f>
        <v xml:space="preserve">		public virtual string WithholdingTaxAmt { get; set; }
</v>
      </c>
      <c r="N57" t="str">
        <f t="shared" ref="N57:N63" si="98">IF(C57="Checked","",$I$3)&amp;IF(H57="string",REPT(CHAR(9),2)&amp;"[StringLength("&amp;$B$3&amp;"Consts.Max"&amp;D57&amp;"Length"&amp;")]"&amp;$E$3,"")&amp;REPT(CHAR(9),2)&amp;"public virtual "&amp;IF(OR(H57="DateTime",H57="TimeSpan"),H57&amp;"?",H57)&amp;IF(C57="?","? "," ")&amp;D57&amp;" { get; set; }" &amp; "
"</f>
        <v xml:space="preserve">		[StringLength(IF_FQF3MM03Consts.MaxWithholdingTaxAmtLength)]
		public virtual string WithholdingTaxAmt { get; set; }
</v>
      </c>
      <c r="O57" t="str">
        <f t="shared" ref="O57:O63" si="99">IF(OR(H57="string",H57="DateTime",H57="int"),REPT(CHAR(9),2)&amp;"public virtual "&amp;IF(OR(H57="DateTime",H57="TimeSpan"),H57&amp;"?",H57)&amp;IF(C57="?","? "," ")&amp;D57&amp;" { get; set; }"&amp;$E$3,"")</f>
        <v xml:space="preserve">		public virtual string WithholdingTaxAmt { get; set; }
</v>
      </c>
      <c r="P57" t="str">
        <f t="shared" ref="P57:P63" si="100">REPT(CHAR(9),7)&amp;D57&amp;" = o." &amp;D57 &amp;","</f>
        <v xml:space="preserve">							WithholdingTaxAmt = o.WithholdingTaxAmt,</v>
      </c>
      <c r="T57" s="63" t="str">
        <f t="shared" ref="T57:T63" si="101">REPT(CHAR(9),8)&amp;"("""&amp;D57&amp;"""),"</f>
        <v xml:space="preserve">								("WithholdingTaxAmt"),</v>
      </c>
      <c r="V57" s="64" t="str">
        <f t="shared" ref="V57:V63" si="102">REPT(CHAR(9),8)&amp;"_ =&gt; _."&amp;D57&amp;","</f>
        <v xml:space="preserve">								_ =&gt; _.WithholdingTaxAmt,</v>
      </c>
      <c r="W57" s="63" t="str">
        <f t="shared" ref="W57:W63" si="103">IF(H57="string",REPT(CHAR(9),4)&amp;".WhereIf(!string.IsNullOrWhiteSpace(input."&amp;D57&amp;"), e =&gt; e."&amp;D57&amp;".Contains(input."&amp;D57&amp;"))",IF(H57="DateTime",REPT(CHAR(9),4)&amp;".WhereIf(input."&amp;D57&amp;".HasValue, t =&gt; t."&amp;D57&amp;" == input."&amp;D57&amp;".Value)",""))</f>
        <v xml:space="preserve">				.WhereIf(!string.IsNullOrWhiteSpace(input.WithholdingTaxAmt), e =&gt; e.WithholdingTaxAmt.Contains(input.WithholdingTaxAmt))</v>
      </c>
    </row>
    <row r="58" spans="1:23" customFormat="1" ht="18.75" customHeight="1" x14ac:dyDescent="0.25">
      <c r="A58" t="s">
        <v>409</v>
      </c>
      <c r="B58" t="s">
        <v>435</v>
      </c>
      <c r="C58" t="s">
        <v>1</v>
      </c>
      <c r="D58" t="str">
        <f t="shared" si="91"/>
        <v>StampFeeAmt</v>
      </c>
      <c r="E58" t="str">
        <f t="shared" si="92"/>
        <v>varchar</v>
      </c>
      <c r="F58" s="6"/>
      <c r="G58" t="str">
        <f t="shared" si="93"/>
        <v>23</v>
      </c>
      <c r="H58" t="str">
        <f>+VLOOKUP(E58,'Data Type Mapping'!A:B,2,)</f>
        <v>string</v>
      </c>
      <c r="I58" t="str">
        <f t="shared" si="94"/>
        <v xml:space="preserve">		public const int MaxStampFeeAmtLength = 23;
</v>
      </c>
      <c r="J58" t="str">
        <f t="shared" si="95"/>
        <v xml:space="preserve">		[StringLength(MaxStampFeeAmtLength)]
		public virtual string StampFeeAmt { get; set; }
</v>
      </c>
      <c r="K58" s="6"/>
      <c r="L58" t="str">
        <f t="shared" si="96"/>
        <v/>
      </c>
      <c r="M58" t="str">
        <f t="shared" si="97"/>
        <v xml:space="preserve">		public virtual string StampFeeAmt { get; set; }
</v>
      </c>
      <c r="N58" t="str">
        <f t="shared" si="98"/>
        <v xml:space="preserve">		[StringLength(IF_FQF3MM03Consts.MaxStampFeeAmtLength)]
		public virtual string StampFeeAmt { get; set; }
</v>
      </c>
      <c r="O58" t="str">
        <f t="shared" si="99"/>
        <v xml:space="preserve">		public virtual string StampFeeAmt { get; set; }
</v>
      </c>
      <c r="P58" t="str">
        <f t="shared" si="100"/>
        <v xml:space="preserve">							StampFeeAmt = o.StampFeeAmt,</v>
      </c>
      <c r="T58" s="63" t="str">
        <f t="shared" si="101"/>
        <v xml:space="preserve">								("StampFeeAmt"),</v>
      </c>
      <c r="V58" s="64" t="str">
        <f t="shared" si="102"/>
        <v xml:space="preserve">								_ =&gt; _.StampFeeAmt,</v>
      </c>
      <c r="W58" s="63" t="str">
        <f t="shared" si="103"/>
        <v xml:space="preserve">				.WhereIf(!string.IsNullOrWhiteSpace(input.StampFeeAmt), e =&gt; e.StampFeeAmt.Contains(input.StampFeeAmt))</v>
      </c>
    </row>
    <row r="59" spans="1:23" customFormat="1" ht="18.75" customHeight="1" x14ac:dyDescent="0.25">
      <c r="A59" t="s">
        <v>410</v>
      </c>
      <c r="B59" t="s">
        <v>435</v>
      </c>
      <c r="C59" t="s">
        <v>1</v>
      </c>
      <c r="D59" t="str">
        <f t="shared" si="91"/>
        <v>GlAmount</v>
      </c>
      <c r="E59" t="str">
        <f t="shared" si="92"/>
        <v>varchar</v>
      </c>
      <c r="F59" s="6"/>
      <c r="G59" t="str">
        <f t="shared" si="93"/>
        <v>23</v>
      </c>
      <c r="H59" t="str">
        <f>+VLOOKUP(E59,'Data Type Mapping'!A:B,2,)</f>
        <v>string</v>
      </c>
      <c r="I59" t="str">
        <f t="shared" si="94"/>
        <v xml:space="preserve">		public const int MaxGlAmountLength = 23;
</v>
      </c>
      <c r="J59" t="str">
        <f t="shared" si="95"/>
        <v xml:space="preserve">		[StringLength(MaxGlAmountLength)]
		public virtual string GlAmount { get; set; }
</v>
      </c>
      <c r="K59" s="6"/>
      <c r="L59" t="str">
        <f t="shared" si="96"/>
        <v/>
      </c>
      <c r="M59" t="str">
        <f t="shared" si="97"/>
        <v xml:space="preserve">		public virtual string GlAmount { get; set; }
</v>
      </c>
      <c r="N59" t="str">
        <f t="shared" si="98"/>
        <v xml:space="preserve">		[StringLength(IF_FQF3MM03Consts.MaxGlAmountLength)]
		public virtual string GlAmount { get; set; }
</v>
      </c>
      <c r="O59" t="str">
        <f t="shared" si="99"/>
        <v xml:space="preserve">		public virtual string GlAmount { get; set; }
</v>
      </c>
      <c r="P59" t="str">
        <f t="shared" si="100"/>
        <v xml:space="preserve">							GlAmount = o.GlAmount,</v>
      </c>
      <c r="T59" s="63" t="str">
        <f t="shared" si="101"/>
        <v xml:space="preserve">								("GlAmount"),</v>
      </c>
      <c r="V59" s="64" t="str">
        <f t="shared" si="102"/>
        <v xml:space="preserve">								_ =&gt; _.GlAmount,</v>
      </c>
      <c r="W59" s="63" t="str">
        <f t="shared" si="103"/>
        <v xml:space="preserve">				.WhereIf(!string.IsNullOrWhiteSpace(input.GlAmount), e =&gt; e.GlAmount.Contains(input.GlAmount))</v>
      </c>
    </row>
    <row r="60" spans="1:23" customFormat="1" ht="18.75" customHeight="1" x14ac:dyDescent="0.25">
      <c r="A60" t="s">
        <v>411</v>
      </c>
      <c r="B60" t="s">
        <v>424</v>
      </c>
      <c r="C60" t="s">
        <v>1</v>
      </c>
      <c r="D60" t="str">
        <f t="shared" si="91"/>
        <v>SptCode</v>
      </c>
      <c r="E60" t="str">
        <f t="shared" si="92"/>
        <v>varchar</v>
      </c>
      <c r="F60" s="6"/>
      <c r="G60" t="str">
        <f t="shared" si="93"/>
        <v>5</v>
      </c>
      <c r="H60" t="str">
        <f>+VLOOKUP(E60,'Data Type Mapping'!A:B,2,)</f>
        <v>string</v>
      </c>
      <c r="I60" t="str">
        <f t="shared" si="94"/>
        <v xml:space="preserve">		public const int MaxSptCodeLength = 5;
</v>
      </c>
      <c r="J60" t="str">
        <f t="shared" si="95"/>
        <v xml:space="preserve">		[StringLength(MaxSptCodeLength)]
		public virtual string SptCode { get; set; }
</v>
      </c>
      <c r="K60" s="6"/>
      <c r="L60" t="str">
        <f t="shared" si="96"/>
        <v/>
      </c>
      <c r="M60" t="str">
        <f t="shared" si="97"/>
        <v xml:space="preserve">		public virtual string SptCode { get; set; }
</v>
      </c>
      <c r="N60" t="str">
        <f t="shared" si="98"/>
        <v xml:space="preserve">		[StringLength(IF_FQF3MM03Consts.MaxSptCodeLength)]
		public virtual string SptCode { get; set; }
</v>
      </c>
      <c r="O60" t="str">
        <f t="shared" si="99"/>
        <v xml:space="preserve">		public virtual string SptCode { get; set; }
</v>
      </c>
      <c r="P60" t="str">
        <f t="shared" si="100"/>
        <v xml:space="preserve">							SptCode = o.SptCode,</v>
      </c>
      <c r="T60" s="63" t="str">
        <f t="shared" si="101"/>
        <v xml:space="preserve">								("SptCode"),</v>
      </c>
      <c r="V60" s="64" t="str">
        <f t="shared" si="102"/>
        <v xml:space="preserve">								_ =&gt; _.SptCode,</v>
      </c>
      <c r="W60" s="63" t="str">
        <f t="shared" si="103"/>
        <v xml:space="preserve">				.WhereIf(!string.IsNullOrWhiteSpace(input.SptCode), e =&gt; e.SptCode.Contains(input.SptCode))</v>
      </c>
    </row>
    <row r="61" spans="1:23" customFormat="1" ht="18.75" customHeight="1" x14ac:dyDescent="0.25">
      <c r="A61" t="s">
        <v>412</v>
      </c>
      <c r="B61" t="s">
        <v>418</v>
      </c>
      <c r="C61" t="s">
        <v>1</v>
      </c>
      <c r="D61" t="str">
        <f t="shared" si="91"/>
        <v>HigherLevelItem</v>
      </c>
      <c r="E61" t="str">
        <f t="shared" si="92"/>
        <v>varchar</v>
      </c>
      <c r="F61" s="6"/>
      <c r="G61" t="str">
        <f t="shared" si="93"/>
        <v>7</v>
      </c>
      <c r="H61" t="str">
        <f>+VLOOKUP(E61,'Data Type Mapping'!A:B,2,)</f>
        <v>string</v>
      </c>
      <c r="I61" t="str">
        <f t="shared" si="94"/>
        <v xml:space="preserve">		public const int MaxHigherLevelItemLength = 7;
</v>
      </c>
      <c r="J61" t="str">
        <f t="shared" si="95"/>
        <v xml:space="preserve">		[StringLength(MaxHigherLevelItemLength)]
		public virtual string HigherLevelItem { get; set; }
</v>
      </c>
      <c r="K61" s="6"/>
      <c r="L61" t="str">
        <f t="shared" si="96"/>
        <v/>
      </c>
      <c r="M61" t="str">
        <f t="shared" si="97"/>
        <v xml:space="preserve">		public virtual string HigherLevelItem { get; set; }
</v>
      </c>
      <c r="N61" t="str">
        <f t="shared" si="98"/>
        <v xml:space="preserve">		[StringLength(IF_FQF3MM03Consts.MaxHigherLevelItemLength)]
		public virtual string HigherLevelItem { get; set; }
</v>
      </c>
      <c r="O61" t="str">
        <f t="shared" si="99"/>
        <v xml:space="preserve">		public virtual string HigherLevelItem { get; set; }
</v>
      </c>
      <c r="P61" t="str">
        <f t="shared" si="100"/>
        <v xml:space="preserve">							HigherLevelItem = o.HigherLevelItem,</v>
      </c>
      <c r="T61" s="63" t="str">
        <f t="shared" si="101"/>
        <v xml:space="preserve">								("HigherLevelItem"),</v>
      </c>
      <c r="V61" s="64" t="str">
        <f t="shared" si="102"/>
        <v xml:space="preserve">								_ =&gt; _.HigherLevelItem,</v>
      </c>
      <c r="W61" s="63" t="str">
        <f t="shared" si="103"/>
        <v xml:space="preserve">				.WhereIf(!string.IsNullOrWhiteSpace(input.HigherLevelItem), e =&gt; e.HigherLevelItem.Contains(input.HigherLevelItem))</v>
      </c>
    </row>
    <row r="62" spans="1:23" customFormat="1" ht="18.75" customHeight="1" x14ac:dyDescent="0.25">
      <c r="A62" t="s">
        <v>413</v>
      </c>
      <c r="B62" t="s">
        <v>435</v>
      </c>
      <c r="C62" t="s">
        <v>1</v>
      </c>
      <c r="D62" t="str">
        <f t="shared" si="91"/>
        <v>WithholdingTaxBaseAmt</v>
      </c>
      <c r="E62" t="str">
        <f t="shared" si="92"/>
        <v>varchar</v>
      </c>
      <c r="F62" s="6"/>
      <c r="G62" t="str">
        <f t="shared" si="93"/>
        <v>23</v>
      </c>
      <c r="H62" t="str">
        <f>+VLOOKUP(E62,'Data Type Mapping'!A:B,2,)</f>
        <v>string</v>
      </c>
      <c r="I62" t="str">
        <f t="shared" si="94"/>
        <v xml:space="preserve">		public const int MaxWithholdingTaxBaseAmtLength = 23;
</v>
      </c>
      <c r="J62" t="str">
        <f t="shared" si="95"/>
        <v xml:space="preserve">		[StringLength(MaxWithholdingTaxBaseAmtLength)]
		public virtual string WithholdingTaxBaseAmt { get; set; }
</v>
      </c>
      <c r="K62" s="6"/>
      <c r="L62" t="str">
        <f t="shared" si="96"/>
        <v/>
      </c>
      <c r="M62" t="str">
        <f t="shared" si="97"/>
        <v xml:space="preserve">		public virtual string WithholdingTaxBaseAmt { get; set; }
</v>
      </c>
      <c r="N62" t="str">
        <f t="shared" si="98"/>
        <v xml:space="preserve">		[StringLength(IF_FQF3MM03Consts.MaxWithholdingTaxBaseAmtLength)]
		public virtual string WithholdingTaxBaseAmt { get; set; }
</v>
      </c>
      <c r="O62" t="str">
        <f t="shared" si="99"/>
        <v xml:space="preserve">		public virtual string WithholdingTaxBaseAmt { get; set; }
</v>
      </c>
      <c r="P62" t="str">
        <f t="shared" si="100"/>
        <v xml:space="preserve">							WithholdingTaxBaseAmt = o.WithholdingTaxBaseAmt,</v>
      </c>
      <c r="T62" s="63" t="str">
        <f t="shared" si="101"/>
        <v xml:space="preserve">								("WithholdingTaxBaseAmt"),</v>
      </c>
      <c r="V62" s="64" t="str">
        <f t="shared" si="102"/>
        <v xml:space="preserve">								_ =&gt; _.WithholdingTaxBaseAmt,</v>
      </c>
      <c r="W62" s="63" t="str">
        <f t="shared" si="103"/>
        <v xml:space="preserve">				.WhereIf(!string.IsNullOrWhiteSpace(input.WithholdingTaxBaseAmt), e =&gt; e.WithholdingTaxBaseAmt.Contains(input.WithholdingTaxBaseAmt))</v>
      </c>
    </row>
    <row r="63" spans="1:23" customFormat="1" ht="18.75" customHeight="1" x14ac:dyDescent="0.25">
      <c r="A63" t="s">
        <v>414</v>
      </c>
      <c r="B63" t="s">
        <v>436</v>
      </c>
      <c r="C63" t="s">
        <v>1</v>
      </c>
      <c r="D63" t="str">
        <f t="shared" si="91"/>
        <v>TypeOfSales</v>
      </c>
      <c r="E63" t="str">
        <f t="shared" si="92"/>
        <v>varchar</v>
      </c>
      <c r="F63" s="6"/>
      <c r="G63" t="str">
        <f t="shared" si="93"/>
        <v>3</v>
      </c>
      <c r="H63" t="str">
        <f>+VLOOKUP(E63,'Data Type Mapping'!A:B,2,)</f>
        <v>string</v>
      </c>
      <c r="I63" t="str">
        <f t="shared" si="94"/>
        <v xml:space="preserve">		public const int MaxTypeOfSalesLength = 3;
</v>
      </c>
      <c r="J63" t="str">
        <f t="shared" si="95"/>
        <v xml:space="preserve">		[StringLength(MaxTypeOfSalesLength)]
		public virtual string TypeOfSales { get; set; }
</v>
      </c>
      <c r="K63" s="6"/>
      <c r="L63" t="str">
        <f t="shared" si="96"/>
        <v/>
      </c>
      <c r="M63" t="str">
        <f t="shared" si="97"/>
        <v xml:space="preserve">		public virtual string TypeOfSales { get; set; }
</v>
      </c>
      <c r="N63" t="str">
        <f t="shared" si="98"/>
        <v xml:space="preserve">		[StringLength(IF_FQF3MM03Consts.MaxTypeOfSalesLength)]
		public virtual string TypeOfSales { get; set; }
</v>
      </c>
      <c r="O63" t="str">
        <f t="shared" si="99"/>
        <v xml:space="preserve">		public virtual string TypeOfSales { get; set; }
</v>
      </c>
      <c r="P63" t="str">
        <f t="shared" si="100"/>
        <v xml:space="preserve">							TypeOfSales = o.TypeOfSales,</v>
      </c>
      <c r="T63" s="63" t="str">
        <f t="shared" si="101"/>
        <v xml:space="preserve">								("TypeOfSales"),</v>
      </c>
      <c r="V63" s="64" t="str">
        <f t="shared" si="102"/>
        <v xml:space="preserve">								_ =&gt; _.TypeOfSales,</v>
      </c>
      <c r="W63" s="63" t="str">
        <f t="shared" si="103"/>
        <v xml:space="preserve">				.WhereIf(!string.IsNullOrWhiteSpace(input.TypeOfSales), e =&gt; e.TypeOfSales.Contains(input.TypeOfSales))</v>
      </c>
    </row>
    <row r="64" spans="1:23" customFormat="1" ht="18.75" customHeight="1" x14ac:dyDescent="0.25">
      <c r="A64" t="s">
        <v>358</v>
      </c>
      <c r="B64" t="s">
        <v>426</v>
      </c>
      <c r="C64" t="s">
        <v>1</v>
      </c>
      <c r="D64" t="str">
        <f t="shared" si="52"/>
        <v>ProfitCenter</v>
      </c>
      <c r="E64" t="str">
        <f t="shared" si="53"/>
        <v>varchar</v>
      </c>
      <c r="F64" s="6"/>
      <c r="G64" t="str">
        <f t="shared" si="54"/>
        <v>10</v>
      </c>
      <c r="H64" t="str">
        <f>+VLOOKUP(E64,'Data Type Mapping'!A:B,2,)</f>
        <v>string</v>
      </c>
      <c r="I64" t="str">
        <f t="shared" si="55"/>
        <v xml:space="preserve">		public const int MaxProfitCenterLength = 10;
</v>
      </c>
      <c r="J64" t="str">
        <f t="shared" si="56"/>
        <v xml:space="preserve">		[StringLength(MaxProfitCenterLength)]
		public virtual string ProfitCenter { get; set; }
</v>
      </c>
      <c r="K64" s="6"/>
      <c r="L64" t="str">
        <f t="shared" si="57"/>
        <v/>
      </c>
      <c r="M64" t="str">
        <f t="shared" si="58"/>
        <v xml:space="preserve">		public virtual string ProfitCenter { get; set; }
</v>
      </c>
      <c r="N64" t="str">
        <f t="shared" si="59"/>
        <v xml:space="preserve">		[StringLength(IF_FQF3MM03Consts.MaxProfitCenterLength)]
		public virtual string ProfitCenter { get; set; }
</v>
      </c>
      <c r="O64" t="str">
        <f t="shared" si="60"/>
        <v xml:space="preserve">		public virtual string ProfitCenter { get; set; }
</v>
      </c>
      <c r="P64" t="str">
        <f t="shared" si="61"/>
        <v xml:space="preserve">							ProfitCenter = o.ProfitCenter,</v>
      </c>
      <c r="T64" s="63" t="str">
        <f t="shared" si="62"/>
        <v xml:space="preserve">								("ProfitCenter"),</v>
      </c>
      <c r="V64" s="64" t="str">
        <f t="shared" si="63"/>
        <v xml:space="preserve">								_ =&gt; _.ProfitCenter,</v>
      </c>
      <c r="W64" s="63" t="str">
        <f t="shared" si="64"/>
        <v xml:space="preserve">				.WhereIf(!string.IsNullOrWhiteSpace(input.ProfitCenter), e =&gt; e.ProfitCenter.Contains(input.ProfitCenter))</v>
      </c>
    </row>
    <row r="65" spans="1:23" customFormat="1" ht="18.75" customHeight="1" x14ac:dyDescent="0.25">
      <c r="A65" t="s">
        <v>415</v>
      </c>
      <c r="B65" t="s">
        <v>422</v>
      </c>
      <c r="C65" t="s">
        <v>1</v>
      </c>
      <c r="D65" t="str">
        <f t="shared" si="52"/>
        <v>DueDate</v>
      </c>
      <c r="E65" t="str">
        <f t="shared" si="53"/>
        <v>varchar</v>
      </c>
      <c r="F65" s="6"/>
      <c r="G65" t="str">
        <f t="shared" si="54"/>
        <v>8</v>
      </c>
      <c r="H65" t="str">
        <f>+VLOOKUP(E65,'Data Type Mapping'!A:B,2,)</f>
        <v>string</v>
      </c>
      <c r="I65" t="str">
        <f t="shared" si="55"/>
        <v xml:space="preserve">		public const int MaxDueDateLength = 8;
</v>
      </c>
      <c r="J65" t="str">
        <f t="shared" si="56"/>
        <v xml:space="preserve">		[StringLength(MaxDueDateLength)]
		public virtual string DueDate { get; set; }
</v>
      </c>
      <c r="K65" s="6"/>
      <c r="L65" t="str">
        <f t="shared" si="57"/>
        <v/>
      </c>
      <c r="M65" t="str">
        <f t="shared" si="58"/>
        <v xml:space="preserve">		public virtual string DueDate { get; set; }
</v>
      </c>
      <c r="N65" t="str">
        <f t="shared" si="59"/>
        <v xml:space="preserve">		[StringLength(IF_FQF3MM03Consts.MaxDueDateLength)]
		public virtual string DueDate { get; set; }
</v>
      </c>
      <c r="O65" t="str">
        <f t="shared" si="60"/>
        <v xml:space="preserve">		public virtual string DueDate { get; set; }
</v>
      </c>
      <c r="P65" t="str">
        <f t="shared" si="61"/>
        <v xml:space="preserve">							DueDate = o.DueDate,</v>
      </c>
      <c r="T65" s="63" t="str">
        <f t="shared" si="62"/>
        <v xml:space="preserve">								("DueDate"),</v>
      </c>
      <c r="V65" s="64" t="str">
        <f t="shared" si="63"/>
        <v xml:space="preserve">								_ =&gt; _.DueDate,</v>
      </c>
      <c r="W65" s="63" t="str">
        <f t="shared" si="64"/>
        <v xml:space="preserve">				.WhereIf(!string.IsNullOrWhiteSpace(input.DueDate), e =&gt; e.DueDate.Contains(input.DueDate))</v>
      </c>
    </row>
    <row r="66" spans="1:23" customFormat="1" ht="18.75" customHeight="1" x14ac:dyDescent="0.25">
      <c r="A66" t="s">
        <v>355</v>
      </c>
      <c r="B66" t="s">
        <v>437</v>
      </c>
      <c r="C66" t="s">
        <v>1</v>
      </c>
      <c r="D66" t="str">
        <f t="shared" si="52"/>
        <v>ItemText</v>
      </c>
      <c r="E66" t="str">
        <f t="shared" si="53"/>
        <v>varchar</v>
      </c>
      <c r="F66" s="6"/>
      <c r="G66" t="str">
        <f t="shared" si="54"/>
        <v>50</v>
      </c>
      <c r="H66" t="str">
        <f>+VLOOKUP(E66,'Data Type Mapping'!A:B,2,)</f>
        <v>string</v>
      </c>
      <c r="I66" t="str">
        <f t="shared" si="55"/>
        <v xml:space="preserve">		public const int MaxItemTextLength = 50;
</v>
      </c>
      <c r="J66" t="str">
        <f t="shared" si="56"/>
        <v xml:space="preserve">		[StringLength(MaxItemTextLength)]
		public virtual string ItemText { get; set; }
</v>
      </c>
      <c r="K66" s="6"/>
      <c r="L66" t="str">
        <f t="shared" si="57"/>
        <v/>
      </c>
      <c r="M66" t="str">
        <f t="shared" si="58"/>
        <v xml:space="preserve">		public virtual string ItemText { get; set; }
</v>
      </c>
      <c r="N66" t="str">
        <f t="shared" si="59"/>
        <v xml:space="preserve">		[StringLength(IF_FQF3MM03Consts.MaxItemTextLength)]
		public virtual string ItemText { get; set; }
</v>
      </c>
      <c r="O66" t="str">
        <f t="shared" si="60"/>
        <v xml:space="preserve">		public virtual string ItemText { get; set; }
</v>
      </c>
      <c r="P66" t="str">
        <f t="shared" si="61"/>
        <v xml:space="preserve">							ItemText = o.ItemText,</v>
      </c>
      <c r="T66" s="63" t="str">
        <f t="shared" si="62"/>
        <v xml:space="preserve">								("ItemText"),</v>
      </c>
      <c r="V66" s="64" t="str">
        <f t="shared" si="63"/>
        <v xml:space="preserve">								_ =&gt; _.ItemText,</v>
      </c>
      <c r="W66" s="63" t="str">
        <f t="shared" si="64"/>
        <v xml:space="preserve">				.WhereIf(!string.IsNullOrWhiteSpace(input.ItemText), e =&gt; e.ItemText.Contains(input.ItemText))</v>
      </c>
    </row>
    <row r="67" spans="1:23" customFormat="1" ht="18.75" customHeight="1" x14ac:dyDescent="0.25">
      <c r="A67" t="s">
        <v>416</v>
      </c>
      <c r="B67" t="s">
        <v>423</v>
      </c>
      <c r="C67" t="s">
        <v>1</v>
      </c>
      <c r="D67" t="str">
        <f t="shared" si="52"/>
        <v>PaymentMethod</v>
      </c>
      <c r="E67" t="str">
        <f t="shared" si="53"/>
        <v>varchar</v>
      </c>
      <c r="F67" s="6"/>
      <c r="G67" t="str">
        <f t="shared" si="54"/>
        <v>1</v>
      </c>
      <c r="H67" t="str">
        <f>+VLOOKUP(E67,'Data Type Mapping'!A:B,2,)</f>
        <v>string</v>
      </c>
      <c r="I67" t="str">
        <f t="shared" si="55"/>
        <v xml:space="preserve">		public const int MaxPaymentMethodLength = 1;
</v>
      </c>
      <c r="J67" t="str">
        <f t="shared" si="56"/>
        <v xml:space="preserve">		[StringLength(MaxPaymentMethodLength)]
		public virtual string PaymentMethod { get; set; }
</v>
      </c>
      <c r="K67" s="6"/>
      <c r="L67" t="str">
        <f t="shared" si="57"/>
        <v/>
      </c>
      <c r="M67" t="str">
        <f t="shared" si="58"/>
        <v xml:space="preserve">		public virtual string PaymentMethod { get; set; }
</v>
      </c>
      <c r="N67" t="str">
        <f t="shared" si="59"/>
        <v xml:space="preserve">		[StringLength(IF_FQF3MM03Consts.MaxPaymentMethodLength)]
		public virtual string PaymentMethod { get; set; }
</v>
      </c>
      <c r="O67" t="str">
        <f t="shared" si="60"/>
        <v xml:space="preserve">		public virtual string PaymentMethod { get; set; }
</v>
      </c>
      <c r="P67" t="str">
        <f t="shared" si="61"/>
        <v xml:space="preserve">							PaymentMethod = o.PaymentMethod,</v>
      </c>
      <c r="T67" s="63" t="str">
        <f t="shared" si="62"/>
        <v xml:space="preserve">								("PaymentMethod"),</v>
      </c>
      <c r="V67" s="64" t="str">
        <f t="shared" si="63"/>
        <v xml:space="preserve">								_ =&gt; _.PaymentMethod,</v>
      </c>
      <c r="W67" s="63" t="str">
        <f t="shared" si="64"/>
        <v xml:space="preserve">				.WhereIf(!string.IsNullOrWhiteSpace(input.PaymentMethod), e =&gt; e.PaymentMethod.Contains(input.PaymentMethod))</v>
      </c>
    </row>
    <row r="68" spans="1:23" customFormat="1" ht="18.75" customHeight="1" x14ac:dyDescent="0.25">
      <c r="A68" t="s">
        <v>417</v>
      </c>
      <c r="B68" t="s">
        <v>423</v>
      </c>
      <c r="C68" t="s">
        <v>1</v>
      </c>
      <c r="D68" t="str">
        <f t="shared" si="52"/>
        <v>EndingOfRecord</v>
      </c>
      <c r="E68" t="str">
        <f t="shared" si="53"/>
        <v>varchar</v>
      </c>
      <c r="F68" s="6"/>
      <c r="G68" t="str">
        <f t="shared" si="54"/>
        <v>1</v>
      </c>
      <c r="H68" t="str">
        <f>+VLOOKUP(E68,'Data Type Mapping'!A:B,2,)</f>
        <v>string</v>
      </c>
      <c r="I68" t="str">
        <f t="shared" si="55"/>
        <v xml:space="preserve">		public const int MaxEndingOfRecordLength = 1;
</v>
      </c>
      <c r="J68" t="str">
        <f t="shared" si="56"/>
        <v xml:space="preserve">		[StringLength(MaxEndingOfRecordLength)]
		public virtual string EndingOfRecord { get; set; }
</v>
      </c>
      <c r="K68" s="6"/>
      <c r="L68" t="str">
        <f t="shared" si="57"/>
        <v/>
      </c>
      <c r="M68" t="str">
        <f t="shared" si="58"/>
        <v xml:space="preserve">		public virtual string EndingOfRecord { get; set; }
</v>
      </c>
      <c r="N68" t="str">
        <f t="shared" si="59"/>
        <v xml:space="preserve">		[StringLength(IF_FQF3MM03Consts.MaxEndingOfRecordLength)]
		public virtual string EndingOfRecord { get; set; }
</v>
      </c>
      <c r="O68" t="str">
        <f t="shared" si="60"/>
        <v xml:space="preserve">		public virtual string EndingOfRecord { get; set; }
</v>
      </c>
      <c r="P68" t="str">
        <f t="shared" si="61"/>
        <v xml:space="preserve">							EndingOfRecord = o.EndingOfRecord,</v>
      </c>
      <c r="T68" s="63" t="str">
        <f t="shared" si="62"/>
        <v xml:space="preserve">								("EndingOfRecord"),</v>
      </c>
      <c r="V68" s="64" t="str">
        <f t="shared" si="63"/>
        <v xml:space="preserve">								_ =&gt; _.EndingOfRecord,</v>
      </c>
      <c r="W68" s="63" t="str">
        <f t="shared" si="64"/>
        <v xml:space="preserve">				.WhereIf(!string.IsNullOrWhiteSpace(input.EndingOfRecord), e =&gt; e.EndingOfRecord.Contains(input.EndingOfRecord))</v>
      </c>
    </row>
    <row r="70" spans="1:23" ht="45.75" customHeight="1" x14ac:dyDescent="0.25">
      <c r="H70" s="11"/>
      <c r="I70" s="31" t="str">
        <f ca="1">TEXTJOIN2("
", TRUE,INDIRECT( $H$1):INDIRECT( $H$3))</f>
        <v xml:space="preserve">		public const int MaxRecordIdLength = 7;
		public const int MaxCompanyCodeLength = 4;
		public const int MaxDocumentNoLength = 20;
		public const int MaxDocumentTypeLength = 2;
		public const int MaxDocumentDateLength = 8;
		public const int MaxCustomerCodeLength = 4;
		public const int MaxCustomerPlantCodeLength = 4;
		public const int MaxCustomerDockCodeLength = 4;
		public const int MaxPartCategoryLength = 1;
		public const int MaxWithholdingTaxFlagLength = 1;
		public const int MaxWithholdingTaxRateLength = 5;
		public const int MaxOrderTypeLength = 1;
		public const int MaxPdsNoLength = 25;
		public const int MaxPartReceivedDateLength = 8;
		public const int MaxSequenceDateLength = 8;
		public const int MaxSequenceNoLength = 10;
		public const int MaxPartNoLength = 40;
		public const int MaxReferenceDocumentNoLength = 20;
		public const int MaxPostingDateLength = 8;
		public const int MaxSupplierCodeLength = 10;
		public const int MaxSupplierPlantCodeLength = 1;
		public const int MaxPartQuantityLength = 14;
		public const int MaxUnitBuyingPriceLength = 11;
		public const int MaxUnitBuyingAmountLength = 13;
		public const int MaxUnitSellingPriceLength = 11;
		public const int MaxUnitSellingAmountLength = 13;
		public const int MaxPriceStatusLength = 1;
		public const int MaxTotalAmountLength = 13;
		public const int MaxVatAmountLength = 13;
		public const int MaxVatCodeLength = 5;
		public const int MaxPaymentTermLength = 4;
		public const int MaxReasonCodeLength = 1;
		public const int MaxMarkCodeLength = 1;
		public const int MaxSignCodeLength = 1;
		public const int MaxCancelFlagLength = 1;
		public const int MaxSupplierInvoiceNoLength = 16;
		public const int MaxTopasSmrNoLength = 9;
		public const int MaxTopasSmrItemNoLength = 4;
		public const int MaxCustomerBranchLength = 40;
		public const int MaxCostCenterLength = 10;
		public const int MaxWbsLength = 24;
		public const int MaxAssetLength = 17;
		public const int MaxOrderReasonCodeLength = 1;
		public const int MaxRetroFlagLength = 1;
		public const int MaxValuationTypeLength = 10;
		public const int MaxConditionTypeLength = 4;
		public const int MaxConditionTypeAmtLength = 23;
		public const int MaxPrepaidTaxAmtLength = 23;
		public const int MaxWithholdingTaxAmtLength = 23;
		public const int MaxStampFeeAmtLength = 23;
		public const int MaxGlAmountLength = 23;
		public const int MaxSptCodeLength = 5;
		public const int MaxHigherLevelItemLength = 7;
		public const int MaxWithholdingTaxBaseAmtLength = 23;
		public const int MaxTypeOfSalesLength = 3;
		public const int MaxProfitCenterLength = 10;
		public const int MaxDueDateLength = 8;
		public const int MaxItemTextLength = 50;
		public const int MaxPaymentMethodLength = 1;
		public const int MaxEndingOfRecordLength = 1;
</v>
      </c>
      <c r="J70" s="30" t="str">
        <f ca="1">TEXTJOIN2("
", TRUE,INDIRECT( $F$1):INDIRECT( $F$3))</f>
        <v xml:space="preserve">		[StringLength(MaxRecordIdLength)]
		public virtual string RecordId { get; set; }
		[StringLength(MaxCompanyCodeLength)]
		public virtual string CompanyCode { get; set; }
		[StringLength(MaxDocumentNoLength)]
		public virtual string DocumentNo { get; set; }
		[StringLength(MaxDocumentTypeLength)]
		public virtual string DocumentType { get; set; }
		[StringLength(MaxDocumentDateLength)]
		public virtual string DocumentDate { get; set; }
		[StringLength(MaxCustomerCodeLength)]
		public virtual string CustomerCode { get; set; }
		[StringLength(MaxCustomerPlantCodeLength)]
		public virtual string CustomerPlantCode { get; set; }
		[StringLength(MaxCustomerDockCodeLength)]
		public virtual string CustomerDockCode { get; set; }
		[StringLength(MaxPartCategoryLength)]
		public virtual string PartCategory { get; set; }
		[StringLength(MaxWithholdingTaxFlagLength)]
		public virtual string WithholdingTaxFlag { get; set; }
		[StringLength(MaxWithholdingTaxRateLength)]
		public virtual string WithholdingTaxRate { get; set; }
		[StringLength(MaxOrderTypeLength)]
		public virtual string OrderType { get; set; }
		[StringLength(MaxPdsNoLength)]
		public virtual string PdsNo { get; set; }
		[StringLength(MaxPartReceivedDateLength)]
		public virtual string PartReceivedDate { get; set; }
		[StringLength(MaxSequenceDateLength)]
		public virtual string SequenceDate { get; set; }
		[StringLength(MaxSequenceNoLength)]
		public virtual string SequenceNo { get; set; }
		[StringLength(MaxPartNoLength)]
		public virtual string PartNo { get; set; }
		[StringLength(MaxReferenceDocumentNoLength)]
		public virtual string ReferenceDocumentNo { get; set; }
		[StringLength(MaxPostingDateLength)]
		public virtual string PostingDate { get; set; }
		[StringLength(MaxSupplierCodeLength)]
		public virtual string SupplierCode { get; set; }
		[StringLength(MaxSupplierPlantCodeLength)]
		public virtual string SupplierPlantCode { get; set; }
		[StringLength(MaxPartQuantityLength)]
		public virtual string PartQuantity { get; set; }
		[StringLength(MaxUnitBuyingPriceLength)]
		public virtual string UnitBuyingPrice { get; set; }
		[StringLength(MaxUnitBuyingAmountLength)]
		public virtual string UnitBuyingAmount { get; set; }
		[StringLength(MaxUnitSellingPriceLength)]
		public virtual string UnitSellingPrice { get; set; }
		[StringLength(MaxUnitSellingAmountLength)]
		public virtual string UnitSellingAmount { get; set; }
		[StringLength(MaxPriceStatusLength)]
		public virtual string PriceStatus { get; set; }
		[StringLength(MaxTotalAmountLength)]
		public virtual string TotalAmount { get; set; }
		[StringLength(MaxVatAmountLength)]
		public virtual string VatAmount { get; set; }
		[StringLength(MaxVatCodeLength)]
		public virtual string VatCode { get; set; }
		[StringLength(MaxPaymentTermLength)]
		public virtual string PaymentTerm { get; set; }
		[StringLength(MaxReasonCodeLength)]
		public virtual string ReasonCode { get; set; }
		[StringLength(MaxMarkCodeLength)]
		public virtual string MarkCode { get; set; }
		[StringLength(MaxSignCodeLength)]
		public virtual string SignCode { get; set; }
		[StringLength(MaxCancelFlagLength)]
		public virtual string CancelFlag { get; set; }
		[StringLength(MaxSupplierInvoiceNoLength)]
		public virtual string SupplierInvoiceNo { get; set; }
		[StringLength(MaxTopasSmrNoLength)]
		public virtual string TopasSmrNo { get; set; }
		[StringLength(MaxTopasSmrItemNoLength)]
		public virtual string TopasSmrItemNo { get; set; }
		[StringLength(MaxCustomerBranchLength)]
		public virtual string CustomerBranch { get; set; }
		[StringLength(MaxCostCenterLength)]
		public virtual string CostCenter { get; set; }
		[StringLength(MaxWbsLength)]
		public virtual string Wbs { get; set; }
		[StringLength(MaxAssetLength)]
		public virtual string Asset { get; set; }
		[StringLength(MaxOrderReasonCodeLength)]
		public virtual string OrderReasonCode { get; set; }
		[StringLength(MaxRetroFlagLength)]
		public virtual string RetroFlag { get; set; }
		[StringLength(MaxValuationTypeLength)]
		public virtual string ValuationType { get; set; }
		[StringLength(MaxConditionTypeLength)]
		public virtual string ConditionType { get; set; }
		[StringLength(MaxConditionTypeAmtLength)]
		public virtual string ConditionTypeAmt { get; set; }
		[StringLength(MaxPrepaidTaxAmtLength)]
		public virtual string PrepaidTaxAmt { get; set; }
		[StringLength(MaxWithholdingTaxAmtLength)]
		public virtual string WithholdingTaxAmt { get; set; }
		[StringLength(MaxStampFeeAmtLength)]
		public virtual string StampFeeAmt { get; set; }
		[StringLength(MaxGlAmountLength)]
		public virtual string GlAmount { get; set; }
		[StringLength(MaxSptCodeLength)]
		public virtual string SptCode { get; set; }
		[StringLength(MaxHigherLevelItemLength)]
		public virtual string HigherLevelItem { get; set; }
		[StringLength(MaxWithholdingTaxBaseAmtLength)]
		public virtual string WithholdingTaxBaseAmt { get; set; }
		[StringLength(MaxTypeOfSalesLength)]
		public virtual string TypeOfSales { get; set; }
		[StringLength(MaxProfitCenterLength)]
		public virtual string ProfitCenter { get; set; }
		[StringLength(MaxDueDateLength)]
		public virtual string DueDate { get; set; }
		[StringLength(MaxItemTextLength)]
		public virtual string ItemText { get; set; }
		[StringLength(MaxPaymentMethodLength)]
		public virtual string PaymentMethod { get; set; }
		[StringLength(MaxEndingOfRecordLength)]
		public virtual string EndingOfRecord { get; set; }
</v>
      </c>
      <c r="K70" s="32" t="str">
        <f ca="1">TEXTJOIN2("
", TRUE,INDIRECT( $J$1):INDIRECT( $J$3))</f>
        <v/>
      </c>
      <c r="L70" s="12" t="s">
        <v>57</v>
      </c>
      <c r="M70" s="33" t="str">
        <f ca="1">TEXTJOIN2("
",TRUE,INDIRECT( $L$1):INDIRECT($L$3))</f>
        <v xml:space="preserve">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</v>
      </c>
      <c r="N70" s="30" t="str">
        <f ca="1">TEXTJOIN2("
",TRUE,INDIRECT( $M$1):INDIRECT($M$3))</f>
        <v xml:space="preserve">		[StringLength(IF_FQF3MM03Consts.MaxRecordIdLength)]
		public virtual string RecordId { get; set; }
		[StringLength(IF_FQF3MM03Consts.MaxCompanyCodeLength)]
		public virtual string CompanyCode { get; set; }
		[StringLength(IF_FQF3MM03Consts.MaxDocumentNoLength)]
		public virtual string DocumentNo { get; set; }
		[StringLength(IF_FQF3MM03Consts.MaxDocumentTypeLength)]
		public virtual string DocumentType { get; set; }
		[StringLength(IF_FQF3MM03Consts.MaxDocumentDateLength)]
		public virtual string DocumentDate { get; set; }
		[StringLength(IF_FQF3MM03Consts.MaxCustomerCodeLength)]
		public virtual string CustomerCode { get; set; }
		[StringLength(IF_FQF3MM03Consts.MaxCustomerPlantCodeLength)]
		public virtual string CustomerPlantCode { get; set; }
		[StringLength(IF_FQF3MM03Consts.MaxCustomerDockCodeLength)]
		public virtual string CustomerDockCode { get; set; }
		[StringLength(IF_FQF3MM03Consts.MaxPartCategoryLength)]
		public virtual string PartCategory { get; set; }
		[StringLength(IF_FQF3MM03Consts.MaxWithholdingTaxFlagLength)]
		public virtual string WithholdingTaxFlag { get; set; }
		[StringLength(IF_FQF3MM03Consts.MaxWithholdingTaxRateLength)]
		public virtual string WithholdingTaxRate { get; set; }
		[StringLength(IF_FQF3MM03Consts.MaxOrderTypeLength)]
		public virtual string OrderType { get; set; }
		[StringLength(IF_FQF3MM03Consts.MaxPdsNoLength)]
		public virtual string PdsNo { get; set; }
		[StringLength(IF_FQF3MM03Consts.MaxPartReceivedDateLength)]
		public virtual string PartReceivedDate { get; set; }
		[StringLength(IF_FQF3MM03Consts.MaxSequenceDateLength)]
		public virtual string SequenceDate { get; set; }
		[StringLength(IF_FQF3MM03Consts.MaxSequenceNoLength)]
		public virtual string SequenceNo { get; set; }
		[StringLength(IF_FQF3MM03Consts.MaxPartNoLength)]
		public virtual string PartNo { get; set; }
		[StringLength(IF_FQF3MM03Consts.MaxReferenceDocumentNoLength)]
		public virtual string ReferenceDocumentNo { get; set; }
		[StringLength(IF_FQF3MM03Consts.MaxPostingDateLength)]
		public virtual string PostingDate { get; set; }
		[StringLength(IF_FQF3MM03Consts.MaxSupplierCodeLength)]
		public virtual string SupplierCode { get; set; }
		[StringLength(IF_FQF3MM03Consts.MaxSupplierPlantCodeLength)]
		public virtual string SupplierPlantCode { get; set; }
		[StringLength(IF_FQF3MM03Consts.MaxPartQuantityLength)]
		public virtual string PartQuantity { get; set; }
		[StringLength(IF_FQF3MM03Consts.MaxUnitBuyingPriceLength)]
		public virtual string UnitBuyingPrice { get; set; }
		[StringLength(IF_FQF3MM03Consts.MaxUnitBuyingAmountLength)]
		public virtual string UnitBuyingAmount { get; set; }
		[StringLength(IF_FQF3MM03Consts.MaxUnitSellingPriceLength)]
		public virtual string UnitSellingPrice { get; set; }
		[StringLength(IF_FQF3MM03Consts.MaxUnitSellingAmountLength)]
		public virtual string UnitSellingAmount { get; set; }
		[StringLength(IF_FQF3MM03Consts.MaxPriceStatusLength)]
		public virtual string PriceStatus { get; set; }
		[StringLength(IF_FQF3MM03Consts.MaxTotalAmountLength)]
		public virtual string TotalAmount { get; set; }
		[StringLength(IF_FQF3MM03Consts.MaxVatAmountLength)]
		public virtual string VatAmount { get; set; }
		[StringLength(IF_FQF3MM03Consts.MaxVatCodeLength)]
		public virtual string VatCode { get; set; }
		[StringLength(IF_FQF3MM03Consts.MaxPaymentTermLength)]
		public virtual string PaymentTerm { get; set; }
		[StringLength(IF_FQF3MM03Consts.MaxReasonCodeLength)]
		public virtual string ReasonCode { get; set; }
		[StringLength(IF_FQF3MM03Consts.MaxMarkCodeLength)]
		public virtual string MarkCode { get; set; }
		[StringLength(IF_FQF3MM03Consts.MaxSignCodeLength)]
		public virtual string SignCode { get; set; }
		[StringLength(IF_FQF3MM03Consts.MaxCancelFlagLength)]
		public virtual string CancelFlag { get; set; }
		[StringLength(IF_FQF3MM03Consts.MaxSupplierInvoiceNoLength)]
		public virtual string SupplierInvoiceNo { get; set; }
		[StringLength(IF_FQF3MM03Consts.MaxTopasSmrNoLength)]
		public virtual string TopasSmrNo { get; set; }
		[StringLength(IF_FQF3MM03Consts.MaxTopasSmrItemNoLength)]
		public virtual string TopasSmrItemNo { get; set; }
		[StringLength(IF_FQF3MM03Consts.MaxCustomerBranchLength)]
		public virtual string CustomerBranch { get; set; }
		[StringLength(IF_FQF3MM03Consts.MaxCostCenterLength)]
		public virtual string CostCenter { get; set; }
		[StringLength(IF_FQF3MM03Consts.MaxWbsLength)]
		public virtual string Wbs { get; set; }
		[StringLength(IF_FQF3MM03Consts.MaxAssetLength)]
		public virtual string Asset { get; set; }
		[StringLength(IF_FQF3MM03Consts.MaxOrderReasonCodeLength)]
		public virtual string OrderReasonCode { get; set; }
		[StringLength(IF_FQF3MM03Consts.MaxRetroFlagLength)]
		public virtual string RetroFlag { get; set; }
		[StringLength(IF_FQF3MM03Consts.MaxValuationTypeLength)]
		public virtual string ValuationType { get; set; }
		[StringLength(IF_FQF3MM03Consts.MaxConditionTypeLength)]
		public virtual string ConditionType { get; set; }
		[StringLength(IF_FQF3MM03Consts.MaxConditionTypeAmtLength)]
		public virtual string ConditionTypeAmt { get; set; }
		[StringLength(IF_FQF3MM03Consts.MaxPrepaidTaxAmtLength)]
		public virtual string PrepaidTaxAmt { get; set; }
		[StringLength(IF_FQF3MM03Consts.MaxWithholdingTaxAmtLength)]
		public virtual string WithholdingTaxAmt { get; set; }
		[StringLength(IF_FQF3MM03Consts.MaxStampFeeAmtLength)]
		public virtual string StampFeeAmt { get; set; }
		[StringLength(IF_FQF3MM03Consts.MaxGlAmountLength)]
		public virtual string GlAmount { get; set; }
		[StringLength(IF_FQF3MM03Consts.MaxSptCodeLength)]
		public virtual string SptCode { get; set; }
		[StringLength(IF_FQF3MM03Consts.MaxHigherLevelItemLength)]
		public virtual string HigherLevelItem { get; set; }
		[StringLength(IF_FQF3MM03Consts.MaxWithholdingTaxBaseAmtLength)]
		public virtual string WithholdingTaxBaseAmt { get; set; }
		[StringLength(IF_FQF3MM03Consts.MaxTypeOfSalesLength)]
		public virtual string TypeOfSales { get; set; }
		[StringLength(IF_FQF3MM03Consts.MaxProfitCenterLength)]
		public virtual string ProfitCenter { get; set; }
		[StringLength(IF_FQF3MM03Consts.MaxDueDateLength)]
		public virtual string DueDate { get; set; }
		[StringLength(IF_FQF3MM03Consts.MaxItemTextLength)]
		public virtual string ItemText { get; set; }
		[StringLength(IF_FQF3MM03Consts.MaxPaymentMethodLength)]
		public virtual string PaymentMethod { get; set; }
		[StringLength(IF_FQF3MM03Consts.MaxEndingOfRecordLength)]
		public virtual string EndingOfRecord { get; set; }
</v>
      </c>
      <c r="O70" s="30" t="str">
        <f ca="1">TEXTJOIN2("
",TRUE,INDIRECT( $N$1):INDIRECT($N$3))</f>
        <v xml:space="preserve">		public virtual string RecordId { get; set; }
		public virtual string CompanyCode { get; set; }
		public virtual string DocumentNo { get; set; }
		public virtual string DocumentType { get; set; }
		public virtual string DocumentDate { get; set; }
		public virtual string CustomerCode { get; set; }
		public virtual string CustomerPlantCode { get; set; }
		public virtual string CustomerDockCode { get; set; }
		public virtual string PartCategory { get; set; }
		public virtual string WithholdingTaxFlag { get; set; }
		public virtual string WithholdingTaxRate { get; set; }
		public virtual string OrderType { get; set; }
		public virtual string PdsNo { get; set; }
		public virtual string PartReceivedDate { get; set; }
		public virtual string SequenceDate { get; set; }
		public virtual string SequenceNo { get; set; }
		public virtual string PartNo { get; set; }
		public virtual string ReferenceDocumentNo { get; set; }
		public virtual string PostingDate { get; set; }
		public virtual string SupplierCode { get; set; }
		public virtual string SupplierPlantCode { get; set; }
		public virtual string PartQuantity { get; set; }
		public virtual string UnitBuyingPrice { get; set; }
		public virtual string UnitBuyingAmount { get; set; }
		public virtual string UnitSellingPrice { get; set; }
		public virtual string UnitSellingAmount { get; set; }
		public virtual string PriceStatus { get; set; }
		public virtual string TotalAmount { get; set; }
		public virtual string VatAmount { get; set; }
		public virtual string VatCode { get; set; }
		public virtual string PaymentTerm { get; set; }
		public virtual string ReasonCode { get; set; }
		public virtual string MarkCode { get; set; }
		public virtual string SignCode { get; set; }
		public virtual string CancelFlag { get; set; }
		public virtual string SupplierInvoiceNo { get; set; }
		public virtual string TopasSmrNo { get; set; }
		public virtual string TopasSmrItemNo { get; set; }
		public virtual string CustomerBranch { get; set; }
		public virtual string CostCenter { get; set; }
		public virtual string Wbs { get; set; }
		public virtual string Asset { get; set; }
		public virtual string OrderReasonCode { get; set; }
		public virtual string RetroFlag { get; set; }
		public virtual string ValuationType { get; set; }
		public virtual string ConditionType { get; set; }
		public virtual string ConditionTypeAmt { get; set; }
		public virtual string PrepaidTaxAmt { get; set; }
		public virtual string WithholdingTaxAmt { get; set; }
		public virtual string StampFeeAmt { get; set; }
		public virtual string GlAmount { get; set; }
		public virtual string SptCode { get; set; }
		public virtual string HigherLevelItem { get; set; }
		public virtual string WithholdingTaxBaseAmt { get; set; }
		public virtual string TypeOfSales { get; set; }
		public virtual string ProfitCenter { get; set; }
		public virtual string DueDate { get; set; }
		public virtual string ItemText { get; set; }
		public virtual string PaymentMethod { get; set; }
		public virtual string EndingOfRecord { get; set; }
</v>
      </c>
      <c r="P70" s="8" t="str">
        <f ca="1">TEXTJOIN2("
",TRUE,INDIRECT( $O$1):INDIRECT($O$3))</f>
        <v xml:space="preserve">							RecordId = o.RecordId,
							CompanyCode = o.CompanyCode,
							DocumentNo = o.DocumentNo,
							DocumentType = o.DocumentType,
							DocumentDate = o.DocumentDate,
							CustomerCode = o.CustomerCode,
							CustomerPlantCode = o.CustomerPlantCode,
							CustomerDockCode = o.CustomerDockCode,
							PartCategory = o.PartCategory,
							WithholdingTaxFlag = o.WithholdingTaxFlag,
							WithholdingTaxRate = o.WithholdingTaxRate,
							OrderType = o.OrderType,
							PdsNo = o.PdsNo,
							PartReceivedDate = o.PartReceivedDate,
							SequenceDate = o.SequenceDate,
							SequenceNo = o.SequenceNo,
							PartNo = o.PartNo,
							ReferenceDocumentNo = o.ReferenceDocumentNo,
							PostingDate = o.PostingDate,
							SupplierCode = o.SupplierCode,
							SupplierPlantCode = o.SupplierPlantCode,
							PartQuantity = o.PartQuantity,
							UnitBuyingPrice = o.UnitBuyingPrice,
							UnitBuyingAmount = o.UnitBuyingAmount,
							UnitSellingPrice = o.UnitSellingPrice,
							UnitSellingAmount = o.UnitSellingAmount,
							PriceStatus = o.PriceStatus,
							TotalAmount = o.TotalAmount,
							VatAmount = o.VatAmount,
							VatCode = o.VatCode,
							PaymentTerm = o.PaymentTerm,
							ReasonCode = o.ReasonCode,
							MarkCode = o.MarkCode,
							SignCode = o.SignCode,
							CancelFlag = o.CancelFlag,
							SupplierInvoiceNo = o.SupplierInvoiceNo,
							TopasSmrNo = o.TopasSmrNo,
							TopasSmrItemNo = o.TopasSmrItemNo,
							CustomerBranch = o.CustomerBranch,
							CostCenter = o.CostCenter,
							Wbs = o.Wbs,
							Asset = o.Asset,
							OrderReasonCode = o.OrderReasonCode,
							RetroFlag = o.RetroFlag,
							ValuationType = o.ValuationType,
							ConditionType = o.ConditionType,
							ConditionTypeAmt = o.ConditionTypeAmt,
							PrepaidTaxAmt = o.PrepaidTaxAmt,
							WithholdingTaxAmt = o.WithholdingTaxAmt,
							StampFeeAmt = o.StampFeeAmt,
							GlAmount = o.GlAmount,
							SptCode = o.SptCode,
							HigherLevelItem = o.HigherLevelItem,
							WithholdingTaxBaseAmt = o.WithholdingTaxBaseAmt,
							TypeOfSales = o.TypeOfSales,
							ProfitCenter = o.ProfitCenter,
							DueDate = o.DueDate,
							ItemText = o.ItemText,
							PaymentMethod = o.PaymentMethod,
							EndingOfRecord = o.EndingOfRecord,</v>
      </c>
      <c r="T70" s="8" t="str">
        <f ca="1">TEXTJOIN2("
",TRUE,INDIRECT( $T$2):INDIRECT($T$3))</f>
        <v xml:space="preserve">								("RecordId"),
								("CompanyCode"),
								("DocumentNo"),
								("DocumentType"),
								("DocumentDate"),
								("CustomerCode"),
								("CustomerPlantCode"),
								("CustomerDockCode"),
								("PartCategory"),
								("WithholdingTaxFlag"),
								("WithholdingTaxRate"),
								("OrderType"),
								("PdsNo"),
								("PartReceivedDate"),
								("SequenceDate"),
								("SequenceNo"),
								("PartNo"),
								("ReferenceDocumentNo"),
								("PostingDate"),
								("SupplierCode"),
								("SupplierPlantCode"),
								("PartQuantity"),
								("UnitBuyingPrice"),
								("UnitBuyingAmount"),
								("UnitSellingPrice"),
								("UnitSellingAmount"),
								("PriceStatus"),
								("TotalAmount"),
								("VatAmount"),
								("VatCode"),
								("PaymentTerm"),
								("ReasonCode"),
								("MarkCode"),
								("SignCode"),
								("CancelFlag"),
								("SupplierInvoiceNo"),
								("TopasSmrNo"),
								("TopasSmrItemNo"),
								("CustomerBranch"),
								("CostCenter"),
								("Wbs"),
								("Asset"),
								("OrderReasonCode"),
								("RetroFlag"),
								("ValuationType"),
								("ConditionType"),
								("ConditionTypeAmt"),
								("PrepaidTaxAmt"),
								("WithholdingTaxAmt"),
								("StampFeeAmt"),
								("GlAmount"),
								("SptCode"),
								("HigherLevelItem"),
								("WithholdingTaxBaseAmt"),
								("TypeOfSales"),
								("ProfitCenter"),
								("DueDate"),
								("ItemText"),
								("PaymentMethod"),
								("EndingOfRecord"),</v>
      </c>
      <c r="V70" s="8" t="str">
        <f ca="1">TEXTJOIN2("
",TRUE,INDIRECT( $V$2):INDIRECT($V$3))</f>
        <v xml:space="preserve">								_ =&gt; _.RecordId,
								_ =&gt; _.CompanyCode,
								_ =&gt; _.DocumentNo,
								_ =&gt; _.DocumentType,
								_ =&gt; _.DocumentDate,
								_ =&gt; _.CustomerCode,
								_ =&gt; _.CustomerPlantCode,
								_ =&gt; _.CustomerDockCode,
								_ =&gt; _.PartCategory,
								_ =&gt; _.WithholdingTaxFlag,
								_ =&gt; _.WithholdingTaxRate,
								_ =&gt; _.OrderType,
								_ =&gt; _.PdsNo,
								_ =&gt; _.PartReceivedDate,
								_ =&gt; _.SequenceDate,
								_ =&gt; _.SequenceNo,
								_ =&gt; _.PartNo,
								_ =&gt; _.ReferenceDocumentNo,
								_ =&gt; _.PostingDate,
								_ =&gt; _.SupplierCode,
								_ =&gt; _.SupplierPlantCode,
								_ =&gt; _.PartQuantity,
								_ =&gt; _.UnitBuyingPrice,
								_ =&gt; _.UnitBuyingAmount,
								_ =&gt; _.UnitSellingPrice,
								_ =&gt; _.UnitSellingAmount,
								_ =&gt; _.PriceStatus,
								_ =&gt; _.TotalAmount,
								_ =&gt; _.VatAmount,
								_ =&gt; _.VatCode,
								_ =&gt; _.PaymentTerm,
								_ =&gt; _.ReasonCode,
								_ =&gt; _.MarkCode,
								_ =&gt; _.SignCode,
								_ =&gt; _.CancelFlag,
								_ =&gt; _.SupplierInvoiceNo,
								_ =&gt; _.TopasSmrNo,
								_ =&gt; _.TopasSmrItemNo,
								_ =&gt; _.CustomerBranch,
								_ =&gt; _.CostCenter,
								_ =&gt; _.Wbs,
								_ =&gt; _.Asset,
								_ =&gt; _.OrderReasonCode,
								_ =&gt; _.RetroFlag,
								_ =&gt; _.ValuationType,
								_ =&gt; _.ConditionType,
								_ =&gt; _.ConditionTypeAmt,
								_ =&gt; _.PrepaidTaxAmt,
								_ =&gt; _.WithholdingTaxAmt,
								_ =&gt; _.StampFeeAmt,
								_ =&gt; _.GlAmount,
								_ =&gt; _.SptCode,
								_ =&gt; _.HigherLevelItem,
								_ =&gt; _.WithholdingTaxBaseAmt,
								_ =&gt; _.TypeOfSales,
								_ =&gt; _.ProfitCenter,
								_ =&gt; _.DueDate,
								_ =&gt; _.ItemText,
								_ =&gt; _.PaymentMethod,
								_ =&gt; _.EndingOfRecord,</v>
      </c>
      <c r="W70" s="8" t="str">
        <f ca="1">TEXTJOIN2("
",TRUE,INDIRECT( $W$2):INDIRECT($W$3))</f>
        <v xml:space="preserve">				.WhereIf(!string.IsNullOrWhiteSpace(input.RecordId), e =&gt; e.RecordId.Contains(input.RecordId))
				.WhereIf(!string.IsNullOrWhiteSpace(input.CompanyCode), e =&gt; e.CompanyCode.Contains(input.CompanyCode))
				.WhereIf(!string.IsNullOrWhiteSpace(input.DocumentNo), e =&gt; e.DocumentNo.Contains(input.DocumentNo))
				.WhereIf(!string.IsNullOrWhiteSpace(input.DocumentType), e =&gt; e.DocumentType.Contains(input.DocumentType))
				.WhereIf(!string.IsNullOrWhiteSpace(input.DocumentDate), e =&gt; e.DocumentDate.Contains(input.DocumentDate))
				.WhereIf(!string.IsNullOrWhiteSpace(input.CustomerCode), e =&gt; e.CustomerCode.Contains(input.CustomerCode))
				.WhereIf(!string.IsNullOrWhiteSpace(input.CustomerPlantCode), e =&gt; e.CustomerPlantCode.Contains(input.CustomerPlantCode))
				.WhereIf(!string.IsNullOrWhiteSpace(input.CustomerDockCode), e =&gt; e.CustomerDockCode.Contains(input.CustomerDockCode))
				.WhereIf(!string.IsNullOrWhiteSpace(input.PartCategory), e =&gt; e.PartCategory.Contains(input.PartCategory))
				.WhereIf(!string.IsNullOrWhiteSpace(input.WithholdingTaxFlag), e =&gt; e.WithholdingTaxFlag.Contains(input.WithholdingTaxFlag))
				.WhereIf(!string.IsNullOrWhiteSpace(input.WithholdingTaxRate), e =&gt; e.WithholdingTaxRate.Contains(input.WithholdingTaxRate))
				.WhereIf(!string.IsNullOrWhiteSpace(input.OrderType), e =&gt; e.OrderType.Contains(input.OrderType))
				.WhereIf(!string.IsNullOrWhiteSpace(input.PdsNo), e =&gt; e.PdsNo.Contains(input.PdsNo))
				.WhereIf(!string.IsNullOrWhiteSpace(input.PartReceivedDate), e =&gt; e.PartReceivedDate.Contains(input.PartReceivedDate))
				.WhereIf(!string.IsNullOrWhiteSpace(input.SequenceDate), e =&gt; e.SequenceDate.Contains(input.SequenceDate))
				.WhereIf(!string.IsNullOrWhiteSpace(input.SequenceNo), e =&gt; e.SequenceNo.Contains(input.SequenceNo))
				.WhereIf(!string.IsNullOrWhiteSpace(input.PartNo), e =&gt; e.PartNo.Contains(input.PartNo))
				.WhereIf(!string.IsNullOrWhiteSpace(input.ReferenceDocumentNo), e =&gt; e.ReferenceDocumentNo.Contains(input.ReferenceDocumentNo))
				.WhereIf(!string.IsNullOrWhiteSpace(input.PostingDate), e =&gt; e.PostingDate.Contains(input.PostingDate))
				.WhereIf(!string.IsNullOrWhiteSpace(input.SupplierCode), e =&gt; e.SupplierCode.Contains(input.SupplierCode))
				.WhereIf(!string.IsNullOrWhiteSpace(input.SupplierPlantCode), e =&gt; e.SupplierPlantCode.Contains(input.SupplierPlantCode))
				.WhereIf(!string.IsNullOrWhiteSpace(input.PartQuantity), e =&gt; e.PartQuantity.Contains(input.PartQuantity))
				.WhereIf(!string.IsNullOrWhiteSpace(input.UnitBuyingPrice), e =&gt; e.UnitBuyingPrice.Contains(input.UnitBuyingPrice))
				.WhereIf(!string.IsNullOrWhiteSpace(input.UnitBuyingAmount), e =&gt; e.UnitBuyingAmount.Contains(input.UnitBuyingAmount))
				.WhereIf(!string.IsNullOrWhiteSpace(input.UnitSellingPrice), e =&gt; e.UnitSellingPrice.Contains(input.UnitSellingPrice))
				.WhereIf(!string.IsNullOrWhiteSpace(input.UnitSellingAmount), e =&gt; e.UnitSellingAmount.Contains(input.UnitSellingAmount))
				.WhereIf(!string.IsNullOrWhiteSpace(input.PriceStatus), e =&gt; e.PriceStatus.Contains(input.PriceStatus))
				.WhereIf(!string.IsNullOrWhiteSpace(input.TotalAmount), e =&gt; e.TotalAmount.Contains(input.TotalAmount))
				.WhereIf(!string.IsNullOrWhiteSpace(input.VatAmount), e =&gt; e.VatAmount.Contains(input.VatAmount))
				.WhereIf(!string.IsNullOrWhiteSpace(input.VatCode), e =&gt; e.VatCode.Contains(input.VatCode))
				.WhereIf(!string.IsNullOrWhiteSpace(input.PaymentTerm), e =&gt; e.PaymentTerm.Contains(input.PaymentTerm))
				.WhereIf(!string.IsNullOrWhiteSpace(input.ReasonCode), e =&gt; e.ReasonCode.Contains(input.ReasonCode))
				.WhereIf(!string.IsNullOrWhiteSpace(input.MarkCode), e =&gt; e.MarkCode.Contains(input.MarkCode))
				.WhereIf(!string.IsNullOrWhiteSpace(input.SignCode), e =&gt; e.SignCode.Contains(input.SignCode))
				.WhereIf(!string.IsNullOrWhiteSpace(input.CancelFlag), e =&gt; e.CancelFlag.Contains(input.CancelFlag))
				.WhereIf(!string.IsNullOrWhiteSpace(input.SupplierInvoiceNo), e =&gt; e.SupplierInvoiceNo.Contains(input.SupplierInvoiceNo))
				.WhereIf(!string.IsNullOrWhiteSpace(input.TopasSmrNo), e =&gt; e.TopasSmrNo.Contains(input.TopasSmrNo))
				.WhereIf(!string.IsNullOrWhiteSpace(input.TopasSmrItemNo), e =&gt; e.TopasSmrItemNo.Contains(input.TopasSmrItemNo))
				.WhereIf(!string.IsNullOrWhiteSpace(input.CustomerBranch), e =&gt; e.CustomerBranch.Contains(input.CustomerBranch))
				.WhereIf(!string.IsNullOrWhiteSpace(input.CostCenter), e =&gt; e.CostCenter.Contains(input.CostCenter))
				.WhereIf(!string.IsNullOrWhiteSpace(input.Wbs), e =&gt; e.Wbs.Contains(input.Wbs))
				.WhereIf(!string.IsNullOrWhiteSpace(input.Asset), e =&gt; e.Asset.Contains(input.Asset))
				.WhereIf(!string.IsNullOrWhiteSpace(input.OrderReasonCode), e =&gt; e.OrderReasonCode.Contains(input.OrderReasonCode))
				.WhereIf(!string.IsNullOrWhiteSpace(input.RetroFlag), e =&gt; e.RetroFlag.Contains(input.RetroFlag))
				.WhereIf(!string.IsNullOrWhiteSpace(input.ValuationType), e =&gt; e.ValuationType.Contains(input.ValuationType))
				.WhereIf(!string.IsNullOrWhiteSpace(input.ConditionType), e =&gt; e.ConditionType.Contains(input.ConditionType))
				.WhereIf(!string.IsNullOrWhiteSpace(input.ConditionTypeAmt), e =&gt; e.ConditionTypeAmt.Contains(input.ConditionTypeAmt))
				.WhereIf(!string.IsNullOrWhiteSpace(input.PrepaidTaxAmt), e =&gt; e.PrepaidTaxAmt.Contains(input.PrepaidTaxAmt))
				.WhereIf(!string.IsNullOrWhiteSpace(input.WithholdingTaxAmt), e =&gt; e.WithholdingTaxAmt.Contains(input.WithholdingTaxAmt))
				.WhereIf(!string.IsNullOrWhiteSpace(input.StampFeeAmt), e =&gt; e.StampFeeAmt.Contains(input.StampFeeAmt))
				.WhereIf(!string.IsNullOrWhiteSpace(input.GlAmount), e =&gt; e.GlAmount.Contains(input.GlAmount))
				.WhereIf(!string.IsNullOrWhiteSpace(input.SptCode), e =&gt; e.SptCode.Contains(input.SptCode))
				.WhereIf(!string.IsNullOrWhiteSpace(input.HigherLevelItem), e =&gt; e.HigherLevelItem.Contains(input.HigherLevelItem))
				.WhereIf(!string.IsNullOrWhiteSpace(input.WithholdingTaxBaseAmt), e =&gt; e.WithholdingTaxBaseAmt.Contains(input.WithholdingTaxBaseAmt))
				.WhereIf(!string.IsNullOrWhiteSpace(input.TypeOfSales), e =&gt; e.TypeOfSales.Contains(input.TypeOfSales))
				.WhereIf(!string.IsNullOrWhiteSpace(input.ProfitCenter), e =&gt; e.ProfitCenter.Contains(input.ProfitCenter))
				.WhereIf(!string.IsNullOrWhiteSpace(input.DueDate), e =&gt; e.DueDate.Contains(input.DueDate))
				.WhereIf(!string.IsNullOrWhiteSpace(input.ItemText), e =&gt; e.ItemText.Contains(input.ItemText))
				.WhereIf(!string.IsNullOrWhiteSpace(input.PaymentMethod), e =&gt; e.PaymentMethod.Contains(input.PaymentMethod))
				.WhereIf(!string.IsNullOrWhiteSpace(input.EndingOfRecord), e =&gt; e.EndingOfRecord.Contains(input.EndingOfRecord))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76"/>
  <sheetViews>
    <sheetView workbookViewId="0">
      <selection activeCell="B1" sqref="B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IF_FQF3MM03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FQF3MM03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fqf3mm03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IF_FQF3MM03Dto, IF_FQF3MM03ServiceProxy } from '@shared/service-proxies/service-proxies';
import { finalize } from 'rxjs/internal/operators/finalize';
import { CreateOrEditFQF3MM03ModalComponent } from './create-or-edit-fqf3mm03-modal.component';
import { DatePipe } from '@angular/common';
import { FileDownloadService } from '@shared/utils/file-download.service';
import ceil from 'lodash-es/ceil';
import { Paginator } from 'primeng/paginator';
@Component({
    templateUrl: './fqf3mm03.component.html',
    styleUrls: ['./fqf3mm03.component.less'],
})
export class FQF3MM03Component extends AppComponentBase implements OnInit {
    @ViewChild('createOrEditModalFQF3MM03', { static: true }) createOrEditModalFQF3MM03:| CreateOrEditFQF3MM03ModalComponent|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IF_FQF3MM03Dto = new IF_FQF3MM03Dto();
    saveSelectedRow: IF_FQF3MM03Dto = new IF_FQF3MM03Dto();
    datas: IF_FQF3MM03Dto = new IF_FQF3MM03Dto();
    isLoading: boolean = false;
    dataParams: GridParams | undefined;
    rowData: any[] = [];
    gridApi!: GridApi;
    rowSelection = 'multiple';
    filter: string = '';
	pipe = new DatePipe('en-US');
	frameworkComponents: FrameworkComponent;
    	recordId : string = '' ; 
	companyCode : string = '' ; 
	documentNo : string = '' ; 
	documentType : string = '' ; 
	documentDate : string = '' ; 
	customerCode : string = '' ; 
	customerPlantCode : string = '' ; 
	customerDockCode : string = '' ; 
	partCategory : string = '' ; 
	withholdingTaxFlag : string = '' ; 
	withholdingTaxRate : string = '' ; 
	orderType : string = '' ; 
	pdsNo : string = '' ; 
	partReceivedDate : string = '' ; 
	sequenceDate : string = '' ; 
	sequenceNo : string = '' ; 
	partNo : string = '' ; 
	referenceDocumentNo : string = '' ; 
	postingDate : string = '' ; 
	supplierCode : string = '' ; 
	supplierPlantCode : string = '' ; 
	partQuantity : string = '' ; 
	unitBuyingPrice : string = '' ; 
	unitBuyingAmount : string = '' ; 
	unitSellingPrice : string = '' ; 
	unitSellingAmount : string = '' ; 
	priceStatus : string = '' ; 
	totalAmount : string = '' ; 
	vatAmount : string = '' ; 
	vatCode : string = '' ; 
	paymentTerm : string = '' ; 
	reasonCode : string = '' ; 
	markCode : string = '' ; 
	signCode : string = '' ; 
	cancelFlag : string = '' ; 
	supplierInvoiceNo : string = '' ; 
	topasSmrNo : string = '' ; 
	topasSmrItemNo : string = '' ; 
	customerBranch : string = '' ; 
	costCenter : string = '' ; 
	wbs : string = '' ; 
	asset : string = '' ; 
	orderReasonCode : string = '' ; 
	retroFlag : string = '' ; 
	valuationType : string = '' ; 
	conditionType : string = '' ; 
	conditionTypeAmt : string = '' ; 
	prepaidTaxAmt : string = '' ; 
	withholdingTaxAmt : string = '' ; 
	stampFeeAmt : string = '' ; 
	glAmount : string = '' ; 
	sptCode : string = '' ; 
	higherLevelItem : string = '' ; 
	withholdingTaxBaseAmt : string = '' ; 
	typeOfSales : string = '' ; 
	profitCenter : string = '' ; 
	dueDate : string = '' ; 
	itemText : string = '' ; 
	paymentMethod : string = '' ; 
	endingOfRecord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IF_FQF3MM03ServiceProxy,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this.l('Company Code'),headerTooltip: this.l('Company Code'),field: 'companyCode',flex: 1},
			{headerName: this.l('Document No'),headerTooltip: this.l('Document No'),field: 'documentNo',flex: 1},
			{headerName: this.l('Document Type'),headerTooltip: this.l('Document Type'),field: 'documentType',flex: 1},
			{headerName: this.l('Document Date'),headerTooltip: this.l('Document Date'),field: 'documentDate',flex: 1},
			{headerName: this.l('Customer Code'),headerTooltip: this.l('Customer Code'),field: 'customerCode',flex: 1},
			{headerName: this.l('Customer Plant Code'),headerTooltip: this.l('Customer Plant Code'),field: 'customerPlantCode',flex: 1},
			{headerName: this.l('Customer Dock Code'),headerTooltip: this.l('Customer Dock Code'),field: 'customerDockCode',flex: 1},
			{headerName: this.l('Part Category'),headerTooltip: this.l('Part Category'),field:  'partCategory', cellClass: ['text-center'], width: 120, cellRenderer: 'agCellButtonComponent',
buttonDefTwo: { text: params =&gt; (params.data?.'partCategory' == 'Y') ? 'Active' : 'Inactive',iconName: 'fa fa-circle',className: params =&gt; (params.data?.'partCategory' == 'Y') ? 'btnActive' : 'btnInActive',},}
			{headerName: this.l('Withholding Tax Flag'),headerTooltip: this.l('Withholding Tax Flag'),field:  'withholdingTaxFlag', cellClass: ['text-center'], width: 120, cellRenderer: 'agCellButtonComponent',
buttonDefTwo: { text: params =&gt; (params.data?.'withholdingTaxFlag' == 'Y') ? 'Active' : 'Inactive',iconName: 'fa fa-circle',className: params =&gt; (params.data?.'withholdingTaxFlag' == 'Y') ? 'btnActive' : 'btnInActive',},}
			{headerName: this.l('Withholding Tax Rate'),headerTooltip: this.l('Withholding Tax Rate'),field: 'withholdingTaxRate',flex: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this.l('Pds No'),headerTooltip: this.l('Pds No'),field: 'pdsNo',flex: 1},
			{headerName: this.l('Part Received Date'),headerTooltip: this.l('Part Received Date'),field: 'partReceivedDate',flex: 1},
			{headerName: this.l('Sequence Date'),headerTooltip: this.l('Sequence Date'),field: 'sequenceDate',flex: 1},
			{headerName: this.l('Sequence No'),headerTooltip: this.l('Sequence No'),field: 'sequenceNo',flex: 1},
			{headerName: this.l('Part No'),headerTooltip: this.l('Part No'),field: 'partNo',flex: 1},
			{headerName: this.l('Reference Document No'),headerTooltip: this.l('Reference Document No'),field: 'referenceDocumentNo',flex: 1},
			{headerName: this.l('Posting Date'),headerTooltip: this.l('Posting Date'),field: 'postingDate',flex: 1},
			{headerName: this.l('Supplier Code'),headerTooltip: this.l('Supplier Code'),field: 'supplierCode',flex: 1},
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
			{headerName: this.l('Part Quantity'),headerTooltip: this.l('Part Quantity'),field: 'partQuantity',flex: 1},
			{headerName: this.l('Unit Buying Price'),headerTooltip: this.l('Unit Buying Price'),field: 'unitBuyingPrice',flex: 1},
			{headerName: this.l('Unit Buying Amount'),headerTooltip: this.l('Unit Buying Amount'),field: 'unitBuyingAmount',flex: 1},
			{headerName: this.l('Unit Selling Price'),headerTooltip: this.l('Unit Selling Price'),field: 'unitSellingPrice',flex: 1},
			{headerName: this.l('Unit Selling Amount'),headerTooltip: this.l('Unit Selling Amount'),field: 'unitSellingAmount',flex: 1},
			{headerName: this.l('Price Status'),headerTooltip: this.l('Price Status'),field:  'priceStatus', cellClass: ['text-center'], width: 120, cellRenderer: 'agCellButtonComponent',
buttonDefTwo: { text: params =&gt; (params.data?.'priceStatus' == 'Y') ? 'Active' : 'Inactive',iconName: 'fa fa-circle',className: params =&gt; (params.data?.'priceStatus' == 'Y') ? 'btnActive' : 'btnInActive',},}
			{headerName: this.l('Total Amount'),headerTooltip: this.l('Total Amount'),field: 'totalAmount',flex: 1},
			{headerName: this.l('Vat Amount'),headerTooltip: this.l('Vat Amount'),field: 'vatAmount',flex: 1},
			{headerName: this.l('Vat Code'),headerTooltip: this.l('Vat Code'),field: 'vatCode',flex: 1},
			{headerName: this.l('Payment Term'),headerTooltip: this.l('Payment Term'),field: 'paymentTerm',flex: 1},
			{headerName: this.l('Reason Code'),headerTooltip: this.l('Reason Code'),field:  'reasonCode', cellClass: ['text-center'], width: 120, cellRenderer: 'agCellButtonComponent',
buttonDefTwo: { text: params =&gt; (params.data?.'reasonCode' == 'Y') ? 'Active' : 'Inactive',iconName: 'fa fa-circle',className: params =&gt; (params.data?.'reasonCode' == 'Y') ? 'btnActive' : 'btnInActive',},}
			{headerName: this.l('Mark Code'),headerTooltip: this.l('Mark Code'),field:  'markCode', cellClass: ['text-center'], width: 120, cellRenderer: 'agCellButtonComponent',
buttonDefTwo: { text: params =&gt; (params.data?.'markCode' == 'Y') ? 'Active' : 'Inactive',iconName: 'fa fa-circle',className: params =&gt; (params.data?.'markCode' == 'Y') ? 'btnActive' : 'btnInActive',},}
			{headerName: this.l('Sign Code'),headerTooltip: this.l('Sign Code'),field:  'signCode', cellClass: ['text-center'], width: 120, cellRenderer: 'agCellButtonComponent',
buttonDefTwo: { text: params =&gt; (params.data?.'signCode' == 'Y') ? 'Active' : 'Inactive',iconName: 'fa fa-circle',className: params =&gt; (params.data?.'signCode' == 'Y') ? 'btnActive' : 'btnInActive',},}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this.l('Supplier Invoice No'),headerTooltip: this.l('Supplier Invoice No'),field: 'supplierInvoiceNo',flex: 1},
			{headerName: this.l('Topas Smr No'),headerTooltip: this.l('Topas Smr No'),field: 'topasSmrNo',flex: 1},
			{headerName: this.l('Topas Smr Item No'),headerTooltip: this.l('Topas Smr Item No'),field: 'topasSmrItemNo',flex: 1},
			{headerName: this.l('Customer Branch'),headerTooltip: this.l('Customer Branch'),field: 'customerBranch',flex: 1},
			{headerName: this.l('Cost Center'),headerTooltip: this.l('Cost Center'),field: 'costCenter',flex: 1},
			{headerName: this.l('Wbs'),headerTooltip: this.l('Wbs'),field: 'wbs',flex: 1},
			{headerName: this.l('Asset'),headerTooltip: this.l('Asset'),field: 'asset',flex: 1},
			{headerName: this.l('Order Reason Code'),headerTooltip: this.l('Order Reason Code'),field:  'orderReasonCode', cellClass: ['text-center'], width: 120, cellRenderer: 'agCellButtonComponent',
buttonDefTwo: { text: params =&gt; (params.data?.'orderReasonCode' == 'Y') ? 'Active' : 'Inactive',iconName: 'fa fa-circle',className: params =&gt; (params.data?.'orderReasonCode' == 'Y') ? 'btnActive' : 'btnInActive',},}
			{headerName: this.l('Retro Flag'),headerTooltip: this.l('Retro Flag'),field:  'retroFlag', cellClass: ['text-center'], width: 120, cellRenderer: 'agCellButtonComponent',
buttonDefTwo: { text: params =&gt; (params.data?.'retroFlag' == 'Y') ? 'Active' : 'Inactive',iconName: 'fa fa-circle',className: params =&gt; (params.data?.'retroFlag' == 'Y') ? 'btnActive' : 'btnInActive',},}
			{headerName: this.l('Valuation Type'),headerTooltip: this.l('Valuation Type'),field: 'valuationType',flex: 1},
			{headerName: this.l('Condition Type'),headerTooltip: this.l('Condition Type'),field: 'conditionType',flex: 1},
			{headerName: this.l('Condition Type Amt'),headerTooltip: this.l('Condition Type Amt'),field: 'conditionTypeAmt',flex: 1},
			{headerName: this.l('Prepaid Tax Amt'),headerTooltip: this.l('Prepaid Tax Amt'),field: 'prepaidTaxAmt',flex: 1},
			{headerName: this.l('Withholding Tax Amt'),headerTooltip: this.l('Withholding Tax Amt'),field: 'withholdingTaxAmt',flex: 1},
			{headerName: this.l('Stamp Fee Amt'),headerTooltip: this.l('Stamp Fee Amt'),field: 'stampFeeAmt',flex: 1},
			{headerName: this.l('Gl Amount'),headerTooltip: this.l('Gl Amount'),field: 'glAmount',flex: 1},
			{headerName: this.l('Spt Code'),headerTooltip: this.l('Spt Code'),field: 'sptCode',flex: 1},
			{headerName: this.l('Higher Level Item'),headerTooltip: this.l('Higher Level Item'),field: 'higherLevelItem',flex: 1},
			{headerName: this.l('Withholding Tax Base Amt'),headerTooltip: this.l('Withholding Tax Base Amt'),field: 'withholdingTaxBaseAmt',flex: 1},
			{headerName: this.l('Type Of Sales'),headerTooltip: this.l('Type Of Sales'),field: 'typeOfSales',flex: 1},
			{headerName: this.l('Profit Center'),headerTooltip: this.l('Profit Center'),field: 'profitCenter',flex: 1},
			{headerName: this.l('Due Date'),headerTooltip: this.l('Due Date'),field: 'dueDate',flex: 1},
			{headerName: this.l('Item Text'),headerTooltip: this.l('Item Text'),field: 'itemText',flex: 1},
			{headerName: this.l('Payment Method'),headerTooltip: this.l('Payment Method'),field:  'paymentMethod', cellClass: ['text-center'], width: 120, cellRenderer: 'agCellButtonComponent',
buttonDefTwo: { text: params =&gt; (params.data?.'paymentMethod' == 'Y') ? 'Active' : 'Inactive',iconName: 'fa fa-circle',className: params =&gt; (params.data?.'paymentMethod' == 'Y') ? 'btnActive' : 'btnInActive',},}
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this.companyCode,
			this.documentNo,
			this.documentType,
			this.documentDate,
			this.customerCode,
			this.customerPlantCode,
			this.customerDockCode,
			this.partCategory,
			this.withholdingTaxFlag,
			this.withholdingTaxRate,
			this.orderType,
			this.pdsNo,
			this.partReceivedDate,
			this.sequenceDate,
			this.sequenceNo,
			this.partNo,
			this.referenceDocumentNo,
			this.postingDate,
			this.supplierCode,
			this.supplierPlantCode,
			this.partQuantity,
			this.unitBuyingPrice,
			this.unitBuyingAmount,
			this.unitSellingPrice,
			this.unitSellingAmount,
			this.priceStatus,
			this.totalAmount,
			this.vatAmount,
			this.vatCode,
			this.paymentTerm,
			this.reasonCode,
			this.markCode,
			this.signCode,
			this.cancelFlag,
			this.supplierInvoiceNo,
			this.topasSmrNo,
			this.topasSmrItemNo,
			this.customerBranch,
			this.costCenter,
			this.wbs,
			this.asset,
			this.orderReasonCode,
			this.retroFlag,
			this.valuationType,
			this.conditionType,
			this.conditionTypeAmt,
			this.prepaidTaxAmt,
			this.withholdingTaxAmt,
			this.stampFeeAmt,
			this.glAmount,
			this.sptCode,
			this.higherLevelItem,
			this.withholdingTaxBaseAmt,
			this.typeOfSales,
			this.profitCenter,
			this.dueDate,
			this.itemText,
			this.paymentMethod,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this.companyCode = '',
		this.documentNo = '',
		this.documentType = '',
		this.documentDate = '',
		this.customerCode = '',
		this.customerPlantCode = '',
		this.customerDockCode = '',
		this.partCategory = '',
		this.withholdingTaxFlag = '',
		this.withholdingTaxRate = '',
		this.orderType = '',
		this.pdsNo = '',
		this.partReceivedDate = '',
		this.sequenceDate = '',
		this.sequenceNo = '',
		this.partNo = '',
		this.referenceDocumentNo = '',
		this.postingDate = '',
		this.supplierCode = '',
		this.supplierPlantCode = '',
		this.partQuantity = '',
		this.unitBuyingPrice = '',
		this.unitBuyingAmount = '',
		this.unitSellingPrice = '',
		this.unitSellingAmount = '',
		this.priceStatus = '',
		this.totalAmount = '',
		this.vatAmount = '',
		this.vatCode = '',
		this.paymentTerm = '',
		this.reasonCode = '',
		this.markCode = '',
		this.signCode = '',
		this.cancelFlag = '',
		this.supplierInvoiceNo = '',
		this.topasSmrNo = '',
		this.topasSmrItemNo = '',
		this.customerBranch = '',
		this.costCenter = '',
		this.wbs = '',
		this.asset = '',
		this.orderReasonCode = '',
		this.retroFlag = '',
		this.valuationType = '',
		this.conditionType = '',
		this.conditionTypeAmt = '',
		this.prepaidTaxAmt = '',
		this.withholdingTaxAmt = '',
		this.stampFeeAmt = '',
		this.glAmount = '',
		this.sptCode = '',
		this.higherLevelItem = '',
		this.withholdingTaxBaseAmt = '',
		this.typeOfSales = '',
		this.profitCenter = '',
		this.dueDate = '',
		this.itemText = '',
		this.paymentMethod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this.companyCode,
			this.documentNo,
			this.documentType,
			this.documentDate,
			this.customerCode,
			this.customerPlantCode,
			this.customerDockCode,
			this.partCategory,
			this.withholdingTaxFlag,
			this.withholdingTaxRate,
			this.orderType,
			this.pdsNo,
			this.partReceivedDate,
			this.sequenceDate,
			this.sequenceNo,
			this.partNo,
			this.referenceDocumentNo,
			this.postingDate,
			this.supplierCode,
			this.supplierPlantCode,
			this.partQuantity,
			this.unitBuyingPrice,
			this.unitBuyingAmount,
			this.unitSellingPrice,
			this.unitSellingAmount,
			this.priceStatus,
			this.totalAmount,
			this.vatAmount,
			this.vatCode,
			this.paymentTerm,
			this.reasonCode,
			this.markCode,
			this.signCode,
			this.cancelFlag,
			this.supplierInvoiceNo,
			this.topasSmrNo,
			this.topasSmrItemNo,
			this.customerBranch,
			this.costCenter,
			this.wbs,
			this.asset,
			this.orderReasonCode,
			this.retroFlag,
			this.valuationType,
			this.conditionType,
			this.conditionTypeAmt,
			this.prepaidTaxAmt,
			this.withholdingTaxAmt,
			this.stampFeeAmt,
			this.glAmount,
			this.sptCode,
			this.higherLevelItem,
			this.withholdingTaxBaseAmt,
			this.typeOfSales,
			this.profitCenter,
			this.dueDate,
			this.itemText,
			this.paymentMethod,
			this.endingOfRecord,
			'',
            this.paginationParams.skipCount,
            this.paginationParams.pageSize
        );
    }
    onChangeRowSelection(params: { api: { getSelectedRows: () =&gt; IF_FQF3MM03Dto[] } }) {
        this.saveSelectedRow = params.api.getSelectedRows()[0] ?? new IF_FQF3MM03Dto();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IF_FQF3MM03Dto):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this._service.getFQF3MM03ToExcel(
			this.recordId,
			this.companyCode,
			this.documentNo,
			this.documentType,
			this.documentDate,
			this.customerCode,
			this.customerPlantCode,
			this.customerDockCode,
			this.partCategory,
			this.withholdingTaxFlag,
			this.withholdingTaxRate,
			this.orderType,
			this.pdsNo,
			this.partReceivedDate,
			this.sequenceDate,
			this.sequenceNo,
			this.partNo,
			this.referenceDocumentNo,
			this.postingDate,
			this.supplierCode,
			this.supplierPlantCode,
			this.partQuantity,
			this.unitBuyingPrice,
			this.unitBuyingAmount,
			this.unitSellingPrice,
			this.unitSellingAmount,
			this.priceStatus,
			this.totalAmount,
			this.vatAmount,
			this.vatCode,
			this.paymentTerm,
			this.reasonCode,
			this.markCode,
			this.signCode,
			this.cancelFlag,
			this.supplierInvoiceNo,
			this.topasSmrNo,
			this.topasSmrItemNo,
			this.customerBranch,
			this.costCenter,
			this.wbs,
			this.asset,
			this.orderReasonCode,
			this.retroFlag,
			this.valuationType,
			this.conditionType,
			this.conditionTypeAmt,
			this.prepaidTaxAmt,
			this.withholdingTaxAmt,
			this.stampFeeAmt,
			this.glAmount,
			this.sptCode,
			this.higherLevelItem,
			this.withholdingTaxBaseAmt,
			this.typeOfSales,
			this.profitCenter,
			this.dueDate,
			this.itemText,
			this.paymentMethod,
			this.endingOfRecord,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FQF3MM03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[(ngModel)]='documentNo' name='documentNo'
									class='form-control' [placeholder]="l('Document No')"
									type='text' (keyup.enter)='searchDatas()'&gt;
								&lt;/div&gt;
								&lt;div class='input-search'&gt;
									&lt;input [(ngModel)]='documentType' name='documentType'
									class='form-control' [placeholder]="l('Document Type')"
									type='text' (keyup.enter)='searchDatas()'&gt;
								&lt;/div&gt;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[(ngModel)]='customerCode' name='customerCode'
									class='form-control' [placeholder]="l('Customer Code')"
									type='text' (keyup.enter)='searchDatas()'&gt;
								&lt;/div&gt;
								&lt;div class='input-search'&gt;
									&lt;input [(ngModel)]='customerPlantCode' name='customerPlantCode'
									class='form-control' [placeholder]="l('Customer Plant Code')"
									type='text' (keyup.enter)='searchDatas()'&gt;
								&lt;/div&gt;
								&lt;div class='input-search'&gt;
									&lt;input [(ngModel)]='customerDockCode' name='customerDockCode'
									class='form-control' [placeholder]="l('Customer Dock Code')"
									type='text' (keyup.enter)='searchDatas()'&gt;
								&lt;/div&gt;
								&lt;div class='input-search'&gt;
									&lt;input [(ngModel)]='partCategory' name='partCategory'
									class='form-control' [placeholder]="l('Part Category')"
									type='text' (keyup.enter)='searchDatas()'&gt;
								&lt;/div&gt;
								&lt;div class='input-search'&gt;
									&lt;input [(ngModel)]='withholdingTaxFlag' name='withholdingTaxFlag'
									class='form-control' [placeholder]="l('Withholding Tax Flag')"
									type='text' (keyup.enter)='searchDatas()'&gt;
								&lt;/div&gt;
								&lt;div class='input-search'&gt;
									&lt;input [(ngModel)]='withholdingTaxRate' name='withholdingTaxRate'
									class='form-control' [placeholder]="l('Withholding Tax Rate')"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[(ngModel)]='pdsNo' name='pdsNo'
									class='form-control' [placeholder]="l('Pds No')"
									type='text' (keyup.enter)='searchDatas()'&gt;
								&lt;/div&gt;
								&lt;div class='input-search'&gt;
									&lt;input [(ngModel)]='partReceivedDate' name='partReceivedDate'
									class='form-control' [placeholder]="l('Part Received Date')"
									type='text' (keyup.enter)='searchDatas()'&gt;
								&lt;/div&gt;
								&lt;div class='input-search'&gt;
									&lt;input [(ngModel)]='sequenceDate' name='sequenceDate'
									class='form-control' [placeholder]="l('Sequence Date')"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[(ngModel)]='referenceDocumentNo' name='referenceDocumentNo'
									class='form-control' [placeholder]="l('Reference Document No')"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[(ngModel)]='supplierPlantCode' name='supplierPlantCode'
									class='form-control' [placeholder]="l('Supplier Plant Code')"
									type='text' (keyup.enter)='searchDatas()'&gt;
								&lt;/div&gt;
								&lt;div class='input-search'&gt;
									&lt;input [(ngModel)]='partQuantity' name='partQuantity'
									class='form-control' [placeholder]="l('Part Quantity')"
									type='text' (keyup.enter)='searchDatas()'&gt;
								&lt;/div&gt;
								&lt;div class='input-search'&gt;
									&lt;input [(ngModel)]='unitBuyingPrice' name='unitBuyingPrice'
									class='form-control' [placeholder]="l('Unit Buying Price')"
									type='text' (keyup.enter)='searchDatas()'&gt;
								&lt;/div&gt;
								&lt;div class='input-search'&gt;
									&lt;input [(ngModel)]='unitBuyingAmount' name='unitBuyingAmount'
									class='form-control' [placeholder]="l('Unit Buying Amount')"
									type='text' (keyup.enter)='searchDatas()'&gt;
								&lt;/div&gt;
								&lt;div class='input-search'&gt;
									&lt;input [(ngModel)]='unitSellingPrice' name='unitSellingPrice'
									class='form-control' [placeholder]="l('Unit Selling Price')"
									type='text' (keyup.enter)='searchDatas()'&gt;
								&lt;/div&gt;
								&lt;div class='input-search'&gt;
									&lt;input [(ngModel)]='unitSellingAmount' name='unitSellingAmount'
									class='form-control' [placeholder]="l('Unit Selling Amount')"
									type='text' (keyup.enter)='searchDatas()'&gt;
								&lt;/div&gt;
								&lt;div class='input-search'&gt;
									&lt;input [(ngModel)]='priceStatus' name='priceStatus'
									class='form-control' [placeholder]="l('Price Status')"
									type='text' (keyup.enter)='searchDatas()'&gt;
								&lt;/div&gt;
								&lt;div class='input-search'&gt;
									&lt;input [(ngModel)]='totalAmount' name='totalAmount'
									class='form-control' [placeholder]="l('Total Amount')"
									type='text' (keyup.enter)='searchDatas()'&gt;
								&lt;/div&gt;
								&lt;div class='input-search'&gt;
									&lt;input [(ngModel)]='vatAmount' name='vatAmount'
									class='form-control' [placeholder]="l('Vat Amount')"
									type='text' (keyup.enter)='searchDatas()'&gt;
								&lt;/div&gt;
								&lt;div class='input-search'&gt;
									&lt;input [(ngModel)]='vatCode' name='vatCode'
									class='form-control' [placeholder]="l('Vat Code')"
									type='text' (keyup.enter)='searchDatas()'&gt;
								&lt;/div&gt;
								&lt;div class='input-search'&gt;
									&lt;input [(ngModel)]='paymentTerm' name='paymentTerm'
									class='form-control' [placeholder]="l('Payment Term')"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[(ngModel)]='markCode' name='markCode'
									class='form-control' [placeholder]="l('Mark Code')"
									type='text' (keyup.enter)='searchDatas()'&gt;
								&lt;/div&gt;
								&lt;div class='input-search'&gt;
									&lt;input [(ngModel)]='signCode' name='signCode'
									class='form-control' [placeholder]="l('Sign Code')"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[(ngModel)]='supplierInvoiceNo' name='supplierInvoiceNo'
									class='form-control' [placeholder]="l('Supplier Invoice No')"
									type='text' (keyup.enter)='searchDatas()'&gt;
								&lt;/div&gt;
								&lt;div class='input-search'&gt;
									&lt;input [(ngModel)]='topasSmrNo' name='topasSmrNo'
									class='form-control' [placeholder]="l('Topas Smr No')"
									type='text' (keyup.enter)='searchDatas()'&gt;
								&lt;/div&gt;
								&lt;div class='input-search'&gt;
									&lt;input [(ngModel)]='topasSmrItemNo' name='topasSmrItemNo'
									class='form-control' [placeholder]="l('Topas Smr Item No')"
									type='text' (keyup.enter)='searchDatas()'&gt;
								&lt;/div&gt;
								&lt;div class='input-search'&gt;
									&lt;input [(ngModel)]='customerBranch' name='customerBranch'
									class='form-control' [placeholder]="l('Customer Branch')"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[(ngModel)]='asset' name='asset'
									class='form-control' [placeholder]="l('Asset')"
									type='text' (keyup.enter)='searchDatas()'&gt;
								&lt;/div&gt;
								&lt;div class='input-search'&gt;
									&lt;input [(ngModel)]='orderReasonCode' name='orderReasonCode'
									class='form-control' [placeholder]="l('Order Reason Code')"
									type='text' (keyup.enter)='searchDatas()'&gt;
								&lt;/div&gt;
								&lt;div class='input-search'&gt;
									&lt;input [(ngModel)]='retroFlag' name='retroFlag'
									class='form-control' [placeholder]="l('Retro Flag')"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[(ngModel)]='conditionType' name='conditionType'
									class='form-control' [placeholder]="l('Condition Type')"
									type='text' (keyup.enter)='searchDatas()'&gt;
								&lt;/div&gt;
								&lt;div class='input-search'&gt;
									&lt;input [(ngModel)]='conditionTypeAmt' name='conditionTypeAmt'
									class='form-control' [placeholder]="l('Condition Type Amt')"
									type='text' (keyup.enter)='searchDatas()'&gt;
								&lt;/div&gt;
								&lt;div class='input-search'&gt;
									&lt;input [(ngModel)]='prepaidTaxAmt' name='prepaidTaxAmt'
									class='form-control' [placeholder]="l('Prepaid Tax Amt')"
									type='text' (keyup.enter)='searchDatas()'&gt;
								&lt;/div&gt;
								&lt;div class='input-search'&gt;
									&lt;input [(ngModel)]='withholdingTaxAmt' name='withholdingTaxAmt'
									class='form-control' [placeholder]="l('Withholding Tax Amt')"
									type='text' (keyup.enter)='searchDatas()'&gt;
								&lt;/div&gt;
								&lt;div class='input-search'&gt;
									&lt;input [(ngModel)]='stampFeeAmt' name='stampFeeAmt'
									class='form-control' [placeholder]="l('Stamp Fee Amt')"
									type='text' (keyup.enter)='searchDatas()'&gt;
								&lt;/div&gt;
								&lt;div class='input-search'&gt;
									&lt;input [(ngModel)]='glAmount' name='glAmount'
									class='form-control' [placeholder]="l('Gl Amount')"
									type='text' (keyup.enter)='searchDatas()'&gt;
								&lt;/div&gt;
								&lt;div class='input-search'&gt;
									&lt;input [(ngModel)]='sptCode' name='sptCode'
									class='form-control' [placeholder]="l('Spt Code')"
									type='text' (keyup.enter)='searchDatas()'&gt;
								&lt;/div&gt;
								&lt;div class='input-search'&gt;
									&lt;input [(ngModel)]='higherLevelItem' name='higherLevelItem'
									class='form-control' [placeholder]="l('Higher Level Item')"
									type='text' (keyup.enter)='searchDatas()'&gt;
								&lt;/div&gt;
								&lt;div class='input-search'&gt;
									&lt;input [(ngModel)]='withholdingTaxBaseAmt' name='withholdingTaxBaseAmt'
									class='form-control' [placeholder]="l('Withholding Tax Base Amt')"
									type='text' (keyup.enter)='searchDatas()'&gt;
								&lt;/div&gt;
								&lt;div class='input-search'&gt;
									&lt;input [(ngModel)]='typeOfSales' name='typeOfSales'
									class='form-control' [placeholder]="l('Type Of Sales')"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[(ngModel)]='dueDate' name='dueDate'
									class='form-control' [placeholder]="l('Due Date')"
									type='text' (keyup.enter)='searchDatas()'&gt;
								&lt;/div&gt;
								&lt;div class='input-search'&gt;
									&lt;input [(ngModel)]='itemText' name='itemText'
									class='form-control' [placeholder]="l('Item Text')"
									type='text' (keyup.enter)='searchDatas()'&gt;
								&lt;/div&gt;
								&lt;div class='input-search'&gt;
									&lt;input [(ngModel)]='paymentMethod' name='paymentMethod'
									class='form-control' [placeholder]="l('Payment Method')"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(click)="createOrEditModalFQF3MM03.show()"&gt;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(click)="createOrEditModalFQF3MM03.show(selectedRow)"&gt;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&lt;create-or-edit-fqf3mm03-modal
    #createOrEditModalFQF3MM03
    (modalSave)="callBackDataGrid(dataParams)"
    (modalClose)="onChangeRowSelection(dataParams)"
&gt;
&lt;/create-or-edit-fqf3mm03-modal&gt;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#createOrEditModalFQF3MM03="bs-modal"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FQF3MM03')}}&lt;/h3&gt;
                    &lt;h3 *ngIf="!rowdata.id"&gt;{{('Create New FQF3MM03')}}&lt;/h3&gt;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title'&gt;Document No&lt;/label&gt;
						&lt;input type='text' class='col-md-10 form-control input-text' name='DocumentNo' [(ngModel)]='rowdata.documentNo'&gt;
					&lt;/div&gt;
					&lt;div class='col-md-12 form-group row'&gt;
						&lt;label class='col-md-2 form-control title'&gt;Document Type&lt;/label&gt;
						&lt;input type='text' class='col-md-10 form-control input-text' name='DocumentType' [(ngModel)]='rowdata.documentType'&gt;
					&lt;/div&gt;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title'&gt;Customer Code&lt;/label&gt;
						&lt;input type='text' class='col-md-10 form-control input-text' name='CustomerCode' [(ngModel)]='rowdata.customerCode'&gt;
					&lt;/div&gt;
					&lt;div class='col-md-12 form-group row'&gt;
						&lt;label class='col-md-2 form-control title'&gt;Customer Plant Code&lt;/label&gt;
						&lt;input type='text' class='col-md-10 form-control input-text' name='CustomerPlantCode' [(ngModel)]='rowdata.customerPlantCode'&gt;
					&lt;/div&gt;
					&lt;div class='col-md-12 form-group row'&gt;
						&lt;label class='col-md-2 form-control title'&gt;Customer Dock Code&lt;/label&gt;
						&lt;input type='text' class='col-md-10 form-control input-text' name='CustomerDockCode' [(ngModel)]='rowdata.customerDockCode'&gt;
					&lt;/div&gt;
					&lt;div class='col-md-12 form-group row'&gt;
						&lt;label class='col-md-2 form-control title'&gt;Part Category&lt;/label&gt;
						&lt;new-checkbox [(ngModel)]='_partCategory' name='partCategory' className='col-md-10' &gt; &lt;/new-checkbox&gt;
					&lt;/div&gt;
					&lt;div class='col-md-12 form-group row'&gt;
						&lt;label class='col-md-2 form-control title'&gt;Withholding Tax Flag&lt;/label&gt;
						&lt;new-checkbox [(ngModel)]='_withholdingTaxFlag' name='withholdingTaxFlag' className='col-md-10' &gt; &lt;/new-checkbox&gt;
					&lt;/div&gt;
					&lt;div class='col-md-12 form-group row'&gt;
						&lt;label class='col-md-2 form-control title'&gt;Withholding Tax Rate&lt;/label&gt;
						&lt;input type='text' class='col-md-10 form-control input-text' name='WithholdingTaxRate' [(ngModel)]='rowdata.withholdingTaxRate'&gt;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title'&gt;Pds No&lt;/label&gt;
						&lt;input type='text' class='col-md-10 form-control input-text' name='PdsNo' [(ngModel)]='rowdata.pdsNo'&gt;
					&lt;/div&gt;
					&lt;div class='col-md-12 form-group row'&gt;
						&lt;label class='col-md-2 form-control title'&gt;Part Received Date&lt;/label&gt;
						&lt;input type='text' class='col-md-10 form-control input-text' name='PartReceivedDate' [(ngModel)]='rowdata.partReceivedDate'&gt;
					&lt;/div&gt;
					&lt;div class='col-md-12 form-group row'&gt;
						&lt;label class='col-md-2 form-control title'&gt;Sequence Date&lt;/label&gt;
						&lt;input type='text' class='col-md-10 form-control input-text' name='SequenceDate' [(ngModel)]='rowdata.sequenceDate'&gt;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title'&gt;Reference Document No&lt;/label&gt;
						&lt;input type='text' class='col-md-10 form-control input-text' name='ReferenceDocumentNo' [(ngModel)]='rowdata.referenceDocumentNo'&gt;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
					&lt;div class='col-md-12 form-group row'&gt;
						&lt;label class='col-md-2 form-control title'&gt;Part Quantity&lt;/label&gt;
						&lt;input type='text' class='col-md-10 form-control input-text' name='PartQuantity' [(ngModel)]='rowdata.partQuantity'&gt;
					&lt;/div&gt;
					&lt;div class='col-md-12 form-group row'&gt;
						&lt;label class='col-md-2 form-control title'&gt;Unit Buying Price&lt;/label&gt;
						&lt;input type='text' class='col-md-10 form-control input-text' name='UnitBuyingPrice' [(ngModel)]='rowdata.unitBuyingPrice'&gt;
					&lt;/div&gt;
					&lt;div class='col-md-12 form-group row'&gt;
						&lt;label class='col-md-2 form-control title'&gt;Unit Buying Amount&lt;/label&gt;
						&lt;input type='text' class='col-md-10 form-control input-text' name='UnitBuyingAmount' [(ngModel)]='rowdata.unitBuyingAmount'&gt;
					&lt;/div&gt;
					&lt;div class='col-md-12 form-group row'&gt;
						&lt;label class='col-md-2 form-control title'&gt;Unit Selling Price&lt;/label&gt;
						&lt;input type='text' class='col-md-10 form-control input-text' name='UnitSellingPrice' [(ngModel)]='rowdata.unitSellingPrice'&gt;
					&lt;/div&gt;
					&lt;div class='col-md-12 form-group row'&gt;
						&lt;label class='col-md-2 form-control title'&gt;Unit Selling Amount&lt;/label&gt;
						&lt;input type='text' class='col-md-10 form-control input-text' name='UnitSellingAmount' [(ngModel)]='rowdata.unitSellingAmount'&gt;
					&lt;/div&gt;
					&lt;div class='col-md-12 form-group row'&gt;
						&lt;label class='col-md-2 form-control title'&gt;Price Status&lt;/label&gt;
						&lt;new-checkbox [(ngModel)]='_priceStatus' name='priceStatus' className='col-md-10' &gt; &lt;/new-checkbox&gt;
					&lt;/div&gt;
					&lt;div class='col-md-12 form-group row'&gt;
						&lt;label class='col-md-2 form-control title'&gt;Total Amount&lt;/label&gt;
						&lt;input type='text' class='col-md-10 form-control input-text' name='TotalAmount' [(ngModel)]='rowdata.totalAmount'&gt;
					&lt;/div&gt;
					&lt;div class='col-md-12 form-group row'&gt;
						&lt;label class='col-md-2 form-control title'&gt;Vat Amount&lt;/label&gt;
						&lt;input type='text' class='col-md-10 form-control input-text' name='VatAmount' [(ngModel)]='rowdata.vatAmount'&gt;
					&lt;/div&gt;
					&lt;div class='col-md-12 form-group row'&gt;
						&lt;label class='col-md-2 form-control title'&gt;Vat Code&lt;/label&gt;
						&lt;input type='text' class='col-md-10 form-control input-text' name='VatCode' [(ngModel)]='rowdata.vatCode'&gt;
					&lt;/div&gt;
					&lt;div class='col-md-12 form-group row'&gt;
						&lt;label class='col-md-2 form-control title'&gt;Payment Term&lt;/label&gt;
						&lt;input type='text' class='col-md-10 form-control input-text' name='PaymentTerm' [(ngModel)]='rowdata.paymentTerm'&gt;
					&lt;/div&gt;
					&lt;div class='col-md-12 form-group row'&gt;
						&lt;label class='col-md-2 form-control title'&gt;Reason Code&lt;/label&gt;
						&lt;new-checkbox [(ngModel)]='_reasonCode' name='reasonCode' className='col-md-10' &gt; &lt;/new-checkbox&gt;
					&lt;/div&gt;
					&lt;div class='col-md-12 form-group row'&gt;
						&lt;label class='col-md-2 form-control title'&gt;Mark Code&lt;/label&gt;
						&lt;new-checkbox [(ngModel)]='_markCode' name='markCode' className='col-md-10' &gt; &lt;/new-checkbox&gt;
					&lt;/div&gt;
					&lt;div class='col-md-12 form-group row'&gt;
						&lt;label class='col-md-2 form-control title'&gt;Sign Code&lt;/label&gt;
						&lt;new-checkbox [(ngModel)]='_signCode' name='signCode' className='col-md-10' &gt; &lt;/new-checkbox&gt;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title'&gt;Supplier Invoice No&lt;/label&gt;
						&lt;input type='text' class='col-md-10 form-control input-text' name='SupplierInvoiceNo' [(ngModel)]='rowdata.supplierInvoiceNo'&gt;
					&lt;/div&gt;
					&lt;div class='col-md-12 form-group row'&gt;
						&lt;label class='col-md-2 form-control title'&gt;Topas Smr No&lt;/label&gt;
						&lt;input type='text' class='col-md-10 form-control input-text' name='TopasSmrNo' [(ngModel)]='rowdata.topasSmrNo'&gt;
					&lt;/div&gt;
					&lt;div class='col-md-12 form-group row'&gt;
						&lt;label class='col-md-2 form-control title'&gt;Topas Smr Item No&lt;/label&gt;
						&lt;input type='text' class='col-md-10 form-control input-text' name='TopasSmrItemNo' [(ngModel)]='rowdata.topasSmrItemNo'&gt;
					&lt;/div&gt;
					&lt;div class='col-md-12 form-group row'&gt;
						&lt;label class='col-md-2 form-control title'&gt;Customer Branch&lt;/label&gt;
						&lt;input type='text' class='col-md-10 form-control input-text' name='CustomerBranch' [(ngModel)]='rowdata.customerBranch'&gt;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title'&gt;Asset&lt;/label&gt;
						&lt;input type='text' class='col-md-10 form-control input-text' name='Asset' [(ngModel)]='rowdata.asset'&gt;
					&lt;/div&gt;
					&lt;div class='col-md-12 form-group row'&gt;
						&lt;label class='col-md-2 form-control title'&gt;Order Reason Code&lt;/label&gt;
						&lt;new-checkbox [(ngModel)]='_orderReasonCode' name='orderReasonCode' className='col-md-10' &gt; &lt;/new-checkbox&gt;
					&lt;/div&gt;
					&lt;div class='col-md-12 form-group row'&gt;
						&lt;label class='col-md-2 form-control title'&gt;Retro Flag&lt;/label&gt;
						&lt;new-checkbox [(ngModel)]='_retroFlag' name='retroFlag'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title'&gt;Condition Type&lt;/label&gt;
						&lt;input type='text' class='col-md-10 form-control input-text' name='ConditionType' [(ngModel)]='rowdata.conditionType'&gt;
					&lt;/div&gt;
					&lt;div class='col-md-12 form-group row'&gt;
						&lt;label class='col-md-2 form-control title'&gt;Condition Type Amt&lt;/label&gt;
						&lt;input type='text' class='col-md-10 form-control input-text' name='ConditionTypeAmt' [(ngModel)]='rowdata.conditionTypeAmt'&gt;
					&lt;/div&gt;
					&lt;div class='col-md-12 form-group row'&gt;
						&lt;label class='col-md-2 form-control title'&gt;Prepaid Tax Amt&lt;/label&gt;
						&lt;input type='text' class='col-md-10 form-control input-text' name='PrepaidTaxAmt' [(ngModel)]='rowdata.prepaidTaxAmt'&gt;
					&lt;/div&gt;
					&lt;div class='col-md-12 form-group row'&gt;
						&lt;label class='col-md-2 form-control title'&gt;Withholding Tax Amt&lt;/label&gt;
						&lt;input type='text' class='col-md-10 form-control input-text' name='WithholdingTaxAmt' [(ngModel)]='rowdata.withholdingTaxAmt'&gt;
					&lt;/div&gt;
					&lt;div class='col-md-12 form-group row'&gt;
						&lt;label class='col-md-2 form-control title'&gt;Stamp Fee Amt&lt;/label&gt;
						&lt;input type='text' class='col-md-10 form-control input-text' name='StampFeeAmt' [(ngModel)]='rowdata.stampFeeAmt'&gt;
					&lt;/div&gt;
					&lt;div class='col-md-12 form-group row'&gt;
						&lt;label class='col-md-2 form-control title'&gt;Gl Amount&lt;/label&gt;
						&lt;input type='text' class='col-md-10 form-control input-text' name='GlAmount' [(ngModel)]='rowdata.glAmount'&gt;
					&lt;/div&gt;
					&lt;div class='col-md-12 form-group row'&gt;
						&lt;label class='col-md-2 form-control title'&gt;Spt Code&lt;/label&gt;
						&lt;input type='text' class='col-md-10 form-control input-text' name='SptCode' [(ngModel)]='rowdata.sptCode'&gt;
					&lt;/div&gt;
					&lt;div class='col-md-12 form-group row'&gt;
						&lt;label class='col-md-2 form-control title'&gt;Higher Level Item&lt;/label&gt;
						&lt;input type='text' class='col-md-10 form-control input-text' name='HigherLevelItem' [(ngModel)]='rowdata.higherLevelItem'&gt;
					&lt;/div&gt;
					&lt;div class='col-md-12 form-group row'&gt;
						&lt;label class='col-md-2 form-control title'&gt;Withholding Tax Base Amt&lt;/label&gt;
						&lt;input type='text' class='col-md-10 form-control input-text' name='WithholdingTaxBaseAmt' [(ngModel)]='rowdata.withholdingTaxBaseAmt'&gt;
					&lt;/div&gt;
					&lt;div class='col-md-12 form-group row'&gt;
						&lt;label class='col-md-2 form-control title'&gt;Type Of Sales&lt;/label&gt;
						&lt;input type='text' class='col-md-10 form-control input-text' name='TypeOfSales' [(ngModel)]='rowdata.typeOfSales'&gt;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title'&gt;Due Date&lt;/label&gt;
						&lt;input type='text' class='col-md-10 form-control input-text' name='DueDate' [(ngModel)]='rowdata.dueDate'&gt;
					&lt;/div&gt;
					&lt;div class='col-md-12 form-group row'&gt;
						&lt;label class='col-md-2 form-control title'&gt;Item Text&lt;/label&gt;
						&lt;input type='text' class='col-md-10 form-control input-text' name='ItemText' [(ngModel)]='rowdata.itemText'&gt;
					&lt;/div&gt;
					&lt;div class='col-md-12 form-group row'&gt;
						&lt;label class='col-md-2 form-control title'&gt;Payment Method&lt;/label&gt;
						&lt;new-checkbox [(ngModel)]='_paymentMethod' name='paymentMethod' className='col-md-10' &gt; &lt;/new-checkbox&gt;
					&lt;/div&gt;
					&lt;div class='col-md-12 form-group row'&gt;
						&lt;label class='col-md-2 form-control title'&gt;Ending Of Record&lt;/label&gt;
						&lt;new-checkbox [(ngModel)]='_endingOfRecord' name='endingOfRecord'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CreateOrEditIF_FQF3MM03Dto, IF_FQF3MM03ServiceProxy } from '@shared/service-proxies/service-proxies';
import { BsDatepickerDirective } from 'ngx-bootstrap/datepicker';
@Component({
    selector: 'create-or-edit-fqf3mm03-modal',
    templateUrl: './create-or-edit-fqf3mm03-modal.component.html',
    styleUrls: ['./create-or-edit-fqf3mm03-modal.component.less']
    })
export class CreateOrEditFQF3MM03ModalComponent extends AppComponentBase {
    @ViewChild('createOrEditModalFQF3MM03',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CreateOrEditIF_FQF3MM03Dto = new CreateOrEditIF_FQF3MM03Dto();
    active: boolean = false;
    saving: boolean = false;
    _partCategory
withholdingTaxFlag
orderType
supplierPlantCode
priceStatus
reasonCode
markCode
signCode
cancelFlag
orderReasonCode
retroFlag
paymentMethod
endingOfRecord: boolean;
    constructor(
        injector: Injector,
        private _mstwptFQF3MM03Service: IF_FQF3MM03ServiceProxy,
    ) 
    {
        super(injector);
    }
    show(rowdata?: CreateOrEditIF_FQF3MM03Dto): void {
        if (!rowdata) this.rowdata = new CreateOrEditIF_FQF3MM03Dto();
        else this.rowdata = rowdata;
        this._partCategory
withholdingTaxFlag
orderType
supplierPlantCode
priceStatus
reasonCode
markCode
signCode
cancelFlag
orderReasonCode
retroFlag
paymentMethod
endingOfRecord = (this.rowdata.partCategory
withholdingTaxFlag
orderType
supplierPlantCode
priceStatus
reasonCode
markCode
signCode
cancelFlag
orderReasonCode
retroFlag
paymentMethod
endingOfRecord == "N")? false: true;
        this.active = true;
        this.modal.show();
    } 
    changeActive(event){
        this._partCategory
withholdingTaxFlag
orderType
supplierPlantCode
priceStatus
reasonCode
markCode
signCode
cancelFlag
orderReasonCode
retroFlag
paymentMethod
endingOfRecord = event.target.checked;
    }
    save(): void {
    this.saving = true; 
    this.rowdata.partCategory
withholdingTaxFlag
orderType
supplierPlantCode
priceStatus
reasonCode
markCode
signCode
cancelFlag
orderReasonCode
retroFlag
paymentMethod
endingOfRecord = (this._partCategory
withholdingTaxFlag
orderType
supplierPlantCode
priceStatus
reasonCode
markCode
signCode
cancelFlag
orderReasonCode
retroFlag
paymentMethod
endingOfRecord == true) ? 'Y' : 'N'
    this._mstwptFQF3MM03Service.createOrEdit(this.rowdata)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FQF3MM03RoutingModule } from './fqf3mm03-routing.module';
import { FQF3MM03Component } from './fqf3mm03.component';
import { CreateOrEditFQF3MM03ModalComponent } from './create-or-edit-fqf3mm03-modal.component';
@NgModule({
    declarations: [
       FQF3MM03Component, 
        CreateOrEditFQF3MM03ModalComponent
    ],
    imports: [
        AppSharedModule, FQF3MM03RoutingModule]
})
export class FQF3MM03Module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FQF3MM03Component } from './fqf3mm03.component';
const routes: Routes = [{
    path: '',
    component: FQF3MM03Component,
    pathMatch: 'full'
}];
@NgModule({
    imports: [RouterModule.forChild(routes)],
    exports: [RouterModule],
})
export class FQF3MM03RoutingModule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AppMenuItem("FQF3MM03", "Pages.IF.IF.FQF3MM03", "flaticon-book",   "/app/main/if/if/fqf3mm03"),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'if/if/fqf3mm03',
    loadChildren: () =&gt; import('./if/if/fqf3mm03/fqf3mm03.module').then(m =&gt; m.FQF3MM03Module),
    data: { permission: 'Pages.IF.IF.FQF3MM03' }
},</v>
      </c>
      <c r="R10" s="47" t="str">
        <f>SUBSTITUTE(R9,"MstWptCalendar",$B$6)</f>
        <v>ApiServiceProxies.IF_FQF3MM03ServiceProxy,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H74</v>
      </c>
      <c r="I12" s="28" t="str">
        <f>"I"&amp;COUNTA($A:$A)</f>
        <v>I74</v>
      </c>
      <c r="J12" s="28"/>
      <c r="K12" s="28" t="str">
        <f>"K"&amp;COUNTA($A:$A)</f>
        <v>K74</v>
      </c>
      <c r="L12" s="28" t="str">
        <f>"L"&amp;COUNTA($A:$A)</f>
        <v>L74</v>
      </c>
      <c r="M12" s="28"/>
      <c r="N12" s="28"/>
      <c r="O12" s="28"/>
      <c r="P12" s="28"/>
      <c r="Q12" s="28"/>
      <c r="R12" s="28"/>
      <c r="S12" s="28" t="str">
        <f>"S"&amp;COUNTA($A:$A)</f>
        <v>S74</v>
      </c>
      <c r="T12" s="28" t="str">
        <f>"T"&amp;COUNTA($A:$A)</f>
        <v>T74</v>
      </c>
      <c r="U12" s="28" t="str">
        <f>"U"&amp;COUNTA($A:$A)</f>
        <v>U74</v>
      </c>
      <c r="V12" s="28" t="str">
        <f>"V"&amp;COUNTA($A:$A)</f>
        <v>V74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this.l('Record Id'),headerTooltip: this.l('Record Id'),field: 'recordId',flex: 1},
			{headerName: this.l('Company Code'),headerTooltip: this.l('Company Code'),field: 'companyCode',flex: 1},
			{headerName: this.l('Document No'),headerTooltip: this.l('Document No'),field: 'documentNo',flex: 1},
			{headerName: this.l('Document Type'),headerTooltip: this.l('Document Type'),field: 'documentType',flex: 1},
			{headerName: this.l('Document Date'),headerTooltip: this.l('Document Date'),field: 'documentDate',flex: 1},
			{headerName: this.l('Customer Code'),headerTooltip: this.l('Customer Code'),field: 'customerCode',flex: 1},
			{headerName: this.l('Customer Plant Code'),headerTooltip: this.l('Customer Plant Code'),field: 'customerPlantCode',flex: 1},
			{headerName: this.l('Customer Dock Code'),headerTooltip: this.l('Customer Dock Code'),field: 'customerDockCode',flex: 1},
			{headerName: this.l('Part Category'),headerTooltip: this.l('Part Category'),field:  'partCategory', cellClass: ['text-center'], width: 120, cellRenderer: 'agCellButtonComponent',
buttonDefTwo: { text: params =&gt; (params.data?.'partCategory' == 'Y') ? 'Active' : 'Inactive',iconName: 'fa fa-circle',className: params =&gt; (params.data?.'partCategory' == 'Y') ? 'btnActive' : 'btnInActive',},}
			{headerName: this.l('Withholding Tax Flag'),headerTooltip: this.l('Withholding Tax Flag'),field:  'withholdingTaxFlag', cellClass: ['text-center'], width: 120, cellRenderer: 'agCellButtonComponent',
buttonDefTwo: { text: params =&gt; (params.data?.'withholdingTaxFlag' == 'Y') ? 'Active' : 'Inactive',iconName: 'fa fa-circle',className: params =&gt; (params.data?.'withholdingTaxFlag' == 'Y') ? 'btnActive' : 'btnInActive',},}
			{headerName: this.l('Withholding Tax Rate'),headerTooltip: this.l('Withholding Tax Rate'),field: 'withholdingTaxRate',flex: 1},
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
			{headerName: this.l('Pds No'),headerTooltip: this.l('Pds No'),field: 'pdsNo',flex: 1},
			{headerName: this.l('Part Received Date'),headerTooltip: this.l('Part Received Date'),field: 'partReceivedDate',flex: 1},
			{headerName: this.l('Sequence Date'),headerTooltip: this.l('Sequence Date'),field: 'sequenceDate',flex: 1},
			{headerName: this.l('Sequence No'),headerTooltip: this.l('Sequence No'),field: 'sequenceNo',flex: 1},
			{headerName: this.l('Part No'),headerTooltip: this.l('Part No'),field: 'partNo',flex: 1},
			{headerName: this.l('Reference Document No'),headerTooltip: this.l('Reference Document No'),field: 'referenceDocumentNo',flex: 1},
			{headerName: this.l('Posting Date'),headerTooltip: this.l('Posting Date'),field: 'postingDate',flex: 1},
			{headerName: this.l('Supplier Code'),headerTooltip: this.l('Supplier Code'),field: 'supplierCode',flex: 1},
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
			{headerName: this.l('Part Quantity'),headerTooltip: this.l('Part Quantity'),field: 'partQuantity',flex: 1},
			{headerName: this.l('Unit Buying Price'),headerTooltip: this.l('Unit Buying Price'),field: 'unitBuyingPrice',flex: 1},
			{headerName: this.l('Unit Buying Amount'),headerTooltip: this.l('Unit Buying Amount'),field: 'unitBuyingAmount',flex: 1},
			{headerName: this.l('Unit Selling Price'),headerTooltip: this.l('Unit Selling Price'),field: 'unitSellingPrice',flex: 1},
			{headerName: this.l('Unit Selling Amount'),headerTooltip: this.l('Unit Selling Amount'),field: 'unitSellingAmount',flex: 1},
			{headerName: this.l('Price Status'),headerTooltip: this.l('Price Status'),field:  'priceStatus', cellClass: ['text-center'], width: 120, cellRenderer: 'agCellButtonComponent',
buttonDefTwo: { text: params =&gt; (params.data?.'priceStatus' == 'Y') ? 'Active' : 'Inactive',iconName: 'fa fa-circle',className: params =&gt; (params.data?.'priceStatus' == 'Y') ? 'btnActive' : 'btnInActive',},}
			{headerName: this.l('Total Amount'),headerTooltip: this.l('Total Amount'),field: 'totalAmount',flex: 1},
			{headerName: this.l('Vat Amount'),headerTooltip: this.l('Vat Amount'),field: 'vatAmount',flex: 1},
			{headerName: this.l('Vat Code'),headerTooltip: this.l('Vat Code'),field: 'vatCode',flex: 1},
			{headerName: this.l('Payment Term'),headerTooltip: this.l('Payment Term'),field: 'paymentTerm',flex: 1},
			{headerName: this.l('Reason Code'),headerTooltip: this.l('Reason Code'),field:  'reasonCode', cellClass: ['text-center'], width: 120, cellRenderer: 'agCellButtonComponent',
buttonDefTwo: { text: params =&gt; (params.data?.'reasonCode' == 'Y') ? 'Active' : 'Inactive',iconName: 'fa fa-circle',className: params =&gt; (params.data?.'reasonCode' == 'Y') ? 'btnActive' : 'btnInActive',},}
			{headerName: this.l('Mark Code'),headerTooltip: this.l('Mark Code'),field:  'markCode', cellClass: ['text-center'], width: 120, cellRenderer: 'agCellButtonComponent',
buttonDefTwo: { text: params =&gt; (params.data?.'markCode' == 'Y') ? 'Active' : 'Inactive',iconName: 'fa fa-circle',className: params =&gt; (params.data?.'markCode' == 'Y') ? 'btnActive' : 'btnInActive',},}
			{headerName: this.l('Sign Code'),headerTooltip: this.l('Sign Code'),field:  'signCode', cellClass: ['text-center'], width: 120, cellRenderer: 'agCellButtonComponent',
buttonDefTwo: { text: params =&gt; (params.data?.'signCode' == 'Y') ? 'Active' : 'Inactive',iconName: 'fa fa-circle',className: params =&gt; (params.data?.'signCode' == 'Y') ? 'btnActive' : 'btnInActive',},}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this.l('Supplier Invoice No'),headerTooltip: this.l('Supplier Invoice No'),field: 'supplierInvoiceNo',flex: 1},
			{headerName: this.l('Topas Smr No'),headerTooltip: this.l('Topas Smr No'),field: 'topasSmrNo',flex: 1},
			{headerName: this.l('Topas Smr Item No'),headerTooltip: this.l('Topas Smr Item No'),field: 'topasSmrItemNo',flex: 1},
			{headerName: this.l('Customer Branch'),headerTooltip: this.l('Customer Branch'),field: 'customerBranch',flex: 1},
			{headerName: this.l('Cost Center'),headerTooltip: this.l('Cost Center'),field: 'costCenter',flex: 1},
			{headerName: this.l('Wbs'),headerTooltip: this.l('Wbs'),field: 'wbs',flex: 1},
			{headerName: this.l('Asset'),headerTooltip: this.l('Asset'),field: 'asset',flex: 1},
			{headerName: this.l('Order Reason Code'),headerTooltip: this.l('Order Reason Code'),field:  'orderReasonCode', cellClass: ['text-center'], width: 120, cellRenderer: 'agCellButtonComponent',
buttonDefTwo: { text: params =&gt; (params.data?.'orderReasonCode' == 'Y') ? 'Active' : 'Inactive',iconName: 'fa fa-circle',className: params =&gt; (params.data?.'orderReasonCode' == 'Y') ? 'btnActive' : 'btnInActive',},}
			{headerName: this.l('Retro Flag'),headerTooltip: this.l('Retro Flag'),field:  'retroFlag', cellClass: ['text-center'], width: 120, cellRenderer: 'agCellButtonComponent',
buttonDefTwo: { text: params =&gt; (params.data?.'retroFlag' == 'Y') ? 'Active' : 'Inactive',iconName: 'fa fa-circle',className: params =&gt; (params.data?.'retroFlag' == 'Y') ? 'btnActive' : 'btnInActive',},}
			{headerName: this.l('Valuation Type'),headerTooltip: this.l('Valuation Type'),field: 'valuationType',flex: 1},
			{headerName: this.l('Condition Type'),headerTooltip: this.l('Condition Type'),field: 'conditionType',flex: 1},
			{headerName: this.l('Condition Type Amt'),headerTooltip: this.l('Condition Type Amt'),field: 'conditionTypeAmt',flex: 1},
			{headerName: this.l('Prepaid Tax Amt'),headerTooltip: this.l('Prepaid Tax Amt'),field: 'prepaidTaxAmt',flex: 1},
			{headerName: this.l('Withholding Tax Amt'),headerTooltip: this.l('Withholding Tax Amt'),field: 'withholdingTaxAmt',flex: 1},
			{headerName: this.l('Stamp Fee Amt'),headerTooltip: this.l('Stamp Fee Amt'),field: 'stampFeeAmt',flex: 1},
			{headerName: this.l('Gl Amount'),headerTooltip: this.l('Gl Amount'),field: 'glAmount',flex: 1},
			{headerName: this.l('Spt Code'),headerTooltip: this.l('Spt Code'),field: 'sptCode',flex: 1},
			{headerName: this.l('Higher Level Item'),headerTooltip: this.l('Higher Level Item'),field: 'higherLevelItem',flex: 1},
			{headerName: this.l('Withholding Tax Base Amt'),headerTooltip: this.l('Withholding Tax Base Amt'),field: 'withholdingTaxBaseAmt',flex: 1},
			{headerName: this.l('Type Of Sales'),headerTooltip: this.l('Type Of Sales'),field: 'typeOfSales',flex: 1},
			{headerName: this.l('Profit Center'),headerTooltip: this.l('Profit Center'),field: 'profitCenter',flex: 1},
			{headerName: this.l('Due Date'),headerTooltip: this.l('Due Date'),field: 'dueDate',flex: 1},
			{headerName: this.l('Item Text'),headerTooltip: this.l('Item Text'),field: 'itemText',flex: 1},
			{headerName: this.l('Payment Method'),headerTooltip: this.l('Payment Method'),field:  'paymentMethod', cellClass: ['text-center'], width: 120, cellRenderer: 'agCellButtonComponent',
buttonDefTwo: { text: params =&gt; (params.data?.'paymentMethod' == 'Y') ? 'Active' : 'Inactive',iconName: 'fa fa-circle',className: params =&gt; (params.data?.'paymentMethod' == 'Y') ? 'btnActive' : 'btnInActive',},}
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</v>
      </c>
      <c r="I13" s="35" t="str">
        <f ca="1">TEXTJOIN2("
",TRUE,INDIRECT(I11):INDIRECT(I12))</f>
        <v xml:space="preserve">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[(ngModel)]='documentNo' name='documentNo'
									class='form-control' [placeholder]="l('Document No')"
									type='text' (keyup.enter)='searchDatas()'&gt;
								&lt;/div&gt;
								&lt;div class='input-search'&gt;
									&lt;input [(ngModel)]='documentType' name='documentType'
									class='form-control' [placeholder]="l('Document Type')"
									type='text' (keyup.enter)='searchDatas()'&gt;
								&lt;/div&gt;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[(ngModel)]='customerCode' name='customerCode'
									class='form-control' [placeholder]="l('Customer Code')"
									type='text' (keyup.enter)='searchDatas()'&gt;
								&lt;/div&gt;
								&lt;div class='input-search'&gt;
									&lt;input [(ngModel)]='customerPlantCode' name='customerPlantCode'
									class='form-control' [placeholder]="l('Customer Plant Code')"
									type='text' (keyup.enter)='searchDatas()'&gt;
								&lt;/div&gt;
								&lt;div class='input-search'&gt;
									&lt;input [(ngModel)]='customerDockCode' name='customerDockCode'
									class='form-control' [placeholder]="l('Customer Dock Code')"
									type='text' (keyup.enter)='searchDatas()'&gt;
								&lt;/div&gt;
								&lt;div class='input-search'&gt;
									&lt;input [(ngModel)]='partCategory' name='partCategory'
									class='form-control' [placeholder]="l('Part Category')"
									type='text' (keyup.enter)='searchDatas()'&gt;
								&lt;/div&gt;
								&lt;div class='input-search'&gt;
									&lt;input [(ngModel)]='withholdingTaxFlag' name='withholdingTaxFlag'
									class='form-control' [placeholder]="l('Withholding Tax Flag')"
									type='text' (keyup.enter)='searchDatas()'&gt;
								&lt;/div&gt;
								&lt;div class='input-search'&gt;
									&lt;input [(ngModel)]='withholdingTaxRate' name='withholdingTaxRate'
									class='form-control' [placeholder]="l('Withholding Tax Rate')"
									type='text' (keyup.enter)='searchDatas()'&gt;
								&lt;/div&gt;
								&lt;div class='input-search'&gt;
									&lt;input [(ngModel)]='orderType' name='orderType'
									class='form-control' [placeholder]="l('Order Type')"
									type='text' (keyup.enter)='searchDatas()'&gt;
								&lt;/div&gt;
								&lt;div class='input-search'&gt;
									&lt;input [(ngModel)]='pdsNo' name='pdsNo'
									class='form-control' [placeholder]="l('Pds No')"
									type='text' (keyup.enter)='searchDatas()'&gt;
								&lt;/div&gt;
								&lt;div class='input-search'&gt;
									&lt;input [(ngModel)]='partReceivedDate' name='partReceivedDate'
									class='form-control' [placeholder]="l('Part Received Date')"
									type='text' (keyup.enter)='searchDatas()'&gt;
								&lt;/div&gt;
								&lt;div class='input-search'&gt;
									&lt;input [(ngModel)]='sequenceDate' name='sequenceDate'
									class='form-control' [placeholder]="l('Sequence Date')"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[(ngModel)]='referenceDocumentNo' name='referenceDocumentNo'
									class='form-control' [placeholder]="l('Reference Document No')"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[(ngModel)]='supplierPlantCode' name='supplierPlantCode'
									class='form-control' [placeholder]="l('Supplier Plant Code')"
									type='text' (keyup.enter)='searchDatas()'&gt;
								&lt;/div&gt;
								&lt;div class='input-search'&gt;
									&lt;input [(ngModel)]='partQuantity' name='partQuantity'
									class='form-control' [placeholder]="l('Part Quantity')"
									type='text' (keyup.enter)='searchDatas()'&gt;
								&lt;/div&gt;
								&lt;div class='input-search'&gt;
									&lt;input [(ngModel)]='unitBuyingPrice' name='unitBuyingPrice'
									class='form-control' [placeholder]="l('Unit Buying Price')"
									type='text' (keyup.enter)='searchDatas()'&gt;
								&lt;/div&gt;
								&lt;div class='input-search'&gt;
									&lt;input [(ngModel)]='unitBuyingAmount' name='unitBuyingAmount'
									class='form-control' [placeholder]="l('Unit Buying Amount')"
									type='text' (keyup.enter)='searchDatas()'&gt;
								&lt;/div&gt;
								&lt;div class='input-search'&gt;
									&lt;input [(ngModel)]='unitSellingPrice' name='unitSellingPrice'
									class='form-control' [placeholder]="l('Unit Selling Price')"
									type='text' (keyup.enter)='searchDatas()'&gt;
								&lt;/div&gt;
								&lt;div class='input-search'&gt;
									&lt;input [(ngModel)]='unitSellingAmount' name='unitSellingAmount'
									class='form-control' [placeholder]="l('Unit Selling Amount')"
									type='text' (keyup.enter)='searchDatas()'&gt;
								&lt;/div&gt;
								&lt;div class='input-search'&gt;
									&lt;input [(ngModel)]='priceStatus' name='priceStatus'
									class='form-control' [placeholder]="l('Price Status')"
									type='text' (keyup.enter)='searchDatas()'&gt;
								&lt;/div&gt;
								&lt;div class='input-search'&gt;
									&lt;input [(ngModel)]='totalAmount' name='totalAmount'
									class='form-control' [placeholder]="l('Total Amount')"
									type='text' (keyup.enter)='searchDatas()'&gt;
								&lt;/div&gt;
								&lt;div class='input-search'&gt;
									&lt;input [(ngModel)]='vatAmount' name='vatAmount'
									class='form-control' [placeholder]="l('Vat Amount')"
									type='text' (keyup.enter)='searchDatas()'&gt;
								&lt;/div&gt;
								&lt;div class='input-search'&gt;
									&lt;input [(ngModel)]='vatCode' name='vatCode'
									class='form-control' [placeholder]="l('Vat Code')"
									type='text' (keyup.enter)='searchDatas()'&gt;
								&lt;/div&gt;
								&lt;div class='input-search'&gt;
									&lt;input [(ngModel)]='paymentTerm' name='paymentTerm'
									class='form-control' [placeholder]="l('Payment Term')"
									type='text' (keyup.enter)='searchDatas()'&gt;
								&lt;/div&gt;
								&lt;div class='input-search'&gt;
									&lt;input [(ngModel)]='reasonCode' name='reasonCode'
									class='form-control' [placeholder]="l('Reason Code')"
									type='text' (keyup.enter)='searchDatas()'&gt;
								&lt;/div&gt;
								&lt;div class='input-search'&gt;
									&lt;input [(ngModel)]='markCode' name='markCode'
									class='form-control' [placeholder]="l('Mark Code')"
									type='text' (keyup.enter)='searchDatas()'&gt;
								&lt;/div&gt;
								&lt;div class='input-search'&gt;
									&lt;input [(ngModel)]='signCode' name='signCode'
									class='form-control' [placeholder]="l('Sign Code')"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[(ngModel)]='supplierInvoiceNo' name='supplierInvoiceNo'
									class='form-control' [placeholder]="l('Supplier Invoice No')"
									type='text' (keyup.enter)='searchDatas()'&gt;
								&lt;/div&gt;
								&lt;div class='input-search'&gt;
									&lt;input [(ngModel)]='topasSmrNo' name='topasSmrNo'
									class='form-control' [placeholder]="l('Topas Smr No')"
									type='text' (keyup.enter)='searchDatas()'&gt;
								&lt;/div&gt;
								&lt;div class='input-search'&gt;
									&lt;input [(ngModel)]='topasSmrItemNo' name='topasSmrItemNo'
									class='form-control' [placeholder]="l('Topas Smr Item No')"
									type='text' (keyup.enter)='searchDatas()'&gt;
								&lt;/div&gt;
								&lt;div class='input-search'&gt;
									&lt;input [(ngModel)]='customerBranch' name='customerBranch'
									class='form-control' [placeholder]="l('Customer Branch')"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[(ngModel)]='asset' name='asset'
									class='form-control' [placeholder]="l('Asset')"
									type='text' (keyup.enter)='searchDatas()'&gt;
								&lt;/div&gt;
								&lt;div class='input-search'&gt;
									&lt;input [(ngModel)]='orderReasonCode' name='orderReasonCode'
									class='form-control' [placeholder]="l('Order Reason Code')"
									type='text' (keyup.enter)='searchDatas()'&gt;
								&lt;/div&gt;
								&lt;div class='input-search'&gt;
									&lt;input [(ngModel)]='retroFlag' name='retroFlag'
									class='form-control' [placeholder]="l('Retro Flag')"
									type='text' (keyup.enter)='searchDatas()'&gt;
								&lt;/div&gt;
								&lt;div class='input-search'&gt;
									&lt;input [(ngModel)]='valuationType' name='valuationType'
									class='form-control' [placeholder]="l('Valuation Type')"
									type='text' (keyup.enter)='searchDatas()'&gt;
								&lt;/div&gt;
								&lt;div class='input-search'&gt;
									&lt;input [(ngModel)]='conditionType' name='conditionType'
									class='form-control' [placeholder]="l('Condition Type')"
									type='text' (keyup.enter)='searchDatas()'&gt;
								&lt;/div&gt;
								&lt;div class='input-search'&gt;
									&lt;input [(ngModel)]='conditionTypeAmt' name='conditionTypeAmt'
									class='form-control' [placeholder]="l('Condition Type Amt')"
									type='text' (keyup.enter)='searchDatas()'&gt;
								&lt;/div&gt;
								&lt;div class='input-search'&gt;
									&lt;input [(ngModel)]='prepaidTaxAmt' name='prepaidTaxAmt'
									class='form-control' [placeholder]="l('Prepaid Tax Amt')"
									type='text' (keyup.enter)='searchDatas()'&gt;
								&lt;/div&gt;
								&lt;div class='input-search'&gt;
									&lt;input [(ngModel)]='withholdingTaxAmt' name='withholdingTaxAmt'
									class='form-control' [placeholder]="l('Withholding Tax Amt')"
									type='text' (keyup.enter)='searchDatas()'&gt;
								&lt;/div&gt;
								&lt;div class='input-search'&gt;
									&lt;input [(ngModel)]='stampFeeAmt' name='stampFeeAmt'
									class='form-control' [placeholder]="l('Stamp Fee Amt')"
									type='text' (keyup.enter)='searchDatas()'&gt;
								&lt;/div&gt;
								&lt;div class='input-search'&gt;
									&lt;input [(ngModel)]='glAmount' name='glAmount'
									class='form-control' [placeholder]="l('Gl Amount')"
									type='text' (keyup.enter)='searchDatas()'&gt;
								&lt;/div&gt;
								&lt;div class='input-search'&gt;
									&lt;input [(ngModel)]='sptCode' name='sptCode'
									class='form-control' [placeholder]="l('Spt Code')"
									type='text' (keyup.enter)='searchDatas()'&gt;
								&lt;/div&gt;
								&lt;div class='input-search'&gt;
									&lt;input [(ngModel)]='higherLevelItem' name='higherLevelItem'
									class='form-control' [placeholder]="l('Higher Level Item')"
									type='text' (keyup.enter)='searchDatas()'&gt;
								&lt;/div&gt;
								&lt;div class='input-search'&gt;
									&lt;input [(ngModel)]='withholdingTaxBaseAmt' name='withholdingTaxBaseAmt'
									class='form-control' [placeholder]="l('Withholding Tax Base Amt')"
									type='text' (keyup.enter)='searchDatas()'&gt;
								&lt;/div&gt;
								&lt;div class='input-search'&gt;
									&lt;input [(ngModel)]='typeOfSales' name='typeOfSales'
									class='form-control' [placeholder]="l('Type Of Sales')"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[(ngModel)]='dueDate' name='dueDate'
									class='form-control' [placeholder]="l('Due Date')"
									type='text' (keyup.enter)='searchDatas()'&gt;
								&lt;/div&gt;
								&lt;div class='input-search'&gt;
									&lt;input [(ngModel)]='itemText' name='itemText'
									class='form-control' [placeholder]="l('Item Text')"
									type='text' (keyup.enter)='searchDatas()'&gt;
								&lt;/div&gt;
								&lt;div class='input-search'&gt;
									&lt;input [(ngModel)]='paymentMethod' name='paymentMethod'
									class='form-control' [placeholder]="l('Payment Method')"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title'&gt;Document No&lt;/label&gt;
						&lt;input type='text' class='col-md-10 form-control input-text' name='DocumentNo' [(ngModel)]='rowdata.documentNo'&gt;
					&lt;/div&gt;
					&lt;div class='col-md-12 form-group row'&gt;
						&lt;label class='col-md-2 form-control title'&gt;Document Type&lt;/label&gt;
						&lt;input type='text' class='col-md-10 form-control input-text' name='DocumentType' [(ngModel)]='rowdata.documentType'&gt;
					&lt;/div&gt;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title'&gt;Customer Code&lt;/label&gt;
						&lt;input type='text' class='col-md-10 form-control input-text' name='CustomerCode' [(ngModel)]='rowdata.customerCode'&gt;
					&lt;/div&gt;
					&lt;div class='col-md-12 form-group row'&gt;
						&lt;label class='col-md-2 form-control title'&gt;Customer Plant Code&lt;/label&gt;
						&lt;input type='text' class='col-md-10 form-control input-text' name='CustomerPlantCode' [(ngModel)]='rowdata.customerPlantCode'&gt;
					&lt;/div&gt;
					&lt;div class='col-md-12 form-group row'&gt;
						&lt;label class='col-md-2 form-control title'&gt;Customer Dock Code&lt;/label&gt;
						&lt;input type='text' class='col-md-10 form-control input-text' name='CustomerDockCode' [(ngModel)]='rowdata.customerDockCode'&gt;
					&lt;/div&gt;
					&lt;div class='col-md-12 form-group row'&gt;
						&lt;label class='col-md-2 form-control title'&gt;Part Category&lt;/label&gt;
						&lt;new-checkbox [(ngModel)]='_partCategory' name='partCategory' className='col-md-10' &gt; &lt;/new-checkbox&gt;
					&lt;/div&gt;
					&lt;div class='col-md-12 form-group row'&gt;
						&lt;label class='col-md-2 form-control title'&gt;Withholding Tax Flag&lt;/label&gt;
						&lt;new-checkbox [(ngModel)]='_withholdingTaxFlag' name='withholdingTaxFlag' className='col-md-10' &gt; &lt;/new-checkbox&gt;
					&lt;/div&gt;
					&lt;div class='col-md-12 form-group row'&gt;
						&lt;label class='col-md-2 form-control title'&gt;Withholding Tax Rate&lt;/label&gt;
						&lt;input type='text' class='col-md-10 form-control input-text' name='WithholdingTaxRate' [(ngModel)]='rowdata.withholdingTaxRate'&gt;
					&lt;/div&gt;
					&lt;div class='col-md-12 form-group row'&gt;
						&lt;label class='col-md-2 form-control title'&gt;Order Type&lt;/label&gt;
						&lt;new-checkbox [(ngModel)]='_orderType' name='orderType' className='col-md-10' &gt; &lt;/new-checkbox&gt;
					&lt;/div&gt;
					&lt;div class='col-md-12 form-group row'&gt;
						&lt;label class='col-md-2 form-control title'&gt;Pds No&lt;/label&gt;
						&lt;input type='text' class='col-md-10 form-control input-text' name='PdsNo' [(ngModel)]='rowdata.pdsNo'&gt;
					&lt;/div&gt;
					&lt;div class='col-md-12 form-group row'&gt;
						&lt;label class='col-md-2 form-control title'&gt;Part Received Date&lt;/label&gt;
						&lt;input type='text' class='col-md-10 form-control input-text' name='PartReceivedDate' [(ngModel)]='rowdata.partReceivedDate'&gt;
					&lt;/div&gt;
					&lt;div class='col-md-12 form-group row'&gt;
						&lt;label class='col-md-2 form-control title'&gt;Sequence Date&lt;/label&gt;
						&lt;input type='text' class='col-md-10 form-control input-text' name='SequenceDate' [(ngModel)]='rowdata.sequenceDate'&gt;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title'&gt;Reference Document No&lt;/label&gt;
						&lt;input type='text' class='col-md-10 form-control input-text' name='ReferenceDocumentNo' [(ngModel)]='rowdata.referenceDocumentNo'&gt;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
					&lt;div class='col-md-12 form-group row'&gt;
						&lt;label class='col-md-2 form-control title'&gt;Part Quantity&lt;/label&gt;
						&lt;input type='text' class='col-md-10 form-control input-text' name='PartQuantity' [(ngModel)]='rowdata.partQuantity'&gt;
					&lt;/div&gt;
					&lt;div class='col-md-12 form-group row'&gt;
						&lt;label class='col-md-2 form-control title'&gt;Unit Buying Price&lt;/label&gt;
						&lt;input type='text' class='col-md-10 form-control input-text' name='UnitBuyingPrice' [(ngModel)]='rowdata.unitBuyingPrice'&gt;
					&lt;/div&gt;
					&lt;div class='col-md-12 form-group row'&gt;
						&lt;label class='col-md-2 form-control title'&gt;Unit Buying Amount&lt;/label&gt;
						&lt;input type='text' class='col-md-10 form-control input-text' name='UnitBuyingAmount' [(ngModel)]='rowdata.unitBuyingAmount'&gt;
					&lt;/div&gt;
					&lt;div class='col-md-12 form-group row'&gt;
						&lt;label class='col-md-2 form-control title'&gt;Unit Selling Price&lt;/label&gt;
						&lt;input type='text' class='col-md-10 form-control input-text' name='UnitSellingPrice' [(ngModel)]='rowdata.unitSellingPrice'&gt;
					&lt;/div&gt;
					&lt;div class='col-md-12 form-group row'&gt;
						&lt;label class='col-md-2 form-control title'&gt;Unit Selling Amount&lt;/label&gt;
						&lt;input type='text' class='col-md-10 form-control input-text' name='UnitSellingAmount' [(ngModel)]='rowdata.unitSellingAmount'&gt;
					&lt;/div&gt;
					&lt;div class='col-md-12 form-group row'&gt;
						&lt;label class='col-md-2 form-control title'&gt;Price Status&lt;/label&gt;
						&lt;new-checkbox [(ngModel)]='_priceStatus' name='priceStatus' className='col-md-10' &gt; &lt;/new-checkbox&gt;
					&lt;/div&gt;
					&lt;div class='col-md-12 form-group row'&gt;
						&lt;label class='col-md-2 form-control title'&gt;Total Amount&lt;/label&gt;
						&lt;input type='text' class='col-md-10 form-control input-text' name='TotalAmount' [(ngModel)]='rowdata.totalAmount'&gt;
					&lt;/div&gt;
					&lt;div class='col-md-12 form-group row'&gt;
						&lt;label class='col-md-2 form-control title'&gt;Vat Amount&lt;/label&gt;
						&lt;input type='text' class='col-md-10 form-control input-text' name='VatAmount' [(ngModel)]='rowdata.vatAmount'&gt;
					&lt;/div&gt;
					&lt;div class='col-md-12 form-group row'&gt;
						&lt;label class='col-md-2 form-control title'&gt;Vat Code&lt;/label&gt;
						&lt;input type='text' class='col-md-10 form-control input-text' name='VatCode' [(ngModel)]='rowdata.vatCode'&gt;
					&lt;/div&gt;
					&lt;div class='col-md-12 form-group row'&gt;
						&lt;label class='col-md-2 form-control title'&gt;Payment Term&lt;/label&gt;
						&lt;input type='text' class='col-md-10 form-control input-text' name='PaymentTerm' [(ngModel)]='rowdata.paymentTerm'&gt;
					&lt;/div&gt;
					&lt;div class='col-md-12 form-group row'&gt;
						&lt;label class='col-md-2 form-control title'&gt;Reason Code&lt;/label&gt;
						&lt;new-checkbox [(ngModel)]='_reasonCode' name='reasonCode' className='col-md-10' &gt; &lt;/new-checkbox&gt;
					&lt;/div&gt;
					&lt;div class='col-md-12 form-group row'&gt;
						&lt;label class='col-md-2 form-control title'&gt;Mark Code&lt;/label&gt;
						&lt;new-checkbox [(ngModel)]='_markCode' name='markCode' className='col-md-10' &gt; &lt;/new-checkbox&gt;
					&lt;/div&gt;
					&lt;div class='col-md-12 form-group row'&gt;
						&lt;label class='col-md-2 form-control title'&gt;Sign Code&lt;/label&gt;
						&lt;new-checkbox [(ngModel)]='_signCode' name='signCode' className='col-md-10' &gt; &lt;/new-checkbox&gt;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title'&gt;Supplier Invoice No&lt;/label&gt;
						&lt;input type='text' class='col-md-10 form-control input-text' name='SupplierInvoiceNo' [(ngModel)]='rowdata.supplierInvoiceNo'&gt;
					&lt;/div&gt;
					&lt;div class='col-md-12 form-group row'&gt;
						&lt;label class='col-md-2 form-control title'&gt;Topas Smr No&lt;/label&gt;
						&lt;input type='text' class='col-md-10 form-control input-text' name='TopasSmrNo' [(ngModel)]='rowdata.topasSmrNo'&gt;
					&lt;/div&gt;
					&lt;div class='col-md-12 form-group row'&gt;
						&lt;label class='col-md-2 form-control title'&gt;Topas Smr Item No&lt;/label&gt;
						&lt;input type='text' class='col-md-10 form-control input-text' name='TopasSmrItemNo' [(ngModel)]='rowdata.topasSmrItemNo'&gt;
					&lt;/div&gt;
					&lt;div class='col-md-12 form-group row'&gt;
						&lt;label class='col-md-2 form-control title'&gt;Customer Branch&lt;/label&gt;
						&lt;input type='text' class='col-md-10 form-control input-text' name='CustomerBranch' [(ngModel)]='rowdata.customerBranch'&gt;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title'&gt;Asset&lt;/label&gt;
						&lt;input type='text' class='col-md-10 form-control input-text' name='Asset' [(ngModel)]='rowdata.asset'&gt;
					&lt;/div&gt;
					&lt;div class='col-md-12 form-group row'&gt;
						&lt;label class='col-md-2 form-control title'&gt;Order Reason Code&lt;/label&gt;
						&lt;new-checkbox [(ngModel)]='_orderReasonCode' name='orderReasonCode' className='col-md-10' &gt; &lt;/new-checkbox&gt;
					&lt;/div&gt;
					&lt;div class='col-md-12 form-group row'&gt;
						&lt;label class='col-md-2 form-control title'&gt;Retro Flag&lt;/label&gt;
						&lt;new-checkbox [(ngModel)]='_retroFlag' name='retroFlag' className='col-md-10' &gt; &lt;/new-checkbox&gt;
					&lt;/div&gt;
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
					&lt;div class='col-md-12 form-group row'&gt;
						&lt;label class='col-md-2 form-control title'&gt;Condition Type&lt;/label&gt;
						&lt;input type='text' class='col-md-10 form-control input-text' name='ConditionType' [(ngModel)]='rowdata.conditionType'&gt;
					&lt;/div&gt;
					&lt;div class='col-md-12 form-group row'&gt;
						&lt;label class='col-md-2 form-control title'&gt;Condition Type Amt&lt;/label&gt;
						&lt;input type='text' class='col-md-10 form-control input-text' name='ConditionTypeAmt' [(ngModel)]='rowdata.conditionTypeAmt'&gt;
					&lt;/div&gt;
					&lt;div class='col-md-12 form-group row'&gt;
						&lt;label class='col-md-2 form-control title'&gt;Prepaid Tax Amt&lt;/label&gt;
						&lt;input type='text' class='col-md-10 form-control input-text' name='PrepaidTaxAmt' [(ngModel)]='rowdata.prepaidTaxAmt'&gt;
					&lt;/div&gt;
					&lt;div class='col-md-12 form-group row'&gt;
						&lt;label class='col-md-2 form-control title'&gt;Withholding Tax Amt&lt;/label&gt;
						&lt;input type='text' class='col-md-10 form-control input-text' name='WithholdingTaxAmt' [(ngModel)]='rowdata.withholdingTaxAmt'&gt;
					&lt;/div&gt;
					&lt;div class='col-md-12 form-group row'&gt;
						&lt;label class='col-md-2 form-control title'&gt;Stamp Fee Amt&lt;/label&gt;
						&lt;input type='text' class='col-md-10 form-control input-text' name='StampFeeAmt' [(ngModel)]='rowdata.stampFeeAmt'&gt;
					&lt;/div&gt;
					&lt;div class='col-md-12 form-group row'&gt;
						&lt;label class='col-md-2 form-control title'&gt;Gl Amount&lt;/label&gt;
						&lt;input type='text' class='col-md-10 form-control input-text' name='GlAmount' [(ngModel)]='rowdata.glAmount'&gt;
					&lt;/div&gt;
					&lt;div class='col-md-12 form-group row'&gt;
						&lt;label class='col-md-2 form-control title'&gt;Spt Code&lt;/label&gt;
						&lt;input type='text' class='col-md-10 form-control input-text' name='SptCode' [(ngModel)]='rowdata.sptCode'&gt;
					&lt;/div&gt;
					&lt;div class='col-md-12 form-group row'&gt;
						&lt;label class='col-md-2 form-control title'&gt;Higher Level Item&lt;/label&gt;
						&lt;input type='text' class='col-md-10 form-control input-text' name='HigherLevelItem' [(ngModel)]='rowdata.higherLevelItem'&gt;
					&lt;/div&gt;
					&lt;div class='col-md-12 form-group row'&gt;
						&lt;label class='col-md-2 form-control title'&gt;Withholding Tax Base Amt&lt;/label&gt;
						&lt;input type='text' class='col-md-10 form-control input-text' name='WithholdingTaxBaseAmt' [(ngModel)]='rowdata.withholdingTaxBaseAmt'&gt;
					&lt;/div&gt;
					&lt;div class='col-md-12 form-group row'&gt;
						&lt;label class='col-md-2 form-control title'&gt;Type Of Sales&lt;/label&gt;
						&lt;input type='text' class='col-md-10 form-control input-text' name='TypeOfSales' [(ngModel)]='rowdata.typeOfSales'&gt;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title'&gt;Due Date&lt;/label&gt;
						&lt;input type='text' class='col-md-10 form-control input-text' name='DueDate' [(ngModel)]='rowdata.dueDate'&gt;
					&lt;/div&gt;
					&lt;div class='col-md-12 form-group row'&gt;
						&lt;label class='col-md-2 form-control title'&gt;Item Text&lt;/label&gt;
						&lt;input type='text' class='col-md-10 form-control input-text' name='ItemText' [(ngModel)]='rowdata.itemText'&gt;
					&lt;/div&gt;
					&lt;div class='col-md-12 form-group row'&gt;
						&lt;label class='col-md-2 form-control title'&gt;Payment Method&lt;/label&gt;
						&lt;new-checkbox [(ngModel)]='_paymentMethod' name='paymentMethod' className='col-md-10' &gt; &lt;/new-checkbox&gt;
					&lt;/div&gt;
					&lt;div class='col-md-12 form-group row'&gt;
						&lt;label class='col-md-2 form-control title'&gt;Ending Of Record&lt;/label&gt;
						&lt;new-checkbox [(ngModel)]='_endingOfRecord' name='endingOfRecord'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recordId : string = '' ; 
	companyCode : string = '' ; 
	documentNo : string = '' ; 
	documentType : string = '' ; 
	documentDate : string = '' ; 
	customerCode : string = '' ; 
	customerPlantCode : string = '' ; 
	customerDockCode : string = '' ; 
	partCategory : string = '' ; 
	withholdingTaxFlag : string = '' ; 
	withholdingTaxRate : string = '' ; 
	orderType : string = '' ; 
	pdsNo : string = '' ; 
	partReceivedDate : string = '' ; 
	sequenceDate : string = '' ; 
	sequenceNo : string = '' ; 
	partNo : string = '' ; 
	referenceDocumentNo : string = '' ; 
	postingDate : string = '' ; 
	supplierCode : string = '' ; 
	supplierPlantCode : string = '' ; 
	partQuantity : string = '' ; 
	unitBuyingPrice : string = '' ; 
	unitBuyingAmount : string = '' ; 
	unitSellingPrice : string = '' ; 
	unitSellingAmount : string = '' ; 
	priceStatus : string = '' ; 
	totalAmount : string = '' ; 
	vatAmount : string = '' ; 
	vatCode : string = '' ; 
	paymentTerm : string = '' ; 
	reasonCode : string = '' ; 
	markCode : string = '' ; 
	signCode : string = '' ; 
	cancelFlag : string = '' ; 
	supplierInvoiceNo : string = '' ; 
	topasSmrNo : string = '' ; 
	topasSmrItemNo : string = '' ; 
	customerBranch : string = '' ; 
	costCenter : string = '' ; 
	wbs : string = '' ; 
	asset : string = '' ; 
	orderReasonCode : string = '' ; 
	retroFlag : string = '' ; 
	valuationType : string = '' ; 
	conditionType : string = '' ; 
	conditionTypeAmt : string = '' ; 
	prepaidTaxAmt : string = '' ; 
	withholdingTaxAmt : string = '' ; 
	stampFeeAmt : string = '' ; 
	glAmount : string = '' ; 
	sptCode : string = '' ; 
	higherLevelItem : string = '' ; 
	withholdingTaxBaseAmt : string = '' ; 
	typeOfSales : string = '' ; 
	profitCenter : string = '' ; 
	dueDate : string = '' ; 
	itemText : string = '' ; 
	paymentMethod : string = '' ; 
	endingOfRecord : string = '' ; </v>
      </c>
      <c r="T13" s="62" t="str">
        <f ca="1">TEXTJOIN2("
",TRUE,INDIRECT(T11):INDIRECT(T12))</f>
        <v xml:space="preserve">			this.recordId,
			this.companyCode,
			this.documentNo,
			this.documentType,
			this.documentDate,
			this.customerCode,
			this.customerPlantCode,
			this.customerDockCode,
			this.partCategory,
			this.withholdingTaxFlag,
			this.withholdingTaxRate,
			this.orderType,
			this.pdsNo,
			this.partReceivedDate,
			this.sequenceDate,
			this.sequenceNo,
			this.partNo,
			this.referenceDocumentNo,
			this.postingDate,
			this.supplierCode,
			this.supplierPlantCode,
			this.partQuantity,
			this.unitBuyingPrice,
			this.unitBuyingAmount,
			this.unitSellingPrice,
			this.unitSellingAmount,
			this.priceStatus,
			this.totalAmount,
			this.vatAmount,
			this.vatCode,
			this.paymentTerm,
			this.reasonCode,
			this.markCode,
			this.signCode,
			this.cancelFlag,
			this.supplierInvoiceNo,
			this.topasSmrNo,
			this.topasSmrItemNo,
			this.customerBranch,
			this.costCenter,
			this.wbs,
			this.asset,
			this.orderReasonCode,
			this.retroFlag,
			this.valuationType,
			this.conditionType,
			this.conditionTypeAmt,
			this.prepaidTaxAmt,
			this.withholdingTaxAmt,
			this.stampFeeAmt,
			this.glAmount,
			this.sptCode,
			this.higherLevelItem,
			this.withholdingTaxBaseAmt,
			this.typeOfSales,
			this.profitCenter,
			this.dueDate,
			this.itemText,
			this.paymentMethod,
			this.endingOfRecord,</v>
      </c>
      <c r="U13" s="62" t="str">
        <f ca="1">TEXTJOIN2("
",TRUE,INDIRECT(U11):INDIRECT(U12))</f>
        <v xml:space="preserve">		this.recordId = '',
		this.companyCode = '',
		this.documentNo = '',
		this.documentType = '',
		this.documentDate = '',
		this.customerCode = '',
		this.customerPlantCode = '',
		this.customerDockCode = '',
		this.partCategory = '',
		this.withholdingTaxFlag = '',
		this.withholdingTaxRate = '',
		this.orderType = '',
		this.pdsNo = '',
		this.partReceivedDate = '',
		this.sequenceDate = '',
		this.sequenceNo = '',
		this.partNo = '',
		this.referenceDocumentNo = '',
		this.postingDate = '',
		this.supplierCode = '',
		this.supplierPlantCode = '',
		this.partQuantity = '',
		this.unitBuyingPrice = '',
		this.unitBuyingAmount = '',
		this.unitSellingPrice = '',
		this.unitSellingAmount = '',
		this.priceStatus = '',
		this.totalAmount = '',
		this.vatAmount = '',
		this.vatCode = '',
		this.paymentTerm = '',
		this.reasonCode = '',
		this.markCode = '',
		this.signCode = '',
		this.cancelFlag = '',
		this.supplierInvoiceNo = '',
		this.topasSmrNo = '',
		this.topasSmrItemNo = '',
		this.customerBranch = '',
		this.costCenter = '',
		this.wbs = '',
		this.asset = '',
		this.orderReasonCode = '',
		this.retroFlag = '',
		this.valuationType = '',
		this.conditionType = '',
		this.conditionTypeAmt = '',
		this.prepaidTaxAmt = '',
		this.withholdingTaxAmt = '',
		this.stampFeeAmt = '',
		this.glAmount = '',
		this.sptCode = '',
		this.higherLevelItem = '',
		this.withholdingTaxBaseAmt = '',
		this.typeOfSales = '',
		this.profitCenter = '',
		this.dueDate = '',
		this.itemText = '',
		this.paymentMethod = '',
		this.endingOfRecord = '',</v>
      </c>
      <c r="V13" s="28" t="str">
        <f ca="1">TEXTJOIN2("
",TRUE,INDIRECT(V11):INDIRECT(V12))</f>
        <v>partCategory
withholdingTaxFlag
orderType
supplierPlantCode
priceStatus
reasonCode
markCode
signCode
cancelFlag
orderReasonCode
retroFlag
paymentMethod
endingOfRecord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fqf3mm03.component.ts</v>
      </c>
      <c r="I14" s="37" t="str">
        <f>B8&amp;".component.html"</f>
        <v>fqf3mm03.component.html</v>
      </c>
      <c r="J14" s="36" t="str">
        <f>B8&amp;".component.less"</f>
        <v>fqf3mm03.component.less</v>
      </c>
      <c r="K14" s="37" t="str">
        <f>"create-or-edit-"&amp;B8&amp;"-modal.component.html"</f>
        <v>create-or-edit-fqf3mm03-modal.component.html</v>
      </c>
      <c r="L14" s="37" t="str">
        <f>"create-or-edit-"&amp;B8&amp;"-modal.component.ts"</f>
        <v>create-or-edit-fqf3mm03-modal.component.ts</v>
      </c>
      <c r="M14" s="37" t="str">
        <f>"create-or-edit-"&amp;B8&amp;"-modal.component.less"</f>
        <v>create-or-edit-fqf3mm03-modal.component.less</v>
      </c>
      <c r="N14" s="37" t="str">
        <f>B8&amp;".module.ts"</f>
        <v>fqf3mm03.module.ts</v>
      </c>
      <c r="O14" s="37" t="str">
        <f>B8&amp;"-routing.module.ts"</f>
        <v>fqf3mm03-routing.module.ts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363</v>
      </c>
      <c r="B15" s="28" t="str">
        <f t="shared" ref="B15:B74" si="0">SUBSTITUTE(PROPER(A15),"_","")</f>
        <v>RecordId</v>
      </c>
      <c r="C15" s="28" t="str">
        <f t="shared" ref="C15:C74" si="1">SUBSTITUTE(PROPER(A15),"_"," ")</f>
        <v>Record Id</v>
      </c>
      <c r="D15" s="28" t="str">
        <f t="shared" ref="D15:D74" si="2">LOWER(LEFT(B15,1))&amp;RIGHT(B15,LEN(B15) - 1)</f>
        <v>recordId</v>
      </c>
      <c r="E15" s="28" t="str">
        <f>A.Backend!H9</f>
        <v>string</v>
      </c>
      <c r="F15" s="28" t="str">
        <f>A.Backend!G9</f>
        <v>7</v>
      </c>
      <c r="G15" s="28" t="str">
        <f t="shared" ref="G15:G74" si="3">IF(E15="string"," : string = '' ; ",IF(OR(E15="DateTime",E15="TimeSpan")," : any ;",IF(E15="int"," : number = 0 ;","")))</f>
        <v xml:space="preserve"> : string = '' ; </v>
      </c>
      <c r="H15" s="35" t="str">
        <f t="shared" ref="H15:H74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this.l('Record Id'),headerTooltip: this.l('Record Id'),field: 'recordId',flex: 1},</v>
      </c>
      <c r="I15" s="35" t="str">
        <f t="shared" ref="I15:I74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[(ngModel)]='recordId' name='recordId'
									class='form-control' [placeholder]="l('Record Id')"
									type='text' (keyup.enter)='searchDatas()'&gt;
								&lt;/div&gt;</v>
      </c>
      <c r="J15" s="28"/>
      <c r="K15" s="35" t="str">
        <f t="shared" ref="K15:K74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title'&gt;Record Id&lt;/label&gt;
						&lt;input type='text' class='col-md-10 form-control input-text' name='RecordId' [(ngModel)]='rowdata.recordId'&gt;
					&lt;/div&gt;</v>
      </c>
      <c r="L15" s="56" t="str">
        <f t="shared" ref="L15:L6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recordId : string = '' ; </v>
      </c>
      <c r="T15" s="28" t="str">
        <f>REPT(CHAR(9),3)&amp;"this."&amp;D15&amp;","</f>
        <v xml:space="preserve">			this.recordId,</v>
      </c>
      <c r="U15" s="28" t="str">
        <f>IF(E15="int",REPT(CHAR(9),2)&amp;"this."&amp;D15&amp;" = 0,",REPT(CHAR(9),2)&amp;"this."&amp;D15&amp;" = '',")</f>
        <v xml:space="preserve">		this.recordId = '',</v>
      </c>
      <c r="V15" s="28" t="str">
        <f t="shared" ref="V15:V74" si="8">IF(AND(E15="string",F15="1"),D15,"")</f>
        <v/>
      </c>
    </row>
    <row r="16" spans="1:22" ht="18" customHeight="1" x14ac:dyDescent="0.25">
      <c r="A16" t="s">
        <v>364</v>
      </c>
      <c r="B16" s="28" t="str">
        <f t="shared" si="0"/>
        <v>CompanyCode</v>
      </c>
      <c r="C16" s="28" t="str">
        <f t="shared" si="1"/>
        <v>Company Code</v>
      </c>
      <c r="D16" s="28" t="str">
        <f t="shared" si="2"/>
        <v>companyCode</v>
      </c>
      <c r="E16" s="28" t="str">
        <f>A.Backend!H10</f>
        <v>string</v>
      </c>
      <c r="F16" s="28" t="str">
        <f>A.Backend!G10</f>
        <v>4</v>
      </c>
      <c r="G16" s="28" t="str">
        <f t="shared" si="3"/>
        <v xml:space="preserve"> : string = '' ; </v>
      </c>
      <c r="H16" s="35" t="str">
        <f t="shared" si="4"/>
        <v xml:space="preserve">			{headerName: this.l('Company Code'),headerTooltip: this.l('Company Code'),field: 'companyCode',flex: 1},</v>
      </c>
      <c r="I16" s="35" t="str">
        <f t="shared" si="5"/>
        <v xml:space="preserve">								&lt;div class='input-search'&gt;
									&lt;input [(ngModel)]='companyCode' name='companyCode'
									class='form-control' [placeholder]="l('Company Code')"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title'&gt;Company Code&lt;/label&gt;
						&lt;input type='text' class='col-md-10 form-control input-text' name='CompanyCode' [(ngModel)]='rowdata.companyCode'&gt;
					&lt;/div&gt;</v>
      </c>
      <c r="L16" s="56" t="str">
        <f t="shared" ref="L16" si="9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74" si="10">REPT(CHAR(9),1)&amp;D16&amp;G16</f>
        <v xml:space="preserve">	companyCode : string = '' ; </v>
      </c>
      <c r="T16" s="28" t="str">
        <f t="shared" ref="T16:T74" si="11">REPT(CHAR(9),3)&amp;"this."&amp;D16&amp;","</f>
        <v xml:space="preserve">			this.companyCode,</v>
      </c>
      <c r="U16" s="28" t="str">
        <f t="shared" ref="U16:U74" si="12">IF(E16="int",REPT(CHAR(9),2)&amp;"this."&amp;D16&amp;" = 0,",REPT(CHAR(9),2)&amp;"this."&amp;D16&amp;" = '',")</f>
        <v xml:space="preserve">		this.companyCode = '',</v>
      </c>
      <c r="V16" s="28" t="str">
        <f t="shared" si="8"/>
        <v/>
      </c>
    </row>
    <row r="17" spans="1:22" ht="18" customHeight="1" x14ac:dyDescent="0.25">
      <c r="A17" t="s">
        <v>365</v>
      </c>
      <c r="B17" s="28" t="str">
        <f t="shared" si="0"/>
        <v>DocumentNo</v>
      </c>
      <c r="C17" s="28" t="str">
        <f t="shared" si="1"/>
        <v>Document No</v>
      </c>
      <c r="D17" s="28" t="str">
        <f t="shared" si="2"/>
        <v>documentNo</v>
      </c>
      <c r="E17" s="28" t="str">
        <f>A.Backend!H11</f>
        <v>string</v>
      </c>
      <c r="F17" s="28" t="str">
        <f>A.Backend!G11</f>
        <v>20</v>
      </c>
      <c r="G17" s="28" t="str">
        <f t="shared" si="3"/>
        <v xml:space="preserve"> : string = '' ; </v>
      </c>
      <c r="H17" s="35" t="str">
        <f t="shared" si="4"/>
        <v xml:space="preserve">			{headerName: this.l('Document No'),headerTooltip: this.l('Document No'),field: 'documentNo',flex: 1},</v>
      </c>
      <c r="I17" s="35" t="str">
        <f t="shared" si="5"/>
        <v xml:space="preserve">								&lt;div class='input-search'&gt;
									&lt;input [(ngModel)]='documentNo' name='documentNo'
									class='form-control' [placeholder]="l('Document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title'&gt;Document No&lt;/label&gt;
						&lt;input type='text' class='col-md-10 form-control input-text' name='DocumentNo' [(ngModel)]='rowdata.documentNo'&gt;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0"/>
        <v xml:space="preserve">	documentNo : string = '' ; </v>
      </c>
      <c r="T17" s="28" t="str">
        <f t="shared" si="11"/>
        <v xml:space="preserve">			this.documentNo,</v>
      </c>
      <c r="U17" s="28" t="str">
        <f t="shared" si="12"/>
        <v xml:space="preserve">		this.documentNo = '',</v>
      </c>
      <c r="V17" s="28" t="str">
        <f t="shared" si="8"/>
        <v/>
      </c>
    </row>
    <row r="18" spans="1:22" ht="15" customHeight="1" x14ac:dyDescent="0.25">
      <c r="A18" t="s">
        <v>366</v>
      </c>
      <c r="B18" s="28" t="str">
        <f t="shared" si="0"/>
        <v>DocumentType</v>
      </c>
      <c r="C18" s="28" t="str">
        <f t="shared" si="1"/>
        <v>Document Type</v>
      </c>
      <c r="D18" s="28" t="str">
        <f t="shared" si="2"/>
        <v>documentType</v>
      </c>
      <c r="E18" s="28" t="str">
        <f>A.Backend!H12</f>
        <v>string</v>
      </c>
      <c r="F18" s="28" t="str">
        <f>A.Backend!G12</f>
        <v>2</v>
      </c>
      <c r="G18" s="28" t="str">
        <f t="shared" si="3"/>
        <v xml:space="preserve"> : string = '' ; </v>
      </c>
      <c r="H18" s="35" t="str">
        <f t="shared" si="4"/>
        <v xml:space="preserve">			{headerName: this.l('Document Type'),headerTooltip: this.l('Document Type'),field: 'documentType',flex: 1},</v>
      </c>
      <c r="I18" s="35" t="str">
        <f t="shared" si="5"/>
        <v xml:space="preserve">								&lt;div class='input-search'&gt;
									&lt;input [(ngModel)]='documentType' name='documentType'
									class='form-control' [placeholder]="l('Document Type')"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title'&gt;Document Type&lt;/label&gt;
						&lt;input type='text' class='col-md-10 form-control input-text' name='DocumentType' [(ngModel)]='rowdata.documentType'&gt;
					&lt;/div&gt;</v>
      </c>
      <c r="L18" s="56" t="str">
        <f t="shared" ref="L18:L56" si="1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0"/>
        <v xml:space="preserve">	documentType : string = '' ; </v>
      </c>
      <c r="T18" s="28" t="str">
        <f t="shared" si="11"/>
        <v xml:space="preserve">			this.documentType,</v>
      </c>
      <c r="U18" s="28" t="str">
        <f t="shared" si="12"/>
        <v xml:space="preserve">		this.documentType = '',</v>
      </c>
      <c r="V18" s="28" t="str">
        <f t="shared" si="8"/>
        <v/>
      </c>
    </row>
    <row r="19" spans="1:22" ht="18" customHeight="1" x14ac:dyDescent="0.25">
      <c r="A19" t="s">
        <v>354</v>
      </c>
      <c r="B19" s="28" t="str">
        <f t="shared" si="0"/>
        <v>DocumentDate</v>
      </c>
      <c r="C19" s="28" t="str">
        <f t="shared" si="1"/>
        <v>Document Date</v>
      </c>
      <c r="D19" s="28" t="str">
        <f t="shared" si="2"/>
        <v>documentDate</v>
      </c>
      <c r="E19" s="28" t="str">
        <f>A.Backend!H13</f>
        <v>string</v>
      </c>
      <c r="F19" s="28" t="str">
        <f>A.Backend!G13</f>
        <v>8</v>
      </c>
      <c r="G19" s="28" t="str">
        <f t="shared" si="3"/>
        <v xml:space="preserve"> : string = '' ; </v>
      </c>
      <c r="H19" s="35" t="str">
        <f t="shared" si="4"/>
        <v xml:space="preserve">			{headerName: this.l('Document Date'),headerTooltip: this.l('Document Date'),field: 'documentDate',flex: 1},</v>
      </c>
      <c r="I19" s="35" t="str">
        <f t="shared" si="5"/>
        <v xml:space="preserve">								&lt;div class='input-search'&gt;
									&lt;input [(ngModel)]='documentDate' name='documentDate'
									class='form-control' [placeholder]="l('Document Date')"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title'&gt;Document Date&lt;/label&gt;
						&lt;input type='text' class='col-md-10 form-control input-text' name='DocumentDate' [(ngModel)]='rowdata.documentDate'&gt;
					&lt;/div&gt;</v>
      </c>
      <c r="L19" s="56" t="str">
        <f t="shared" ref="L19:L21" si="14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si="10"/>
        <v xml:space="preserve">	documentDate : string = '' ; </v>
      </c>
      <c r="T19" s="28" t="str">
        <f t="shared" si="11"/>
        <v xml:space="preserve">			this.documentDate,</v>
      </c>
      <c r="U19" s="28" t="str">
        <f t="shared" si="12"/>
        <v xml:space="preserve">		this.documentDate = '',</v>
      </c>
      <c r="V19" s="28" t="str">
        <f t="shared" si="8"/>
        <v/>
      </c>
    </row>
    <row r="20" spans="1:22" ht="15" customHeight="1" x14ac:dyDescent="0.25">
      <c r="A20" t="s">
        <v>367</v>
      </c>
      <c r="B20" s="28" t="str">
        <f t="shared" si="0"/>
        <v>CustomerCode</v>
      </c>
      <c r="C20" s="28" t="str">
        <f t="shared" si="1"/>
        <v>Customer Code</v>
      </c>
      <c r="D20" s="28" t="str">
        <f t="shared" si="2"/>
        <v>customerCode</v>
      </c>
      <c r="E20" s="28" t="str">
        <f>A.Backend!H14</f>
        <v>string</v>
      </c>
      <c r="F20" s="28" t="str">
        <f>A.Backend!G14</f>
        <v>4</v>
      </c>
      <c r="G20" s="28" t="str">
        <f t="shared" si="3"/>
        <v xml:space="preserve"> : string = '' ; </v>
      </c>
      <c r="H20" s="35" t="str">
        <f t="shared" si="4"/>
        <v xml:space="preserve">			{headerName: this.l('Customer Code'),headerTooltip: this.l('Customer Code'),field: 'customerCode',flex: 1},</v>
      </c>
      <c r="I20" s="35" t="str">
        <f t="shared" si="5"/>
        <v xml:space="preserve">								&lt;div class='input-search'&gt;
									&lt;input [(ngModel)]='customerCode' name='customerCode'
									class='form-control' [placeholder]="l('Customer Code')"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title'&gt;Customer Code&lt;/label&gt;
						&lt;input type='text' class='col-md-10 form-control input-text' name='CustomerCode' [(ngModel)]='rowdata.customerCode'&gt;
					&lt;/div&gt;</v>
      </c>
      <c r="L20" s="56" t="str">
        <f t="shared" si="14"/>
        <v/>
      </c>
      <c r="M20" s="28"/>
      <c r="N20" s="28"/>
      <c r="O20" s="28"/>
      <c r="P20" s="28"/>
      <c r="Q20" s="28"/>
      <c r="R20" s="28"/>
      <c r="S20" s="28" t="str">
        <f t="shared" si="10"/>
        <v xml:space="preserve">	customerCode : string = '' ; </v>
      </c>
      <c r="T20" s="28" t="str">
        <f t="shared" si="11"/>
        <v xml:space="preserve">			this.customerCode,</v>
      </c>
      <c r="U20" s="28" t="str">
        <f t="shared" si="12"/>
        <v xml:space="preserve">		this.customerCode = '',</v>
      </c>
      <c r="V20" s="28" t="str">
        <f t="shared" si="8"/>
        <v/>
      </c>
    </row>
    <row r="21" spans="1:22" ht="18" customHeight="1" x14ac:dyDescent="0.25">
      <c r="A21" t="s">
        <v>368</v>
      </c>
      <c r="B21" s="28" t="str">
        <f t="shared" si="0"/>
        <v>CustomerPlantCode</v>
      </c>
      <c r="C21" s="28" t="str">
        <f t="shared" si="1"/>
        <v>Customer Plant Code</v>
      </c>
      <c r="D21" s="28" t="str">
        <f t="shared" si="2"/>
        <v>customerPlantCode</v>
      </c>
      <c r="E21" s="28" t="str">
        <f>A.Backend!H15</f>
        <v>string</v>
      </c>
      <c r="F21" s="28" t="str">
        <f>A.Backend!G15</f>
        <v>4</v>
      </c>
      <c r="G21" s="28" t="str">
        <f t="shared" si="3"/>
        <v xml:space="preserve"> : string = '' ; </v>
      </c>
      <c r="H21" s="35" t="str">
        <f t="shared" si="4"/>
        <v xml:space="preserve">			{headerName: this.l('Customer Plant Code'),headerTooltip: this.l('Customer Plant Code'),field: 'customerPlantCode',flex: 1},</v>
      </c>
      <c r="I21" s="35" t="str">
        <f t="shared" si="5"/>
        <v xml:space="preserve">								&lt;div class='input-search'&gt;
									&lt;input [(ngModel)]='customerPlantCode' name='customerPlantCode'
									class='form-control' [placeholder]="l('Customer Plant Code')"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title'&gt;Customer Plant Code&lt;/label&gt;
						&lt;input type='text' class='col-md-10 form-control input-text' name='CustomerPlantCode' [(ngModel)]='rowdata.customerPlantCode'&gt;
					&lt;/div&gt;</v>
      </c>
      <c r="L21" s="56" t="str">
        <f t="shared" si="14"/>
        <v/>
      </c>
      <c r="M21" s="28"/>
      <c r="N21" s="28"/>
      <c r="O21" s="28"/>
      <c r="P21" s="28"/>
      <c r="Q21" s="28"/>
      <c r="R21" s="28"/>
      <c r="S21" s="28" t="str">
        <f t="shared" si="10"/>
        <v xml:space="preserve">	customerPlantCode : string = '' ; </v>
      </c>
      <c r="T21" s="28" t="str">
        <f t="shared" si="11"/>
        <v xml:space="preserve">			this.customerPlantCode,</v>
      </c>
      <c r="U21" s="28" t="str">
        <f t="shared" si="12"/>
        <v xml:space="preserve">		this.customerPlantCode = '',</v>
      </c>
      <c r="V21" s="28" t="str">
        <f t="shared" si="8"/>
        <v/>
      </c>
    </row>
    <row r="22" spans="1:22" ht="18" customHeight="1" x14ac:dyDescent="0.25">
      <c r="A22" t="s">
        <v>369</v>
      </c>
      <c r="B22" s="28" t="str">
        <f t="shared" si="0"/>
        <v>CustomerDockCode</v>
      </c>
      <c r="C22" s="28" t="str">
        <f t="shared" si="1"/>
        <v>Customer Dock Code</v>
      </c>
      <c r="D22" s="28" t="str">
        <f t="shared" si="2"/>
        <v>customerDockCode</v>
      </c>
      <c r="E22" s="28" t="str">
        <f>A.Backend!H16</f>
        <v>string</v>
      </c>
      <c r="F22" s="28" t="str">
        <f>A.Backend!G16</f>
        <v>4</v>
      </c>
      <c r="G22" s="28" t="str">
        <f t="shared" si="3"/>
        <v xml:space="preserve"> : string = '' ; </v>
      </c>
      <c r="H22" s="35" t="str">
        <f t="shared" si="4"/>
        <v xml:space="preserve">			{headerName: this.l('Customer Dock Code'),headerTooltip: this.l('Customer Dock Code'),field: 'customerDockCode',flex: 1},</v>
      </c>
      <c r="I22" s="35" t="str">
        <f t="shared" si="5"/>
        <v xml:space="preserve">								&lt;div class='input-search'&gt;
									&lt;input [(ngModel)]='customerDockCode' name='customerDockCode'
									class='form-control' [placeholder]="l('Customer Dock Code')"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title'&gt;Customer Dock Code&lt;/label&gt;
						&lt;input type='text' class='col-md-10 form-control input-text' name='CustomerDockCode' [(ngModel)]='rowdata.customerDockCode'&gt;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0"/>
        <v xml:space="preserve">	customerDockCode : string = '' ; </v>
      </c>
      <c r="T22" s="28" t="str">
        <f t="shared" si="11"/>
        <v xml:space="preserve">			this.customerDockCode,</v>
      </c>
      <c r="U22" s="28" t="str">
        <f t="shared" si="12"/>
        <v xml:space="preserve">		this.customerDockCode = '',</v>
      </c>
      <c r="V22" s="28" t="str">
        <f t="shared" si="8"/>
        <v/>
      </c>
    </row>
    <row r="23" spans="1:22" ht="15" customHeight="1" x14ac:dyDescent="0.25">
      <c r="A23" t="s">
        <v>370</v>
      </c>
      <c r="B23" s="28" t="str">
        <f t="shared" si="0"/>
        <v>PartCategory</v>
      </c>
      <c r="C23" s="28" t="str">
        <f t="shared" si="1"/>
        <v>Part Category</v>
      </c>
      <c r="D23" s="28" t="str">
        <f t="shared" si="2"/>
        <v>partCategory</v>
      </c>
      <c r="E23" s="28" t="str">
        <f>A.Backend!H17</f>
        <v>string</v>
      </c>
      <c r="F23" s="28" t="str">
        <f>A.Backend!G17</f>
        <v>1</v>
      </c>
      <c r="G23" s="28" t="str">
        <f t="shared" si="3"/>
        <v xml:space="preserve"> : string = '' ; </v>
      </c>
      <c r="H23" s="35" t="str">
        <f t="shared" si="4"/>
        <v xml:space="preserve">			{headerName: this.l('Part Category'),headerTooltip: this.l('Part Category'),field:  'partCategory', cellClass: ['text-center'], width: 120, cellRenderer: 'agCellButtonComponent',
buttonDefTwo: { text: params =&gt; (params.data?.'partCategory' == 'Y') ? 'Active' : 'Inactive',iconName: 'fa fa-circle',className: params =&gt; (params.data?.'partCategory' == 'Y') ? 'btnActive' : 'btnInActive',},}</v>
      </c>
      <c r="I23" s="35" t="str">
        <f t="shared" si="5"/>
        <v xml:space="preserve">								&lt;div class='input-search'&gt;
									&lt;input [(ngModel)]='partCategory' name='partCategory'
									class='form-control' [placeholder]="l('Part Category')"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title'&gt;Part Category&lt;/label&gt;
						&lt;new-checkbox [(ngModel)]='_partCategory' name='partCategory' className='col-md-10' &gt; &lt;/new-checkbox&gt;
					&lt;/div&gt;</v>
      </c>
      <c r="L23" s="56" t="str">
        <f t="shared" ref="L23:L36" si="15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0"/>
        <v xml:space="preserve">	partCategory : string = '' ; </v>
      </c>
      <c r="T23" s="28" t="str">
        <f t="shared" si="11"/>
        <v xml:space="preserve">			this.partCategory,</v>
      </c>
      <c r="U23" s="28" t="str">
        <f t="shared" si="12"/>
        <v xml:space="preserve">		this.partCategory = '',</v>
      </c>
      <c r="V23" s="28" t="str">
        <f t="shared" si="8"/>
        <v>partCategory</v>
      </c>
    </row>
    <row r="24" spans="1:22" ht="18" customHeight="1" x14ac:dyDescent="0.25">
      <c r="A24" t="s">
        <v>371</v>
      </c>
      <c r="B24" s="28" t="str">
        <f t="shared" si="0"/>
        <v>WithholdingTaxFlag</v>
      </c>
      <c r="C24" s="28" t="str">
        <f t="shared" si="1"/>
        <v>Withholding Tax Flag</v>
      </c>
      <c r="D24" s="28" t="str">
        <f t="shared" si="2"/>
        <v>withholdingTaxFlag</v>
      </c>
      <c r="E24" s="28" t="str">
        <f>A.Backend!H18</f>
        <v>string</v>
      </c>
      <c r="F24" s="28" t="str">
        <f>A.Backend!G18</f>
        <v>1</v>
      </c>
      <c r="G24" s="28" t="str">
        <f t="shared" si="3"/>
        <v xml:space="preserve"> : string = '' ; </v>
      </c>
      <c r="H24" s="35" t="str">
        <f t="shared" si="4"/>
        <v xml:space="preserve">			{headerName: this.l('Withholding Tax Flag'),headerTooltip: this.l('Withholding Tax Flag'),field:  'withholdingTaxFlag', cellClass: ['text-center'], width: 120, cellRenderer: 'agCellButtonComponent',
buttonDefTwo: { text: params =&gt; (params.data?.'withholdingTaxFlag' == 'Y') ? 'Active' : 'Inactive',iconName: 'fa fa-circle',className: params =&gt; (params.data?.'withholdingTaxFlag' == 'Y') ? 'btnActive' : 'btnInActive',},}</v>
      </c>
      <c r="I24" s="35" t="str">
        <f t="shared" si="5"/>
        <v xml:space="preserve">								&lt;div class='input-search'&gt;
									&lt;input [(ngModel)]='withholdingTaxFlag' name='withholdingTaxFlag'
									class='form-control' [placeholder]="l('Withholding Tax Flag')"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title'&gt;Withholding Tax Flag&lt;/label&gt;
						&lt;new-checkbox [(ngModel)]='_withholdingTaxFlag' name='withholdingTaxFlag' className='col-md-10' &gt; &lt;/new-checkbox&gt;
					&lt;/div&gt;</v>
      </c>
      <c r="L24" s="56" t="str">
        <f t="shared" si="15"/>
        <v/>
      </c>
      <c r="M24" s="28"/>
      <c r="N24" s="28"/>
      <c r="O24" s="28"/>
      <c r="P24" s="28"/>
      <c r="Q24" s="28"/>
      <c r="R24" s="28"/>
      <c r="S24" s="28" t="str">
        <f t="shared" si="10"/>
        <v xml:space="preserve">	withholdingTaxFlag : string = '' ; </v>
      </c>
      <c r="T24" s="28" t="str">
        <f t="shared" si="11"/>
        <v xml:space="preserve">			this.withholdingTaxFlag,</v>
      </c>
      <c r="U24" s="28" t="str">
        <f t="shared" si="12"/>
        <v xml:space="preserve">		this.withholdingTaxFlag = '',</v>
      </c>
      <c r="V24" s="28" t="str">
        <f t="shared" si="8"/>
        <v>withholdingTaxFlag</v>
      </c>
    </row>
    <row r="25" spans="1:22" ht="15" customHeight="1" x14ac:dyDescent="0.25">
      <c r="A25" t="s">
        <v>372</v>
      </c>
      <c r="B25" s="28" t="str">
        <f t="shared" si="0"/>
        <v>WithholdingTaxRate</v>
      </c>
      <c r="C25" s="28" t="str">
        <f t="shared" si="1"/>
        <v>Withholding Tax Rate</v>
      </c>
      <c r="D25" s="28" t="str">
        <f t="shared" si="2"/>
        <v>withholdingTaxRate</v>
      </c>
      <c r="E25" s="28" t="str">
        <f>A.Backend!H19</f>
        <v>string</v>
      </c>
      <c r="F25" s="28" t="str">
        <f>A.Backend!G19</f>
        <v>5</v>
      </c>
      <c r="G25" s="28" t="str">
        <f t="shared" si="3"/>
        <v xml:space="preserve"> : string = '' ; </v>
      </c>
      <c r="H25" s="35" t="str">
        <f t="shared" si="4"/>
        <v xml:space="preserve">			{headerName: this.l('Withholding Tax Rate'),headerTooltip: this.l('Withholding Tax Rate'),field: 'withholdingTaxRate',flex: 1},</v>
      </c>
      <c r="I25" s="35" t="str">
        <f t="shared" si="5"/>
        <v xml:space="preserve">								&lt;div class='input-search'&gt;
									&lt;input [(ngModel)]='withholdingTaxRate' name='withholdingTaxRate'
									class='form-control' [placeholder]="l('Withholding Tax Rate')"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title'&gt;Withholding Tax Rate&lt;/label&gt;
						&lt;input type='text' class='col-md-10 form-control input-text' name='WithholdingTaxRate' [(ngModel)]='rowdata.withholdingTaxRate'&gt;
					&lt;/div&gt;</v>
      </c>
      <c r="L25" s="56" t="str">
        <f t="shared" si="15"/>
        <v/>
      </c>
      <c r="M25" s="28"/>
      <c r="N25" s="28"/>
      <c r="O25" s="28"/>
      <c r="P25" s="28"/>
      <c r="Q25" s="28"/>
      <c r="R25" s="28"/>
      <c r="S25" s="28" t="str">
        <f t="shared" si="10"/>
        <v xml:space="preserve">	withholdingTaxRate : string = '' ; </v>
      </c>
      <c r="T25" s="28" t="str">
        <f t="shared" si="11"/>
        <v xml:space="preserve">			this.withholdingTaxRate,</v>
      </c>
      <c r="U25" s="28" t="str">
        <f t="shared" si="12"/>
        <v xml:space="preserve">		this.withholdingTaxRate = '',</v>
      </c>
      <c r="V25" s="28" t="str">
        <f t="shared" si="8"/>
        <v/>
      </c>
    </row>
    <row r="26" spans="1:22" ht="18" customHeight="1" x14ac:dyDescent="0.25">
      <c r="A26" t="s">
        <v>373</v>
      </c>
      <c r="B26" s="28" t="str">
        <f t="shared" si="0"/>
        <v>OrderType</v>
      </c>
      <c r="C26" s="28" t="str">
        <f t="shared" si="1"/>
        <v>Order Type</v>
      </c>
      <c r="D26" s="28" t="str">
        <f t="shared" si="2"/>
        <v>orderType</v>
      </c>
      <c r="E26" s="28" t="str">
        <f>A.Backend!H20</f>
        <v>string</v>
      </c>
      <c r="F26" s="28" t="str">
        <f>A.Backend!G20</f>
        <v>1</v>
      </c>
      <c r="G26" s="28" t="str">
        <f t="shared" si="3"/>
        <v xml:space="preserve"> : string = '' ; </v>
      </c>
      <c r="H26" s="35" t="str">
        <f t="shared" si="4"/>
        <v xml:space="preserve">			{headerName: this.l('Order Type'),headerTooltip: this.l('Order Type'),field:  'orderType', cellClass: ['text-center'], width: 120, cellRenderer: 'agCellButtonComponent',
buttonDefTwo: { text: params =&gt; (params.data?.'orderType' == 'Y') ? 'Active' : 'Inactive',iconName: 'fa fa-circle',className: params =&gt; (params.data?.'orderType' == 'Y') ? 'btnActive' : 'btnInActive',},}</v>
      </c>
      <c r="I26" s="35" t="str">
        <f t="shared" si="5"/>
        <v xml:space="preserve">								&lt;div class='input-search'&gt;
									&lt;input [(ngModel)]='orderType' name='orderType'
									class='form-control' [placeholder]="l('Order Type')"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title'&gt;Order Type&lt;/label&gt;
						&lt;new-checkbox [(ngModel)]='_orderType' name='orderType' className='col-md-10' &gt; &lt;/new-checkbox&gt;
					&lt;/div&gt;</v>
      </c>
      <c r="L26" s="56" t="str">
        <f t="shared" ref="L26" si="16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28"/>
      <c r="N26" s="28"/>
      <c r="O26" s="28"/>
      <c r="P26" s="28"/>
      <c r="Q26" s="28"/>
      <c r="R26" s="28"/>
      <c r="S26" s="28" t="str">
        <f t="shared" si="10"/>
        <v xml:space="preserve">	orderType : string = '' ; </v>
      </c>
      <c r="T26" s="28" t="str">
        <f t="shared" si="11"/>
        <v xml:space="preserve">			this.orderType,</v>
      </c>
      <c r="U26" s="28" t="str">
        <f t="shared" si="12"/>
        <v xml:space="preserve">		this.orderType = '',</v>
      </c>
      <c r="V26" s="28" t="str">
        <f t="shared" si="8"/>
        <v>orderType</v>
      </c>
    </row>
    <row r="27" spans="1:22" ht="18" customHeight="1" x14ac:dyDescent="0.25">
      <c r="A27" t="s">
        <v>374</v>
      </c>
      <c r="B27" s="28" t="str">
        <f t="shared" si="0"/>
        <v>PdsNo</v>
      </c>
      <c r="C27" s="28" t="str">
        <f t="shared" si="1"/>
        <v>Pds No</v>
      </c>
      <c r="D27" s="28" t="str">
        <f t="shared" si="2"/>
        <v>pdsNo</v>
      </c>
      <c r="E27" s="28" t="str">
        <f>A.Backend!H21</f>
        <v>string</v>
      </c>
      <c r="F27" s="28" t="str">
        <f>A.Backend!G21</f>
        <v>25</v>
      </c>
      <c r="G27" s="28" t="str">
        <f t="shared" si="3"/>
        <v xml:space="preserve"> : string = '' ; </v>
      </c>
      <c r="H27" s="35" t="str">
        <f t="shared" si="4"/>
        <v xml:space="preserve">			{headerName: this.l('Pds No'),headerTooltip: this.l('Pds No'),field: 'pdsNo',flex: 1},</v>
      </c>
      <c r="I27" s="35" t="str">
        <f t="shared" si="5"/>
        <v xml:space="preserve">								&lt;div class='input-search'&gt;
									&lt;input [(ngModel)]='pdsNo' name='pdsNo'
									class='form-control' [placeholder]="l('Pds No')"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title'&gt;Pds No&lt;/label&gt;
						&lt;input type='text' class='col-md-10 form-control input-text' name='PdsNo' [(ngModel)]='rowdata.pdsNo'&gt;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0"/>
        <v xml:space="preserve">	pdsNo : string = '' ; </v>
      </c>
      <c r="T27" s="28" t="str">
        <f t="shared" si="11"/>
        <v xml:space="preserve">			this.pdsNo,</v>
      </c>
      <c r="U27" s="28" t="str">
        <f t="shared" si="12"/>
        <v xml:space="preserve">		this.pdsNo = '',</v>
      </c>
      <c r="V27" s="28" t="str">
        <f t="shared" si="8"/>
        <v/>
      </c>
    </row>
    <row r="28" spans="1:22" ht="15" customHeight="1" x14ac:dyDescent="0.25">
      <c r="A28" t="s">
        <v>375</v>
      </c>
      <c r="B28" s="28" t="str">
        <f t="shared" si="0"/>
        <v>PartReceivedDate</v>
      </c>
      <c r="C28" s="28" t="str">
        <f t="shared" si="1"/>
        <v>Part Received Date</v>
      </c>
      <c r="D28" s="28" t="str">
        <f t="shared" si="2"/>
        <v>partReceivedDate</v>
      </c>
      <c r="E28" s="28" t="str">
        <f>A.Backend!H22</f>
        <v>string</v>
      </c>
      <c r="F28" s="28" t="str">
        <f>A.Backend!G22</f>
        <v>8</v>
      </c>
      <c r="G28" s="28" t="str">
        <f t="shared" si="3"/>
        <v xml:space="preserve"> : string = '' ; </v>
      </c>
      <c r="H28" s="35" t="str">
        <f t="shared" si="4"/>
        <v xml:space="preserve">			{headerName: this.l('Part Received Date'),headerTooltip: this.l('Part Received Date'),field: 'partReceivedDate',flex: 1},</v>
      </c>
      <c r="I28" s="35" t="str">
        <f t="shared" si="5"/>
        <v xml:space="preserve">								&lt;div class='input-search'&gt;
									&lt;input [(ngModel)]='partReceivedDate' name='partReceivedDate'
									class='form-control' [placeholder]="l('Part Received Date')"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title'&gt;Part Received Date&lt;/label&gt;
						&lt;input type='text' class='col-md-10 form-control input-text' name='PartReceivedDate' [(ngModel)]='rowdata.partReceivedDate'&gt;
					&lt;/div&gt;</v>
      </c>
      <c r="L28" s="56" t="str">
        <f t="shared" ref="L28:L34" si="1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0"/>
        <v xml:space="preserve">	partReceivedDate : string = '' ; </v>
      </c>
      <c r="T28" s="28" t="str">
        <f t="shared" si="11"/>
        <v xml:space="preserve">			this.partReceivedDate,</v>
      </c>
      <c r="U28" s="28" t="str">
        <f t="shared" si="12"/>
        <v xml:space="preserve">		this.partReceivedDate = '',</v>
      </c>
      <c r="V28" s="28" t="str">
        <f t="shared" si="8"/>
        <v/>
      </c>
    </row>
    <row r="29" spans="1:22" ht="18" customHeight="1" x14ac:dyDescent="0.25">
      <c r="A29" t="s">
        <v>376</v>
      </c>
      <c r="B29" s="28" t="str">
        <f t="shared" si="0"/>
        <v>SequenceDate</v>
      </c>
      <c r="C29" s="28" t="str">
        <f t="shared" si="1"/>
        <v>Sequence Date</v>
      </c>
      <c r="D29" s="28" t="str">
        <f t="shared" si="2"/>
        <v>sequenceDate</v>
      </c>
      <c r="E29" s="28" t="str">
        <f>A.Backend!H23</f>
        <v>string</v>
      </c>
      <c r="F29" s="28" t="str">
        <f>A.Backend!G23</f>
        <v>8</v>
      </c>
      <c r="G29" s="28" t="str">
        <f t="shared" si="3"/>
        <v xml:space="preserve"> : string = '' ; </v>
      </c>
      <c r="H29" s="35" t="str">
        <f t="shared" si="4"/>
        <v xml:space="preserve">			{headerName: this.l('Sequence Date'),headerTooltip: this.l('Sequence Date'),field: 'sequenceDate',flex: 1},</v>
      </c>
      <c r="I29" s="35" t="str">
        <f t="shared" si="5"/>
        <v xml:space="preserve">								&lt;div class='input-search'&gt;
									&lt;input [(ngModel)]='sequenceDate' name='sequenceDate'
									class='form-control' [placeholder]="l('Sequence Date')"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title'&gt;Sequence Date&lt;/label&gt;
						&lt;input type='text' class='col-md-10 form-control input-text' name='SequenceDate' [(ngModel)]='rowdata.sequenceDate'&gt;
					&lt;/div&gt;</v>
      </c>
      <c r="L29" s="56" t="str">
        <f t="shared" si="17"/>
        <v/>
      </c>
      <c r="M29" s="28"/>
      <c r="N29" s="28"/>
      <c r="O29" s="28"/>
      <c r="P29" s="28"/>
      <c r="Q29" s="28"/>
      <c r="R29" s="28"/>
      <c r="S29" s="28" t="str">
        <f t="shared" si="10"/>
        <v xml:space="preserve">	sequenceDate : string = '' ; </v>
      </c>
      <c r="T29" s="28" t="str">
        <f t="shared" si="11"/>
        <v xml:space="preserve">			this.sequenceDate,</v>
      </c>
      <c r="U29" s="28" t="str">
        <f t="shared" si="12"/>
        <v xml:space="preserve">		this.sequenceDate = '',</v>
      </c>
      <c r="V29" s="28" t="str">
        <f t="shared" si="8"/>
        <v/>
      </c>
    </row>
    <row r="30" spans="1:22" ht="15" customHeight="1" x14ac:dyDescent="0.25">
      <c r="A30" t="s">
        <v>377</v>
      </c>
      <c r="B30" s="28" t="str">
        <f t="shared" si="0"/>
        <v>SequenceNo</v>
      </c>
      <c r="C30" s="28" t="str">
        <f t="shared" si="1"/>
        <v>Sequence No</v>
      </c>
      <c r="D30" s="28" t="str">
        <f t="shared" si="2"/>
        <v>sequenceNo</v>
      </c>
      <c r="E30" s="28" t="str">
        <f>A.Backend!H24</f>
        <v>string</v>
      </c>
      <c r="F30" s="28" t="str">
        <f>A.Backend!G24</f>
        <v>10</v>
      </c>
      <c r="G30" s="28" t="str">
        <f t="shared" si="3"/>
        <v xml:space="preserve"> : string = '' ; </v>
      </c>
      <c r="H30" s="35" t="str">
        <f t="shared" si="4"/>
        <v xml:space="preserve">			{headerName: this.l('Sequence No'),headerTooltip: this.l('Sequence No'),field: 'sequenceNo',flex: 1},</v>
      </c>
      <c r="I30" s="35" t="str">
        <f t="shared" si="5"/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30" s="56" t="str">
        <f t="shared" si="17"/>
        <v/>
      </c>
      <c r="M30" s="28"/>
      <c r="N30" s="28"/>
      <c r="O30" s="28"/>
      <c r="P30" s="28"/>
      <c r="Q30" s="28"/>
      <c r="R30" s="28"/>
      <c r="S30" s="28" t="str">
        <f t="shared" si="10"/>
        <v xml:space="preserve">	sequenceNo : string = '' ; </v>
      </c>
      <c r="T30" s="28" t="str">
        <f t="shared" si="11"/>
        <v xml:space="preserve">			this.sequenceNo,</v>
      </c>
      <c r="U30" s="28" t="str">
        <f t="shared" si="12"/>
        <v xml:space="preserve">		this.sequenceNo = '',</v>
      </c>
      <c r="V30" s="28" t="str">
        <f t="shared" si="8"/>
        <v/>
      </c>
    </row>
    <row r="31" spans="1:22" ht="15" customHeight="1" x14ac:dyDescent="0.25">
      <c r="A31" t="s">
        <v>378</v>
      </c>
      <c r="B31" s="28" t="str">
        <f t="shared" si="0"/>
        <v>PartNo</v>
      </c>
      <c r="C31" s="28" t="str">
        <f t="shared" si="1"/>
        <v>Part No</v>
      </c>
      <c r="D31" s="28" t="str">
        <f t="shared" si="2"/>
        <v>partNo</v>
      </c>
      <c r="E31" s="28" t="str">
        <f>A.Backend!H25</f>
        <v>string</v>
      </c>
      <c r="F31" s="28" t="str">
        <f>A.Backend!G25</f>
        <v>40</v>
      </c>
      <c r="G31" s="28" t="str">
        <f t="shared" si="3"/>
        <v xml:space="preserve"> : string = '' ; </v>
      </c>
      <c r="H31" s="35" t="str">
        <f t="shared" si="4"/>
        <v xml:space="preserve">			{headerName: this.l('Part No'),headerTooltip: this.l('Part No'),field: 'partNo',flex: 1},</v>
      </c>
      <c r="I31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31" s="56" t="str">
        <f t="shared" si="17"/>
        <v/>
      </c>
      <c r="M31" s="28"/>
      <c r="N31" s="28"/>
      <c r="O31" s="28"/>
      <c r="P31" s="28"/>
      <c r="Q31" s="28"/>
      <c r="R31" s="28"/>
      <c r="S31" s="28" t="str">
        <f t="shared" si="10"/>
        <v xml:space="preserve">	partNo : string = '' ; </v>
      </c>
      <c r="T31" s="28" t="str">
        <f t="shared" si="11"/>
        <v xml:space="preserve">			this.partNo,</v>
      </c>
      <c r="U31" s="28" t="str">
        <f t="shared" si="12"/>
        <v xml:space="preserve">		this.partNo = '',</v>
      </c>
      <c r="V31" s="28" t="str">
        <f t="shared" si="8"/>
        <v/>
      </c>
    </row>
    <row r="32" spans="1:22" ht="18" customHeight="1" x14ac:dyDescent="0.25">
      <c r="A32" t="s">
        <v>379</v>
      </c>
      <c r="B32" s="28" t="str">
        <f t="shared" si="0"/>
        <v>ReferenceDocumentNo</v>
      </c>
      <c r="C32" s="28" t="str">
        <f t="shared" si="1"/>
        <v>Reference Document No</v>
      </c>
      <c r="D32" s="28" t="str">
        <f t="shared" si="2"/>
        <v>referenceDocumentNo</v>
      </c>
      <c r="E32" s="28" t="str">
        <f>A.Backend!H26</f>
        <v>string</v>
      </c>
      <c r="F32" s="28" t="str">
        <f>A.Backend!G26</f>
        <v>20</v>
      </c>
      <c r="G32" s="28" t="str">
        <f t="shared" si="3"/>
        <v xml:space="preserve"> : string = '' ; </v>
      </c>
      <c r="H32" s="35" t="str">
        <f t="shared" si="4"/>
        <v xml:space="preserve">			{headerName: this.l('Reference Document No'),headerTooltip: this.l('Reference Document No'),field: 'referenceDocumentNo',flex: 1},</v>
      </c>
      <c r="I32" s="35" t="str">
        <f t="shared" si="5"/>
        <v xml:space="preserve">								&lt;div class='input-search'&gt;
									&lt;input [(ngModel)]='referenceDocumentNo' name='referenceDocumentNo'
									class='form-control' [placeholder]="l('Reference Document No')"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title'&gt;Reference Document No&lt;/label&gt;
						&lt;input type='text' class='col-md-10 form-control input-text' name='ReferenceDocumentNo' [(ngModel)]='rowdata.referenceDocumentNo'&gt;
					&lt;/div&gt;</v>
      </c>
      <c r="L32" s="56" t="str">
        <f t="shared" si="17"/>
        <v/>
      </c>
      <c r="M32" s="28"/>
      <c r="N32" s="28"/>
      <c r="O32" s="28"/>
      <c r="P32" s="28"/>
      <c r="Q32" s="28"/>
      <c r="R32" s="28"/>
      <c r="S32" s="28" t="str">
        <f t="shared" si="10"/>
        <v xml:space="preserve">	referenceDocumentNo : string = '' ; </v>
      </c>
      <c r="T32" s="28" t="str">
        <f t="shared" si="11"/>
        <v xml:space="preserve">			this.referenceDocumentNo,</v>
      </c>
      <c r="U32" s="28" t="str">
        <f t="shared" si="12"/>
        <v xml:space="preserve">		this.referenceDocumentNo = '',</v>
      </c>
      <c r="V32" s="28" t="str">
        <f t="shared" si="8"/>
        <v/>
      </c>
    </row>
    <row r="33" spans="1:22" ht="15" customHeight="1" x14ac:dyDescent="0.25">
      <c r="A33" t="s">
        <v>380</v>
      </c>
      <c r="B33" s="28" t="str">
        <f t="shared" si="0"/>
        <v>PostingDate</v>
      </c>
      <c r="C33" s="28" t="str">
        <f t="shared" si="1"/>
        <v>Posting Date</v>
      </c>
      <c r="D33" s="28" t="str">
        <f t="shared" si="2"/>
        <v>postingDate</v>
      </c>
      <c r="E33" s="28" t="str">
        <f>A.Backend!H27</f>
        <v>string</v>
      </c>
      <c r="F33" s="28" t="str">
        <f>A.Backend!G27</f>
        <v>8</v>
      </c>
      <c r="G33" s="28" t="str">
        <f t="shared" si="3"/>
        <v xml:space="preserve"> : string = '' ; </v>
      </c>
      <c r="H33" s="35" t="str">
        <f t="shared" si="4"/>
        <v xml:space="preserve">			{headerName: this.l('Posting Date'),headerTooltip: this.l('Posting Date'),field: 'postingDate',flex: 1},</v>
      </c>
      <c r="I33" s="35" t="str">
        <f t="shared" si="5"/>
        <v xml:space="preserve">								&lt;div class='input-search'&gt;
									&lt;input [(ngModel)]='postingDate' name='postingDate'
									class='form-control' [placeholder]="l('Posting Date')"
									type='text' (keyup.enter)='searchDatas()'&gt;
								&lt;/div&gt;</v>
      </c>
      <c r="J33" s="28"/>
      <c r="K33" s="35" t="str">
        <f t="shared" si="6"/>
        <v xml:space="preserve">					&lt;div class='col-md-12 form-group row'&gt;
						&lt;label class='col-md-2 form-control title'&gt;Posting Date&lt;/label&gt;
						&lt;input type='text' class='col-md-10 form-control input-text' name='PostingDate' [(ngModel)]='rowdata.postingDate'&gt;
					&lt;/div&gt;</v>
      </c>
      <c r="L33" s="56" t="str">
        <f t="shared" si="17"/>
        <v/>
      </c>
      <c r="M33" s="28"/>
      <c r="N33" s="28"/>
      <c r="O33" s="28"/>
      <c r="P33" s="28"/>
      <c r="Q33" s="28"/>
      <c r="R33" s="28"/>
      <c r="S33" s="28" t="str">
        <f t="shared" si="10"/>
        <v xml:space="preserve">	postingDate : string = '' ; </v>
      </c>
      <c r="T33" s="28" t="str">
        <f t="shared" si="11"/>
        <v xml:space="preserve">			this.postingDate,</v>
      </c>
      <c r="U33" s="28" t="str">
        <f t="shared" si="12"/>
        <v xml:space="preserve">		this.postingDate = '',</v>
      </c>
      <c r="V33" s="28" t="str">
        <f t="shared" si="8"/>
        <v/>
      </c>
    </row>
    <row r="34" spans="1:22" ht="18" customHeight="1" x14ac:dyDescent="0.25">
      <c r="A34" t="s">
        <v>381</v>
      </c>
      <c r="B34" s="28" t="str">
        <f t="shared" si="0"/>
        <v>SupplierCode</v>
      </c>
      <c r="C34" s="28" t="str">
        <f t="shared" si="1"/>
        <v>Supplier Code</v>
      </c>
      <c r="D34" s="28" t="str">
        <f t="shared" si="2"/>
        <v>supplierCode</v>
      </c>
      <c r="E34" s="28" t="str">
        <f>A.Backend!H28</f>
        <v>string</v>
      </c>
      <c r="F34" s="28" t="str">
        <f>A.Backend!G28</f>
        <v>10</v>
      </c>
      <c r="G34" s="28" t="str">
        <f t="shared" si="3"/>
        <v xml:space="preserve"> : string = '' ; </v>
      </c>
      <c r="H34" s="35" t="str">
        <f t="shared" si="4"/>
        <v xml:space="preserve">			{headerName: this.l('Supplier Code'),headerTooltip: this.l('Supplier Code'),field: 'supplierCode',flex: 1},</v>
      </c>
      <c r="I34" s="35" t="str">
        <f t="shared" si="5"/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</v>
      </c>
      <c r="J34" s="28"/>
      <c r="K34" s="35" t="str">
        <f t="shared" si="6"/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</v>
      </c>
      <c r="L34" s="56" t="str">
        <f t="shared" si="17"/>
        <v/>
      </c>
      <c r="M34" s="28"/>
      <c r="N34" s="28"/>
      <c r="O34" s="28"/>
      <c r="P34" s="28"/>
      <c r="Q34" s="28"/>
      <c r="R34" s="28"/>
      <c r="S34" s="28" t="str">
        <f t="shared" si="10"/>
        <v xml:space="preserve">	supplierCode : string = '' ; </v>
      </c>
      <c r="T34" s="28" t="str">
        <f t="shared" si="11"/>
        <v xml:space="preserve">			this.supplierCode,</v>
      </c>
      <c r="U34" s="28" t="str">
        <f t="shared" si="12"/>
        <v xml:space="preserve">		this.supplierCode = '',</v>
      </c>
      <c r="V34" s="28" t="str">
        <f t="shared" si="8"/>
        <v/>
      </c>
    </row>
    <row r="35" spans="1:22" ht="18" customHeight="1" x14ac:dyDescent="0.25">
      <c r="A35" t="s">
        <v>382</v>
      </c>
      <c r="B35" s="28" t="str">
        <f t="shared" si="0"/>
        <v>SupplierPlantCode</v>
      </c>
      <c r="C35" s="28" t="str">
        <f t="shared" si="1"/>
        <v>Supplier Plant Code</v>
      </c>
      <c r="D35" s="28" t="str">
        <f t="shared" si="2"/>
        <v>supplierPlantCode</v>
      </c>
      <c r="E35" s="28" t="str">
        <f>A.Backend!H29</f>
        <v>string</v>
      </c>
      <c r="F35" s="28" t="str">
        <f>A.Backend!G29</f>
        <v>1</v>
      </c>
      <c r="G35" s="28" t="str">
        <f t="shared" si="3"/>
        <v xml:space="preserve"> : string = '' ; </v>
      </c>
      <c r="H35" s="35" t="str">
        <f t="shared" si="4"/>
        <v xml:space="preserve">			{headerName: this.l('Supplier Plant Code'),headerTooltip: this.l('Supplier Plant Code'),field:  'supplierPlantCode', cellClass: ['text-center'], width: 120, cellRenderer: 'agCellButtonComponent',
buttonDefTwo: { text: params =&gt; (params.data?.'supplierPlantCode' == 'Y') ? 'Active' : 'Inactive',iconName: 'fa fa-circle',className: params =&gt; (params.data?.'supplierPlantCode' == 'Y') ? 'btnActive' : 'btnInActive',},}</v>
      </c>
      <c r="I35" s="35" t="str">
        <f t="shared" si="5"/>
        <v xml:space="preserve">								&lt;div class='input-search'&gt;
									&lt;input [(ngModel)]='supplierPlantCode' name='supplierPlantCode'
									class='form-control' [placeholder]="l('Supplier Plant Code')"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title'&gt;Supplier Plant Code&lt;/label&gt;
						&lt;new-checkbox [(ngModel)]='_supplierPlantCode' name='supplierPlantCode' className='col-md-10' &gt; &lt;/new-checkbox&gt;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0"/>
        <v xml:space="preserve">	supplierPlantCode : string = '' ; </v>
      </c>
      <c r="T35" s="28" t="str">
        <f t="shared" si="11"/>
        <v xml:space="preserve">			this.supplierPlantCode,</v>
      </c>
      <c r="U35" s="28" t="str">
        <f t="shared" si="12"/>
        <v xml:space="preserve">		this.supplierPlantCode = '',</v>
      </c>
      <c r="V35" s="28" t="str">
        <f t="shared" si="8"/>
        <v>supplierPlantCode</v>
      </c>
    </row>
    <row r="36" spans="1:22" ht="18" customHeight="1" x14ac:dyDescent="0.25">
      <c r="A36" t="s">
        <v>383</v>
      </c>
      <c r="B36" s="28" t="str">
        <f t="shared" si="0"/>
        <v>PartQuantity</v>
      </c>
      <c r="C36" s="28" t="str">
        <f t="shared" si="1"/>
        <v>Part Quantity</v>
      </c>
      <c r="D36" s="28" t="str">
        <f t="shared" si="2"/>
        <v>partQuantity</v>
      </c>
      <c r="E36" s="28" t="str">
        <f>A.Backend!H30</f>
        <v>string</v>
      </c>
      <c r="F36" s="28" t="str">
        <f>A.Backend!G30</f>
        <v>14</v>
      </c>
      <c r="G36" s="28" t="str">
        <f t="shared" si="3"/>
        <v xml:space="preserve"> : string = '' ; </v>
      </c>
      <c r="H36" s="35" t="str">
        <f t="shared" si="4"/>
        <v xml:space="preserve">			{headerName: this.l('Part Quantity'),headerTooltip: this.l('Part Quantity'),field: 'partQuantity',flex: 1},</v>
      </c>
      <c r="I36" s="35" t="str">
        <f t="shared" si="5"/>
        <v xml:space="preserve">								&lt;div class='input-search'&gt;
									&lt;input [(ngModel)]='partQuantity' name='partQuantity'
									class='form-control' [placeholder]="l('Part Quantity')"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title'&gt;Part Quantity&lt;/label&gt;
						&lt;input type='text' class='col-md-10 form-control input-text' name='PartQuantity' [(ngModel)]='rowdata.partQuantity'&gt;
					&lt;/div&gt;</v>
      </c>
      <c r="L36" s="56" t="str">
        <f t="shared" si="15"/>
        <v/>
      </c>
      <c r="M36" s="28"/>
      <c r="N36" s="28"/>
      <c r="O36" s="28"/>
      <c r="P36" s="28"/>
      <c r="Q36" s="28"/>
      <c r="R36" s="28"/>
      <c r="S36" s="28" t="str">
        <f t="shared" si="10"/>
        <v xml:space="preserve">	partQuantity : string = '' ; </v>
      </c>
      <c r="T36" s="28" t="str">
        <f t="shared" si="11"/>
        <v xml:space="preserve">			this.partQuantity,</v>
      </c>
      <c r="U36" s="28" t="str">
        <f t="shared" si="12"/>
        <v xml:space="preserve">		this.partQuantity = '',</v>
      </c>
      <c r="V36" s="28" t="str">
        <f t="shared" si="8"/>
        <v/>
      </c>
    </row>
    <row r="37" spans="1:22" ht="18" customHeight="1" x14ac:dyDescent="0.25">
      <c r="A37" t="s">
        <v>384</v>
      </c>
      <c r="B37" s="28" t="str">
        <f t="shared" si="0"/>
        <v>UnitBuyingPrice</v>
      </c>
      <c r="C37" s="28" t="str">
        <f t="shared" si="1"/>
        <v>Unit Buying Price</v>
      </c>
      <c r="D37" s="28" t="str">
        <f t="shared" si="2"/>
        <v>unitBuyingPrice</v>
      </c>
      <c r="E37" s="28" t="str">
        <f>A.Backend!H31</f>
        <v>string</v>
      </c>
      <c r="F37" s="28" t="str">
        <f>A.Backend!G31</f>
        <v>11</v>
      </c>
      <c r="G37" s="28" t="str">
        <f t="shared" si="3"/>
        <v xml:space="preserve"> : string = '' ; </v>
      </c>
      <c r="H37" s="35" t="str">
        <f t="shared" si="4"/>
        <v xml:space="preserve">			{headerName: this.l('Unit Buying Price'),headerTooltip: this.l('Unit Buying Price'),field: 'unitBuyingPrice',flex: 1},</v>
      </c>
      <c r="I37" s="35" t="str">
        <f t="shared" si="5"/>
        <v xml:space="preserve">								&lt;div class='input-search'&gt;
									&lt;input [(ngModel)]='unitBuyingPrice' name='unitBuyingPrice'
									class='form-control' [placeholder]="l('Unit Buying Price')"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title'&gt;Unit Buying Price&lt;/label&gt;
						&lt;input type='text' class='col-md-10 form-control input-text' name='UnitBuyingPrice' [(ngModel)]='rowdata.unitBuyingPrice'&gt;
					&lt;/div&gt;</v>
      </c>
      <c r="L37" s="56" t="str">
        <f>IF(E37="DateTime",
REPT(CHAR(9),2)&amp;"const dateValue =  this.rowdata."&amp;D37&amp;" ? new Date(this.rowdata."&amp;D37&amp;"?.toString()) : new Date();
"&amp;REPT(CHAR(9),2)&amp;"this.datepicker?.bsValueChange.emit(dateValue);","")</f>
        <v/>
      </c>
      <c r="M37" s="28"/>
      <c r="N37" s="28"/>
      <c r="O37" s="28"/>
      <c r="P37" s="28"/>
      <c r="Q37" s="28"/>
      <c r="R37" s="28"/>
      <c r="S37" s="28" t="str">
        <f t="shared" si="10"/>
        <v xml:space="preserve">	unitBuyingPrice : string = '' ; </v>
      </c>
      <c r="T37" s="28" t="str">
        <f t="shared" si="11"/>
        <v xml:space="preserve">			this.unitBuyingPrice,</v>
      </c>
      <c r="U37" s="28" t="str">
        <f t="shared" si="12"/>
        <v xml:space="preserve">		this.unitBuyingPrice = '',</v>
      </c>
      <c r="V37" s="28" t="str">
        <f t="shared" si="8"/>
        <v/>
      </c>
    </row>
    <row r="38" spans="1:22" ht="15" customHeight="1" x14ac:dyDescent="0.25">
      <c r="A38" t="s">
        <v>385</v>
      </c>
      <c r="B38" s="28" t="str">
        <f t="shared" si="0"/>
        <v>UnitBuyingAmount</v>
      </c>
      <c r="C38" s="28" t="str">
        <f t="shared" si="1"/>
        <v>Unit Buying Amount</v>
      </c>
      <c r="D38" s="28" t="str">
        <f t="shared" si="2"/>
        <v>unitBuyingAmount</v>
      </c>
      <c r="E38" s="28" t="str">
        <f>A.Backend!H32</f>
        <v>string</v>
      </c>
      <c r="F38" s="28" t="str">
        <f>A.Backend!G32</f>
        <v>13</v>
      </c>
      <c r="G38" s="28" t="str">
        <f t="shared" si="3"/>
        <v xml:space="preserve"> : string = '' ; </v>
      </c>
      <c r="H38" s="35" t="str">
        <f t="shared" si="4"/>
        <v xml:space="preserve">			{headerName: this.l('Unit Buying Amount'),headerTooltip: this.l('Unit Buying Amount'),field: 'unitBuyingAmount',flex: 1},</v>
      </c>
      <c r="I38" s="35" t="str">
        <f t="shared" si="5"/>
        <v xml:space="preserve">								&lt;div class='input-search'&gt;
									&lt;input [(ngModel)]='unitBuyingAmount' name='unitBuyingAmount'
									class='form-control' [placeholder]="l('Unit Buying Amount')"
									type='text' (keyup.enter)='searchDatas()'&gt;
								&lt;/div&gt;</v>
      </c>
      <c r="J38" s="28"/>
      <c r="K38" s="35" t="str">
        <f t="shared" si="6"/>
        <v xml:space="preserve">					&lt;div class='col-md-12 form-group row'&gt;
						&lt;label class='col-md-2 form-control title'&gt;Unit Buying Amount&lt;/label&gt;
						&lt;input type='text' class='col-md-10 form-control input-text' name='UnitBuyingAmount' [(ngModel)]='rowdata.unitBuyingAmount'&gt;
					&lt;/div&gt;</v>
      </c>
      <c r="L38" s="56" t="str">
        <f t="shared" ref="L38:L44" si="18"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28"/>
      <c r="N38" s="28"/>
      <c r="O38" s="28"/>
      <c r="P38" s="28"/>
      <c r="Q38" s="28"/>
      <c r="R38" s="28"/>
      <c r="S38" s="28" t="str">
        <f t="shared" si="10"/>
        <v xml:space="preserve">	unitBuyingAmount : string = '' ; </v>
      </c>
      <c r="T38" s="28" t="str">
        <f t="shared" si="11"/>
        <v xml:space="preserve">			this.unitBuyingAmount,</v>
      </c>
      <c r="U38" s="28" t="str">
        <f t="shared" si="12"/>
        <v xml:space="preserve">		this.unitBuyingAmount = '',</v>
      </c>
      <c r="V38" s="28" t="str">
        <f t="shared" si="8"/>
        <v/>
      </c>
    </row>
    <row r="39" spans="1:22" ht="18" customHeight="1" x14ac:dyDescent="0.25">
      <c r="A39" t="s">
        <v>386</v>
      </c>
      <c r="B39" s="28" t="str">
        <f t="shared" si="0"/>
        <v>UnitSellingPrice</v>
      </c>
      <c r="C39" s="28" t="str">
        <f t="shared" si="1"/>
        <v>Unit Selling Price</v>
      </c>
      <c r="D39" s="28" t="str">
        <f t="shared" si="2"/>
        <v>unitSellingPrice</v>
      </c>
      <c r="E39" s="28" t="str">
        <f>A.Backend!H33</f>
        <v>string</v>
      </c>
      <c r="F39" s="28" t="str">
        <f>A.Backend!G33</f>
        <v>11</v>
      </c>
      <c r="G39" s="28" t="str">
        <f t="shared" si="3"/>
        <v xml:space="preserve"> : string = '' ; </v>
      </c>
      <c r="H39" s="35" t="str">
        <f t="shared" si="4"/>
        <v xml:space="preserve">			{headerName: this.l('Unit Selling Price'),headerTooltip: this.l('Unit Selling Price'),field: 'unitSellingPrice',flex: 1},</v>
      </c>
      <c r="I39" s="35" t="str">
        <f t="shared" si="5"/>
        <v xml:space="preserve">								&lt;div class='input-search'&gt;
									&lt;input [(ngModel)]='unitSellingPrice' name='unitSellingPrice'
									class='form-control' [placeholder]="l('Unit Selling Price')"
									type='text' (keyup.enter)='searchDatas()'&gt;
								&lt;/div&gt;</v>
      </c>
      <c r="J39" s="28"/>
      <c r="K39" s="35" t="str">
        <f t="shared" si="6"/>
        <v xml:space="preserve">					&lt;div class='col-md-12 form-group row'&gt;
						&lt;label class='col-md-2 form-control title'&gt;Unit Selling Price&lt;/label&gt;
						&lt;input type='text' class='col-md-10 form-control input-text' name='UnitSellingPrice' [(ngModel)]='rowdata.unitSellingPrice'&gt;
					&lt;/div&gt;</v>
      </c>
      <c r="L39" s="56" t="str">
        <f t="shared" si="18"/>
        <v/>
      </c>
      <c r="M39" s="28"/>
      <c r="N39" s="28"/>
      <c r="O39" s="28"/>
      <c r="P39" s="28"/>
      <c r="Q39" s="28"/>
      <c r="R39" s="28"/>
      <c r="S39" s="28" t="str">
        <f t="shared" si="10"/>
        <v xml:space="preserve">	unitSellingPrice : string = '' ; </v>
      </c>
      <c r="T39" s="28" t="str">
        <f t="shared" si="11"/>
        <v xml:space="preserve">			this.unitSellingPrice,</v>
      </c>
      <c r="U39" s="28" t="str">
        <f t="shared" si="12"/>
        <v xml:space="preserve">		this.unitSellingPrice = '',</v>
      </c>
      <c r="V39" s="28" t="str">
        <f t="shared" si="8"/>
        <v/>
      </c>
    </row>
    <row r="40" spans="1:22" ht="15" customHeight="1" x14ac:dyDescent="0.25">
      <c r="A40" t="s">
        <v>387</v>
      </c>
      <c r="B40" s="28" t="str">
        <f t="shared" si="0"/>
        <v>UnitSellingAmount</v>
      </c>
      <c r="C40" s="28" t="str">
        <f t="shared" si="1"/>
        <v>Unit Selling Amount</v>
      </c>
      <c r="D40" s="28" t="str">
        <f t="shared" si="2"/>
        <v>unitSellingAmount</v>
      </c>
      <c r="E40" s="28" t="str">
        <f>A.Backend!H34</f>
        <v>string</v>
      </c>
      <c r="F40" s="28" t="str">
        <f>A.Backend!G34</f>
        <v>13</v>
      </c>
      <c r="G40" s="28" t="str">
        <f t="shared" si="3"/>
        <v xml:space="preserve"> : string = '' ; </v>
      </c>
      <c r="H40" s="35" t="str">
        <f t="shared" si="4"/>
        <v xml:space="preserve">			{headerName: this.l('Unit Selling Amount'),headerTooltip: this.l('Unit Selling Amount'),field: 'unitSellingAmount',flex: 1},</v>
      </c>
      <c r="I40" s="35" t="str">
        <f t="shared" si="5"/>
        <v xml:space="preserve">								&lt;div class='input-search'&gt;
									&lt;input [(ngModel)]='unitSellingAmount' name='unitSellingAmount'
									class='form-control' [placeholder]="l('Unit Selling Amount')"
									type='text' (keyup.enter)='searchDatas()'&gt;
								&lt;/div&gt;</v>
      </c>
      <c r="J40" s="28"/>
      <c r="K40" s="35" t="str">
        <f t="shared" si="6"/>
        <v xml:space="preserve">					&lt;div class='col-md-12 form-group row'&gt;
						&lt;label class='col-md-2 form-control title'&gt;Unit Selling Amount&lt;/label&gt;
						&lt;input type='text' class='col-md-10 form-control input-text' name='UnitSellingAmount' [(ngModel)]='rowdata.unitSellingAmount'&gt;
					&lt;/div&gt;</v>
      </c>
      <c r="L40" s="56" t="str">
        <f t="shared" si="18"/>
        <v/>
      </c>
      <c r="M40" s="28"/>
      <c r="N40" s="28"/>
      <c r="O40" s="28"/>
      <c r="P40" s="28"/>
      <c r="Q40" s="28"/>
      <c r="R40" s="28"/>
      <c r="S40" s="28" t="str">
        <f t="shared" si="10"/>
        <v xml:space="preserve">	unitSellingAmount : string = '' ; </v>
      </c>
      <c r="T40" s="28" t="str">
        <f t="shared" si="11"/>
        <v xml:space="preserve">			this.unitSellingAmount,</v>
      </c>
      <c r="U40" s="28" t="str">
        <f t="shared" si="12"/>
        <v xml:space="preserve">		this.unitSellingAmount = '',</v>
      </c>
      <c r="V40" s="28" t="str">
        <f t="shared" si="8"/>
        <v/>
      </c>
    </row>
    <row r="41" spans="1:22" ht="15" customHeight="1" x14ac:dyDescent="0.25">
      <c r="A41" t="s">
        <v>388</v>
      </c>
      <c r="B41" s="28" t="str">
        <f t="shared" si="0"/>
        <v>PriceStatus</v>
      </c>
      <c r="C41" s="28" t="str">
        <f t="shared" si="1"/>
        <v>Price Status</v>
      </c>
      <c r="D41" s="28" t="str">
        <f t="shared" si="2"/>
        <v>priceStatus</v>
      </c>
      <c r="E41" s="28" t="str">
        <f>A.Backend!H35</f>
        <v>string</v>
      </c>
      <c r="F41" s="28" t="str">
        <f>A.Backend!G35</f>
        <v>1</v>
      </c>
      <c r="G41" s="28" t="str">
        <f t="shared" si="3"/>
        <v xml:space="preserve"> : string = '' ; </v>
      </c>
      <c r="H41" s="35" t="str">
        <f t="shared" si="4"/>
        <v xml:space="preserve">			{headerName: this.l('Price Status'),headerTooltip: this.l('Price Status'),field:  'priceStatus', cellClass: ['text-center'], width: 120, cellRenderer: 'agCellButtonComponent',
buttonDefTwo: { text: params =&gt; (params.data?.'priceStatus' == 'Y') ? 'Active' : 'Inactive',iconName: 'fa fa-circle',className: params =&gt; (params.data?.'priceStatus' == 'Y') ? 'btnActive' : 'btnInActive',},}</v>
      </c>
      <c r="I41" s="35" t="str">
        <f t="shared" si="5"/>
        <v xml:space="preserve">								&lt;div class='input-search'&gt;
									&lt;input [(ngModel)]='priceStatus' name='priceStatus'
									class='form-control' [placeholder]="l('Price Status')"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title'&gt;Price Status&lt;/label&gt;
						&lt;new-checkbox [(ngModel)]='_priceStatus' name='priceStatus' className='col-md-10' &gt; &lt;/new-checkbox&gt;
					&lt;/div&gt;</v>
      </c>
      <c r="L41" s="56" t="str">
        <f t="shared" si="18"/>
        <v/>
      </c>
      <c r="M41" s="28"/>
      <c r="N41" s="28"/>
      <c r="O41" s="28"/>
      <c r="P41" s="28"/>
      <c r="Q41" s="28"/>
      <c r="R41" s="28"/>
      <c r="S41" s="28" t="str">
        <f t="shared" si="10"/>
        <v xml:space="preserve">	priceStatus : string = '' ; </v>
      </c>
      <c r="T41" s="28" t="str">
        <f t="shared" si="11"/>
        <v xml:space="preserve">			this.priceStatus,</v>
      </c>
      <c r="U41" s="28" t="str">
        <f t="shared" si="12"/>
        <v xml:space="preserve">		this.priceStatus = '',</v>
      </c>
      <c r="V41" s="28" t="str">
        <f t="shared" si="8"/>
        <v>priceStatus</v>
      </c>
    </row>
    <row r="42" spans="1:22" ht="18" customHeight="1" x14ac:dyDescent="0.25">
      <c r="A42" t="s">
        <v>389</v>
      </c>
      <c r="B42" s="28" t="str">
        <f t="shared" si="0"/>
        <v>TotalAmount</v>
      </c>
      <c r="C42" s="28" t="str">
        <f t="shared" si="1"/>
        <v>Total Amount</v>
      </c>
      <c r="D42" s="28" t="str">
        <f t="shared" si="2"/>
        <v>totalAmount</v>
      </c>
      <c r="E42" s="28" t="str">
        <f>A.Backend!H36</f>
        <v>string</v>
      </c>
      <c r="F42" s="28" t="str">
        <f>A.Backend!G36</f>
        <v>13</v>
      </c>
      <c r="G42" s="28" t="str">
        <f t="shared" si="3"/>
        <v xml:space="preserve"> : string = '' ; </v>
      </c>
      <c r="H42" s="35" t="str">
        <f t="shared" si="4"/>
        <v xml:space="preserve">			{headerName: this.l('Total Amount'),headerTooltip: this.l('Total Amount'),field: 'totalAmount',flex: 1},</v>
      </c>
      <c r="I42" s="35" t="str">
        <f t="shared" si="5"/>
        <v xml:space="preserve">								&lt;div class='input-search'&gt;
									&lt;input [(ngModel)]='totalAmount' name='totalAmount'
									class='form-control' [placeholder]="l('Total Amount')"
									type='text' (keyup.enter)='searchDatas()'&gt;
								&lt;/div&gt;</v>
      </c>
      <c r="J42" s="28"/>
      <c r="K42" s="35" t="str">
        <f t="shared" si="6"/>
        <v xml:space="preserve">					&lt;div class='col-md-12 form-group row'&gt;
						&lt;label class='col-md-2 form-control title'&gt;Total Amount&lt;/label&gt;
						&lt;input type='text' class='col-md-10 form-control input-text' name='TotalAmount' [(ngModel)]='rowdata.totalAmount'&gt;
					&lt;/div&gt;</v>
      </c>
      <c r="L42" s="56" t="str">
        <f t="shared" si="18"/>
        <v/>
      </c>
      <c r="M42" s="28"/>
      <c r="N42" s="28"/>
      <c r="O42" s="28"/>
      <c r="P42" s="28"/>
      <c r="Q42" s="28"/>
      <c r="R42" s="28"/>
      <c r="S42" s="28" t="str">
        <f t="shared" si="10"/>
        <v xml:space="preserve">	totalAmount : string = '' ; </v>
      </c>
      <c r="T42" s="28" t="str">
        <f t="shared" si="11"/>
        <v xml:space="preserve">			this.totalAmount,</v>
      </c>
      <c r="U42" s="28" t="str">
        <f t="shared" si="12"/>
        <v xml:space="preserve">		this.totalAmount = '',</v>
      </c>
      <c r="V42" s="28" t="str">
        <f t="shared" si="8"/>
        <v/>
      </c>
    </row>
    <row r="43" spans="1:22" ht="15" customHeight="1" x14ac:dyDescent="0.25">
      <c r="A43" t="s">
        <v>390</v>
      </c>
      <c r="B43" s="28" t="str">
        <f t="shared" si="0"/>
        <v>VatAmount</v>
      </c>
      <c r="C43" s="28" t="str">
        <f t="shared" si="1"/>
        <v>Vat Amount</v>
      </c>
      <c r="D43" s="28" t="str">
        <f t="shared" si="2"/>
        <v>vatAmount</v>
      </c>
      <c r="E43" s="28" t="str">
        <f>A.Backend!H37</f>
        <v>string</v>
      </c>
      <c r="F43" s="28" t="str">
        <f>A.Backend!G37</f>
        <v>13</v>
      </c>
      <c r="G43" s="28" t="str">
        <f t="shared" si="3"/>
        <v xml:space="preserve"> : string = '' ; </v>
      </c>
      <c r="H43" s="35" t="str">
        <f t="shared" si="4"/>
        <v xml:space="preserve">			{headerName: this.l('Vat Amount'),headerTooltip: this.l('Vat Amount'),field: 'vatAmount',flex: 1},</v>
      </c>
      <c r="I43" s="35" t="str">
        <f t="shared" si="5"/>
        <v xml:space="preserve">								&lt;div class='input-search'&gt;
									&lt;input [(ngModel)]='vatAmount' name='vatAmount'
									class='form-control' [placeholder]="l('Vat Amount')"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title'&gt;Vat Amount&lt;/label&gt;
						&lt;input type='text' class='col-md-10 form-control input-text' name='VatAmount' [(ngModel)]='rowdata.vatAmount'&gt;
					&lt;/div&gt;</v>
      </c>
      <c r="L43" s="56" t="str">
        <f t="shared" si="18"/>
        <v/>
      </c>
      <c r="M43" s="28"/>
      <c r="N43" s="28"/>
      <c r="O43" s="28"/>
      <c r="P43" s="28"/>
      <c r="Q43" s="28"/>
      <c r="R43" s="28"/>
      <c r="S43" s="28" t="str">
        <f t="shared" si="10"/>
        <v xml:space="preserve">	vatAmount : string = '' ; </v>
      </c>
      <c r="T43" s="28" t="str">
        <f t="shared" si="11"/>
        <v xml:space="preserve">			this.vatAmount,</v>
      </c>
      <c r="U43" s="28" t="str">
        <f t="shared" si="12"/>
        <v xml:space="preserve">		this.vatAmount = '',</v>
      </c>
      <c r="V43" s="28" t="str">
        <f t="shared" si="8"/>
        <v/>
      </c>
    </row>
    <row r="44" spans="1:22" ht="18" customHeight="1" x14ac:dyDescent="0.25">
      <c r="A44" t="s">
        <v>391</v>
      </c>
      <c r="B44" s="28" t="str">
        <f t="shared" si="0"/>
        <v>VatCode</v>
      </c>
      <c r="C44" s="28" t="str">
        <f t="shared" si="1"/>
        <v>Vat Code</v>
      </c>
      <c r="D44" s="28" t="str">
        <f t="shared" si="2"/>
        <v>vatCode</v>
      </c>
      <c r="E44" s="28" t="str">
        <f>A.Backend!H38</f>
        <v>string</v>
      </c>
      <c r="F44" s="28" t="str">
        <f>A.Backend!G38</f>
        <v>5</v>
      </c>
      <c r="G44" s="28" t="str">
        <f t="shared" si="3"/>
        <v xml:space="preserve"> : string = '' ; </v>
      </c>
      <c r="H44" s="35" t="str">
        <f t="shared" si="4"/>
        <v xml:space="preserve">			{headerName: this.l('Vat Code'),headerTooltip: this.l('Vat Code'),field: 'vatCode',flex: 1},</v>
      </c>
      <c r="I44" s="35" t="str">
        <f t="shared" si="5"/>
        <v xml:space="preserve">								&lt;div class='input-search'&gt;
									&lt;input [(ngModel)]='vatCode' name='vatCode'
									class='form-control' [placeholder]="l('Vat Code')"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title'&gt;Vat Code&lt;/label&gt;
						&lt;input type='text' class='col-md-10 form-control input-text' name='VatCode' [(ngModel)]='rowdata.vatCode'&gt;
					&lt;/div&gt;</v>
      </c>
      <c r="L44" s="56" t="str">
        <f t="shared" si="18"/>
        <v/>
      </c>
      <c r="M44" s="28"/>
      <c r="N44" s="28"/>
      <c r="O44" s="28"/>
      <c r="P44" s="28"/>
      <c r="Q44" s="28"/>
      <c r="R44" s="28"/>
      <c r="S44" s="28" t="str">
        <f t="shared" si="10"/>
        <v xml:space="preserve">	vatCode : string = '' ; </v>
      </c>
      <c r="T44" s="28" t="str">
        <f t="shared" si="11"/>
        <v xml:space="preserve">			this.vatCode,</v>
      </c>
      <c r="U44" s="28" t="str">
        <f t="shared" si="12"/>
        <v xml:space="preserve">		this.vatCode = '',</v>
      </c>
      <c r="V44" s="28" t="str">
        <f t="shared" si="8"/>
        <v/>
      </c>
    </row>
    <row r="45" spans="1:22" ht="18" customHeight="1" x14ac:dyDescent="0.25">
      <c r="A45" t="s">
        <v>392</v>
      </c>
      <c r="B45" s="28" t="str">
        <f t="shared" si="0"/>
        <v>PaymentTerm</v>
      </c>
      <c r="C45" s="28" t="str">
        <f t="shared" si="1"/>
        <v>Payment Term</v>
      </c>
      <c r="D45" s="28" t="str">
        <f t="shared" si="2"/>
        <v>paymentTerm</v>
      </c>
      <c r="E45" s="28" t="str">
        <f>A.Backend!H39</f>
        <v>string</v>
      </c>
      <c r="F45" s="28" t="str">
        <f>A.Backend!G39</f>
        <v>4</v>
      </c>
      <c r="G45" s="28" t="str">
        <f t="shared" si="3"/>
        <v xml:space="preserve"> : string = '' ; </v>
      </c>
      <c r="H45" s="35" t="str">
        <f t="shared" si="4"/>
        <v xml:space="preserve">			{headerName: this.l('Payment Term'),headerTooltip: this.l('Payment Term'),field: 'paymentTerm',flex: 1},</v>
      </c>
      <c r="I45" s="35" t="str">
        <f t="shared" si="5"/>
        <v xml:space="preserve">								&lt;div class='input-search'&gt;
									&lt;input [(ngModel)]='paymentTerm' name='paymentTerm'
									class='form-control' [placeholder]="l('Payment Term')"
									type='text' (keyup.enter)='searchDatas()'&gt;
								&lt;/div&gt;</v>
      </c>
      <c r="J45" s="28"/>
      <c r="K45" s="35" t="str">
        <f t="shared" si="6"/>
        <v xml:space="preserve">					&lt;div class='col-md-12 form-group row'&gt;
						&lt;label class='col-md-2 form-control title'&gt;Payment Term&lt;/label&gt;
						&lt;input type='text' class='col-md-10 form-control input-text' name='PaymentTerm' [(ngModel)]='rowdata.paymentTerm'&gt;
					&lt;/div&gt;</v>
      </c>
      <c r="L45" s="56" t="str">
        <f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10"/>
        <v xml:space="preserve">	paymentTerm : string = '' ; </v>
      </c>
      <c r="T45" s="28" t="str">
        <f t="shared" si="11"/>
        <v xml:space="preserve">			this.paymentTerm,</v>
      </c>
      <c r="U45" s="28" t="str">
        <f t="shared" si="12"/>
        <v xml:space="preserve">		this.paymentTerm = '',</v>
      </c>
      <c r="V45" s="28" t="str">
        <f t="shared" si="8"/>
        <v/>
      </c>
    </row>
    <row r="46" spans="1:22" ht="15" customHeight="1" x14ac:dyDescent="0.25">
      <c r="A46" t="s">
        <v>393</v>
      </c>
      <c r="B46" s="28" t="str">
        <f t="shared" si="0"/>
        <v>ReasonCode</v>
      </c>
      <c r="C46" s="28" t="str">
        <f t="shared" si="1"/>
        <v>Reason Code</v>
      </c>
      <c r="D46" s="28" t="str">
        <f t="shared" si="2"/>
        <v>reasonCode</v>
      </c>
      <c r="E46" s="28" t="str">
        <f>A.Backend!H40</f>
        <v>string</v>
      </c>
      <c r="F46" s="28" t="str">
        <f>A.Backend!G40</f>
        <v>1</v>
      </c>
      <c r="G46" s="28" t="str">
        <f t="shared" si="3"/>
        <v xml:space="preserve"> : string = '' ; </v>
      </c>
      <c r="H46" s="35" t="str">
        <f t="shared" si="4"/>
        <v xml:space="preserve">			{headerName: this.l('Reason Code'),headerTooltip: this.l('Reason Code'),field:  'reasonCode', cellClass: ['text-center'], width: 120, cellRenderer: 'agCellButtonComponent',
buttonDefTwo: { text: params =&gt; (params.data?.'reasonCode' == 'Y') ? 'Active' : 'Inactive',iconName: 'fa fa-circle',className: params =&gt; (params.data?.'reasonCode' == 'Y') ? 'btnActive' : 'btnInActive',},}</v>
      </c>
      <c r="I46" s="35" t="str">
        <f t="shared" si="5"/>
        <v xml:space="preserve">								&lt;div class='input-search'&gt;
									&lt;input [(ngModel)]='reasonCode' name='reasonCode'
									class='form-control' [placeholder]="l('Reason Code')"
									type='text' (keyup.enter)='searchDatas()'&gt;
								&lt;/div&gt;</v>
      </c>
      <c r="J46" s="28"/>
      <c r="K46" s="35" t="str">
        <f t="shared" si="6"/>
        <v xml:space="preserve">					&lt;div class='col-md-12 form-group row'&gt;
						&lt;label class='col-md-2 form-control title'&gt;Reason Code&lt;/label&gt;
						&lt;new-checkbox [(ngModel)]='_reasonCode' name='reasonCode' className='col-md-10' &gt; &lt;/new-checkbox&gt;
					&lt;/div&gt;</v>
      </c>
      <c r="L46" s="56" t="str">
        <f t="shared" ref="L46:L49" si="19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10"/>
        <v xml:space="preserve">	reasonCode : string = '' ; </v>
      </c>
      <c r="T46" s="28" t="str">
        <f t="shared" si="11"/>
        <v xml:space="preserve">			this.reasonCode,</v>
      </c>
      <c r="U46" s="28" t="str">
        <f t="shared" si="12"/>
        <v xml:space="preserve">		this.reasonCode = '',</v>
      </c>
      <c r="V46" s="28" t="str">
        <f t="shared" si="8"/>
        <v>reasonCode</v>
      </c>
    </row>
    <row r="47" spans="1:22" ht="18" customHeight="1" x14ac:dyDescent="0.25">
      <c r="A47" t="s">
        <v>394</v>
      </c>
      <c r="B47" s="28" t="str">
        <f t="shared" si="0"/>
        <v>MarkCode</v>
      </c>
      <c r="C47" s="28" t="str">
        <f t="shared" si="1"/>
        <v>Mark Code</v>
      </c>
      <c r="D47" s="28" t="str">
        <f t="shared" si="2"/>
        <v>markCode</v>
      </c>
      <c r="E47" s="28" t="str">
        <f>A.Backend!H41</f>
        <v>string</v>
      </c>
      <c r="F47" s="28" t="str">
        <f>A.Backend!G41</f>
        <v>1</v>
      </c>
      <c r="G47" s="28" t="str">
        <f t="shared" si="3"/>
        <v xml:space="preserve"> : string = '' ; </v>
      </c>
      <c r="H47" s="35" t="str">
        <f t="shared" si="4"/>
        <v xml:space="preserve">			{headerName: this.l('Mark Code'),headerTooltip: this.l('Mark Code'),field:  'markCode', cellClass: ['text-center'], width: 120, cellRenderer: 'agCellButtonComponent',
buttonDefTwo: { text: params =&gt; (params.data?.'markCode' == 'Y') ? 'Active' : 'Inactive',iconName: 'fa fa-circle',className: params =&gt; (params.data?.'markCode' == 'Y') ? 'btnActive' : 'btnInActive',},}</v>
      </c>
      <c r="I47" s="35" t="str">
        <f t="shared" si="5"/>
        <v xml:space="preserve">								&lt;div class='input-search'&gt;
									&lt;input [(ngModel)]='markCode' name='markCode'
									class='form-control' [placeholder]="l('Mark Code')"
									type='text' (keyup.enter)='searchDatas()'&gt;
								&lt;/div&gt;</v>
      </c>
      <c r="J47" s="28"/>
      <c r="K47" s="35" t="str">
        <f t="shared" si="6"/>
        <v xml:space="preserve">					&lt;div class='col-md-12 form-group row'&gt;
						&lt;label class='col-md-2 form-control title'&gt;Mark Code&lt;/label&gt;
						&lt;new-checkbox [(ngModel)]='_markCode' name='markCode' className='col-md-10' &gt; &lt;/new-checkbox&gt;
					&lt;/div&gt;</v>
      </c>
      <c r="L47" s="56" t="str">
        <f t="shared" si="19"/>
        <v/>
      </c>
      <c r="M47" s="28"/>
      <c r="N47" s="28"/>
      <c r="O47" s="28"/>
      <c r="P47" s="28"/>
      <c r="Q47" s="28"/>
      <c r="R47" s="28"/>
      <c r="S47" s="28" t="str">
        <f t="shared" si="10"/>
        <v xml:space="preserve">	markCode : string = '' ; </v>
      </c>
      <c r="T47" s="28" t="str">
        <f t="shared" si="11"/>
        <v xml:space="preserve">			this.markCode,</v>
      </c>
      <c r="U47" s="28" t="str">
        <f t="shared" si="12"/>
        <v xml:space="preserve">		this.markCode = '',</v>
      </c>
      <c r="V47" s="28" t="str">
        <f t="shared" si="8"/>
        <v>markCode</v>
      </c>
    </row>
    <row r="48" spans="1:22" ht="15" customHeight="1" x14ac:dyDescent="0.25">
      <c r="A48" t="s">
        <v>395</v>
      </c>
      <c r="B48" s="28" t="str">
        <f t="shared" si="0"/>
        <v>SignCode</v>
      </c>
      <c r="C48" s="28" t="str">
        <f t="shared" si="1"/>
        <v>Sign Code</v>
      </c>
      <c r="D48" s="28" t="str">
        <f t="shared" si="2"/>
        <v>signCode</v>
      </c>
      <c r="E48" s="28" t="str">
        <f>A.Backend!H42</f>
        <v>string</v>
      </c>
      <c r="F48" s="28" t="str">
        <f>A.Backend!G42</f>
        <v>1</v>
      </c>
      <c r="G48" s="28" t="str">
        <f t="shared" si="3"/>
        <v xml:space="preserve"> : string = '' ; </v>
      </c>
      <c r="H48" s="35" t="str">
        <f t="shared" si="4"/>
        <v xml:space="preserve">			{headerName: this.l('Sign Code'),headerTooltip: this.l('Sign Code'),field:  'signCode', cellClass: ['text-center'], width: 120, cellRenderer: 'agCellButtonComponent',
buttonDefTwo: { text: params =&gt; (params.data?.'signCode' == 'Y') ? 'Active' : 'Inactive',iconName: 'fa fa-circle',className: params =&gt; (params.data?.'signCode' == 'Y') ? 'btnActive' : 'btnInActive',},}</v>
      </c>
      <c r="I48" s="35" t="str">
        <f t="shared" si="5"/>
        <v xml:space="preserve">								&lt;div class='input-search'&gt;
									&lt;input [(ngModel)]='signCode' name='signCode'
									class='form-control' [placeholder]="l('Sign Code')"
									type='text' (keyup.enter)='searchDatas()'&gt;
								&lt;/div&gt;</v>
      </c>
      <c r="J48" s="28"/>
      <c r="K48" s="35" t="str">
        <f t="shared" si="6"/>
        <v xml:space="preserve">					&lt;div class='col-md-12 form-group row'&gt;
						&lt;label class='col-md-2 form-control title'&gt;Sign Code&lt;/label&gt;
						&lt;new-checkbox [(ngModel)]='_signCode' name='signCode' className='col-md-10' &gt; &lt;/new-checkbox&gt;
					&lt;/div&gt;</v>
      </c>
      <c r="L48" s="56" t="str">
        <f t="shared" si="19"/>
        <v/>
      </c>
      <c r="M48" s="28"/>
      <c r="N48" s="28"/>
      <c r="O48" s="28"/>
      <c r="P48" s="28"/>
      <c r="Q48" s="28"/>
      <c r="R48" s="28"/>
      <c r="S48" s="28" t="str">
        <f t="shared" si="10"/>
        <v xml:space="preserve">	signCode : string = '' ; </v>
      </c>
      <c r="T48" s="28" t="str">
        <f t="shared" si="11"/>
        <v xml:space="preserve">			this.signCode,</v>
      </c>
      <c r="U48" s="28" t="str">
        <f t="shared" si="12"/>
        <v xml:space="preserve">		this.signCode = '',</v>
      </c>
      <c r="V48" s="28" t="str">
        <f t="shared" si="8"/>
        <v>signCode</v>
      </c>
    </row>
    <row r="49" spans="1:22" ht="18" customHeight="1" x14ac:dyDescent="0.25">
      <c r="A49" t="s">
        <v>357</v>
      </c>
      <c r="B49" s="28" t="str">
        <f t="shared" si="0"/>
        <v>CancelFlag</v>
      </c>
      <c r="C49" s="28" t="str">
        <f t="shared" si="1"/>
        <v>Cancel Flag</v>
      </c>
      <c r="D49" s="28" t="str">
        <f t="shared" si="2"/>
        <v>cancelFlag</v>
      </c>
      <c r="E49" s="28" t="str">
        <f>A.Backend!H43</f>
        <v>string</v>
      </c>
      <c r="F49" s="28" t="str">
        <f>A.Backend!G43</f>
        <v>1</v>
      </c>
      <c r="G49" s="28" t="str">
        <f t="shared" si="3"/>
        <v xml:space="preserve"> : string = '' ; </v>
      </c>
      <c r="H49" s="35" t="str">
        <f t="shared" si="4"/>
        <v xml:space="preserve">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</v>
      </c>
      <c r="I49" s="35" t="str">
        <f t="shared" si="5"/>
        <v xml:space="preserve">								&lt;div class='input-search'&gt;
									&lt;input [(ngModel)]='cancelFlag' name='cancelFlag'
									class='form-control' [placeholder]="l('Cancel Flag')"
									type='text' (keyup.enter)='searchDatas()'&gt;
								&lt;/div&gt;</v>
      </c>
      <c r="J49" s="28"/>
      <c r="K49" s="35" t="str">
        <f t="shared" si="6"/>
        <v xml:space="preserve">					&lt;div class='col-md-12 form-group row'&gt;
						&lt;label class='col-md-2 form-control title'&gt;Cancel Flag&lt;/label&gt;
						&lt;new-checkbox [(ngModel)]='_cancelFlag' name='cancelFlag' className='col-md-10' &gt; &lt;/new-checkbox&gt;
					&lt;/div&gt;</v>
      </c>
      <c r="L49" s="56" t="str">
        <f t="shared" si="19"/>
        <v/>
      </c>
      <c r="M49" s="28"/>
      <c r="N49" s="28"/>
      <c r="O49" s="28"/>
      <c r="P49" s="28"/>
      <c r="Q49" s="28"/>
      <c r="R49" s="28"/>
      <c r="S49" s="28" t="str">
        <f t="shared" si="10"/>
        <v xml:space="preserve">	cancelFlag : string = '' ; </v>
      </c>
      <c r="T49" s="28" t="str">
        <f t="shared" si="11"/>
        <v xml:space="preserve">			this.cancelFlag,</v>
      </c>
      <c r="U49" s="28" t="str">
        <f t="shared" si="12"/>
        <v xml:space="preserve">		this.cancelFlag = '',</v>
      </c>
      <c r="V49" s="28" t="str">
        <f t="shared" si="8"/>
        <v>cancelFlag</v>
      </c>
    </row>
    <row r="50" spans="1:22" ht="18" customHeight="1" x14ac:dyDescent="0.25">
      <c r="A50" t="s">
        <v>396</v>
      </c>
      <c r="B50" s="28" t="str">
        <f t="shared" si="0"/>
        <v>SupplierInvoiceNo</v>
      </c>
      <c r="C50" s="28" t="str">
        <f t="shared" si="1"/>
        <v>Supplier Invoice No</v>
      </c>
      <c r="D50" s="28" t="str">
        <f t="shared" si="2"/>
        <v>supplierInvoiceNo</v>
      </c>
      <c r="E50" s="28" t="str">
        <f>A.Backend!H44</f>
        <v>string</v>
      </c>
      <c r="F50" s="28" t="str">
        <f>A.Backend!G44</f>
        <v>16</v>
      </c>
      <c r="G50" s="28" t="str">
        <f t="shared" si="3"/>
        <v xml:space="preserve"> : string = '' ; </v>
      </c>
      <c r="H50" s="35" t="str">
        <f t="shared" si="4"/>
        <v xml:space="preserve">			{headerName: this.l('Supplier Invoice No'),headerTooltip: this.l('Supplier Invoice No'),field: 'supplierInvoiceNo',flex: 1},</v>
      </c>
      <c r="I50" s="35" t="str">
        <f t="shared" si="5"/>
        <v xml:space="preserve">								&lt;div class='input-search'&gt;
									&lt;input [(ngModel)]='supplierInvoiceNo' name='supplierInvoiceNo'
									class='form-control' [placeholder]="l('Supplier Invoice No')"
									type='text' (keyup.enter)='searchDatas()'&gt;
								&lt;/div&gt;</v>
      </c>
      <c r="J50" s="28"/>
      <c r="K50" s="35" t="str">
        <f t="shared" si="6"/>
        <v xml:space="preserve">					&lt;div class='col-md-12 form-group row'&gt;
						&lt;label class='col-md-2 form-control title'&gt;Supplier Invoice No&lt;/label&gt;
						&lt;input type='text' class='col-md-10 form-control input-text' name='SupplierInvoiceNo' [(ngModel)]='rowdata.supplierInvoiceNo'&gt;
					&lt;/div&gt;</v>
      </c>
      <c r="L50" s="56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28"/>
      <c r="N50" s="28"/>
      <c r="O50" s="28"/>
      <c r="P50" s="28"/>
      <c r="Q50" s="28"/>
      <c r="R50" s="28"/>
      <c r="S50" s="28" t="str">
        <f t="shared" si="10"/>
        <v xml:space="preserve">	supplierInvoiceNo : string = '' ; </v>
      </c>
      <c r="T50" s="28" t="str">
        <f t="shared" si="11"/>
        <v xml:space="preserve">			this.supplierInvoiceNo,</v>
      </c>
      <c r="U50" s="28" t="str">
        <f t="shared" si="12"/>
        <v xml:space="preserve">		this.supplierInvoiceNo = '',</v>
      </c>
      <c r="V50" s="28" t="str">
        <f t="shared" si="8"/>
        <v/>
      </c>
    </row>
    <row r="51" spans="1:22" ht="15" customHeight="1" x14ac:dyDescent="0.25">
      <c r="A51" t="s">
        <v>397</v>
      </c>
      <c r="B51" s="28" t="str">
        <f t="shared" si="0"/>
        <v>TopasSmrNo</v>
      </c>
      <c r="C51" s="28" t="str">
        <f t="shared" si="1"/>
        <v>Topas Smr No</v>
      </c>
      <c r="D51" s="28" t="str">
        <f t="shared" si="2"/>
        <v>topasSmrNo</v>
      </c>
      <c r="E51" s="28" t="str">
        <f>A.Backend!H45</f>
        <v>string</v>
      </c>
      <c r="F51" s="28" t="str">
        <f>A.Backend!G45</f>
        <v>9</v>
      </c>
      <c r="G51" s="28" t="str">
        <f t="shared" si="3"/>
        <v xml:space="preserve"> : string = '' ; </v>
      </c>
      <c r="H51" s="35" t="str">
        <f t="shared" si="4"/>
        <v xml:space="preserve">			{headerName: this.l('Topas Smr No'),headerTooltip: this.l('Topas Smr No'),field: 'topasSmrNo',flex: 1},</v>
      </c>
      <c r="I51" s="35" t="str">
        <f t="shared" si="5"/>
        <v xml:space="preserve">								&lt;div class='input-search'&gt;
									&lt;input [(ngModel)]='topasSmrNo' name='topasSmrNo'
									class='form-control' [placeholder]="l('Topas Smr No')"
									type='text' (keyup.enter)='searchDatas()'&gt;
								&lt;/div&gt;</v>
      </c>
      <c r="J51" s="28"/>
      <c r="K51" s="35" t="str">
        <f t="shared" si="6"/>
        <v xml:space="preserve">					&lt;div class='col-md-12 form-group row'&gt;
						&lt;label class='col-md-2 form-control title'&gt;Topas Smr No&lt;/label&gt;
						&lt;input type='text' class='col-md-10 form-control input-text' name='TopasSmrNo' [(ngModel)]='rowdata.topasSmrNo'&gt;
					&lt;/div&gt;</v>
      </c>
      <c r="L51" s="56" t="str">
        <f t="shared" ref="L51:L53" si="20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si="10"/>
        <v xml:space="preserve">	topasSmrNo : string = '' ; </v>
      </c>
      <c r="T51" s="28" t="str">
        <f t="shared" si="11"/>
        <v xml:space="preserve">			this.topasSmrNo,</v>
      </c>
      <c r="U51" s="28" t="str">
        <f t="shared" si="12"/>
        <v xml:space="preserve">		this.topasSmrNo = '',</v>
      </c>
      <c r="V51" s="28" t="str">
        <f t="shared" si="8"/>
        <v/>
      </c>
    </row>
    <row r="52" spans="1:22" ht="18" customHeight="1" x14ac:dyDescent="0.25">
      <c r="A52" t="s">
        <v>398</v>
      </c>
      <c r="B52" s="28" t="str">
        <f t="shared" si="0"/>
        <v>TopasSmrItemNo</v>
      </c>
      <c r="C52" s="28" t="str">
        <f t="shared" si="1"/>
        <v>Topas Smr Item No</v>
      </c>
      <c r="D52" s="28" t="str">
        <f t="shared" si="2"/>
        <v>topasSmrItemNo</v>
      </c>
      <c r="E52" s="28" t="str">
        <f>A.Backend!H46</f>
        <v>string</v>
      </c>
      <c r="F52" s="28" t="str">
        <f>A.Backend!G46</f>
        <v>4</v>
      </c>
      <c r="G52" s="28" t="str">
        <f t="shared" si="3"/>
        <v xml:space="preserve"> : string = '' ; </v>
      </c>
      <c r="H52" s="35" t="str">
        <f t="shared" si="4"/>
        <v xml:space="preserve">			{headerName: this.l('Topas Smr Item No'),headerTooltip: this.l('Topas Smr Item No'),field: 'topasSmrItemNo',flex: 1},</v>
      </c>
      <c r="I52" s="35" t="str">
        <f t="shared" si="5"/>
        <v xml:space="preserve">								&lt;div class='input-search'&gt;
									&lt;input [(ngModel)]='topasSmrItemNo' name='topasSmrItemNo'
									class='form-control' [placeholder]="l('Topas Smr Item No')"
									type='text' (keyup.enter)='searchDatas()'&gt;
								&lt;/div&gt;</v>
      </c>
      <c r="J52" s="28"/>
      <c r="K52" s="35" t="str">
        <f t="shared" si="6"/>
        <v xml:space="preserve">					&lt;div class='col-md-12 form-group row'&gt;
						&lt;label class='col-md-2 form-control title'&gt;Topas Smr Item No&lt;/label&gt;
						&lt;input type='text' class='col-md-10 form-control input-text' name='TopasSmrItemNo' [(ngModel)]='rowdata.topasSmrItemNo'&gt;
					&lt;/div&gt;</v>
      </c>
      <c r="L52" s="56" t="str">
        <f t="shared" si="20"/>
        <v/>
      </c>
      <c r="M52" s="28"/>
      <c r="N52" s="28"/>
      <c r="O52" s="28"/>
      <c r="P52" s="28"/>
      <c r="Q52" s="28"/>
      <c r="R52" s="28"/>
      <c r="S52" s="28" t="str">
        <f t="shared" si="10"/>
        <v xml:space="preserve">	topasSmrItemNo : string = '' ; </v>
      </c>
      <c r="T52" s="28" t="str">
        <f t="shared" si="11"/>
        <v xml:space="preserve">			this.topasSmrItemNo,</v>
      </c>
      <c r="U52" s="28" t="str">
        <f t="shared" si="12"/>
        <v xml:space="preserve">		this.topasSmrItemNo = '',</v>
      </c>
      <c r="V52" s="28" t="str">
        <f t="shared" si="8"/>
        <v/>
      </c>
    </row>
    <row r="53" spans="1:22" ht="15" customHeight="1" x14ac:dyDescent="0.25">
      <c r="A53" t="s">
        <v>399</v>
      </c>
      <c r="B53" s="28" t="str">
        <f t="shared" si="0"/>
        <v>CustomerBranch</v>
      </c>
      <c r="C53" s="28" t="str">
        <f t="shared" si="1"/>
        <v>Customer Branch</v>
      </c>
      <c r="D53" s="28" t="str">
        <f t="shared" si="2"/>
        <v>customerBranch</v>
      </c>
      <c r="E53" s="28" t="str">
        <f>A.Backend!H47</f>
        <v>string</v>
      </c>
      <c r="F53" s="28" t="str">
        <f>A.Backend!G47</f>
        <v>40</v>
      </c>
      <c r="G53" s="28" t="str">
        <f t="shared" si="3"/>
        <v xml:space="preserve"> : string = '' ; </v>
      </c>
      <c r="H53" s="35" t="str">
        <f t="shared" si="4"/>
        <v xml:space="preserve">			{headerName: this.l('Customer Branch'),headerTooltip: this.l('Customer Branch'),field: 'customerBranch',flex: 1},</v>
      </c>
      <c r="I53" s="35" t="str">
        <f t="shared" si="5"/>
        <v xml:space="preserve">								&lt;div class='input-search'&gt;
									&lt;input [(ngModel)]='customerBranch' name='customerBranch'
									class='form-control' [placeholder]="l('Customer Branch')"
									type='text' (keyup.enter)='searchDatas()'&gt;
								&lt;/div&gt;</v>
      </c>
      <c r="J53" s="28"/>
      <c r="K53" s="35" t="str">
        <f t="shared" si="6"/>
        <v xml:space="preserve">					&lt;div class='col-md-12 form-group row'&gt;
						&lt;label class='col-md-2 form-control title'&gt;Customer Branch&lt;/label&gt;
						&lt;input type='text' class='col-md-10 form-control input-text' name='CustomerBranch' [(ngModel)]='rowdata.customerBranch'&gt;
					&lt;/div&gt;</v>
      </c>
      <c r="L53" s="56" t="str">
        <f t="shared" si="20"/>
        <v/>
      </c>
      <c r="M53" s="28"/>
      <c r="N53" s="28"/>
      <c r="O53" s="28"/>
      <c r="P53" s="28"/>
      <c r="Q53" s="28"/>
      <c r="R53" s="28"/>
      <c r="S53" s="28" t="str">
        <f t="shared" si="10"/>
        <v xml:space="preserve">	customerBranch : string = '' ; </v>
      </c>
      <c r="T53" s="28" t="str">
        <f t="shared" si="11"/>
        <v xml:space="preserve">			this.customerBranch,</v>
      </c>
      <c r="U53" s="28" t="str">
        <f t="shared" si="12"/>
        <v xml:space="preserve">		this.customerBranch = '',</v>
      </c>
      <c r="V53" s="28" t="str">
        <f t="shared" si="8"/>
        <v/>
      </c>
    </row>
    <row r="54" spans="1:22" ht="18" customHeight="1" x14ac:dyDescent="0.25">
      <c r="A54" t="s">
        <v>400</v>
      </c>
      <c r="B54" s="28" t="str">
        <f t="shared" si="0"/>
        <v>CostCenter</v>
      </c>
      <c r="C54" s="28" t="str">
        <f t="shared" si="1"/>
        <v>Cost Center</v>
      </c>
      <c r="D54" s="28" t="str">
        <f t="shared" si="2"/>
        <v>costCenter</v>
      </c>
      <c r="E54" s="28" t="str">
        <f>A.Backend!H48</f>
        <v>string</v>
      </c>
      <c r="F54" s="28" t="str">
        <f>A.Backend!G48</f>
        <v>10</v>
      </c>
      <c r="G54" s="28" t="str">
        <f t="shared" si="3"/>
        <v xml:space="preserve"> : string = '' ; </v>
      </c>
      <c r="H54" s="35" t="str">
        <f t="shared" si="4"/>
        <v xml:space="preserve">			{headerName: this.l('Cost Center'),headerTooltip: this.l('Cost Center'),field: 'costCenter',flex: 1},</v>
      </c>
      <c r="I54" s="35" t="str">
        <f t="shared" si="5"/>
        <v xml:space="preserve">								&lt;div class='input-search'&gt;
									&lt;input [(ngModel)]='costCenter' name='costCenter'
									class='form-control' [placeholder]="l('Cost Center')"
									type='text' (keyup.enter)='searchDatas()'&gt;
								&lt;/div&gt;</v>
      </c>
      <c r="J54" s="28"/>
      <c r="K54" s="35" t="str">
        <f t="shared" si="6"/>
        <v xml:space="preserve">					&lt;div class='col-md-12 form-group row'&gt;
						&lt;label class='col-md-2 form-control title'&gt;Cost Center&lt;/label&gt;
						&lt;input type='text' class='col-md-10 form-control input-text' name='CostCenter' [(ngModel)]='rowdata.costCenter'&gt;
					&lt;/div&gt;</v>
      </c>
      <c r="L54" s="56" t="str">
        <f t="shared" si="13"/>
        <v/>
      </c>
      <c r="M54" s="28"/>
      <c r="N54" s="28"/>
      <c r="O54" s="28"/>
      <c r="P54" s="28"/>
      <c r="Q54" s="28"/>
      <c r="R54" s="28"/>
      <c r="S54" s="28" t="str">
        <f t="shared" si="10"/>
        <v xml:space="preserve">	costCenter : string = '' ; </v>
      </c>
      <c r="T54" s="28" t="str">
        <f t="shared" si="11"/>
        <v xml:space="preserve">			this.costCenter,</v>
      </c>
      <c r="U54" s="28" t="str">
        <f t="shared" si="12"/>
        <v xml:space="preserve">		this.costCenter = '',</v>
      </c>
      <c r="V54" s="28" t="str">
        <f t="shared" si="8"/>
        <v/>
      </c>
    </row>
    <row r="55" spans="1:22" ht="15" customHeight="1" x14ac:dyDescent="0.25">
      <c r="A55" t="s">
        <v>356</v>
      </c>
      <c r="B55" s="28" t="str">
        <f t="shared" si="0"/>
        <v>Wbs</v>
      </c>
      <c r="C55" s="28" t="str">
        <f t="shared" si="1"/>
        <v>Wbs</v>
      </c>
      <c r="D55" s="28" t="str">
        <f t="shared" si="2"/>
        <v>wbs</v>
      </c>
      <c r="E55" s="28" t="str">
        <f>A.Backend!H49</f>
        <v>string</v>
      </c>
      <c r="F55" s="28" t="str">
        <f>A.Backend!G49</f>
        <v>24</v>
      </c>
      <c r="G55" s="28" t="str">
        <f t="shared" si="3"/>
        <v xml:space="preserve"> : string = '' ; </v>
      </c>
      <c r="H55" s="35" t="str">
        <f t="shared" si="4"/>
        <v xml:space="preserve">			{headerName: this.l('Wbs'),headerTooltip: this.l('Wbs'),field: 'wbs',flex: 1},</v>
      </c>
      <c r="I55" s="35" t="str">
        <f t="shared" si="5"/>
        <v xml:space="preserve">								&lt;div class='input-search'&gt;
									&lt;input [(ngModel)]='wbs' name='wbs'
									class='form-control' [placeholder]="l('Wbs')"
									type='text' (keyup.enter)='searchDatas()'&gt;
								&lt;/div&gt;</v>
      </c>
      <c r="J55" s="28"/>
      <c r="K55" s="35" t="str">
        <f t="shared" si="6"/>
        <v xml:space="preserve">					&lt;div class='col-md-12 form-group row'&gt;
						&lt;label class='col-md-2 form-control title'&gt;Wbs&lt;/label&gt;
						&lt;input type='text' class='col-md-10 form-control input-text' name='Wbs' [(ngModel)]='rowdata.wbs'&gt;
					&lt;/div&gt;</v>
      </c>
      <c r="L55" s="56" t="str">
        <f t="shared" si="13"/>
        <v/>
      </c>
      <c r="M55" s="28"/>
      <c r="N55" s="28"/>
      <c r="O55" s="28"/>
      <c r="P55" s="28"/>
      <c r="Q55" s="28"/>
      <c r="R55" s="28"/>
      <c r="S55" s="28" t="str">
        <f t="shared" si="10"/>
        <v xml:space="preserve">	wbs : string = '' ; </v>
      </c>
      <c r="T55" s="28" t="str">
        <f t="shared" si="11"/>
        <v xml:space="preserve">			this.wbs,</v>
      </c>
      <c r="U55" s="28" t="str">
        <f t="shared" si="12"/>
        <v xml:space="preserve">		this.wbs = '',</v>
      </c>
      <c r="V55" s="28" t="str">
        <f t="shared" si="8"/>
        <v/>
      </c>
    </row>
    <row r="56" spans="1:22" ht="18" customHeight="1" x14ac:dyDescent="0.25">
      <c r="A56" t="s">
        <v>401</v>
      </c>
      <c r="B56" s="28" t="str">
        <f t="shared" si="0"/>
        <v>Asset</v>
      </c>
      <c r="C56" s="28" t="str">
        <f t="shared" si="1"/>
        <v>Asset</v>
      </c>
      <c r="D56" s="28" t="str">
        <f t="shared" si="2"/>
        <v>asset</v>
      </c>
      <c r="E56" s="28" t="str">
        <f>A.Backend!H50</f>
        <v>string</v>
      </c>
      <c r="F56" s="28" t="str">
        <f>A.Backend!G50</f>
        <v>17</v>
      </c>
      <c r="G56" s="28" t="str">
        <f t="shared" si="3"/>
        <v xml:space="preserve"> : string = '' ; </v>
      </c>
      <c r="H56" s="35" t="str">
        <f t="shared" si="4"/>
        <v xml:space="preserve">			{headerName: this.l('Asset'),headerTooltip: this.l('Asset'),field: 'asset',flex: 1},</v>
      </c>
      <c r="I56" s="35" t="str">
        <f t="shared" si="5"/>
        <v xml:space="preserve">								&lt;div class='input-search'&gt;
									&lt;input [(ngModel)]='asset' name='asset'
									class='form-control' [placeholder]="l('Asset')"
									type='text' (keyup.enter)='searchDatas()'&gt;
								&lt;/div&gt;</v>
      </c>
      <c r="J56" s="28"/>
      <c r="K56" s="35" t="str">
        <f t="shared" si="6"/>
        <v xml:space="preserve">					&lt;div class='col-md-12 form-group row'&gt;
						&lt;label class='col-md-2 form-control title'&gt;Asset&lt;/label&gt;
						&lt;input type='text' class='col-md-10 form-control input-text' name='Asset' [(ngModel)]='rowdata.asset'&gt;
					&lt;/div&gt;</v>
      </c>
      <c r="L56" s="56" t="str">
        <f t="shared" si="13"/>
        <v/>
      </c>
      <c r="M56" s="28"/>
      <c r="N56" s="28"/>
      <c r="O56" s="28"/>
      <c r="P56" s="28"/>
      <c r="Q56" s="28"/>
      <c r="R56" s="28"/>
      <c r="S56" s="28" t="str">
        <f t="shared" si="10"/>
        <v xml:space="preserve">	asset : string = '' ; </v>
      </c>
      <c r="T56" s="28" t="str">
        <f t="shared" si="11"/>
        <v xml:space="preserve">			this.asset,</v>
      </c>
      <c r="U56" s="28" t="str">
        <f t="shared" si="12"/>
        <v xml:space="preserve">		this.asset = '',</v>
      </c>
      <c r="V56" s="28" t="str">
        <f t="shared" si="8"/>
        <v/>
      </c>
    </row>
    <row r="57" spans="1:22" ht="18" customHeight="1" x14ac:dyDescent="0.25">
      <c r="A57" t="s">
        <v>402</v>
      </c>
      <c r="B57" s="28" t="str">
        <f t="shared" si="0"/>
        <v>OrderReasonCode</v>
      </c>
      <c r="C57" s="28" t="str">
        <f t="shared" si="1"/>
        <v>Order Reason Code</v>
      </c>
      <c r="D57" s="28" t="str">
        <f t="shared" si="2"/>
        <v>orderReasonCode</v>
      </c>
      <c r="E57" s="28" t="str">
        <f>A.Backend!H51</f>
        <v>string</v>
      </c>
      <c r="F57" s="28" t="str">
        <f>A.Backend!G51</f>
        <v>1</v>
      </c>
      <c r="G57" s="28" t="str">
        <f t="shared" si="3"/>
        <v xml:space="preserve"> : string = '' ; </v>
      </c>
      <c r="H57" s="35" t="str">
        <f t="shared" si="4"/>
        <v xml:space="preserve">			{headerName: this.l('Order Reason Code'),headerTooltip: this.l('Order Reason Code'),field:  'orderReasonCode', cellClass: ['text-center'], width: 120, cellRenderer: 'agCellButtonComponent',
buttonDefTwo: { text: params =&gt; (params.data?.'orderReasonCode' == 'Y') ? 'Active' : 'Inactive',iconName: 'fa fa-circle',className: params =&gt; (params.data?.'orderReasonCode' == 'Y') ? 'btnActive' : 'btnInActive',},}</v>
      </c>
      <c r="I57" s="35" t="str">
        <f t="shared" si="5"/>
        <v xml:space="preserve">								&lt;div class='input-search'&gt;
									&lt;input [(ngModel)]='orderReasonCode' name='orderReasonCode'
									class='form-control' [placeholder]="l('Order Reason Code')"
									type='text' (keyup.enter)='searchDatas()'&gt;
								&lt;/div&gt;</v>
      </c>
      <c r="J57" s="28"/>
      <c r="K57" s="35" t="str">
        <f t="shared" si="6"/>
        <v xml:space="preserve">					&lt;div class='col-md-12 form-group row'&gt;
						&lt;label class='col-md-2 form-control title'&gt;Order Reason Code&lt;/label&gt;
						&lt;new-checkbox [(ngModel)]='_orderReasonCode' name='orderReasonCode' className='col-md-10' &gt; &lt;/new-checkbox&gt;
					&lt;/div&gt;</v>
      </c>
      <c r="L57" s="56" t="str">
        <f>IF(E57="DateTime",
REPT(CHAR(9),2)&amp;"const dateValue =  this.rowdata."&amp;D57&amp;" ? new Date(this.rowdata."&amp;D57&amp;"?.toString()) : new Date();
"&amp;REPT(CHAR(9),2)&amp;"this.datepicker?.bsValueChange.emit(dateValue);","")</f>
        <v/>
      </c>
      <c r="M57" s="28"/>
      <c r="N57" s="28"/>
      <c r="O57" s="28"/>
      <c r="P57" s="28"/>
      <c r="Q57" s="28"/>
      <c r="R57" s="28"/>
      <c r="S57" s="28" t="str">
        <f t="shared" si="10"/>
        <v xml:space="preserve">	orderReasonCode : string = '' ; </v>
      </c>
      <c r="T57" s="28" t="str">
        <f t="shared" si="11"/>
        <v xml:space="preserve">			this.orderReasonCode,</v>
      </c>
      <c r="U57" s="28" t="str">
        <f t="shared" si="12"/>
        <v xml:space="preserve">		this.orderReasonCode = '',</v>
      </c>
      <c r="V57" s="28" t="str">
        <f t="shared" si="8"/>
        <v>orderReasonCode</v>
      </c>
    </row>
    <row r="58" spans="1:22" ht="15" customHeight="1" x14ac:dyDescent="0.25">
      <c r="A58" t="s">
        <v>403</v>
      </c>
      <c r="B58" s="28" t="str">
        <f t="shared" si="0"/>
        <v>RetroFlag</v>
      </c>
      <c r="C58" s="28" t="str">
        <f t="shared" si="1"/>
        <v>Retro Flag</v>
      </c>
      <c r="D58" s="28" t="str">
        <f t="shared" si="2"/>
        <v>retroFlag</v>
      </c>
      <c r="E58" s="28" t="str">
        <f>A.Backend!H52</f>
        <v>string</v>
      </c>
      <c r="F58" s="28" t="str">
        <f>A.Backend!G52</f>
        <v>1</v>
      </c>
      <c r="G58" s="28" t="str">
        <f t="shared" si="3"/>
        <v xml:space="preserve"> : string = '' ; </v>
      </c>
      <c r="H58" s="35" t="str">
        <f t="shared" si="4"/>
        <v xml:space="preserve">			{headerName: this.l('Retro Flag'),headerTooltip: this.l('Retro Flag'),field:  'retroFlag', cellClass: ['text-center'], width: 120, cellRenderer: 'agCellButtonComponent',
buttonDefTwo: { text: params =&gt; (params.data?.'retroFlag' == 'Y') ? 'Active' : 'Inactive',iconName: 'fa fa-circle',className: params =&gt; (params.data?.'retroFlag' == 'Y') ? 'btnActive' : 'btnInActive',},}</v>
      </c>
      <c r="I58" s="35" t="str">
        <f t="shared" si="5"/>
        <v xml:space="preserve">								&lt;div class='input-search'&gt;
									&lt;input [(ngModel)]='retroFlag' name='retroFlag'
									class='form-control' [placeholder]="l('Retro Flag')"
									type='text' (keyup.enter)='searchDatas()'&gt;
								&lt;/div&gt;</v>
      </c>
      <c r="J58" s="28"/>
      <c r="K58" s="35" t="str">
        <f t="shared" si="6"/>
        <v xml:space="preserve">					&lt;div class='col-md-12 form-group row'&gt;
						&lt;label class='col-md-2 form-control title'&gt;Retro Flag&lt;/label&gt;
						&lt;new-checkbox [(ngModel)]='_retroFlag' name='retroFlag' className='col-md-10' &gt; &lt;/new-checkbox&gt;
					&lt;/div&gt;</v>
      </c>
      <c r="L58" s="56" t="str">
        <f t="shared" ref="L58:L61" si="21">IF(E58="DateTime",
REPT(CHAR(9),2)&amp;"const dateValue =  this.rowdata."&amp;D58&amp;" ? new Date(this.rowdata."&amp;D58&amp;"?.toString()) : new Date();
"&amp;REPT(CHAR(9),2)&amp;"this.datepicker?.bsValueChange.emit(dateValue);","")</f>
        <v/>
      </c>
      <c r="M58" s="28"/>
      <c r="N58" s="28"/>
      <c r="O58" s="28"/>
      <c r="P58" s="28"/>
      <c r="Q58" s="28"/>
      <c r="R58" s="28"/>
      <c r="S58" s="28" t="str">
        <f t="shared" si="10"/>
        <v xml:space="preserve">	retroFlag : string = '' ; </v>
      </c>
      <c r="T58" s="28" t="str">
        <f t="shared" si="11"/>
        <v xml:space="preserve">			this.retroFlag,</v>
      </c>
      <c r="U58" s="28" t="str">
        <f t="shared" si="12"/>
        <v xml:space="preserve">		this.retroFlag = '',</v>
      </c>
      <c r="V58" s="28" t="str">
        <f t="shared" si="8"/>
        <v>retroFlag</v>
      </c>
    </row>
    <row r="59" spans="1:22" ht="18" customHeight="1" x14ac:dyDescent="0.25">
      <c r="A59" t="s">
        <v>404</v>
      </c>
      <c r="B59" s="28" t="str">
        <f t="shared" si="0"/>
        <v>ValuationType</v>
      </c>
      <c r="C59" s="28" t="str">
        <f t="shared" si="1"/>
        <v>Valuation Type</v>
      </c>
      <c r="D59" s="28" t="str">
        <f t="shared" si="2"/>
        <v>valuationType</v>
      </c>
      <c r="E59" s="28" t="str">
        <f>A.Backend!H53</f>
        <v>string</v>
      </c>
      <c r="F59" s="28" t="str">
        <f>A.Backend!G53</f>
        <v>10</v>
      </c>
      <c r="G59" s="28" t="str">
        <f t="shared" si="3"/>
        <v xml:space="preserve"> : string = '' ; </v>
      </c>
      <c r="H59" s="35" t="str">
        <f t="shared" si="4"/>
        <v xml:space="preserve">			{headerName: this.l('Valuation Type'),headerTooltip: this.l('Valuation Type'),field: 'valuationType',flex: 1},</v>
      </c>
      <c r="I59" s="35" t="str">
        <f t="shared" si="5"/>
        <v xml:space="preserve">								&lt;div class='input-search'&gt;
									&lt;input [(ngModel)]='valuationType' name='valuationType'
									class='form-control' [placeholder]="l('Valuation Type')"
									type='text' (keyup.enter)='searchDatas()'&gt;
								&lt;/div&gt;</v>
      </c>
      <c r="J59" s="28"/>
      <c r="K59" s="35" t="str">
        <f t="shared" si="6"/>
        <v xml:space="preserve">					&lt;div class='col-md-12 form-group row'&gt;
						&lt;label class='col-md-2 form-control title'&gt;Valuation Type&lt;/label&gt;
						&lt;input type='text' class='col-md-10 form-control input-text' name='ValuationType' [(ngModel)]='rowdata.valuationType'&gt;
					&lt;/div&gt;</v>
      </c>
      <c r="L59" s="56" t="str">
        <f t="shared" si="21"/>
        <v/>
      </c>
      <c r="M59" s="28"/>
      <c r="N59" s="28"/>
      <c r="O59" s="28"/>
      <c r="P59" s="28"/>
      <c r="Q59" s="28"/>
      <c r="R59" s="28"/>
      <c r="S59" s="28" t="str">
        <f t="shared" si="10"/>
        <v xml:space="preserve">	valuationType : string = '' ; </v>
      </c>
      <c r="T59" s="28" t="str">
        <f t="shared" si="11"/>
        <v xml:space="preserve">			this.valuationType,</v>
      </c>
      <c r="U59" s="28" t="str">
        <f t="shared" si="12"/>
        <v xml:space="preserve">		this.valuationType = '',</v>
      </c>
      <c r="V59" s="28" t="str">
        <f t="shared" si="8"/>
        <v/>
      </c>
    </row>
    <row r="60" spans="1:22" ht="15" customHeight="1" x14ac:dyDescent="0.25">
      <c r="A60" t="s">
        <v>405</v>
      </c>
      <c r="B60" s="28" t="str">
        <f t="shared" si="0"/>
        <v>ConditionType</v>
      </c>
      <c r="C60" s="28" t="str">
        <f t="shared" si="1"/>
        <v>Condition Type</v>
      </c>
      <c r="D60" s="28" t="str">
        <f t="shared" si="2"/>
        <v>conditionType</v>
      </c>
      <c r="E60" s="28" t="str">
        <f>A.Backend!H54</f>
        <v>string</v>
      </c>
      <c r="F60" s="28" t="str">
        <f>A.Backend!G54</f>
        <v>4</v>
      </c>
      <c r="G60" s="28" t="str">
        <f t="shared" si="3"/>
        <v xml:space="preserve"> : string = '' ; </v>
      </c>
      <c r="H60" s="35" t="str">
        <f t="shared" si="4"/>
        <v xml:space="preserve">			{headerName: this.l('Condition Type'),headerTooltip: this.l('Condition Type'),field: 'conditionType',flex: 1},</v>
      </c>
      <c r="I60" s="35" t="str">
        <f t="shared" si="5"/>
        <v xml:space="preserve">								&lt;div class='input-search'&gt;
									&lt;input [(ngModel)]='conditionType' name='conditionType'
									class='form-control' [placeholder]="l('Condition Type')"
									type='text' (keyup.enter)='searchDatas()'&gt;
								&lt;/div&gt;</v>
      </c>
      <c r="J60" s="28"/>
      <c r="K60" s="35" t="str">
        <f t="shared" si="6"/>
        <v xml:space="preserve">					&lt;div class='col-md-12 form-group row'&gt;
						&lt;label class='col-md-2 form-control title'&gt;Condition Type&lt;/label&gt;
						&lt;input type='text' class='col-md-10 form-control input-text' name='ConditionType' [(ngModel)]='rowdata.conditionType'&gt;
					&lt;/div&gt;</v>
      </c>
      <c r="L60" s="56" t="str">
        <f t="shared" si="21"/>
        <v/>
      </c>
      <c r="M60" s="28"/>
      <c r="N60" s="28"/>
      <c r="O60" s="28"/>
      <c r="P60" s="28"/>
      <c r="Q60" s="28"/>
      <c r="R60" s="28"/>
      <c r="S60" s="28" t="str">
        <f t="shared" si="10"/>
        <v xml:space="preserve">	conditionType : string = '' ; </v>
      </c>
      <c r="T60" s="28" t="str">
        <f t="shared" si="11"/>
        <v xml:space="preserve">			this.conditionType,</v>
      </c>
      <c r="U60" s="28" t="str">
        <f t="shared" si="12"/>
        <v xml:space="preserve">		this.conditionType = '',</v>
      </c>
      <c r="V60" s="28" t="str">
        <f t="shared" si="8"/>
        <v/>
      </c>
    </row>
    <row r="61" spans="1:22" ht="18" customHeight="1" x14ac:dyDescent="0.25">
      <c r="A61" t="s">
        <v>406</v>
      </c>
      <c r="B61" s="28" t="str">
        <f t="shared" si="0"/>
        <v>ConditionTypeAmt</v>
      </c>
      <c r="C61" s="28" t="str">
        <f t="shared" si="1"/>
        <v>Condition Type Amt</v>
      </c>
      <c r="D61" s="28" t="str">
        <f t="shared" si="2"/>
        <v>conditionTypeAmt</v>
      </c>
      <c r="E61" s="28" t="str">
        <f>A.Backend!H55</f>
        <v>string</v>
      </c>
      <c r="F61" s="28" t="str">
        <f>A.Backend!G55</f>
        <v>23</v>
      </c>
      <c r="G61" s="28" t="str">
        <f t="shared" si="3"/>
        <v xml:space="preserve"> : string = '' ; </v>
      </c>
      <c r="H61" s="35" t="str">
        <f t="shared" si="4"/>
        <v xml:space="preserve">			{headerName: this.l('Condition Type Amt'),headerTooltip: this.l('Condition Type Amt'),field: 'conditionTypeAmt',flex: 1},</v>
      </c>
      <c r="I61" s="35" t="str">
        <f t="shared" si="5"/>
        <v xml:space="preserve">								&lt;div class='input-search'&gt;
									&lt;input [(ngModel)]='conditionTypeAmt' name='conditionTypeAmt'
									class='form-control' [placeholder]="l('Condition Type Amt')"
									type='text' (keyup.enter)='searchDatas()'&gt;
								&lt;/div&gt;</v>
      </c>
      <c r="J61" s="28"/>
      <c r="K61" s="35" t="str">
        <f t="shared" si="6"/>
        <v xml:space="preserve">					&lt;div class='col-md-12 form-group row'&gt;
						&lt;label class='col-md-2 form-control title'&gt;Condition Type Amt&lt;/label&gt;
						&lt;input type='text' class='col-md-10 form-control input-text' name='ConditionTypeAmt' [(ngModel)]='rowdata.conditionTypeAmt'&gt;
					&lt;/div&gt;</v>
      </c>
      <c r="L61" s="56" t="str">
        <f t="shared" si="21"/>
        <v/>
      </c>
      <c r="M61" s="28"/>
      <c r="N61" s="28"/>
      <c r="O61" s="28"/>
      <c r="P61" s="28"/>
      <c r="Q61" s="28"/>
      <c r="R61" s="28"/>
      <c r="S61" s="28" t="str">
        <f t="shared" si="10"/>
        <v xml:space="preserve">	conditionTypeAmt : string = '' ; </v>
      </c>
      <c r="T61" s="28" t="str">
        <f t="shared" si="11"/>
        <v xml:space="preserve">			this.conditionTypeAmt,</v>
      </c>
      <c r="U61" s="28" t="str">
        <f t="shared" si="12"/>
        <v xml:space="preserve">		this.conditionTypeAmt = '',</v>
      </c>
      <c r="V61" s="28" t="str">
        <f t="shared" si="8"/>
        <v/>
      </c>
    </row>
    <row r="62" spans="1:22" ht="18" customHeight="1" x14ac:dyDescent="0.25">
      <c r="A62" t="s">
        <v>407</v>
      </c>
      <c r="B62" s="28" t="str">
        <f t="shared" si="0"/>
        <v>PrepaidTaxAmt</v>
      </c>
      <c r="C62" s="28" t="str">
        <f t="shared" si="1"/>
        <v>Prepaid Tax Amt</v>
      </c>
      <c r="D62" s="28" t="str">
        <f t="shared" si="2"/>
        <v>prepaidTaxAmt</v>
      </c>
      <c r="E62" s="28" t="str">
        <f>A.Backend!H56</f>
        <v>string</v>
      </c>
      <c r="F62" s="28" t="str">
        <f>A.Backend!G56</f>
        <v>23</v>
      </c>
      <c r="G62" s="28" t="str">
        <f t="shared" si="3"/>
        <v xml:space="preserve"> : string = '' ; </v>
      </c>
      <c r="H62" s="35" t="str">
        <f t="shared" si="4"/>
        <v xml:space="preserve">			{headerName: this.l('Prepaid Tax Amt'),headerTooltip: this.l('Prepaid Tax Amt'),field: 'prepaidTaxAmt',flex: 1},</v>
      </c>
      <c r="I62" s="35" t="str">
        <f t="shared" si="5"/>
        <v xml:space="preserve">								&lt;div class='input-search'&gt;
									&lt;input [(ngModel)]='prepaidTaxAmt' name='prepaidTaxAmt'
									class='form-control' [placeholder]="l('Prepaid Tax Amt')"
									type='text' (keyup.enter)='searchDatas()'&gt;
								&lt;/div&gt;</v>
      </c>
      <c r="J62" s="28"/>
      <c r="K62" s="35" t="str">
        <f t="shared" si="6"/>
        <v xml:space="preserve">					&lt;div class='col-md-12 form-group row'&gt;
						&lt;label class='col-md-2 form-control title'&gt;Prepaid Tax Amt&lt;/label&gt;
						&lt;input type='text' class='col-md-10 form-control input-text' name='PrepaidTaxAmt' [(ngModel)]='rowdata.prepaidTaxAmt'&gt;
					&lt;/div&gt;</v>
      </c>
      <c r="L62" s="56" t="str">
        <f>IF(E62="DateTime",
REPT(CHAR(9),2)&amp;"const dateValue =  this.rowdata."&amp;D62&amp;" ? new Date(this.rowdata."&amp;D62&amp;"?.toString()) : new Date();
"&amp;REPT(CHAR(9),2)&amp;"this.datepicker?.bsValueChange.emit(dateValue);","")</f>
        <v/>
      </c>
      <c r="M62" s="28"/>
      <c r="N62" s="28"/>
      <c r="O62" s="28"/>
      <c r="P62" s="28"/>
      <c r="Q62" s="28"/>
      <c r="R62" s="28"/>
      <c r="S62" s="28" t="str">
        <f t="shared" si="10"/>
        <v xml:space="preserve">	prepaidTaxAmt : string = '' ; </v>
      </c>
      <c r="T62" s="28" t="str">
        <f t="shared" si="11"/>
        <v xml:space="preserve">			this.prepaidTaxAmt,</v>
      </c>
      <c r="U62" s="28" t="str">
        <f t="shared" si="12"/>
        <v xml:space="preserve">		this.prepaidTaxAmt = '',</v>
      </c>
      <c r="V62" s="28" t="str">
        <f t="shared" si="8"/>
        <v/>
      </c>
    </row>
    <row r="63" spans="1:22" ht="15" customHeight="1" x14ac:dyDescent="0.25">
      <c r="A63" t="s">
        <v>408</v>
      </c>
      <c r="B63" s="28" t="str">
        <f t="shared" si="0"/>
        <v>WithholdingTaxAmt</v>
      </c>
      <c r="C63" s="28" t="str">
        <f t="shared" si="1"/>
        <v>Withholding Tax Amt</v>
      </c>
      <c r="D63" s="28" t="str">
        <f t="shared" si="2"/>
        <v>withholdingTaxAmt</v>
      </c>
      <c r="E63" s="28" t="str">
        <f>A.Backend!H57</f>
        <v>string</v>
      </c>
      <c r="F63" s="28" t="str">
        <f>A.Backend!G57</f>
        <v>23</v>
      </c>
      <c r="G63" s="28" t="str">
        <f t="shared" si="3"/>
        <v xml:space="preserve"> : string = '' ; </v>
      </c>
      <c r="H63" s="35" t="str">
        <f t="shared" si="4"/>
        <v xml:space="preserve">			{headerName: this.l('Withholding Tax Amt'),headerTooltip: this.l('Withholding Tax Amt'),field: 'withholdingTaxAmt',flex: 1},</v>
      </c>
      <c r="I63" s="35" t="str">
        <f t="shared" si="5"/>
        <v xml:space="preserve">								&lt;div class='input-search'&gt;
									&lt;input [(ngModel)]='withholdingTaxAmt' name='withholdingTaxAmt'
									class='form-control' [placeholder]="l('Withholding Tax Amt')"
									type='text' (keyup.enter)='searchDatas()'&gt;
								&lt;/div&gt;</v>
      </c>
      <c r="J63" s="28"/>
      <c r="K63" s="35" t="str">
        <f t="shared" si="6"/>
        <v xml:space="preserve">					&lt;div class='col-md-12 form-group row'&gt;
						&lt;label class='col-md-2 form-control title'&gt;Withholding Tax Amt&lt;/label&gt;
						&lt;input type='text' class='col-md-10 form-control input-text' name='WithholdingTaxAmt' [(ngModel)]='rowdata.withholdingTaxAmt'&gt;
					&lt;/div&gt;</v>
      </c>
      <c r="L63" s="56" t="str">
        <f t="shared" ref="L63:L65" si="22">IF(E63="DateTime",
REPT(CHAR(9),2)&amp;"const dateValue =  this.rowdata."&amp;D63&amp;" ? new Date(this.rowdata."&amp;D63&amp;"?.toString()) : new Date();
"&amp;REPT(CHAR(9),2)&amp;"this.datepicker?.bsValueChange.emit(dateValue);","")</f>
        <v/>
      </c>
      <c r="M63" s="28"/>
      <c r="N63" s="28"/>
      <c r="O63" s="28"/>
      <c r="P63" s="28"/>
      <c r="Q63" s="28"/>
      <c r="R63" s="28"/>
      <c r="S63" s="28" t="str">
        <f t="shared" si="10"/>
        <v xml:space="preserve">	withholdingTaxAmt : string = '' ; </v>
      </c>
      <c r="T63" s="28" t="str">
        <f t="shared" si="11"/>
        <v xml:space="preserve">			this.withholdingTaxAmt,</v>
      </c>
      <c r="U63" s="28" t="str">
        <f t="shared" si="12"/>
        <v xml:space="preserve">		this.withholdingTaxAmt = '',</v>
      </c>
      <c r="V63" s="28" t="str">
        <f t="shared" si="8"/>
        <v/>
      </c>
    </row>
    <row r="64" spans="1:22" ht="18" customHeight="1" x14ac:dyDescent="0.25">
      <c r="A64" t="s">
        <v>409</v>
      </c>
      <c r="B64" s="28" t="str">
        <f t="shared" si="0"/>
        <v>StampFeeAmt</v>
      </c>
      <c r="C64" s="28" t="str">
        <f t="shared" si="1"/>
        <v>Stamp Fee Amt</v>
      </c>
      <c r="D64" s="28" t="str">
        <f t="shared" si="2"/>
        <v>stampFeeAmt</v>
      </c>
      <c r="E64" s="28" t="str">
        <f>A.Backend!H58</f>
        <v>string</v>
      </c>
      <c r="F64" s="28" t="str">
        <f>A.Backend!G58</f>
        <v>23</v>
      </c>
      <c r="G64" s="28" t="str">
        <f t="shared" si="3"/>
        <v xml:space="preserve"> : string = '' ; </v>
      </c>
      <c r="H64" s="35" t="str">
        <f t="shared" si="4"/>
        <v xml:space="preserve">			{headerName: this.l('Stamp Fee Amt'),headerTooltip: this.l('Stamp Fee Amt'),field: 'stampFeeAmt',flex: 1},</v>
      </c>
      <c r="I64" s="35" t="str">
        <f t="shared" si="5"/>
        <v xml:space="preserve">								&lt;div class='input-search'&gt;
									&lt;input [(ngModel)]='stampFeeAmt' name='stampFeeAmt'
									class='form-control' [placeholder]="l('Stamp Fee Amt')"
									type='text' (keyup.enter)='searchDatas()'&gt;
								&lt;/div&gt;</v>
      </c>
      <c r="J64" s="28"/>
      <c r="K64" s="35" t="str">
        <f t="shared" si="6"/>
        <v xml:space="preserve">					&lt;div class='col-md-12 form-group row'&gt;
						&lt;label class='col-md-2 form-control title'&gt;Stamp Fee Amt&lt;/label&gt;
						&lt;input type='text' class='col-md-10 form-control input-text' name='StampFeeAmt' [(ngModel)]='rowdata.stampFeeAmt'&gt;
					&lt;/div&gt;</v>
      </c>
      <c r="L64" s="56" t="str">
        <f t="shared" si="22"/>
        <v/>
      </c>
      <c r="M64" s="28"/>
      <c r="N64" s="28"/>
      <c r="O64" s="28"/>
      <c r="P64" s="28"/>
      <c r="Q64" s="28"/>
      <c r="R64" s="28"/>
      <c r="S64" s="28" t="str">
        <f t="shared" si="10"/>
        <v xml:space="preserve">	stampFeeAmt : string = '' ; </v>
      </c>
      <c r="T64" s="28" t="str">
        <f t="shared" si="11"/>
        <v xml:space="preserve">			this.stampFeeAmt,</v>
      </c>
      <c r="U64" s="28" t="str">
        <f t="shared" si="12"/>
        <v xml:space="preserve">		this.stampFeeAmt = '',</v>
      </c>
      <c r="V64" s="28" t="str">
        <f t="shared" si="8"/>
        <v/>
      </c>
    </row>
    <row r="65" spans="1:22" ht="15" customHeight="1" x14ac:dyDescent="0.25">
      <c r="A65" t="s">
        <v>410</v>
      </c>
      <c r="B65" s="28" t="str">
        <f t="shared" si="0"/>
        <v>GlAmount</v>
      </c>
      <c r="C65" s="28" t="str">
        <f t="shared" si="1"/>
        <v>Gl Amount</v>
      </c>
      <c r="D65" s="28" t="str">
        <f t="shared" si="2"/>
        <v>glAmount</v>
      </c>
      <c r="E65" s="28" t="str">
        <f>A.Backend!H59</f>
        <v>string</v>
      </c>
      <c r="F65" s="28" t="str">
        <f>A.Backend!G59</f>
        <v>23</v>
      </c>
      <c r="G65" s="28" t="str">
        <f t="shared" si="3"/>
        <v xml:space="preserve"> : string = '' ; </v>
      </c>
      <c r="H65" s="35" t="str">
        <f t="shared" si="4"/>
        <v xml:space="preserve">			{headerName: this.l('Gl Amount'),headerTooltip: this.l('Gl Amount'),field: 'glAmount',flex: 1},</v>
      </c>
      <c r="I65" s="35" t="str">
        <f t="shared" si="5"/>
        <v xml:space="preserve">								&lt;div class='input-search'&gt;
									&lt;input [(ngModel)]='glAmount' name='glAmount'
									class='form-control' [placeholder]="l('Gl Amount')"
									type='text' (keyup.enter)='searchDatas()'&gt;
								&lt;/div&gt;</v>
      </c>
      <c r="J65" s="28"/>
      <c r="K65" s="35" t="str">
        <f t="shared" si="6"/>
        <v xml:space="preserve">					&lt;div class='col-md-12 form-group row'&gt;
						&lt;label class='col-md-2 form-control title'&gt;Gl Amount&lt;/label&gt;
						&lt;input type='text' class='col-md-10 form-control input-text' name='GlAmount' [(ngModel)]='rowdata.glAmount'&gt;
					&lt;/div&gt;</v>
      </c>
      <c r="L65" s="56" t="str">
        <f t="shared" si="22"/>
        <v/>
      </c>
      <c r="M65" s="28"/>
      <c r="N65" s="28"/>
      <c r="O65" s="28"/>
      <c r="P65" s="28"/>
      <c r="Q65" s="28"/>
      <c r="R65" s="28"/>
      <c r="S65" s="28" t="str">
        <f t="shared" si="10"/>
        <v xml:space="preserve">	glAmount : string = '' ; </v>
      </c>
      <c r="T65" s="28" t="str">
        <f t="shared" si="11"/>
        <v xml:space="preserve">			this.glAmount,</v>
      </c>
      <c r="U65" s="28" t="str">
        <f t="shared" si="12"/>
        <v xml:space="preserve">		this.glAmount = '',</v>
      </c>
      <c r="V65" s="28" t="str">
        <f t="shared" si="8"/>
        <v/>
      </c>
    </row>
    <row r="66" spans="1:22" ht="15" customHeight="1" x14ac:dyDescent="0.25">
      <c r="A66" t="s">
        <v>411</v>
      </c>
      <c r="B66" s="28" t="str">
        <f t="shared" si="0"/>
        <v>SptCode</v>
      </c>
      <c r="C66" s="28" t="str">
        <f t="shared" si="1"/>
        <v>Spt Code</v>
      </c>
      <c r="D66" s="28" t="str">
        <f t="shared" si="2"/>
        <v>sptCode</v>
      </c>
      <c r="E66" s="28" t="str">
        <f>A.Backend!H60</f>
        <v>string</v>
      </c>
      <c r="F66" s="28" t="str">
        <f>A.Backend!G60</f>
        <v>5</v>
      </c>
      <c r="G66" s="28" t="str">
        <f t="shared" si="3"/>
        <v xml:space="preserve"> : string = '' ; </v>
      </c>
      <c r="H66" s="35" t="str">
        <f t="shared" si="4"/>
        <v xml:space="preserve">			{headerName: this.l('Spt Code'),headerTooltip: this.l('Spt Code'),field: 'sptCode',flex: 1},</v>
      </c>
      <c r="I66" s="35" t="str">
        <f t="shared" si="5"/>
        <v xml:space="preserve">								&lt;div class='input-search'&gt;
									&lt;input [(ngModel)]='sptCode' name='sptCode'
									class='form-control' [placeholder]="l('Spt Code')"
									type='text' (keyup.enter)='searchDatas()'&gt;
								&lt;/div&gt;</v>
      </c>
      <c r="J66" s="28"/>
      <c r="K66" s="35" t="str">
        <f t="shared" si="6"/>
        <v xml:space="preserve">					&lt;div class='col-md-12 form-group row'&gt;
						&lt;label class='col-md-2 form-control title'&gt;Spt Code&lt;/label&gt;
						&lt;input type='text' class='col-md-10 form-control input-text' name='SptCode' [(ngModel)]='rowdata.sptCode'&gt;
					&lt;/div&gt;</v>
      </c>
      <c r="L66" s="56" t="str">
        <f t="shared" ref="L66" si="23">IF(E66="DateTime",
REPT(CHAR(9),2)&amp;"const dateValue =  this.rowdata."&amp;D66&amp;" ? new Date(this.rowdata."&amp;D66&amp;"?.toString()) : new Date();
"&amp;REPT(CHAR(9),2)&amp;"this.datepicker?.bsValueChange.emit(dateValue);","")</f>
        <v/>
      </c>
      <c r="M66" s="28"/>
      <c r="N66" s="28"/>
      <c r="O66" s="28"/>
      <c r="P66" s="28"/>
      <c r="Q66" s="28"/>
      <c r="R66" s="28"/>
      <c r="S66" s="28" t="str">
        <f t="shared" si="10"/>
        <v xml:space="preserve">	sptCode : string = '' ; </v>
      </c>
      <c r="T66" s="28" t="str">
        <f t="shared" si="11"/>
        <v xml:space="preserve">			this.sptCode,</v>
      </c>
      <c r="U66" s="28" t="str">
        <f t="shared" si="12"/>
        <v xml:space="preserve">		this.sptCode = '',</v>
      </c>
      <c r="V66" s="28" t="str">
        <f t="shared" si="8"/>
        <v/>
      </c>
    </row>
    <row r="67" spans="1:22" ht="18" customHeight="1" x14ac:dyDescent="0.25">
      <c r="A67" t="s">
        <v>412</v>
      </c>
      <c r="B67" s="28" t="str">
        <f t="shared" si="0"/>
        <v>HigherLevelItem</v>
      </c>
      <c r="C67" s="28" t="str">
        <f t="shared" si="1"/>
        <v>Higher Level Item</v>
      </c>
      <c r="D67" s="28" t="str">
        <f t="shared" si="2"/>
        <v>higherLevelItem</v>
      </c>
      <c r="E67" s="28" t="str">
        <f>A.Backend!H61</f>
        <v>string</v>
      </c>
      <c r="F67" s="28" t="str">
        <f>A.Backend!G61</f>
        <v>7</v>
      </c>
      <c r="G67" s="28" t="str">
        <f t="shared" si="3"/>
        <v xml:space="preserve"> : string = '' ; </v>
      </c>
      <c r="H67" s="35" t="str">
        <f t="shared" si="4"/>
        <v xml:space="preserve">			{headerName: this.l('Higher Level Item'),headerTooltip: this.l('Higher Level Item'),field: 'higherLevelItem',flex: 1},</v>
      </c>
      <c r="I67" s="35" t="str">
        <f t="shared" si="5"/>
        <v xml:space="preserve">								&lt;div class='input-search'&gt;
									&lt;input [(ngModel)]='higherLevelItem' name='higherLevelItem'
									class='form-control' [placeholder]="l('Higher Level Item')"
									type='text' (keyup.enter)='searchDatas()'&gt;
								&lt;/div&gt;</v>
      </c>
      <c r="J67" s="28"/>
      <c r="K67" s="35" t="str">
        <f t="shared" si="6"/>
        <v xml:space="preserve">					&lt;div class='col-md-12 form-group row'&gt;
						&lt;label class='col-md-2 form-control title'&gt;Higher Level Item&lt;/label&gt;
						&lt;input type='text' class='col-md-10 form-control input-text' name='HigherLevelItem' [(ngModel)]='rowdata.higherLevelItem'&gt;
					&lt;/div&gt;</v>
      </c>
      <c r="L67" s="56" t="str">
        <f t="shared" si="7"/>
        <v/>
      </c>
      <c r="M67" s="28"/>
      <c r="N67" s="28"/>
      <c r="O67" s="28"/>
      <c r="P67" s="28"/>
      <c r="Q67" s="28"/>
      <c r="R67" s="28"/>
      <c r="S67" s="28" t="str">
        <f t="shared" si="10"/>
        <v xml:space="preserve">	higherLevelItem : string = '' ; </v>
      </c>
      <c r="T67" s="28" t="str">
        <f t="shared" si="11"/>
        <v xml:space="preserve">			this.higherLevelItem,</v>
      </c>
      <c r="U67" s="28" t="str">
        <f t="shared" si="12"/>
        <v xml:space="preserve">		this.higherLevelItem = '',</v>
      </c>
      <c r="V67" s="28" t="str">
        <f t="shared" si="8"/>
        <v/>
      </c>
    </row>
    <row r="68" spans="1:22" ht="15" customHeight="1" x14ac:dyDescent="0.25">
      <c r="A68" t="s">
        <v>413</v>
      </c>
      <c r="B68" s="28" t="str">
        <f t="shared" si="0"/>
        <v>WithholdingTaxBaseAmt</v>
      </c>
      <c r="C68" s="28" t="str">
        <f t="shared" si="1"/>
        <v>Withholding Tax Base Amt</v>
      </c>
      <c r="D68" s="28" t="str">
        <f t="shared" si="2"/>
        <v>withholdingTaxBaseAmt</v>
      </c>
      <c r="E68" s="28" t="str">
        <f>A.Backend!H62</f>
        <v>string</v>
      </c>
      <c r="F68" s="28" t="str">
        <f>A.Backend!G62</f>
        <v>23</v>
      </c>
      <c r="G68" s="28" t="str">
        <f t="shared" si="3"/>
        <v xml:space="preserve"> : string = '' ; </v>
      </c>
      <c r="H68" s="35" t="str">
        <f t="shared" si="4"/>
        <v xml:space="preserve">			{headerName: this.l('Withholding Tax Base Amt'),headerTooltip: this.l('Withholding Tax Base Amt'),field: 'withholdingTaxBaseAmt',flex: 1},</v>
      </c>
      <c r="I68" s="35" t="str">
        <f t="shared" si="5"/>
        <v xml:space="preserve">								&lt;div class='input-search'&gt;
									&lt;input [(ngModel)]='withholdingTaxBaseAmt' name='withholdingTaxBaseAmt'
									class='form-control' [placeholder]="l('Withholding Tax Base Amt')"
									type='text' (keyup.enter)='searchDatas()'&gt;
								&lt;/div&gt;</v>
      </c>
      <c r="J68" s="28"/>
      <c r="K68" s="35" t="str">
        <f t="shared" si="6"/>
        <v xml:space="preserve">					&lt;div class='col-md-12 form-group row'&gt;
						&lt;label class='col-md-2 form-control title'&gt;Withholding Tax Base Amt&lt;/label&gt;
						&lt;input type='text' class='col-md-10 form-control input-text' name='WithholdingTaxBaseAmt' [(ngModel)]='rowdata.withholdingTaxBaseAmt'&gt;
					&lt;/div&gt;</v>
      </c>
      <c r="L68" s="56" t="str">
        <f t="shared" ref="L68:L69" si="24">IF(E68="DateTime",
REPT(CHAR(9),2)&amp;"const dateValue =  this.rowdata."&amp;D68&amp;" ? new Date(this.rowdata."&amp;D68&amp;"?.toString()) : new Date();
"&amp;REPT(CHAR(9),2)&amp;"this.datepicker?.bsValueChange.emit(dateValue);","")</f>
        <v/>
      </c>
      <c r="M68" s="28"/>
      <c r="N68" s="28"/>
      <c r="O68" s="28"/>
      <c r="P68" s="28"/>
      <c r="Q68" s="28"/>
      <c r="R68" s="28"/>
      <c r="S68" s="28" t="str">
        <f t="shared" si="10"/>
        <v xml:space="preserve">	withholdingTaxBaseAmt : string = '' ; </v>
      </c>
      <c r="T68" s="28" t="str">
        <f t="shared" si="11"/>
        <v xml:space="preserve">			this.withholdingTaxBaseAmt,</v>
      </c>
      <c r="U68" s="28" t="str">
        <f t="shared" si="12"/>
        <v xml:space="preserve">		this.withholdingTaxBaseAmt = '',</v>
      </c>
      <c r="V68" s="28" t="str">
        <f t="shared" si="8"/>
        <v/>
      </c>
    </row>
    <row r="69" spans="1:22" ht="18" customHeight="1" x14ac:dyDescent="0.25">
      <c r="A69" t="s">
        <v>414</v>
      </c>
      <c r="B69" s="28" t="str">
        <f t="shared" si="0"/>
        <v>TypeOfSales</v>
      </c>
      <c r="C69" s="28" t="str">
        <f t="shared" si="1"/>
        <v>Type Of Sales</v>
      </c>
      <c r="D69" s="28" t="str">
        <f t="shared" si="2"/>
        <v>typeOfSales</v>
      </c>
      <c r="E69" s="28" t="str">
        <f>A.Backend!H63</f>
        <v>string</v>
      </c>
      <c r="F69" s="28" t="str">
        <f>A.Backend!G63</f>
        <v>3</v>
      </c>
      <c r="G69" s="28" t="str">
        <f t="shared" si="3"/>
        <v xml:space="preserve"> : string = '' ; </v>
      </c>
      <c r="H69" s="35" t="str">
        <f t="shared" si="4"/>
        <v xml:space="preserve">			{headerName: this.l('Type Of Sales'),headerTooltip: this.l('Type Of Sales'),field: 'typeOfSales',flex: 1},</v>
      </c>
      <c r="I69" s="35" t="str">
        <f t="shared" si="5"/>
        <v xml:space="preserve">								&lt;div class='input-search'&gt;
									&lt;input [(ngModel)]='typeOfSales' name='typeOfSales'
									class='form-control' [placeholder]="l('Type Of Sales')"
									type='text' (keyup.enter)='searchDatas()'&gt;
								&lt;/div&gt;</v>
      </c>
      <c r="J69" s="28"/>
      <c r="K69" s="35" t="str">
        <f t="shared" si="6"/>
        <v xml:space="preserve">					&lt;div class='col-md-12 form-group row'&gt;
						&lt;label class='col-md-2 form-control title'&gt;Type Of Sales&lt;/label&gt;
						&lt;input type='text' class='col-md-10 form-control input-text' name='TypeOfSales' [(ngModel)]='rowdata.typeOfSales'&gt;
					&lt;/div&gt;</v>
      </c>
      <c r="L69" s="56" t="str">
        <f t="shared" si="24"/>
        <v/>
      </c>
      <c r="M69" s="28"/>
      <c r="N69" s="28"/>
      <c r="O69" s="28"/>
      <c r="P69" s="28"/>
      <c r="Q69" s="28"/>
      <c r="R69" s="28"/>
      <c r="S69" s="28" t="str">
        <f t="shared" si="10"/>
        <v xml:space="preserve">	typeOfSales : string = '' ; </v>
      </c>
      <c r="T69" s="28" t="str">
        <f t="shared" si="11"/>
        <v xml:space="preserve">			this.typeOfSales,</v>
      </c>
      <c r="U69" s="28" t="str">
        <f t="shared" si="12"/>
        <v xml:space="preserve">		this.typeOfSales = '',</v>
      </c>
      <c r="V69" s="28" t="str">
        <f t="shared" si="8"/>
        <v/>
      </c>
    </row>
    <row r="70" spans="1:22" ht="18" customHeight="1" x14ac:dyDescent="0.25">
      <c r="A70" t="s">
        <v>358</v>
      </c>
      <c r="B70" s="28" t="str">
        <f t="shared" si="0"/>
        <v>ProfitCenter</v>
      </c>
      <c r="C70" s="28" t="str">
        <f t="shared" si="1"/>
        <v>Profit Center</v>
      </c>
      <c r="D70" s="28" t="str">
        <f t="shared" si="2"/>
        <v>profitCenter</v>
      </c>
      <c r="E70" s="28" t="str">
        <f>A.Backend!H64</f>
        <v>string</v>
      </c>
      <c r="F70" s="28" t="str">
        <f>A.Backend!G64</f>
        <v>10</v>
      </c>
      <c r="G70" s="28" t="str">
        <f t="shared" si="3"/>
        <v xml:space="preserve"> : string = '' ; </v>
      </c>
      <c r="H70" s="35" t="str">
        <f t="shared" si="4"/>
        <v xml:space="preserve">			{headerName: this.l('Profit Center'),headerTooltip: this.l('Profit Center'),field: 'profitCenter',flex: 1},</v>
      </c>
      <c r="I70" s="35" t="str">
        <f t="shared" si="5"/>
        <v xml:space="preserve">								&lt;div class='input-search'&gt;
									&lt;input [(ngModel)]='profitCenter' name='profitCenter'
									class='form-control' [placeholder]="l('Profit Center')"
									type='text' (keyup.enter)='searchDatas()'&gt;
								&lt;/div&gt;</v>
      </c>
      <c r="J70" s="28"/>
      <c r="K70" s="35" t="str">
        <f t="shared" si="6"/>
        <v xml:space="preserve">					&lt;div class='col-md-12 form-group row'&gt;
						&lt;label class='col-md-2 form-control title'&gt;Profit Center&lt;/label&gt;
						&lt;input type='text' class='col-md-10 form-control input-text' name='ProfitCenter' [(ngModel)]='rowdata.profitCenter'&gt;
					&lt;/div&gt;</v>
      </c>
      <c r="L70" s="56" t="str">
        <f>IF(E70="DateTime",
REPT(CHAR(9),2)&amp;"const dateValue =  this.rowdata."&amp;D70&amp;" ? new Date(this.rowdata."&amp;D70&amp;"?.toString()) : new Date();
"&amp;REPT(CHAR(9),2)&amp;"this.datepicker?.bsValueChange.emit(dateValue);","")</f>
        <v/>
      </c>
      <c r="M70" s="28"/>
      <c r="N70" s="28"/>
      <c r="O70" s="28"/>
      <c r="P70" s="28"/>
      <c r="Q70" s="28"/>
      <c r="R70" s="28"/>
      <c r="S70" s="28" t="str">
        <f t="shared" si="10"/>
        <v xml:space="preserve">	profitCenter : string = '' ; </v>
      </c>
      <c r="T70" s="28" t="str">
        <f t="shared" si="11"/>
        <v xml:space="preserve">			this.profitCenter,</v>
      </c>
      <c r="U70" s="28" t="str">
        <f t="shared" si="12"/>
        <v xml:space="preserve">		this.profitCenter = '',</v>
      </c>
      <c r="V70" s="28" t="str">
        <f t="shared" si="8"/>
        <v/>
      </c>
    </row>
    <row r="71" spans="1:22" ht="15" customHeight="1" x14ac:dyDescent="0.25">
      <c r="A71" t="s">
        <v>415</v>
      </c>
      <c r="B71" s="28" t="str">
        <f t="shared" si="0"/>
        <v>DueDate</v>
      </c>
      <c r="C71" s="28" t="str">
        <f t="shared" si="1"/>
        <v>Due Date</v>
      </c>
      <c r="D71" s="28" t="str">
        <f t="shared" si="2"/>
        <v>dueDate</v>
      </c>
      <c r="E71" s="28" t="str">
        <f>A.Backend!H65</f>
        <v>string</v>
      </c>
      <c r="F71" s="28" t="str">
        <f>A.Backend!G65</f>
        <v>8</v>
      </c>
      <c r="G71" s="28" t="str">
        <f t="shared" si="3"/>
        <v xml:space="preserve"> : string = '' ; </v>
      </c>
      <c r="H71" s="35" t="str">
        <f t="shared" si="4"/>
        <v xml:space="preserve">			{headerName: this.l('Due Date'),headerTooltip: this.l('Due Date'),field: 'dueDate',flex: 1},</v>
      </c>
      <c r="I71" s="35" t="str">
        <f t="shared" si="5"/>
        <v xml:space="preserve">								&lt;div class='input-search'&gt;
									&lt;input [(ngModel)]='dueDate' name='dueDate'
									class='form-control' [placeholder]="l('Due Date')"
									type='text' (keyup.enter)='searchDatas()'&gt;
								&lt;/div&gt;</v>
      </c>
      <c r="J71" s="28"/>
      <c r="K71" s="35" t="str">
        <f t="shared" si="6"/>
        <v xml:space="preserve">					&lt;div class='col-md-12 form-group row'&gt;
						&lt;label class='col-md-2 form-control title'&gt;Due Date&lt;/label&gt;
						&lt;input type='text' class='col-md-10 form-control input-text' name='DueDate' [(ngModel)]='rowdata.dueDate'&gt;
					&lt;/div&gt;</v>
      </c>
      <c r="L71" s="56" t="str">
        <f t="shared" ref="L71:L74" si="25">IF(E71="DateTime",
REPT(CHAR(9),2)&amp;"const dateValue =  this.rowdata."&amp;D71&amp;" ? new Date(this.rowdata."&amp;D71&amp;"?.toString()) : new Date();
"&amp;REPT(CHAR(9),2)&amp;"this.datepicker?.bsValueChange.emit(dateValue);","")</f>
        <v/>
      </c>
      <c r="M71" s="28"/>
      <c r="N71" s="28"/>
      <c r="O71" s="28"/>
      <c r="P71" s="28"/>
      <c r="Q71" s="28"/>
      <c r="R71" s="28"/>
      <c r="S71" s="28" t="str">
        <f t="shared" si="10"/>
        <v xml:space="preserve">	dueDate : string = '' ; </v>
      </c>
      <c r="T71" s="28" t="str">
        <f t="shared" si="11"/>
        <v xml:space="preserve">			this.dueDate,</v>
      </c>
      <c r="U71" s="28" t="str">
        <f t="shared" si="12"/>
        <v xml:space="preserve">		this.dueDate = '',</v>
      </c>
      <c r="V71" s="28" t="str">
        <f t="shared" si="8"/>
        <v/>
      </c>
    </row>
    <row r="72" spans="1:22" ht="18" customHeight="1" x14ac:dyDescent="0.25">
      <c r="A72" t="s">
        <v>355</v>
      </c>
      <c r="B72" s="28" t="str">
        <f t="shared" si="0"/>
        <v>ItemText</v>
      </c>
      <c r="C72" s="28" t="str">
        <f t="shared" si="1"/>
        <v>Item Text</v>
      </c>
      <c r="D72" s="28" t="str">
        <f t="shared" si="2"/>
        <v>itemText</v>
      </c>
      <c r="E72" s="28" t="str">
        <f>A.Backend!H66</f>
        <v>string</v>
      </c>
      <c r="F72" s="28" t="str">
        <f>A.Backend!G66</f>
        <v>50</v>
      </c>
      <c r="G72" s="28" t="str">
        <f t="shared" si="3"/>
        <v xml:space="preserve"> : string = '' ; </v>
      </c>
      <c r="H72" s="35" t="str">
        <f t="shared" si="4"/>
        <v xml:space="preserve">			{headerName: this.l('Item Text'),headerTooltip: this.l('Item Text'),field: 'itemText',flex: 1},</v>
      </c>
      <c r="I72" s="35" t="str">
        <f t="shared" si="5"/>
        <v xml:space="preserve">								&lt;div class='input-search'&gt;
									&lt;input [(ngModel)]='itemText' name='itemText'
									class='form-control' [placeholder]="l('Item Text')"
									type='text' (keyup.enter)='searchDatas()'&gt;
								&lt;/div&gt;</v>
      </c>
      <c r="J72" s="28"/>
      <c r="K72" s="35" t="str">
        <f t="shared" si="6"/>
        <v xml:space="preserve">					&lt;div class='col-md-12 form-group row'&gt;
						&lt;label class='col-md-2 form-control title'&gt;Item Text&lt;/label&gt;
						&lt;input type='text' class='col-md-10 form-control input-text' name='ItemText' [(ngModel)]='rowdata.itemText'&gt;
					&lt;/div&gt;</v>
      </c>
      <c r="L72" s="56" t="str">
        <f t="shared" si="25"/>
        <v/>
      </c>
      <c r="M72" s="28"/>
      <c r="N72" s="28"/>
      <c r="O72" s="28"/>
      <c r="P72" s="28"/>
      <c r="Q72" s="28"/>
      <c r="R72" s="28"/>
      <c r="S72" s="28" t="str">
        <f t="shared" si="10"/>
        <v xml:space="preserve">	itemText : string = '' ; </v>
      </c>
      <c r="T72" s="28" t="str">
        <f t="shared" si="11"/>
        <v xml:space="preserve">			this.itemText,</v>
      </c>
      <c r="U72" s="28" t="str">
        <f t="shared" si="12"/>
        <v xml:space="preserve">		this.itemText = '',</v>
      </c>
      <c r="V72" s="28" t="str">
        <f t="shared" si="8"/>
        <v/>
      </c>
    </row>
    <row r="73" spans="1:22" ht="15" customHeight="1" x14ac:dyDescent="0.25">
      <c r="A73" t="s">
        <v>416</v>
      </c>
      <c r="B73" s="28" t="str">
        <f t="shared" si="0"/>
        <v>PaymentMethod</v>
      </c>
      <c r="C73" s="28" t="str">
        <f t="shared" si="1"/>
        <v>Payment Method</v>
      </c>
      <c r="D73" s="28" t="str">
        <f t="shared" si="2"/>
        <v>paymentMethod</v>
      </c>
      <c r="E73" s="28" t="str">
        <f>A.Backend!H67</f>
        <v>string</v>
      </c>
      <c r="F73" s="28" t="str">
        <f>A.Backend!G67</f>
        <v>1</v>
      </c>
      <c r="G73" s="28" t="str">
        <f t="shared" si="3"/>
        <v xml:space="preserve"> : string = '' ; </v>
      </c>
      <c r="H73" s="35" t="str">
        <f t="shared" si="4"/>
        <v xml:space="preserve">			{headerName: this.l('Payment Method'),headerTooltip: this.l('Payment Method'),field:  'paymentMethod', cellClass: ['text-center'], width: 120, cellRenderer: 'agCellButtonComponent',
buttonDefTwo: { text: params =&gt; (params.data?.'paymentMethod' == 'Y') ? 'Active' : 'Inactive',iconName: 'fa fa-circle',className: params =&gt; (params.data?.'paymentMethod' == 'Y') ? 'btnActive' : 'btnInActive',},}</v>
      </c>
      <c r="I73" s="35" t="str">
        <f t="shared" si="5"/>
        <v xml:space="preserve">								&lt;div class='input-search'&gt;
									&lt;input [(ngModel)]='paymentMethod' name='paymentMethod'
									class='form-control' [placeholder]="l('Payment Method')"
									type='text' (keyup.enter)='searchDatas()'&gt;
								&lt;/div&gt;</v>
      </c>
      <c r="J73" s="28"/>
      <c r="K73" s="35" t="str">
        <f t="shared" si="6"/>
        <v xml:space="preserve">					&lt;div class='col-md-12 form-group row'&gt;
						&lt;label class='col-md-2 form-control title'&gt;Payment Method&lt;/label&gt;
						&lt;new-checkbox [(ngModel)]='_paymentMethod' name='paymentMethod' className='col-md-10' &gt; &lt;/new-checkbox&gt;
					&lt;/div&gt;</v>
      </c>
      <c r="L73" s="56" t="str">
        <f t="shared" si="25"/>
        <v/>
      </c>
      <c r="M73" s="28"/>
      <c r="N73" s="28"/>
      <c r="O73" s="28"/>
      <c r="P73" s="28"/>
      <c r="Q73" s="28"/>
      <c r="R73" s="28"/>
      <c r="S73" s="28" t="str">
        <f t="shared" si="10"/>
        <v xml:space="preserve">	paymentMethod : string = '' ; </v>
      </c>
      <c r="T73" s="28" t="str">
        <f t="shared" si="11"/>
        <v xml:space="preserve">			this.paymentMethod,</v>
      </c>
      <c r="U73" s="28" t="str">
        <f t="shared" si="12"/>
        <v xml:space="preserve">		this.paymentMethod = '',</v>
      </c>
      <c r="V73" s="28" t="str">
        <f t="shared" si="8"/>
        <v>paymentMethod</v>
      </c>
    </row>
    <row r="74" spans="1:22" ht="18" customHeight="1" x14ac:dyDescent="0.25">
      <c r="A74" t="s">
        <v>417</v>
      </c>
      <c r="B74" s="28" t="str">
        <f t="shared" si="0"/>
        <v>EndingOfRecord</v>
      </c>
      <c r="C74" s="28" t="str">
        <f t="shared" si="1"/>
        <v>Ending Of Record</v>
      </c>
      <c r="D74" s="28" t="str">
        <f t="shared" si="2"/>
        <v>endingOfRecord</v>
      </c>
      <c r="E74" s="28" t="str">
        <f>A.Backend!H68</f>
        <v>string</v>
      </c>
      <c r="F74" s="28" t="str">
        <f>A.Backend!G68</f>
        <v>1</v>
      </c>
      <c r="G74" s="28" t="str">
        <f t="shared" si="3"/>
        <v xml:space="preserve"> : string = '' ; </v>
      </c>
      <c r="H74" s="35" t="str">
        <f t="shared" si="4"/>
        <v xml:space="preserve">			{headerName: this.l('Ending Of Record'),headerTooltip: this.l('Ending Of Record'),field:  'endingOfRecord', cellClass: ['text-center'], width: 120, cellRenderer: 'agCellButtonComponent',
buttonDefTwo: { text: params =&gt; (params.data?.'endingOfRecord' == 'Y') ? 'Active' : 'Inactive',iconName: 'fa fa-circle',className: params =&gt; (params.data?.'endingOfRecord' == 'Y') ? 'btnActive' : 'btnInActive',},}</v>
      </c>
      <c r="I74" s="35" t="str">
        <f t="shared" si="5"/>
        <v xml:space="preserve">								&lt;div class='input-search'&gt;
									&lt;input [(ngModel)]='endingOfRecord' name='endingOfRecord'
									class='form-control' [placeholder]="l('Ending Of Record')"
									type='text' (keyup.enter)='searchDatas()'&gt;
								&lt;/div&gt;</v>
      </c>
      <c r="J74" s="28"/>
      <c r="K74" s="35" t="str">
        <f t="shared" si="6"/>
        <v xml:space="preserve">					&lt;div class='col-md-12 form-group row'&gt;
						&lt;label class='col-md-2 form-control title'&gt;Ending Of Record&lt;/label&gt;
						&lt;new-checkbox [(ngModel)]='_endingOfRecord' name='endingOfRecord' className='col-md-10' &gt; &lt;/new-checkbox&gt;
					&lt;/div&gt;</v>
      </c>
      <c r="L74" s="56" t="str">
        <f t="shared" si="25"/>
        <v/>
      </c>
      <c r="M74" s="28"/>
      <c r="N74" s="28"/>
      <c r="O74" s="28"/>
      <c r="P74" s="28"/>
      <c r="Q74" s="28"/>
      <c r="R74" s="28"/>
      <c r="S74" s="28" t="str">
        <f t="shared" si="10"/>
        <v xml:space="preserve">	endingOfRecord : string = '' ; </v>
      </c>
      <c r="T74" s="28" t="str">
        <f t="shared" si="11"/>
        <v xml:space="preserve">			this.endingOfRecord,</v>
      </c>
      <c r="U74" s="28" t="str">
        <f t="shared" si="12"/>
        <v xml:space="preserve">		this.endingOfRecord = '',</v>
      </c>
      <c r="V74" s="28" t="str">
        <f t="shared" si="8"/>
        <v>endingOfRecord</v>
      </c>
    </row>
    <row r="7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2023-07-21T11:06:51Z</dcterms:modified>
</cp:coreProperties>
</file>
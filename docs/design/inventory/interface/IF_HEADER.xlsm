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inventory\interface\"/>
    </mc:Choice>
  </mc:AlternateContent>
  <xr:revisionPtr revIDLastSave="0" documentId="13_ncr:1_{0EDD5BAF-A25D-4348-92EF-C00407BD75BB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5" l="1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H22" i="5" l="1"/>
  <c r="G22" i="5"/>
  <c r="S22" i="5" s="1"/>
  <c r="L22" i="5"/>
  <c r="V22" i="5"/>
  <c r="U22" i="5"/>
  <c r="K22" i="5"/>
  <c r="I22" i="5"/>
  <c r="V20" i="5"/>
  <c r="U20" i="5"/>
  <c r="K20" i="5"/>
  <c r="I20" i="5"/>
  <c r="H20" i="5"/>
  <c r="G20" i="5"/>
  <c r="S20" i="5" s="1"/>
  <c r="L20" i="5"/>
  <c r="G21" i="5"/>
  <c r="S21" i="5" s="1"/>
  <c r="V21" i="5"/>
  <c r="U21" i="5"/>
  <c r="L21" i="5"/>
  <c r="K21" i="5"/>
  <c r="I21" i="5"/>
  <c r="H21" i="5"/>
  <c r="P15" i="1"/>
  <c r="W15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V14" i="1"/>
  <c r="V16" i="1"/>
  <c r="I15" i="1"/>
  <c r="N15" i="1"/>
  <c r="P16" i="1"/>
  <c r="P14" i="1"/>
  <c r="J15" i="1"/>
  <c r="O15" i="1"/>
  <c r="C17" i="5"/>
  <c r="B17" i="5"/>
  <c r="D17" i="5" s="1"/>
  <c r="C16" i="5"/>
  <c r="B16" i="5"/>
  <c r="D16" i="5" s="1"/>
  <c r="T16" i="5" l="1"/>
  <c r="T17" i="5"/>
  <c r="B6" i="1"/>
  <c r="G13" i="1"/>
  <c r="F19" i="5" s="1"/>
  <c r="E13" i="1"/>
  <c r="H13" i="1" s="1"/>
  <c r="E19" i="5" s="1"/>
  <c r="D13" i="1"/>
  <c r="V13" i="1" s="1"/>
  <c r="V19" i="5" l="1"/>
  <c r="U19" i="5"/>
  <c r="K19" i="5"/>
  <c r="I19" i="5"/>
  <c r="H19" i="5"/>
  <c r="G19" i="5"/>
  <c r="S19" i="5" s="1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V18" i="5" l="1"/>
  <c r="U18" i="5"/>
  <c r="K18" i="5"/>
  <c r="I18" i="5"/>
  <c r="H18" i="5"/>
  <c r="G18" i="5"/>
  <c r="S18" i="5" s="1"/>
  <c r="L18" i="5"/>
  <c r="V17" i="5"/>
  <c r="U17" i="5"/>
  <c r="K17" i="5"/>
  <c r="I17" i="5"/>
  <c r="H17" i="5"/>
  <c r="G17" i="5"/>
  <c r="S17" i="5" s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8" i="1"/>
  <c r="K12" i="5" l="1"/>
  <c r="H12" i="5"/>
  <c r="V12" i="5"/>
  <c r="T12" i="5"/>
  <c r="U12" i="5"/>
  <c r="I12" i="5"/>
  <c r="L12" i="5"/>
  <c r="S12" i="5"/>
  <c r="R3" i="1" l="1"/>
  <c r="D1" i="1"/>
  <c r="F6" i="1"/>
  <c r="T18" i="1"/>
  <c r="T13" i="5"/>
  <c r="T7" i="1" l="1"/>
  <c r="W18" i="1"/>
  <c r="G6" i="1" l="1"/>
  <c r="H13" i="5"/>
  <c r="V13" i="5"/>
  <c r="S13" i="5"/>
  <c r="U13" i="5"/>
  <c r="K13" i="5"/>
  <c r="I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4" i="1" l="1"/>
  <c r="L9" i="1"/>
  <c r="L10" i="1"/>
  <c r="C7" i="1"/>
  <c r="O18" i="1"/>
  <c r="I18" i="1"/>
  <c r="N18" i="1"/>
  <c r="J18" i="1"/>
  <c r="P18" i="1"/>
  <c r="Q7" i="1" l="1"/>
  <c r="M68" i="3" s="1"/>
  <c r="L7" i="1"/>
  <c r="G68" i="3" s="1"/>
  <c r="K68" i="3"/>
  <c r="J68" i="3"/>
  <c r="M18" i="1"/>
  <c r="K18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<sst xmlns="http://schemas.openxmlformats.org/spreadsheetml/2006/main" count="463" uniqueCount="371">
  <si>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</si>
  <si>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</si>
  <si>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</si>
  <si>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</si>
  <si>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</si>
  <si>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</si>
  <si>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</si>
  <si>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</si>
  <si>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</si>
  <si>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</si>
  <si>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</si>
  <si>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</si>
  <si>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</si>
  <si>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</si>
  <si>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</si>
  <si>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</si>
  <si>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</si>
  <si>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</si>
  <si>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</si>
  <si>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</si>
  <si>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</si>
  <si>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</si>
  <si>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</si>
  <si>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</si>
  <si>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</si>
  <si>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</si>
  <si>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</si>
  <si>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</si>
  <si>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</si>
  <si>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</si>
  <si>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</si>
  <si>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</si>
  <si>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</si>
  <si>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</si>
  <si>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</si>
  <si>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</si>
  <si>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</si>
  <si>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</si>
  <si>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</si>
  <si>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</si>
  <si>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</si>
  <si>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</si>
  <si>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</si>
  <si>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</si>
  <si>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</si>
  <si>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</si>
  <si>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</si>
  <si>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</si>
  <si>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</si>
  <si>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</si>
  <si>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</si>
  <si>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</si>
  <si>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</si>
  <si>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</si>
  <si>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</si>
  <si>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</si>
  <si>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</si>
  <si>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</si>
  <si>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</si>
  <si>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</si>
  <si>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</si>
  <si>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</si>
  <si>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</si>
  <si>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</si>
  <si>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</si>
  <si>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</si>
  <si>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</si>
  <si>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</si>
  <si>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</si>
  <si>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</si>
  <si>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</si>
  <si>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</si>
  <si>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</si>
  <si>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</si>
  <si>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</si>
  <si>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</si>
  <si>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</si>
  <si>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</si>
  <si>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</si>
  <si>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</si>
  <si>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</si>
  <si>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</si>
  <si>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</si>
  <si>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</si>
  <si>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</si>
  <si>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</si>
  <si>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</si>
  <si>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</si>
  <si>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</si>
  <si>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</si>
  <si>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</si>
  <si>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</si>
  <si>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</si>
  <si>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</si>
  <si>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</si>
  <si>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</si>
  <si>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</si>
  <si>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</si>
  <si>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</si>
  <si>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</si>
  <si>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</si>
  <si>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</si>
  <si>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</si>
  <si>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</si>
  <si>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</si>
  <si>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</si>
  <si>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</si>
  <si>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</si>
  <si>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</si>
  <si>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</si>
  <si>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</si>
  <si>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</si>
  <si>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</si>
  <si>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</si>
  <si>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</si>
  <si>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</si>
  <si>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</si>
  <si>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</si>
  <si>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</si>
  <si>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</si>
  <si>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</si>
  <si>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</si>
  <si>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</si>
  <si>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</si>
  <si>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</si>
  <si>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</si>
  <si>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</si>
  <si>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</si>
  <si>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</si>
  <si>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</si>
  <si>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</si>
  <si>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</si>
  <si>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</si>
  <si>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</si>
  <si>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</si>
  <si>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</si>
  <si>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</si>
  <si>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</si>
  <si>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</si>
  <si>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</si>
  <si>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</si>
  <si>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</si>
  <si>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</si>
  <si>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</si>
  <si>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</si>
  <si>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</si>
  <si>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</si>
  <si>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</si>
  <si>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</si>
  <si>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</si>
  <si>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</si>
  <si>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</si>
  <si>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</si>
  <si>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</si>
  <si>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</si>
  <si>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</si>
  <si>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</si>
  <si>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</si>
  <si>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</si>
  <si>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</si>
  <si>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</si>
  <si>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</si>
  <si>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</si>
  <si>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</si>
  <si>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</si>
  <si>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</si>
  <si>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</si>
  <si>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</si>
  <si>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</si>
  <si>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</si>
  <si>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</si>
  <si>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</si>
  <si>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</si>
  <si>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</si>
  <si>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</si>
  <si>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</si>
  <si>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</si>
  <si>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</si>
  <si>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</si>
  <si>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</si>
  <si>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</si>
  <si>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</si>
  <si>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</si>
  <si>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</si>
  <si>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</si>
  <si>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</si>
  <si>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</si>
  <si>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</si>
  <si>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</si>
  <si>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</si>
  <si>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</si>
  <si>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</si>
  <si>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</si>
  <si>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</si>
  <si>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</si>
  <si>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</si>
  <si>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</si>
  <si>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</si>
  <si>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</si>
  <si>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</si>
  <si>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</si>
  <si>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</si>
  <si>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</si>
  <si>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</si>
  <si>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</si>
  <si>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</si>
  <si>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</si>
  <si>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</si>
  <si>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</si>
  <si>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</si>
  <si>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</si>
  <si>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</si>
  <si>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</si>
  <si>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</si>
  <si>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</si>
  <si>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</si>
  <si>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</si>
  <si>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</si>
  <si>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</si>
  <si>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</si>
  <si>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</si>
  <si>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</si>
  <si>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</si>
  <si>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</si>
  <si>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</si>
  <si>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</si>
  <si>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</si>
  <si>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</si>
  <si>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</si>
  <si>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</si>
  <si>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</si>
  <si>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</si>
  <si>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</si>
  <si>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</si>
  <si>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</si>
  <si>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</si>
  <si>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</si>
  <si>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</si>
  <si>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</si>
  <si>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</si>
  <si>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</si>
  <si>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</si>
  <si>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</si>
  <si>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</si>
  <si>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</si>
  <si>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</si>
  <si>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</si>
  <si>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</si>
  <si>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</si>
  <si>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</si>
  <si>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</si>
  <si>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</si>
  <si>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</si>
  <si>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</si>
  <si>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</si>
  <si>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</si>
  <si>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</si>
  <si>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</si>
  <si>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</si>
  <si>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</si>
  <si>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</si>
  <si>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</si>
  <si>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</si>
  <si>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</si>
  <si>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</si>
  <si>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</si>
  <si>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</si>
  <si>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</si>
  <si>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</si>
  <si>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</si>
  <si>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</si>
  <si>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</si>
  <si>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</si>
  <si>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</si>
  <si>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</si>
  <si>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</si>
  <si>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</si>
  <si>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</si>
  <si>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</si>
  <si>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</si>
  <si>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</si>
  <si>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</si>
  <si>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</si>
  <si>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</si>
  <si>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</si>
  <si>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</si>
  <si>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</si>
  <si>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</si>
  <si>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</si>
  <si>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</si>
  <si>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</si>
  <si>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</si>
  <si>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</si>
  <si>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</si>
  <si>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</si>
  <si>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</si>
  <si>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</si>
  <si>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</si>
  <si>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</si>
  <si>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</si>
  <si>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</si>
  <si>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</si>
  <si>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</si>
  <si>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</si>
  <si>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</si>
  <si>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</si>
  <si>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</si>
  <si>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</si>
  <si>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</si>
  <si>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</si>
  <si>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</si>
  <si>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</si>
  <si>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</si>
  <si>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</si>
  <si>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</si>
  <si>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</si>
  <si>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</si>
  <si>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</si>
  <si>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</si>
  <si>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</si>
  <si>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</si>
  <si>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</si>
  <si>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</si>
  <si>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</si>
  <si>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</si>
  <si>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</si>
  <si>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</si>
  <si>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</si>
  <si>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</si>
  <si>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</si>
  <si>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</si>
  <si>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</si>
  <si>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</si>
  <si>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</si>
  <si>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</si>
  <si>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</si>
  <si>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</si>
  <si>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</si>
  <si>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</si>
  <si>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</si>
  <si>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</si>
  <si>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</si>
  <si>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</si>
  <si>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</si>
  <si>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</si>
  <si>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</si>
  <si>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</si>
  <si>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</si>
  <si>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</si>
  <si>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</si>
  <si>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</si>
  <si>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</si>
  <si>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</si>
  <si>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</si>
  <si>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VARCHAR(30)</t>
  </si>
  <si>
    <t>VARCHAR(1)</t>
  </si>
  <si>
    <t>Begin_Of_Record</t>
  </si>
  <si>
    <t>VARCHAR(5)</t>
  </si>
  <si>
    <t>Record_Id</t>
  </si>
  <si>
    <t>From_System</t>
  </si>
  <si>
    <t>To_System</t>
  </si>
  <si>
    <t>Inventory.IF</t>
  </si>
  <si>
    <t>IF</t>
  </si>
  <si>
    <t>File_Name</t>
  </si>
  <si>
    <t>Interface_Name</t>
  </si>
  <si>
    <t>Record_Length</t>
  </si>
  <si>
    <t>End_Of_Record</t>
  </si>
  <si>
    <t>VARCHAR(26)</t>
  </si>
  <si>
    <t>VARCHAR(8)</t>
  </si>
  <si>
    <t>IF_HEADER</t>
  </si>
  <si>
    <t>If 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</si>
</sst>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opLeftCell="A61" zoomScaleNormal="100" workbookViewId="0">
      <selection activeCell="C68" sqref="C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e">
        <f ca="1">A.Backend!J7</f>
        <v>#NAME?</v>
      </c>
      <c r="D68" s="48" t="str">
        <f>A.Backend!O7</f>
        <v xml:space="preserve">		public const string Pages_Inventory_IF_IF_HEADER = "Pages.Inventory.IF.IF_HEADER";
		public const string Pages_Inventory_IF_IF_HEADER_CreateEdit = "Pages.Inventory.IF.IF_HEADER.CreateEdit";
		public const string Pages_Inventory_IF_IF_HEADER_Delete = "Pages.Inventory.IF.IF_HEADER.Delete";
</v>
      </c>
      <c r="E68" s="48" t="str">
        <f>A.Backend!N7</f>
        <v xml:space="preserve">		var perIF_HEADER = PARENTS.CreateChildPermission(AppPermissions.Pages_Inventory_IF_IF_HEADER, L( "InventoryIFIF_HEADER"), multiTenancySides: MultiTenancySides.Tenant);
		perIF_HEADER.CreateChildPermission(AppPermissions.Pages_Inventory_IF_IF_HEADER_CreateEdit, L( "InventoryIFIF_HEADERCreateEdit"), multiTenancySides: MultiTenancySides.Tenant);
		perIF_HEADER.CreateChildPermission(AppPermissions.Pages_Inventory_IF_IF_HEADER_Delete, L( "InventoryIFIF_HEADERDelete"), multiTenancySides: MultiTenancySides.Tenant);</v>
      </c>
      <c r="F68" s="48" t="str">
        <f>A.Backend!K7</f>
        <v>public virtual DbSet&lt;IF_HEADER&gt; IF_HEADERs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vovina.Inventory.IF.Dto;
namespace prod.Inventory.IF
{
	public interface IIF_HEADERAppService : IApplicationService
	{
		Task&lt;PagedResultDto&lt;IF_HEADERDto&gt;&gt; GetAll(GetIF_HEADERInput input);
		Task CreateOrEdit(CreateOrEditIF_HEADERDto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vovina.Inventory.IF.Dto;
namespace prod.Inventory.IF.Exporting
{
	public interface IIF_HEADERExcelExporter : IApplicationService
	{
		FileDto ExportToFile(List&lt;IF_HEADERDto&gt; if_header);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configuration.CreateMap&lt;IF_HEADERDto, IF_HEADER&gt;();
  configuration.CreateMap&lt;IF_HEADER, IF_HEADERDto&gt;();
  configuration.CreateMap&lt;CreateOrEditIF_HEADERDto, IF_HEADER&gt;();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if_header</v>
      </c>
      <c r="C73" s="66" t="str">
        <f>"create folder " &amp;B73</f>
        <v>create folder if_header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if_header.component.ts</v>
      </c>
      <c r="D74" s="28" t="str">
        <f>B.Frontend!I14</f>
        <v>if_header.component.html</v>
      </c>
      <c r="E74" s="28" t="str">
        <f>B.Frontend!J14</f>
        <v>if_header.component.less</v>
      </c>
      <c r="F74" s="28" t="str">
        <f>B.Frontend!K14</f>
        <v>create-or-edit-if_header-modal.component.html</v>
      </c>
      <c r="G74" s="28" t="str">
        <f>B.Frontend!L14</f>
        <v>create-or-edit-if_header-modal.component.ts</v>
      </c>
      <c r="H74" s="28" t="str">
        <f>B.Frontend!M14</f>
        <v>create-or-edit-if_header-modal.component.less</v>
      </c>
      <c r="I74" s="28" t="str">
        <f>B.Frontend!N14</f>
        <v>if_header.module.ts</v>
      </c>
      <c r="J74" s="28" t="str">
        <f>B.Frontend!O14</f>
        <v>if_header-routing.module.ts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IF_HEADERRoutingModule } from './if_header-routing.module';
import { IF_HEADERComponent } from './if_header.component';
import { CreateOrEditIF_HEADERModalComponent } from './create-or-edit-if_header-modal.component';
@NgModule({
    declarations: [
       IF_HEADERComponent, 
        CreateOrEditIF_HEADERModalComponent
    ],
    imports: [
        AppSharedModule, IF_HEADERRoutingModule]
})
export class IF_HEADERModule {}</v>
      </c>
      <c r="J75" s="46" t="str">
        <f>B.Frontend!O10</f>
        <v>import {NgModule} from '@angular/core';
import {RouterModule, Routes} from '@angular/router';
import { IF_HEADERComponent } from './if_header.component';
const routes: Routes = [{
    path: '',
    component: IF_HEADERComponent,
    pathMatch: 'full'
}];
@NgModule({
    imports: [RouterModule.forChild(routes)],
    exports: [RouterModule],
})
export class IF_HEADERRoutingModule {}</v>
      </c>
      <c r="K75" s="46" t="str">
        <f>B.Frontend!P10</f>
        <v xml:space="preserve"> new AppMenuItem("IF_HEADER", "Pages.IF.IF.IF_HEADER", "flaticon-book",   "/app/main/if/if/if_header"),</v>
      </c>
      <c r="L75" s="47" t="str">
        <f>B.Frontend!Q10</f>
        <v>{
    path: 'if/if/if_header',
    loadChildren: () =&gt; import('./if/if/if_header/if_header.module').then(m =&gt; m.IF_HEADERModule),
    data: { permission: 'Pages.IF.IF.IF_HEADER' }
},</v>
      </c>
      <c r="M75" s="45" t="str">
        <f>B.Frontend!R10</f>
        <v>ApiServiceProxies.IF_HEADERServiceProxy,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8"/>
  <sheetViews>
    <sheetView workbookViewId="0">
      <pane xSplit="1" topLeftCell="B1" activePane="topRight" state="frozen"/>
      <selection pane="topRight" activeCell="B5" sqref="B5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vovina.Inventory.IF.Dto;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361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369</v>
      </c>
      <c r="C3" s="9" t="s">
        <v>41</v>
      </c>
      <c r="D3" s="9" t="s">
        <v>42</v>
      </c>
      <c r="E3" s="9" t="s">
        <v>37</v>
      </c>
      <c r="F3" s="10" t="str">
        <f>"J"&amp;COUNTA($A:$A)</f>
        <v>J16</v>
      </c>
      <c r="G3" s="4" t="s">
        <v>54</v>
      </c>
      <c r="H3" s="9" t="str">
        <f>"I"&amp;COUNTA($A:$A)</f>
        <v>I16</v>
      </c>
      <c r="I3" s="9" t="str">
        <f>REPT(CHAR(9),2)&amp;"[Required]"&amp;"
"</f>
        <v xml:space="preserve">		[Required]
</v>
      </c>
      <c r="J3" s="10" t="str">
        <f>"L"&amp;COUNTA($A:$A)</f>
        <v>L16</v>
      </c>
      <c r="K3" s="5" t="s">
        <v>53</v>
      </c>
      <c r="L3" s="10" t="str">
        <f>"M"&amp;COUNTA($A:$A)</f>
        <v>M16</v>
      </c>
      <c r="M3" s="10" t="str">
        <f>"N"&amp;COUNTA($A:$A)</f>
        <v>N16</v>
      </c>
      <c r="N3" s="10" t="str">
        <f>"O"&amp;COUNTA($A:$A)</f>
        <v>O16</v>
      </c>
      <c r="O3" s="10" t="str">
        <f>"P"&amp;COUNTA($A:$A)</f>
        <v>P16</v>
      </c>
      <c r="Q3" s="10" t="str">
        <f>RIGHT(B2,(LEN(B2)-FIND(".",B2,1)))</f>
        <v>IF</v>
      </c>
      <c r="R3" s="29" t="str">
        <f>REPT(CHAR(9),1)&amp;"public class "&amp;B3&amp;"ExportInput"&amp;C3</f>
        <v xml:space="preserve">	public class IF_HEADERExportInput{
</v>
      </c>
      <c r="S3" s="10" t="str">
        <f>"namespace "&amp;$B$6&amp;".Exporting
"&amp;$C$3</f>
        <v xml:space="preserve">namespace prod.Inventory.IF.Exporting
{
</v>
      </c>
      <c r="T3" s="10" t="str">
        <f>"T"&amp;COUNTA($A:$A)</f>
        <v>T16</v>
      </c>
      <c r="V3" s="10" t="str">
        <f>"V"&amp;COUNTA($A:$A)</f>
        <v>V16</v>
      </c>
      <c r="W3" s="9" t="str">
        <f>"W"&amp;COUNTA($A:$A)</f>
        <v>W16</v>
      </c>
    </row>
    <row r="4" spans="1:23" s="10" customFormat="1" ht="33" customHeight="1" x14ac:dyDescent="0.25">
      <c r="A4" s="1" t="s">
        <v>233</v>
      </c>
      <c r="B4" s="65" t="s">
        <v>362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369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prod.Inventory.IF</v>
      </c>
      <c r="C6" s="10" t="str">
        <f>"namespace "&amp;$B$6&amp;"
"&amp;$C$3</f>
        <v xml:space="preserve">namespace prod.Inventory.IF
{
</v>
      </c>
      <c r="D6" s="10" t="str">
        <f>REPT(CHAR(9),1)&amp;"public class "&amp;B3&amp;G3&amp;REPT(CHAR(9),1)&amp;"
"&amp;REPT(CHAR(9),1)&amp;C3</f>
        <v xml:space="preserve">	public class IF_HEADER: FullAuditedEntity&lt;long&gt;, IEntity&lt;long&gt;	
	{
</v>
      </c>
      <c r="E6" s="10" t="str">
        <f>REPT(CHAR(9),1)&amp;"public class "&amp;B3&amp;"Consts"&amp;REPT(CHAR(9),1)&amp;"
"&amp;REPT(CHAR(9),1)&amp;C3</f>
        <v xml:space="preserve">	public class IF_HEADERConsts	
	{
</v>
      </c>
      <c r="F6" s="10" t="str">
        <f>REPT(CHAR(9),1)&amp;"public class "&amp;B3&amp;"Dto"&amp;K3&amp;REPT(CHAR(9),1)&amp;"
"&amp;REPT(CHAR(9),1)&amp;C3</f>
        <v xml:space="preserve">	public class IF_HEADERDto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CreateOrEditIF_HEADERDto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GetIF_HEADERInput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IF_HEADER</v>
      </c>
      <c r="C7" s="10" t="str">
        <f>REPT(CHAR(9),1)&amp;"[Table("""&amp;B7&amp;""")]"&amp;"
"</f>
        <v xml:space="preserve">	[Table("IF_HEADER")]
</v>
      </c>
      <c r="D7" s="10"/>
      <c r="E7" s="10"/>
      <c r="F7" s="10"/>
      <c r="G7" s="10"/>
      <c r="H7" s="10"/>
      <c r="I7" s="10"/>
      <c r="J7" t="e">
        <f ca="1">SUBSTITUTE(SUBSTITUTE((B1&amp;C6&amp;C7&amp;K18&amp;D6&amp;I18&amp;E3&amp;J18&amp;""&amp;REPT(CHAR(9),1)&amp;D3&amp;D3),"WorkingPattern",$Q$3),"Master",$B$4)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DbSet&lt;IF_HEADER&gt; IF_HEADERs { get; set; }</v>
      </c>
      <c r="L7" t="e">
        <f ca="1">SUBSTITUTE(SUBSTITUTE((C6&amp;E6&amp;I18&amp;"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"&amp;B6&amp;".Dto"&amp;E3&amp;C3&amp;F6&amp;M18&amp;E3&amp;REPT(CHAR(9),1)&amp;D3&amp;G6&amp;N18&amp;REPT(CHAR(9),1)&amp;D3&amp;H6&amp;O18&amp;"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perIF_HEADER = PARENTS.CreateChildPermission(AppPermissions.Pages_Inventory_IF_IF_HEADER, L( "InventoryIFIF_HEADER"), multiTenancySides: MultiTenancySides.Tenant);
		perIF_HEADER.CreateChildPermission(AppPermissions.Pages_Inventory_IF_IF_HEADER_CreateEdit, L( "InventoryIFIF_HEADERCreateEdit"), multiTenancySides: MultiTenancySides.Tenant);
		perIF_HEADER.CreateChildPermission(AppPermissions.Pages_Inventory_IF_IF_HEADER_Delete, L( "InventoryIFIF_HEADERDelete"),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Pages_Inventory_IF_IF_HEADER = "Pages.Inventory.IF.IF_HEADER";
		public const string Pages_Inventory_IF_IF_HEADER_CreateEdit = "Pages.Inventory.IF.IF_HEADER.CreateEdit";
		public const string Pages_Inventory_IF_IF_HEADER_Delete = "Pages.Inventory.IF.IF_HEADER.Delete";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
{
	public interface IIF_HEADERAppService : IApplicationService
	{
		Task&lt;PagedResultDto&lt;IF_HEADERDto&gt;&gt; GetAll(GetIF_HEADERInput input);
		Task CreateOrEdit(CreateOrEditIF_HEADERDto input);
		Task Delete(EntityDto input);
	}
}
</v>
      </c>
      <c r="Q7" t="e">
        <f ca="1">SUBSTITUTE(SUBSTITUTE(SUBSTITUTE(SUBSTITUTE(SUBSTITUTE(SUBSTITUTE(E1,"MstWptCalendar",$B$3),"&lt;PROPERTIES&gt;",P18),"Calendar",$B$5),"WorkingPattern",$Q$3),"Master",$B$4),"&lt;PARAMS_SEARCH&gt;",$W$18)</f>
        <v>#NAME?</v>
      </c>
      <c r="R7" t="e">
        <f ca="1">SUBSTITUTE(SUBSTITUTE((C1&amp;"namespace "&amp;B6&amp;".Dto"&amp;E3&amp;C3&amp;R3&amp;M18&amp;E3&amp;REPT(CHAR(9),1)&amp;D3&amp;D3),"WorkingPattern",$Q$3),"Master",$B$4)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prod.Inventory.IF.Exporting
{
	public interface IIF_HEADERExcelExporter : IApplicationService
	{
		FileDto ExportToFile(List&lt;IF_HEADERDto&gt; if_header);
	}
}
</v>
      </c>
      <c r="T7" s="26" t="e">
        <f ca="1">SUBSTITUTE(SUBSTITUTE(SUBSTITUTE(SUBSTITUTE(SUBSTITUTE(SUBSTITUTE(SUBSTITUTE(T1,"MstWptCalendar",$B$3),"&lt;PROPERTIES1&gt;",V18),"&lt;PROPERTIES&gt;",T18),"Calendar",$B$5),"calendar",LOWER(B5)),"WorkingPattern",$Q$3),"Master",$B$4)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configuration.CreateMap&lt;IF_HEADERDto, IF_HEADER&gt;();
  configuration.CreateMap&lt;IF_HEADER, IF_HEADERDto&gt;();
  configuration.CreateMap&lt;CreateOrEditIF_HEADERDto, IF_HEADER&gt;();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356</v>
      </c>
      <c r="B9" t="s">
        <v>357</v>
      </c>
      <c r="C9" t="s">
        <v>1</v>
      </c>
      <c r="D9" t="str">
        <f t="shared" ref="D9" si="0">SUBSTITUTE(PROPER(A9),"_","")</f>
        <v>BeginOfRecord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5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MaxBeginOfRecordLength = 5;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[StringLength(MaxBeginOfRecordLength)]
		public virtual string BeginOfRecord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BeginOfRecord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[StringLength(IF_HEADERConsts.MaxBeginOfRecordLength)]
		public virtual string BeginOfRecord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BeginOfRecord { get; set; }
</v>
      </c>
      <c r="P9" t="str">
        <f t="shared" ref="P9" si="9">REPT(CHAR(9),7)&amp;D9&amp;" = o." &amp;D9 &amp;","</f>
        <v xml:space="preserve">							BeginOfRecord = o.BeginOfRecord,</v>
      </c>
      <c r="T9" s="63" t="str">
        <f t="shared" ref="T9" si="10">REPT(CHAR(9),8)&amp;"("""&amp;D9&amp;"""),"</f>
        <v xml:space="preserve">								("BeginOfRecord"),</v>
      </c>
      <c r="V9" s="64" t="str">
        <f t="shared" ref="V9" si="11">REPT(CHAR(9),8)&amp;"_ =&gt; _."&amp;D9&amp;","</f>
        <v xml:space="preserve">								_ =&gt; _.BeginOfRecord,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.WhereIf(!string.IsNullOrWhiteSpace(input.BeginOfRecord), e =&gt; e.BeginOfRecord.Contains(input.BeginOfRecord))</v>
      </c>
    </row>
    <row r="10" spans="1:23" customFormat="1" ht="18.75" customHeight="1" x14ac:dyDescent="0.25">
      <c r="A10" t="s">
        <v>358</v>
      </c>
      <c r="B10" t="s">
        <v>355</v>
      </c>
      <c r="C10" t="s">
        <v>1</v>
      </c>
      <c r="D10" t="str">
        <f t="shared" ref="D10:D11" si="13">SUBSTITUTE(PROPER(A10),"_","")</f>
        <v>RecordId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MaxRecordIdLength = 1;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[StringLength(MaxRecordIdLength)]
		public virtual string RecordId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RecordId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[StringLength(IF_HEADERConsts.MaxRecordIdLength)]
		public virtual string RecordId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RecordId { get; set; }
</v>
      </c>
      <c r="P10" t="str">
        <f t="shared" ref="P10:P11" si="22">REPT(CHAR(9),7)&amp;D10&amp;" = o." &amp;D10 &amp;","</f>
        <v xml:space="preserve">							RecordId = o.RecordId,</v>
      </c>
      <c r="T10" s="63" t="str">
        <f t="shared" ref="T10:T11" si="23">REPT(CHAR(9),8)&amp;"("""&amp;D10&amp;"""),"</f>
        <v xml:space="preserve">								("RecordId"),</v>
      </c>
      <c r="V10" s="64" t="str">
        <f t="shared" ref="V10:V11" si="24">REPT(CHAR(9),8)&amp;"_ =&gt; _."&amp;D10&amp;","</f>
        <v xml:space="preserve">								_ =&gt; _.RecordId,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.WhereIf(!string.IsNullOrWhiteSpace(input.RecordId), e =&gt; e.RecordId.Contains(input.RecordId))</v>
      </c>
    </row>
    <row r="11" spans="1:23" customFormat="1" ht="18.75" customHeight="1" x14ac:dyDescent="0.25">
      <c r="A11" t="s">
        <v>359</v>
      </c>
      <c r="B11" t="s">
        <v>357</v>
      </c>
      <c r="C11" t="s">
        <v>1</v>
      </c>
      <c r="D11" t="str">
        <f t="shared" si="13"/>
        <v>FromSystem</v>
      </c>
      <c r="E11" t="str">
        <f t="shared" si="14"/>
        <v>VARCHAR</v>
      </c>
      <c r="F11" s="6"/>
      <c r="G11" t="str">
        <f t="shared" si="15"/>
        <v>5</v>
      </c>
      <c r="H11" t="str">
        <f>+VLOOKUP(E11,'Data Type Mapping'!A:B,2,)</f>
        <v>string</v>
      </c>
      <c r="I11" t="str">
        <f t="shared" si="16"/>
        <v xml:space="preserve">		public const int MaxFromSystemLength = 5;
</v>
      </c>
      <c r="J11" t="str">
        <f t="shared" si="17"/>
        <v xml:space="preserve">		[StringLength(MaxFromSystemLength)]
		public virtual string FromSystem { get; set; }
</v>
      </c>
      <c r="K11" s="6"/>
      <c r="L11" t="str">
        <f t="shared" si="18"/>
        <v/>
      </c>
      <c r="M11" t="str">
        <f t="shared" si="19"/>
        <v xml:space="preserve">		public virtual string FromSystem { get; set; }
</v>
      </c>
      <c r="N11" t="str">
        <f t="shared" si="20"/>
        <v xml:space="preserve">		[StringLength(IF_HEADERConsts.MaxFromSystemLength)]
		public virtual string FromSystem { get; set; }
</v>
      </c>
      <c r="O11" t="str">
        <f t="shared" si="21"/>
        <v xml:space="preserve">		public virtual string FromSystem { get; set; }
</v>
      </c>
      <c r="P11" t="str">
        <f t="shared" si="22"/>
        <v xml:space="preserve">							FromSystem = o.FromSystem,</v>
      </c>
      <c r="T11" s="63" t="str">
        <f t="shared" si="23"/>
        <v xml:space="preserve">								("FromSystem"),</v>
      </c>
      <c r="V11" s="64" t="str">
        <f t="shared" si="24"/>
        <v xml:space="preserve">								_ =&gt; _.FromSystem,</v>
      </c>
      <c r="W11" s="63" t="str">
        <f t="shared" si="25"/>
        <v xml:space="preserve">				.WhereIf(!string.IsNullOrWhiteSpace(input.FromSystem), e =&gt; e.FromSystem.Contains(input.FromSystem))</v>
      </c>
    </row>
    <row r="12" spans="1:23" customFormat="1" ht="18.75" customHeight="1" x14ac:dyDescent="0.25">
      <c r="A12" t="s">
        <v>360</v>
      </c>
      <c r="B12" t="s">
        <v>354</v>
      </c>
      <c r="C12" t="s">
        <v>1</v>
      </c>
      <c r="D12" t="str">
        <f t="shared" ref="D12:D15" si="26">SUBSTITUTE(PROPER(A12),"_","")</f>
        <v>ToSystem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30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MaxToSystemLength = 30;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[StringLength(MaxToSystemLength)]
		public virtual string ToSystem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ToSystem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[StringLength(IF_HEADERConsts.MaxToSystemLength)]
		public virtual string ToSystem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ToSystem { get; set; }
</v>
      </c>
      <c r="P12" t="str">
        <f t="shared" ref="P12:P15" si="35">REPT(CHAR(9),7)&amp;D12&amp;" = o." &amp;D12 &amp;","</f>
        <v xml:space="preserve">							ToSystem = o.ToSystem,</v>
      </c>
      <c r="T12" s="63" t="str">
        <f t="shared" ref="T12:T15" si="36">REPT(CHAR(9),8)&amp;"("""&amp;D12&amp;"""),"</f>
        <v xml:space="preserve">								("ToSystem"),</v>
      </c>
      <c r="V12" s="64" t="str">
        <f t="shared" ref="V12:V15" si="37">REPT(CHAR(9),8)&amp;"_ =&gt; _."&amp;D12&amp;","</f>
        <v xml:space="preserve">								_ =&gt; _.ToSystem,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.WhereIf(!string.IsNullOrWhiteSpace(input.ToSystem), e =&gt; e.ToSystem.Contains(input.ToSystem))</v>
      </c>
    </row>
    <row r="13" spans="1:23" customFormat="1" ht="18.75" customHeight="1" x14ac:dyDescent="0.25">
      <c r="A13" t="s">
        <v>363</v>
      </c>
      <c r="B13" t="s">
        <v>367</v>
      </c>
      <c r="C13" t="s">
        <v>1</v>
      </c>
      <c r="D13" t="str">
        <f t="shared" si="26"/>
        <v>FileName</v>
      </c>
      <c r="E13" t="str">
        <f t="shared" si="27"/>
        <v>VARCHAR</v>
      </c>
      <c r="F13" s="6"/>
      <c r="G13" t="str">
        <f t="shared" si="28"/>
        <v>26</v>
      </c>
      <c r="H13" t="str">
        <f>+VLOOKUP(E13,'Data Type Mapping'!A:B,2,)</f>
        <v>string</v>
      </c>
      <c r="I13" t="str">
        <f t="shared" si="29"/>
        <v xml:space="preserve">		public const int MaxFileNameLength = 26;
</v>
      </c>
      <c r="J13" t="str">
        <f t="shared" si="30"/>
        <v xml:space="preserve">		[StringLength(MaxFileNameLength)]
		public virtual string FileName { get; set; }
</v>
      </c>
      <c r="K13" s="6"/>
      <c r="L13" t="str">
        <f t="shared" si="31"/>
        <v/>
      </c>
      <c r="M13" t="str">
        <f t="shared" si="32"/>
        <v xml:space="preserve">		public virtual string FileName { get; set; }
</v>
      </c>
      <c r="N13" t="str">
        <f t="shared" si="33"/>
        <v xml:space="preserve">		[StringLength(IF_HEADERConsts.MaxFileNameLength)]
		public virtual string FileName { get; set; }
</v>
      </c>
      <c r="O13" t="str">
        <f t="shared" si="34"/>
        <v xml:space="preserve">		public virtual string FileName { get; set; }
</v>
      </c>
      <c r="P13" t="str">
        <f t="shared" si="35"/>
        <v xml:space="preserve">							FileName = o.FileName,</v>
      </c>
      <c r="T13" s="63" t="str">
        <f t="shared" si="36"/>
        <v xml:space="preserve">								("FileName"),</v>
      </c>
      <c r="V13" s="64" t="str">
        <f t="shared" si="37"/>
        <v xml:space="preserve">								_ =&gt; _.FileName,</v>
      </c>
      <c r="W13" s="63" t="str">
        <f t="shared" si="38"/>
        <v xml:space="preserve">				.WhereIf(!string.IsNullOrWhiteSpace(input.FileName), e =&gt; e.FileName.Contains(input.FileName))</v>
      </c>
    </row>
    <row r="14" spans="1:23" customFormat="1" ht="18.75" customHeight="1" x14ac:dyDescent="0.25">
      <c r="A14" t="s">
        <v>364</v>
      </c>
      <c r="B14" t="s">
        <v>368</v>
      </c>
      <c r="C14" t="s">
        <v>1</v>
      </c>
      <c r="D14" t="str">
        <f t="shared" si="26"/>
        <v>InterfaceName</v>
      </c>
      <c r="E14" t="str">
        <f t="shared" si="27"/>
        <v>VARCHAR</v>
      </c>
      <c r="F14" s="6"/>
      <c r="G14" t="str">
        <f t="shared" si="28"/>
        <v>8</v>
      </c>
      <c r="H14" t="str">
        <f>+VLOOKUP(E14,'Data Type Mapping'!A:B,2,)</f>
        <v>string</v>
      </c>
      <c r="I14" t="str">
        <f t="shared" si="29"/>
        <v xml:space="preserve">		public const int MaxInterfaceNameLength = 8;
</v>
      </c>
      <c r="J14" t="str">
        <f t="shared" si="30"/>
        <v xml:space="preserve">		[StringLength(MaxInterfaceNameLength)]
		public virtual string InterfaceName { get; set; }
</v>
      </c>
      <c r="K14" s="6"/>
      <c r="L14" t="str">
        <f t="shared" si="31"/>
        <v/>
      </c>
      <c r="M14" t="str">
        <f t="shared" si="32"/>
        <v xml:space="preserve">		public virtual string InterfaceName { get; set; }
</v>
      </c>
      <c r="N14" t="str">
        <f t="shared" si="33"/>
        <v xml:space="preserve">		[StringLength(IF_HEADERConsts.MaxInterfaceNameLength)]
		public virtual string InterfaceName { get; set; }
</v>
      </c>
      <c r="O14" t="str">
        <f t="shared" si="34"/>
        <v xml:space="preserve">		public virtual string InterfaceName { get; set; }
</v>
      </c>
      <c r="P14" t="str">
        <f t="shared" si="35"/>
        <v xml:space="preserve">							InterfaceName = o.InterfaceName,</v>
      </c>
      <c r="T14" s="63" t="str">
        <f t="shared" si="36"/>
        <v xml:space="preserve">								("InterfaceName"),</v>
      </c>
      <c r="V14" s="64" t="str">
        <f t="shared" si="37"/>
        <v xml:space="preserve">								_ =&gt; _.InterfaceName,</v>
      </c>
      <c r="W14" s="63" t="str">
        <f t="shared" si="38"/>
        <v xml:space="preserve">				.WhereIf(!string.IsNullOrWhiteSpace(input.InterfaceName), e =&gt; e.InterfaceName.Contains(input.InterfaceName))</v>
      </c>
    </row>
    <row r="15" spans="1:23" customFormat="1" ht="18.75" customHeight="1" x14ac:dyDescent="0.25">
      <c r="A15" t="s">
        <v>365</v>
      </c>
      <c r="B15" t="s">
        <v>4</v>
      </c>
      <c r="C15" t="s">
        <v>1</v>
      </c>
      <c r="D15" t="str">
        <f t="shared" si="26"/>
        <v>RecordLength</v>
      </c>
      <c r="E15" t="str">
        <f t="shared" si="27"/>
        <v>int</v>
      </c>
      <c r="F15" s="6"/>
      <c r="G15" t="str">
        <f t="shared" si="28"/>
        <v/>
      </c>
      <c r="H15" t="str">
        <f>+VLOOKUP(E15,'Data Type Mapping'!A:B,2,)</f>
        <v>int?</v>
      </c>
      <c r="I15" t="str">
        <f t="shared" si="29"/>
        <v/>
      </c>
      <c r="J15" t="str">
        <f t="shared" si="30"/>
        <v xml:space="preserve">		public virtual int? RecordLength { get; set; }
</v>
      </c>
      <c r="K15" s="6"/>
      <c r="L15" t="str">
        <f t="shared" si="31"/>
        <v/>
      </c>
      <c r="M15" t="str">
        <f t="shared" si="32"/>
        <v xml:space="preserve">		public virtual int? RecordLength { get; set; }
</v>
      </c>
      <c r="N15" t="str">
        <f t="shared" si="33"/>
        <v xml:space="preserve">		public virtual int? RecordLength { get; set; }
</v>
      </c>
      <c r="O15" t="str">
        <f t="shared" si="34"/>
        <v/>
      </c>
      <c r="P15" t="str">
        <f t="shared" si="35"/>
        <v xml:space="preserve">							RecordLength = o.RecordLength,</v>
      </c>
      <c r="T15" s="63" t="str">
        <f t="shared" si="36"/>
        <v xml:space="preserve">								("RecordLength"),</v>
      </c>
      <c r="V15" s="64" t="str">
        <f t="shared" si="37"/>
        <v xml:space="preserve">								_ =&gt; _.RecordLength,</v>
      </c>
      <c r="W15" s="63" t="str">
        <f t="shared" si="38"/>
        <v/>
      </c>
    </row>
    <row r="16" spans="1:23" customFormat="1" ht="18.75" customHeight="1" x14ac:dyDescent="0.25">
      <c r="A16" t="s">
        <v>366</v>
      </c>
      <c r="B16" t="s">
        <v>355</v>
      </c>
      <c r="C16" t="s">
        <v>1</v>
      </c>
      <c r="D16" t="str">
        <f t="shared" ref="D16" si="39">SUBSTITUTE(PROPER(A16),"_","")</f>
        <v>EndOfRecord</v>
      </c>
      <c r="E16" t="str">
        <f t="shared" ref="E16" si="40">IFERROR(LEFT(B16, FIND("(",B16)-1),B16)</f>
        <v>VARCHAR</v>
      </c>
      <c r="F16" s="6"/>
      <c r="G16" t="str">
        <f t="shared" ref="G16" si="41">IFERROR(MID(B16,FIND("(",B16) +1, FIND(")",B16) - FIND("(",B16) - 1),"")</f>
        <v>1</v>
      </c>
      <c r="H16" t="str">
        <f>+VLOOKUP(E16,'Data Type Mapping'!A:B,2,)</f>
        <v>string</v>
      </c>
      <c r="I16" t="str">
        <f t="shared" ref="I16" si="42">IF(H16="string",REPT(CHAR(9),2)&amp;"public const int Max"&amp;D16&amp;"Length = "&amp;G16&amp;";"&amp;$E$3,"" )</f>
        <v xml:space="preserve">		public const int MaxEndOfRecordLength = 1;
</v>
      </c>
      <c r="J16" t="str">
        <f t="shared" ref="J16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[StringLength(MaxEndOfRecordLength)]
		public virtual string EndOfRecord { get; set; }
</v>
      </c>
      <c r="K16" s="6"/>
      <c r="L16" t="str">
        <f t="shared" ref="L16" si="44">IF(K16="","",REPT(CHAR(9),1)&amp;"[Index(nameof("&amp;IF(D16="","",""&amp;D16)&amp;")"&amp;", Name="&amp;"""IX_"&amp;$B$7&amp;"_"&amp;D16&amp;""")]")</f>
        <v/>
      </c>
      <c r="M16" t="str">
        <f t="shared" ref="M16" si="45">REPT(CHAR(9),2)&amp;"public virtual "&amp;IF(OR(H16="DateTime",H16="TimeSpan"),H16&amp;"?",H16)&amp;IF(C16="?","? "," ")&amp;D16&amp;" { get; set; }" &amp; "
"</f>
        <v xml:space="preserve">		public virtual string EndOfRecord { get; set; }
</v>
      </c>
      <c r="N16" t="str">
        <f t="shared" ref="N16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[StringLength(IF_HEADERConsts.MaxEndOfRecordLength)]
		public virtual string EndOfRecord { get; set; }
</v>
      </c>
      <c r="O16" t="str">
        <f t="shared" ref="O16" si="47">IF(OR(H16="string",H16="DateTime",H16="int"),REPT(CHAR(9),2)&amp;"public virtual "&amp;IF(OR(H16="DateTime",H16="TimeSpan"),H16&amp;"?",H16)&amp;IF(C16="?","? "," ")&amp;D16&amp;" { get; set; }"&amp;$E$3,"")</f>
        <v xml:space="preserve">		public virtual string EndOfRecord { get; set; }
</v>
      </c>
      <c r="P16" t="str">
        <f t="shared" ref="P16" si="48">REPT(CHAR(9),7)&amp;D16&amp;" = o." &amp;D16 &amp;","</f>
        <v xml:space="preserve">							EndOfRecord = o.EndOfRecord,</v>
      </c>
      <c r="T16" s="63" t="str">
        <f t="shared" ref="T16" si="49">REPT(CHAR(9),8)&amp;"("""&amp;D16&amp;"""),"</f>
        <v xml:space="preserve">								("EndOfRecord"),</v>
      </c>
      <c r="V16" s="64" t="str">
        <f t="shared" ref="V16" si="50">REPT(CHAR(9),8)&amp;"_ =&gt; _."&amp;D16&amp;","</f>
        <v xml:space="preserve">								_ =&gt; _.EndOfRecord,</v>
      </c>
      <c r="W16" s="63" t="str">
        <f t="shared" ref="W16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.WhereIf(!string.IsNullOrWhiteSpace(input.EndOfRecord), e =&gt; e.EndOfRecord.Contains(input.EndOfRecord))</v>
      </c>
    </row>
    <row r="18" spans="8:23" ht="45.75" customHeight="1" x14ac:dyDescent="0.25">
      <c r="H18" s="11"/>
      <c r="I18" s="31" t="e">
        <f ca="1">TEXTJOIN2("
", TRUE,INDIRECT( $H$1):INDIRECT( $H$3))</f>
        <v>#NAME?</v>
      </c>
      <c r="J18" s="30" t="e">
        <f ca="1">TEXTJOIN2("
", TRUE,INDIRECT( $F$1):INDIRECT( $F$3))</f>
        <v>#NAME?</v>
      </c>
      <c r="K18" s="32" t="e">
        <f ca="1">TEXTJOIN2("
", TRUE,INDIRECT( $J$1):INDIRECT( $J$3))</f>
        <v>#NAME?</v>
      </c>
      <c r="L18" s="12" t="s">
        <v>57</v>
      </c>
      <c r="M18" s="33" t="e">
        <f ca="1">TEXTJOIN2("
",TRUE,INDIRECT( $L$1):INDIRECT($L$3))</f>
        <v>#NAME?</v>
      </c>
      <c r="N18" s="30" t="e">
        <f ca="1">TEXTJOIN2("
",TRUE,INDIRECT( $M$1):INDIRECT($M$3))</f>
        <v>#NAME?</v>
      </c>
      <c r="O18" s="30" t="e">
        <f ca="1">TEXTJOIN2("
",TRUE,INDIRECT( $N$1):INDIRECT($N$3))</f>
        <v>#NAME?</v>
      </c>
      <c r="P18" s="8" t="e">
        <f ca="1">TEXTJOIN2("
",TRUE,INDIRECT( $O$1):INDIRECT($O$3))</f>
        <v>#NAME?</v>
      </c>
      <c r="T18" s="8" t="e">
        <f ca="1">TEXTJOIN2("
",TRUE,INDIRECT( $T$2):INDIRECT($T$3))</f>
        <v>#NAME?</v>
      </c>
      <c r="V18" s="8" t="e">
        <f ca="1">TEXTJOIN2("
",TRUE,INDIRECT( $V$2):INDIRECT($V$3))</f>
        <v>#NAME?</v>
      </c>
      <c r="W18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4"/>
  <sheetViews>
    <sheetView tabSelected="1" workbookViewId="0">
      <selection activeCell="B1" sqref="B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40" t="s">
        <v>370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IF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if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IF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if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IF_HEADER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IF_HEADER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if_header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IF_HEADERRoutingModule } from './if_header-routing.module';
import { IF_HEADERComponent } from './if_header.component';
import { CreateOrEditIF_HEADERModalComponent } from './create-or-edit-if_header-modal.component';
@NgModule({
    declarations: [
       IF_HEADERComponent, 
        CreateOrEditIF_HEADERModalComponent
    ],
    imports: [
        AppSharedModule, IF_HEADERRoutingModule]
})
export class IF_HEADERModule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IF_HEADERComponent } from './if_header.component';
const routes: Routes = [{
    path: '',
    component: IF_HEADERComponent,
    pathMatch: 'full'
}];
@NgModule({
    imports: [RouterModule.forChild(routes)],
    exports: [RouterModule],
})
export class IF_HEADERRoutingModule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AppMenuItem("IF_HEADER", "Pages.IF.IF.IF_HEADER", "flaticon-book",   "/app/main/if/if/if_header"),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'if/if/if_header',
    loadChildren: () =&gt; import('./if/if/if_header/if_header.module').then(m =&gt; m.IF_HEADERModule),
    data: { permission: 'Pages.IF.IF.IF_HEADER' }
},</v>
      </c>
      <c r="R10" s="47" t="str">
        <f>SUBSTITUTE(R9,"MstWptCalendar",$B$6)</f>
        <v>ApiServiceProxies.IF_HEADERServiceProxy,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H22</v>
      </c>
      <c r="I12" s="28" t="str">
        <f>"I"&amp;COUNTA($A:$A)</f>
        <v>I22</v>
      </c>
      <c r="J12" s="28"/>
      <c r="K12" s="28" t="str">
        <f>"K"&amp;COUNTA($A:$A)</f>
        <v>K22</v>
      </c>
      <c r="L12" s="28" t="str">
        <f>"L"&amp;COUNTA($A:$A)</f>
        <v>L22</v>
      </c>
      <c r="M12" s="28"/>
      <c r="N12" s="28"/>
      <c r="O12" s="28"/>
      <c r="P12" s="28"/>
      <c r="Q12" s="28"/>
      <c r="R12" s="28"/>
      <c r="S12" s="28" t="str">
        <f>"S"&amp;COUNTA($A:$A)</f>
        <v>S22</v>
      </c>
      <c r="T12" s="28" t="str">
        <f>"T"&amp;COUNTA($A:$A)</f>
        <v>T22</v>
      </c>
      <c r="U12" s="28" t="str">
        <f>"U"&amp;COUNTA($A:$A)</f>
        <v>U22</v>
      </c>
      <c r="V12" s="28" t="str">
        <f>"V"&amp;COUNTA($A:$A)</f>
        <v>V22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2" t="e">
        <f ca="1">TEXTJOIN2("
",TRUE,INDIRECT(S11):INDIRECT(S12))</f>
        <v>#NAME?</v>
      </c>
      <c r="T13" s="62" t="e">
        <f ca="1">TEXTJOIN2("
",TRUE,INDIRECT(T11):INDIRECT(T12))</f>
        <v>#NAME?</v>
      </c>
      <c r="U13" s="62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if_header.component.ts</v>
      </c>
      <c r="I14" s="37" t="str">
        <f>B8&amp;".component.html"</f>
        <v>if_header.component.html</v>
      </c>
      <c r="J14" s="36" t="str">
        <f>B8&amp;".component.less"</f>
        <v>if_header.component.less</v>
      </c>
      <c r="K14" s="37" t="str">
        <f>"create-or-edit-"&amp;B8&amp;"-modal.component.html"</f>
        <v>create-or-edit-if_header-modal.component.html</v>
      </c>
      <c r="L14" s="37" t="str">
        <f>"create-or-edit-"&amp;B8&amp;"-modal.component.ts"</f>
        <v>create-or-edit-if_header-modal.component.ts</v>
      </c>
      <c r="M14" s="37" t="str">
        <f>"create-or-edit-"&amp;B8&amp;"-modal.component.less"</f>
        <v>create-or-edit-if_header-modal.component.less</v>
      </c>
      <c r="N14" s="37" t="str">
        <f>B8&amp;".module.ts"</f>
        <v>if_header.module.ts</v>
      </c>
      <c r="O14" s="37" t="str">
        <f>B8&amp;"-routing.module.ts"</f>
        <v>if_header-routing.module.ts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356</v>
      </c>
      <c r="B15" s="28" t="str">
        <f t="shared" ref="B15" si="0">SUBSTITUTE(PROPER(A15),"_","")</f>
        <v>BeginOfRecord</v>
      </c>
      <c r="C15" s="28" t="str">
        <f t="shared" ref="C15" si="1">SUBSTITUTE(PROPER(A15),"_"," ")</f>
        <v>Begin Of Record</v>
      </c>
      <c r="D15" s="28" t="str">
        <f t="shared" ref="D15" si="2">LOWER(LEFT(B15,1))&amp;RIGHT(B15,LEN(B15) - 1)</f>
        <v>beginOfRecord</v>
      </c>
      <c r="E15" s="28" t="str">
        <f>A.Backend!H9</f>
        <v>string</v>
      </c>
      <c r="F15" s="28" t="str">
        <f>A.Backend!G9</f>
        <v>5</v>
      </c>
      <c r="G15" s="28" t="str">
        <f t="shared" ref="G15:G22" si="3">IF(E15="string"," : string = '' ; ",IF(OR(E15="DateTime",E15="TimeSpan")," : any ;",IF(E15="int"," : number = 0 ;","")))</f>
        <v xml:space="preserve"> : string = '' ; </v>
      </c>
      <c r="H15" s="35" t="str">
        <f t="shared" ref="H15:H22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this.l('Begin Of Record'),headerTooltip: this.l('Begin Of Record'),field: 'beginOfRecord',flex: 1},</v>
      </c>
      <c r="I15" s="35" t="str">
        <f t="shared" ref="I15:I22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[(ngModel)]='beginOfRecord' name='beginOfRecord'
									class='form-control' [placeholder]="l('Begin Of Record')"
									type='text' (keyup.enter)='searchDatas()'&gt;
								&lt;/div&gt;</v>
      </c>
      <c r="J15" s="28"/>
      <c r="K15" s="35" t="str">
        <f t="shared" ref="K15:K22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title'&gt;Begin Of Record&lt;/label&gt;
						&lt;input type='text' class='col-md-10 form-control input-text' name='BeginOfRecord' [(ngModel)]='rowdata.beginOfRecord'&gt;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beginOfRecord : string = '' ; </v>
      </c>
      <c r="T15" s="28" t="str">
        <f>REPT(CHAR(9),3)&amp;"this."&amp;D15&amp;","</f>
        <v xml:space="preserve">			this.beginOfRecord,</v>
      </c>
      <c r="U15" s="28" t="str">
        <f>IF(E15="int",REPT(CHAR(9),2)&amp;"this."&amp;D15&amp;" = 0,",REPT(CHAR(9),2)&amp;"this."&amp;D15&amp;" = '',")</f>
        <v xml:space="preserve">		this.beginOfRecord = '',</v>
      </c>
      <c r="V15" s="28" t="str">
        <f t="shared" ref="V15:V22" si="8">IF(AND(E15="string",F15="1"),D15,"")</f>
        <v/>
      </c>
    </row>
    <row r="16" spans="1:22" ht="18" customHeight="1" x14ac:dyDescent="0.25">
      <c r="A16" t="s">
        <v>358</v>
      </c>
      <c r="B16" s="28" t="str">
        <f t="shared" ref="B16" si="9">SUBSTITUTE(PROPER(A16),"_","")</f>
        <v>RecordId</v>
      </c>
      <c r="C16" s="28" t="str">
        <f t="shared" ref="C16" si="10">SUBSTITUTE(PROPER(A16),"_"," ")</f>
        <v>Record Id</v>
      </c>
      <c r="D16" s="28" t="str">
        <f t="shared" ref="D16" si="11">LOWER(LEFT(B16,1))&amp;RIGHT(B16,LEN(B16) - 1)</f>
        <v>recordId</v>
      </c>
      <c r="E16" s="28" t="str">
        <f>A.Backend!H10</f>
        <v>string</v>
      </c>
      <c r="F16" s="28" t="str">
        <f>A.Backend!G10</f>
        <v>1</v>
      </c>
      <c r="G16" s="28" t="str">
        <f t="shared" si="3"/>
        <v xml:space="preserve"> : string = '' ; </v>
      </c>
      <c r="H16" s="35" t="str">
        <f t="shared" si="4"/>
        <v xml:space="preserve">			{headerName: this.l('Record Id'),headerTooltip: this.l('Record Id'),field:  'recordId', cellClass: ['text-center'], width: 120, cellRenderer: 'agCellButtonComponent',
buttonDefTwo: { text: params =&gt; (params.data?.'recordId' == 'Y') ? 'Active' : 'Inactive',iconName: 'fa fa-circle',className: params =&gt; (params.data?.'recordId' == 'Y') ? 'btnActive' : 'btnInActive',},}</v>
      </c>
      <c r="I16" s="35" t="str">
        <f t="shared" si="5"/>
        <v xml:space="preserve">								&lt;div class='input-search'&gt;
									&lt;input [(ngModel)]='recordId' name='recordId'
									class='form-control' [placeholder]="l('Record Id')"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title'&gt;Record Id&lt;/label&gt;
						&lt;new-checkbox [(ngModel)]='_recordId' name='recordId' className='col-md-10' &gt; &lt;/new-checkbox&gt;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2" si="13">REPT(CHAR(9),1)&amp;D16&amp;G16</f>
        <v xml:space="preserve">	recordId : string = '' ; </v>
      </c>
      <c r="T16" s="28" t="str">
        <f t="shared" ref="T16:T22" si="14">REPT(CHAR(9),3)&amp;"this."&amp;D16&amp;","</f>
        <v xml:space="preserve">			this.recordId,</v>
      </c>
      <c r="U16" s="28" t="str">
        <f t="shared" ref="U16:U22" si="15">IF(E16="int",REPT(CHAR(9),2)&amp;"this."&amp;D16&amp;" = 0,",REPT(CHAR(9),2)&amp;"this."&amp;D16&amp;" = '',")</f>
        <v xml:space="preserve">		this.recordId = '',</v>
      </c>
      <c r="V16" s="28" t="str">
        <f t="shared" si="8"/>
        <v>recordId</v>
      </c>
    </row>
    <row r="17" spans="1:22" ht="18" customHeight="1" x14ac:dyDescent="0.25">
      <c r="A17" t="s">
        <v>359</v>
      </c>
      <c r="B17" s="28" t="str">
        <f>SUBSTITUTE(PROPER(A17),"_","")</f>
        <v>FromSystem</v>
      </c>
      <c r="C17" s="28" t="str">
        <f>SUBSTITUTE(PROPER(A17),"_"," ")</f>
        <v>From System</v>
      </c>
      <c r="D17" s="28" t="str">
        <f>LOWER(LEFT(B17,1))&amp;RIGHT(B17,LEN(B17) - 1)</f>
        <v>fromSystem</v>
      </c>
      <c r="E17" s="28" t="str">
        <f>A.Backend!H11</f>
        <v>string</v>
      </c>
      <c r="F17" s="28" t="str">
        <f>A.Backend!G11</f>
        <v>5</v>
      </c>
      <c r="G17" s="28" t="str">
        <f t="shared" si="3"/>
        <v xml:space="preserve"> : string = '' ; </v>
      </c>
      <c r="H17" s="35" t="str">
        <f t="shared" si="4"/>
        <v xml:space="preserve">			{headerName: this.l('From System'),headerTooltip: this.l('From System'),field: 'fromSystem',flex: 1},</v>
      </c>
      <c r="I17" s="35" t="str">
        <f t="shared" si="5"/>
        <v xml:space="preserve">								&lt;div class='input-search'&gt;
									&lt;input [(ngModel)]='fromSystem' name='fromSystem'
									class='form-control' [placeholder]="l('From System')"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title'&gt;From System&lt;/label&gt;
						&lt;input type='text' class='col-md-10 form-control input-text' name='FromSystem' [(ngModel)]='rowdata.fromSystem'&gt;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fromSystem : string = '' ; </v>
      </c>
      <c r="T17" s="28" t="str">
        <f t="shared" si="14"/>
        <v xml:space="preserve">			this.fromSystem,</v>
      </c>
      <c r="U17" s="28" t="str">
        <f t="shared" si="15"/>
        <v xml:space="preserve">		this.fromSystem = '',</v>
      </c>
      <c r="V17" s="28" t="str">
        <f t="shared" si="8"/>
        <v/>
      </c>
    </row>
    <row r="18" spans="1:22" ht="15" customHeight="1" x14ac:dyDescent="0.25">
      <c r="A18" t="s">
        <v>360</v>
      </c>
      <c r="B18" s="28" t="str">
        <f t="shared" ref="B18:B21" si="16">SUBSTITUTE(PROPER(A18),"_","")</f>
        <v>ToSystem</v>
      </c>
      <c r="C18" s="28" t="str">
        <f t="shared" ref="C18:C21" si="17">SUBSTITUTE(PROPER(A18),"_"," ")</f>
        <v>To System</v>
      </c>
      <c r="D18" s="28" t="str">
        <f t="shared" ref="D18:D21" si="18">LOWER(LEFT(B18,1))&amp;RIGHT(B18,LEN(B18) - 1)</f>
        <v>toSystem</v>
      </c>
      <c r="E18" s="28" t="str">
        <f>A.Backend!H12</f>
        <v>string</v>
      </c>
      <c r="F18" s="28" t="str">
        <f>A.Backend!G12</f>
        <v>30</v>
      </c>
      <c r="G18" s="28" t="str">
        <f t="shared" si="3"/>
        <v xml:space="preserve"> : string = '' ; </v>
      </c>
      <c r="H18" s="35" t="str">
        <f t="shared" si="4"/>
        <v xml:space="preserve">			{headerName: this.l('To System'),headerTooltip: this.l('To System'),field: 'toSystem',flex: 1},</v>
      </c>
      <c r="I18" s="35" t="str">
        <f t="shared" si="5"/>
        <v xml:space="preserve">								&lt;div class='input-search'&gt;
									&lt;input [(ngModel)]='toSystem' name='toSystem'
									class='form-control' [placeholder]="l('To System')"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title'&gt;To System&lt;/label&gt;
						&lt;input type='text' class='col-md-10 form-control input-text' name='ToSystem' [(ngModel)]='rowdata.toSystem'&gt;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toSystem : string = '' ; </v>
      </c>
      <c r="T18" s="28" t="str">
        <f t="shared" si="14"/>
        <v xml:space="preserve">			this.toSystem,</v>
      </c>
      <c r="U18" s="28" t="str">
        <f t="shared" si="15"/>
        <v xml:space="preserve">		this.toSystem = '',</v>
      </c>
      <c r="V18" s="28" t="str">
        <f t="shared" si="8"/>
        <v/>
      </c>
    </row>
    <row r="19" spans="1:22" ht="18" customHeight="1" x14ac:dyDescent="0.25">
      <c r="A19" t="s">
        <v>363</v>
      </c>
      <c r="B19" s="28" t="str">
        <f t="shared" si="16"/>
        <v>FileName</v>
      </c>
      <c r="C19" s="28" t="str">
        <f t="shared" si="17"/>
        <v>File Name</v>
      </c>
      <c r="D19" s="28" t="str">
        <f t="shared" si="18"/>
        <v>fileName</v>
      </c>
      <c r="E19" s="28" t="str">
        <f>A.Backend!H13</f>
        <v>string</v>
      </c>
      <c r="F19" s="28" t="str">
        <f>A.Backend!G13</f>
        <v>26</v>
      </c>
      <c r="G19" s="28" t="str">
        <f t="shared" si="3"/>
        <v xml:space="preserve"> : string = '' ; </v>
      </c>
      <c r="H19" s="35" t="str">
        <f t="shared" si="4"/>
        <v xml:space="preserve">			{headerName: this.l('File Name'),headerTooltip: this.l('File Name'),field: 'fileName',flex: 1},</v>
      </c>
      <c r="I19" s="35" t="str">
        <f t="shared" si="5"/>
        <v xml:space="preserve">								&lt;div class='input-search'&gt;
									&lt;input [(ngModel)]='fileName' name='fileName'
									class='form-control' [placeholder]="l('File Name')"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title'&gt;File Name&lt;/label&gt;
						&lt;input type='text' class='col-md-10 form-control input-text' name='FileName' [(ngModel)]='rowdata.fileName'&gt;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fileName : string = '' ; </v>
      </c>
      <c r="T19" s="28" t="str">
        <f t="shared" si="14"/>
        <v xml:space="preserve">			this.fileName,</v>
      </c>
      <c r="U19" s="28" t="str">
        <f t="shared" si="15"/>
        <v xml:space="preserve">		this.fileName = '',</v>
      </c>
      <c r="V19" s="28" t="str">
        <f t="shared" si="8"/>
        <v/>
      </c>
    </row>
    <row r="20" spans="1:22" ht="15" customHeight="1" x14ac:dyDescent="0.25">
      <c r="A20" t="s">
        <v>364</v>
      </c>
      <c r="B20" s="28" t="str">
        <f t="shared" si="16"/>
        <v>InterfaceName</v>
      </c>
      <c r="C20" s="28" t="str">
        <f t="shared" si="17"/>
        <v>Interface Name</v>
      </c>
      <c r="D20" s="28" t="str">
        <f t="shared" si="18"/>
        <v>interfaceName</v>
      </c>
      <c r="E20" s="28" t="str">
        <f>A.Backend!H14</f>
        <v>string</v>
      </c>
      <c r="F20" s="28" t="str">
        <f>A.Backend!G14</f>
        <v>8</v>
      </c>
      <c r="G20" s="28" t="str">
        <f t="shared" si="3"/>
        <v xml:space="preserve"> : string = '' ; </v>
      </c>
      <c r="H20" s="35" t="str">
        <f t="shared" si="4"/>
        <v xml:space="preserve">			{headerName: this.l('Interface Name'),headerTooltip: this.l('Interface Name'),field: 'interfaceName',flex: 1},</v>
      </c>
      <c r="I20" s="35" t="str">
        <f t="shared" si="5"/>
        <v xml:space="preserve">								&lt;div class='input-search'&gt;
									&lt;input [(ngModel)]='interfaceName' name='interfaceName'
									class='form-control' [placeholder]="l('Interface Name')"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title'&gt;Interface Name&lt;/label&gt;
						&lt;input type='text' class='col-md-10 form-control input-text' name='InterfaceName' [(ngModel)]='rowdata.interfaceName'&gt;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interfaceName : string = '' ; </v>
      </c>
      <c r="T20" s="28" t="str">
        <f t="shared" si="14"/>
        <v xml:space="preserve">			this.interfaceName,</v>
      </c>
      <c r="U20" s="28" t="str">
        <f t="shared" si="15"/>
        <v xml:space="preserve">		this.interfaceName = '',</v>
      </c>
      <c r="V20" s="28" t="str">
        <f t="shared" si="8"/>
        <v/>
      </c>
    </row>
    <row r="21" spans="1:22" ht="18" customHeight="1" x14ac:dyDescent="0.25">
      <c r="A21" t="s">
        <v>365</v>
      </c>
      <c r="B21" s="28" t="str">
        <f t="shared" si="16"/>
        <v>RecordLength</v>
      </c>
      <c r="C21" s="28" t="str">
        <f t="shared" si="17"/>
        <v>Record Length</v>
      </c>
      <c r="D21" s="28" t="str">
        <f t="shared" si="18"/>
        <v>recordLength</v>
      </c>
      <c r="E21" s="28" t="str">
        <f>A.Backend!H15</f>
        <v>int?</v>
      </c>
      <c r="F21" s="28" t="str">
        <f>A.Backend!G15</f>
        <v/>
      </c>
      <c r="G21" s="28" t="str">
        <f t="shared" si="3"/>
        <v/>
      </c>
      <c r="H21" s="35" t="str">
        <f t="shared" si="4"/>
        <v xml:space="preserve">			{headerName: this.l('Record Length'),headerTooltip: this.l('Record Length'),field: 'recordLength',flex: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recordLength</v>
      </c>
      <c r="T21" s="28" t="str">
        <f t="shared" si="14"/>
        <v xml:space="preserve">			this.recordLength,</v>
      </c>
      <c r="U21" s="28" t="str">
        <f t="shared" si="15"/>
        <v xml:space="preserve">		this.recordLength = '',</v>
      </c>
      <c r="V21" s="28" t="str">
        <f t="shared" si="8"/>
        <v/>
      </c>
    </row>
    <row r="22" spans="1:22" ht="18" customHeight="1" x14ac:dyDescent="0.25">
      <c r="A22" t="s">
        <v>366</v>
      </c>
      <c r="B22" s="28" t="str">
        <f>SUBSTITUTE(PROPER(A22),"_","")</f>
        <v>EndOfRecord</v>
      </c>
      <c r="C22" s="28" t="str">
        <f>SUBSTITUTE(PROPER(A22),"_"," ")</f>
        <v>End Of Record</v>
      </c>
      <c r="D22" s="28" t="str">
        <f>LOWER(LEFT(B22,1))&amp;RIGHT(B22,LEN(B22) - 1)</f>
        <v>endOfRecord</v>
      </c>
      <c r="E22" s="28" t="str">
        <f>A.Backend!H16</f>
        <v>string</v>
      </c>
      <c r="F22" s="28" t="str">
        <f>A.Backend!G16</f>
        <v>1</v>
      </c>
      <c r="G22" s="28" t="str">
        <f t="shared" si="3"/>
        <v xml:space="preserve"> : string = '' ; </v>
      </c>
      <c r="H22" s="35" t="str">
        <f t="shared" si="4"/>
        <v xml:space="preserve">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</v>
      </c>
      <c r="I22" s="35" t="str">
        <f t="shared" si="5"/>
        <v xml:space="preserve">								&lt;div class='input-search'&gt;
									&lt;input [(ngModel)]='endOfRecord' name='endOfRecord'
									class='form-control' [placeholder]="l('End Of Record')"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title'&gt;End Of Record&lt;/label&gt;
						&lt;new-checkbox [(ngModel)]='_endOfRecord' name='endOfRecord' className='col-md-10' &gt; &lt;/new-checkbox&gt;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endOfRecord : string = '' ; </v>
      </c>
      <c r="T22" s="28" t="str">
        <f t="shared" si="14"/>
        <v xml:space="preserve">			this.endOfRecord,</v>
      </c>
      <c r="U22" s="28" t="str">
        <f t="shared" si="15"/>
        <v xml:space="preserve">		this.endOfRecord = '',</v>
      </c>
      <c r="V22" s="28" t="str">
        <f t="shared" si="8"/>
        <v>endOfRecord</v>
      </c>
    </row>
    <row r="2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2023-07-19T11:27:14Z</dcterms:modified>
</cp:coreProperties>
</file>
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inventory\interface\"/>
    </mc:Choice>
  </mc:AlternateContent>
  <bookViews>
    <workbookView xWindow="-120" yWindow="-120" windowWidth="24240" windowHeight="13140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9" i="5" l="1"/>
  <c r="B39" i="5"/>
  <c r="D39" i="5" s="1"/>
  <c r="T39" i="5" s="1"/>
  <c r="C38" i="5"/>
  <c r="B38" i="5"/>
  <c r="D38" i="5" s="1"/>
  <c r="C37" i="5"/>
  <c r="B37" i="5"/>
  <c r="D37" i="5" s="1"/>
  <c r="C36" i="5"/>
  <c r="B36" i="5"/>
  <c r="D36" i="5" s="1"/>
  <c r="C35" i="5"/>
  <c r="B35" i="5"/>
  <c r="D35" i="5" s="1"/>
  <c r="C34" i="5"/>
  <c r="B34" i="5"/>
  <c r="C33" i="5"/>
  <c r="B33" i="5"/>
  <c r="D33" i="5" s="1"/>
  <c r="C32" i="5"/>
  <c r="B32" i="5"/>
  <c r="D32" i="5" s="1"/>
  <c r="C31" i="5"/>
  <c r="B31" i="5"/>
  <c r="D31" i="5" s="1"/>
  <c r="C30" i="5"/>
  <c r="B30" i="5"/>
  <c r="D30" i="5" s="1"/>
  <c r="T30" i="5" s="1"/>
  <c r="F29" i="5"/>
  <c r="E29" i="5"/>
  <c r="C29" i="5"/>
  <c r="B29" i="5"/>
  <c r="D29" i="5" s="1"/>
  <c r="F28" i="5"/>
  <c r="E28" i="5"/>
  <c r="G28" i="5" s="1"/>
  <c r="C28" i="5"/>
  <c r="B28" i="5"/>
  <c r="D28" i="5" s="1"/>
  <c r="C27" i="5"/>
  <c r="B27" i="5"/>
  <c r="D27" i="5" s="1"/>
  <c r="F26" i="5"/>
  <c r="E26" i="5"/>
  <c r="C26" i="5"/>
  <c r="B26" i="5"/>
  <c r="D26" i="5" s="1"/>
  <c r="F25" i="5"/>
  <c r="E25" i="5"/>
  <c r="L25" i="5" s="1"/>
  <c r="C25" i="5"/>
  <c r="B25" i="5"/>
  <c r="D25" i="5" s="1"/>
  <c r="L29" i="1"/>
  <c r="G29" i="1"/>
  <c r="E29" i="1"/>
  <c r="H29" i="1" s="1"/>
  <c r="D29" i="1"/>
  <c r="V29" i="1" s="1"/>
  <c r="D9" i="1"/>
  <c r="P9" i="1" s="1"/>
  <c r="E9" i="1"/>
  <c r="H9" i="1" s="1"/>
  <c r="E30" i="5" s="1"/>
  <c r="G9" i="1"/>
  <c r="F30" i="5" s="1"/>
  <c r="L9" i="1"/>
  <c r="D10" i="1"/>
  <c r="P10" i="1" s="1"/>
  <c r="E10" i="1"/>
  <c r="H10" i="1" s="1"/>
  <c r="E31" i="5" s="1"/>
  <c r="G31" i="5" s="1"/>
  <c r="G10" i="1"/>
  <c r="F31" i="5" s="1"/>
  <c r="L10" i="1"/>
  <c r="D11" i="1"/>
  <c r="P11" i="1" s="1"/>
  <c r="E11" i="1"/>
  <c r="H11" i="1" s="1"/>
  <c r="E32" i="5" s="1"/>
  <c r="G11" i="1"/>
  <c r="F32" i="5" s="1"/>
  <c r="L11" i="1"/>
  <c r="D12" i="1"/>
  <c r="P12" i="1" s="1"/>
  <c r="E12" i="1"/>
  <c r="H12" i="1" s="1"/>
  <c r="E33" i="5" s="1"/>
  <c r="L33" i="5" s="1"/>
  <c r="G12" i="1"/>
  <c r="F33" i="5" s="1"/>
  <c r="L12" i="1"/>
  <c r="D13" i="1"/>
  <c r="P13" i="1" s="1"/>
  <c r="E13" i="1"/>
  <c r="H13" i="1" s="1"/>
  <c r="E34" i="5" s="1"/>
  <c r="G13" i="1"/>
  <c r="F34" i="5" s="1"/>
  <c r="L13" i="1"/>
  <c r="D14" i="1"/>
  <c r="P14" i="1" s="1"/>
  <c r="E14" i="1"/>
  <c r="H14" i="1" s="1"/>
  <c r="G14" i="1"/>
  <c r="L14" i="1"/>
  <c r="D15" i="1"/>
  <c r="P15" i="1" s="1"/>
  <c r="E15" i="1"/>
  <c r="H15" i="1" s="1"/>
  <c r="M15" i="1" s="1"/>
  <c r="G15" i="1"/>
  <c r="F35" i="5" s="1"/>
  <c r="L15" i="1"/>
  <c r="D16" i="1"/>
  <c r="P16" i="1" s="1"/>
  <c r="E16" i="1"/>
  <c r="H16" i="1" s="1"/>
  <c r="G16" i="1"/>
  <c r="L16" i="1"/>
  <c r="D17" i="1"/>
  <c r="P17" i="1" s="1"/>
  <c r="E17" i="1"/>
  <c r="H17" i="1" s="1"/>
  <c r="G17" i="1"/>
  <c r="L17" i="1"/>
  <c r="D18" i="1"/>
  <c r="P18" i="1" s="1"/>
  <c r="E18" i="1"/>
  <c r="H18" i="1" s="1"/>
  <c r="G18" i="1"/>
  <c r="L18" i="1"/>
  <c r="D19" i="1"/>
  <c r="P19" i="1" s="1"/>
  <c r="E19" i="1"/>
  <c r="H19" i="1" s="1"/>
  <c r="G19" i="1"/>
  <c r="L19" i="1"/>
  <c r="D20" i="1"/>
  <c r="P20" i="1" s="1"/>
  <c r="E20" i="1"/>
  <c r="H20" i="1" s="1"/>
  <c r="G20" i="1"/>
  <c r="L20" i="1"/>
  <c r="D21" i="1"/>
  <c r="P21" i="1" s="1"/>
  <c r="E21" i="1"/>
  <c r="H21" i="1" s="1"/>
  <c r="G21" i="1"/>
  <c r="L21" i="1"/>
  <c r="D22" i="1"/>
  <c r="P22" i="1" s="1"/>
  <c r="E22" i="1"/>
  <c r="H22" i="1" s="1"/>
  <c r="G22" i="1"/>
  <c r="L22" i="1"/>
  <c r="D23" i="1"/>
  <c r="P23" i="1" s="1"/>
  <c r="E23" i="1"/>
  <c r="H23" i="1" s="1"/>
  <c r="G23" i="1"/>
  <c r="L23" i="1"/>
  <c r="D24" i="1"/>
  <c r="P24" i="1" s="1"/>
  <c r="E24" i="1"/>
  <c r="H24" i="1" s="1"/>
  <c r="E36" i="5" s="1"/>
  <c r="G36" i="5" s="1"/>
  <c r="G24" i="1"/>
  <c r="F36" i="5" s="1"/>
  <c r="L24" i="1"/>
  <c r="D25" i="1"/>
  <c r="P25" i="1" s="1"/>
  <c r="E25" i="1"/>
  <c r="H25" i="1" s="1"/>
  <c r="E37" i="5" s="1"/>
  <c r="G25" i="1"/>
  <c r="F37" i="5" s="1"/>
  <c r="L25" i="1"/>
  <c r="D26" i="1"/>
  <c r="P26" i="1" s="1"/>
  <c r="E26" i="1"/>
  <c r="H26" i="1" s="1"/>
  <c r="E38" i="5" s="1"/>
  <c r="V38" i="5" s="1"/>
  <c r="G26" i="1"/>
  <c r="F38" i="5" s="1"/>
  <c r="L26" i="1"/>
  <c r="D27" i="1"/>
  <c r="E27" i="1"/>
  <c r="H27" i="1" s="1"/>
  <c r="E39" i="5" s="1"/>
  <c r="G27" i="1"/>
  <c r="F39" i="5" s="1"/>
  <c r="L27" i="1"/>
  <c r="D28" i="1"/>
  <c r="E28" i="1"/>
  <c r="H28" i="1" s="1"/>
  <c r="G28" i="1"/>
  <c r="L28" i="1"/>
  <c r="D30" i="1"/>
  <c r="P30" i="1" s="1"/>
  <c r="E30" i="1"/>
  <c r="H30" i="1" s="1"/>
  <c r="G30" i="1"/>
  <c r="L30" i="1"/>
  <c r="D31" i="1"/>
  <c r="P31" i="1" s="1"/>
  <c r="E31" i="1"/>
  <c r="H31" i="1" s="1"/>
  <c r="G31" i="1"/>
  <c r="L31" i="1"/>
  <c r="D32" i="1"/>
  <c r="P32" i="1" s="1"/>
  <c r="E32" i="1"/>
  <c r="H32" i="1" s="1"/>
  <c r="G32" i="1"/>
  <c r="L32" i="1"/>
  <c r="D33" i="1"/>
  <c r="P33" i="1" s="1"/>
  <c r="E33" i="1"/>
  <c r="H33" i="1" s="1"/>
  <c r="G33" i="1"/>
  <c r="L33" i="1"/>
  <c r="D34" i="1"/>
  <c r="P34" i="1" s="1"/>
  <c r="E34" i="1"/>
  <c r="H34" i="1" s="1"/>
  <c r="G34" i="1"/>
  <c r="L34" i="1"/>
  <c r="D35" i="1"/>
  <c r="P35" i="1" s="1"/>
  <c r="E35" i="1"/>
  <c r="H35" i="1" s="1"/>
  <c r="G35" i="1"/>
  <c r="L35" i="1"/>
  <c r="D36" i="1"/>
  <c r="P36" i="1" s="1"/>
  <c r="E36" i="1"/>
  <c r="H36" i="1" s="1"/>
  <c r="G36" i="1"/>
  <c r="L36" i="1"/>
  <c r="D37" i="1"/>
  <c r="P37" i="1" s="1"/>
  <c r="E37" i="1"/>
  <c r="H37" i="1" s="1"/>
  <c r="G37" i="1"/>
  <c r="L37" i="1"/>
  <c r="D38" i="1"/>
  <c r="P38" i="1" s="1"/>
  <c r="E38" i="1"/>
  <c r="H38" i="1" s="1"/>
  <c r="I38" i="1" s="1"/>
  <c r="G38" i="1"/>
  <c r="L38" i="1"/>
  <c r="D39" i="1"/>
  <c r="P39" i="1" s="1"/>
  <c r="E39" i="1"/>
  <c r="H39" i="1" s="1"/>
  <c r="G39" i="1"/>
  <c r="L39" i="1"/>
  <c r="D40" i="1"/>
  <c r="P40" i="1" s="1"/>
  <c r="E40" i="1"/>
  <c r="H40" i="1" s="1"/>
  <c r="G40" i="1"/>
  <c r="L40" i="1"/>
  <c r="D41" i="1"/>
  <c r="E41" i="1"/>
  <c r="H41" i="1" s="1"/>
  <c r="G41" i="1"/>
  <c r="L41" i="1"/>
  <c r="D42" i="1"/>
  <c r="P42" i="1" s="1"/>
  <c r="E42" i="1"/>
  <c r="H42" i="1" s="1"/>
  <c r="G42" i="1"/>
  <c r="L42" i="1"/>
  <c r="K29" i="5" l="1"/>
  <c r="V25" i="5"/>
  <c r="I19" i="1"/>
  <c r="O19" i="1"/>
  <c r="V32" i="5"/>
  <c r="V34" i="5"/>
  <c r="L34" i="5"/>
  <c r="V39" i="5"/>
  <c r="K25" i="5"/>
  <c r="V26" i="5"/>
  <c r="E35" i="5"/>
  <c r="V35" i="5" s="1"/>
  <c r="U33" i="5"/>
  <c r="N16" i="1"/>
  <c r="U25" i="5"/>
  <c r="K36" i="5"/>
  <c r="V37" i="5"/>
  <c r="H25" i="5"/>
  <c r="V31" i="1"/>
  <c r="V36" i="1"/>
  <c r="J36" i="1"/>
  <c r="I35" i="1"/>
  <c r="K28" i="5"/>
  <c r="G37" i="5"/>
  <c r="S37" i="5" s="1"/>
  <c r="L28" i="5"/>
  <c r="K30" i="5"/>
  <c r="V29" i="5"/>
  <c r="V31" i="5"/>
  <c r="I28" i="5"/>
  <c r="G29" i="5"/>
  <c r="S29" i="5" s="1"/>
  <c r="I29" i="5"/>
  <c r="G25" i="5"/>
  <c r="L29" i="5"/>
  <c r="G34" i="5"/>
  <c r="U31" i="5"/>
  <c r="K31" i="5"/>
  <c r="H31" i="5"/>
  <c r="T36" i="5"/>
  <c r="I36" i="5"/>
  <c r="T37" i="5"/>
  <c r="H37" i="5"/>
  <c r="K37" i="5"/>
  <c r="H30" i="5"/>
  <c r="S36" i="5"/>
  <c r="I30" i="5"/>
  <c r="H36" i="5"/>
  <c r="H26" i="5"/>
  <c r="I33" i="5"/>
  <c r="V33" i="5"/>
  <c r="T32" i="5"/>
  <c r="T38" i="5"/>
  <c r="H29" i="5"/>
  <c r="U29" i="5"/>
  <c r="T29" i="5"/>
  <c r="H32" i="5"/>
  <c r="T35" i="5"/>
  <c r="T28" i="5"/>
  <c r="S28" i="5"/>
  <c r="U28" i="5"/>
  <c r="H28" i="5"/>
  <c r="T26" i="5"/>
  <c r="I25" i="5"/>
  <c r="G26" i="5"/>
  <c r="S26" i="5" s="1"/>
  <c r="V28" i="5"/>
  <c r="L30" i="5"/>
  <c r="I31" i="5"/>
  <c r="G32" i="5"/>
  <c r="S32" i="5" s="1"/>
  <c r="L36" i="5"/>
  <c r="I37" i="5"/>
  <c r="G38" i="5"/>
  <c r="S38" i="5" s="1"/>
  <c r="D34" i="5"/>
  <c r="K34" i="5" s="1"/>
  <c r="H38" i="5"/>
  <c r="I26" i="5"/>
  <c r="L31" i="5"/>
  <c r="I32" i="5"/>
  <c r="G33" i="5"/>
  <c r="L37" i="5"/>
  <c r="I38" i="5"/>
  <c r="G39" i="5"/>
  <c r="S39" i="5" s="1"/>
  <c r="S25" i="5"/>
  <c r="K26" i="5"/>
  <c r="U30" i="5"/>
  <c r="S31" i="5"/>
  <c r="K32" i="5"/>
  <c r="H33" i="5"/>
  <c r="U36" i="5"/>
  <c r="K38" i="5"/>
  <c r="H39" i="5"/>
  <c r="T25" i="5"/>
  <c r="L26" i="5"/>
  <c r="V30" i="5"/>
  <c r="T31" i="5"/>
  <c r="L32" i="5"/>
  <c r="V36" i="5"/>
  <c r="L38" i="5"/>
  <c r="I39" i="5"/>
  <c r="K33" i="5"/>
  <c r="U37" i="5"/>
  <c r="K39" i="5"/>
  <c r="L39" i="5"/>
  <c r="U26" i="5"/>
  <c r="U32" i="5"/>
  <c r="S33" i="5"/>
  <c r="U38" i="5"/>
  <c r="T27" i="5"/>
  <c r="G30" i="5"/>
  <c r="S30" i="5" s="1"/>
  <c r="T33" i="5"/>
  <c r="U39" i="5"/>
  <c r="O41" i="1"/>
  <c r="V35" i="1"/>
  <c r="I13" i="1"/>
  <c r="P29" i="1"/>
  <c r="W29" i="1"/>
  <c r="O29" i="1"/>
  <c r="N29" i="1"/>
  <c r="M29" i="1"/>
  <c r="J29" i="1"/>
  <c r="I29" i="1"/>
  <c r="M24" i="1"/>
  <c r="N24" i="1"/>
  <c r="M28" i="1"/>
  <c r="M41" i="1"/>
  <c r="V34" i="1"/>
  <c r="J27" i="1"/>
  <c r="N15" i="1"/>
  <c r="T34" i="1"/>
  <c r="I24" i="1"/>
  <c r="T29" i="1"/>
  <c r="I25" i="1"/>
  <c r="M27" i="1"/>
  <c r="I10" i="1"/>
  <c r="V37" i="1"/>
  <c r="V38" i="1"/>
  <c r="N37" i="1"/>
  <c r="J40" i="1"/>
  <c r="M37" i="1"/>
  <c r="I32" i="1"/>
  <c r="J37" i="1"/>
  <c r="I37" i="1"/>
  <c r="J41" i="1"/>
  <c r="T33" i="1"/>
  <c r="P27" i="1"/>
  <c r="J15" i="1"/>
  <c r="N27" i="1"/>
  <c r="O16" i="1"/>
  <c r="O15" i="1"/>
  <c r="N40" i="1"/>
  <c r="M16" i="1"/>
  <c r="J12" i="1"/>
  <c r="M40" i="1"/>
  <c r="O28" i="1"/>
  <c r="O27" i="1"/>
  <c r="I12" i="1"/>
  <c r="J38" i="1"/>
  <c r="N28" i="1"/>
  <c r="O40" i="1"/>
  <c r="J28" i="1"/>
  <c r="I22" i="1"/>
  <c r="N41" i="1"/>
  <c r="J24" i="1"/>
  <c r="J14" i="1"/>
  <c r="M14" i="1"/>
  <c r="N14" i="1"/>
  <c r="O14" i="1"/>
  <c r="I14" i="1"/>
  <c r="O31" i="1"/>
  <c r="I31" i="1"/>
  <c r="J31" i="1"/>
  <c r="M31" i="1"/>
  <c r="N31" i="1"/>
  <c r="N17" i="1"/>
  <c r="O17" i="1"/>
  <c r="I17" i="1"/>
  <c r="J17" i="1"/>
  <c r="M17" i="1"/>
  <c r="I20" i="1"/>
  <c r="J20" i="1"/>
  <c r="M20" i="1"/>
  <c r="N20" i="1"/>
  <c r="O20" i="1"/>
  <c r="J26" i="1"/>
  <c r="M26" i="1"/>
  <c r="N26" i="1"/>
  <c r="O26" i="1"/>
  <c r="I26" i="1"/>
  <c r="I11" i="1"/>
  <c r="J11" i="1"/>
  <c r="M11" i="1"/>
  <c r="N11" i="1"/>
  <c r="O11" i="1"/>
  <c r="I33" i="1"/>
  <c r="J33" i="1"/>
  <c r="N33" i="1"/>
  <c r="M33" i="1"/>
  <c r="O33" i="1"/>
  <c r="I21" i="1"/>
  <c r="J21" i="1"/>
  <c r="M21" i="1"/>
  <c r="N21" i="1"/>
  <c r="O21" i="1"/>
  <c r="J39" i="1"/>
  <c r="M39" i="1"/>
  <c r="N39" i="1"/>
  <c r="O39" i="1"/>
  <c r="I39" i="1"/>
  <c r="N30" i="1"/>
  <c r="O30" i="1"/>
  <c r="I30" i="1"/>
  <c r="M30" i="1"/>
  <c r="J30" i="1"/>
  <c r="I23" i="1"/>
  <c r="J23" i="1"/>
  <c r="M23" i="1"/>
  <c r="N23" i="1"/>
  <c r="O23" i="1"/>
  <c r="N42" i="1"/>
  <c r="O42" i="1"/>
  <c r="I42" i="1"/>
  <c r="J42" i="1"/>
  <c r="M42" i="1"/>
  <c r="O18" i="1"/>
  <c r="I18" i="1"/>
  <c r="J18" i="1"/>
  <c r="M18" i="1"/>
  <c r="N18" i="1"/>
  <c r="J34" i="1"/>
  <c r="I34" i="1"/>
  <c r="M34" i="1"/>
  <c r="N34" i="1"/>
  <c r="O34" i="1"/>
  <c r="I9" i="1"/>
  <c r="J9" i="1"/>
  <c r="M9" i="1"/>
  <c r="N9" i="1"/>
  <c r="O9" i="1"/>
  <c r="I36" i="1"/>
  <c r="W38" i="1"/>
  <c r="I40" i="1"/>
  <c r="N32" i="1"/>
  <c r="I27" i="1"/>
  <c r="N19" i="1"/>
  <c r="J16" i="1"/>
  <c r="I15" i="1"/>
  <c r="O32" i="1"/>
  <c r="M32" i="1"/>
  <c r="I28" i="1"/>
  <c r="M19" i="1"/>
  <c r="I16" i="1"/>
  <c r="I41" i="1"/>
  <c r="O10" i="1"/>
  <c r="V32" i="1"/>
  <c r="O35" i="1"/>
  <c r="O22" i="1"/>
  <c r="W32" i="1"/>
  <c r="O36" i="1"/>
  <c r="N35" i="1"/>
  <c r="J32" i="1"/>
  <c r="N22" i="1"/>
  <c r="J19" i="1"/>
  <c r="N10" i="1"/>
  <c r="T32" i="1"/>
  <c r="O37" i="1"/>
  <c r="N36" i="1"/>
  <c r="M35" i="1"/>
  <c r="O24" i="1"/>
  <c r="M22" i="1"/>
  <c r="O12" i="1"/>
  <c r="M10" i="1"/>
  <c r="O25" i="1"/>
  <c r="O13" i="1"/>
  <c r="N12" i="1"/>
  <c r="M36" i="1"/>
  <c r="N38" i="1"/>
  <c r="J35" i="1"/>
  <c r="N25" i="1"/>
  <c r="J22" i="1"/>
  <c r="N13" i="1"/>
  <c r="M12" i="1"/>
  <c r="J10" i="1"/>
  <c r="O38" i="1"/>
  <c r="P41" i="1"/>
  <c r="M38" i="1"/>
  <c r="P28" i="1"/>
  <c r="M25" i="1"/>
  <c r="M13" i="1"/>
  <c r="J25" i="1"/>
  <c r="J13" i="1"/>
  <c r="W37" i="1"/>
  <c r="W33" i="1"/>
  <c r="W35" i="1"/>
  <c r="W31" i="1"/>
  <c r="W34" i="1"/>
  <c r="T35" i="1"/>
  <c r="T36" i="1"/>
  <c r="V33" i="1"/>
  <c r="T31" i="1"/>
  <c r="W36" i="1"/>
  <c r="T37" i="1"/>
  <c r="T38" i="1"/>
  <c r="F45" i="5"/>
  <c r="F46" i="5"/>
  <c r="T26" i="1"/>
  <c r="F47" i="5"/>
  <c r="F48" i="5"/>
  <c r="V41" i="1"/>
  <c r="C45" i="5"/>
  <c r="B45" i="5"/>
  <c r="D45" i="5" s="1"/>
  <c r="T45" i="5" s="1"/>
  <c r="C44" i="5"/>
  <c r="B44" i="5"/>
  <c r="D44" i="5" s="1"/>
  <c r="T44" i="5" s="1"/>
  <c r="C43" i="5"/>
  <c r="B43" i="5"/>
  <c r="D43" i="5" s="1"/>
  <c r="T43" i="5" s="1"/>
  <c r="C42" i="5"/>
  <c r="B42" i="5"/>
  <c r="D42" i="5" s="1"/>
  <c r="T42" i="5" s="1"/>
  <c r="C41" i="5"/>
  <c r="B41" i="5"/>
  <c r="D41" i="5" s="1"/>
  <c r="T41" i="5" s="1"/>
  <c r="C40" i="5"/>
  <c r="B40" i="5"/>
  <c r="D40" i="5" s="1"/>
  <c r="T40" i="5" s="1"/>
  <c r="C24" i="5"/>
  <c r="B24" i="5"/>
  <c r="D24" i="5" s="1"/>
  <c r="T24" i="5" s="1"/>
  <c r="C23" i="5"/>
  <c r="B23" i="5"/>
  <c r="D23" i="5" s="1"/>
  <c r="T23" i="5" s="1"/>
  <c r="C22" i="5"/>
  <c r="B22" i="5"/>
  <c r="D22" i="5" s="1"/>
  <c r="T22" i="5" s="1"/>
  <c r="C21" i="5"/>
  <c r="B21" i="5"/>
  <c r="D21" i="5" s="1"/>
  <c r="T21" i="5" s="1"/>
  <c r="C20" i="5"/>
  <c r="B20" i="5"/>
  <c r="D20" i="5" s="1"/>
  <c r="T20" i="5" s="1"/>
  <c r="C19" i="5"/>
  <c r="B19" i="5"/>
  <c r="D19" i="5" s="1"/>
  <c r="T19" i="5" s="1"/>
  <c r="C18" i="5"/>
  <c r="B18" i="5"/>
  <c r="D18" i="5" s="1"/>
  <c r="T18" i="5" s="1"/>
  <c r="T39" i="1"/>
  <c r="V24" i="1"/>
  <c r="H35" i="5" l="1"/>
  <c r="U35" i="5"/>
  <c r="G35" i="5"/>
  <c r="S35" i="5" s="1"/>
  <c r="K35" i="5"/>
  <c r="L35" i="5"/>
  <c r="I35" i="5"/>
  <c r="T34" i="5"/>
  <c r="S34" i="5"/>
  <c r="I34" i="5"/>
  <c r="H34" i="5"/>
  <c r="U34" i="5"/>
  <c r="V28" i="1"/>
  <c r="E45" i="5"/>
  <c r="V45" i="5" s="1"/>
  <c r="W25" i="1"/>
  <c r="W30" i="1"/>
  <c r="E47" i="5"/>
  <c r="V47" i="5" s="1"/>
  <c r="E48" i="5"/>
  <c r="G48" i="5" s="1"/>
  <c r="E46" i="5"/>
  <c r="T27" i="1"/>
  <c r="V40" i="1"/>
  <c r="V26" i="1"/>
  <c r="T40" i="1"/>
  <c r="V39" i="1"/>
  <c r="W42" i="1"/>
  <c r="V27" i="1"/>
  <c r="W39" i="1"/>
  <c r="W28" i="1"/>
  <c r="W26" i="1"/>
  <c r="W24" i="1"/>
  <c r="W41" i="1"/>
  <c r="W27" i="1"/>
  <c r="W40" i="1"/>
  <c r="T25" i="1"/>
  <c r="T30" i="1"/>
  <c r="T42" i="1"/>
  <c r="V25" i="1"/>
  <c r="V30" i="1"/>
  <c r="V42" i="1"/>
  <c r="T24" i="1"/>
  <c r="T28" i="1"/>
  <c r="T41" i="1"/>
  <c r="B7" i="5"/>
  <c r="B6" i="5"/>
  <c r="B2" i="5"/>
  <c r="L45" i="5" l="1"/>
  <c r="I45" i="5"/>
  <c r="U45" i="5"/>
  <c r="G45" i="5"/>
  <c r="S45" i="5" s="1"/>
  <c r="K45" i="5"/>
  <c r="H45" i="5"/>
  <c r="G47" i="5"/>
  <c r="V48" i="5"/>
  <c r="G46" i="5"/>
  <c r="B8" i="5"/>
  <c r="B3" i="5"/>
  <c r="C48" i="5"/>
  <c r="B48" i="5"/>
  <c r="D48" i="5" s="1"/>
  <c r="F44" i="5"/>
  <c r="E44" i="5"/>
  <c r="V23" i="1"/>
  <c r="F43" i="5"/>
  <c r="E43" i="5"/>
  <c r="T22" i="1"/>
  <c r="F42" i="5"/>
  <c r="E42" i="5"/>
  <c r="V21" i="1"/>
  <c r="F41" i="5"/>
  <c r="T20" i="1"/>
  <c r="F40" i="5"/>
  <c r="E40" i="5"/>
  <c r="V19" i="1"/>
  <c r="F24" i="5"/>
  <c r="E24" i="5"/>
  <c r="T18" i="1"/>
  <c r="F23" i="5"/>
  <c r="E23" i="5"/>
  <c r="V17" i="1"/>
  <c r="F22" i="5"/>
  <c r="E22" i="5"/>
  <c r="T16" i="1"/>
  <c r="F21" i="5"/>
  <c r="E21" i="5"/>
  <c r="V15" i="1"/>
  <c r="F20" i="5"/>
  <c r="E20" i="5"/>
  <c r="T14" i="1"/>
  <c r="I48" i="5" l="1"/>
  <c r="K48" i="5"/>
  <c r="G20" i="5"/>
  <c r="S20" i="5" s="1"/>
  <c r="L20" i="5"/>
  <c r="V20" i="5"/>
  <c r="U20" i="5"/>
  <c r="H20" i="5"/>
  <c r="K20" i="5"/>
  <c r="I20" i="5"/>
  <c r="T48" i="5"/>
  <c r="S48" i="5"/>
  <c r="U48" i="5"/>
  <c r="H48" i="5"/>
  <c r="L24" i="5"/>
  <c r="K24" i="5"/>
  <c r="I24" i="5"/>
  <c r="H24" i="5"/>
  <c r="G24" i="5"/>
  <c r="S24" i="5" s="1"/>
  <c r="V24" i="5"/>
  <c r="U24" i="5"/>
  <c r="K40" i="5"/>
  <c r="I40" i="5"/>
  <c r="H40" i="5"/>
  <c r="G40" i="5"/>
  <c r="S40" i="5" s="1"/>
  <c r="L40" i="5"/>
  <c r="V40" i="5"/>
  <c r="U40" i="5"/>
  <c r="V43" i="5"/>
  <c r="U43" i="5"/>
  <c r="K43" i="5"/>
  <c r="I43" i="5"/>
  <c r="H43" i="5"/>
  <c r="G43" i="5"/>
  <c r="S43" i="5" s="1"/>
  <c r="L43" i="5"/>
  <c r="I23" i="5"/>
  <c r="H23" i="5"/>
  <c r="G23" i="5"/>
  <c r="S23" i="5" s="1"/>
  <c r="K23" i="5"/>
  <c r="V23" i="5"/>
  <c r="U23" i="5"/>
  <c r="L23" i="5"/>
  <c r="U42" i="5"/>
  <c r="V42" i="5"/>
  <c r="K42" i="5"/>
  <c r="I42" i="5"/>
  <c r="H42" i="5"/>
  <c r="G42" i="5"/>
  <c r="S42" i="5" s="1"/>
  <c r="L42" i="5"/>
  <c r="G21" i="5"/>
  <c r="S21" i="5" s="1"/>
  <c r="V21" i="5"/>
  <c r="U21" i="5"/>
  <c r="I21" i="5"/>
  <c r="L21" i="5"/>
  <c r="H21" i="5"/>
  <c r="K21" i="5"/>
  <c r="V44" i="5"/>
  <c r="L44" i="5"/>
  <c r="U44" i="5"/>
  <c r="K44" i="5"/>
  <c r="I44" i="5"/>
  <c r="H44" i="5"/>
  <c r="G44" i="5"/>
  <c r="S44" i="5" s="1"/>
  <c r="H22" i="5"/>
  <c r="I22" i="5"/>
  <c r="G22" i="5"/>
  <c r="S22" i="5" s="1"/>
  <c r="L22" i="5"/>
  <c r="V22" i="5"/>
  <c r="U22" i="5"/>
  <c r="K22" i="5"/>
  <c r="E41" i="5"/>
  <c r="L48" i="5"/>
  <c r="W15" i="1"/>
  <c r="W19" i="1"/>
  <c r="W23" i="1"/>
  <c r="W21" i="1"/>
  <c r="V18" i="1"/>
  <c r="V20" i="1"/>
  <c r="V22" i="1"/>
  <c r="W18" i="1"/>
  <c r="T19" i="1"/>
  <c r="W20" i="1"/>
  <c r="T21" i="1"/>
  <c r="W22" i="1"/>
  <c r="T23" i="1"/>
  <c r="W17" i="1"/>
  <c r="W16" i="1"/>
  <c r="W14" i="1"/>
  <c r="T15" i="1"/>
  <c r="T17" i="1"/>
  <c r="V14" i="1"/>
  <c r="V16" i="1"/>
  <c r="C46" i="5"/>
  <c r="B46" i="5"/>
  <c r="D46" i="5" s="1"/>
  <c r="V46" i="5" s="1"/>
  <c r="C17" i="5"/>
  <c r="B17" i="5"/>
  <c r="D17" i="5" s="1"/>
  <c r="C16" i="5"/>
  <c r="B16" i="5"/>
  <c r="D16" i="5" s="1"/>
  <c r="I46" i="5" l="1"/>
  <c r="H46" i="5"/>
  <c r="K46" i="5"/>
  <c r="T46" i="5"/>
  <c r="S46" i="5"/>
  <c r="U46" i="5"/>
  <c r="L41" i="5"/>
  <c r="K41" i="5"/>
  <c r="I41" i="5"/>
  <c r="H41" i="5"/>
  <c r="U41" i="5"/>
  <c r="G41" i="5"/>
  <c r="S41" i="5" s="1"/>
  <c r="V41" i="5"/>
  <c r="T16" i="5"/>
  <c r="T17" i="5"/>
  <c r="B6" i="1"/>
  <c r="F19" i="5"/>
  <c r="E19" i="5"/>
  <c r="V13" i="1"/>
  <c r="V19" i="5" l="1"/>
  <c r="U19" i="5"/>
  <c r="K19" i="5"/>
  <c r="I19" i="5"/>
  <c r="H19" i="5"/>
  <c r="G19" i="5"/>
  <c r="S19" i="5" s="1"/>
  <c r="L19" i="5"/>
  <c r="W13" i="1"/>
  <c r="T13" i="1"/>
  <c r="C47" i="5"/>
  <c r="B47" i="5"/>
  <c r="D47" i="5" s="1"/>
  <c r="I47" i="5" s="1"/>
  <c r="C15" i="5"/>
  <c r="B15" i="5"/>
  <c r="D15" i="5" s="1"/>
  <c r="T15" i="5" s="1"/>
  <c r="F18" i="5"/>
  <c r="E18" i="5"/>
  <c r="V12" i="1"/>
  <c r="F17" i="5"/>
  <c r="E17" i="5"/>
  <c r="T11" i="1"/>
  <c r="H47" i="5" l="1"/>
  <c r="K47" i="5"/>
  <c r="V18" i="5"/>
  <c r="U18" i="5"/>
  <c r="K18" i="5"/>
  <c r="I18" i="5"/>
  <c r="H18" i="5"/>
  <c r="G18" i="5"/>
  <c r="S18" i="5" s="1"/>
  <c r="L18" i="5"/>
  <c r="T47" i="5"/>
  <c r="S47" i="5"/>
  <c r="U47" i="5"/>
  <c r="V17" i="5"/>
  <c r="U17" i="5"/>
  <c r="K17" i="5"/>
  <c r="I17" i="5"/>
  <c r="H17" i="5"/>
  <c r="G17" i="5"/>
  <c r="S17" i="5" s="1"/>
  <c r="L46" i="5"/>
  <c r="L17" i="5"/>
  <c r="W12" i="1"/>
  <c r="V11" i="1"/>
  <c r="W11" i="1"/>
  <c r="T12" i="1"/>
  <c r="F15" i="5" l="1"/>
  <c r="E15" i="5"/>
  <c r="V9" i="1"/>
  <c r="U15" i="5" l="1"/>
  <c r="H15" i="5"/>
  <c r="G15" i="5"/>
  <c r="S15" i="5" s="1"/>
  <c r="V15" i="5"/>
  <c r="I15" i="5"/>
  <c r="L15" i="5"/>
  <c r="K15" i="5"/>
  <c r="W9" i="1"/>
  <c r="T9" i="1"/>
  <c r="Q3" i="1" l="1"/>
  <c r="B4" i="5" s="1"/>
  <c r="B5" i="5" s="1"/>
  <c r="F16" i="5" l="1"/>
  <c r="E16" i="5"/>
  <c r="T10" i="1"/>
  <c r="V16" i="5" l="1"/>
  <c r="U16" i="5"/>
  <c r="K16" i="5"/>
  <c r="I16" i="5"/>
  <c r="H16" i="5"/>
  <c r="G16" i="5"/>
  <c r="S16" i="5" s="1"/>
  <c r="L16" i="5"/>
  <c r="L47" i="5"/>
  <c r="V10" i="1"/>
  <c r="W10" i="1"/>
  <c r="W3" i="1" l="1"/>
  <c r="V3" i="1"/>
  <c r="U7" i="1" l="1"/>
  <c r="T3" i="1" l="1"/>
  <c r="F3" i="1"/>
  <c r="J44" i="1"/>
  <c r="O7" i="1" l="1"/>
  <c r="N7" i="1"/>
  <c r="E68" i="3" s="1"/>
  <c r="K7" i="1"/>
  <c r="H6" i="1"/>
  <c r="E27" i="5" s="1"/>
  <c r="I27" i="5" l="1"/>
  <c r="L27" i="5"/>
  <c r="G27" i="5"/>
  <c r="S27" i="5" s="1"/>
  <c r="U27" i="5"/>
  <c r="R10" i="5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N44" i="1"/>
  <c r="V44" i="1"/>
  <c r="O44" i="1"/>
  <c r="P44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44" i="1"/>
  <c r="T7" i="1" l="1"/>
  <c r="W44" i="1"/>
  <c r="G6" i="1" l="1"/>
  <c r="F27" i="5" s="1"/>
  <c r="V13" i="5"/>
  <c r="K13" i="5"/>
  <c r="U13" i="5"/>
  <c r="I13" i="5"/>
  <c r="H13" i="5"/>
  <c r="L13" i="5"/>
  <c r="S13" i="5"/>
  <c r="V27" i="5" l="1"/>
  <c r="H27" i="5"/>
  <c r="K27" i="5"/>
  <c r="K10" i="5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K44" i="1"/>
  <c r="M44" i="1"/>
  <c r="I44" i="1"/>
  <c r="C6" i="1" l="1"/>
  <c r="P7" i="1" s="1"/>
  <c r="S3" i="1"/>
  <c r="S7" i="1" s="1"/>
  <c r="E6" i="1"/>
  <c r="F68" i="3"/>
  <c r="I3" i="1" l="1"/>
  <c r="B7" i="1"/>
  <c r="C7" i="1" l="1"/>
  <c r="Q7" i="1" l="1"/>
  <c r="M68" i="3" s="1"/>
  <c r="L7" i="1"/>
  <c r="G68" i="3" s="1"/>
  <c r="K68" i="3"/>
  <c r="J68" i="3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<sst xmlns="http://schemas.openxmlformats.org/spreadsheetml/2006/main" count="567" uniqueCount="408">
  <si>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</si>
  <si>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</si>
  <si>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</si>
  <si>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</si>
  <si>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</si>
  <si>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</si>
  <si>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</si>
  <si>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</si>
  <si>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</si>
  <si>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</si>
  <si>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</si>
  <si>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</si>
  <si>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</si>
  <si>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</si>
  <si>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</si>
  <si>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</si>
  <si>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</si>
  <si>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</si>
  <si>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</si>
  <si>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</si>
  <si>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</si>
  <si>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</si>
  <si>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</si>
  <si>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</si>
  <si>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</si>
  <si>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</si>
  <si>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</si>
  <si>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</si>
  <si>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</si>
  <si>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</si>
  <si>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</si>
  <si>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</si>
  <si>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</si>
  <si>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</si>
  <si>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</si>
  <si>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</si>
  <si>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</si>
  <si>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</si>
  <si>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</si>
  <si>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</si>
  <si>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</si>
  <si>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</si>
  <si>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</si>
  <si>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</si>
  <si>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</si>
  <si>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</si>
  <si>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</si>
  <si>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</si>
  <si>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</si>
  <si>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</si>
  <si>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</si>
  <si>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</si>
  <si>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</si>
  <si>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</si>
  <si>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</si>
  <si>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</si>
  <si>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</si>
  <si>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</si>
  <si>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</si>
  <si>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</si>
  <si>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</si>
  <si>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</si>
  <si>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</si>
  <si>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</si>
  <si>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</si>
  <si>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</si>
  <si>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</si>
  <si>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</si>
  <si>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</si>
  <si>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</si>
  <si>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</si>
  <si>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</si>
  <si>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</si>
  <si>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</si>
  <si>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</si>
  <si>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</si>
  <si>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</si>
  <si>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</si>
  <si>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</si>
  <si>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</si>
  <si>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</si>
  <si>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</si>
  <si>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</si>
  <si>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</si>
  <si>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</si>
  <si>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</si>
  <si>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</si>
  <si>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</si>
  <si>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</si>
  <si>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</si>
  <si>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</si>
  <si>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</si>
  <si>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</si>
  <si>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</si>
  <si>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</si>
  <si>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</si>
  <si>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</si>
  <si>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</si>
  <si>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</si>
  <si>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</si>
  <si>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</si>
  <si>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</si>
  <si>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</si>
  <si>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</si>
  <si>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</si>
  <si>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</si>
  <si>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</si>
  <si>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</si>
  <si>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</si>
  <si>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</si>
  <si>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</si>
  <si>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</si>
  <si>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</si>
  <si>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</si>
  <si>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</si>
  <si>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</si>
  <si>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</si>
  <si>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</si>
  <si>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</si>
  <si>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</si>
  <si>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</si>
  <si>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</si>
  <si>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</si>
  <si>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</si>
  <si>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</si>
  <si>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</si>
  <si>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</si>
  <si>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</si>
  <si>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</si>
  <si>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</si>
  <si>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</si>
  <si>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</si>
  <si>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</si>
  <si>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</si>
  <si>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</si>
  <si>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</si>
  <si>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</si>
  <si>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</si>
  <si>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</si>
  <si>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</si>
  <si>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</si>
  <si>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</si>
  <si>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</si>
  <si>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</si>
  <si>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</si>
  <si>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</si>
  <si>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</si>
  <si>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</si>
  <si>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</si>
  <si>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</si>
  <si>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</si>
  <si>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</si>
  <si>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</si>
  <si>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</si>
  <si>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</si>
  <si>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</si>
  <si>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</si>
  <si>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</si>
  <si>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</si>
  <si>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</si>
  <si>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</si>
  <si>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</si>
  <si>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</si>
  <si>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</si>
  <si>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</si>
  <si>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</si>
  <si>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</si>
  <si>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</si>
  <si>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</si>
  <si>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</si>
  <si>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</si>
  <si>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</si>
  <si>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</si>
  <si>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</si>
  <si>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</si>
  <si>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</si>
  <si>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</si>
  <si>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</si>
  <si>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</si>
  <si>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</si>
  <si>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</si>
  <si>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</si>
  <si>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</si>
  <si>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</si>
  <si>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</si>
  <si>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</si>
  <si>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</si>
  <si>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</si>
  <si>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</si>
  <si>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</si>
  <si>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</si>
  <si>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</si>
  <si>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</si>
  <si>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</si>
  <si>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</si>
  <si>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</si>
  <si>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</si>
  <si>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</si>
  <si>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</si>
  <si>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</si>
  <si>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</si>
  <si>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</si>
  <si>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</si>
  <si>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</si>
  <si>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</si>
  <si>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</si>
  <si>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</si>
  <si>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</si>
  <si>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</si>
  <si>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</si>
  <si>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</si>
  <si>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</si>
  <si>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</si>
  <si>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</si>
  <si>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</si>
  <si>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</si>
  <si>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</si>
  <si>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</si>
  <si>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</si>
  <si>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</si>
  <si>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</si>
  <si>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</si>
  <si>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</si>
  <si>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</si>
  <si>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</si>
  <si>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</si>
  <si>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</si>
  <si>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</si>
  <si>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</si>
  <si>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</si>
  <si>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</si>
  <si>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</si>
  <si>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</si>
  <si>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</si>
  <si>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</si>
  <si>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</si>
  <si>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</si>
  <si>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</si>
  <si>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</si>
  <si>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</si>
  <si>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</si>
  <si>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</si>
  <si>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</si>
  <si>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</si>
  <si>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</si>
  <si>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</si>
  <si>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</si>
  <si>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</si>
  <si>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</si>
  <si>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</si>
  <si>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</si>
  <si>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</si>
  <si>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</si>
  <si>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</si>
  <si>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</si>
  <si>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</si>
  <si>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</si>
  <si>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</si>
  <si>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</si>
  <si>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</si>
  <si>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</si>
  <si>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</si>
  <si>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</si>
  <si>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</si>
  <si>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</si>
  <si>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</si>
  <si>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</si>
  <si>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</si>
  <si>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</si>
  <si>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</si>
  <si>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</si>
  <si>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</si>
  <si>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</si>
  <si>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</si>
  <si>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</si>
  <si>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</si>
  <si>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</si>
  <si>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</si>
  <si>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</si>
  <si>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</si>
  <si>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</si>
  <si>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</si>
  <si>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</si>
  <si>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</si>
  <si>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</si>
  <si>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</si>
  <si>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</si>
  <si>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</si>
  <si>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</si>
  <si>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</si>
  <si>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</si>
  <si>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</si>
  <si>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</si>
  <si>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</si>
  <si>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</si>
  <si>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</si>
  <si>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</si>
  <si>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</si>
  <si>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</si>
  <si>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</si>
  <si>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</si>
  <si>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</si>
  <si>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</si>
  <si>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</si>
  <si>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</si>
  <si>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</si>
  <si>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</si>
  <si>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</si>
  <si>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</si>
  <si>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</si>
  <si>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</si>
  <si>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</si>
  <si>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</si>
  <si>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</si>
  <si>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</si>
  <si>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</si>
  <si>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</si>
  <si>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</si>
  <si>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</si>
  <si>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</si>
  <si>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</si>
  <si>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</si>
  <si>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</si>
  <si>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</si>
  <si>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</si>
  <si>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</si>
  <si>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</si>
  <si>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</si>
  <si>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</si>
  <si>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</si>
  <si>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</si>
  <si>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</si>
  <si>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</si>
  <si>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</si>
  <si>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</si>
  <si>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</si>
  <si>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</si>
  <si>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</si>
  <si>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</si>
  <si>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</si>
  <si>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</si>
  <si>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</si>
  <si>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</si>
  <si>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</si>
  <si>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</si>
  <si>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</si>
  <si>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</si>
  <si>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</si>
  <si>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</si>
  <si>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</si>
  <si>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</si>
  <si>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</si>
  <si>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</si>
  <si>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</si>
  <si>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VARCHAR(10)</t>
  </si>
  <si>
    <t>VARCHAR(4)</t>
  </si>
  <si>
    <t>VARCHAR(1)</t>
  </si>
  <si>
    <t>Quantity</t>
  </si>
  <si>
    <t>WBS</t>
  </si>
  <si>
    <t>Cost_Center</t>
  </si>
  <si>
    <t>VARCHAR(3)</t>
  </si>
  <si>
    <t>VARCHAR(40)</t>
  </si>
  <si>
    <t>VARCHAR(24)</t>
  </si>
  <si>
    <t>Inventory.IF</t>
  </si>
  <si>
    <t>IF</t>
  </si>
  <si>
    <t>Record_ID</t>
  </si>
  <si>
    <t>Company_Code</t>
  </si>
  <si>
    <t>Posting_Date</t>
  </si>
  <si>
    <t>Ending_of_Record</t>
  </si>
  <si>
    <t>VARCHAR(7)</t>
  </si>
  <si>
    <t>VARCHAR(8)</t>
  </si>
  <si>
    <t>Normal_Cancel_Flag</t>
  </si>
  <si>
    <t>VARCHAR(2)</t>
  </si>
  <si>
    <t>Country_Code</t>
  </si>
  <si>
    <t>Company_Branch</t>
  </si>
  <si>
    <t>Posting_Key</t>
  </si>
  <si>
    <t>Document_No</t>
  </si>
  <si>
    <t>Document_Type</t>
  </si>
  <si>
    <t>Document_Date</t>
  </si>
  <si>
    <t>Plant</t>
  </si>
  <si>
    <t>Reference_Document_No</t>
  </si>
  <si>
    <t>Amount</t>
  </si>
  <si>
    <t>Currency</t>
  </si>
  <si>
    <t>Order</t>
  </si>
  <si>
    <t>GL_Account</t>
  </si>
  <si>
    <t>Text</t>
  </si>
  <si>
    <t>Profit_Center</t>
  </si>
  <si>
    <t>Base_Unit_of_Measure</t>
  </si>
  <si>
    <t>Amount_in_Local_currency</t>
  </si>
  <si>
    <t>Exchange_Rate</t>
  </si>
  <si>
    <t>Ref_Key_1</t>
  </si>
  <si>
    <t>Ref_Key_2</t>
  </si>
  <si>
    <t>Ref_Key_3</t>
  </si>
  <si>
    <t>Earmark_Fund</t>
  </si>
  <si>
    <t>Earmark_Fund_item</t>
  </si>
  <si>
    <t>Material_No</t>
  </si>
  <si>
    <t>Main_Asset_Number</t>
  </si>
  <si>
    <t>Asset_Sub_Number</t>
  </si>
  <si>
    <t>Trans_Type</t>
  </si>
  <si>
    <t>VARCHAR(5)</t>
  </si>
  <si>
    <t>VARCHAR(25)</t>
  </si>
  <si>
    <t>VARCHAR(16)</t>
  </si>
  <si>
    <t>VARCHAR(12)</t>
  </si>
  <si>
    <t>VARCHAR(50)</t>
  </si>
  <si>
    <t>VARCHAR(23)</t>
  </si>
  <si>
    <t>VARCHAR(20)</t>
  </si>
  <si>
    <t>FQF3MM07</t>
  </si>
  <si>
    <t>IF_FQF3MM07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</si>
</sst>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theme="1"/>
      <name val="Calibri"/>
      <family val="2"/>
      <scheme val="minor"/>
    </font>
    <font>
      <sz val="10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FF"/>
        <bgColor rgb="FF000000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9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20" fillId="0" borderId="5" xfId="0" applyFont="1" applyBorder="1" applyAlignment="1">
      <alignment vertical="center"/>
    </xf>
    <xf numFmtId="0" fontId="20" fillId="14" borderId="6" xfId="0" applyFont="1" applyFill="1" applyBorder="1" applyAlignment="1">
      <alignment vertical="center"/>
    </xf>
    <xf numFmtId="0" fontId="20" fillId="14" borderId="5" xfId="0" applyFont="1" applyFill="1" applyBorder="1" applyAlignment="1">
      <alignment vertical="center"/>
    </xf>
    <xf numFmtId="0" fontId="20" fillId="0" borderId="6" xfId="0" applyFont="1" applyBorder="1" applyAlignment="1">
      <alignment vertical="center"/>
    </xf>
    <xf numFmtId="0" fontId="20" fillId="0" borderId="5" xfId="0" applyFont="1" applyBorder="1" applyAlignment="1">
      <alignment vertical="top"/>
    </xf>
    <xf numFmtId="0" fontId="20" fillId="0" borderId="6" xfId="0" applyFont="1" applyBorder="1" applyAlignment="1">
      <alignment vertical="top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2">
    <cellStyle name="Normal" xfId="0" builtinId="0"/>
    <cellStyle name="Normal 2 2 2 2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abSelected="1" topLeftCell="A64" zoomScaleNormal="100" workbookViewId="0">
      <selection activeCell="F68" sqref="F6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prod.Inventory.IF
{
	[Table("IF_FQF3MM07")]
	public class IF_FQF3MM07: FullAuditedEntity&lt;long&gt;, IEntity&lt;long&gt;	
	{
		public const int MaxRecordIdLength = 7;
		public const int MaxCountryCodeLength = 3;
		public const int MaxCompanyCodeLength = 4;
		public const int MaxCompanyBranchLength = 5;
		public const int MaxPostingKeyLength = 2;
		public const int MaxCostCenterLength = 10;
		public const int MaxDocumentNoLength = 25;
		public const int MaxDocumentTypeLength = 2;
		public const int MaxDocumentDateLength = 8;
		public const int MaxPostingDateLength = 8;
		public const int MaxPlantLength = 4;
		public const int MaxReferenceDocumentNoLength = 16;
		public const int MaxCurrencyLength = 3;
		public const int MaxOrderLength = 12;
		public const int MaxGlAccountLength = 10;
		public const int MaxNormalCancelFlagLength = 1;
		public const int MaxTextLength = 50;
		public const int MaxProfitCenterLength = 10;
		public const int MaxWbsLength = 24;
		public const int MaxBaseUnitOfMeasureLength = 3;
		public const int MaxAmountInLocalCurrencyLength = 23;
		public const int MaxExchangeRateLength = 10;
		public const int MaxRefKey1Length = 12;
		public const int MaxRefKey2Length = 12;
		public const int MaxRefKey3Length = 20;
		public const int MaxEarmarkFundLength = 10;
		public const int MaxEarmarkFundItemLength = 3;
		public const int MaxMaterialNoLength = 40;
		public const int MaxMainAssetNumberLength = 12;
		public const int MaxAssetSubNumberLength = 4;
		public const int MaxTransTypeLength = 3;
		public const int MaxEndingOfRecordLength = 24;
		[StringLength(MaxRecordIdLength)]
		public virtual string RecordId { get; set; }
		[StringLength(MaxCountryCodeLength)]
		public virtual string CountryCode { get; set; }
		[StringLength(MaxCompanyCodeLength)]
		public virtual string CompanyCode { get; set; }
		[StringLength(MaxCompanyBranchLength)]
		public virtual string CompanyBranch { get; set; }
		[StringLength(MaxPostingKeyLength)]
		public virtual string PostingKey { get; set; }
		[StringLength(MaxCostCenterLength)]
		public virtual string CostCenter { get; set; }
		[StringLength(MaxDocumentNoLength)]
		public virtual string DocumentNo { get; set; }
		[StringLength(MaxDocumentTypeLength)]
		public virtual string DocumentType { get; set; }
		[StringLength(MaxDocumentDateLength)]
		public virtual string DocumentDate { get; set; }
		[StringLength(MaxPostingDateLength)]
		public virtual string PostingDate { get; set; }
		[StringLength(MaxPlantLength)]
		public virtual string Plant { get; set; }
		[StringLength(MaxReferenceDocumentNoLength)]
		public virtual string ReferenceDocumentNo { get; set; }
		public virtual int? Amount { get; set; }
		[StringLength(MaxCurrencyLength)]
		public virtual string Currency { get; set; }
		[StringLength(MaxOrderLength)]
		public virtual string Order { get; set; }
		[StringLength(MaxGlAccountLength)]
		public virtual string GlAccount { get; set; }
		[StringLength(MaxNormalCancelFlagLength)]
		public virtual string NormalCancelFlag { get; set; }
		[StringLength(MaxTextLength)]
		public virtual string Text { get; set; }
		[StringLength(MaxProfitCenterLength)]
		public virtual string ProfitCenter { get; set; }
		[StringLength(MaxWbsLength)]
		public virtual string Wbs { get; set; }
		public virtual int? Quantity { get; set; }
		[StringLength(MaxBaseUnitOfMeasureLength)]
		public virtual string BaseUnitOfMeasure { get; set; }
		[StringLength(MaxAmountInLocalCurrencyLength)]
		public virtual string AmountInLocalCurrency { get; set; }
		[StringLength(MaxExchangeRateLength)]
		public virtual string ExchangeRate { get; set; }
		[StringLength(MaxRefKey1Length)]
		public virtual string RefKey1 { get; set; }
		[StringLength(MaxRefKey2Length)]
		public virtual string RefKey2 { get; set; }
		[StringLength(MaxRefKey3Length)]
		public virtual string RefKey3 { get; set; }
		[StringLength(MaxEarmarkFundLength)]
		public virtual string EarmarkFund { get; set; }
		[StringLength(MaxEarmarkFundItemLength)]
		public virtual string EarmarkFundItem { get; set; }
		[StringLength(MaxMaterialNoLength)]
		public virtual string MaterialNo { get; set; }
		[StringLength(MaxMainAssetNumberLength)]
		public virtual string MainAssetNumber { get; set; }
		[StringLength(MaxAssetSubNumberLength)]
		public virtual string AssetSubNumber { get; set; }
		[StringLength(MaxTransTypeLength)]
		public virtual string TransType { get; set; }
		[StringLength(MaxEndingOfRecordLength)]
		public virtual string EndingOfRecord { get; set; }
	}
}
</v>
      </c>
      <c r="D68" s="48" t="str">
        <f>A.Backend!O7</f>
        <v xml:space="preserve">		public const string Pages_Inventory_IF_FQF3MM07 = "Pages.Inventory.IF.FQF3MM07";
		public const string Pages_Inventory_IF_FQF3MM07_CreateEdit = "Pages.Inventory.IF.FQF3MM07.CreateEdit";
		public const string Pages_Inventory_IF_FQF3MM07_Delete = "Pages.Inventory.IF.FQF3MM07.Delete";
</v>
      </c>
      <c r="E68" s="48" t="str">
        <f>A.Backend!N7</f>
        <v xml:space="preserve">		var perIF_FQF3MM07 = PARENTS.CreateChildPermission(AppPermissions.Pages_Inventory_IF_FQF3MM07, L( "InventoryIFFQF3MM07"), multiTenancySides: MultiTenancySides.Tenant);
		perIF_FQF3MM07.CreateChildPermission(AppPermissions.Pages_Inventory_IF_FQF3MM07_CreateEdit, L( "InventoryIFFQF3MM07CreateEdit"), multiTenancySides: MultiTenancySides.Tenant);
		perIF_FQF3MM07.CreateChildPermission(AppPermissions.Pages_Inventory_IF_FQF3MM07_Delete, L( "InventoryIFFQF3MM07Delete"), multiTenancySides: MultiTenancySides.Tenant);</v>
      </c>
      <c r="F68" s="48" t="str">
        <f>A.Backend!K7</f>
        <v>public virtual DbSet&lt;IF_FQF3MM07&gt; IF_FQF3MM07s { get; set; }</v>
      </c>
      <c r="G68" s="48" t="str">
        <f ca="1">A.Backend!L7</f>
        <v xml:space="preserve">namespace prod.Inventory.IF
{
	public class IF_FQF3MM07Consts	
	{
		public const int MaxRecordIdLength = 7;
		public const int MaxCountryCodeLength = 3;
		public const int MaxCompanyCodeLength = 4;
		public const int MaxCompanyBranchLength = 5;
		public const int MaxPostingKeyLength = 2;
		public const int MaxCostCenterLength = 10;
		public const int MaxDocumentNoLength = 25;
		public const int MaxDocumentTypeLength = 2;
		public const int MaxDocumentDateLength = 8;
		public const int MaxPostingDateLength = 8;
		public const int MaxPlantLength = 4;
		public const int MaxReferenceDocumentNoLength = 16;
		public const int MaxCurrencyLength = 3;
		public const int MaxOrderLength = 12;
		public const int MaxGlAccountLength = 10;
		public const int MaxNormalCancelFlagLength = 1;
		public const int MaxTextLength = 50;
		public const int MaxProfitCenterLength = 10;
		public const int MaxWbsLength = 24;
		public const int MaxBaseUnitOfMeasureLength = 3;
		public const int MaxAmountInLocalCurrencyLength = 23;
		public const int MaxExchangeRateLength = 10;
		public const int MaxRefKey1Length = 12;
		public const int MaxRefKey2Length = 12;
		public const int MaxRefKey3Length = 20;
		public const int MaxEarmarkFundLength = 10;
		public const int MaxEarmarkFundItemLength = 3;
		public const int MaxMaterialNoLength = 40;
		public const int MaxMainAssetNumberLength = 12;
		public const int MaxAssetSubNumberLength = 4;
		public const int MaxTransTypeLength = 3;
		public const int MaxEndingOfRecordLength = 24;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prod.Inventory.IF.Dto
{
	public class IF_FQF3MM07Dto : EntityDto&lt;long?&gt;	
	{
		public virtual string RecordId { get; set; }
		public virtual string CountryCode { get; set; }
		public virtual string CompanyCode { get; set; }
		public virtual string CompanyBranch { get; set; }
		public virtual string PostingKey { get; set; }
		public virtual string CostCenter { get; set; }
		public virtual string DocumentNo { get; set; }
		public virtual string DocumentType { get; set; }
		public virtual string DocumentDate { get; set; }
		public virtual string PostingDate { get; set; }
		public virtual string Plant { get; set; }
		public virtual string ReferenceDocumentNo { get; set; }
		public virtual int? Amount { get; set; }
		public virtual string Currency { get; set; }
		public virtual string Order { get; set; }
		public virtual string GlAccount { get; set; }
		public virtual string NormalCancelFlag { get; set; }
		public virtual string Text { get; set; }
		public virtual string ProfitCenter { get; set; }
		public virtual string Wbs { get; set; }
		public virtual int? Quantity { get; set; }
		public virtual string BaseUnitOfMeasure { get; set; }
		public virtual string AmountInLocalCurrency { get; set; }
		public virtual string ExchangeRate { get; set; }
		public virtual string RefKey1 { get; set; }
		public virtual string RefKey2 { get; set; }
		public virtual string RefKey3 { get; set; }
		public virtual string EarmarkFund { get; set; }
		public virtual string EarmarkFundItem { get; set; }
		public virtual string MaterialNo { get; set; }
		public virtual string MainAssetNumber { get; set; }
		public virtual string AssetSubNumber { get; set; }
		public virtual string TransType { get; set; }
		public virtual string EndingOfRecord { get; set; }
	}
	public class CreateOrEditIF_FQF3MM07Dto : EntityDto&lt;long?&gt;	
	{
		[StringLength(IF_FQF3MM07Consts.MaxRecordIdLength)]
		public virtual string RecordId { get; set; }
		[StringLength(IF_FQF3MM07Consts.MaxCountryCodeLength)]
		public virtual string CountryCode { get; set; }
		[StringLength(IF_FQF3MM07Consts.MaxCompanyCodeLength)]
		public virtual string CompanyCode { get; set; }
		[StringLength(IF_FQF3MM07Consts.MaxCompanyBranchLength)]
		public virtual string CompanyBranch { get; set; }
		[StringLength(IF_FQF3MM07Consts.MaxPostingKeyLength)]
		public virtual string PostingKey { get; set; }
		[StringLength(IF_FQF3MM07Consts.MaxCostCenterLength)]
		public virtual string CostCenter { get; set; }
		[StringLength(IF_FQF3MM07Consts.MaxDocumentNoLength)]
		public virtual string DocumentNo { get; set; }
		[StringLength(IF_FQF3MM07Consts.MaxDocumentTypeLength)]
		public virtual string DocumentType { get; set; }
		[StringLength(IF_FQF3MM07Consts.MaxDocumentDateLength)]
		public virtual string DocumentDate { get; set; }
		[StringLength(IF_FQF3MM07Consts.MaxPostingDateLength)]
		public virtual string PostingDate { get; set; }
		[StringLength(IF_FQF3MM07Consts.MaxPlantLength)]
		public virtual string Plant { get; set; }
		[StringLength(IF_FQF3MM07Consts.MaxReferenceDocumentNoLength)]
		public virtual string ReferenceDocumentNo { get; set; }
		public virtual int? Amount { get; set; }
		[StringLength(IF_FQF3MM07Consts.MaxCurrencyLength)]
		public virtual string Currency { get; set; }
		[StringLength(IF_FQF3MM07Consts.MaxOrderLength)]
		public virtual string Order { get; set; }
		[StringLength(IF_FQF3MM07Consts.MaxGlAccountLength)]
		public virtual string GlAccount { get; set; }
		[StringLength(IF_FQF3MM07Consts.MaxNormalCancelFlagLength)]
		public virtual string NormalCancelFlag { get; set; }
		[StringLength(IF_FQF3MM07Consts.MaxTextLength)]
		public virtual string Text { get; set; }
		[StringLength(IF_FQF3MM07Consts.MaxProfitCenterLength)]
		public virtual string ProfitCenter { get; set; }
		[StringLength(IF_FQF3MM07Consts.MaxWbsLength)]
		public virtual string Wbs { get; set; }
		public virtual int? Quantity { get; set; }
		[StringLength(IF_FQF3MM07Consts.MaxBaseUnitOfMeasureLength)]
		public virtual string BaseUnitOfMeasure { get; set; }
		[StringLength(IF_FQF3MM07Consts.MaxAmountInLocalCurrencyLength)]
		public virtual string AmountInLocalCurrency { get; set; }
		[StringLength(IF_FQF3MM07Consts.MaxExchangeRateLength)]
		public virtual string ExchangeRate { get; set; }
		[StringLength(IF_FQF3MM07Consts.MaxRefKey1Length)]
		public virtual string RefKey1 { get; set; }
		[StringLength(IF_FQF3MM07Consts.MaxRefKey2Length)]
		public virtual string RefKey2 { get; set; }
		[StringLength(IF_FQF3MM07Consts.MaxRefKey3Length)]
		public virtual string RefKey3 { get; set; }
		[StringLength(IF_FQF3MM07Consts.MaxEarmarkFundLength)]
		public virtual string EarmarkFund { get; set; }
		[StringLength(IF_FQF3MM07Consts.MaxEarmarkFundItemLength)]
		public virtual string EarmarkFundItem { get; set; }
		[StringLength(IF_FQF3MM07Consts.MaxMaterialNoLength)]
		public virtual string MaterialNo { get; set; }
		[StringLength(IF_FQF3MM07Consts.MaxMainAssetNumberLength)]
		public virtual string MainAssetNumber { get; set; }
		[StringLength(IF_FQF3MM07Consts.MaxAssetSubNumberLength)]
		public virtual string AssetSubNumber { get; set; }
		[StringLength(IF_FQF3MM07Consts.MaxTransTypeLength)]
		public virtual string TransType { get; set; }
		[StringLength(IF_FQF3MM07Consts.MaxEndingOfRecordLength)]
		public virtual string EndingOfRecord { get; set; }
	}
	public class GetIF_FQF3MM07Input : PagedAndSortedResultRequestDto	
	{
		public virtual string RecordId { get; set; }
		public virtual string CountryCode { get; set; }
		public virtual string CompanyCode { get; set; }
		public virtual string CompanyBranch { get; set; }
		public virtual string PostingKey { get; set; }
		public virtual string CostCenter { get; set; }
		public virtual string DocumentNo { get; set; }
		public virtual string DocumentType { get; set; }
		public virtual string DocumentDate { get; set; }
		public virtual string PostingDate { get; set; }
		public virtual string Plant { get; set; }
		public virtual string ReferenceDocumentNo { get; set; }
		public virtual string Currency { get; set; }
		public virtual string Order { get; set; }
		public virtual string GlAccount { get; set; }
		public virtual string NormalCancelFlag { get; set; }
		public virtual string Text { get; set; }
		public virtual string ProfitCenter { get; set; }
		public virtual string Wbs { get; set; }
		public virtual string BaseUnitOfMeasure { get; set; }
		public virtual string AmountInLocalCurrency { get; set; }
		public virtual string ExchangeRate { get; set; }
		public virtual string RefKey1 { get; set; }
		public virtual string RefKey2 { get; set; }
		public virtual string RefKey3 { get; set; }
		public virtual string EarmarkFund { get; set; }
		public virtual string EarmarkFundItem { get; set; }
		public virtual string MaterialNo { get; set; }
		public virtual string MainAssetNumber { get; set; }
		public virtual string AssetSubNumber { get; set; }
		public virtual string TransType { get; set; }
		public virtual string EndingOfRecord { get; set; }
	}
}
</v>
      </c>
      <c r="I68" s="48" t="str">
        <f ca="1">A.Backend!R7</f>
        <v xml:space="preserve">using Abp.Application.Services.Dto;
using System;
using System.ComponentModel.DataAnnotations;
namespace prod.Inventory.IF.Dto
{
	public class IF_FQF3MM07ExportInput{
		public virtual string RecordId { get; set; }
		public virtual string CountryCode { get; set; }
		public virtual string CompanyCode { get; set; }
		public virtual string CompanyBranch { get; set; }
		public virtual string PostingKey { get; set; }
		public virtual string CostCenter { get; set; }
		public virtual string DocumentNo { get; set; }
		public virtual string DocumentType { get; set; }
		public virtual string DocumentDate { get; set; }
		public virtual string PostingDate { get; set; }
		public virtual string Plant { get; set; }
		public virtual string ReferenceDocumentNo { get; set; }
		public virtual int? Amount { get; set; }
		public virtual string Currency { get; set; }
		public virtual string Order { get; set; }
		public virtual string GlAccount { get; set; }
		public virtual string NormalCancelFlag { get; set; }
		public virtual string Text { get; set; }
		public virtual string ProfitCenter { get; set; }
		public virtual string Wbs { get; set; }
		public virtual int? Quantity { get; set; }
		public virtual string BaseUnitOfMeasure { get; set; }
		public virtual string AmountInLocalCurrency { get; set; }
		public virtual string ExchangeRate { get; set; }
		public virtual string RefKey1 { get; set; }
		public virtual string RefKey2 { get; set; }
		public virtual string RefKey3 { get; set; }
		public virtual string EarmarkFund { get; set; }
		public virtual string EarmarkFundItem { get; set; }
		public virtual string MaterialNo { get; set; }
		public virtual string MainAssetNumber { get; set; }
		public virtual string AssetSubNumber { get; set; }
		public virtual string TransType { get; set; }
		public virtual string EndingOfRecord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vovina.Inventory.IF.Dto;
namespace prod.Inventory.IF
{
	public interface IIF_FQF3MM07AppService : IApplicationService
	{
		Task&lt;PagedResultDto&lt;IF_FQF3MM07Dto&gt;&gt; GetAll(GetIF_FQF3MM07Input input);
		Task CreateOrEdit(CreateOrEditIF_FQF3MM07Dto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vovina.Inventory.IF.Dto;
namespace prod.Inventory.IF.Exporting
{
	public interface IIF_FQF3MM07ExcelExporter : IApplicationService
	{
		FileDto ExportToFile(List&lt;IF_FQF3MM07Dto&gt; if_fqf3mm07);
	}
}
</v>
      </c>
      <c r="L68" s="48" t="str">
        <f ca="1">A.Backend!T7</f>
        <v>using System.Collections.Generic;
using vovina.DataExporting.Excel.NPOI;
using vovina.Dto;
using vovina.IF.IF.Exporting;
using vovina.IF.IF.Dto;
using vovina.Storage;
using vovina.IF.IF.Dto;
namespace vovina.IF.IF.Exporting
{
    public class IF_FQF3MM07ExcelExporter : NpoiExcelExporterBase, IIF_FQF3MM07ExcelExporter
    {
        public IF_FQF3MM07ExcelExporter(ITempFileCacheManager tempFileCacheManager) : base(tempFileCacheManager) { }
        public FileDto ExportToFile(List&lt;IF_FQF3MM07Dto&gt; fqf3mm07)
        {
            return CreateExcelPackage(
				"IFIFFQF3MM07.xlsx",
				excelPackage =&gt;
				 {
					var sheet = excelPackage.CreateSheet("FQF3MM07");
					AddHeader(
								sheet,
								("RecordId"),
								("CountryCode"),
								("CompanyCode"),
								("CompanyBranch"),
								("PostingKey"),
								("CostCenter"),
								("DocumentNo"),
								("DocumentType"),
								("DocumentDate"),
								("PostingDate"),
								("Plant"),
								("ReferenceDocumentNo"),
								("Amount"),
								("Currency"),
								("Order"),
								("GlAccount"),
								("NormalCancelFlag"),
								("Text"),
								("ProfitCenter"),
								("Wbs"),
								("Quantity"),
								("BaseUnitOfMeasure"),
								("AmountInLocalCurrency"),
								("ExchangeRate"),
								("RefKey1"),
								("RefKey2"),
								("RefKey3"),
								("EarmarkFund"),
								("EarmarkFundItem"),
								("MaterialNo"),
								("MainAssetNumber"),
								("AssetSubNumber"),
								("TransType"),
								("EndingOfRecord"),
							   );
					AddObjects(
						 sheet, 1, fqf3mm07,                                       
								_ =&gt; _.RecordId,
								_ =&gt; _.CountryCode,
								_ =&gt; _.CompanyCode,
								_ =&gt; _.CompanyBranch,
								_ =&gt; _.PostingKey,
								_ =&gt; _.CostCenter,
								_ =&gt; _.DocumentNo,
								_ =&gt; _.DocumentType,
								_ =&gt; _.DocumentDate,
								_ =&gt; _.PostingDate,
								_ =&gt; _.Plant,
								_ =&gt; _.ReferenceDocumentNo,
								_ =&gt; _.Amount,
								_ =&gt; _.Currency,
								_ =&gt; _.Order,
								_ =&gt; _.GlAccount,
								_ =&gt; _.NormalCancelFlag,
								_ =&gt; _.Text,
								_ =&gt; _.ProfitCenter,
								_ =&gt; _.Wbs,
								_ =&gt; _.Quantity,
								_ =&gt; _.BaseUnitOfMeasure,
								_ =&gt; _.AmountInLocalCurrency,
								_ =&gt; _.ExchangeRate,
								_ =&gt; _.RefKey1,
								_ =&gt; _.RefKey2,
								_ =&gt; _.RefKey3,
								_ =&gt; _.EarmarkFund,
								_ =&gt; _.EarmarkFundItem,
								_ =&gt; _.MaterialNo,
								_ =&gt; _.MainAssetNumber,
								_ =&gt; _.AssetSubNumber,
								_ =&gt; _.TransType,
								_ =&gt; _.EndingOfRecord,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vovina.IF.IF.Dto;
using vovina.IF.IF.Exporting;
namespace vovina.IF.IF
{
    [AbpAuthorize(AppPermissions.Pages_IF_IF_FQF3MM07)]
    public class IF_FQF3MM07AppService : vovinaAppServiceBase, IIF_FQF3MM07AppService
    {
        private readonly IDapperRepository&lt;IF_FQF3MM07, long&gt; _dapperRepo;
        private readonly IRepository&lt;IF_FQF3MM07, long&gt; _repo;
        private readonly IIF_FQF3MM07ExcelExporter _calendarListExcelExporter;
        public IF_FQF3MM07AppService(IRepository&lt;IF_FQF3MM07,long&gt; repo, 
                                         IDapperRepository&lt;IF_FQF3MM07,long&gt; dapperRepo,
                                        IIF_FQF3MM07ExcelExporter calendarListExcelExporter
            )
        {
            _repo = repo;
            _dapperRepo = dapperRepo;
            _calendarListExcelExporter = calendarListExcelExporter;
        }
        [AbpAuthorize(AppPermissions.Pages_IF_IF_FQF3MM07_CreateEdit)]
        public async Task CreateOrEdit(CreateOrEditIF_FQF3MM07Dto input)
        {
            if (input.Id == null) await Create(input);
            else await Update(input);
        }
        //CREATE
        private async Task Create(CreateOrEditIF_FQF3MM07Dto input)
        {          
            var mainObj = ObjectMapper.Map&lt;IF_FQF3MM07&gt;(input);
            await CurrentUnitOfWork.GetDbContext&lt;vovinaDbContext&gt;().AddAsync(mainObj);
        }
        // EDIT
        private async Task Update(CreateOrEditIF_FQF3MM07Dto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[AbpAuthorize(AppPermissions.Pages_IF_IF_FQF3MM07_Delete)]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Task&lt;PagedResultDto&lt;IF_FQF3MM07Dto&gt;&gt; GetAll(GetIF_FQF3MM07Input input)
        {
            var filtered = _repo.GetAll()
				.WhereIf(!string.IsNullOrWhiteSpace(input.RecordId), e =&gt; e.RecordId.Contains(input.RecordId))
				.WhereIf(!string.IsNullOrWhiteSpace(input.CountryCode), e =&gt; e.CountryCode.Contains(input.CountryCode))
				.WhereIf(!string.IsNullOrWhiteSpace(input.CompanyCode), e =&gt; e.CompanyCode.Contains(input.CompanyCode))
				.WhereIf(!string.IsNullOrWhiteSpace(input.CompanyBranch), e =&gt; e.CompanyBranch.Contains(input.CompanyBranch))
				.WhereIf(!string.IsNullOrWhiteSpace(input.PostingKey), e =&gt; e.PostingKey.Contains(input.PostingKey))
				.WhereIf(!string.IsNullOrWhiteSpace(input.CostCenter), e =&gt; e.CostCenter.Contains(input.CostCenter))
				.WhereIf(!string.IsNullOrWhiteSpace(input.DocumentNo), e =&gt; e.DocumentNo.Contains(input.DocumentNo))
				.WhereIf(!string.IsNullOrWhiteSpace(input.DocumentType), e =&gt; e.DocumentType.Contains(input.DocumentType))
				.WhereIf(!string.IsNullOrWhiteSpace(input.DocumentDate), e =&gt; e.DocumentDate.Contains(input.DocumentDate))
				.WhereIf(!string.IsNullOrWhiteSpace(input.PostingDate), e =&gt; e.PostingDate.Contains(input.PostingDate))
				.WhereIf(!string.IsNullOrWhiteSpace(input.Plant), e =&gt; e.Plant.Contains(input.Plant))
				.WhereIf(!string.IsNullOrWhiteSpace(input.ReferenceDocumentNo), e =&gt; e.ReferenceDocumentNo.Contains(input.ReferenceDocumentNo))
				.WhereIf(!string.IsNullOrWhiteSpace(input.Currency), e =&gt; e.Currency.Contains(input.Currency))
				.WhereIf(!string.IsNullOrWhiteSpace(input.Order), e =&gt; e.Order.Contains(input.Order))
				.WhereIf(!string.IsNullOrWhiteSpace(input.GlAccount), e =&gt; e.GlAccount.Contains(input.GlAccount))
				.WhereIf(!string.IsNullOrWhiteSpace(input.NormalCancelFlag), e =&gt; e.NormalCancelFlag.Contains(input.NormalCancelFlag))
				.WhereIf(!string.IsNullOrWhiteSpace(input.Text), e =&gt; e.Text.Contains(input.Text))
				.WhereIf(!string.IsNullOrWhiteSpace(input.ProfitCenter), e =&gt; e.ProfitCenter.Contains(input.ProfitCenter))
				.WhereIf(!string.IsNullOrWhiteSpace(input.Wbs), e =&gt; e.Wbs.Contains(input.Wbs))
				.WhereIf(!string.IsNullOrWhiteSpace(input.BaseUnitOfMeasure), e =&gt; e.BaseUnitOfMeasure.Contains(input.BaseUnitOfMeasure))
				.WhereIf(!string.IsNullOrWhiteSpace(input.AmountInLocalCurrency), e =&gt; e.AmountInLocalCurrency.Contains(input.AmountInLocalCurrency))
				.WhereIf(!string.IsNullOrWhiteSpace(input.ExchangeRate), e =&gt; e.ExchangeRate.Contains(input.ExchangeRate))
				.WhereIf(!string.IsNullOrWhiteSpace(input.RefKey1), e =&gt; e.RefKey1.Contains(input.RefKey1))
				.WhereIf(!string.IsNullOrWhiteSpace(input.RefKey2), e =&gt; e.RefKey2.Contains(input.RefKey2))
				.WhereIf(!string.IsNullOrWhiteSpace(input.RefKey3), e =&gt; e.RefKey3.Contains(input.RefKey3))
				.WhereIf(!string.IsNullOrWhiteSpace(input.EarmarkFund), e =&gt; e.EarmarkFund.Contains(input.EarmarkFund))
				.WhereIf(!string.IsNullOrWhiteSpace(input.EarmarkFundItem), e =&gt; e.EarmarkFundItem.Contains(input.EarmarkFundItem))
				.WhereIf(!string.IsNullOrWhiteSpace(input.MaterialNo), e =&gt; e.MaterialNo.Contains(input.MaterialNo))
				.WhereIf(!string.IsNullOrWhiteSpace(input.MainAssetNumber), e =&gt; e.MainAssetNumber.Contains(input.MainAssetNumber))
				.WhereIf(!string.IsNullOrWhiteSpace(input.AssetSubNumber), e =&gt; e.AssetSubNumber.Contains(input.AssetSubNumber))
				.WhereIf(!string.IsNullOrWhiteSpace(input.TransType), e =&gt; e.TransType.Contains(input.TransType))
				.WhereIf(!string.IsNullOrWhiteSpace(input.EndingOfRecord), e =&gt; e.EndingOfRecord.Contains(input.EndingOfRecord))                   
				;
            var pageAndFiltered = filtered.OrderBy(s =&gt; s.Id);
            var system = from o in pageAndFiltered
                         select new IF_FQF3MM07Dto
                        {
							Id = o.Id,
							RecordId = o.RecordId,
							CountryCode = o.CountryCode,
							CompanyCode = o.CompanyCode,
							CompanyBranch = o.CompanyBranch,
							PostingKey = o.PostingKey,
							CostCenter = o.CostCenter,
							DocumentNo = o.DocumentNo,
							DocumentType = o.DocumentType,
							DocumentDate = o.DocumentDate,
							PostingDate = o.PostingDate,
							Plant = o.Plant,
							ReferenceDocumentNo = o.ReferenceDocumentNo,
							Amount = o.Amount,
							Currency = o.Currency,
							Order = o.Order,
							GlAccount = o.GlAccount,
							NormalCancelFlag = o.NormalCancelFlag,
							Text = o.Text,
							ProfitCenter = o.ProfitCenter,
							Wbs = o.Wbs,
							Quantity = o.Quantity,
							BaseUnitOfMeasure = o.BaseUnitOfMeasure,
							AmountInLocalCurrency = o.AmountInLocalCurrency,
							ExchangeRate = o.ExchangeRate,
							RefKey1 = o.RefKey1,
							RefKey2 = o.RefKey2,
							RefKey3 = o.RefKey3,
							EarmarkFund = o.EarmarkFund,
							EarmarkFundItem = o.EarmarkFundItem,
							MaterialNo = o.MaterialNo,
							MainAssetNumber = o.MainAssetNumber,
							AssetSubNumber = o.AssetSubNumber,
							TransType = o.TransType,
							EndingOfRecord = o.EndingOfRecord,
                        };
            var totalCount = await filtered.CountAsync();
			var paged = system.PageBy(input);
            return new PagedResultDto&lt;IF_FQF3MM07Dto&gt;(
                totalCount,
                 await paged.ToListAsync()
            );
        }
        public async Task&lt;FileDto&gt; GetFQF3MM07ToExcel(IF_FQF3MM07ExportInput input)
        {
            var query = from o in _repo.GetAll()
                        select new IF_FQF3MM07Dto
                        {
							Id = o.Id,
							RecordId = o.RecordId,
							CountryCode = o.CountryCode,
							CompanyCode = o.CompanyCode,
							CompanyBranch = o.CompanyBranch,
							PostingKey = o.PostingKey,
							CostCenter = o.CostCenter,
							DocumentNo = o.DocumentNo,
							DocumentType = o.DocumentType,
							DocumentDate = o.DocumentDate,
							PostingDate = o.PostingDate,
							Plant = o.Plant,
							ReferenceDocumentNo = o.ReferenceDocumentNo,
							Amount = o.Amount,
							Currency = o.Currency,
							Order = o.Order,
							GlAccount = o.GlAccount,
							NormalCancelFlag = o.NormalCancelFlag,
							Text = o.Text,
							ProfitCenter = o.ProfitCenter,
							Wbs = o.Wbs,
							Quantity = o.Quantity,
							BaseUnitOfMeasure = o.BaseUnitOfMeasure,
							AmountInLocalCurrency = o.AmountInLocalCurrency,
							ExchangeRate = o.ExchangeRate,
							RefKey1 = o.RefKey1,
							RefKey2 = o.RefKey2,
							RefKey3 = o.RefKey3,
							EarmarkFund = o.EarmarkFund,
							EarmarkFundItem = o.EarmarkFundItem,
							MaterialNo = o.MaterialNo,
							MainAssetNumber = o.MainAssetNumber,
							AssetSubNumber = o.AssetSubNumber,
							TransType = o.TransType,
							EndingOfRecord = o.EndingOfRecord,
                        };
            var exportToExcel = await query.ToListAsync();
            return _calendarListExcelExporter.ExportToFile(exportToExcel);
        }
       // public async Task GenerateAsync()
      //  {
        //    await _dapperRepo.ExecuteAsync(IF_FQF3MM07Consts.SP_MST_WPT_CALENDAR_GENERATE);
       // }
    }
}</v>
      </c>
      <c r="N68" s="58" t="str">
        <f>A.Backend!U7</f>
        <v xml:space="preserve">  configuration.CreateMap&lt;IF_FQF3MM07Dto, IF_FQF3MM07&gt;();
  configuration.CreateMap&lt;IF_FQF3MM07, IF_FQF3MM07Dto&gt;();
  configuration.CreateMap&lt;CreateOrEditIF_FQF3MM07Dto, IF_FQF3MM07&gt;();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fqf3mm07</v>
      </c>
      <c r="C73" s="72" t="str">
        <f>"create folder " &amp;B73</f>
        <v>create folder fqf3mm07</v>
      </c>
      <c r="D73" s="72"/>
      <c r="E73" s="72"/>
      <c r="F73" s="72"/>
      <c r="G73" s="72"/>
      <c r="H73" s="72"/>
      <c r="I73" s="72"/>
      <c r="J73" s="72"/>
      <c r="K73" s="73" t="s">
        <v>224</v>
      </c>
      <c r="L73" s="73"/>
      <c r="M73" s="28"/>
    </row>
    <row r="74" spans="2:14" s="26" customFormat="1" ht="18" customHeight="1" x14ac:dyDescent="0.25">
      <c r="B74" s="56" t="s">
        <v>225</v>
      </c>
      <c r="C74" s="28" t="str">
        <f>B.Frontend!H14</f>
        <v>fqf3mm07.component.ts</v>
      </c>
      <c r="D74" s="28" t="str">
        <f>B.Frontend!I14</f>
        <v>fqf3mm07.component.html</v>
      </c>
      <c r="E74" s="28" t="str">
        <f>B.Frontend!J14</f>
        <v>fqf3mm07.component.less</v>
      </c>
      <c r="F74" s="28" t="str">
        <f>B.Frontend!K14</f>
        <v>create-or-edit-fqf3mm07-modal.component.html</v>
      </c>
      <c r="G74" s="28" t="str">
        <f>B.Frontend!L14</f>
        <v>create-or-edit-fqf3mm07-modal.component.ts</v>
      </c>
      <c r="H74" s="28" t="str">
        <f>B.Frontend!M14</f>
        <v>create-or-edit-fqf3mm07-modal.component.less</v>
      </c>
      <c r="I74" s="28" t="str">
        <f>B.Frontend!N14</f>
        <v>fqf3mm07.module.ts</v>
      </c>
      <c r="J74" s="28" t="str">
        <f>B.Frontend!O14</f>
        <v>fqf3mm07-routing.module.ts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IF_FQF3MM07Dto, IF_FQF3MM07ServiceProxy } from '@shared/service-proxies/service-proxies';
import { finalize } from 'rxjs/internal/operators/finalize';
import { CreateOrEditFQF3MM07ModalComponent } from './create-or-edit-fqf3mm07-modal.component';
import { DatePipe } from '@angular/common';
import { FileDownloadService } from '@shared/utils/file-download.service';
import ceil from 'lodash-es/ceil';
import { Paginator } from 'primeng/paginator';
@Component({
    templateUrl: './fqf3mm07.component.html',
    styleUrls: ['./fqf3mm07.component.less'],
})
export class FQF3MM07Component extends AppComponentBase implements OnInit {
    @ViewChild('createOrEditModalFQF3MM07', { static: true }) createOrEditModalFQF3MM07:| CreateOrEditFQF3MM07ModalComponent|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IF_FQF3MM07Dto = new IF_FQF3MM07Dto();
    saveSelectedRow: IF_FQF3MM07Dto = new IF_FQF3MM07Dto();
    datas: IF_FQF3MM07Dto = new IF_FQF3MM07Dto();
    isLoading: boolean = false;
    dataParams: GridParams | undefined;
    rowData: any[] = [];
    gridApi!: GridApi;
    rowSelection = 'multiple';
    filter: string = '';
	pipe = new DatePipe('en-US');
	frameworkComponents: FrameworkComponent;
    	recordId : string = '' ; 
	countryCode : string = '' ; 
	companyCode : string = '' ; 
	companyBranch : string = '' ; 
	postingKey : string = '' ; 
	costCenter : string = '' ; 
	documentNo : string = '' ; 
	documentType : string = '' ; 
	documentDate : string = '' ; 
	postingDate : string = '' ; 
	plant
	referenceDocumentNo
	amount
	currency
	order
	glAccount : string = '' ; 
	normalCancelFlag : string = '' ; 
	text : string = '' ; 
	profitCenter : string = '' ; 
	wbs : string = '' ; 
	quantity : string = '' ; 
	baseUnitOfMeasure : string = '' ; 
	amountInLocalCurrency : string = '' ; 
	exchangeRate : string = '' ; 
	refKey1 : string = '' ; 
	refKey2 : string = '' ; 
	refKey3 : string = '' ; 
	earmarkFund
	earmarkFundItem : string = '' ; 
	materialNo : string = '' ; 
	mainAssetNumber : string = '' ; 
	assetSubNumber : string = '' ; 
	transType : string = '' ; 
	endingOfRecord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IF_FQF3MM07ServiceProxy,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this.l('Record Id'),headerTooltip: this.l('Record Id'),field: 'recordId',flex: 1},
			{headerName: this.l('Country Code'),headerTooltip: this.l('Country Code'),field: 'countryCode',flex: 1},
			{headerName: this.l('Company Code'),headerTooltip: this.l('Company Code'),field: 'companyCode',flex: 1},
			{headerName: this.l('Company Branch'),headerTooltip: this.l('Company Branch'),field: 'companyBranch',flex: 1},
			{headerName: this.l('Posting Key'),headerTooltip: this.l('Posting Key'),field: 'postingKey',flex: 1},
			{headerName: this.l('Cost Center'),headerTooltip: this.l('Cost Center'),field: 'costCenter',flex: 1},
			{headerName: this.l('Document No'),headerTooltip: this.l('Document No'),field: 'documentNo',flex: 1},
			{headerName: this.l('Document Type'),headerTooltip: this.l('Document Type'),field: 'documentType',flex: 1},
			{headerName: this.l('Document Date'),headerTooltip: this.l('Document Date'),field: 'documentDate',flex: 1},
			{headerName: this.l('Posting Date'),headerTooltip: this.l('Posting Date'),field: 'postingDate',flex: 1},
			{headerName: this.l('Plant'),headerTooltip: this.l('Plant'),field: 'plant',flex: 1},
			{headerName: this.l('Reference Document No'),headerTooltip: this.l('Reference Document No'),field: 'referenceDocumentNo',flex: 1},
			{headerName: this.l('Amount'),headerTooltip: this.l('Amount'),field: 'amount',flex: 1},
			{headerName: this.l('Currency'),headerTooltip: this.l('Currency'),field: 'currency',flex: 1},
			{headerName: this.l('Order'),headerTooltip: this.l('Order'),field: 'order',flex: 1},
			{headerName: this.l('Gl Account'),headerTooltip: this.l('Gl Account'),field: 'glAccount',flex: 1},
			{headerName: this.l('Normal Cancel Flag'),headerTooltip: this.l('Normal Cancel Flag'),field: 'normalCancelFlag',flex: 1},
			{headerName: this.l('Text'),headerTooltip: this.l('Text'),field: 'text',flex: 1},
			{headerName: this.l('Profit Center'),headerTooltip: this.l('Profit Center'),field: 'profitCenter',flex: 1},
			{headerName: this.l('Wbs'),headerTooltip: this.l('Wbs'),field: 'wbs',flex: 1},
			{headerName: this.l('Quantity'),headerTooltip: this.l('Quantity'),field: 'quantity',flex: 1},
			{headerName: this.l('Base Unit Of Measure'),headerTooltip: this.l('Base Unit Of Measure'),field: 'baseUnitOfMeasure',flex: 1},
			{headerName: this.l('Amount In Local Currency'),headerTooltip: this.l('Amount In Local Currency'),field:  'amountInLocalCurrency', cellClass: ['text-center'], width: 120, cellRenderer: 'agCellButtonComponent',
buttonDefTwo: { text: params =&gt; (params.data?.'amountInLocalCurrency' == 'Y') ? 'Active' : 'Inactive',iconName: 'fa fa-circle',className: params =&gt; (params.data?.'amountInLocalCurrency' == 'Y') ? 'btnActive' : 'btnInActive',},}
			{headerName: this.l('Exchange Rate'),headerTooltip: this.l('Exchange Rate'),field: 'exchangeRate',flex: 1},
			{headerName: this.l('Ref Key 1'),headerTooltip: this.l('Ref Key 1'),field: 'refKey1',flex: 1},
			{headerName: this.l('Ref Key 2'),headerTooltip: this.l('Ref Key 2'),field: 'refKey2',flex: 1},
			{headerName: this.l('Ref Key 3'),headerTooltip: this.l('Ref Key 3'),field: 'refKey3',flex: 1},
			{headerName: this.l('Earmark Fund'),headerTooltip: this.l('Earmark Fund'),field: 'earmarkFund',flex: 1},
			{headerName: this.l('Earmark Fund Item'),headerTooltip: this.l('Earmark Fund Item'),field: 'earmarkFundItem',flex: 1},
			{headerName: this.l('Material No'),headerTooltip: this.l('Material No'),field: 'materialNo',flex: 1},
			{headerName: this.l('Main Asset Number'),headerTooltip: this.l('Main Asset Number'),field: 'mainAssetNumber',flex: 1},
			{headerName: this.l('Asset Sub Number'),headerTooltip: this.l('Asset Sub Number'),field:  'assetSubNumber', cellClass: ['text-center'], width: 120, cellRenderer: 'agCellButtonComponent',
buttonDefTwo: { text: params =&gt; (params.data?.'assetSubNumber' == 'Y') ? 'Active' : 'Inactive',iconName: 'fa fa-circle',className: params =&gt; (params.data?.'assetSubNumber' == 'Y') ? 'btnActive' : 'btnInActive',},}
			{headerName: this.l('Trans Type'),headerTooltip: this.l('Trans Type'),field: 'transType',flex: 1},
			{headerName: this.l('Ending Of Record'),headerTooltip: this.l('Ending Of Record'),field: 'endingOfRecord',flex: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this.recordId,
			this.countryCode,
			this.companyCode,
			this.companyBranch,
			this.postingKey,
			this.costCenter,
			this.documentNo,
			this.documentType,
			this.documentDate,
			this.postingDate,
			this.plant,
			this.referenceDocumentNo,
			this.amount,
			this.currency,
			this.order,
			this.glAccount,
			this.normalCancelFlag,
			this.text,
			this.profitCenter,
			this.wbs,
			this.quantity,
			this.baseUnitOfMeasure,
			this.amountInLocalCurrency,
			this.exchangeRate,
			this.refKey1,
			this.refKey2,
			this.refKey3,
			this.earmarkFund,
			this.earmarkFundItem,
			this.materialNo,
			this.mainAssetNumber,
			this.assetSubNumber,
			this.transType,
			this.endingOfRecord,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this.recordId = '',
		this.countryCode = '',
		this.companyCode = '',
		this.companyBranch = '',
		this.postingKey = '',
		this.costCenter = '',
		this.documentNo = '',
		this.documentType = '',
		this.documentDate = '',
		this.postingDate = '',
		this.plant = '',
		this.referenceDocumentNo = '',
		this.amount = '',
		this.currency = '',
		this.order = '',
		this.glAccount = '',
		this.normalCancelFlag = '',
		this.text = '',
		this.profitCenter = '',
		this.wbs = '',
		this.quantity = '',
		this.baseUnitOfMeasure = '',
		this.amountInLocalCurrency = '',
		this.exchangeRate = '',
		this.refKey1 = '',
		this.refKey2 = '',
		this.refKey3 = '',
		this.earmarkFund = '',
		this.earmarkFundItem = '',
		this.materialNo = '',
		this.mainAssetNumber = '',
		this.assetSubNumber = '',
		this.transType = '',
		this.endingOfRecord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this.recordId,
			this.countryCode,
			this.companyCode,
			this.companyBranch,
			this.postingKey,
			this.costCenter,
			this.documentNo,
			this.documentType,
			this.documentDate,
			this.postingDate,
			this.plant,
			this.referenceDocumentNo,
			this.amount,
			this.currency,
			this.order,
			this.glAccount,
			this.normalCancelFlag,
			this.text,
			this.profitCenter,
			this.wbs,
			this.quantity,
			this.baseUnitOfMeasure,
			this.amountInLocalCurrency,
			this.exchangeRate,
			this.refKey1,
			this.refKey2,
			this.refKey3,
			this.earmarkFund,
			this.earmarkFundItem,
			this.materialNo,
			this.mainAssetNumber,
			this.assetSubNumber,
			this.transType,
			this.endingOfRecord,
			'',
            this.paginationParams.skipCount,
            this.paginationParams.pageSize
        );
    }
    onChangeRowSelection(params: { api: { getSelectedRows: () =&gt; IF_FQF3MM07Dto[] } }) {
        this.saveSelectedRow = params.api.getSelectedRows()[0] ?? new IF_FQF3MM07Dto();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IF_FQF3MM07Dto):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this._service.getFQF3MM07ToExcel(
			this.recordId,
			this.countryCode,
			this.companyCode,
			this.companyBranch,
			this.postingKey,
			this.costCenter,
			this.documentNo,
			this.documentType,
			this.documentDate,
			this.postingDate,
			this.plant,
			this.referenceDocumentNo,
			this.amount,
			this.currency,
			this.order,
			this.glAccount,
			this.normalCancelFlag,
			this.text,
			this.profitCenter,
			this.wbs,
			this.quantity,
			this.baseUnitOfMeasure,
			this.amountInLocalCurrency,
			this.exchangeRate,
			this.refKey1,
			this.refKey2,
			this.refKey3,
			this.earmarkFund,
			this.earmarkFundItem,
			this.materialNo,
			this.mainAssetNumber,
			this.assetSubNumber,
			this.transType,
			this.endingOfRecord,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FQF3MM07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[(ngModel)]='recordId' name='recordId'
									class='form-control' [placeholder]="l('Record Id')"
									type='text' (keyup.enter)='searchDatas()'&gt;
								&lt;/div&gt;
								&lt;div class='input-search'&gt;
									&lt;input [(ngModel)]='countryCode' name='countryCode'
									class='form-control' [placeholder]="l('Country Code')"
									type='text' (keyup.enter)='searchDatas()'&gt;
								&lt;/div&gt;
								&lt;div class='input-search'&gt;
									&lt;input [(ngModel)]='companyCode' name='companyCode'
									class='form-control' [placeholder]="l('Company Code')"
									type='text' (keyup.enter)='searchDatas()'&gt;
								&lt;/div&gt;
								&lt;div class='input-search'&gt;
									&lt;input [(ngModel)]='companyBranch' name='companyBranch'
									class='form-control' [placeholder]="l('Company Branch')"
									type='text' (keyup.enter)='searchDatas()'&gt;
								&lt;/div&gt;
								&lt;div class='input-search'&gt;
									&lt;input [(ngModel)]='postingKey' name='postingKey'
									class='form-control' [placeholder]="l('Posting Key')"
									type='text' (keyup.enter)='searchDatas()'&gt;
								&lt;/div&gt;
								&lt;div class='input-search'&gt;
									&lt;input [(ngModel)]='costCenter' name='costCenter'
									class='form-control' [placeholder]="l('Cost Center')"
									type='text' (keyup.enter)='searchDatas()'&gt;
								&lt;/div&gt;
								&lt;div class='input-search'&gt;
									&lt;input [(ngModel)]='documentNo' name='documentNo'
									class='form-control' [placeholder]="l('Document No')"
									type='text' (keyup.enter)='searchDatas()'&gt;
								&lt;/div&gt;
								&lt;div class='input-search'&gt;
									&lt;input [(ngModel)]='documentType' name='documentType'
									class='form-control' [placeholder]="l('Document Type')"
									type='text' (keyup.enter)='searchDatas()'&gt;
								&lt;/div&gt;
								&lt;div class='input-search'&gt;
									&lt;input [(ngModel)]='documentDate' name='documentDate'
									class='form-control' [placeholder]="l('Document Date')"
									type='text' (keyup.enter)='searchDatas()'&gt;
								&lt;/div&gt;
								&lt;div class='input-search'&gt;
									&lt;input [(ngModel)]='postingDate' name='postingDate'
									class='form-control' [placeholder]="l('Posting Date')"
									type='text' (keyup.enter)='searchDatas()'&gt;
								&lt;/div&gt;
								&lt;div class='input-search'&gt;
									&lt;input [(ngModel)]='glAccount' name='glAccount'
									class='form-control' [placeholder]="l('Gl Account')"
									type='text' (keyup.enter)='searchDatas()'&gt;
								&lt;/div&gt;
								&lt;div class='input-search'&gt;
									&lt;input [(ngModel)]='normalCancelFlag' name='normalCancelFlag'
									class='form-control' [placeholder]="l('Normal Cancel Flag')"
									type='text' (keyup.enter)='searchDatas()'&gt;
								&lt;/div&gt;
								&lt;div class='input-search'&gt;
									&lt;input [(ngModel)]='text' name='text'
									class='form-control' [placeholder]="l('Text')"
									type='text' (keyup.enter)='searchDatas()'&gt;
								&lt;/div&gt;
								&lt;div class='input-search'&gt;
									&lt;input [(ngModel)]='profitCenter' name='profitCenter'
									class='form-control' [placeholder]="l('Profit Center')"
									type='text' (keyup.enter)='searchDatas()'&gt;
								&lt;/div&gt;
								&lt;div class='input-search'&gt;
									&lt;input [(ngModel)]='wbs' name='wbs'
									class='form-control' [placeholder]="l('Wbs')"
									type='text' (keyup.enter)='searchDatas()'&gt;
								&lt;/div&gt;
								&lt;div class='input-search'&gt;
									&lt;input [(ngModel)]='quantity' name='quantity'
									class='form-control' [placeholder]="l('Quantity')"
									type='text' (keyup.enter)='searchDatas()'&gt;
								&lt;/div&gt;
								&lt;div class='input-search'&gt;
									&lt;input [(ngModel)]='baseUnitOfMeasure' name='baseUnitOfMeasure'
									class='form-control' [placeholder]="l('Base Unit Of Measure')"
									type='text' (keyup.enter)='searchDatas()'&gt;
								&lt;/div&gt;
								&lt;div class='input-search'&gt;
									&lt;input [(ngModel)]='amountInLocalCurrency' name='amountInLocalCurrency'
									class='form-control' [placeholder]="l('Amount In Local Currency')"
									type='text' (keyup.enter)='searchDatas()'&gt;
								&lt;/div&gt;
								&lt;div class='input-search'&gt;
									&lt;input [(ngModel)]='exchangeRate' name='exchangeRate'
									class='form-control' [placeholder]="l('Exchange Rate')"
									type='text' (keyup.enter)='searchDatas()'&gt;
								&lt;/div&gt;
								&lt;div class='input-search'&gt;
									&lt;input [(ngModel)]='refKey1' name='refKey1'
									class='form-control' [placeholder]="l('Ref Key 1')"
									type='text' (keyup.enter)='searchDatas()'&gt;
								&lt;/div&gt;
								&lt;div class='input-search'&gt;
									&lt;input [(ngModel)]='refKey2' name='refKey2'
									class='form-control' [placeholder]="l('Ref Key 2')"
									type='text' (keyup.enter)='searchDatas()'&gt;
								&lt;/div&gt;
								&lt;div class='input-search'&gt;
									&lt;input [(ngModel)]='refKey3' name='refKey3'
									class='form-control' [placeholder]="l('Ref Key 3')"
									type='text' (keyup.enter)='searchDatas()'&gt;
								&lt;/div&gt;
								&lt;div class='input-search'&gt;
									&lt;input [(ngModel)]='earmarkFundItem' name='earmarkFundItem'
									class='form-control' [placeholder]="l('Earmark Fund Item')"
									type='text' (keyup.enter)='searchDatas()'&gt;
								&lt;/div&gt;
								&lt;div class='input-search'&gt;
									&lt;input [(ngModel)]='materialNo' name='materialNo'
									class='form-control' [placeholder]="l('Material No')"
									type='text' (keyup.enter)='searchDatas()'&gt;
								&lt;/div&gt;
								&lt;div class='input-search'&gt;
									&lt;input [(ngModel)]='mainAssetNumber' name='mainAssetNumber'
									class='form-control' [placeholder]="l('Main Asset Number')"
									type='text' (keyup.enter)='searchDatas()'&gt;
								&lt;/div&gt;
								&lt;div class='input-search'&gt;
									&lt;input [(ngModel)]='assetSubNumber' name='assetSubNumber'
									class='form-control' [placeholder]="l('Asset Sub Number')"
									type='text' (keyup.enter)='searchDatas()'&gt;
								&lt;/div&gt;
								&lt;div class='input-search'&gt;
									&lt;input [(ngModel)]='transType' name='transType'
									class='form-control' [placeholder]="l('Trans Type')"
									type='text' (keyup.enter)='searchDatas()'&gt;
								&lt;/div&gt;
								&lt;div class='input-search'&gt;
									&lt;input [(ngModel)]='endingOfRecord' name='endingOfRecord'
									class='form-control' [placeholder]="l('Ending Of Record')"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(click)="createOrEditModalFQF3MM07.show()"&gt;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(click)="createOrEditModalFQF3MM07.show(selectedRow)"&gt;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&lt;create-or-edit-fqf3mm07-modal
    #createOrEditModalFQF3MM07
    (modalSave)="callBackDataGrid(dataParams)"
    (modalClose)="onChangeRowSelection(dataParams)"
&gt;
&lt;/create-or-edit-fqf3mm07-modal&gt;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#createOrEditModalFQF3MM07="bs-modal"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FQF3MM07')}}&lt;/h3&gt;
                    &lt;h3 *ngIf="!rowdata.id"&gt;{{('Create New FQF3MM07')}}&lt;/h3&gt;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title'&gt;Record Id&lt;/label&gt;
						&lt;input type='text' class='col-md-10 form-control input-text' name='RecordId' [(ngModel)]='rowdata.recordId'&gt;
					&lt;/div&gt;
					&lt;div class='col-md-12 form-group row'&gt;
						&lt;label class='col-md-2 form-control title'&gt;Country Code&lt;/label&gt;
						&lt;input type='text' class='col-md-10 form-control input-text' name='CountryCode' [(ngModel)]='rowdata.countryCode'&gt;
					&lt;/div&gt;
					&lt;div class='col-md-12 form-group row'&gt;
						&lt;label class='col-md-2 form-control title'&gt;Company Code&lt;/label&gt;
						&lt;input type='text' class='col-md-10 form-control input-text' name='CompanyCode' [(ngModel)]='rowdata.companyCode'&gt;
					&lt;/div&gt;
					&lt;div class='col-md-12 form-group row'&gt;
						&lt;label class='col-md-2 form-control title'&gt;Company Branch&lt;/label&gt;
						&lt;input type='text' class='col-md-10 form-control input-text' name='CompanyBranch' [(ngModel)]='rowdata.companyBranch'&gt;
					&lt;/div&gt;
					&lt;div class='col-md-12 form-group row'&gt;
						&lt;label class='col-md-2 form-control title'&gt;Posting Key&lt;/label&gt;
						&lt;input type='text' class='col-md-10 form-control input-text' name='PostingKey' [(ngModel)]='rowdata.postingKey'&gt;
					&lt;/div&gt;
					&lt;div class='col-md-12 form-group row'&gt;
						&lt;label class='col-md-2 form-control title'&gt;Cost Center&lt;/label&gt;
						&lt;input type='text' class='col-md-10 form-control input-text' name='CostCenter' [(ngModel)]='rowdata.costCenter'&gt;
					&lt;/div&gt;
					&lt;div class='col-md-12 form-group row'&gt;
						&lt;label class='col-md-2 form-control title'&gt;Document No&lt;/label&gt;
						&lt;input type='text' class='col-md-10 form-control input-text' name='DocumentNo' [(ngModel)]='rowdata.documentNo'&gt;
					&lt;/div&gt;
					&lt;div class='col-md-12 form-group row'&gt;
						&lt;label class='col-md-2 form-control title'&gt;Document Type&lt;/label&gt;
						&lt;input type='text' class='col-md-10 form-control input-text' name='DocumentType' [(ngModel)]='rowdata.documentType'&gt;
					&lt;/div&gt;
					&lt;div class='col-md-12 form-group row'&gt;
						&lt;label class='col-md-2 form-control title'&gt;Document Date&lt;/label&gt;
						&lt;input type='text' class='col-md-10 form-control input-text' name='DocumentDate' [(ngModel)]='rowdata.documentDate'&gt;
					&lt;/div&gt;
					&lt;div class='col-md-12 form-group row'&gt;
						&lt;label class='col-md-2 form-control title'&gt;Posting Date&lt;/label&gt;
						&lt;input type='text' class='col-md-10 form-control input-text' name='PostingDate' [(ngModel)]='rowdata.postingDate'&gt;
					&lt;/div&gt;
					&lt;div class='col-md-12 form-group row'&gt;
						&lt;label class='col-md-2 form-control title'&gt;Gl Account&lt;/label&gt;
						&lt;input type='text' class='col-md-10 form-control input-text' name='GlAccount' [(ngModel)]='rowdata.glAccount'&gt;
					&lt;/div&gt;
					&lt;div class='col-md-12 form-group row'&gt;
						&lt;label class='col-md-2 form-control title'&gt;Normal Cancel Flag&lt;/label&gt;
						&lt;input type='text' class='col-md-10 form-control input-text' name='NormalCancelFlag' [(ngModel)]='rowdata.normalCancelFlag'&gt;
					&lt;/div&gt;
					&lt;div class='col-md-12 form-group row'&gt;
						&lt;label class='col-md-2 form-control title'&gt;Text&lt;/label&gt;
						&lt;input type='text' class='col-md-10 form-control input-text' name='Text' [(ngModel)]='rowdata.text'&gt;
					&lt;/div&gt;
					&lt;div class='col-md-12 form-group row'&gt;
						&lt;label class='col-md-2 form-control title'&gt;Profit Center&lt;/label&gt;
						&lt;input type='text' class='col-md-10 form-control input-text' name='ProfitCenter' [(ngModel)]='rowdata.profitCenter'&gt;
					&lt;/div&gt;
					&lt;div class='col-md-12 form-group row'&gt;
						&lt;label class='col-md-2 form-control title'&gt;Wbs&lt;/label&gt;
						&lt;input type='text' class='col-md-10 form-control input-text' name='Wbs' [(ngModel)]='rowdata.wbs'&gt;
					&lt;/div&gt;
					&lt;div class='col-md-12 form-group row'&gt;
						&lt;label class='col-md-2 form-control title'&gt;Quantity&lt;/label&gt;
						&lt;input type='text' class='col-md-10 form-control input-text' name='Quantity' [(ngModel)]='rowdata.quantity'&gt;
					&lt;/div&gt;
					&lt;div class='col-md-12 form-group row'&gt;
						&lt;label class='col-md-2 form-control title'&gt;Base Unit Of Measure&lt;/label&gt;
						&lt;input type='text' class='col-md-10 form-control input-text' name='BaseUnitOfMeasure' [(ngModel)]='rowdata.baseUnitOfMeasure'&gt;
					&lt;/div&gt;
					&lt;div class='col-md-12 form-group row'&gt;
						&lt;label class='col-md-2 form-control title'&gt;Amount In Local Currency&lt;/label&gt;
						&lt;new-checkbox [(ngModel)]='_amountInLocalCurrency' name='amountInLocalCurrency' className='col-md-10' &gt; &lt;/new-checkbox&gt;
					&lt;/div&gt;
					&lt;div class='col-md-12 form-group row'&gt;
						&lt;label class='col-md-2 form-control title'&gt;Exchange Rate&lt;/label&gt;
						&lt;input type='text' class='col-md-10 form-control input-text' name='ExchangeRate' [(ngModel)]='rowdata.exchangeRate'&gt;
					&lt;/div&gt;
					&lt;div class='col-md-12 form-group row'&gt;
						&lt;label class='col-md-2 form-control title'&gt;Ref Key 1&lt;/label&gt;
						&lt;input type='text' class='col-md-10 form-control input-text' name='RefKey1' [(ngModel)]='rowdata.refKey1'&gt;
					&lt;/div&gt;
					&lt;div class='col-md-12 form-group row'&gt;
						&lt;label class='col-md-2 form-control title'&gt;Ref Key 2&lt;/label&gt;
						&lt;input type='text' class='col-md-10 form-control input-text' name='RefKey2' [(ngModel)]='rowdata.refKey2'&gt;
					&lt;/div&gt;
					&lt;div class='col-md-12 form-group row'&gt;
						&lt;label class='col-md-2 form-control title'&gt;Ref Key 3&lt;/label&gt;
						&lt;input type='text' class='col-md-10 form-control input-text' name='RefKey3' [(ngModel)]='rowdata.refKey3'&gt;
					&lt;/div&gt;
					&lt;div class='col-md-12 form-group row'&gt;
						&lt;label class='col-md-2 form-control title'&gt;Earmark Fund Item&lt;/label&gt;
						&lt;input type='text' class='col-md-10 form-control input-text' name='EarmarkFundItem' [(ngModel)]='rowdata.earmarkFundItem'&gt;
					&lt;/div&gt;
					&lt;div class='col-md-12 form-group row'&gt;
						&lt;label class='col-md-2 form-control title'&gt;Material No&lt;/label&gt;
						&lt;input type='text' class='col-md-10 form-control input-text' name='MaterialNo' [(ngModel)]='rowdata.materialNo'&gt;
					&lt;/div&gt;
					&lt;div class='col-md-12 form-group row'&gt;
						&lt;label class='col-md-2 form-control title'&gt;Main Asset Number&lt;/label&gt;
						&lt;input type='text' class='col-md-10 form-control input-text' name='MainAssetNumber' [(ngModel)]='rowdata.mainAssetNumber'&gt;
					&lt;/div&gt;
					&lt;div class='col-md-12 form-group row'&gt;
						&lt;label class='col-md-2 form-control title'&gt;Asset Sub Number&lt;/label&gt;
						&lt;new-checkbox [(ngModel)]='_assetSubNumber' name='assetSubNumber' className='col-md-10' &gt; &lt;/new-checkbox&gt;
					&lt;/div&gt;
					&lt;div class='col-md-12 form-group row'&gt;
						&lt;label class='col-md-2 form-control title'&gt;Trans Type&lt;/label&gt;
						&lt;input type='text' class='col-md-10 form-control input-text' name='TransType' [(ngModel)]='rowdata.transType'&gt;
					&lt;/div&gt;
					&lt;div class='col-md-12 form-group row'&gt;
						&lt;label class='col-md-2 form-control title'&gt;Ending Of Record&lt;/label&gt;
						&lt;input type='text' class='col-md-10 form-control input-text' name='EndingOfRecord' [(ngModel)]='rowdata.endingOfRecord'&gt;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CreateOrEditIF_FQF3MM07Dto, IF_FQF3MM07ServiceProxy } from '@shared/service-proxies/service-proxies';
import { BsDatepickerDirective } from 'ngx-bootstrap/datepicker';
@Component({
    selector: 'create-or-edit-fqf3mm07-modal',
    templateUrl: './create-or-edit-fqf3mm07-modal.component.html',
    styleUrls: ['./create-or-edit-fqf3mm07-modal.component.less']
    })
export class CreateOrEditFQF3MM07ModalComponent extends AppComponentBase {
    @ViewChild('createOrEditModalFQF3MM07',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CreateOrEditIF_FQF3MM07Dto = new CreateOrEditIF_FQF3MM07Dto();
    active: boolean = false;
    saving: boolean = false;
    _amountInLocalCurrency
assetSubNumber
: boolean;
    constructor(
        injector: Injector,
        private _mstwptFQF3MM07Service: IF_FQF3MM07ServiceProxy,
    ) 
    {
        super(injector);
    }
    show(rowdata?: CreateOrEditIF_FQF3MM07Dto): void {
        if (!rowdata) this.rowdata = new CreateOrEditIF_FQF3MM07Dto();
        else this.rowdata = rowdata;
        this._amountInLocalCurrency
assetSubNumber
 = (this.rowdata.amountInLocalCurrency
assetSubNumber
 == "N")? false: true;
        this.active = true;
        this.modal.show();
    } 
    changeActive(event){
        this._amountInLocalCurrency
assetSubNumber
 = event.target.checked;
    }
    save(): void {
    this.saving = true; 
    this.rowdata.amountInLocalCurrency
assetSubNumber
 = (this._amountInLocalCurrency
assetSubNumber
 == true) ? 'Y' : 'N'
    this._mstwptFQF3MM07Service.createOrEdit(this.rowdata)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FQF3MM07RoutingModule } from './fqf3mm07-routing.module';
import { FQF3MM07Component } from './fqf3mm07.component';
import { CreateOrEditFQF3MM07ModalComponent } from './create-or-edit-fqf3mm07-modal.component';
@NgModule({
    declarations: [
       FQF3MM07Component, 
        CreateOrEditFQF3MM07ModalComponent
    ],
    imports: [
        AppSharedModule, FQF3MM07RoutingModule]
})
export class FQF3MM07Module {}</v>
      </c>
      <c r="J75" s="46" t="str">
        <f>B.Frontend!O10</f>
        <v>import {NgModule} from '@angular/core';
import {RouterModule, Routes} from '@angular/router';
import { FQF3MM07Component } from './fqf3mm07.component';
const routes: Routes = [{
    path: '',
    component: FQF3MM07Component,
    pathMatch: 'full'
}];
@NgModule({
    imports: [RouterModule.forChild(routes)],
    exports: [RouterModule],
})
export class FQF3MM07RoutingModule {}</v>
      </c>
      <c r="K75" s="46" t="str">
        <f>B.Frontend!P10</f>
        <v xml:space="preserve"> new AppMenuItem("FQF3MM07", "Pages.IF.IF.FQF3MM07", "flaticon-book",   "/app/main/if/if/fqf3mm07"),</v>
      </c>
      <c r="L75" s="47" t="str">
        <f>B.Frontend!Q10</f>
        <v>{
    path: 'if/if/fqf3mm07',
    loadChildren: () =&gt; import('./if/if/fqf3mm07/fqf3mm07.module').then(m =&gt; m.FQF3MM07Module),
    data: { permission: 'Pages.IF.IF.FQF3MM07' }
},</v>
      </c>
      <c r="M75" s="45" t="str">
        <f>B.Frontend!R10</f>
        <v>ApiServiceProxies.IF_FQF3MM07ServiceProxy,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44"/>
  <sheetViews>
    <sheetView workbookViewId="0">
      <pane xSplit="1" topLeftCell="B1" activePane="topRight" state="frozen"/>
      <selection pane="topRight" activeCell="B15" sqref="B15"/>
    </sheetView>
  </sheetViews>
  <sheetFormatPr defaultColWidth="9.140625" defaultRowHeight="15" x14ac:dyDescent="0.25"/>
  <cols>
    <col min="1" max="1" width="37.7109375" style="7" bestFit="1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vovina.Inventory.IF.Dto;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363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407</v>
      </c>
      <c r="C3" s="9" t="s">
        <v>41</v>
      </c>
      <c r="D3" s="9" t="s">
        <v>42</v>
      </c>
      <c r="E3" s="9" t="s">
        <v>37</v>
      </c>
      <c r="F3" s="10" t="str">
        <f>"J"&amp;COUNTA($A:$A)</f>
        <v>J42</v>
      </c>
      <c r="G3" s="4" t="s">
        <v>54</v>
      </c>
      <c r="H3" s="9" t="str">
        <f>"I"&amp;COUNTA($A:$A)</f>
        <v>I42</v>
      </c>
      <c r="I3" s="9" t="str">
        <f>REPT(CHAR(9),2)&amp;"[Required]"&amp;"
"</f>
        <v xml:space="preserve">		[Required]
</v>
      </c>
      <c r="J3" s="10" t="str">
        <f>"L"&amp;COUNTA($A:$A)</f>
        <v>L42</v>
      </c>
      <c r="K3" s="5" t="s">
        <v>53</v>
      </c>
      <c r="L3" s="10" t="str">
        <f>"M"&amp;COUNTA($A:$A)</f>
        <v>M42</v>
      </c>
      <c r="M3" s="10" t="str">
        <f>"N"&amp;COUNTA($A:$A)</f>
        <v>N42</v>
      </c>
      <c r="N3" s="10" t="str">
        <f>"O"&amp;COUNTA($A:$A)</f>
        <v>O42</v>
      </c>
      <c r="O3" s="10" t="str">
        <f>"P"&amp;COUNTA($A:$A)</f>
        <v>P42</v>
      </c>
      <c r="Q3" s="10" t="str">
        <f>RIGHT(B2,(LEN(B2)-FIND(".",B2,1)))</f>
        <v>IF</v>
      </c>
      <c r="R3" s="29" t="str">
        <f>REPT(CHAR(9),1)&amp;"public class "&amp;B3&amp;"ExportInput"&amp;C3</f>
        <v xml:space="preserve">	public class IF_FQF3MM07ExportInput{
</v>
      </c>
      <c r="S3" s="10" t="str">
        <f>"namespace "&amp;$B$6&amp;".Exporting
"&amp;$C$3</f>
        <v xml:space="preserve">namespace prod.Inventory.IF.Exporting
{
</v>
      </c>
      <c r="T3" s="10" t="str">
        <f>"T"&amp;COUNTA($A:$A)</f>
        <v>T42</v>
      </c>
      <c r="V3" s="10" t="str">
        <f>"V"&amp;COUNTA($A:$A)</f>
        <v>V42</v>
      </c>
      <c r="W3" s="9" t="str">
        <f>"W"&amp;COUNTA($A:$A)</f>
        <v>W42</v>
      </c>
    </row>
    <row r="4" spans="1:23" s="10" customFormat="1" ht="33" customHeight="1" x14ac:dyDescent="0.25">
      <c r="A4" s="1" t="s">
        <v>233</v>
      </c>
      <c r="B4" s="65" t="s">
        <v>364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406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prod.Inventory.IF</v>
      </c>
      <c r="C6" s="10" t="str">
        <f>"namespace "&amp;$B$6&amp;"
"&amp;$C$3</f>
        <v xml:space="preserve">namespace prod.Inventory.IF
{
</v>
      </c>
      <c r="D6" s="10" t="str">
        <f>REPT(CHAR(9),1)&amp;"public class "&amp;B3&amp;G3&amp;REPT(CHAR(9),1)&amp;"
"&amp;REPT(CHAR(9),1)&amp;C3</f>
        <v xml:space="preserve">	public class IF_FQF3MM07: FullAuditedEntity&lt;long&gt;, IEntity&lt;long&gt;	
	{
</v>
      </c>
      <c r="E6" s="10" t="str">
        <f>REPT(CHAR(9),1)&amp;"public class "&amp;B3&amp;"Consts"&amp;REPT(CHAR(9),1)&amp;"
"&amp;REPT(CHAR(9),1)&amp;C3</f>
        <v xml:space="preserve">	public class IF_FQF3MM07Consts	
	{
</v>
      </c>
      <c r="F6" s="10" t="str">
        <f>REPT(CHAR(9),1)&amp;"public class "&amp;B3&amp;"Dto"&amp;K3&amp;REPT(CHAR(9),1)&amp;"
"&amp;REPT(CHAR(9),1)&amp;C3</f>
        <v xml:space="preserve">	public class IF_FQF3MM07Dto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CreateOrEditIF_FQF3MM07Dto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GetIF_FQF3MM07Input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4.95" customHeight="1" x14ac:dyDescent="0.25">
      <c r="A7" s="1" t="s">
        <v>13</v>
      </c>
      <c r="B7" s="9" t="str">
        <f>B3</f>
        <v>IF_FQF3MM07</v>
      </c>
      <c r="C7" s="10" t="str">
        <f>REPT(CHAR(9),1)&amp;"[Table("""&amp;B7&amp;""")]"&amp;"
"</f>
        <v xml:space="preserve">	[Table("IF_FQF3MM07")]
</v>
      </c>
      <c r="D7" s="10"/>
      <c r="E7" s="10"/>
      <c r="F7" s="10"/>
      <c r="G7" s="10"/>
      <c r="H7" s="10"/>
      <c r="I7" s="10"/>
      <c r="J7" t="str">
        <f ca="1">SUBSTITUTE(SUBSTITUTE((B1&amp;C6&amp;C7&amp;K44&amp;D6&amp;I44&amp;E3&amp;J44&amp;""&amp;REPT(CHAR(9),1)&amp;D3&amp;D3),"WorkingPattern",$Q$3),"Master",$B$4)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prod.Inventory.IF
{
	[Table("IF_FQF3MM07")]
	public class IF_FQF3MM07: FullAuditedEntity&lt;long&gt;, IEntity&lt;long&gt;	
	{
		public const int MaxRecordIdLength = 7;
		public const int MaxCountryCodeLength = 3;
		public const int MaxCompanyCodeLength = 4;
		public const int MaxCompanyBranchLength = 5;
		public const int MaxPostingKeyLength = 2;
		public const int MaxCostCenterLength = 10;
		public const int MaxDocumentNoLength = 25;
		public const int MaxDocumentTypeLength = 2;
		public const int MaxDocumentDateLength = 8;
		public const int MaxPostingDateLength = 8;
		public const int MaxPlantLength = 4;
		public const int MaxReferenceDocumentNoLength = 16;
		public const int MaxCurrencyLength = 3;
		public const int MaxOrderLength = 12;
		public const int MaxGlAccountLength = 10;
		public const int MaxNormalCancelFlagLength = 1;
		public const int MaxTextLength = 50;
		public const int MaxProfitCenterLength = 10;
		public const int MaxWbsLength = 24;
		public const int MaxBaseUnitOfMeasureLength = 3;
		public const int MaxAmountInLocalCurrencyLength = 23;
		public const int MaxExchangeRateLength = 10;
		public const int MaxRefKey1Length = 12;
		public const int MaxRefKey2Length = 12;
		public const int MaxRefKey3Length = 20;
		public const int MaxEarmarkFundLength = 10;
		public const int MaxEarmarkFundItemLength = 3;
		public const int MaxMaterialNoLength = 40;
		public const int MaxMainAssetNumberLength = 12;
		public const int MaxAssetSubNumberLength = 4;
		public const int MaxTransTypeLength = 3;
		public const int MaxEndingOfRecordLength = 24;
		[StringLength(MaxRecordIdLength)]
		public virtual string RecordId { get; set; }
		[StringLength(MaxCountryCodeLength)]
		public virtual string CountryCode { get; set; }
		[StringLength(MaxCompanyCodeLength)]
		public virtual string CompanyCode { get; set; }
		[StringLength(MaxCompanyBranchLength)]
		public virtual string CompanyBranch { get; set; }
		[StringLength(MaxPostingKeyLength)]
		public virtual string PostingKey { get; set; }
		[StringLength(MaxCostCenterLength)]
		public virtual string CostCenter { get; set; }
		[StringLength(MaxDocumentNoLength)]
		public virtual string DocumentNo { get; set; }
		[StringLength(MaxDocumentTypeLength)]
		public virtual string DocumentType { get; set; }
		[StringLength(MaxDocumentDateLength)]
		public virtual string DocumentDate { get; set; }
		[StringLength(MaxPostingDateLength)]
		public virtual string PostingDate { get; set; }
		[StringLength(MaxPlantLength)]
		public virtual string Plant { get; set; }
		[StringLength(MaxReferenceDocumentNoLength)]
		public virtual string ReferenceDocumentNo { get; set; }
		public virtual int? Amount { get; set; }
		[StringLength(MaxCurrencyLength)]
		public virtual string Currency { get; set; }
		[StringLength(MaxOrderLength)]
		public virtual string Order { get; set; }
		[StringLength(MaxGlAccountLength)]
		public virtual string GlAccount { get; set; }
		[StringLength(MaxNormalCancelFlagLength)]
		public virtual string NormalCancelFlag { get; set; }
		[StringLength(MaxTextLength)]
		public virtual string Text { get; set; }
		[StringLength(MaxProfitCenterLength)]
		public virtual string ProfitCenter { get; set; }
		[StringLength(MaxWbsLength)]
		public virtual string Wbs { get; set; }
		public virtual int? Quantity { get; set; }
		[StringLength(MaxBaseUnitOfMeasureLength)]
		public virtual string BaseUnitOfMeasure { get; set; }
		[StringLength(MaxAmountInLocalCurrencyLength)]
		public virtual string AmountInLocalCurrency { get; set; }
		[StringLength(MaxExchangeRateLength)]
		public virtual string ExchangeRate { get; set; }
		[StringLength(MaxRefKey1Length)]
		public virtual string RefKey1 { get; set; }
		[StringLength(MaxRefKey2Length)]
		public virtual string RefKey2 { get; set; }
		[StringLength(MaxRefKey3Length)]
		public virtual string RefKey3 { get; set; }
		[StringLength(MaxEarmarkFundLength)]
		public virtual string EarmarkFund { get; set; }
		[StringLength(MaxEarmarkFundItemLength)]
		public virtual string EarmarkFundItem { get; set; }
		[StringLength(MaxMaterialNoLength)]
		public virtual string MaterialNo { get; set; }
		[StringLength(MaxMainAssetNumberLength)]
		public virtual string MainAssetNumber { get; set; }
		[StringLength(MaxAssetSubNumberLength)]
		public virtual string AssetSubNumber { get; set; }
		[StringLength(MaxTransTypeLength)]
		public virtual string TransType { get; set; }
		[StringLength(MaxEndingOfRecordLength)]
		public virtual string EndingOfRecord { get; set; }
	}
}
</v>
      </c>
      <c r="K7" t="str">
        <f>SUBSTITUTE(SUBSTITUTE(("public virtual DbSet&lt;"&amp;B3&amp;"&gt; "&amp;B3&amp;"s { get; set; }"),"WorkingPattern",$Q$3),"Master",$B$4)</f>
        <v>public virtual DbSet&lt;IF_FQF3MM07&gt; IF_FQF3MM07s { get; set; }</v>
      </c>
      <c r="L7" t="str">
        <f ca="1">SUBSTITUTE(SUBSTITUTE((C6&amp;E6&amp;I44&amp;"
"&amp;REPT(CHAR(9),2)&amp;"// Define Store Name: Format SP_ + &lt;Store Name&gt; = &lt;Store Name&gt;
"&amp;E3&amp;REPT(CHAR(9),1)&amp;D3&amp;D3),"WorkingPattern",$Q$3),"Master",$B$4)</f>
        <v xml:space="preserve">namespace prod.Inventory.IF
{
	public class IF_FQF3MM07Consts	
	{
		public const int MaxRecordIdLength = 7;
		public const int MaxCountryCodeLength = 3;
		public const int MaxCompanyCodeLength = 4;
		public const int MaxCompanyBranchLength = 5;
		public const int MaxPostingKeyLength = 2;
		public const int MaxCostCenterLength = 10;
		public const int MaxDocumentNoLength = 25;
		public const int MaxDocumentTypeLength = 2;
		public const int MaxDocumentDateLength = 8;
		public const int MaxPostingDateLength = 8;
		public const int MaxPlantLength = 4;
		public const int MaxReferenceDocumentNoLength = 16;
		public const int MaxCurrencyLength = 3;
		public const int MaxOrderLength = 12;
		public const int MaxGlAccountLength = 10;
		public const int MaxNormalCancelFlagLength = 1;
		public const int MaxTextLength = 50;
		public const int MaxProfitCenterLength = 10;
		public const int MaxWbsLength = 24;
		public const int MaxBaseUnitOfMeasureLength = 3;
		public const int MaxAmountInLocalCurrencyLength = 23;
		public const int MaxExchangeRateLength = 10;
		public const int MaxRefKey1Length = 12;
		public const int MaxRefKey2Length = 12;
		public const int MaxRefKey3Length = 20;
		public const int MaxEarmarkFundLength = 10;
		public const int MaxEarmarkFundItemLength = 3;
		public const int MaxMaterialNoLength = 40;
		public const int MaxMainAssetNumberLength = 12;
		public const int MaxAssetSubNumberLength = 4;
		public const int MaxTransTypeLength = 3;
		public const int MaxEndingOfRecordLength = 24;
		// Define Store Name: Format SP_ + &lt;Store Name&gt; = &lt;Store Name&gt;
	}
}
</v>
      </c>
      <c r="M7" t="str">
        <f ca="1">SUBSTITUTE(SUBSTITUTE((C1&amp;"namespace "&amp;B6&amp;".Dto"&amp;E3&amp;C3&amp;F6&amp;M44&amp;E3&amp;REPT(CHAR(9),1)&amp;D3&amp;G6&amp;N44&amp;REPT(CHAR(9),1)&amp;D3&amp;H6&amp;O44&amp;"
"&amp;REPT(CHAR(9),1)&amp;D3&amp;D3),"WorkingPattern",$Q$3),"Master",$B$4)</f>
        <v xml:space="preserve">using Abp.Application.Services.Dto;
using System;
using System.ComponentModel.DataAnnotations;
namespace prod.Inventory.IF.Dto
{
	public class IF_FQF3MM07Dto : EntityDto&lt;long?&gt;	
	{
		public virtual string RecordId { get; set; }
		public virtual string CountryCode { get; set; }
		public virtual string CompanyCode { get; set; }
		public virtual string CompanyBranch { get; set; }
		public virtual string PostingKey { get; set; }
		public virtual string CostCenter { get; set; }
		public virtual string DocumentNo { get; set; }
		public virtual string DocumentType { get; set; }
		public virtual string DocumentDate { get; set; }
		public virtual string PostingDate { get; set; }
		public virtual string Plant { get; set; }
		public virtual string ReferenceDocumentNo { get; set; }
		public virtual int? Amount { get; set; }
		public virtual string Currency { get; set; }
		public virtual string Order { get; set; }
		public virtual string GlAccount { get; set; }
		public virtual string NormalCancelFlag { get; set; }
		public virtual string Text { get; set; }
		public virtual string ProfitCenter { get; set; }
		public virtual string Wbs { get; set; }
		public virtual int? Quantity { get; set; }
		public virtual string BaseUnitOfMeasure { get; set; }
		public virtual string AmountInLocalCurrency { get; set; }
		public virtual string ExchangeRate { get; set; }
		public virtual string RefKey1 { get; set; }
		public virtual string RefKey2 { get; set; }
		public virtual string RefKey3 { get; set; }
		public virtual string EarmarkFund { get; set; }
		public virtual string EarmarkFundItem { get; set; }
		public virtual string MaterialNo { get; set; }
		public virtual string MainAssetNumber { get; set; }
		public virtual string AssetSubNumber { get; set; }
		public virtual string TransType { get; set; }
		public virtual string EndingOfRecord { get; set; }
	}
	public class CreateOrEditIF_FQF3MM07Dto : EntityDto&lt;long?&gt;	
	{
		[StringLength(IF_FQF3MM07Consts.MaxRecordIdLength)]
		public virtual string RecordId { get; set; }
		[StringLength(IF_FQF3MM07Consts.MaxCountryCodeLength)]
		public virtual string CountryCode { get; set; }
		[StringLength(IF_FQF3MM07Consts.MaxCompanyCodeLength)]
		public virtual string CompanyCode { get; set; }
		[StringLength(IF_FQF3MM07Consts.MaxCompanyBranchLength)]
		public virtual string CompanyBranch { get; set; }
		[StringLength(IF_FQF3MM07Consts.MaxPostingKeyLength)]
		public virtual string PostingKey { get; set; }
		[StringLength(IF_FQF3MM07Consts.MaxCostCenterLength)]
		public virtual string CostCenter { get; set; }
		[StringLength(IF_FQF3MM07Consts.MaxDocumentNoLength)]
		public virtual string DocumentNo { get; set; }
		[StringLength(IF_FQF3MM07Consts.MaxDocumentTypeLength)]
		public virtual string DocumentType { get; set; }
		[StringLength(IF_FQF3MM07Consts.MaxDocumentDateLength)]
		public virtual string DocumentDate { get; set; }
		[StringLength(IF_FQF3MM07Consts.MaxPostingDateLength)]
		public virtual string PostingDate { get; set; }
		[StringLength(IF_FQF3MM07Consts.MaxPlantLength)]
		public virtual string Plant { get; set; }
		[StringLength(IF_FQF3MM07Consts.MaxReferenceDocumentNoLength)]
		public virtual string ReferenceDocumentNo { get; set; }
		public virtual int? Amount { get; set; }
		[StringLength(IF_FQF3MM07Consts.MaxCurrencyLength)]
		public virtual string Currency { get; set; }
		[StringLength(IF_FQF3MM07Consts.MaxOrderLength)]
		public virtual string Order { get; set; }
		[StringLength(IF_FQF3MM07Consts.MaxGlAccountLength)]
		public virtual string GlAccount { get; set; }
		[StringLength(IF_FQF3MM07Consts.MaxNormalCancelFlagLength)]
		public virtual string NormalCancelFlag { get; set; }
		[StringLength(IF_FQF3MM07Consts.MaxTextLength)]
		public virtual string Text { get; set; }
		[StringLength(IF_FQF3MM07Consts.MaxProfitCenterLength)]
		public virtual string ProfitCenter { get; set; }
		[StringLength(IF_FQF3MM07Consts.MaxWbsLength)]
		public virtual string Wbs { get; set; }
		public virtual int? Quantity { get; set; }
		[StringLength(IF_FQF3MM07Consts.MaxBaseUnitOfMeasureLength)]
		public virtual string BaseUnitOfMeasure { get; set; }
		[StringLength(IF_FQF3MM07Consts.MaxAmountInLocalCurrencyLength)]
		public virtual string AmountInLocalCurrency { get; set; }
		[StringLength(IF_FQF3MM07Consts.MaxExchangeRateLength)]
		public virtual string ExchangeRate { get; set; }
		[StringLength(IF_FQF3MM07Consts.MaxRefKey1Length)]
		public virtual string RefKey1 { get; set; }
		[StringLength(IF_FQF3MM07Consts.MaxRefKey2Length)]
		public virtual string RefKey2 { get; set; }
		[StringLength(IF_FQF3MM07Consts.MaxRefKey3Length)]
		public virtual string RefKey3 { get; set; }
		[StringLength(IF_FQF3MM07Consts.MaxEarmarkFundLength)]
		public virtual string EarmarkFund { get; set; }
		[StringLength(IF_FQF3MM07Consts.MaxEarmarkFundItemLength)]
		public virtual string EarmarkFundItem { get; set; }
		[StringLength(IF_FQF3MM07Consts.MaxMaterialNoLength)]
		public virtual string MaterialNo { get; set; }
		[StringLength(IF_FQF3MM07Consts.MaxMainAssetNumberLength)]
		public virtual string MainAssetNumber { get; set; }
		[StringLength(IF_FQF3MM07Consts.MaxAssetSubNumberLength)]
		public virtual string AssetSubNumber { get; set; }
		[StringLength(IF_FQF3MM07Consts.MaxTransTypeLength)]
		public virtual string TransType { get; set; }
		[StringLength(IF_FQF3MM07Consts.MaxEndingOfRecordLength)]
		public virtual string EndingOfRecord { get; set; }
	}
	public class GetIF_FQF3MM07Input : PagedAndSortedResultRequestDto	
	{
		public virtual string RecordId { get; set; }
		public virtual string CountryCode { get; set; }
		public virtual string CompanyCode { get; set; }
		public virtual string CompanyBranch { get; set; }
		public virtual string PostingKey { get; set; }
		public virtual string CostCenter { get; set; }
		public virtual string DocumentNo { get; set; }
		public virtual string DocumentType { get; set; }
		public virtual string DocumentDate { get; set; }
		public virtual string PostingDate { get; set; }
		public virtual string Plant { get; set; }
		public virtual string ReferenceDocumentNo { get; set; }
		public virtual string Currency { get; set; }
		public virtual string Order { get; set; }
		public virtual string GlAccount { get; set; }
		public virtual string NormalCancelFlag { get; set; }
		public virtual string Text { get; set; }
		public virtual string ProfitCenter { get; set; }
		public virtual string Wbs { get; set; }
		public virtual string BaseUnitOfMeasure { get; set; }
		public virtual string AmountInLocalCurrency { get; set; }
		public virtual string ExchangeRate { get; set; }
		public virtual string RefKey1 { get; set; }
		public virtual string RefKey2 { get; set; }
		public virtual string RefKey3 { get; set; }
		public virtual string EarmarkFund { get; set; }
		public virtual string EarmarkFundItem { get; set; }
		public virtual string MaterialNo { get; set; }
		public virtual string MainAssetNumber { get; set; }
		public virtual string AssetSubNumber { get; set; }
		public virtual string TransType { get; set; }
		public virtual string EndingOfRecord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perIF_FQF3MM07 = PARENTS.CreateChildPermission(AppPermissions.Pages_Inventory_IF_FQF3MM07, L( "InventoryIFFQF3MM07"), multiTenancySides: MultiTenancySides.Tenant);
		perIF_FQF3MM07.CreateChildPermission(AppPermissions.Pages_Inventory_IF_FQF3MM07_CreateEdit, L( "InventoryIFFQF3MM07CreateEdit"), multiTenancySides: MultiTenancySides.Tenant);
		perIF_FQF3MM07.CreateChildPermission(AppPermissions.Pages_Inventory_IF_FQF3MM07_Delete, L( "InventoryIFFQF3MM07Delete"),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Pages_Inventory_IF_FQF3MM07 = "Pages.Inventory.IF.FQF3MM07";
		public const string Pages_Inventory_IF_FQF3MM07_CreateEdit = "Pages.Inventory.IF.FQF3MM07.CreateEdit";
		public const string Pages_Inventory_IF_FQF3MM07_Delete = "Pages.Inventory.IF.FQF3MM07.Delete";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vovina.Inventory.IF.Dto;
namespace prod.Inventory.IF
{
	public interface IIF_FQF3MM07AppService : IApplicationService
	{
		Task&lt;PagedResultDto&lt;IF_FQF3MM07Dto&gt;&gt; GetAll(GetIF_FQF3MM07Input input);
		Task CreateOrEdit(CreateOrEditIF_FQF3MM07Dto input);
		Task Delete(EntityDto input);
	}
}
</v>
      </c>
      <c r="Q7" t="str">
        <f ca="1">SUBSTITUTE(SUBSTITUTE(SUBSTITUTE(SUBSTITUTE(SUBSTITUTE(SUBSTITUTE(E1,"MstWptCalendar",$B$3),"&lt;PROPERTIES&gt;",P44),"Calendar",$B$5),"WorkingPattern",$Q$3),"Master",$B$4),"&lt;PARAMS_SEARCH&gt;",$W$44)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vovina.IF.IF.Dto;
using vovina.IF.IF.Exporting;
namespace vovina.IF.IF
{
    [AbpAuthorize(AppPermissions.Pages_IF_IF_FQF3MM07)]
    public class IF_FQF3MM07AppService : vovinaAppServiceBase, IIF_FQF3MM07AppService
    {
        private readonly IDapperRepository&lt;IF_FQF3MM07, long&gt; _dapperRepo;
        private readonly IRepository&lt;IF_FQF3MM07, long&gt; _repo;
        private readonly IIF_FQF3MM07ExcelExporter _calendarListExcelExporter;
        public IF_FQF3MM07AppService(IRepository&lt;IF_FQF3MM07,long&gt; repo, 
                                         IDapperRepository&lt;IF_FQF3MM07,long&gt; dapperRepo,
                                        IIF_FQF3MM07ExcelExporter calendarListExcelExporter
            )
        {
            _repo = repo;
            _dapperRepo = dapperRepo;
            _calendarListExcelExporter = calendarListExcelExporter;
        }
        [AbpAuthorize(AppPermissions.Pages_IF_IF_FQF3MM07_CreateEdit)]
        public async Task CreateOrEdit(CreateOrEditIF_FQF3MM07Dto input)
        {
            if (input.Id == null) await Create(input);
            else await Update(input);
        }
        //CREATE
        private async Task Create(CreateOrEditIF_FQF3MM07Dto input)
        {          
            var mainObj = ObjectMapper.Map&lt;IF_FQF3MM07&gt;(input);
            await CurrentUnitOfWork.GetDbContext&lt;vovinaDbContext&gt;().AddAsync(mainObj);
        }
        // EDIT
        private async Task Update(CreateOrEditIF_FQF3MM07Dto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[AbpAuthorize(AppPermissions.Pages_IF_IF_FQF3MM07_Delete)]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Task&lt;PagedResultDto&lt;IF_FQF3MM07Dto&gt;&gt; GetAll(GetIF_FQF3MM07Input input)
        {
            var filtered = _repo.GetAll()
				.WhereIf(!string.IsNullOrWhiteSpace(input.RecordId), e =&gt; e.RecordId.Contains(input.RecordId))
				.WhereIf(!string.IsNullOrWhiteSpace(input.CountryCode), e =&gt; e.CountryCode.Contains(input.CountryCode))
				.WhereIf(!string.IsNullOrWhiteSpace(input.CompanyCode), e =&gt; e.CompanyCode.Contains(input.CompanyCode))
				.WhereIf(!string.IsNullOrWhiteSpace(input.CompanyBranch), e =&gt; e.CompanyBranch.Contains(input.CompanyBranch))
				.WhereIf(!string.IsNullOrWhiteSpace(input.PostingKey), e =&gt; e.PostingKey.Contains(input.PostingKey))
				.WhereIf(!string.IsNullOrWhiteSpace(input.CostCenter), e =&gt; e.CostCenter.Contains(input.CostCenter))
				.WhereIf(!string.IsNullOrWhiteSpace(input.DocumentNo), e =&gt; e.DocumentNo.Contains(input.DocumentNo))
				.WhereIf(!string.IsNullOrWhiteSpace(input.DocumentType), e =&gt; e.DocumentType.Contains(input.DocumentType))
				.WhereIf(!string.IsNullOrWhiteSpace(input.DocumentDate), e =&gt; e.DocumentDate.Contains(input.DocumentDate))
				.WhereIf(!string.IsNullOrWhiteSpace(input.PostingDate), e =&gt; e.PostingDate.Contains(input.PostingDate))
				.WhereIf(!string.IsNullOrWhiteSpace(input.Plant), e =&gt; e.Plant.Contains(input.Plant))
				.WhereIf(!string.IsNullOrWhiteSpace(input.ReferenceDocumentNo), e =&gt; e.ReferenceDocumentNo.Contains(input.ReferenceDocumentNo))
				.WhereIf(!string.IsNullOrWhiteSpace(input.Currency), e =&gt; e.Currency.Contains(input.Currency))
				.WhereIf(!string.IsNullOrWhiteSpace(input.Order), e =&gt; e.Order.Contains(input.Order))
				.WhereIf(!string.IsNullOrWhiteSpace(input.GlAccount), e =&gt; e.GlAccount.Contains(input.GlAccount))
				.WhereIf(!string.IsNullOrWhiteSpace(input.NormalCancelFlag), e =&gt; e.NormalCancelFlag.Contains(input.NormalCancelFlag))
				.WhereIf(!string.IsNullOrWhiteSpace(input.Text), e =&gt; e.Text.Contains(input.Text))
				.WhereIf(!string.IsNullOrWhiteSpace(input.ProfitCenter), e =&gt; e.ProfitCenter.Contains(input.ProfitCenter))
				.WhereIf(!string.IsNullOrWhiteSpace(input.Wbs), e =&gt; e.Wbs.Contains(input.Wbs))
				.WhereIf(!string.IsNullOrWhiteSpace(input.BaseUnitOfMeasure), e =&gt; e.BaseUnitOfMeasure.Contains(input.BaseUnitOfMeasure))
				.WhereIf(!string.IsNullOrWhiteSpace(input.AmountInLocalCurrency), e =&gt; e.AmountInLocalCurrency.Contains(input.AmountInLocalCurrency))
				.WhereIf(!string.IsNullOrWhiteSpace(input.ExchangeRate), e =&gt; e.ExchangeRate.Contains(input.ExchangeRate))
				.WhereIf(!string.IsNullOrWhiteSpace(input.RefKey1), e =&gt; e.RefKey1.Contains(input.RefKey1))
				.WhereIf(!string.IsNullOrWhiteSpace(input.RefKey2), e =&gt; e.RefKey2.Contains(input.RefKey2))
				.WhereIf(!string.IsNullOrWhiteSpace(input.RefKey3), e =&gt; e.RefKey3.Contains(input.RefKey3))
				.WhereIf(!string.IsNullOrWhiteSpace(input.EarmarkFund), e =&gt; e.EarmarkFund.Contains(input.EarmarkFund))
				.WhereIf(!string.IsNullOrWhiteSpace(input.EarmarkFundItem), e =&gt; e.EarmarkFundItem.Contains(input.EarmarkFundItem))
				.WhereIf(!string.IsNullOrWhiteSpace(input.MaterialNo), e =&gt; e.MaterialNo.Contains(input.MaterialNo))
				.WhereIf(!string.IsNullOrWhiteSpace(input.MainAssetNumber), e =&gt; e.MainAssetNumber.Contains(input.MainAssetNumber))
				.WhereIf(!string.IsNullOrWhiteSpace(input.AssetSubNumber), e =&gt; e.AssetSubNumber.Contains(input.AssetSubNumber))
				.WhereIf(!string.IsNullOrWhiteSpace(input.TransType), e =&gt; e.TransType.Contains(input.TransType))
				.WhereIf(!string.IsNullOrWhiteSpace(input.EndingOfRecord), e =&gt; e.EndingOfRecord.Contains(input.EndingOfRecord))                   
				;
            var pageAndFiltered = filtered.OrderBy(s =&gt; s.Id);
            var system = from o in pageAndFiltered
                         select new IF_FQF3MM07Dto
                        {
							Id = o.Id,
							RecordId = o.RecordId,
							CountryCode = o.CountryCode,
							CompanyCode = o.CompanyCode,
							CompanyBranch = o.CompanyBranch,
							PostingKey = o.PostingKey,
							CostCenter = o.CostCenter,
							DocumentNo = o.DocumentNo,
							DocumentType = o.DocumentType,
							DocumentDate = o.DocumentDate,
							PostingDate = o.PostingDate,
							Plant = o.Plant,
							ReferenceDocumentNo = o.ReferenceDocumentNo,
							Amount = o.Amount,
							Currency = o.Currency,
							Order = o.Order,
							GlAccount = o.GlAccount,
							NormalCancelFlag = o.NormalCancelFlag,
							Text = o.Text,
							ProfitCenter = o.ProfitCenter,
							Wbs = o.Wbs,
							Quantity = o.Quantity,
							BaseUnitOfMeasure = o.BaseUnitOfMeasure,
							AmountInLocalCurrency = o.AmountInLocalCurrency,
							ExchangeRate = o.ExchangeRate,
							RefKey1 = o.RefKey1,
							RefKey2 = o.RefKey2,
							RefKey3 = o.RefKey3,
							EarmarkFund = o.EarmarkFund,
							EarmarkFundItem = o.EarmarkFundItem,
							MaterialNo = o.MaterialNo,
							MainAssetNumber = o.MainAssetNumber,
							AssetSubNumber = o.AssetSubNumber,
							TransType = o.TransType,
							EndingOfRecord = o.EndingOfRecord,
                        };
            var totalCount = await filtered.CountAsync();
			var paged = system.PageBy(input);
            return new PagedResultDto&lt;IF_FQF3MM07Dto&gt;(
                totalCount,
                 await paged.ToListAsync()
            );
        }
        public async Task&lt;FileDto&gt; GetFQF3MM07ToExcel(IF_FQF3MM07ExportInput input)
        {
            var query = from o in _repo.GetAll()
                        select new IF_FQF3MM07Dto
                        {
							Id = o.Id,
							RecordId = o.RecordId,
							CountryCode = o.CountryCode,
							CompanyCode = o.CompanyCode,
							CompanyBranch = o.CompanyBranch,
							PostingKey = o.PostingKey,
							CostCenter = o.CostCenter,
							DocumentNo = o.DocumentNo,
							DocumentType = o.DocumentType,
							DocumentDate = o.DocumentDate,
							PostingDate = o.PostingDate,
							Plant = o.Plant,
							ReferenceDocumentNo = o.ReferenceDocumentNo,
							Amount = o.Amount,
							Currency = o.Currency,
							Order = o.Order,
							GlAccount = o.GlAccount,
							NormalCancelFlag = o.NormalCancelFlag,
							Text = o.Text,
							ProfitCenter = o.ProfitCenter,
							Wbs = o.Wbs,
							Quantity = o.Quantity,
							BaseUnitOfMeasure = o.BaseUnitOfMeasure,
							AmountInLocalCurrency = o.AmountInLocalCurrency,
							ExchangeRate = o.ExchangeRate,
							RefKey1 = o.RefKey1,
							RefKey2 = o.RefKey2,
							RefKey3 = o.RefKey3,
							EarmarkFund = o.EarmarkFund,
							EarmarkFundItem = o.EarmarkFundItem,
							MaterialNo = o.MaterialNo,
							MainAssetNumber = o.MainAssetNumber,
							AssetSubNumber = o.AssetSubNumber,
							TransType = o.TransType,
							EndingOfRecord = o.EndingOfRecord,
                        };
            var exportToExcel = await query.ToListAsync();
            return _calendarListExcelExporter.ExportToFile(exportToExcel);
        }
       // public async Task GenerateAsync()
      //  {
        //    await _dapperRepo.ExecuteAsync(IF_FQF3MM07Consts.SP_MST_WPT_CALENDAR_GENERATE);
       // }
    }
}</v>
      </c>
      <c r="R7" t="str">
        <f ca="1">SUBSTITUTE(SUBSTITUTE((C1&amp;"namespace "&amp;B6&amp;".Dto"&amp;E3&amp;C3&amp;R3&amp;M44&amp;E3&amp;REPT(CHAR(9),1)&amp;D3&amp;D3),"WorkingPattern",$Q$3),"Master",$B$4)</f>
        <v xml:space="preserve">using Abp.Application.Services.Dto;
using System;
using System.ComponentModel.DataAnnotations;
namespace prod.Inventory.IF.Dto
{
	public class IF_FQF3MM07ExportInput{
		public virtual string RecordId { get; set; }
		public virtual string CountryCode { get; set; }
		public virtual string CompanyCode { get; set; }
		public virtual string CompanyBranch { get; set; }
		public virtual string PostingKey { get; set; }
		public virtual string CostCenter { get; set; }
		public virtual string DocumentNo { get; set; }
		public virtual string DocumentType { get; set; }
		public virtual string DocumentDate { get; set; }
		public virtual string PostingDate { get; set; }
		public virtual string Plant { get; set; }
		public virtual string ReferenceDocumentNo { get; set; }
		public virtual int? Amount { get; set; }
		public virtual string Currency { get; set; }
		public virtual string Order { get; set; }
		public virtual string GlAccount { get; set; }
		public virtual string NormalCancelFlag { get; set; }
		public virtual string Text { get; set; }
		public virtual string ProfitCenter { get; set; }
		public virtual string Wbs { get; set; }
		public virtual int? Quantity { get; set; }
		public virtual string BaseUnitOfMeasure { get; set; }
		public virtual string AmountInLocalCurrency { get; set; }
		public virtual string ExchangeRate { get; set; }
		public virtual string RefKey1 { get; set; }
		public virtual string RefKey2 { get; set; }
		public virtual string RefKey3 { get; set; }
		public virtual string EarmarkFund { get; set; }
		public virtual string EarmarkFundItem { get; set; }
		public virtual string MaterialNo { get; set; }
		public virtual string MainAssetNumber { get; set; }
		public virtual string AssetSubNumber { get; set; }
		public virtual string TransType { get; set; }
		public virtual string EndingOfRecord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vovina.Inventory.IF.Dto;
namespace prod.Inventory.IF.Exporting
{
	public interface IIF_FQF3MM07ExcelExporter : IApplicationService
	{
		FileDto ExportToFile(List&lt;IF_FQF3MM07Dto&gt; if_fqf3mm07);
	}
}
</v>
      </c>
      <c r="T7" s="26" t="str">
        <f ca="1">SUBSTITUTE(SUBSTITUTE(SUBSTITUTE(SUBSTITUTE(SUBSTITUTE(SUBSTITUTE(SUBSTITUTE(T1,"MstWptCalendar",$B$3),"&lt;PROPERTIES1&gt;",V44),"&lt;PROPERTIES&gt;",T44),"Calendar",$B$5),"calendar",LOWER(B5)),"WorkingPattern",$Q$3),"Master",$B$4)</f>
        <v>using System.Collections.Generic;
using vovina.DataExporting.Excel.NPOI;
using vovina.Dto;
using vovina.IF.IF.Exporting;
using vovina.IF.IF.Dto;
using vovina.Storage;
using vovina.IF.IF.Dto;
namespace vovina.IF.IF.Exporting
{
    public class IF_FQF3MM07ExcelExporter : NpoiExcelExporterBase, IIF_FQF3MM07ExcelExporter
    {
        public IF_FQF3MM07ExcelExporter(ITempFileCacheManager tempFileCacheManager) : base(tempFileCacheManager) { }
        public FileDto ExportToFile(List&lt;IF_FQF3MM07Dto&gt; fqf3mm07)
        {
            return CreateExcelPackage(
				"IFIFFQF3MM07.xlsx",
				excelPackage =&gt;
				 {
					var sheet = excelPackage.CreateSheet("FQF3MM07");
					AddHeader(
								sheet,
								("RecordId"),
								("CountryCode"),
								("CompanyCode"),
								("CompanyBranch"),
								("PostingKey"),
								("CostCenter"),
								("DocumentNo"),
								("DocumentType"),
								("DocumentDate"),
								("PostingDate"),
								("Plant"),
								("ReferenceDocumentNo"),
								("Amount"),
								("Currency"),
								("Order"),
								("GlAccount"),
								("NormalCancelFlag"),
								("Text"),
								("ProfitCenter"),
								("Wbs"),
								("Quantity"),
								("BaseUnitOfMeasure"),
								("AmountInLocalCurrency"),
								("ExchangeRate"),
								("RefKey1"),
								("RefKey2"),
								("RefKey3"),
								("EarmarkFund"),
								("EarmarkFundItem"),
								("MaterialNo"),
								("MainAssetNumber"),
								("AssetSubNumber"),
								("TransType"),
								("EndingOfRecord"),
							   );
					AddObjects(
						 sheet, 1, fqf3mm07,                                       
								_ =&gt; _.RecordId,
								_ =&gt; _.CountryCode,
								_ =&gt; _.CompanyCode,
								_ =&gt; _.CompanyBranch,
								_ =&gt; _.PostingKey,
								_ =&gt; _.CostCenter,
								_ =&gt; _.DocumentNo,
								_ =&gt; _.DocumentType,
								_ =&gt; _.DocumentDate,
								_ =&gt; _.PostingDate,
								_ =&gt; _.Plant,
								_ =&gt; _.ReferenceDocumentNo,
								_ =&gt; _.Amount,
								_ =&gt; _.Currency,
								_ =&gt; _.Order,
								_ =&gt; _.GlAccount,
								_ =&gt; _.NormalCancelFlag,
								_ =&gt; _.Text,
								_ =&gt; _.ProfitCenter,
								_ =&gt; _.Wbs,
								_ =&gt; _.Quantity,
								_ =&gt; _.BaseUnitOfMeasure,
								_ =&gt; _.AmountInLocalCurrency,
								_ =&gt; _.ExchangeRate,
								_ =&gt; _.RefKey1,
								_ =&gt; _.RefKey2,
								_ =&gt; _.RefKey3,
								_ =&gt; _.EarmarkFund,
								_ =&gt; _.EarmarkFundItem,
								_ =&gt; _.MaterialNo,
								_ =&gt; _.MainAssetNumber,
								_ =&gt; _.AssetSubNumber,
								_ =&gt; _.TransType,
								_ =&gt; _.EndingOfRecord,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configuration.CreateMap&lt;IF_FQF3MM07Dto, IF_FQF3MM07&gt;();
  configuration.CreateMap&lt;IF_FQF3MM07, IF_FQF3MM07Dto&gt;();
  configuration.CreateMap&lt;CreateOrEditIF_FQF3MM07Dto, IF_FQF3MM07&gt;();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s="66" t="s">
        <v>365</v>
      </c>
      <c r="B9" t="s">
        <v>369</v>
      </c>
      <c r="C9" t="s">
        <v>1</v>
      </c>
      <c r="D9" t="str">
        <f t="shared" ref="D9" si="0">SUBSTITUTE(PROPER(A9),"_","")</f>
        <v>RecordId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7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MaxRecordIdLength = 7;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[StringLength(MaxRecordIdLength)]
		public virtual string RecordId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RecordId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[StringLength(IF_FQF3MM07Consts.MaxRecordIdLength)]
		public virtual string RecordId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RecordId { get; set; }
</v>
      </c>
      <c r="P9" t="str">
        <f t="shared" ref="P9" si="9">REPT(CHAR(9),7)&amp;D9&amp;" = o." &amp;D9 &amp;","</f>
        <v xml:space="preserve">							RecordId = o.RecordId,</v>
      </c>
      <c r="T9" s="63" t="str">
        <f t="shared" ref="T9" si="10">REPT(CHAR(9),8)&amp;"("""&amp;D9&amp;"""),"</f>
        <v xml:space="preserve">								("RecordId"),</v>
      </c>
      <c r="V9" s="64" t="str">
        <f t="shared" ref="V9" si="11">REPT(CHAR(9),8)&amp;"_ =&gt; _."&amp;D9&amp;","</f>
        <v xml:space="preserve">								_ =&gt; _.RecordId,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.WhereIf(!string.IsNullOrWhiteSpace(input.RecordId), e =&gt; e.RecordId.Contains(input.RecordId))</v>
      </c>
    </row>
    <row r="10" spans="1:23" customFormat="1" ht="18.75" customHeight="1" x14ac:dyDescent="0.25">
      <c r="A10" s="66" t="s">
        <v>373</v>
      </c>
      <c r="B10" t="s">
        <v>360</v>
      </c>
      <c r="C10" t="s">
        <v>1</v>
      </c>
      <c r="D10" t="str">
        <f t="shared" ref="D10:D11" si="13">SUBSTITUTE(PROPER(A10),"_","")</f>
        <v>CountryCode</v>
      </c>
      <c r="E10" t="str">
        <f t="shared" ref="E10:E11" si="14">IFERROR(LEFT(B10, FIND("(",B10)-1),B10)</f>
        <v>VARCHAR</v>
      </c>
      <c r="F10" s="6"/>
      <c r="G10" t="str">
        <f t="shared" ref="G10:G11" si="15">IFERROR(MID(B10,FIND("(",B10) +1, FIND(")",B10) - FIND("(",B10) - 1),"")</f>
        <v>3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MaxCountryCodeLength = 3;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[StringLength(MaxCountryCodeLength)]
		public virtual string CountryCode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CountryCode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[StringLength(IF_FQF3MM07Consts.MaxCountryCodeLength)]
		public virtual string CountryCode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CountryCode { get; set; }
</v>
      </c>
      <c r="P10" t="str">
        <f t="shared" ref="P10:P11" si="22">REPT(CHAR(9),7)&amp;D10&amp;" = o." &amp;D10 &amp;","</f>
        <v xml:space="preserve">							CountryCode = o.CountryCode,</v>
      </c>
      <c r="T10" s="63" t="str">
        <f t="shared" ref="T10:T11" si="23">REPT(CHAR(9),8)&amp;"("""&amp;D10&amp;"""),"</f>
        <v xml:space="preserve">								("CountryCode"),</v>
      </c>
      <c r="V10" s="64" t="str">
        <f t="shared" ref="V10:V11" si="24">REPT(CHAR(9),8)&amp;"_ =&gt; _."&amp;D10&amp;","</f>
        <v xml:space="preserve">								_ =&gt; _.CountryCode,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.WhereIf(!string.IsNullOrWhiteSpace(input.CountryCode), e =&gt; e.CountryCode.Contains(input.CountryCode))</v>
      </c>
    </row>
    <row r="11" spans="1:23" customFormat="1" ht="18.75" customHeight="1" x14ac:dyDescent="0.25">
      <c r="A11" s="66" t="s">
        <v>366</v>
      </c>
      <c r="B11" t="s">
        <v>355</v>
      </c>
      <c r="C11" t="s">
        <v>1</v>
      </c>
      <c r="D11" t="str">
        <f t="shared" si="13"/>
        <v>CompanyCode</v>
      </c>
      <c r="E11" t="str">
        <f t="shared" si="14"/>
        <v>VARCHAR</v>
      </c>
      <c r="F11" s="6"/>
      <c r="G11" t="str">
        <f t="shared" si="15"/>
        <v>4</v>
      </c>
      <c r="H11" t="str">
        <f>+VLOOKUP(E11,'Data Type Mapping'!A:B,2,)</f>
        <v>string</v>
      </c>
      <c r="I11" t="str">
        <f t="shared" si="16"/>
        <v xml:space="preserve">		public const int MaxCompanyCodeLength = 4;
</v>
      </c>
      <c r="J11" t="str">
        <f t="shared" si="17"/>
        <v xml:space="preserve">		[StringLength(MaxCompanyCodeLength)]
		public virtual string CompanyCode { get; set; }
</v>
      </c>
      <c r="K11" s="6"/>
      <c r="L11" t="str">
        <f t="shared" si="18"/>
        <v/>
      </c>
      <c r="M11" t="str">
        <f t="shared" si="19"/>
        <v xml:space="preserve">		public virtual string CompanyCode { get; set; }
</v>
      </c>
      <c r="N11" t="str">
        <f t="shared" si="20"/>
        <v xml:space="preserve">		[StringLength(IF_FQF3MM07Consts.MaxCompanyCodeLength)]
		public virtual string CompanyCode { get; set; }
</v>
      </c>
      <c r="O11" t="str">
        <f t="shared" si="21"/>
        <v xml:space="preserve">		public virtual string CompanyCode { get; set; }
</v>
      </c>
      <c r="P11" t="str">
        <f t="shared" si="22"/>
        <v xml:space="preserve">							CompanyCode = o.CompanyCode,</v>
      </c>
      <c r="T11" s="63" t="str">
        <f t="shared" si="23"/>
        <v xml:space="preserve">								("CompanyCode"),</v>
      </c>
      <c r="V11" s="64" t="str">
        <f t="shared" si="24"/>
        <v xml:space="preserve">								_ =&gt; _.CompanyCode,</v>
      </c>
      <c r="W11" s="63" t="str">
        <f t="shared" si="25"/>
        <v xml:space="preserve">				.WhereIf(!string.IsNullOrWhiteSpace(input.CompanyCode), e =&gt; e.CompanyCode.Contains(input.CompanyCode))</v>
      </c>
    </row>
    <row r="12" spans="1:23" customFormat="1" ht="18.75" customHeight="1" x14ac:dyDescent="0.25">
      <c r="A12" s="66" t="s">
        <v>374</v>
      </c>
      <c r="B12" t="s">
        <v>399</v>
      </c>
      <c r="C12" t="s">
        <v>1</v>
      </c>
      <c r="D12" t="str">
        <f t="shared" ref="D12:D15" si="26">SUBSTITUTE(PROPER(A12),"_","")</f>
        <v>CompanyBranch</v>
      </c>
      <c r="E12" t="str">
        <f t="shared" ref="E12:E15" si="27">IFERROR(LEFT(B12, FIND("(",B12)-1),B12)</f>
        <v>VARCHAR</v>
      </c>
      <c r="F12" s="6"/>
      <c r="G12" t="str">
        <f t="shared" ref="G12:G15" si="28">IFERROR(MID(B12,FIND("(",B12) +1, FIND(")",B12) - FIND("(",B12) - 1),"")</f>
        <v>5</v>
      </c>
      <c r="H12" t="str">
        <f>+VLOOKUP(E12,'Data Type Mapping'!A:B,2,)</f>
        <v>string</v>
      </c>
      <c r="I12" t="str">
        <f t="shared" ref="I12:I15" si="29">IF(H12="string",REPT(CHAR(9),2)&amp;"public const int Max"&amp;D12&amp;"Length = "&amp;G12&amp;";"&amp;$E$3,"" )</f>
        <v xml:space="preserve">		public const int MaxCompanyBranchLength = 5;
</v>
      </c>
      <c r="J12" t="str">
        <f t="shared" ref="J12:J15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[StringLength(MaxCompanyBranchLength)]
		public virtual string CompanyBranch { get; set; }
</v>
      </c>
      <c r="K12" s="6"/>
      <c r="L12" t="str">
        <f t="shared" ref="L12:L15" si="31">IF(K12="","",REPT(CHAR(9),1)&amp;"[Index(nameof("&amp;IF(D12="","",""&amp;D12)&amp;")"&amp;", Name="&amp;"""IX_"&amp;$B$7&amp;"_"&amp;D12&amp;""")]")</f>
        <v/>
      </c>
      <c r="M12" t="str">
        <f t="shared" ref="M12:M15" si="32">REPT(CHAR(9),2)&amp;"public virtual "&amp;IF(OR(H12="DateTime",H12="TimeSpan"),H12&amp;"?",H12)&amp;IF(C12="?","? "," ")&amp;D12&amp;" { get; set; }" &amp; "
"</f>
        <v xml:space="preserve">		public virtual string CompanyBranch { get; set; }
</v>
      </c>
      <c r="N12" t="str">
        <f t="shared" ref="N12:N15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[StringLength(IF_FQF3MM07Consts.MaxCompanyBranchLength)]
		public virtual string CompanyBranch { get; set; }
</v>
      </c>
      <c r="O12" t="str">
        <f t="shared" ref="O12:O15" si="34">IF(OR(H12="string",H12="DateTime",H12="int"),REPT(CHAR(9),2)&amp;"public virtual "&amp;IF(OR(H12="DateTime",H12="TimeSpan"),H12&amp;"?",H12)&amp;IF(C12="?","? "," ")&amp;D12&amp;" { get; set; }"&amp;$E$3,"")</f>
        <v xml:space="preserve">		public virtual string CompanyBranch { get; set; }
</v>
      </c>
      <c r="P12" t="str">
        <f t="shared" ref="P12:P15" si="35">REPT(CHAR(9),7)&amp;D12&amp;" = o." &amp;D12 &amp;","</f>
        <v xml:space="preserve">							CompanyBranch = o.CompanyBranch,</v>
      </c>
      <c r="T12" s="63" t="str">
        <f t="shared" ref="T12:T15" si="36">REPT(CHAR(9),8)&amp;"("""&amp;D12&amp;"""),"</f>
        <v xml:space="preserve">								("CompanyBranch"),</v>
      </c>
      <c r="V12" s="64" t="str">
        <f t="shared" ref="V12:V15" si="37">REPT(CHAR(9),8)&amp;"_ =&gt; _."&amp;D12&amp;","</f>
        <v xml:space="preserve">								_ =&gt; _.CompanyBranch,</v>
      </c>
      <c r="W12" s="63" t="str">
        <f t="shared" ref="W12:W15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.WhereIf(!string.IsNullOrWhiteSpace(input.CompanyBranch), e =&gt; e.CompanyBranch.Contains(input.CompanyBranch))</v>
      </c>
    </row>
    <row r="13" spans="1:23" customFormat="1" ht="18.75" customHeight="1" x14ac:dyDescent="0.25">
      <c r="A13" s="67" t="s">
        <v>375</v>
      </c>
      <c r="B13" t="s">
        <v>372</v>
      </c>
      <c r="C13" t="s">
        <v>1</v>
      </c>
      <c r="D13" t="str">
        <f t="shared" si="26"/>
        <v>PostingKey</v>
      </c>
      <c r="E13" t="str">
        <f t="shared" si="27"/>
        <v>VARCHAR</v>
      </c>
      <c r="F13" s="6"/>
      <c r="G13" t="str">
        <f t="shared" si="28"/>
        <v>2</v>
      </c>
      <c r="H13" t="str">
        <f>+VLOOKUP(E13,'Data Type Mapping'!A:B,2,)</f>
        <v>string</v>
      </c>
      <c r="I13" t="str">
        <f t="shared" si="29"/>
        <v xml:space="preserve">		public const int MaxPostingKeyLength = 2;
</v>
      </c>
      <c r="J13" t="str">
        <f t="shared" si="30"/>
        <v xml:space="preserve">		[StringLength(MaxPostingKeyLength)]
		public virtual string PostingKey { get; set; }
</v>
      </c>
      <c r="K13" s="6"/>
      <c r="L13" t="str">
        <f t="shared" si="31"/>
        <v/>
      </c>
      <c r="M13" t="str">
        <f t="shared" si="32"/>
        <v xml:space="preserve">		public virtual string PostingKey { get; set; }
</v>
      </c>
      <c r="N13" t="str">
        <f t="shared" si="33"/>
        <v xml:space="preserve">		[StringLength(IF_FQF3MM07Consts.MaxPostingKeyLength)]
		public virtual string PostingKey { get; set; }
</v>
      </c>
      <c r="O13" t="str">
        <f t="shared" si="34"/>
        <v xml:space="preserve">		public virtual string PostingKey { get; set; }
</v>
      </c>
      <c r="P13" t="str">
        <f t="shared" si="35"/>
        <v xml:space="preserve">							PostingKey = o.PostingKey,</v>
      </c>
      <c r="T13" s="63" t="str">
        <f t="shared" si="36"/>
        <v xml:space="preserve">								("PostingKey"),</v>
      </c>
      <c r="V13" s="64" t="str">
        <f t="shared" si="37"/>
        <v xml:space="preserve">								_ =&gt; _.PostingKey,</v>
      </c>
      <c r="W13" s="63" t="str">
        <f t="shared" si="38"/>
        <v xml:space="preserve">				.WhereIf(!string.IsNullOrWhiteSpace(input.PostingKey), e =&gt; e.PostingKey.Contains(input.PostingKey))</v>
      </c>
    </row>
    <row r="14" spans="1:23" customFormat="1" ht="18.75" customHeight="1" x14ac:dyDescent="0.25">
      <c r="A14" s="68" t="s">
        <v>359</v>
      </c>
      <c r="B14" t="s">
        <v>354</v>
      </c>
      <c r="C14" t="s">
        <v>1</v>
      </c>
      <c r="D14" t="str">
        <f t="shared" si="26"/>
        <v>CostCenter</v>
      </c>
      <c r="E14" t="str">
        <f t="shared" si="27"/>
        <v>VARCHAR</v>
      </c>
      <c r="F14" s="6"/>
      <c r="G14" t="str">
        <f t="shared" si="28"/>
        <v>10</v>
      </c>
      <c r="H14" t="str">
        <f>+VLOOKUP(E14,'Data Type Mapping'!A:B,2,)</f>
        <v>string</v>
      </c>
      <c r="I14" t="str">
        <f t="shared" si="29"/>
        <v xml:space="preserve">		public const int MaxCostCenterLength = 10;
</v>
      </c>
      <c r="J14" t="str">
        <f t="shared" si="30"/>
        <v xml:space="preserve">		[StringLength(MaxCostCenterLength)]
		public virtual string CostCenter { get; set; }
</v>
      </c>
      <c r="K14" s="6"/>
      <c r="L14" t="str">
        <f t="shared" si="31"/>
        <v/>
      </c>
      <c r="M14" t="str">
        <f t="shared" si="32"/>
        <v xml:space="preserve">		public virtual string CostCenter { get; set; }
</v>
      </c>
      <c r="N14" t="str">
        <f t="shared" si="33"/>
        <v xml:space="preserve">		[StringLength(IF_FQF3MM07Consts.MaxCostCenterLength)]
		public virtual string CostCenter { get; set; }
</v>
      </c>
      <c r="O14" t="str">
        <f t="shared" si="34"/>
        <v xml:space="preserve">		public virtual string CostCenter { get; set; }
</v>
      </c>
      <c r="P14" t="str">
        <f t="shared" si="35"/>
        <v xml:space="preserve">							CostCenter = o.CostCenter,</v>
      </c>
      <c r="T14" s="63" t="str">
        <f t="shared" si="36"/>
        <v xml:space="preserve">								("CostCenter"),</v>
      </c>
      <c r="V14" s="64" t="str">
        <f t="shared" si="37"/>
        <v xml:space="preserve">								_ =&gt; _.CostCenter,</v>
      </c>
      <c r="W14" s="63" t="str">
        <f t="shared" si="38"/>
        <v xml:space="preserve">				.WhereIf(!string.IsNullOrWhiteSpace(input.CostCenter), e =&gt; e.CostCenter.Contains(input.CostCenter))</v>
      </c>
    </row>
    <row r="15" spans="1:23" customFormat="1" ht="18.75" customHeight="1" x14ac:dyDescent="0.25">
      <c r="A15" s="69" t="s">
        <v>376</v>
      </c>
      <c r="B15" t="s">
        <v>400</v>
      </c>
      <c r="C15" t="s">
        <v>1</v>
      </c>
      <c r="D15" t="str">
        <f t="shared" si="26"/>
        <v>DocumentNo</v>
      </c>
      <c r="E15" t="str">
        <f t="shared" si="27"/>
        <v>VARCHAR</v>
      </c>
      <c r="F15" s="6"/>
      <c r="G15" t="str">
        <f t="shared" si="28"/>
        <v>25</v>
      </c>
      <c r="H15" t="str">
        <f>+VLOOKUP(E15,'Data Type Mapping'!A:B,2,)</f>
        <v>string</v>
      </c>
      <c r="I15" t="str">
        <f t="shared" si="29"/>
        <v xml:space="preserve">		public const int MaxDocumentNoLength = 25;
</v>
      </c>
      <c r="J15" t="str">
        <f t="shared" si="30"/>
        <v xml:space="preserve">		[StringLength(MaxDocumentNoLength)]
		public virtual string DocumentNo { get; set; }
</v>
      </c>
      <c r="K15" s="6"/>
      <c r="L15" t="str">
        <f t="shared" si="31"/>
        <v/>
      </c>
      <c r="M15" t="str">
        <f t="shared" si="32"/>
        <v xml:space="preserve">		public virtual string DocumentNo { get; set; }
</v>
      </c>
      <c r="N15" t="str">
        <f t="shared" si="33"/>
        <v xml:space="preserve">		[StringLength(IF_FQF3MM07Consts.MaxDocumentNoLength)]
		public virtual string DocumentNo { get; set; }
</v>
      </c>
      <c r="O15" t="str">
        <f t="shared" si="34"/>
        <v xml:space="preserve">		public virtual string DocumentNo { get; set; }
</v>
      </c>
      <c r="P15" t="str">
        <f t="shared" si="35"/>
        <v xml:space="preserve">							DocumentNo = o.DocumentNo,</v>
      </c>
      <c r="T15" s="63" t="str">
        <f t="shared" si="36"/>
        <v xml:space="preserve">								("DocumentNo"),</v>
      </c>
      <c r="V15" s="64" t="str">
        <f t="shared" si="37"/>
        <v xml:space="preserve">								_ =&gt; _.DocumentNo,</v>
      </c>
      <c r="W15" s="63" t="str">
        <f t="shared" si="38"/>
        <v xml:space="preserve">				.WhereIf(!string.IsNullOrWhiteSpace(input.DocumentNo), e =&gt; e.DocumentNo.Contains(input.DocumentNo))</v>
      </c>
    </row>
    <row r="16" spans="1:23" customFormat="1" ht="18.75" customHeight="1" x14ac:dyDescent="0.25">
      <c r="A16" s="66" t="s">
        <v>377</v>
      </c>
      <c r="B16" t="s">
        <v>372</v>
      </c>
      <c r="C16" t="s">
        <v>1</v>
      </c>
      <c r="D16" t="str">
        <f t="shared" ref="D16:D23" si="39">SUBSTITUTE(PROPER(A16),"_","")</f>
        <v>DocumentType</v>
      </c>
      <c r="E16" t="str">
        <f t="shared" ref="E16:E23" si="40">IFERROR(LEFT(B16, FIND("(",B16)-1),B16)</f>
        <v>VARCHAR</v>
      </c>
      <c r="F16" s="6"/>
      <c r="G16" t="str">
        <f t="shared" ref="G16:G23" si="41">IFERROR(MID(B16,FIND("(",B16) +1, FIND(")",B16) - FIND("(",B16) - 1),"")</f>
        <v>2</v>
      </c>
      <c r="H16" t="str">
        <f>+VLOOKUP(E16,'Data Type Mapping'!A:B,2,)</f>
        <v>string</v>
      </c>
      <c r="I16" t="str">
        <f t="shared" ref="I16:I23" si="42">IF(H16="string",REPT(CHAR(9),2)&amp;"public const int Max"&amp;D16&amp;"Length = "&amp;G16&amp;";"&amp;$E$3,"" )</f>
        <v xml:space="preserve">		public const int MaxDocumentTypeLength = 2;
</v>
      </c>
      <c r="J16" t="str">
        <f t="shared" ref="J16:J23" si="43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[StringLength(MaxDocumentTypeLength)]
		public virtual string DocumentType { get; set; }
</v>
      </c>
      <c r="K16" s="6"/>
      <c r="L16" t="str">
        <f t="shared" ref="L16:L23" si="44">IF(K16="","",REPT(CHAR(9),1)&amp;"[Index(nameof("&amp;IF(D16="","",""&amp;D16)&amp;")"&amp;", Name="&amp;"""IX_"&amp;$B$7&amp;"_"&amp;D16&amp;""")]")</f>
        <v/>
      </c>
      <c r="M16" t="str">
        <f t="shared" ref="M16:M23" si="45">REPT(CHAR(9),2)&amp;"public virtual "&amp;IF(OR(H16="DateTime",H16="TimeSpan"),H16&amp;"?",H16)&amp;IF(C16="?","? "," ")&amp;D16&amp;" { get; set; }" &amp; "
"</f>
        <v xml:space="preserve">		public virtual string DocumentType { get; set; }
</v>
      </c>
      <c r="N16" t="str">
        <f t="shared" ref="N16:N23" si="46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[StringLength(IF_FQF3MM07Consts.MaxDocumentTypeLength)]
		public virtual string DocumentType { get; set; }
</v>
      </c>
      <c r="O16" t="str">
        <f t="shared" ref="O16:O23" si="47">IF(OR(H16="string",H16="DateTime",H16="int"),REPT(CHAR(9),2)&amp;"public virtual "&amp;IF(OR(H16="DateTime",H16="TimeSpan"),H16&amp;"?",H16)&amp;IF(C16="?","? "," ")&amp;D16&amp;" { get; set; }"&amp;$E$3,"")</f>
        <v xml:space="preserve">		public virtual string DocumentType { get; set; }
</v>
      </c>
      <c r="P16" t="str">
        <f t="shared" ref="P16:P23" si="48">REPT(CHAR(9),7)&amp;D16&amp;" = o." &amp;D16 &amp;","</f>
        <v xml:space="preserve">							DocumentType = o.DocumentType,</v>
      </c>
      <c r="T16" s="63" t="str">
        <f t="shared" ref="T16:T23" si="49">REPT(CHAR(9),8)&amp;"("""&amp;D16&amp;"""),"</f>
        <v xml:space="preserve">								("DocumentType"),</v>
      </c>
      <c r="V16" s="64" t="str">
        <f t="shared" ref="V16:V23" si="50">REPT(CHAR(9),8)&amp;"_ =&gt; _."&amp;D16&amp;","</f>
        <v xml:space="preserve">								_ =&gt; _.DocumentType,</v>
      </c>
      <c r="W16" s="63" t="str">
        <f t="shared" ref="W16:W23" si="51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.WhereIf(!string.IsNullOrWhiteSpace(input.DocumentType), e =&gt; e.DocumentType.Contains(input.DocumentType))</v>
      </c>
    </row>
    <row r="17" spans="1:23" customFormat="1" ht="18.75" customHeight="1" x14ac:dyDescent="0.25">
      <c r="A17" s="69" t="s">
        <v>378</v>
      </c>
      <c r="B17" t="s">
        <v>370</v>
      </c>
      <c r="C17" t="s">
        <v>1</v>
      </c>
      <c r="D17" t="str">
        <f t="shared" si="39"/>
        <v>DocumentDate</v>
      </c>
      <c r="E17" t="str">
        <f t="shared" si="40"/>
        <v>VARCHAR</v>
      </c>
      <c r="F17" s="6"/>
      <c r="G17" t="str">
        <f t="shared" si="41"/>
        <v>8</v>
      </c>
      <c r="H17" t="str">
        <f>+VLOOKUP(E17,'Data Type Mapping'!A:B,2,)</f>
        <v>string</v>
      </c>
      <c r="I17" t="str">
        <f t="shared" si="42"/>
        <v xml:space="preserve">		public const int MaxDocumentDateLength = 8;
</v>
      </c>
      <c r="J17" t="str">
        <f t="shared" si="43"/>
        <v xml:space="preserve">		[StringLength(MaxDocumentDateLength)]
		public virtual string DocumentDate { get; set; }
</v>
      </c>
      <c r="K17" s="6"/>
      <c r="L17" t="str">
        <f t="shared" si="44"/>
        <v/>
      </c>
      <c r="M17" t="str">
        <f t="shared" si="45"/>
        <v xml:space="preserve">		public virtual string DocumentDate { get; set; }
</v>
      </c>
      <c r="N17" t="str">
        <f t="shared" si="46"/>
        <v xml:space="preserve">		[StringLength(IF_FQF3MM07Consts.MaxDocumentDateLength)]
		public virtual string DocumentDate { get; set; }
</v>
      </c>
      <c r="O17" t="str">
        <f t="shared" si="47"/>
        <v xml:space="preserve">		public virtual string DocumentDate { get; set; }
</v>
      </c>
      <c r="P17" t="str">
        <f t="shared" si="48"/>
        <v xml:space="preserve">							DocumentDate = o.DocumentDate,</v>
      </c>
      <c r="T17" s="63" t="str">
        <f t="shared" si="49"/>
        <v xml:space="preserve">								("DocumentDate"),</v>
      </c>
      <c r="V17" s="64" t="str">
        <f t="shared" si="50"/>
        <v xml:space="preserve">								_ =&gt; _.DocumentDate,</v>
      </c>
      <c r="W17" s="63" t="str">
        <f t="shared" si="51"/>
        <v xml:space="preserve">				.WhereIf(!string.IsNullOrWhiteSpace(input.DocumentDate), e =&gt; e.DocumentDate.Contains(input.DocumentDate))</v>
      </c>
    </row>
    <row r="18" spans="1:23" customFormat="1" ht="18.75" customHeight="1" x14ac:dyDescent="0.25">
      <c r="A18" s="68" t="s">
        <v>367</v>
      </c>
      <c r="B18" t="s">
        <v>370</v>
      </c>
      <c r="C18" t="s">
        <v>1</v>
      </c>
      <c r="D18" t="str">
        <f t="shared" si="39"/>
        <v>PostingDate</v>
      </c>
      <c r="E18" t="str">
        <f t="shared" si="40"/>
        <v>VARCHAR</v>
      </c>
      <c r="F18" s="6"/>
      <c r="G18" t="str">
        <f t="shared" si="41"/>
        <v>8</v>
      </c>
      <c r="H18" t="str">
        <f>+VLOOKUP(E18,'Data Type Mapping'!A:B,2,)</f>
        <v>string</v>
      </c>
      <c r="I18" t="str">
        <f t="shared" si="42"/>
        <v xml:space="preserve">		public const int MaxPostingDateLength = 8;
</v>
      </c>
      <c r="J18" t="str">
        <f t="shared" si="43"/>
        <v xml:space="preserve">		[StringLength(MaxPostingDateLength)]
		public virtual string PostingDate { get; set; }
</v>
      </c>
      <c r="K18" s="6"/>
      <c r="L18" t="str">
        <f t="shared" si="44"/>
        <v/>
      </c>
      <c r="M18" t="str">
        <f t="shared" si="45"/>
        <v xml:space="preserve">		public virtual string PostingDate { get; set; }
</v>
      </c>
      <c r="N18" t="str">
        <f t="shared" si="46"/>
        <v xml:space="preserve">		[StringLength(IF_FQF3MM07Consts.MaxPostingDateLength)]
		public virtual string PostingDate { get; set; }
</v>
      </c>
      <c r="O18" t="str">
        <f t="shared" si="47"/>
        <v xml:space="preserve">		public virtual string PostingDate { get; set; }
</v>
      </c>
      <c r="P18" t="str">
        <f t="shared" si="48"/>
        <v xml:space="preserve">							PostingDate = o.PostingDate,</v>
      </c>
      <c r="T18" s="63" t="str">
        <f t="shared" si="49"/>
        <v xml:space="preserve">								("PostingDate"),</v>
      </c>
      <c r="V18" s="64" t="str">
        <f t="shared" si="50"/>
        <v xml:space="preserve">								_ =&gt; _.PostingDate,</v>
      </c>
      <c r="W18" s="63" t="str">
        <f t="shared" si="51"/>
        <v xml:space="preserve">				.WhereIf(!string.IsNullOrWhiteSpace(input.PostingDate), e =&gt; e.PostingDate.Contains(input.PostingDate))</v>
      </c>
    </row>
    <row r="19" spans="1:23" customFormat="1" ht="18.75" customHeight="1" x14ac:dyDescent="0.25">
      <c r="A19" s="66" t="s">
        <v>379</v>
      </c>
      <c r="B19" t="s">
        <v>355</v>
      </c>
      <c r="C19" t="s">
        <v>1</v>
      </c>
      <c r="D19" t="str">
        <f t="shared" si="39"/>
        <v>Plant</v>
      </c>
      <c r="E19" t="str">
        <f t="shared" si="40"/>
        <v>VARCHAR</v>
      </c>
      <c r="F19" s="6"/>
      <c r="G19" t="str">
        <f t="shared" si="41"/>
        <v>4</v>
      </c>
      <c r="H19" t="str">
        <f>+VLOOKUP(E19,'Data Type Mapping'!A:B,2,)</f>
        <v>string</v>
      </c>
      <c r="I19" t="str">
        <f t="shared" si="42"/>
        <v xml:space="preserve">		public const int MaxPlantLength = 4;
</v>
      </c>
      <c r="J19" t="str">
        <f t="shared" si="43"/>
        <v xml:space="preserve">		[StringLength(MaxPlantLength)]
		public virtual string Plant { get; set; }
</v>
      </c>
      <c r="K19" s="6"/>
      <c r="L19" t="str">
        <f t="shared" si="44"/>
        <v/>
      </c>
      <c r="M19" t="str">
        <f t="shared" si="45"/>
        <v xml:space="preserve">		public virtual string Plant { get; set; }
</v>
      </c>
      <c r="N19" t="str">
        <f t="shared" si="46"/>
        <v xml:space="preserve">		[StringLength(IF_FQF3MM07Consts.MaxPlantLength)]
		public virtual string Plant { get; set; }
</v>
      </c>
      <c r="O19" t="str">
        <f t="shared" si="47"/>
        <v xml:space="preserve">		public virtual string Plant { get; set; }
</v>
      </c>
      <c r="P19" t="str">
        <f t="shared" si="48"/>
        <v xml:space="preserve">							Plant = o.Plant,</v>
      </c>
      <c r="T19" s="63" t="str">
        <f t="shared" si="49"/>
        <v xml:space="preserve">								("Plant"),</v>
      </c>
      <c r="V19" s="64" t="str">
        <f t="shared" si="50"/>
        <v xml:space="preserve">								_ =&gt; _.Plant,</v>
      </c>
      <c r="W19" s="63" t="str">
        <f t="shared" si="51"/>
        <v xml:space="preserve">				.WhereIf(!string.IsNullOrWhiteSpace(input.Plant), e =&gt; e.Plant.Contains(input.Plant))</v>
      </c>
    </row>
    <row r="20" spans="1:23" customFormat="1" ht="18.75" customHeight="1" x14ac:dyDescent="0.25">
      <c r="A20" s="69" t="s">
        <v>380</v>
      </c>
      <c r="B20" t="s">
        <v>401</v>
      </c>
      <c r="C20" t="s">
        <v>1</v>
      </c>
      <c r="D20" t="str">
        <f t="shared" si="39"/>
        <v>ReferenceDocumentNo</v>
      </c>
      <c r="E20" t="str">
        <f t="shared" si="40"/>
        <v>VARCHAR</v>
      </c>
      <c r="F20" s="6"/>
      <c r="G20" t="str">
        <f t="shared" si="41"/>
        <v>16</v>
      </c>
      <c r="H20" t="str">
        <f>+VLOOKUP(E20,'Data Type Mapping'!A:B,2,)</f>
        <v>string</v>
      </c>
      <c r="I20" t="str">
        <f t="shared" si="42"/>
        <v xml:space="preserve">		public const int MaxReferenceDocumentNoLength = 16;
</v>
      </c>
      <c r="J20" t="str">
        <f t="shared" si="43"/>
        <v xml:space="preserve">		[StringLength(MaxReferenceDocumentNoLength)]
		public virtual string ReferenceDocumentNo { get; set; }
</v>
      </c>
      <c r="K20" s="6"/>
      <c r="L20" t="str">
        <f t="shared" si="44"/>
        <v/>
      </c>
      <c r="M20" t="str">
        <f t="shared" si="45"/>
        <v xml:space="preserve">		public virtual string ReferenceDocumentNo { get; set; }
</v>
      </c>
      <c r="N20" t="str">
        <f t="shared" si="46"/>
        <v xml:space="preserve">		[StringLength(IF_FQF3MM07Consts.MaxReferenceDocumentNoLength)]
		public virtual string ReferenceDocumentNo { get; set; }
</v>
      </c>
      <c r="O20" t="str">
        <f t="shared" si="47"/>
        <v xml:space="preserve">		public virtual string ReferenceDocumentNo { get; set; }
</v>
      </c>
      <c r="P20" t="str">
        <f t="shared" si="48"/>
        <v xml:space="preserve">							ReferenceDocumentNo = o.ReferenceDocumentNo,</v>
      </c>
      <c r="T20" s="63" t="str">
        <f t="shared" si="49"/>
        <v xml:space="preserve">								("ReferenceDocumentNo"),</v>
      </c>
      <c r="V20" s="64" t="str">
        <f t="shared" si="50"/>
        <v xml:space="preserve">								_ =&gt; _.ReferenceDocumentNo,</v>
      </c>
      <c r="W20" s="63" t="str">
        <f t="shared" si="51"/>
        <v xml:space="preserve">				.WhereIf(!string.IsNullOrWhiteSpace(input.ReferenceDocumentNo), e =&gt; e.ReferenceDocumentNo.Contains(input.ReferenceDocumentNo))</v>
      </c>
    </row>
    <row r="21" spans="1:23" customFormat="1" ht="18.75" customHeight="1" x14ac:dyDescent="0.25">
      <c r="A21" s="69" t="s">
        <v>381</v>
      </c>
      <c r="B21" t="s">
        <v>4</v>
      </c>
      <c r="C21" t="s">
        <v>1</v>
      </c>
      <c r="D21" t="str">
        <f t="shared" si="39"/>
        <v>Amount</v>
      </c>
      <c r="E21" t="str">
        <f t="shared" si="40"/>
        <v>int</v>
      </c>
      <c r="F21" s="6"/>
      <c r="G21" t="str">
        <f t="shared" si="41"/>
        <v/>
      </c>
      <c r="H21" t="str">
        <f>+VLOOKUP(E21,'Data Type Mapping'!A:B,2,)</f>
        <v>int?</v>
      </c>
      <c r="I21" t="str">
        <f t="shared" si="42"/>
        <v/>
      </c>
      <c r="J21" t="str">
        <f t="shared" si="43"/>
        <v xml:space="preserve">		public virtual int? Amount { get; set; }
</v>
      </c>
      <c r="K21" s="6"/>
      <c r="L21" t="str">
        <f t="shared" si="44"/>
        <v/>
      </c>
      <c r="M21" t="str">
        <f t="shared" si="45"/>
        <v xml:space="preserve">		public virtual int? Amount { get; set; }
</v>
      </c>
      <c r="N21" t="str">
        <f t="shared" si="46"/>
        <v xml:space="preserve">		public virtual int? Amount { get; set; }
</v>
      </c>
      <c r="O21" t="str">
        <f t="shared" si="47"/>
        <v/>
      </c>
      <c r="P21" t="str">
        <f t="shared" si="48"/>
        <v xml:space="preserve">							Amount = o.Amount,</v>
      </c>
      <c r="T21" s="63" t="str">
        <f t="shared" si="49"/>
        <v xml:space="preserve">								("Amount"),</v>
      </c>
      <c r="V21" s="64" t="str">
        <f t="shared" si="50"/>
        <v xml:space="preserve">								_ =&gt; _.Amount,</v>
      </c>
      <c r="W21" s="63" t="str">
        <f t="shared" si="51"/>
        <v/>
      </c>
    </row>
    <row r="22" spans="1:23" customFormat="1" ht="18.75" customHeight="1" x14ac:dyDescent="0.25">
      <c r="A22" s="68" t="s">
        <v>382</v>
      </c>
      <c r="B22" t="s">
        <v>360</v>
      </c>
      <c r="C22" t="s">
        <v>1</v>
      </c>
      <c r="D22" t="str">
        <f t="shared" si="39"/>
        <v>Currency</v>
      </c>
      <c r="E22" t="str">
        <f t="shared" si="40"/>
        <v>VARCHAR</v>
      </c>
      <c r="F22" s="6"/>
      <c r="G22" t="str">
        <f t="shared" si="41"/>
        <v>3</v>
      </c>
      <c r="H22" t="str">
        <f>+VLOOKUP(E22,'Data Type Mapping'!A:B,2,)</f>
        <v>string</v>
      </c>
      <c r="I22" t="str">
        <f t="shared" si="42"/>
        <v xml:space="preserve">		public const int MaxCurrencyLength = 3;
</v>
      </c>
      <c r="J22" t="str">
        <f t="shared" si="43"/>
        <v xml:space="preserve">		[StringLength(MaxCurrencyLength)]
		public virtual string Currency { get; set; }
</v>
      </c>
      <c r="K22" s="6"/>
      <c r="L22" t="str">
        <f t="shared" si="44"/>
        <v/>
      </c>
      <c r="M22" t="str">
        <f t="shared" si="45"/>
        <v xml:space="preserve">		public virtual string Currency { get; set; }
</v>
      </c>
      <c r="N22" t="str">
        <f t="shared" si="46"/>
        <v xml:space="preserve">		[StringLength(IF_FQF3MM07Consts.MaxCurrencyLength)]
		public virtual string Currency { get; set; }
</v>
      </c>
      <c r="O22" t="str">
        <f t="shared" si="47"/>
        <v xml:space="preserve">		public virtual string Currency { get; set; }
</v>
      </c>
      <c r="P22" t="str">
        <f t="shared" si="48"/>
        <v xml:space="preserve">							Currency = o.Currency,</v>
      </c>
      <c r="T22" s="63" t="str">
        <f t="shared" si="49"/>
        <v xml:space="preserve">								("Currency"),</v>
      </c>
      <c r="V22" s="64" t="str">
        <f t="shared" si="50"/>
        <v xml:space="preserve">								_ =&gt; _.Currency,</v>
      </c>
      <c r="W22" s="63" t="str">
        <f t="shared" si="51"/>
        <v xml:space="preserve">				.WhereIf(!string.IsNullOrWhiteSpace(input.Currency), e =&gt; e.Currency.Contains(input.Currency))</v>
      </c>
    </row>
    <row r="23" spans="1:23" customFormat="1" ht="18.75" customHeight="1" x14ac:dyDescent="0.25">
      <c r="A23" s="68" t="s">
        <v>383</v>
      </c>
      <c r="B23" t="s">
        <v>402</v>
      </c>
      <c r="C23" t="s">
        <v>1</v>
      </c>
      <c r="D23" t="str">
        <f t="shared" si="39"/>
        <v>Order</v>
      </c>
      <c r="E23" t="str">
        <f t="shared" si="40"/>
        <v>VARCHAR</v>
      </c>
      <c r="F23" s="6"/>
      <c r="G23" t="str">
        <f t="shared" si="41"/>
        <v>12</v>
      </c>
      <c r="H23" t="str">
        <f>+VLOOKUP(E23,'Data Type Mapping'!A:B,2,)</f>
        <v>string</v>
      </c>
      <c r="I23" t="str">
        <f t="shared" si="42"/>
        <v xml:space="preserve">		public const int MaxOrderLength = 12;
</v>
      </c>
      <c r="J23" t="str">
        <f t="shared" si="43"/>
        <v xml:space="preserve">		[StringLength(MaxOrderLength)]
		public virtual string Order { get; set; }
</v>
      </c>
      <c r="K23" s="6"/>
      <c r="L23" t="str">
        <f t="shared" si="44"/>
        <v/>
      </c>
      <c r="M23" t="str">
        <f t="shared" si="45"/>
        <v xml:space="preserve">		public virtual string Order { get; set; }
</v>
      </c>
      <c r="N23" t="str">
        <f t="shared" si="46"/>
        <v xml:space="preserve">		[StringLength(IF_FQF3MM07Consts.MaxOrderLength)]
		public virtual string Order { get; set; }
</v>
      </c>
      <c r="O23" t="str">
        <f t="shared" si="47"/>
        <v xml:space="preserve">		public virtual string Order { get; set; }
</v>
      </c>
      <c r="P23" t="str">
        <f t="shared" si="48"/>
        <v xml:space="preserve">							Order = o.Order,</v>
      </c>
      <c r="T23" s="63" t="str">
        <f t="shared" si="49"/>
        <v xml:space="preserve">								("Order"),</v>
      </c>
      <c r="V23" s="64" t="str">
        <f t="shared" si="50"/>
        <v xml:space="preserve">								_ =&gt; _.Order,</v>
      </c>
      <c r="W23" s="63" t="str">
        <f t="shared" si="51"/>
        <v xml:space="preserve">				.WhereIf(!string.IsNullOrWhiteSpace(input.Order), e =&gt; e.Order.Contains(input.Order))</v>
      </c>
    </row>
    <row r="24" spans="1:23" customFormat="1" ht="18.75" customHeight="1" x14ac:dyDescent="0.25">
      <c r="A24" s="67" t="s">
        <v>384</v>
      </c>
      <c r="B24" t="s">
        <v>354</v>
      </c>
      <c r="C24" t="s">
        <v>1</v>
      </c>
      <c r="D24" t="str">
        <f t="shared" ref="D24:D42" si="52">SUBSTITUTE(PROPER(A24),"_","")</f>
        <v>GlAccount</v>
      </c>
      <c r="E24" t="str">
        <f t="shared" ref="E24:E42" si="53">IFERROR(LEFT(B24, FIND("(",B24)-1),B24)</f>
        <v>VARCHAR</v>
      </c>
      <c r="F24" s="6"/>
      <c r="G24" t="str">
        <f t="shared" ref="G24:G42" si="54">IFERROR(MID(B24,FIND("(",B24) +1, FIND(")",B24) - FIND("(",B24) - 1),"")</f>
        <v>10</v>
      </c>
      <c r="H24" t="str">
        <f>+VLOOKUP(E24,'Data Type Mapping'!A:B,2,)</f>
        <v>string</v>
      </c>
      <c r="I24" t="str">
        <f t="shared" ref="I24:I42" si="55">IF(H24="string",REPT(CHAR(9),2)&amp;"public const int Max"&amp;D24&amp;"Length = "&amp;G24&amp;";"&amp;$E$3,"" )</f>
        <v xml:space="preserve">		public const int MaxGlAccountLength = 10;
</v>
      </c>
      <c r="J24" t="str">
        <f t="shared" ref="J24:J42" si="56"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[StringLength(MaxGlAccountLength)]
		public virtual string GlAccount { get; set; }
</v>
      </c>
      <c r="K24" s="6"/>
      <c r="L24" t="str">
        <f t="shared" ref="L24:L42" si="57">IF(K24="","",REPT(CHAR(9),1)&amp;"[Index(nameof("&amp;IF(D24="","",""&amp;D24)&amp;")"&amp;", Name="&amp;"""IX_"&amp;$B$7&amp;"_"&amp;D24&amp;""")]")</f>
        <v/>
      </c>
      <c r="M24" t="str">
        <f t="shared" ref="M24:M42" si="58">REPT(CHAR(9),2)&amp;"public virtual "&amp;IF(OR(H24="DateTime",H24="TimeSpan"),H24&amp;"?",H24)&amp;IF(C24="?","? "," ")&amp;D24&amp;" { get; set; }" &amp; "
"</f>
        <v xml:space="preserve">		public virtual string GlAccount { get; set; }
</v>
      </c>
      <c r="N24" t="str">
        <f t="shared" ref="N24:N42" si="59"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[StringLength(IF_FQF3MM07Consts.MaxGlAccountLength)]
		public virtual string GlAccount { get; set; }
</v>
      </c>
      <c r="O24" t="str">
        <f t="shared" ref="O24:O42" si="60">IF(OR(H24="string",H24="DateTime",H24="int"),REPT(CHAR(9),2)&amp;"public virtual "&amp;IF(OR(H24="DateTime",H24="TimeSpan"),H24&amp;"?",H24)&amp;IF(C24="?","? "," ")&amp;D24&amp;" { get; set; }"&amp;$E$3,"")</f>
        <v xml:space="preserve">		public virtual string GlAccount { get; set; }
</v>
      </c>
      <c r="P24" t="str">
        <f t="shared" ref="P24:P42" si="61">REPT(CHAR(9),7)&amp;D24&amp;" = o." &amp;D24 &amp;","</f>
        <v xml:space="preserve">							GlAccount = o.GlAccount,</v>
      </c>
      <c r="T24" s="63" t="str">
        <f t="shared" ref="T24:T42" si="62">REPT(CHAR(9),8)&amp;"("""&amp;D24&amp;"""),"</f>
        <v xml:space="preserve">								("GlAccount"),</v>
      </c>
      <c r="V24" s="64" t="str">
        <f t="shared" ref="V24:V42" si="63">REPT(CHAR(9),8)&amp;"_ =&gt; _."&amp;D24&amp;","</f>
        <v xml:space="preserve">								_ =&gt; _.GlAccount,</v>
      </c>
      <c r="W24" s="63" t="str">
        <f t="shared" ref="W24:W42" si="64"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 xml:space="preserve">				.WhereIf(!string.IsNullOrWhiteSpace(input.GlAccount), e =&gt; e.GlAccount.Contains(input.GlAccount))</v>
      </c>
    </row>
    <row r="25" spans="1:23" customFormat="1" ht="18.75" customHeight="1" x14ac:dyDescent="0.25">
      <c r="A25" s="69" t="s">
        <v>371</v>
      </c>
      <c r="B25" t="s">
        <v>356</v>
      </c>
      <c r="C25" t="s">
        <v>1</v>
      </c>
      <c r="D25" t="str">
        <f t="shared" si="52"/>
        <v>NormalCancelFlag</v>
      </c>
      <c r="E25" t="str">
        <f t="shared" si="53"/>
        <v>VARCHAR</v>
      </c>
      <c r="F25" s="6"/>
      <c r="G25" t="str">
        <f t="shared" si="54"/>
        <v>1</v>
      </c>
      <c r="H25" t="str">
        <f>+VLOOKUP(E25,'Data Type Mapping'!A:B,2,)</f>
        <v>string</v>
      </c>
      <c r="I25" t="str">
        <f t="shared" si="55"/>
        <v xml:space="preserve">		public const int MaxNormalCancelFlagLength = 1;
</v>
      </c>
      <c r="J25" t="str">
        <f t="shared" si="56"/>
        <v xml:space="preserve">		[StringLength(MaxNormalCancelFlagLength)]
		public virtual string NormalCancelFlag { get; set; }
</v>
      </c>
      <c r="K25" s="6"/>
      <c r="L25" t="str">
        <f t="shared" si="57"/>
        <v/>
      </c>
      <c r="M25" t="str">
        <f t="shared" si="58"/>
        <v xml:space="preserve">		public virtual string NormalCancelFlag { get; set; }
</v>
      </c>
      <c r="N25" t="str">
        <f t="shared" si="59"/>
        <v xml:space="preserve">		[StringLength(IF_FQF3MM07Consts.MaxNormalCancelFlagLength)]
		public virtual string NormalCancelFlag { get; set; }
</v>
      </c>
      <c r="O25" t="str">
        <f t="shared" si="60"/>
        <v xml:space="preserve">		public virtual string NormalCancelFlag { get; set; }
</v>
      </c>
      <c r="P25" t="str">
        <f t="shared" si="61"/>
        <v xml:space="preserve">							NormalCancelFlag = o.NormalCancelFlag,</v>
      </c>
      <c r="T25" s="63" t="str">
        <f t="shared" si="62"/>
        <v xml:space="preserve">								("NormalCancelFlag"),</v>
      </c>
      <c r="V25" s="64" t="str">
        <f t="shared" si="63"/>
        <v xml:space="preserve">								_ =&gt; _.NormalCancelFlag,</v>
      </c>
      <c r="W25" s="63" t="str">
        <f t="shared" si="64"/>
        <v xml:space="preserve">				.WhereIf(!string.IsNullOrWhiteSpace(input.NormalCancelFlag), e =&gt; e.NormalCancelFlag.Contains(input.NormalCancelFlag))</v>
      </c>
    </row>
    <row r="26" spans="1:23" customFormat="1" ht="18.75" customHeight="1" x14ac:dyDescent="0.25">
      <c r="A26" s="69" t="s">
        <v>385</v>
      </c>
      <c r="B26" t="s">
        <v>403</v>
      </c>
      <c r="C26" t="s">
        <v>1</v>
      </c>
      <c r="D26" t="str">
        <f t="shared" si="52"/>
        <v>Text</v>
      </c>
      <c r="E26" t="str">
        <f t="shared" si="53"/>
        <v>VARCHAR</v>
      </c>
      <c r="F26" s="6"/>
      <c r="G26" t="str">
        <f t="shared" si="54"/>
        <v>50</v>
      </c>
      <c r="H26" t="str">
        <f>+VLOOKUP(E26,'Data Type Mapping'!A:B,2,)</f>
        <v>string</v>
      </c>
      <c r="I26" t="str">
        <f t="shared" si="55"/>
        <v xml:space="preserve">		public const int MaxTextLength = 50;
</v>
      </c>
      <c r="J26" t="str">
        <f t="shared" si="56"/>
        <v xml:space="preserve">		[StringLength(MaxTextLength)]
		public virtual string Text { get; set; }
</v>
      </c>
      <c r="K26" s="6"/>
      <c r="L26" t="str">
        <f t="shared" si="57"/>
        <v/>
      </c>
      <c r="M26" t="str">
        <f t="shared" si="58"/>
        <v xml:space="preserve">		public virtual string Text { get; set; }
</v>
      </c>
      <c r="N26" t="str">
        <f t="shared" si="59"/>
        <v xml:space="preserve">		[StringLength(IF_FQF3MM07Consts.MaxTextLength)]
		public virtual string Text { get; set; }
</v>
      </c>
      <c r="O26" t="str">
        <f t="shared" si="60"/>
        <v xml:space="preserve">		public virtual string Text { get; set; }
</v>
      </c>
      <c r="P26" t="str">
        <f t="shared" si="61"/>
        <v xml:space="preserve">							Text = o.Text,</v>
      </c>
      <c r="T26" s="63" t="str">
        <f t="shared" si="62"/>
        <v xml:space="preserve">								("Text"),</v>
      </c>
      <c r="V26" s="64" t="str">
        <f t="shared" si="63"/>
        <v xml:space="preserve">								_ =&gt; _.Text,</v>
      </c>
      <c r="W26" s="63" t="str">
        <f t="shared" si="64"/>
        <v xml:space="preserve">				.WhereIf(!string.IsNullOrWhiteSpace(input.Text), e =&gt; e.Text.Contains(input.Text))</v>
      </c>
    </row>
    <row r="27" spans="1:23" customFormat="1" ht="18.75" customHeight="1" x14ac:dyDescent="0.25">
      <c r="A27" s="66" t="s">
        <v>386</v>
      </c>
      <c r="B27" t="s">
        <v>354</v>
      </c>
      <c r="C27" t="s">
        <v>1</v>
      </c>
      <c r="D27" t="str">
        <f t="shared" si="52"/>
        <v>ProfitCenter</v>
      </c>
      <c r="E27" t="str">
        <f t="shared" si="53"/>
        <v>VARCHAR</v>
      </c>
      <c r="F27" s="6"/>
      <c r="G27" t="str">
        <f t="shared" si="54"/>
        <v>10</v>
      </c>
      <c r="H27" t="str">
        <f>+VLOOKUP(E27,'Data Type Mapping'!A:B,2,)</f>
        <v>string</v>
      </c>
      <c r="I27" t="str">
        <f t="shared" si="55"/>
        <v xml:space="preserve">		public const int MaxProfitCenterLength = 10;
</v>
      </c>
      <c r="J27" t="str">
        <f t="shared" si="56"/>
        <v xml:space="preserve">		[StringLength(MaxProfitCenterLength)]
		public virtual string ProfitCenter { get; set; }
</v>
      </c>
      <c r="K27" s="6"/>
      <c r="L27" t="str">
        <f t="shared" si="57"/>
        <v/>
      </c>
      <c r="M27" t="str">
        <f t="shared" si="58"/>
        <v xml:space="preserve">		public virtual string ProfitCenter { get; set; }
</v>
      </c>
      <c r="N27" t="str">
        <f t="shared" si="59"/>
        <v xml:space="preserve">		[StringLength(IF_FQF3MM07Consts.MaxProfitCenterLength)]
		public virtual string ProfitCenter { get; set; }
</v>
      </c>
      <c r="O27" t="str">
        <f t="shared" si="60"/>
        <v xml:space="preserve">		public virtual string ProfitCenter { get; set; }
</v>
      </c>
      <c r="P27" t="str">
        <f t="shared" si="61"/>
        <v xml:space="preserve">							ProfitCenter = o.ProfitCenter,</v>
      </c>
      <c r="T27" s="63" t="str">
        <f t="shared" si="62"/>
        <v xml:space="preserve">								("ProfitCenter"),</v>
      </c>
      <c r="V27" s="64" t="str">
        <f t="shared" si="63"/>
        <v xml:space="preserve">								_ =&gt; _.ProfitCenter,</v>
      </c>
      <c r="W27" s="63" t="str">
        <f t="shared" si="64"/>
        <v xml:space="preserve">				.WhereIf(!string.IsNullOrWhiteSpace(input.ProfitCenter), e =&gt; e.ProfitCenter.Contains(input.ProfitCenter))</v>
      </c>
    </row>
    <row r="28" spans="1:23" customFormat="1" ht="18.75" customHeight="1" x14ac:dyDescent="0.25">
      <c r="A28" s="66" t="s">
        <v>358</v>
      </c>
      <c r="B28" t="s">
        <v>362</v>
      </c>
      <c r="C28" t="s">
        <v>1</v>
      </c>
      <c r="D28" t="str">
        <f t="shared" si="52"/>
        <v>Wbs</v>
      </c>
      <c r="E28" t="str">
        <f t="shared" si="53"/>
        <v>VARCHAR</v>
      </c>
      <c r="F28" s="6"/>
      <c r="G28" t="str">
        <f t="shared" si="54"/>
        <v>24</v>
      </c>
      <c r="H28" t="str">
        <f>+VLOOKUP(E28,'Data Type Mapping'!A:B,2,)</f>
        <v>string</v>
      </c>
      <c r="I28" t="str">
        <f t="shared" si="55"/>
        <v xml:space="preserve">		public const int MaxWbsLength = 24;
</v>
      </c>
      <c r="J28" t="str">
        <f t="shared" si="56"/>
        <v xml:space="preserve">		[StringLength(MaxWbsLength)]
		public virtual string Wbs { get; set; }
</v>
      </c>
      <c r="K28" s="6"/>
      <c r="L28" t="str">
        <f t="shared" si="57"/>
        <v/>
      </c>
      <c r="M28" t="str">
        <f t="shared" si="58"/>
        <v xml:space="preserve">		public virtual string Wbs { get; set; }
</v>
      </c>
      <c r="N28" t="str">
        <f t="shared" si="59"/>
        <v xml:space="preserve">		[StringLength(IF_FQF3MM07Consts.MaxWbsLength)]
		public virtual string Wbs { get; set; }
</v>
      </c>
      <c r="O28" t="str">
        <f t="shared" si="60"/>
        <v xml:space="preserve">		public virtual string Wbs { get; set; }
</v>
      </c>
      <c r="P28" t="str">
        <f t="shared" si="61"/>
        <v xml:space="preserve">							Wbs = o.Wbs,</v>
      </c>
      <c r="T28" s="63" t="str">
        <f t="shared" si="62"/>
        <v xml:space="preserve">								("Wbs"),</v>
      </c>
      <c r="V28" s="64" t="str">
        <f t="shared" si="63"/>
        <v xml:space="preserve">								_ =&gt; _.Wbs,</v>
      </c>
      <c r="W28" s="63" t="str">
        <f t="shared" si="64"/>
        <v xml:space="preserve">				.WhereIf(!string.IsNullOrWhiteSpace(input.Wbs), e =&gt; e.Wbs.Contains(input.Wbs))</v>
      </c>
    </row>
    <row r="29" spans="1:23" customFormat="1" ht="18.75" customHeight="1" x14ac:dyDescent="0.25">
      <c r="A29" s="66" t="s">
        <v>357</v>
      </c>
      <c r="B29" t="s">
        <v>4</v>
      </c>
      <c r="C29" t="s">
        <v>1</v>
      </c>
      <c r="D29" t="str">
        <f t="shared" ref="D29" si="65">SUBSTITUTE(PROPER(A29),"_","")</f>
        <v>Quantity</v>
      </c>
      <c r="E29" t="str">
        <f t="shared" ref="E29" si="66">IFERROR(LEFT(B29, FIND("(",B29)-1),B29)</f>
        <v>int</v>
      </c>
      <c r="F29" s="6"/>
      <c r="G29" t="str">
        <f t="shared" ref="G29" si="67">IFERROR(MID(B29,FIND("(",B29) +1, FIND(")",B29) - FIND("(",B29) - 1),"")</f>
        <v/>
      </c>
      <c r="H29" t="str">
        <f>+VLOOKUP(E29,'Data Type Mapping'!A:B,2,)</f>
        <v>int?</v>
      </c>
      <c r="I29" t="str">
        <f t="shared" ref="I29" si="68">IF(H29="string",REPT(CHAR(9),2)&amp;"public const int Max"&amp;D29&amp;"Length = "&amp;G29&amp;";"&amp;$E$3,"" )</f>
        <v/>
      </c>
      <c r="J29" t="str">
        <f t="shared" ref="J29" si="69">IF(F29="","",REPT(CHAR(9),2)&amp;"[Column(TypeName="""&amp;F29&amp;""")]"&amp;$E$3)&amp;IF(C29="Checked","",$I$3)&amp;IF(H29="string",REPT(CHAR(9),2)&amp;"[StringLength(Max"&amp;D29&amp;"Length"&amp;")]"&amp;$E$3,"")&amp;REPT(CHAR(9),2)&amp;"public virtual "&amp;H29&amp;IF(C29="?","? "," ")&amp;D29&amp;" { get; set; }" &amp; "
"</f>
        <v xml:space="preserve">		public virtual int? Quantity { get; set; }
</v>
      </c>
      <c r="K29" s="6"/>
      <c r="L29" t="str">
        <f t="shared" ref="L29" si="70">IF(K29="","",REPT(CHAR(9),1)&amp;"[Index(nameof("&amp;IF(D29="","",""&amp;D29)&amp;")"&amp;", Name="&amp;"""IX_"&amp;$B$7&amp;"_"&amp;D29&amp;""")]")</f>
        <v/>
      </c>
      <c r="M29" t="str">
        <f t="shared" ref="M29" si="71">REPT(CHAR(9),2)&amp;"public virtual "&amp;IF(OR(H29="DateTime",H29="TimeSpan"),H29&amp;"?",H29)&amp;IF(C29="?","? "," ")&amp;D29&amp;" { get; set; }" &amp; "
"</f>
        <v xml:space="preserve">		public virtual int? Quantity { get; set; }
</v>
      </c>
      <c r="N29" t="str">
        <f t="shared" ref="N29" si="72">IF(C29="Checked","",$I$3)&amp;IF(H29="string",REPT(CHAR(9),2)&amp;"[StringLength("&amp;$B$3&amp;"Consts.Max"&amp;D29&amp;"Length"&amp;")]"&amp;$E$3,"")&amp;REPT(CHAR(9),2)&amp;"public virtual "&amp;IF(OR(H29="DateTime",H29="TimeSpan"),H29&amp;"?",H29)&amp;IF(C29="?","? "," ")&amp;D29&amp;" { get; set; }" &amp; "
"</f>
        <v xml:space="preserve">		public virtual int? Quantity { get; set; }
</v>
      </c>
      <c r="O29" t="str">
        <f t="shared" ref="O29" si="73">IF(OR(H29="string",H29="DateTime",H29="int"),REPT(CHAR(9),2)&amp;"public virtual "&amp;IF(OR(H29="DateTime",H29="TimeSpan"),H29&amp;"?",H29)&amp;IF(C29="?","? "," ")&amp;D29&amp;" { get; set; }"&amp;$E$3,"")</f>
        <v/>
      </c>
      <c r="P29" t="str">
        <f t="shared" ref="P29" si="74">REPT(CHAR(9),7)&amp;D29&amp;" = o." &amp;D29 &amp;","</f>
        <v xml:space="preserve">							Quantity = o.Quantity,</v>
      </c>
      <c r="T29" s="63" t="str">
        <f t="shared" ref="T29" si="75">REPT(CHAR(9),8)&amp;"("""&amp;D29&amp;"""),"</f>
        <v xml:space="preserve">								("Quantity"),</v>
      </c>
      <c r="V29" s="64" t="str">
        <f t="shared" ref="V29" si="76">REPT(CHAR(9),8)&amp;"_ =&gt; _."&amp;D29&amp;","</f>
        <v xml:space="preserve">								_ =&gt; _.Quantity,</v>
      </c>
      <c r="W29" s="63" t="str">
        <f t="shared" ref="W29" si="77">IF(H29="string",REPT(CHAR(9),4)&amp;".WhereIf(!string.IsNullOrWhiteSpace(input."&amp;D29&amp;"), e =&gt; e."&amp;D29&amp;".Contains(input."&amp;D29&amp;"))",IF(H29="DateTime",REPT(CHAR(9),4)&amp;".WhereIf(input."&amp;D29&amp;".HasValue, t =&gt; t."&amp;D29&amp;" == input."&amp;D29&amp;".Value)",""))</f>
        <v/>
      </c>
    </row>
    <row r="30" spans="1:23" customFormat="1" ht="18.75" customHeight="1" x14ac:dyDescent="0.25">
      <c r="A30" s="66" t="s">
        <v>387</v>
      </c>
      <c r="B30" t="s">
        <v>360</v>
      </c>
      <c r="C30" t="s">
        <v>1</v>
      </c>
      <c r="D30" t="str">
        <f t="shared" si="52"/>
        <v>BaseUnitOfMeasure</v>
      </c>
      <c r="E30" t="str">
        <f t="shared" si="53"/>
        <v>VARCHAR</v>
      </c>
      <c r="F30" s="6"/>
      <c r="G30" t="str">
        <f t="shared" si="54"/>
        <v>3</v>
      </c>
      <c r="H30" t="str">
        <f>+VLOOKUP(E30,'Data Type Mapping'!A:B,2,)</f>
        <v>string</v>
      </c>
      <c r="I30" t="str">
        <f t="shared" si="55"/>
        <v xml:space="preserve">		public const int MaxBaseUnitOfMeasureLength = 3;
</v>
      </c>
      <c r="J30" t="str">
        <f t="shared" si="56"/>
        <v xml:space="preserve">		[StringLength(MaxBaseUnitOfMeasureLength)]
		public virtual string BaseUnitOfMeasure { get; set; }
</v>
      </c>
      <c r="K30" s="6"/>
      <c r="L30" t="str">
        <f t="shared" si="57"/>
        <v/>
      </c>
      <c r="M30" t="str">
        <f t="shared" si="58"/>
        <v xml:space="preserve">		public virtual string BaseUnitOfMeasure { get; set; }
</v>
      </c>
      <c r="N30" t="str">
        <f t="shared" si="59"/>
        <v xml:space="preserve">		[StringLength(IF_FQF3MM07Consts.MaxBaseUnitOfMeasureLength)]
		public virtual string BaseUnitOfMeasure { get; set; }
</v>
      </c>
      <c r="O30" t="str">
        <f t="shared" si="60"/>
        <v xml:space="preserve">		public virtual string BaseUnitOfMeasure { get; set; }
</v>
      </c>
      <c r="P30" t="str">
        <f t="shared" si="61"/>
        <v xml:space="preserve">							BaseUnitOfMeasure = o.BaseUnitOfMeasure,</v>
      </c>
      <c r="T30" s="63" t="str">
        <f t="shared" si="62"/>
        <v xml:space="preserve">								("BaseUnitOfMeasure"),</v>
      </c>
      <c r="V30" s="64" t="str">
        <f t="shared" si="63"/>
        <v xml:space="preserve">								_ =&gt; _.BaseUnitOfMeasure,</v>
      </c>
      <c r="W30" s="63" t="str">
        <f t="shared" si="64"/>
        <v xml:space="preserve">				.WhereIf(!string.IsNullOrWhiteSpace(input.BaseUnitOfMeasure), e =&gt; e.BaseUnitOfMeasure.Contains(input.BaseUnitOfMeasure))</v>
      </c>
    </row>
    <row r="31" spans="1:23" customFormat="1" ht="18.75" customHeight="1" x14ac:dyDescent="0.25">
      <c r="A31" s="66" t="s">
        <v>388</v>
      </c>
      <c r="B31" t="s">
        <v>404</v>
      </c>
      <c r="C31" t="s">
        <v>1</v>
      </c>
      <c r="D31" t="str">
        <f t="shared" ref="D31:D38" si="78">SUBSTITUTE(PROPER(A31),"_","")</f>
        <v>AmountInLocalCurrency</v>
      </c>
      <c r="E31" t="str">
        <f t="shared" ref="E31:E38" si="79">IFERROR(LEFT(B31, FIND("(",B31)-1),B31)</f>
        <v>VARCHAR</v>
      </c>
      <c r="F31" s="6"/>
      <c r="G31" t="str">
        <f t="shared" ref="G31:G38" si="80">IFERROR(MID(B31,FIND("(",B31) +1, FIND(")",B31) - FIND("(",B31) - 1),"")</f>
        <v>23</v>
      </c>
      <c r="H31" t="str">
        <f>+VLOOKUP(E31,'Data Type Mapping'!A:B,2,)</f>
        <v>string</v>
      </c>
      <c r="I31" t="str">
        <f t="shared" ref="I31:I38" si="81">IF(H31="string",REPT(CHAR(9),2)&amp;"public const int Max"&amp;D31&amp;"Length = "&amp;G31&amp;";"&amp;$E$3,"" )</f>
        <v xml:space="preserve">		public const int MaxAmountInLocalCurrencyLength = 23;
</v>
      </c>
      <c r="J31" t="str">
        <f t="shared" ref="J31:J38" si="82">IF(F31="","",REPT(CHAR(9),2)&amp;"[Column(TypeName="""&amp;F31&amp;""")]"&amp;$E$3)&amp;IF(C31="Checked","",$I$3)&amp;IF(H31="string",REPT(CHAR(9),2)&amp;"[StringLength(Max"&amp;D31&amp;"Length"&amp;")]"&amp;$E$3,"")&amp;REPT(CHAR(9),2)&amp;"public virtual "&amp;H31&amp;IF(C31="?","? "," ")&amp;D31&amp;" { get; set; }" &amp; "
"</f>
        <v xml:space="preserve">		[StringLength(MaxAmountInLocalCurrencyLength)]
		public virtual string AmountInLocalCurrency { get; set; }
</v>
      </c>
      <c r="K31" s="6"/>
      <c r="L31" t="str">
        <f t="shared" ref="L31:L38" si="83">IF(K31="","",REPT(CHAR(9),1)&amp;"[Index(nameof("&amp;IF(D31="","",""&amp;D31)&amp;")"&amp;", Name="&amp;"""IX_"&amp;$B$7&amp;"_"&amp;D31&amp;""")]")</f>
        <v/>
      </c>
      <c r="M31" t="str">
        <f t="shared" ref="M31:M38" si="84">REPT(CHAR(9),2)&amp;"public virtual "&amp;IF(OR(H31="DateTime",H31="TimeSpan"),H31&amp;"?",H31)&amp;IF(C31="?","? "," ")&amp;D31&amp;" { get; set; }" &amp; "
"</f>
        <v xml:space="preserve">		public virtual string AmountInLocalCurrency { get; set; }
</v>
      </c>
      <c r="N31" t="str">
        <f t="shared" ref="N31:N38" si="85">IF(C31="Checked","",$I$3)&amp;IF(H31="string",REPT(CHAR(9),2)&amp;"[StringLength("&amp;$B$3&amp;"Consts.Max"&amp;D31&amp;"Length"&amp;")]"&amp;$E$3,"")&amp;REPT(CHAR(9),2)&amp;"public virtual "&amp;IF(OR(H31="DateTime",H31="TimeSpan"),H31&amp;"?",H31)&amp;IF(C31="?","? "," ")&amp;D31&amp;" { get; set; }" &amp; "
"</f>
        <v xml:space="preserve">		[StringLength(IF_FQF3MM07Consts.MaxAmountInLocalCurrencyLength)]
		public virtual string AmountInLocalCurrency { get; set; }
</v>
      </c>
      <c r="O31" t="str">
        <f t="shared" ref="O31:O38" si="86">IF(OR(H31="string",H31="DateTime",H31="int"),REPT(CHAR(9),2)&amp;"public virtual "&amp;IF(OR(H31="DateTime",H31="TimeSpan"),H31&amp;"?",H31)&amp;IF(C31="?","? "," ")&amp;D31&amp;" { get; set; }"&amp;$E$3,"")</f>
        <v xml:space="preserve">		public virtual string AmountInLocalCurrency { get; set; }
</v>
      </c>
      <c r="P31" t="str">
        <f t="shared" ref="P31:P38" si="87">REPT(CHAR(9),7)&amp;D31&amp;" = o." &amp;D31 &amp;","</f>
        <v xml:space="preserve">							AmountInLocalCurrency = o.AmountInLocalCurrency,</v>
      </c>
      <c r="T31" s="63" t="str">
        <f t="shared" ref="T31:T38" si="88">REPT(CHAR(9),8)&amp;"("""&amp;D31&amp;"""),"</f>
        <v xml:space="preserve">								("AmountInLocalCurrency"),</v>
      </c>
      <c r="V31" s="64" t="str">
        <f t="shared" ref="V31:V38" si="89">REPT(CHAR(9),8)&amp;"_ =&gt; _."&amp;D31&amp;","</f>
        <v xml:space="preserve">								_ =&gt; _.AmountInLocalCurrency,</v>
      </c>
      <c r="W31" s="63" t="str">
        <f t="shared" ref="W31:W38" si="90">IF(H31="string",REPT(CHAR(9),4)&amp;".WhereIf(!string.IsNullOrWhiteSpace(input."&amp;D31&amp;"), e =&gt; e."&amp;D31&amp;".Contains(input."&amp;D31&amp;"))",IF(H31="DateTime",REPT(CHAR(9),4)&amp;".WhereIf(input."&amp;D31&amp;".HasValue, t =&gt; t."&amp;D31&amp;" == input."&amp;D31&amp;".Value)",""))</f>
        <v xml:space="preserve">				.WhereIf(!string.IsNullOrWhiteSpace(input.AmountInLocalCurrency), e =&gt; e.AmountInLocalCurrency.Contains(input.AmountInLocalCurrency))</v>
      </c>
    </row>
    <row r="32" spans="1:23" customFormat="1" ht="18.75" customHeight="1" x14ac:dyDescent="0.25">
      <c r="A32" s="66" t="s">
        <v>389</v>
      </c>
      <c r="B32" t="s">
        <v>354</v>
      </c>
      <c r="C32" t="s">
        <v>1</v>
      </c>
      <c r="D32" t="str">
        <f t="shared" si="78"/>
        <v>ExchangeRate</v>
      </c>
      <c r="E32" t="str">
        <f t="shared" si="79"/>
        <v>VARCHAR</v>
      </c>
      <c r="F32" s="6"/>
      <c r="G32" t="str">
        <f t="shared" si="80"/>
        <v>10</v>
      </c>
      <c r="H32" t="str">
        <f>+VLOOKUP(E32,'Data Type Mapping'!A:B,2,)</f>
        <v>string</v>
      </c>
      <c r="I32" t="str">
        <f t="shared" si="81"/>
        <v xml:space="preserve">		public const int MaxExchangeRateLength = 10;
</v>
      </c>
      <c r="J32" t="str">
        <f t="shared" si="82"/>
        <v xml:space="preserve">		[StringLength(MaxExchangeRateLength)]
		public virtual string ExchangeRate { get; set; }
</v>
      </c>
      <c r="K32" s="6"/>
      <c r="L32" t="str">
        <f t="shared" si="83"/>
        <v/>
      </c>
      <c r="M32" t="str">
        <f t="shared" si="84"/>
        <v xml:space="preserve">		public virtual string ExchangeRate { get; set; }
</v>
      </c>
      <c r="N32" t="str">
        <f t="shared" si="85"/>
        <v xml:space="preserve">		[StringLength(IF_FQF3MM07Consts.MaxExchangeRateLength)]
		public virtual string ExchangeRate { get; set; }
</v>
      </c>
      <c r="O32" t="str">
        <f t="shared" si="86"/>
        <v xml:space="preserve">		public virtual string ExchangeRate { get; set; }
</v>
      </c>
      <c r="P32" t="str">
        <f t="shared" si="87"/>
        <v xml:space="preserve">							ExchangeRate = o.ExchangeRate,</v>
      </c>
      <c r="T32" s="63" t="str">
        <f t="shared" si="88"/>
        <v xml:space="preserve">								("ExchangeRate"),</v>
      </c>
      <c r="V32" s="64" t="str">
        <f t="shared" si="89"/>
        <v xml:space="preserve">								_ =&gt; _.ExchangeRate,</v>
      </c>
      <c r="W32" s="63" t="str">
        <f t="shared" si="90"/>
        <v xml:space="preserve">				.WhereIf(!string.IsNullOrWhiteSpace(input.ExchangeRate), e =&gt; e.ExchangeRate.Contains(input.ExchangeRate))</v>
      </c>
    </row>
    <row r="33" spans="1:23" customFormat="1" ht="18.75" customHeight="1" x14ac:dyDescent="0.25">
      <c r="A33" s="70" t="s">
        <v>390</v>
      </c>
      <c r="B33" t="s">
        <v>402</v>
      </c>
      <c r="C33" t="s">
        <v>1</v>
      </c>
      <c r="D33" t="str">
        <f t="shared" si="78"/>
        <v>RefKey1</v>
      </c>
      <c r="E33" t="str">
        <f t="shared" si="79"/>
        <v>VARCHAR</v>
      </c>
      <c r="F33" s="6"/>
      <c r="G33" t="str">
        <f t="shared" si="80"/>
        <v>12</v>
      </c>
      <c r="H33" t="str">
        <f>+VLOOKUP(E33,'Data Type Mapping'!A:B,2,)</f>
        <v>string</v>
      </c>
      <c r="I33" t="str">
        <f t="shared" si="81"/>
        <v xml:space="preserve">		public const int MaxRefKey1Length = 12;
</v>
      </c>
      <c r="J33" t="str">
        <f t="shared" si="82"/>
        <v xml:space="preserve">		[StringLength(MaxRefKey1Length)]
		public virtual string RefKey1 { get; set; }
</v>
      </c>
      <c r="K33" s="6"/>
      <c r="L33" t="str">
        <f t="shared" si="83"/>
        <v/>
      </c>
      <c r="M33" t="str">
        <f t="shared" si="84"/>
        <v xml:space="preserve">		public virtual string RefKey1 { get; set; }
</v>
      </c>
      <c r="N33" t="str">
        <f t="shared" si="85"/>
        <v xml:space="preserve">		[StringLength(IF_FQF3MM07Consts.MaxRefKey1Length)]
		public virtual string RefKey1 { get; set; }
</v>
      </c>
      <c r="O33" t="str">
        <f t="shared" si="86"/>
        <v xml:space="preserve">		public virtual string RefKey1 { get; set; }
</v>
      </c>
      <c r="P33" t="str">
        <f t="shared" si="87"/>
        <v xml:space="preserve">							RefKey1 = o.RefKey1,</v>
      </c>
      <c r="T33" s="63" t="str">
        <f t="shared" si="88"/>
        <v xml:space="preserve">								("RefKey1"),</v>
      </c>
      <c r="V33" s="64" t="str">
        <f t="shared" si="89"/>
        <v xml:space="preserve">								_ =&gt; _.RefKey1,</v>
      </c>
      <c r="W33" s="63" t="str">
        <f t="shared" si="90"/>
        <v xml:space="preserve">				.WhereIf(!string.IsNullOrWhiteSpace(input.RefKey1), e =&gt; e.RefKey1.Contains(input.RefKey1))</v>
      </c>
    </row>
    <row r="34" spans="1:23" customFormat="1" ht="18.75" customHeight="1" x14ac:dyDescent="0.25">
      <c r="A34" s="70" t="s">
        <v>391</v>
      </c>
      <c r="B34" t="s">
        <v>402</v>
      </c>
      <c r="C34" t="s">
        <v>1</v>
      </c>
      <c r="D34" t="str">
        <f t="shared" si="78"/>
        <v>RefKey2</v>
      </c>
      <c r="E34" t="str">
        <f t="shared" si="79"/>
        <v>VARCHAR</v>
      </c>
      <c r="F34" s="6"/>
      <c r="G34" t="str">
        <f t="shared" si="80"/>
        <v>12</v>
      </c>
      <c r="H34" t="str">
        <f>+VLOOKUP(E34,'Data Type Mapping'!A:B,2,)</f>
        <v>string</v>
      </c>
      <c r="I34" t="str">
        <f t="shared" si="81"/>
        <v xml:space="preserve">		public const int MaxRefKey2Length = 12;
</v>
      </c>
      <c r="J34" t="str">
        <f t="shared" si="82"/>
        <v xml:space="preserve">		[StringLength(MaxRefKey2Length)]
		public virtual string RefKey2 { get; set; }
</v>
      </c>
      <c r="K34" s="6"/>
      <c r="L34" t="str">
        <f t="shared" si="83"/>
        <v/>
      </c>
      <c r="M34" t="str">
        <f t="shared" si="84"/>
        <v xml:space="preserve">		public virtual string RefKey2 { get; set; }
</v>
      </c>
      <c r="N34" t="str">
        <f t="shared" si="85"/>
        <v xml:space="preserve">		[StringLength(IF_FQF3MM07Consts.MaxRefKey2Length)]
		public virtual string RefKey2 { get; set; }
</v>
      </c>
      <c r="O34" t="str">
        <f t="shared" si="86"/>
        <v xml:space="preserve">		public virtual string RefKey2 { get; set; }
</v>
      </c>
      <c r="P34" t="str">
        <f t="shared" si="87"/>
        <v xml:space="preserve">							RefKey2 = o.RefKey2,</v>
      </c>
      <c r="T34" s="63" t="str">
        <f t="shared" si="88"/>
        <v xml:space="preserve">								("RefKey2"),</v>
      </c>
      <c r="V34" s="64" t="str">
        <f t="shared" si="89"/>
        <v xml:space="preserve">								_ =&gt; _.RefKey2,</v>
      </c>
      <c r="W34" s="63" t="str">
        <f t="shared" si="90"/>
        <v xml:space="preserve">				.WhereIf(!string.IsNullOrWhiteSpace(input.RefKey2), e =&gt; e.RefKey2.Contains(input.RefKey2))</v>
      </c>
    </row>
    <row r="35" spans="1:23" customFormat="1" ht="18.75" customHeight="1" x14ac:dyDescent="0.25">
      <c r="A35" s="70" t="s">
        <v>392</v>
      </c>
      <c r="B35" t="s">
        <v>405</v>
      </c>
      <c r="C35" t="s">
        <v>1</v>
      </c>
      <c r="D35" t="str">
        <f t="shared" si="78"/>
        <v>RefKey3</v>
      </c>
      <c r="E35" t="str">
        <f t="shared" si="79"/>
        <v>VARCHAR</v>
      </c>
      <c r="F35" s="6"/>
      <c r="G35" t="str">
        <f t="shared" si="80"/>
        <v>20</v>
      </c>
      <c r="H35" t="str">
        <f>+VLOOKUP(E35,'Data Type Mapping'!A:B,2,)</f>
        <v>string</v>
      </c>
      <c r="I35" t="str">
        <f t="shared" si="81"/>
        <v xml:space="preserve">		public const int MaxRefKey3Length = 20;
</v>
      </c>
      <c r="J35" t="str">
        <f t="shared" si="82"/>
        <v xml:space="preserve">		[StringLength(MaxRefKey3Length)]
		public virtual string RefKey3 { get; set; }
</v>
      </c>
      <c r="K35" s="6"/>
      <c r="L35" t="str">
        <f t="shared" si="83"/>
        <v/>
      </c>
      <c r="M35" t="str">
        <f t="shared" si="84"/>
        <v xml:space="preserve">		public virtual string RefKey3 { get; set; }
</v>
      </c>
      <c r="N35" t="str">
        <f t="shared" si="85"/>
        <v xml:space="preserve">		[StringLength(IF_FQF3MM07Consts.MaxRefKey3Length)]
		public virtual string RefKey3 { get; set; }
</v>
      </c>
      <c r="O35" t="str">
        <f t="shared" si="86"/>
        <v xml:space="preserve">		public virtual string RefKey3 { get; set; }
</v>
      </c>
      <c r="P35" t="str">
        <f t="shared" si="87"/>
        <v xml:space="preserve">							RefKey3 = o.RefKey3,</v>
      </c>
      <c r="T35" s="63" t="str">
        <f t="shared" si="88"/>
        <v xml:space="preserve">								("RefKey3"),</v>
      </c>
      <c r="V35" s="64" t="str">
        <f t="shared" si="89"/>
        <v xml:space="preserve">								_ =&gt; _.RefKey3,</v>
      </c>
      <c r="W35" s="63" t="str">
        <f t="shared" si="90"/>
        <v xml:space="preserve">				.WhereIf(!string.IsNullOrWhiteSpace(input.RefKey3), e =&gt; e.RefKey3.Contains(input.RefKey3))</v>
      </c>
    </row>
    <row r="36" spans="1:23" customFormat="1" ht="18.75" customHeight="1" x14ac:dyDescent="0.25">
      <c r="A36" s="70" t="s">
        <v>393</v>
      </c>
      <c r="B36" t="s">
        <v>354</v>
      </c>
      <c r="C36" t="s">
        <v>1</v>
      </c>
      <c r="D36" t="str">
        <f t="shared" si="78"/>
        <v>EarmarkFund</v>
      </c>
      <c r="E36" t="str">
        <f t="shared" si="79"/>
        <v>VARCHAR</v>
      </c>
      <c r="F36" s="6"/>
      <c r="G36" t="str">
        <f t="shared" si="80"/>
        <v>10</v>
      </c>
      <c r="H36" t="str">
        <f>+VLOOKUP(E36,'Data Type Mapping'!A:B,2,)</f>
        <v>string</v>
      </c>
      <c r="I36" t="str">
        <f t="shared" si="81"/>
        <v xml:space="preserve">		public const int MaxEarmarkFundLength = 10;
</v>
      </c>
      <c r="J36" t="str">
        <f t="shared" si="82"/>
        <v xml:space="preserve">		[StringLength(MaxEarmarkFundLength)]
		public virtual string EarmarkFund { get; set; }
</v>
      </c>
      <c r="K36" s="6"/>
      <c r="L36" t="str">
        <f t="shared" si="83"/>
        <v/>
      </c>
      <c r="M36" t="str">
        <f t="shared" si="84"/>
        <v xml:space="preserve">		public virtual string EarmarkFund { get; set; }
</v>
      </c>
      <c r="N36" t="str">
        <f t="shared" si="85"/>
        <v xml:space="preserve">		[StringLength(IF_FQF3MM07Consts.MaxEarmarkFundLength)]
		public virtual string EarmarkFund { get; set; }
</v>
      </c>
      <c r="O36" t="str">
        <f t="shared" si="86"/>
        <v xml:space="preserve">		public virtual string EarmarkFund { get; set; }
</v>
      </c>
      <c r="P36" t="str">
        <f t="shared" si="87"/>
        <v xml:space="preserve">							EarmarkFund = o.EarmarkFund,</v>
      </c>
      <c r="T36" s="63" t="str">
        <f t="shared" si="88"/>
        <v xml:space="preserve">								("EarmarkFund"),</v>
      </c>
      <c r="V36" s="64" t="str">
        <f t="shared" si="89"/>
        <v xml:space="preserve">								_ =&gt; _.EarmarkFund,</v>
      </c>
      <c r="W36" s="63" t="str">
        <f t="shared" si="90"/>
        <v xml:space="preserve">				.WhereIf(!string.IsNullOrWhiteSpace(input.EarmarkFund), e =&gt; e.EarmarkFund.Contains(input.EarmarkFund))</v>
      </c>
    </row>
    <row r="37" spans="1:23" customFormat="1" ht="18.75" customHeight="1" x14ac:dyDescent="0.25">
      <c r="A37" s="70" t="s">
        <v>394</v>
      </c>
      <c r="B37" t="s">
        <v>360</v>
      </c>
      <c r="C37" t="s">
        <v>1</v>
      </c>
      <c r="D37" t="str">
        <f t="shared" si="78"/>
        <v>EarmarkFundItem</v>
      </c>
      <c r="E37" t="str">
        <f t="shared" si="79"/>
        <v>VARCHAR</v>
      </c>
      <c r="F37" s="6"/>
      <c r="G37" t="str">
        <f t="shared" si="80"/>
        <v>3</v>
      </c>
      <c r="H37" t="str">
        <f>+VLOOKUP(E37,'Data Type Mapping'!A:B,2,)</f>
        <v>string</v>
      </c>
      <c r="I37" t="str">
        <f t="shared" si="81"/>
        <v xml:space="preserve">		public const int MaxEarmarkFundItemLength = 3;
</v>
      </c>
      <c r="J37" t="str">
        <f t="shared" si="82"/>
        <v xml:space="preserve">		[StringLength(MaxEarmarkFundItemLength)]
		public virtual string EarmarkFundItem { get; set; }
</v>
      </c>
      <c r="K37" s="6"/>
      <c r="L37" t="str">
        <f t="shared" si="83"/>
        <v/>
      </c>
      <c r="M37" t="str">
        <f t="shared" si="84"/>
        <v xml:space="preserve">		public virtual string EarmarkFundItem { get; set; }
</v>
      </c>
      <c r="N37" t="str">
        <f t="shared" si="85"/>
        <v xml:space="preserve">		[StringLength(IF_FQF3MM07Consts.MaxEarmarkFundItemLength)]
		public virtual string EarmarkFundItem { get; set; }
</v>
      </c>
      <c r="O37" t="str">
        <f t="shared" si="86"/>
        <v xml:space="preserve">		public virtual string EarmarkFundItem { get; set; }
</v>
      </c>
      <c r="P37" t="str">
        <f t="shared" si="87"/>
        <v xml:space="preserve">							EarmarkFundItem = o.EarmarkFundItem,</v>
      </c>
      <c r="T37" s="63" t="str">
        <f t="shared" si="88"/>
        <v xml:space="preserve">								("EarmarkFundItem"),</v>
      </c>
      <c r="V37" s="64" t="str">
        <f t="shared" si="89"/>
        <v xml:space="preserve">								_ =&gt; _.EarmarkFundItem,</v>
      </c>
      <c r="W37" s="63" t="str">
        <f t="shared" si="90"/>
        <v xml:space="preserve">				.WhereIf(!string.IsNullOrWhiteSpace(input.EarmarkFundItem), e =&gt; e.EarmarkFundItem.Contains(input.EarmarkFundItem))</v>
      </c>
    </row>
    <row r="38" spans="1:23" customFormat="1" ht="18.75" customHeight="1" x14ac:dyDescent="0.25">
      <c r="A38" s="70" t="s">
        <v>395</v>
      </c>
      <c r="B38" t="s">
        <v>361</v>
      </c>
      <c r="C38" t="s">
        <v>1</v>
      </c>
      <c r="D38" t="str">
        <f t="shared" si="78"/>
        <v>MaterialNo</v>
      </c>
      <c r="E38" t="str">
        <f t="shared" si="79"/>
        <v>VARCHAR</v>
      </c>
      <c r="F38" s="6"/>
      <c r="G38" t="str">
        <f t="shared" si="80"/>
        <v>40</v>
      </c>
      <c r="H38" t="str">
        <f>+VLOOKUP(E38,'Data Type Mapping'!A:B,2,)</f>
        <v>string</v>
      </c>
      <c r="I38" t="str">
        <f t="shared" si="81"/>
        <v xml:space="preserve">		public const int MaxMaterialNoLength = 40;
</v>
      </c>
      <c r="J38" t="str">
        <f t="shared" si="82"/>
        <v xml:space="preserve">		[StringLength(MaxMaterialNoLength)]
		public virtual string MaterialNo { get; set; }
</v>
      </c>
      <c r="K38" s="6"/>
      <c r="L38" t="str">
        <f t="shared" si="83"/>
        <v/>
      </c>
      <c r="M38" t="str">
        <f t="shared" si="84"/>
        <v xml:space="preserve">		public virtual string MaterialNo { get; set; }
</v>
      </c>
      <c r="N38" t="str">
        <f t="shared" si="85"/>
        <v xml:space="preserve">		[StringLength(IF_FQF3MM07Consts.MaxMaterialNoLength)]
		public virtual string MaterialNo { get; set; }
</v>
      </c>
      <c r="O38" t="str">
        <f t="shared" si="86"/>
        <v xml:space="preserve">		public virtual string MaterialNo { get; set; }
</v>
      </c>
      <c r="P38" t="str">
        <f t="shared" si="87"/>
        <v xml:space="preserve">							MaterialNo = o.MaterialNo,</v>
      </c>
      <c r="T38" s="63" t="str">
        <f t="shared" si="88"/>
        <v xml:space="preserve">								("MaterialNo"),</v>
      </c>
      <c r="V38" s="64" t="str">
        <f t="shared" si="89"/>
        <v xml:space="preserve">								_ =&gt; _.MaterialNo,</v>
      </c>
      <c r="W38" s="63" t="str">
        <f t="shared" si="90"/>
        <v xml:space="preserve">				.WhereIf(!string.IsNullOrWhiteSpace(input.MaterialNo), e =&gt; e.MaterialNo.Contains(input.MaterialNo))</v>
      </c>
    </row>
    <row r="39" spans="1:23" customFormat="1" ht="18.75" customHeight="1" x14ac:dyDescent="0.25">
      <c r="A39" s="70" t="s">
        <v>396</v>
      </c>
      <c r="B39" t="s">
        <v>402</v>
      </c>
      <c r="C39" t="s">
        <v>1</v>
      </c>
      <c r="D39" t="str">
        <f t="shared" si="52"/>
        <v>MainAssetNumber</v>
      </c>
      <c r="E39" t="str">
        <f t="shared" si="53"/>
        <v>VARCHAR</v>
      </c>
      <c r="F39" s="6"/>
      <c r="G39" t="str">
        <f t="shared" si="54"/>
        <v>12</v>
      </c>
      <c r="H39" t="str">
        <f>+VLOOKUP(E39,'Data Type Mapping'!A:B,2,)</f>
        <v>string</v>
      </c>
      <c r="I39" t="str">
        <f t="shared" si="55"/>
        <v xml:space="preserve">		public const int MaxMainAssetNumberLength = 12;
</v>
      </c>
      <c r="J39" t="str">
        <f t="shared" si="56"/>
        <v xml:space="preserve">		[StringLength(MaxMainAssetNumberLength)]
		public virtual string MainAssetNumber { get; set; }
</v>
      </c>
      <c r="K39" s="6"/>
      <c r="L39" t="str">
        <f t="shared" si="57"/>
        <v/>
      </c>
      <c r="M39" t="str">
        <f t="shared" si="58"/>
        <v xml:space="preserve">		public virtual string MainAssetNumber { get; set; }
</v>
      </c>
      <c r="N39" t="str">
        <f t="shared" si="59"/>
        <v xml:space="preserve">		[StringLength(IF_FQF3MM07Consts.MaxMainAssetNumberLength)]
		public virtual string MainAssetNumber { get; set; }
</v>
      </c>
      <c r="O39" t="str">
        <f t="shared" si="60"/>
        <v xml:space="preserve">		public virtual string MainAssetNumber { get; set; }
</v>
      </c>
      <c r="P39" t="str">
        <f t="shared" si="61"/>
        <v xml:space="preserve">							MainAssetNumber = o.MainAssetNumber,</v>
      </c>
      <c r="T39" s="63" t="str">
        <f t="shared" si="62"/>
        <v xml:space="preserve">								("MainAssetNumber"),</v>
      </c>
      <c r="V39" s="64" t="str">
        <f t="shared" si="63"/>
        <v xml:space="preserve">								_ =&gt; _.MainAssetNumber,</v>
      </c>
      <c r="W39" s="63" t="str">
        <f t="shared" si="64"/>
        <v xml:space="preserve">				.WhereIf(!string.IsNullOrWhiteSpace(input.MainAssetNumber), e =&gt; e.MainAssetNumber.Contains(input.MainAssetNumber))</v>
      </c>
    </row>
    <row r="40" spans="1:23" customFormat="1" ht="18.75" customHeight="1" x14ac:dyDescent="0.25">
      <c r="A40" s="71" t="s">
        <v>397</v>
      </c>
      <c r="B40" t="s">
        <v>355</v>
      </c>
      <c r="C40" t="s">
        <v>1</v>
      </c>
      <c r="D40" t="str">
        <f t="shared" si="52"/>
        <v>AssetSubNumber</v>
      </c>
      <c r="E40" t="str">
        <f t="shared" si="53"/>
        <v>VARCHAR</v>
      </c>
      <c r="F40" s="6"/>
      <c r="G40" t="str">
        <f t="shared" si="54"/>
        <v>4</v>
      </c>
      <c r="H40" t="str">
        <f>+VLOOKUP(E40,'Data Type Mapping'!A:B,2,)</f>
        <v>string</v>
      </c>
      <c r="I40" t="str">
        <f t="shared" si="55"/>
        <v xml:space="preserve">		public const int MaxAssetSubNumberLength = 4;
</v>
      </c>
      <c r="J40" t="str">
        <f t="shared" si="56"/>
        <v xml:space="preserve">		[StringLength(MaxAssetSubNumberLength)]
		public virtual string AssetSubNumber { get; set; }
</v>
      </c>
      <c r="K40" s="6"/>
      <c r="L40" t="str">
        <f t="shared" si="57"/>
        <v/>
      </c>
      <c r="M40" t="str">
        <f t="shared" si="58"/>
        <v xml:space="preserve">		public virtual string AssetSubNumber { get; set; }
</v>
      </c>
      <c r="N40" t="str">
        <f t="shared" si="59"/>
        <v xml:space="preserve">		[StringLength(IF_FQF3MM07Consts.MaxAssetSubNumberLength)]
		public virtual string AssetSubNumber { get; set; }
</v>
      </c>
      <c r="O40" t="str">
        <f t="shared" si="60"/>
        <v xml:space="preserve">		public virtual string AssetSubNumber { get; set; }
</v>
      </c>
      <c r="P40" t="str">
        <f t="shared" si="61"/>
        <v xml:space="preserve">							AssetSubNumber = o.AssetSubNumber,</v>
      </c>
      <c r="T40" s="63" t="str">
        <f t="shared" si="62"/>
        <v xml:space="preserve">								("AssetSubNumber"),</v>
      </c>
      <c r="V40" s="64" t="str">
        <f t="shared" si="63"/>
        <v xml:space="preserve">								_ =&gt; _.AssetSubNumber,</v>
      </c>
      <c r="W40" s="63" t="str">
        <f t="shared" si="64"/>
        <v xml:space="preserve">				.WhereIf(!string.IsNullOrWhiteSpace(input.AssetSubNumber), e =&gt; e.AssetSubNumber.Contains(input.AssetSubNumber))</v>
      </c>
    </row>
    <row r="41" spans="1:23" customFormat="1" ht="18.75" customHeight="1" x14ac:dyDescent="0.25">
      <c r="A41" s="70" t="s">
        <v>398</v>
      </c>
      <c r="B41" t="s">
        <v>360</v>
      </c>
      <c r="C41" t="s">
        <v>1</v>
      </c>
      <c r="D41" t="str">
        <f t="shared" si="52"/>
        <v>TransType</v>
      </c>
      <c r="E41" t="str">
        <f t="shared" si="53"/>
        <v>VARCHAR</v>
      </c>
      <c r="F41" s="6"/>
      <c r="G41" t="str">
        <f t="shared" si="54"/>
        <v>3</v>
      </c>
      <c r="H41" t="str">
        <f>+VLOOKUP(E41,'Data Type Mapping'!A:B,2,)</f>
        <v>string</v>
      </c>
      <c r="I41" t="str">
        <f t="shared" si="55"/>
        <v xml:space="preserve">		public const int MaxTransTypeLength = 3;
</v>
      </c>
      <c r="J41" t="str">
        <f t="shared" si="56"/>
        <v xml:space="preserve">		[StringLength(MaxTransTypeLength)]
		public virtual string TransType { get; set; }
</v>
      </c>
      <c r="K41" s="6"/>
      <c r="L41" t="str">
        <f t="shared" si="57"/>
        <v/>
      </c>
      <c r="M41" t="str">
        <f t="shared" si="58"/>
        <v xml:space="preserve">		public virtual string TransType { get; set; }
</v>
      </c>
      <c r="N41" t="str">
        <f t="shared" si="59"/>
        <v xml:space="preserve">		[StringLength(IF_FQF3MM07Consts.MaxTransTypeLength)]
		public virtual string TransType { get; set; }
</v>
      </c>
      <c r="O41" t="str">
        <f t="shared" si="60"/>
        <v xml:space="preserve">		public virtual string TransType { get; set; }
</v>
      </c>
      <c r="P41" t="str">
        <f t="shared" si="61"/>
        <v xml:space="preserve">							TransType = o.TransType,</v>
      </c>
      <c r="T41" s="63" t="str">
        <f t="shared" si="62"/>
        <v xml:space="preserve">								("TransType"),</v>
      </c>
      <c r="V41" s="64" t="str">
        <f t="shared" si="63"/>
        <v xml:space="preserve">								_ =&gt; _.TransType,</v>
      </c>
      <c r="W41" s="63" t="str">
        <f t="shared" si="64"/>
        <v xml:space="preserve">				.WhereIf(!string.IsNullOrWhiteSpace(input.TransType), e =&gt; e.TransType.Contains(input.TransType))</v>
      </c>
    </row>
    <row r="42" spans="1:23" customFormat="1" ht="18.75" customHeight="1" x14ac:dyDescent="0.25">
      <c r="A42" s="66" t="s">
        <v>368</v>
      </c>
      <c r="B42" t="s">
        <v>362</v>
      </c>
      <c r="C42" t="s">
        <v>1</v>
      </c>
      <c r="D42" t="str">
        <f t="shared" si="52"/>
        <v>EndingOfRecord</v>
      </c>
      <c r="E42" t="str">
        <f t="shared" si="53"/>
        <v>VARCHAR</v>
      </c>
      <c r="F42" s="6"/>
      <c r="G42" t="str">
        <f t="shared" si="54"/>
        <v>24</v>
      </c>
      <c r="H42" t="str">
        <f>+VLOOKUP(E42,'Data Type Mapping'!A:B,2,)</f>
        <v>string</v>
      </c>
      <c r="I42" t="str">
        <f t="shared" si="55"/>
        <v xml:space="preserve">		public const int MaxEndingOfRecordLength = 24;
</v>
      </c>
      <c r="J42" t="str">
        <f t="shared" si="56"/>
        <v xml:space="preserve">		[StringLength(MaxEndingOfRecordLength)]
		public virtual string EndingOfRecord { get; set; }
</v>
      </c>
      <c r="K42" s="6"/>
      <c r="L42" t="str">
        <f t="shared" si="57"/>
        <v/>
      </c>
      <c r="M42" t="str">
        <f t="shared" si="58"/>
        <v xml:space="preserve">		public virtual string EndingOfRecord { get; set; }
</v>
      </c>
      <c r="N42" t="str">
        <f t="shared" si="59"/>
        <v xml:space="preserve">		[StringLength(IF_FQF3MM07Consts.MaxEndingOfRecordLength)]
		public virtual string EndingOfRecord { get; set; }
</v>
      </c>
      <c r="O42" t="str">
        <f t="shared" si="60"/>
        <v xml:space="preserve">		public virtual string EndingOfRecord { get; set; }
</v>
      </c>
      <c r="P42" t="str">
        <f t="shared" si="61"/>
        <v xml:space="preserve">							EndingOfRecord = o.EndingOfRecord,</v>
      </c>
      <c r="T42" s="63" t="str">
        <f t="shared" si="62"/>
        <v xml:space="preserve">								("EndingOfRecord"),</v>
      </c>
      <c r="V42" s="64" t="str">
        <f t="shared" si="63"/>
        <v xml:space="preserve">								_ =&gt; _.EndingOfRecord,</v>
      </c>
      <c r="W42" s="63" t="str">
        <f t="shared" si="64"/>
        <v xml:space="preserve">				.WhereIf(!string.IsNullOrWhiteSpace(input.EndingOfRecord), e =&gt; e.EndingOfRecord.Contains(input.EndingOfRecord))</v>
      </c>
    </row>
    <row r="44" spans="1:23" ht="45.75" customHeight="1" x14ac:dyDescent="0.25">
      <c r="H44" s="11"/>
      <c r="I44" s="31" t="str">
        <f ca="1">TEXTJOIN2("
", TRUE,INDIRECT( $H$1):INDIRECT( $H$3))</f>
        <v xml:space="preserve">		public const int MaxRecordIdLength = 7;
		public const int MaxCountryCodeLength = 3;
		public const int MaxCompanyCodeLength = 4;
		public const int MaxCompanyBranchLength = 5;
		public const int MaxPostingKeyLength = 2;
		public const int MaxCostCenterLength = 10;
		public const int MaxDocumentNoLength = 25;
		public const int MaxDocumentTypeLength = 2;
		public const int MaxDocumentDateLength = 8;
		public const int MaxPostingDateLength = 8;
		public const int MaxPlantLength = 4;
		public const int MaxReferenceDocumentNoLength = 16;
		public const int MaxCurrencyLength = 3;
		public const int MaxOrderLength = 12;
		public const int MaxGlAccountLength = 10;
		public const int MaxNormalCancelFlagLength = 1;
		public const int MaxTextLength = 50;
		public const int MaxProfitCenterLength = 10;
		public const int MaxWbsLength = 24;
		public const int MaxBaseUnitOfMeasureLength = 3;
		public const int MaxAmountInLocalCurrencyLength = 23;
		public const int MaxExchangeRateLength = 10;
		public const int MaxRefKey1Length = 12;
		public const int MaxRefKey2Length = 12;
		public const int MaxRefKey3Length = 20;
		public const int MaxEarmarkFundLength = 10;
		public const int MaxEarmarkFundItemLength = 3;
		public const int MaxMaterialNoLength = 40;
		public const int MaxMainAssetNumberLength = 12;
		public const int MaxAssetSubNumberLength = 4;
		public const int MaxTransTypeLength = 3;
		public const int MaxEndingOfRecordLength = 24;
</v>
      </c>
      <c r="J44" s="30" t="str">
        <f ca="1">TEXTJOIN2("
", TRUE,INDIRECT( $F$1):INDIRECT( $F$3))</f>
        <v xml:space="preserve">		[StringLength(MaxRecordIdLength)]
		public virtual string RecordId { get; set; }
		[StringLength(MaxCountryCodeLength)]
		public virtual string CountryCode { get; set; }
		[StringLength(MaxCompanyCodeLength)]
		public virtual string CompanyCode { get; set; }
		[StringLength(MaxCompanyBranchLength)]
		public virtual string CompanyBranch { get; set; }
		[StringLength(MaxPostingKeyLength)]
		public virtual string PostingKey { get; set; }
		[StringLength(MaxCostCenterLength)]
		public virtual string CostCenter { get; set; }
		[StringLength(MaxDocumentNoLength)]
		public virtual string DocumentNo { get; set; }
		[StringLength(MaxDocumentTypeLength)]
		public virtual string DocumentType { get; set; }
		[StringLength(MaxDocumentDateLength)]
		public virtual string DocumentDate { get; set; }
		[StringLength(MaxPostingDateLength)]
		public virtual string PostingDate { get; set; }
		[StringLength(MaxPlantLength)]
		public virtual string Plant { get; set; }
		[StringLength(MaxReferenceDocumentNoLength)]
		public virtual string ReferenceDocumentNo { get; set; }
		public virtual int? Amount { get; set; }
		[StringLength(MaxCurrencyLength)]
		public virtual string Currency { get; set; }
		[StringLength(MaxOrderLength)]
		public virtual string Order { get; set; }
		[StringLength(MaxGlAccountLength)]
		public virtual string GlAccount { get; set; }
		[StringLength(MaxNormalCancelFlagLength)]
		public virtual string NormalCancelFlag { get; set; }
		[StringLength(MaxTextLength)]
		public virtual string Text { get; set; }
		[StringLength(MaxProfitCenterLength)]
		public virtual string ProfitCenter { get; set; }
		[StringLength(MaxWbsLength)]
		public virtual string Wbs { get; set; }
		public virtual int? Quantity { get; set; }
		[StringLength(MaxBaseUnitOfMeasureLength)]
		public virtual string BaseUnitOfMeasure { get; set; }
		[StringLength(MaxAmountInLocalCurrencyLength)]
		public virtual string AmountInLocalCurrency { get; set; }
		[StringLength(MaxExchangeRateLength)]
		public virtual string ExchangeRate { get; set; }
		[StringLength(MaxRefKey1Length)]
		public virtual string RefKey1 { get; set; }
		[StringLength(MaxRefKey2Length)]
		public virtual string RefKey2 { get; set; }
		[StringLength(MaxRefKey3Length)]
		public virtual string RefKey3 { get; set; }
		[StringLength(MaxEarmarkFundLength)]
		public virtual string EarmarkFund { get; set; }
		[StringLength(MaxEarmarkFundItemLength)]
		public virtual string EarmarkFundItem { get; set; }
		[StringLength(MaxMaterialNoLength)]
		public virtual string MaterialNo { get; set; }
		[StringLength(MaxMainAssetNumberLength)]
		public virtual string MainAssetNumber { get; set; }
		[StringLength(MaxAssetSubNumberLength)]
		public virtual string AssetSubNumber { get; set; }
		[StringLength(MaxTransTypeLength)]
		public virtual string TransType { get; set; }
		[StringLength(MaxEndingOfRecordLength)]
		public virtual string EndingOfRecord { get; set; }
</v>
      </c>
      <c r="K44" s="32" t="str">
        <f ca="1">TEXTJOIN2("
", TRUE,INDIRECT( $J$1):INDIRECT( $J$3))</f>
        <v/>
      </c>
      <c r="L44" s="12" t="s">
        <v>57</v>
      </c>
      <c r="M44" s="33" t="str">
        <f ca="1">TEXTJOIN2("
",TRUE,INDIRECT( $L$1):INDIRECT($L$3))</f>
        <v xml:space="preserve">		public virtual string RecordId { get; set; }
		public virtual string CountryCode { get; set; }
		public virtual string CompanyCode { get; set; }
		public virtual string CompanyBranch { get; set; }
		public virtual string PostingKey { get; set; }
		public virtual string CostCenter { get; set; }
		public virtual string DocumentNo { get; set; }
		public virtual string DocumentType { get; set; }
		public virtual string DocumentDate { get; set; }
		public virtual string PostingDate { get; set; }
		public virtual string Plant { get; set; }
		public virtual string ReferenceDocumentNo { get; set; }
		public virtual int? Amount { get; set; }
		public virtual string Currency { get; set; }
		public virtual string Order { get; set; }
		public virtual string GlAccount { get; set; }
		public virtual string NormalCancelFlag { get; set; }
		public virtual string Text { get; set; }
		public virtual string ProfitCenter { get; set; }
		public virtual string Wbs { get; set; }
		public virtual int? Quantity { get; set; }
		public virtual string BaseUnitOfMeasure { get; set; }
		public virtual string AmountInLocalCurrency { get; set; }
		public virtual string ExchangeRate { get; set; }
		public virtual string RefKey1 { get; set; }
		public virtual string RefKey2 { get; set; }
		public virtual string RefKey3 { get; set; }
		public virtual string EarmarkFund { get; set; }
		public virtual string EarmarkFundItem { get; set; }
		public virtual string MaterialNo { get; set; }
		public virtual string MainAssetNumber { get; set; }
		public virtual string AssetSubNumber { get; set; }
		public virtual string TransType { get; set; }
		public virtual string EndingOfRecord { get; set; }
</v>
      </c>
      <c r="N44" s="30" t="str">
        <f ca="1">TEXTJOIN2("
",TRUE,INDIRECT( $M$1):INDIRECT($M$3))</f>
        <v xml:space="preserve">		[StringLength(IF_FQF3MM07Consts.MaxRecordIdLength)]
		public virtual string RecordId { get; set; }
		[StringLength(IF_FQF3MM07Consts.MaxCountryCodeLength)]
		public virtual string CountryCode { get; set; }
		[StringLength(IF_FQF3MM07Consts.MaxCompanyCodeLength)]
		public virtual string CompanyCode { get; set; }
		[StringLength(IF_FQF3MM07Consts.MaxCompanyBranchLength)]
		public virtual string CompanyBranch { get; set; }
		[StringLength(IF_FQF3MM07Consts.MaxPostingKeyLength)]
		public virtual string PostingKey { get; set; }
		[StringLength(IF_FQF3MM07Consts.MaxCostCenterLength)]
		public virtual string CostCenter { get; set; }
		[StringLength(IF_FQF3MM07Consts.MaxDocumentNoLength)]
		public virtual string DocumentNo { get; set; }
		[StringLength(IF_FQF3MM07Consts.MaxDocumentTypeLength)]
		public virtual string DocumentType { get; set; }
		[StringLength(IF_FQF3MM07Consts.MaxDocumentDateLength)]
		public virtual string DocumentDate { get; set; }
		[StringLength(IF_FQF3MM07Consts.MaxPostingDateLength)]
		public virtual string PostingDate { get; set; }
		[StringLength(IF_FQF3MM07Consts.MaxPlantLength)]
		public virtual string Plant { get; set; }
		[StringLength(IF_FQF3MM07Consts.MaxReferenceDocumentNoLength)]
		public virtual string ReferenceDocumentNo { get; set; }
		public virtual int? Amount { get; set; }
		[StringLength(IF_FQF3MM07Consts.MaxCurrencyLength)]
		public virtual string Currency { get; set; }
		[StringLength(IF_FQF3MM07Consts.MaxOrderLength)]
		public virtual string Order { get; set; }
		[StringLength(IF_FQF3MM07Consts.MaxGlAccountLength)]
		public virtual string GlAccount { get; set; }
		[StringLength(IF_FQF3MM07Consts.MaxNormalCancelFlagLength)]
		public virtual string NormalCancelFlag { get; set; }
		[StringLength(IF_FQF3MM07Consts.MaxTextLength)]
		public virtual string Text { get; set; }
		[StringLength(IF_FQF3MM07Consts.MaxProfitCenterLength)]
		public virtual string ProfitCenter { get; set; }
		[StringLength(IF_FQF3MM07Consts.MaxWbsLength)]
		public virtual string Wbs { get; set; }
		public virtual int? Quantity { get; set; }
		[StringLength(IF_FQF3MM07Consts.MaxBaseUnitOfMeasureLength)]
		public virtual string BaseUnitOfMeasure { get; set; }
		[StringLength(IF_FQF3MM07Consts.MaxAmountInLocalCurrencyLength)]
		public virtual string AmountInLocalCurrency { get; set; }
		[StringLength(IF_FQF3MM07Consts.MaxExchangeRateLength)]
		public virtual string ExchangeRate { get; set; }
		[StringLength(IF_FQF3MM07Consts.MaxRefKey1Length)]
		public virtual string RefKey1 { get; set; }
		[StringLength(IF_FQF3MM07Consts.MaxRefKey2Length)]
		public virtual string RefKey2 { get; set; }
		[StringLength(IF_FQF3MM07Consts.MaxRefKey3Length)]
		public virtual string RefKey3 { get; set; }
		[StringLength(IF_FQF3MM07Consts.MaxEarmarkFundLength)]
		public virtual string EarmarkFund { get; set; }
		[StringLength(IF_FQF3MM07Consts.MaxEarmarkFundItemLength)]
		public virtual string EarmarkFundItem { get; set; }
		[StringLength(IF_FQF3MM07Consts.MaxMaterialNoLength)]
		public virtual string MaterialNo { get; set; }
		[StringLength(IF_FQF3MM07Consts.MaxMainAssetNumberLength)]
		public virtual string MainAssetNumber { get; set; }
		[StringLength(IF_FQF3MM07Consts.MaxAssetSubNumberLength)]
		public virtual string AssetSubNumber { get; set; }
		[StringLength(IF_FQF3MM07Consts.MaxTransTypeLength)]
		public virtual string TransType { get; set; }
		[StringLength(IF_FQF3MM07Consts.MaxEndingOfRecordLength)]
		public virtual string EndingOfRecord { get; set; }
</v>
      </c>
      <c r="O44" s="30" t="str">
        <f ca="1">TEXTJOIN2("
",TRUE,INDIRECT( $N$1):INDIRECT($N$3))</f>
        <v xml:space="preserve">		public virtual string RecordId { get; set; }
		public virtual string CountryCode { get; set; }
		public virtual string CompanyCode { get; set; }
		public virtual string CompanyBranch { get; set; }
		public virtual string PostingKey { get; set; }
		public virtual string CostCenter { get; set; }
		public virtual string DocumentNo { get; set; }
		public virtual string DocumentType { get; set; }
		public virtual string DocumentDate { get; set; }
		public virtual string PostingDate { get; set; }
		public virtual string Plant { get; set; }
		public virtual string ReferenceDocumentNo { get; set; }
		public virtual string Currency { get; set; }
		public virtual string Order { get; set; }
		public virtual string GlAccount { get; set; }
		public virtual string NormalCancelFlag { get; set; }
		public virtual string Text { get; set; }
		public virtual string ProfitCenter { get; set; }
		public virtual string Wbs { get; set; }
		public virtual string BaseUnitOfMeasure { get; set; }
		public virtual string AmountInLocalCurrency { get; set; }
		public virtual string ExchangeRate { get; set; }
		public virtual string RefKey1 { get; set; }
		public virtual string RefKey2 { get; set; }
		public virtual string RefKey3 { get; set; }
		public virtual string EarmarkFund { get; set; }
		public virtual string EarmarkFundItem { get; set; }
		public virtual string MaterialNo { get; set; }
		public virtual string MainAssetNumber { get; set; }
		public virtual string AssetSubNumber { get; set; }
		public virtual string TransType { get; set; }
		public virtual string EndingOfRecord { get; set; }
</v>
      </c>
      <c r="P44" s="8" t="str">
        <f ca="1">TEXTJOIN2("
",TRUE,INDIRECT( $O$1):INDIRECT($O$3))</f>
        <v xml:space="preserve">							RecordId = o.RecordId,
							CountryCode = o.CountryCode,
							CompanyCode = o.CompanyCode,
							CompanyBranch = o.CompanyBranch,
							PostingKey = o.PostingKey,
							CostCenter = o.CostCenter,
							DocumentNo = o.DocumentNo,
							DocumentType = o.DocumentType,
							DocumentDate = o.DocumentDate,
							PostingDate = o.PostingDate,
							Plant = o.Plant,
							ReferenceDocumentNo = o.ReferenceDocumentNo,
							Amount = o.Amount,
							Currency = o.Currency,
							Order = o.Order,
							GlAccount = o.GlAccount,
							NormalCancelFlag = o.NormalCancelFlag,
							Text = o.Text,
							ProfitCenter = o.ProfitCenter,
							Wbs = o.Wbs,
							Quantity = o.Quantity,
							BaseUnitOfMeasure = o.BaseUnitOfMeasure,
							AmountInLocalCurrency = o.AmountInLocalCurrency,
							ExchangeRate = o.ExchangeRate,
							RefKey1 = o.RefKey1,
							RefKey2 = o.RefKey2,
							RefKey3 = o.RefKey3,
							EarmarkFund = o.EarmarkFund,
							EarmarkFundItem = o.EarmarkFundItem,
							MaterialNo = o.MaterialNo,
							MainAssetNumber = o.MainAssetNumber,
							AssetSubNumber = o.AssetSubNumber,
							TransType = o.TransType,
							EndingOfRecord = o.EndingOfRecord,</v>
      </c>
      <c r="T44" s="8" t="str">
        <f ca="1">TEXTJOIN2("
",TRUE,INDIRECT( $T$2):INDIRECT($T$3))</f>
        <v xml:space="preserve">								("RecordId"),
								("CountryCode"),
								("CompanyCode"),
								("CompanyBranch"),
								("PostingKey"),
								("CostCenter"),
								("DocumentNo"),
								("DocumentType"),
								("DocumentDate"),
								("PostingDate"),
								("Plant"),
								("ReferenceDocumentNo"),
								("Amount"),
								("Currency"),
								("Order"),
								("GlAccount"),
								("NormalCancelFlag"),
								("Text"),
								("ProfitCenter"),
								("Wbs"),
								("Quantity"),
								("BaseUnitOfMeasure"),
								("AmountInLocalCurrency"),
								("ExchangeRate"),
								("RefKey1"),
								("RefKey2"),
								("RefKey3"),
								("EarmarkFund"),
								("EarmarkFundItem"),
								("MaterialNo"),
								("MainAssetNumber"),
								("AssetSubNumber"),
								("TransType"),
								("EndingOfRecord"),</v>
      </c>
      <c r="V44" s="8" t="str">
        <f ca="1">TEXTJOIN2("
",TRUE,INDIRECT( $V$2):INDIRECT($V$3))</f>
        <v xml:space="preserve">								_ =&gt; _.RecordId,
								_ =&gt; _.CountryCode,
								_ =&gt; _.CompanyCode,
								_ =&gt; _.CompanyBranch,
								_ =&gt; _.PostingKey,
								_ =&gt; _.CostCenter,
								_ =&gt; _.DocumentNo,
								_ =&gt; _.DocumentType,
								_ =&gt; _.DocumentDate,
								_ =&gt; _.PostingDate,
								_ =&gt; _.Plant,
								_ =&gt; _.ReferenceDocumentNo,
								_ =&gt; _.Amount,
								_ =&gt; _.Currency,
								_ =&gt; _.Order,
								_ =&gt; _.GlAccount,
								_ =&gt; _.NormalCancelFlag,
								_ =&gt; _.Text,
								_ =&gt; _.ProfitCenter,
								_ =&gt; _.Wbs,
								_ =&gt; _.Quantity,
								_ =&gt; _.BaseUnitOfMeasure,
								_ =&gt; _.AmountInLocalCurrency,
								_ =&gt; _.ExchangeRate,
								_ =&gt; _.RefKey1,
								_ =&gt; _.RefKey2,
								_ =&gt; _.RefKey3,
								_ =&gt; _.EarmarkFund,
								_ =&gt; _.EarmarkFundItem,
								_ =&gt; _.MaterialNo,
								_ =&gt; _.MainAssetNumber,
								_ =&gt; _.AssetSubNumber,
								_ =&gt; _.TransType,
								_ =&gt; _.EndingOfRecord,</v>
      </c>
      <c r="W44" s="8" t="str">
        <f ca="1">TEXTJOIN2("
",TRUE,INDIRECT( $W$2):INDIRECT($W$3))</f>
        <v xml:space="preserve">				.WhereIf(!string.IsNullOrWhiteSpace(input.RecordId), e =&gt; e.RecordId.Contains(input.RecordId))
				.WhereIf(!string.IsNullOrWhiteSpace(input.CountryCode), e =&gt; e.CountryCode.Contains(input.CountryCode))
				.WhereIf(!string.IsNullOrWhiteSpace(input.CompanyCode), e =&gt; e.CompanyCode.Contains(input.CompanyCode))
				.WhereIf(!string.IsNullOrWhiteSpace(input.CompanyBranch), e =&gt; e.CompanyBranch.Contains(input.CompanyBranch))
				.WhereIf(!string.IsNullOrWhiteSpace(input.PostingKey), e =&gt; e.PostingKey.Contains(input.PostingKey))
				.WhereIf(!string.IsNullOrWhiteSpace(input.CostCenter), e =&gt; e.CostCenter.Contains(input.CostCenter))
				.WhereIf(!string.IsNullOrWhiteSpace(input.DocumentNo), e =&gt; e.DocumentNo.Contains(input.DocumentNo))
				.WhereIf(!string.IsNullOrWhiteSpace(input.DocumentType), e =&gt; e.DocumentType.Contains(input.DocumentType))
				.WhereIf(!string.IsNullOrWhiteSpace(input.DocumentDate), e =&gt; e.DocumentDate.Contains(input.DocumentDate))
				.WhereIf(!string.IsNullOrWhiteSpace(input.PostingDate), e =&gt; e.PostingDate.Contains(input.PostingDate))
				.WhereIf(!string.IsNullOrWhiteSpace(input.Plant), e =&gt; e.Plant.Contains(input.Plant))
				.WhereIf(!string.IsNullOrWhiteSpace(input.ReferenceDocumentNo), e =&gt; e.ReferenceDocumentNo.Contains(input.ReferenceDocumentNo))
				.WhereIf(!string.IsNullOrWhiteSpace(input.Currency), e =&gt; e.Currency.Contains(input.Currency))
				.WhereIf(!string.IsNullOrWhiteSpace(input.Order), e =&gt; e.Order.Contains(input.Order))
				.WhereIf(!string.IsNullOrWhiteSpace(input.GlAccount), e =&gt; e.GlAccount.Contains(input.GlAccount))
				.WhereIf(!string.IsNullOrWhiteSpace(input.NormalCancelFlag), e =&gt; e.NormalCancelFlag.Contains(input.NormalCancelFlag))
				.WhereIf(!string.IsNullOrWhiteSpace(input.Text), e =&gt; e.Text.Contains(input.Text))
				.WhereIf(!string.IsNullOrWhiteSpace(input.ProfitCenter), e =&gt; e.ProfitCenter.Contains(input.ProfitCenter))
				.WhereIf(!string.IsNullOrWhiteSpace(input.Wbs), e =&gt; e.Wbs.Contains(input.Wbs))
				.WhereIf(!string.IsNullOrWhiteSpace(input.BaseUnitOfMeasure), e =&gt; e.BaseUnitOfMeasure.Contains(input.BaseUnitOfMeasure))
				.WhereIf(!string.IsNullOrWhiteSpace(input.AmountInLocalCurrency), e =&gt; e.AmountInLocalCurrency.Contains(input.AmountInLocalCurrency))
				.WhereIf(!string.IsNullOrWhiteSpace(input.ExchangeRate), e =&gt; e.ExchangeRate.Contains(input.ExchangeRate))
				.WhereIf(!string.IsNullOrWhiteSpace(input.RefKey1), e =&gt; e.RefKey1.Contains(input.RefKey1))
				.WhereIf(!string.IsNullOrWhiteSpace(input.RefKey2), e =&gt; e.RefKey2.Contains(input.RefKey2))
				.WhereIf(!string.IsNullOrWhiteSpace(input.RefKey3), e =&gt; e.RefKey3.Contains(input.RefKey3))
				.WhereIf(!string.IsNullOrWhiteSpace(input.EarmarkFund), e =&gt; e.EarmarkFund.Contains(input.EarmarkFund))
				.WhereIf(!string.IsNullOrWhiteSpace(input.EarmarkFundItem), e =&gt; e.EarmarkFundItem.Contains(input.EarmarkFundItem))
				.WhereIf(!string.IsNullOrWhiteSpace(input.MaterialNo), e =&gt; e.MaterialNo.Contains(input.MaterialNo))
				.WhereIf(!string.IsNullOrWhiteSpace(input.MainAssetNumber), e =&gt; e.MainAssetNumber.Contains(input.MainAssetNumber))
				.WhereIf(!string.IsNullOrWhiteSpace(input.AssetSubNumber), e =&gt; e.AssetSubNumber.Contains(input.AssetSubNumber))
				.WhereIf(!string.IsNullOrWhiteSpace(input.TransType), e =&gt; e.TransType.Contains(input.TransType))
				.WhereIf(!string.IsNullOrWhiteSpace(input.EndingOfRecord), e =&gt; e.EndingOfRecord.Contains(input.EndingOfRecord))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50"/>
  <sheetViews>
    <sheetView workbookViewId="0">
      <selection activeCell="C12" sqref="C12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208</v>
      </c>
      <c r="B1" s="39" t="s">
        <v>406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IF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if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IF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if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IF_FQF3MM07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FQF3MM07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fqf3mm07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IF_FQF3MM07Dto, IF_FQF3MM07ServiceProxy } from '@shared/service-proxies/service-proxies';
import { finalize } from 'rxjs/internal/operators/finalize';
import { CreateOrEditFQF3MM07ModalComponent } from './create-or-edit-fqf3mm07-modal.component';
import { DatePipe } from '@angular/common';
import { FileDownloadService } from '@shared/utils/file-download.service';
import ceil from 'lodash-es/ceil';
import { Paginator } from 'primeng/paginator';
@Component({
    templateUrl: './fqf3mm07.component.html',
    styleUrls: ['./fqf3mm07.component.less'],
})
export class FQF3MM07Component extends AppComponentBase implements OnInit {
    @ViewChild('createOrEditModalFQF3MM07', { static: true }) createOrEditModalFQF3MM07:| CreateOrEditFQF3MM07ModalComponent|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IF_FQF3MM07Dto = new IF_FQF3MM07Dto();
    saveSelectedRow: IF_FQF3MM07Dto = new IF_FQF3MM07Dto();
    datas: IF_FQF3MM07Dto = new IF_FQF3MM07Dto();
    isLoading: boolean = false;
    dataParams: GridParams | undefined;
    rowData: any[] = [];
    gridApi!: GridApi;
    rowSelection = 'multiple';
    filter: string = '';
	pipe = new DatePipe('en-US');
	frameworkComponents: FrameworkComponent;
    	recordId : string = '' ; 
	countryCode : string = '' ; 
	companyCode : string = '' ; 
	companyBranch : string = '' ; 
	postingKey : string = '' ; 
	costCenter : string = '' ; 
	documentNo : string = '' ; 
	documentType : string = '' ; 
	documentDate : string = '' ; 
	postingDate : string = '' ; 
	plant
	referenceDocumentNo
	amount
	currency
	order
	glAccount : string = '' ; 
	normalCancelFlag : string = '' ; 
	text : string = '' ; 
	profitCenter : string = '' ; 
	wbs : string = '' ; 
	quantity : string = '' ; 
	baseUnitOfMeasure : string = '' ; 
	amountInLocalCurrency : string = '' ; 
	exchangeRate : string = '' ; 
	refKey1 : string = '' ; 
	refKey2 : string = '' ; 
	refKey3 : string = '' ; 
	earmarkFund
	earmarkFundItem : string = '' ; 
	materialNo : string = '' ; 
	mainAssetNumber : string = '' ; 
	assetSubNumber : string = '' ; 
	transType : string = '' ; 
	endingOfRecord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IF_FQF3MM07ServiceProxy,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this.l('Record Id'),headerTooltip: this.l('Record Id'),field: 'recordId',flex: 1},
			{headerName: this.l('Country Code'),headerTooltip: this.l('Country Code'),field: 'countryCode',flex: 1},
			{headerName: this.l('Company Code'),headerTooltip: this.l('Company Code'),field: 'companyCode',flex: 1},
			{headerName: this.l('Company Branch'),headerTooltip: this.l('Company Branch'),field: 'companyBranch',flex: 1},
			{headerName: this.l('Posting Key'),headerTooltip: this.l('Posting Key'),field: 'postingKey',flex: 1},
			{headerName: this.l('Cost Center'),headerTooltip: this.l('Cost Center'),field: 'costCenter',flex: 1},
			{headerName: this.l('Document No'),headerTooltip: this.l('Document No'),field: 'documentNo',flex: 1},
			{headerName: this.l('Document Type'),headerTooltip: this.l('Document Type'),field: 'documentType',flex: 1},
			{headerName: this.l('Document Date'),headerTooltip: this.l('Document Date'),field: 'documentDate',flex: 1},
			{headerName: this.l('Posting Date'),headerTooltip: this.l('Posting Date'),field: 'postingDate',flex: 1},
			{headerName: this.l('Plant'),headerTooltip: this.l('Plant'),field: 'plant',flex: 1},
			{headerName: this.l('Reference Document No'),headerTooltip: this.l('Reference Document No'),field: 'referenceDocumentNo',flex: 1},
			{headerName: this.l('Amount'),headerTooltip: this.l('Amount'),field: 'amount',flex: 1},
			{headerName: this.l('Currency'),headerTooltip: this.l('Currency'),field: 'currency',flex: 1},
			{headerName: this.l('Order'),headerTooltip: this.l('Order'),field: 'order',flex: 1},
			{headerName: this.l('Gl Account'),headerTooltip: this.l('Gl Account'),field: 'glAccount',flex: 1},
			{headerName: this.l('Normal Cancel Flag'),headerTooltip: this.l('Normal Cancel Flag'),field: 'normalCancelFlag',flex: 1},
			{headerName: this.l('Text'),headerTooltip: this.l('Text'),field: 'text',flex: 1},
			{headerName: this.l('Profit Center'),headerTooltip: this.l('Profit Center'),field: 'profitCenter',flex: 1},
			{headerName: this.l('Wbs'),headerTooltip: this.l('Wbs'),field: 'wbs',flex: 1},
			{headerName: this.l('Quantity'),headerTooltip: this.l('Quantity'),field: 'quantity',flex: 1},
			{headerName: this.l('Base Unit Of Measure'),headerTooltip: this.l('Base Unit Of Measure'),field: 'baseUnitOfMeasure',flex: 1},
			{headerName: this.l('Amount In Local Currency'),headerTooltip: this.l('Amount In Local Currency'),field:  'amountInLocalCurrency', cellClass: ['text-center'], width: 120, cellRenderer: 'agCellButtonComponent',
buttonDefTwo: { text: params =&gt; (params.data?.'amountInLocalCurrency' == 'Y') ? 'Active' : 'Inactive',iconName: 'fa fa-circle',className: params =&gt; (params.data?.'amountInLocalCurrency' == 'Y') ? 'btnActive' : 'btnInActive',},}
			{headerName: this.l('Exchange Rate'),headerTooltip: this.l('Exchange Rate'),field: 'exchangeRate',flex: 1},
			{headerName: this.l('Ref Key 1'),headerTooltip: this.l('Ref Key 1'),field: 'refKey1',flex: 1},
			{headerName: this.l('Ref Key 2'),headerTooltip: this.l('Ref Key 2'),field: 'refKey2',flex: 1},
			{headerName: this.l('Ref Key 3'),headerTooltip: this.l('Ref Key 3'),field: 'refKey3',flex: 1},
			{headerName: this.l('Earmark Fund'),headerTooltip: this.l('Earmark Fund'),field: 'earmarkFund',flex: 1},
			{headerName: this.l('Earmark Fund Item'),headerTooltip: this.l('Earmark Fund Item'),field: 'earmarkFundItem',flex: 1},
			{headerName: this.l('Material No'),headerTooltip: this.l('Material No'),field: 'materialNo',flex: 1},
			{headerName: this.l('Main Asset Number'),headerTooltip: this.l('Main Asset Number'),field: 'mainAssetNumber',flex: 1},
			{headerName: this.l('Asset Sub Number'),headerTooltip: this.l('Asset Sub Number'),field:  'assetSubNumber', cellClass: ['text-center'], width: 120, cellRenderer: 'agCellButtonComponent',
buttonDefTwo: { text: params =&gt; (params.data?.'assetSubNumber' == 'Y') ? 'Active' : 'Inactive',iconName: 'fa fa-circle',className: params =&gt; (params.data?.'assetSubNumber' == 'Y') ? 'btnActive' : 'btnInActive',},}
			{headerName: this.l('Trans Type'),headerTooltip: this.l('Trans Type'),field: 'transType',flex: 1},
			{headerName: this.l('Ending Of Record'),headerTooltip: this.l('Ending Of Record'),field: 'endingOfRecord',flex: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this.recordId,
			this.countryCode,
			this.companyCode,
			this.companyBranch,
			this.postingKey,
			this.costCenter,
			this.documentNo,
			this.documentType,
			this.documentDate,
			this.postingDate,
			this.plant,
			this.referenceDocumentNo,
			this.amount,
			this.currency,
			this.order,
			this.glAccount,
			this.normalCancelFlag,
			this.text,
			this.profitCenter,
			this.wbs,
			this.quantity,
			this.baseUnitOfMeasure,
			this.amountInLocalCurrency,
			this.exchangeRate,
			this.refKey1,
			this.refKey2,
			this.refKey3,
			this.earmarkFund,
			this.earmarkFundItem,
			this.materialNo,
			this.mainAssetNumber,
			this.assetSubNumber,
			this.transType,
			this.endingOfRecord,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this.recordId = '',
		this.countryCode = '',
		this.companyCode = '',
		this.companyBranch = '',
		this.postingKey = '',
		this.costCenter = '',
		this.documentNo = '',
		this.documentType = '',
		this.documentDate = '',
		this.postingDate = '',
		this.plant = '',
		this.referenceDocumentNo = '',
		this.amount = '',
		this.currency = '',
		this.order = '',
		this.glAccount = '',
		this.normalCancelFlag = '',
		this.text = '',
		this.profitCenter = '',
		this.wbs = '',
		this.quantity = '',
		this.baseUnitOfMeasure = '',
		this.amountInLocalCurrency = '',
		this.exchangeRate = '',
		this.refKey1 = '',
		this.refKey2 = '',
		this.refKey3 = '',
		this.earmarkFund = '',
		this.earmarkFundItem = '',
		this.materialNo = '',
		this.mainAssetNumber = '',
		this.assetSubNumber = '',
		this.transType = '',
		this.endingOfRecord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this.recordId,
			this.countryCode,
			this.companyCode,
			this.companyBranch,
			this.postingKey,
			this.costCenter,
			this.documentNo,
			this.documentType,
			this.documentDate,
			this.postingDate,
			this.plant,
			this.referenceDocumentNo,
			this.amount,
			this.currency,
			this.order,
			this.glAccount,
			this.normalCancelFlag,
			this.text,
			this.profitCenter,
			this.wbs,
			this.quantity,
			this.baseUnitOfMeasure,
			this.amountInLocalCurrency,
			this.exchangeRate,
			this.refKey1,
			this.refKey2,
			this.refKey3,
			this.earmarkFund,
			this.earmarkFundItem,
			this.materialNo,
			this.mainAssetNumber,
			this.assetSubNumber,
			this.transType,
			this.endingOfRecord,
			'',
            this.paginationParams.skipCount,
            this.paginationParams.pageSize
        );
    }
    onChangeRowSelection(params: { api: { getSelectedRows: () =&gt; IF_FQF3MM07Dto[] } }) {
        this.saveSelectedRow = params.api.getSelectedRows()[0] ?? new IF_FQF3MM07Dto();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IF_FQF3MM07Dto):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this._service.getFQF3MM07ToExcel(
			this.recordId,
			this.countryCode,
			this.companyCode,
			this.companyBranch,
			this.postingKey,
			this.costCenter,
			this.documentNo,
			this.documentType,
			this.documentDate,
			this.postingDate,
			this.plant,
			this.referenceDocumentNo,
			this.amount,
			this.currency,
			this.order,
			this.glAccount,
			this.normalCancelFlag,
			this.text,
			this.profitCenter,
			this.wbs,
			this.quantity,
			this.baseUnitOfMeasure,
			this.amountInLocalCurrency,
			this.exchangeRate,
			this.refKey1,
			this.refKey2,
			this.refKey3,
			this.earmarkFund,
			this.earmarkFundItem,
			this.materialNo,
			this.mainAssetNumber,
			this.assetSubNumber,
			this.transType,
			this.endingOfRecord,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FQF3MM07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[(ngModel)]='recordId' name='recordId'
									class='form-control' [placeholder]="l('Record Id')"
									type='text' (keyup.enter)='searchDatas()'&gt;
								&lt;/div&gt;
								&lt;div class='input-search'&gt;
									&lt;input [(ngModel)]='countryCode' name='countryCode'
									class='form-control' [placeholder]="l('Country Code')"
									type='text' (keyup.enter)='searchDatas()'&gt;
								&lt;/div&gt;
								&lt;div class='input-search'&gt;
									&lt;input [(ngModel)]='companyCode' name='companyCode'
									class='form-control' [placeholder]="l('Company Code')"
									type='text' (keyup.enter)='searchDatas()'&gt;
								&lt;/div&gt;
								&lt;div class='input-search'&gt;
									&lt;input [(ngModel)]='companyBranch' name='companyBranch'
									class='form-control' [placeholder]="l('Company Branch')"
									type='text' (keyup.enter)='searchDatas()'&gt;
								&lt;/div&gt;
								&lt;div class='input-search'&gt;
									&lt;input [(ngModel)]='postingKey' name='postingKey'
									class='form-control' [placeholder]="l('Posting Key')"
									type='text' (keyup.enter)='searchDatas()'&gt;
								&lt;/div&gt;
								&lt;div class='input-search'&gt;
									&lt;input [(ngModel)]='costCenter' name='costCenter'
									class='form-control' [placeholder]="l('Cost Center')"
									type='text' (keyup.enter)='searchDatas()'&gt;
								&lt;/div&gt;
								&lt;div class='input-search'&gt;
									&lt;input [(ngModel)]='documentNo' name='documentNo'
									class='form-control' [placeholder]="l('Document No')"
									type='text' (keyup.enter)='searchDatas()'&gt;
								&lt;/div&gt;
								&lt;div class='input-search'&gt;
									&lt;input [(ngModel)]='documentType' name='documentType'
									class='form-control' [placeholder]="l('Document Type')"
									type='text' (keyup.enter)='searchDatas()'&gt;
								&lt;/div&gt;
								&lt;div class='input-search'&gt;
									&lt;input [(ngModel)]='documentDate' name='documentDate'
									class='form-control' [placeholder]="l('Document Date')"
									type='text' (keyup.enter)='searchDatas()'&gt;
								&lt;/div&gt;
								&lt;div class='input-search'&gt;
									&lt;input [(ngModel)]='postingDate' name='postingDate'
									class='form-control' [placeholder]="l('Posting Date')"
									type='text' (keyup.enter)='searchDatas()'&gt;
								&lt;/div&gt;
								&lt;div class='input-search'&gt;
									&lt;input [(ngModel)]='glAccount' name='glAccount'
									class='form-control' [placeholder]="l('Gl Account')"
									type='text' (keyup.enter)='searchDatas()'&gt;
								&lt;/div&gt;
								&lt;div class='input-search'&gt;
									&lt;input [(ngModel)]='normalCancelFlag' name='normalCancelFlag'
									class='form-control' [placeholder]="l('Normal Cancel Flag')"
									type='text' (keyup.enter)='searchDatas()'&gt;
								&lt;/div&gt;
								&lt;div class='input-search'&gt;
									&lt;input [(ngModel)]='text' name='text'
									class='form-control' [placeholder]="l('Text')"
									type='text' (keyup.enter)='searchDatas()'&gt;
								&lt;/div&gt;
								&lt;div class='input-search'&gt;
									&lt;input [(ngModel)]='profitCenter' name='profitCenter'
									class='form-control' [placeholder]="l('Profit Center')"
									type='text' (keyup.enter)='searchDatas()'&gt;
								&lt;/div&gt;
								&lt;div class='input-search'&gt;
									&lt;input [(ngModel)]='wbs' name='wbs'
									class='form-control' [placeholder]="l('Wbs')"
									type='text' (keyup.enter)='searchDatas()'&gt;
								&lt;/div&gt;
								&lt;div class='input-search'&gt;
									&lt;input [(ngModel)]='quantity' name='quantity'
									class='form-control' [placeholder]="l('Quantity')"
									type='text' (keyup.enter)='searchDatas()'&gt;
								&lt;/div&gt;
								&lt;div class='input-search'&gt;
									&lt;input [(ngModel)]='baseUnitOfMeasure' name='baseUnitOfMeasure'
									class='form-control' [placeholder]="l('Base Unit Of Measure')"
									type='text' (keyup.enter)='searchDatas()'&gt;
								&lt;/div&gt;
								&lt;div class='input-search'&gt;
									&lt;input [(ngModel)]='amountInLocalCurrency' name='amountInLocalCurrency'
									class='form-control' [placeholder]="l('Amount In Local Currency')"
									type='text' (keyup.enter)='searchDatas()'&gt;
								&lt;/div&gt;
								&lt;div class='input-search'&gt;
									&lt;input [(ngModel)]='exchangeRate' name='exchangeRate'
									class='form-control' [placeholder]="l('Exchange Rate')"
									type='text' (keyup.enter)='searchDatas()'&gt;
								&lt;/div&gt;
								&lt;div class='input-search'&gt;
									&lt;input [(ngModel)]='refKey1' name='refKey1'
									class='form-control' [placeholder]="l('Ref Key 1')"
									type='text' (keyup.enter)='searchDatas()'&gt;
								&lt;/div&gt;
								&lt;div class='input-search'&gt;
									&lt;input [(ngModel)]='refKey2' name='refKey2'
									class='form-control' [placeholder]="l('Ref Key 2')"
									type='text' (keyup.enter)='searchDatas()'&gt;
								&lt;/div&gt;
								&lt;div class='input-search'&gt;
									&lt;input [(ngModel)]='refKey3' name='refKey3'
									class='form-control' [placeholder]="l('Ref Key 3')"
									type='text' (keyup.enter)='searchDatas()'&gt;
								&lt;/div&gt;
								&lt;div class='input-search'&gt;
									&lt;input [(ngModel)]='earmarkFundItem' name='earmarkFundItem'
									class='form-control' [placeholder]="l('Earmark Fund Item')"
									type='text' (keyup.enter)='searchDatas()'&gt;
								&lt;/div&gt;
								&lt;div class='input-search'&gt;
									&lt;input [(ngModel)]='materialNo' name='materialNo'
									class='form-control' [placeholder]="l('Material No')"
									type='text' (keyup.enter)='searchDatas()'&gt;
								&lt;/div&gt;
								&lt;div class='input-search'&gt;
									&lt;input [(ngModel)]='mainAssetNumber' name='mainAssetNumber'
									class='form-control' [placeholder]="l('Main Asset Number')"
									type='text' (keyup.enter)='searchDatas()'&gt;
								&lt;/div&gt;
								&lt;div class='input-search'&gt;
									&lt;input [(ngModel)]='assetSubNumber' name='assetSubNumber'
									class='form-control' [placeholder]="l('Asset Sub Number')"
									type='text' (keyup.enter)='searchDatas()'&gt;
								&lt;/div&gt;
								&lt;div class='input-search'&gt;
									&lt;input [(ngModel)]='transType' name='transType'
									class='form-control' [placeholder]="l('Trans Type')"
									type='text' (keyup.enter)='searchDatas()'&gt;
								&lt;/div&gt;
								&lt;div class='input-search'&gt;
									&lt;input [(ngModel)]='endingOfRecord' name='endingOfRecord'
									class='form-control' [placeholder]="l('Ending Of Record')"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(click)="createOrEditModalFQF3MM07.show()"&gt;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(click)="createOrEditModalFQF3MM07.show(selectedRow)"&gt;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&lt;create-or-edit-fqf3mm07-modal
    #createOrEditModalFQF3MM07
    (modalSave)="callBackDataGrid(dataParams)"
    (modalClose)="onChangeRowSelection(dataParams)"
&gt;
&lt;/create-or-edit-fqf3mm07-modal&gt;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#createOrEditModalFQF3MM07="bs-modal"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FQF3MM07')}}&lt;/h3&gt;
                    &lt;h3 *ngIf="!rowdata.id"&gt;{{('Create New FQF3MM07')}}&lt;/h3&gt;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title'&gt;Record Id&lt;/label&gt;
						&lt;input type='text' class='col-md-10 form-control input-text' name='RecordId' [(ngModel)]='rowdata.recordId'&gt;
					&lt;/div&gt;
					&lt;div class='col-md-12 form-group row'&gt;
						&lt;label class='col-md-2 form-control title'&gt;Country Code&lt;/label&gt;
						&lt;input type='text' class='col-md-10 form-control input-text' name='CountryCode' [(ngModel)]='rowdata.countryCode'&gt;
					&lt;/div&gt;
					&lt;div class='col-md-12 form-group row'&gt;
						&lt;label class='col-md-2 form-control title'&gt;Company Code&lt;/label&gt;
						&lt;input type='text' class='col-md-10 form-control input-text' name='CompanyCode' [(ngModel)]='rowdata.companyCode'&gt;
					&lt;/div&gt;
					&lt;div class='col-md-12 form-group row'&gt;
						&lt;label class='col-md-2 form-control title'&gt;Company Branch&lt;/label&gt;
						&lt;input type='text' class='col-md-10 form-control input-text' name='CompanyBranch' [(ngModel)]='rowdata.companyBranch'&gt;
					&lt;/div&gt;
					&lt;div class='col-md-12 form-group row'&gt;
						&lt;label class='col-md-2 form-control title'&gt;Posting Key&lt;/label&gt;
						&lt;input type='text' class='col-md-10 form-control input-text' name='PostingKey' [(ngModel)]='rowdata.postingKey'&gt;
					&lt;/div&gt;
					&lt;div class='col-md-12 form-group row'&gt;
						&lt;label class='col-md-2 form-control title'&gt;Cost Center&lt;/label&gt;
						&lt;input type='text' class='col-md-10 form-control input-text' name='CostCenter' [(ngModel)]='rowdata.costCenter'&gt;
					&lt;/div&gt;
					&lt;div class='col-md-12 form-group row'&gt;
						&lt;label class='col-md-2 form-control title'&gt;Document No&lt;/label&gt;
						&lt;input type='text' class='col-md-10 form-control input-text' name='DocumentNo' [(ngModel)]='rowdata.documentNo'&gt;
					&lt;/div&gt;
					&lt;div class='col-md-12 form-group row'&gt;
						&lt;label class='col-md-2 form-control title'&gt;Document Type&lt;/label&gt;
						&lt;input type='text' class='col-md-10 form-control input-text' name='DocumentType' [(ngModel)]='rowdata.documentType'&gt;
					&lt;/div&gt;
					&lt;div class='col-md-12 form-group row'&gt;
						&lt;label class='col-md-2 form-control title'&gt;Document Date&lt;/label&gt;
						&lt;input type='text' class='col-md-10 form-control input-text' name='DocumentDate' [(ngModel)]='rowdata.documentDate'&gt;
					&lt;/div&gt;
					&lt;div class='col-md-12 form-group row'&gt;
						&lt;label class='col-md-2 form-control title'&gt;Posting Date&lt;/label&gt;
						&lt;input type='text' class='col-md-10 form-control input-text' name='PostingDate' [(ngModel)]='rowdata.postingDate'&gt;
					&lt;/div&gt;
					&lt;div class='col-md-12 form-group row'&gt;
						&lt;label class='col-md-2 form-control title'&gt;Gl Account&lt;/label&gt;
						&lt;input type='text' class='col-md-10 form-control input-text' name='GlAccount' [(ngModel)]='rowdata.glAccount'&gt;
					&lt;/div&gt;
					&lt;div class='col-md-12 form-group row'&gt;
						&lt;label class='col-md-2 form-control title'&gt;Normal Cancel Flag&lt;/label&gt;
						&lt;input type='text' class='col-md-10 form-control input-text' name='NormalCancelFlag' [(ngModel)]='rowdata.normalCancelFlag'&gt;
					&lt;/div&gt;
					&lt;div class='col-md-12 form-group row'&gt;
						&lt;label class='col-md-2 form-control title'&gt;Text&lt;/label&gt;
						&lt;input type='text' class='col-md-10 form-control input-text' name='Text' [(ngModel)]='rowdata.text'&gt;
					&lt;/div&gt;
					&lt;div class='col-md-12 form-group row'&gt;
						&lt;label class='col-md-2 form-control title'&gt;Profit Center&lt;/label&gt;
						&lt;input type='text' class='col-md-10 form-control input-text' name='ProfitCenter' [(ngModel)]='rowdata.profitCenter'&gt;
					&lt;/div&gt;
					&lt;div class='col-md-12 form-group row'&gt;
						&lt;label class='col-md-2 form-control title'&gt;Wbs&lt;/label&gt;
						&lt;input type='text' class='col-md-10 form-control input-text' name='Wbs' [(ngModel)]='rowdata.wbs'&gt;
					&lt;/div&gt;
					&lt;div class='col-md-12 form-group row'&gt;
						&lt;label class='col-md-2 form-control title'&gt;Quantity&lt;/label&gt;
						&lt;input type='text' class='col-md-10 form-control input-text' name='Quantity' [(ngModel)]='rowdata.quantity'&gt;
					&lt;/div&gt;
					&lt;div class='col-md-12 form-group row'&gt;
						&lt;label class='col-md-2 form-control title'&gt;Base Unit Of Measure&lt;/label&gt;
						&lt;input type='text' class='col-md-10 form-control input-text' name='BaseUnitOfMeasure' [(ngModel)]='rowdata.baseUnitOfMeasure'&gt;
					&lt;/div&gt;
					&lt;div class='col-md-12 form-group row'&gt;
						&lt;label class='col-md-2 form-control title'&gt;Amount In Local Currency&lt;/label&gt;
						&lt;new-checkbox [(ngModel)]='_amountInLocalCurrency' name='amountInLocalCurrency' className='col-md-10' &gt; &lt;/new-checkbox&gt;
					&lt;/div&gt;
					&lt;div class='col-md-12 form-group row'&gt;
						&lt;label class='col-md-2 form-control title'&gt;Exchange Rate&lt;/label&gt;
						&lt;input type='text' class='col-md-10 form-control input-text' name='ExchangeRate' [(ngModel)]='rowdata.exchangeRate'&gt;
					&lt;/div&gt;
					&lt;div class='col-md-12 form-group row'&gt;
						&lt;label class='col-md-2 form-control title'&gt;Ref Key 1&lt;/label&gt;
						&lt;input type='text' class='col-md-10 form-control input-text' name='RefKey1' [(ngModel)]='rowdata.refKey1'&gt;
					&lt;/div&gt;
					&lt;div class='col-md-12 form-group row'&gt;
						&lt;label class='col-md-2 form-control title'&gt;Ref Key 2&lt;/label&gt;
						&lt;input type='text' class='col-md-10 form-control input-text' name='RefKey2' [(ngModel)]='rowdata.refKey2'&gt;
					&lt;/div&gt;
					&lt;div class='col-md-12 form-group row'&gt;
						&lt;label class='col-md-2 form-control title'&gt;Ref Key 3&lt;/label&gt;
						&lt;input type='text' class='col-md-10 form-control input-text' name='RefKey3' [(ngModel)]='rowdata.refKey3'&gt;
					&lt;/div&gt;
					&lt;div class='col-md-12 form-group row'&gt;
						&lt;label class='col-md-2 form-control title'&gt;Earmark Fund Item&lt;/label&gt;
						&lt;input type='text' class='col-md-10 form-control input-text' name='EarmarkFundItem' [(ngModel)]='rowdata.earmarkFundItem'&gt;
					&lt;/div&gt;
					&lt;div class='col-md-12 form-group row'&gt;
						&lt;label class='col-md-2 form-control title'&gt;Material No&lt;/label&gt;
						&lt;input type='text' class='col-md-10 form-control input-text' name='MaterialNo' [(ngModel)]='rowdata.materialNo'&gt;
					&lt;/div&gt;
					&lt;div class='col-md-12 form-group row'&gt;
						&lt;label class='col-md-2 form-control title'&gt;Main Asset Number&lt;/label&gt;
						&lt;input type='text' class='col-md-10 form-control input-text' name='MainAssetNumber' [(ngModel)]='rowdata.mainAssetNumber'&gt;
					&lt;/div&gt;
					&lt;div class='col-md-12 form-group row'&gt;
						&lt;label class='col-md-2 form-control title'&gt;Asset Sub Number&lt;/label&gt;
						&lt;new-checkbox [(ngModel)]='_assetSubNumber' name='assetSubNumber' className='col-md-10' &gt; &lt;/new-checkbox&gt;
					&lt;/div&gt;
					&lt;div class='col-md-12 form-group row'&gt;
						&lt;label class='col-md-2 form-control title'&gt;Trans Type&lt;/label&gt;
						&lt;input type='text' class='col-md-10 form-control input-text' name='TransType' [(ngModel)]='rowdata.transType'&gt;
					&lt;/div&gt;
					&lt;div class='col-md-12 form-group row'&gt;
						&lt;label class='col-md-2 form-control title'&gt;Ending Of Record&lt;/label&gt;
						&lt;input type='text' class='col-md-10 form-control input-text' name='EndingOfRecord' [(ngModel)]='rowdata.endingOfRecord'&gt;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CreateOrEditIF_FQF3MM07Dto, IF_FQF3MM07ServiceProxy } from '@shared/service-proxies/service-proxies';
import { BsDatepickerDirective } from 'ngx-bootstrap/datepicker';
@Component({
    selector: 'create-or-edit-fqf3mm07-modal',
    templateUrl: './create-or-edit-fqf3mm07-modal.component.html',
    styleUrls: ['./create-or-edit-fqf3mm07-modal.component.less']
    })
export class CreateOrEditFQF3MM07ModalComponent extends AppComponentBase {
    @ViewChild('createOrEditModalFQF3MM07',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CreateOrEditIF_FQF3MM07Dto = new CreateOrEditIF_FQF3MM07Dto();
    active: boolean = false;
    saving: boolean = false;
    _amountInLocalCurrency
assetSubNumber
: boolean;
    constructor(
        injector: Injector,
        private _mstwptFQF3MM07Service: IF_FQF3MM07ServiceProxy,
    ) 
    {
        super(injector);
    }
    show(rowdata?: CreateOrEditIF_FQF3MM07Dto): void {
        if (!rowdata) this.rowdata = new CreateOrEditIF_FQF3MM07Dto();
        else this.rowdata = rowdata;
        this._amountInLocalCurrency
assetSubNumber
 = (this.rowdata.amountInLocalCurrency
assetSubNumber
 == "N")? false: true;
        this.active = true;
        this.modal.show();
    } 
    changeActive(event){
        this._amountInLocalCurrency
assetSubNumber
 = event.target.checked;
    }
    save(): void {
    this.saving = true; 
    this.rowdata.amountInLocalCurrency
assetSubNumber
 = (this._amountInLocalCurrency
assetSubNumber
 == true) ? 'Y' : 'N'
    this._mstwptFQF3MM07Service.createOrEdit(this.rowdata)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FQF3MM07RoutingModule } from './fqf3mm07-routing.module';
import { FQF3MM07Component } from './fqf3mm07.component';
import { CreateOrEditFQF3MM07ModalComponent } from './create-or-edit-fqf3mm07-modal.component';
@NgModule({
    declarations: [
       FQF3MM07Component, 
        CreateOrEditFQF3MM07ModalComponent
    ],
    imports: [
        AppSharedModule, FQF3MM07RoutingModule]
})
export class FQF3MM07Module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FQF3MM07Component } from './fqf3mm07.component';
const routes: Routes = [{
    path: '',
    component: FQF3MM07Component,
    pathMatch: 'full'
}];
@NgModule({
    imports: [RouterModule.forChild(routes)],
    exports: [RouterModule],
})
export class FQF3MM07RoutingModule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AppMenuItem("FQF3MM07", "Pages.IF.IF.FQF3MM07", "flaticon-book",   "/app/main/if/if/fqf3mm07"),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'if/if/fqf3mm07',
    loadChildren: () =&gt; import('./if/if/fqf3mm07/fqf3mm07.module').then(m =&gt; m.FQF3MM07Module),
    data: { permission: 'Pages.IF.IF.FQF3MM07' }
},</v>
      </c>
      <c r="R10" s="47" t="str">
        <f>SUBSTITUTE(R9,"MstWptCalendar",$B$6)</f>
        <v>ApiServiceProxies.IF_FQF3MM07ServiceProxy,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H48</v>
      </c>
      <c r="I12" s="28" t="str">
        <f>"I"&amp;COUNTA($A:$A)</f>
        <v>I48</v>
      </c>
      <c r="J12" s="28"/>
      <c r="K12" s="28" t="str">
        <f>"K"&amp;COUNTA($A:$A)</f>
        <v>K48</v>
      </c>
      <c r="L12" s="28" t="str">
        <f>"L"&amp;COUNTA($A:$A)</f>
        <v>L48</v>
      </c>
      <c r="M12" s="28"/>
      <c r="N12" s="28"/>
      <c r="O12" s="28"/>
      <c r="P12" s="28"/>
      <c r="Q12" s="28"/>
      <c r="R12" s="28"/>
      <c r="S12" s="28" t="str">
        <f>"S"&amp;COUNTA($A:$A)</f>
        <v>S48</v>
      </c>
      <c r="T12" s="28" t="str">
        <f>"T"&amp;COUNTA($A:$A)</f>
        <v>T48</v>
      </c>
      <c r="U12" s="28" t="str">
        <f>"U"&amp;COUNTA($A:$A)</f>
        <v>U48</v>
      </c>
      <c r="V12" s="28" t="str">
        <f>"V"&amp;COUNTA($A:$A)</f>
        <v>V48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this.l('Record Id'),headerTooltip: this.l('Record Id'),field: 'recordId',flex: 1},
			{headerName: this.l('Country Code'),headerTooltip: this.l('Country Code'),field: 'countryCode',flex: 1},
			{headerName: this.l('Company Code'),headerTooltip: this.l('Company Code'),field: 'companyCode',flex: 1},
			{headerName: this.l('Company Branch'),headerTooltip: this.l('Company Branch'),field: 'companyBranch',flex: 1},
			{headerName: this.l('Posting Key'),headerTooltip: this.l('Posting Key'),field: 'postingKey',flex: 1},
			{headerName: this.l('Cost Center'),headerTooltip: this.l('Cost Center'),field: 'costCenter',flex: 1},
			{headerName: this.l('Document No'),headerTooltip: this.l('Document No'),field: 'documentNo',flex: 1},
			{headerName: this.l('Document Type'),headerTooltip: this.l('Document Type'),field: 'documentType',flex: 1},
			{headerName: this.l('Document Date'),headerTooltip: this.l('Document Date'),field: 'documentDate',flex: 1},
			{headerName: this.l('Posting Date'),headerTooltip: this.l('Posting Date'),field: 'postingDate',flex: 1},
			{headerName: this.l('Plant'),headerTooltip: this.l('Plant'),field: 'plant',flex: 1},
			{headerName: this.l('Reference Document No'),headerTooltip: this.l('Reference Document No'),field: 'referenceDocumentNo',flex: 1},
			{headerName: this.l('Amount'),headerTooltip: this.l('Amount'),field: 'amount',flex: 1},
			{headerName: this.l('Currency'),headerTooltip: this.l('Currency'),field: 'currency',flex: 1},
			{headerName: this.l('Order'),headerTooltip: this.l('Order'),field: 'order',flex: 1},
			{headerName: this.l('Gl Account'),headerTooltip: this.l('Gl Account'),field: 'glAccount',flex: 1},
			{headerName: this.l('Normal Cancel Flag'),headerTooltip: this.l('Normal Cancel Flag'),field: 'normalCancelFlag',flex: 1},
			{headerName: this.l('Text'),headerTooltip: this.l('Text'),field: 'text',flex: 1},
			{headerName: this.l('Profit Center'),headerTooltip: this.l('Profit Center'),field: 'profitCenter',flex: 1},
			{headerName: this.l('Wbs'),headerTooltip: this.l('Wbs'),field: 'wbs',flex: 1},
			{headerName: this.l('Quantity'),headerTooltip: this.l('Quantity'),field: 'quantity',flex: 1},
			{headerName: this.l('Base Unit Of Measure'),headerTooltip: this.l('Base Unit Of Measure'),field: 'baseUnitOfMeasure',flex: 1},
			{headerName: this.l('Amount In Local Currency'),headerTooltip: this.l('Amount In Local Currency'),field:  'amountInLocalCurrency', cellClass: ['text-center'], width: 120, cellRenderer: 'agCellButtonComponent',
buttonDefTwo: { text: params =&gt; (params.data?.'amountInLocalCurrency' == 'Y') ? 'Active' : 'Inactive',iconName: 'fa fa-circle',className: params =&gt; (params.data?.'amountInLocalCurrency' == 'Y') ? 'btnActive' : 'btnInActive',},}
			{headerName: this.l('Exchange Rate'),headerTooltip: this.l('Exchange Rate'),field: 'exchangeRate',flex: 1},
			{headerName: this.l('Ref Key 1'),headerTooltip: this.l('Ref Key 1'),field: 'refKey1',flex: 1},
			{headerName: this.l('Ref Key 2'),headerTooltip: this.l('Ref Key 2'),field: 'refKey2',flex: 1},
			{headerName: this.l('Ref Key 3'),headerTooltip: this.l('Ref Key 3'),field: 'refKey3',flex: 1},
			{headerName: this.l('Earmark Fund'),headerTooltip: this.l('Earmark Fund'),field: 'earmarkFund',flex: 1},
			{headerName: this.l('Earmark Fund Item'),headerTooltip: this.l('Earmark Fund Item'),field: 'earmarkFundItem',flex: 1},
			{headerName: this.l('Material No'),headerTooltip: this.l('Material No'),field: 'materialNo',flex: 1},
			{headerName: this.l('Main Asset Number'),headerTooltip: this.l('Main Asset Number'),field: 'mainAssetNumber',flex: 1},
			{headerName: this.l('Asset Sub Number'),headerTooltip: this.l('Asset Sub Number'),field:  'assetSubNumber', cellClass: ['text-center'], width: 120, cellRenderer: 'agCellButtonComponent',
buttonDefTwo: { text: params =&gt; (params.data?.'assetSubNumber' == 'Y') ? 'Active' : 'Inactive',iconName: 'fa fa-circle',className: params =&gt; (params.data?.'assetSubNumber' == 'Y') ? 'btnActive' : 'btnInActive',},}
			{headerName: this.l('Trans Type'),headerTooltip: this.l('Trans Type'),field: 'transType',flex: 1},
			{headerName: this.l('Ending Of Record'),headerTooltip: this.l('Ending Of Record'),field: 'endingOfRecord',flex: 1},</v>
      </c>
      <c r="I13" s="35" t="str">
        <f ca="1">TEXTJOIN2("
",TRUE,INDIRECT(I11):INDIRECT(I12))</f>
        <v xml:space="preserve">								&lt;div class='input-search'&gt;
									&lt;input [(ngModel)]='recordId' name='recordId'
									class='form-control' [placeholder]="l('Record Id')"
									type='text' (keyup.enter)='searchDatas()'&gt;
								&lt;/div&gt;
								&lt;div class='input-search'&gt;
									&lt;input [(ngModel)]='countryCode' name='countryCode'
									class='form-control' [placeholder]="l('Country Code')"
									type='text' (keyup.enter)='searchDatas()'&gt;
								&lt;/div&gt;
								&lt;div class='input-search'&gt;
									&lt;input [(ngModel)]='companyCode' name='companyCode'
									class='form-control' [placeholder]="l('Company Code')"
									type='text' (keyup.enter)='searchDatas()'&gt;
								&lt;/div&gt;
								&lt;div class='input-search'&gt;
									&lt;input [(ngModel)]='companyBranch' name='companyBranch'
									class='form-control' [placeholder]="l('Company Branch')"
									type='text' (keyup.enter)='searchDatas()'&gt;
								&lt;/div&gt;
								&lt;div class='input-search'&gt;
									&lt;input [(ngModel)]='postingKey' name='postingKey'
									class='form-control' [placeholder]="l('Posting Key')"
									type='text' (keyup.enter)='searchDatas()'&gt;
								&lt;/div&gt;
								&lt;div class='input-search'&gt;
									&lt;input [(ngModel)]='costCenter' name='costCenter'
									class='form-control' [placeholder]="l('Cost Center')"
									type='text' (keyup.enter)='searchDatas()'&gt;
								&lt;/div&gt;
								&lt;div class='input-search'&gt;
									&lt;input [(ngModel)]='documentNo' name='documentNo'
									class='form-control' [placeholder]="l('Document No')"
									type='text' (keyup.enter)='searchDatas()'&gt;
								&lt;/div&gt;
								&lt;div class='input-search'&gt;
									&lt;input [(ngModel)]='documentType' name='documentType'
									class='form-control' [placeholder]="l('Document Type')"
									type='text' (keyup.enter)='searchDatas()'&gt;
								&lt;/div&gt;
								&lt;div class='input-search'&gt;
									&lt;input [(ngModel)]='documentDate' name='documentDate'
									class='form-control' [placeholder]="l('Document Date')"
									type='text' (keyup.enter)='searchDatas()'&gt;
								&lt;/div&gt;
								&lt;div class='input-search'&gt;
									&lt;input [(ngModel)]='postingDate' name='postingDate'
									class='form-control' [placeholder]="l('Posting Date')"
									type='text' (keyup.enter)='searchDatas()'&gt;
								&lt;/div&gt;
								&lt;div class='input-search'&gt;
									&lt;input [(ngModel)]='glAccount' name='glAccount'
									class='form-control' [placeholder]="l('Gl Account')"
									type='text' (keyup.enter)='searchDatas()'&gt;
								&lt;/div&gt;
								&lt;div class='input-search'&gt;
									&lt;input [(ngModel)]='normalCancelFlag' name='normalCancelFlag'
									class='form-control' [placeholder]="l('Normal Cancel Flag')"
									type='text' (keyup.enter)='searchDatas()'&gt;
								&lt;/div&gt;
								&lt;div class='input-search'&gt;
									&lt;input [(ngModel)]='text' name='text'
									class='form-control' [placeholder]="l('Text')"
									type='text' (keyup.enter)='searchDatas()'&gt;
								&lt;/div&gt;
								&lt;div class='input-search'&gt;
									&lt;input [(ngModel)]='profitCenter' name='profitCenter'
									class='form-control' [placeholder]="l('Profit Center')"
									type='text' (keyup.enter)='searchDatas()'&gt;
								&lt;/div&gt;
								&lt;div class='input-search'&gt;
									&lt;input [(ngModel)]='wbs' name='wbs'
									class='form-control' [placeholder]="l('Wbs')"
									type='text' (keyup.enter)='searchDatas()'&gt;
								&lt;/div&gt;
								&lt;div class='input-search'&gt;
									&lt;input [(ngModel)]='quantity' name='quantity'
									class='form-control' [placeholder]="l('Quantity')"
									type='text' (keyup.enter)='searchDatas()'&gt;
								&lt;/div&gt;
								&lt;div class='input-search'&gt;
									&lt;input [(ngModel)]='baseUnitOfMeasure' name='baseUnitOfMeasure'
									class='form-control' [placeholder]="l('Base Unit Of Measure')"
									type='text' (keyup.enter)='searchDatas()'&gt;
								&lt;/div&gt;
								&lt;div class='input-search'&gt;
									&lt;input [(ngModel)]='amountInLocalCurrency' name='amountInLocalCurrency'
									class='form-control' [placeholder]="l('Amount In Local Currency')"
									type='text' (keyup.enter)='searchDatas()'&gt;
								&lt;/div&gt;
								&lt;div class='input-search'&gt;
									&lt;input [(ngModel)]='exchangeRate' name='exchangeRate'
									class='form-control' [placeholder]="l('Exchange Rate')"
									type='text' (keyup.enter)='searchDatas()'&gt;
								&lt;/div&gt;
								&lt;div class='input-search'&gt;
									&lt;input [(ngModel)]='refKey1' name='refKey1'
									class='form-control' [placeholder]="l('Ref Key 1')"
									type='text' (keyup.enter)='searchDatas()'&gt;
								&lt;/div&gt;
								&lt;div class='input-search'&gt;
									&lt;input [(ngModel)]='refKey2' name='refKey2'
									class='form-control' [placeholder]="l('Ref Key 2')"
									type='text' (keyup.enter)='searchDatas()'&gt;
								&lt;/div&gt;
								&lt;div class='input-search'&gt;
									&lt;input [(ngModel)]='refKey3' name='refKey3'
									class='form-control' [placeholder]="l('Ref Key 3')"
									type='text' (keyup.enter)='searchDatas()'&gt;
								&lt;/div&gt;
								&lt;div class='input-search'&gt;
									&lt;input [(ngModel)]='earmarkFundItem' name='earmarkFundItem'
									class='form-control' [placeholder]="l('Earmark Fund Item')"
									type='text' (keyup.enter)='searchDatas()'&gt;
								&lt;/div&gt;
								&lt;div class='input-search'&gt;
									&lt;input [(ngModel)]='materialNo' name='materialNo'
									class='form-control' [placeholder]="l('Material No')"
									type='text' (keyup.enter)='searchDatas()'&gt;
								&lt;/div&gt;
								&lt;div class='input-search'&gt;
									&lt;input [(ngModel)]='mainAssetNumber' name='mainAssetNumber'
									class='form-control' [placeholder]="l('Main Asset Number')"
									type='text' (keyup.enter)='searchDatas()'&gt;
								&lt;/div&gt;
								&lt;div class='input-search'&gt;
									&lt;input [(ngModel)]='assetSubNumber' name='assetSubNumber'
									class='form-control' [placeholder]="l('Asset Sub Number')"
									type='text' (keyup.enter)='searchDatas()'&gt;
								&lt;/div&gt;
								&lt;div class='input-search'&gt;
									&lt;input [(ngModel)]='transType' name='transType'
									class='form-control' [placeholder]="l('Trans Type')"
									type='text' (keyup.enter)='searchDatas()'&gt;
								&lt;/div&gt;
								&lt;div class='input-search'&gt;
									&lt;input [(ngModel)]='endingOfRecord' name='endingOfRecord'
									class='form-control' [placeholder]="l('Ending Of Record')"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title'&gt;Record Id&lt;/label&gt;
						&lt;input type='text' class='col-md-10 form-control input-text' name='RecordId' [(ngModel)]='rowdata.recordId'&gt;
					&lt;/div&gt;
					&lt;div class='col-md-12 form-group row'&gt;
						&lt;label class='col-md-2 form-control title'&gt;Country Code&lt;/label&gt;
						&lt;input type='text' class='col-md-10 form-control input-text' name='CountryCode' [(ngModel)]='rowdata.countryCode'&gt;
					&lt;/div&gt;
					&lt;div class='col-md-12 form-group row'&gt;
						&lt;label class='col-md-2 form-control title'&gt;Company Code&lt;/label&gt;
						&lt;input type='text' class='col-md-10 form-control input-text' name='CompanyCode' [(ngModel)]='rowdata.companyCode'&gt;
					&lt;/div&gt;
					&lt;div class='col-md-12 form-group row'&gt;
						&lt;label class='col-md-2 form-control title'&gt;Company Branch&lt;/label&gt;
						&lt;input type='text' class='col-md-10 form-control input-text' name='CompanyBranch' [(ngModel)]='rowdata.companyBranch'&gt;
					&lt;/div&gt;
					&lt;div class='col-md-12 form-group row'&gt;
						&lt;label class='col-md-2 form-control title'&gt;Posting Key&lt;/label&gt;
						&lt;input type='text' class='col-md-10 form-control input-text' name='PostingKey' [(ngModel)]='rowdata.postingKey'&gt;
					&lt;/div&gt;
					&lt;div class='col-md-12 form-group row'&gt;
						&lt;label class='col-md-2 form-control title'&gt;Cost Center&lt;/label&gt;
						&lt;input type='text' class='col-md-10 form-control input-text' name='CostCenter' [(ngModel)]='rowdata.costCenter'&gt;
					&lt;/div&gt;
					&lt;div class='col-md-12 form-group row'&gt;
						&lt;label class='col-md-2 form-control title'&gt;Document No&lt;/label&gt;
						&lt;input type='text' class='col-md-10 form-control input-text' name='DocumentNo' [(ngModel)]='rowdata.documentNo'&gt;
					&lt;/div&gt;
					&lt;div class='col-md-12 form-group row'&gt;
						&lt;label class='col-md-2 form-control title'&gt;Document Type&lt;/label&gt;
						&lt;input type='text' class='col-md-10 form-control input-text' name='DocumentType' [(ngModel)]='rowdata.documentType'&gt;
					&lt;/div&gt;
					&lt;div class='col-md-12 form-group row'&gt;
						&lt;label class='col-md-2 form-control title'&gt;Document Date&lt;/label&gt;
						&lt;input type='text' class='col-md-10 form-control input-text' name='DocumentDate' [(ngModel)]='rowdata.documentDate'&gt;
					&lt;/div&gt;
					&lt;div class='col-md-12 form-group row'&gt;
						&lt;label class='col-md-2 form-control title'&gt;Posting Date&lt;/label&gt;
						&lt;input type='text' class='col-md-10 form-control input-text' name='PostingDate' [(ngModel)]='rowdata.postingDate'&gt;
					&lt;/div&gt;
					&lt;div class='col-md-12 form-group row'&gt;
						&lt;label class='col-md-2 form-control title'&gt;Gl Account&lt;/label&gt;
						&lt;input type='text' class='col-md-10 form-control input-text' name='GlAccount' [(ngModel)]='rowdata.glAccount'&gt;
					&lt;/div&gt;
					&lt;div class='col-md-12 form-group row'&gt;
						&lt;label class='col-md-2 form-control title'&gt;Normal Cancel Flag&lt;/label&gt;
						&lt;input type='text' class='col-md-10 form-control input-text' name='NormalCancelFlag' [(ngModel)]='rowdata.normalCancelFlag'&gt;
					&lt;/div&gt;
					&lt;div class='col-md-12 form-group row'&gt;
						&lt;label class='col-md-2 form-control title'&gt;Text&lt;/label&gt;
						&lt;input type='text' class='col-md-10 form-control input-text' name='Text' [(ngModel)]='rowdata.text'&gt;
					&lt;/div&gt;
					&lt;div class='col-md-12 form-group row'&gt;
						&lt;label class='col-md-2 form-control title'&gt;Profit Center&lt;/label&gt;
						&lt;input type='text' class='col-md-10 form-control input-text' name='ProfitCenter' [(ngModel)]='rowdata.profitCenter'&gt;
					&lt;/div&gt;
					&lt;div class='col-md-12 form-group row'&gt;
						&lt;label class='col-md-2 form-control title'&gt;Wbs&lt;/label&gt;
						&lt;input type='text' class='col-md-10 form-control input-text' name='Wbs' [(ngModel)]='rowdata.wbs'&gt;
					&lt;/div&gt;
					&lt;div class='col-md-12 form-group row'&gt;
						&lt;label class='col-md-2 form-control title'&gt;Quantity&lt;/label&gt;
						&lt;input type='text' class='col-md-10 form-control input-text' name='Quantity' [(ngModel)]='rowdata.quantity'&gt;
					&lt;/div&gt;
					&lt;div class='col-md-12 form-group row'&gt;
						&lt;label class='col-md-2 form-control title'&gt;Base Unit Of Measure&lt;/label&gt;
						&lt;input type='text' class='col-md-10 form-control input-text' name='BaseUnitOfMeasure' [(ngModel)]='rowdata.baseUnitOfMeasure'&gt;
					&lt;/div&gt;
					&lt;div class='col-md-12 form-group row'&gt;
						&lt;label class='col-md-2 form-control title'&gt;Amount In Local Currency&lt;/label&gt;
						&lt;new-checkbox [(ngModel)]='_amountInLocalCurrency' name='amountInLocalCurrency' className='col-md-10' &gt; &lt;/new-checkbox&gt;
					&lt;/div&gt;
					&lt;div class='col-md-12 form-group row'&gt;
						&lt;label class='col-md-2 form-control title'&gt;Exchange Rate&lt;/label&gt;
						&lt;input type='text' class='col-md-10 form-control input-text' name='ExchangeRate' [(ngModel)]='rowdata.exchangeRate'&gt;
					&lt;/div&gt;
					&lt;div class='col-md-12 form-group row'&gt;
						&lt;label class='col-md-2 form-control title'&gt;Ref Key 1&lt;/label&gt;
						&lt;input type='text' class='col-md-10 form-control input-text' name='RefKey1' [(ngModel)]='rowdata.refKey1'&gt;
					&lt;/div&gt;
					&lt;div class='col-md-12 form-group row'&gt;
						&lt;label class='col-md-2 form-control title'&gt;Ref Key 2&lt;/label&gt;
						&lt;input type='text' class='col-md-10 form-control input-text' name='RefKey2' [(ngModel)]='rowdata.refKey2'&gt;
					&lt;/div&gt;
					&lt;div class='col-md-12 form-group row'&gt;
						&lt;label class='col-md-2 form-control title'&gt;Ref Key 3&lt;/label&gt;
						&lt;input type='text' class='col-md-10 form-control input-text' name='RefKey3' [(ngModel)]='rowdata.refKey3'&gt;
					&lt;/div&gt;
					&lt;div class='col-md-12 form-group row'&gt;
						&lt;label class='col-md-2 form-control title'&gt;Earmark Fund Item&lt;/label&gt;
						&lt;input type='text' class='col-md-10 form-control input-text' name='EarmarkFundItem' [(ngModel)]='rowdata.earmarkFundItem'&gt;
					&lt;/div&gt;
					&lt;div class='col-md-12 form-group row'&gt;
						&lt;label class='col-md-2 form-control title'&gt;Material No&lt;/label&gt;
						&lt;input type='text' class='col-md-10 form-control input-text' name='MaterialNo' [(ngModel)]='rowdata.materialNo'&gt;
					&lt;/div&gt;
					&lt;div class='col-md-12 form-group row'&gt;
						&lt;label class='col-md-2 form-control title'&gt;Main Asset Number&lt;/label&gt;
						&lt;input type='text' class='col-md-10 form-control input-text' name='MainAssetNumber' [(ngModel)]='rowdata.mainAssetNumber'&gt;
					&lt;/div&gt;
					&lt;div class='col-md-12 form-group row'&gt;
						&lt;label class='col-md-2 form-control title'&gt;Asset Sub Number&lt;/label&gt;
						&lt;new-checkbox [(ngModel)]='_assetSubNumber' name='assetSubNumber' className='col-md-10' &gt; &lt;/new-checkbox&gt;
					&lt;/div&gt;
					&lt;div class='col-md-12 form-group row'&gt;
						&lt;label class='col-md-2 form-control title'&gt;Trans Type&lt;/label&gt;
						&lt;input type='text' class='col-md-10 form-control input-text' name='TransType' [(ngModel)]='rowdata.transType'&gt;
					&lt;/div&gt;
					&lt;div class='col-md-12 form-group row'&gt;
						&lt;label class='col-md-2 form-control title'&gt;Ending Of Record&lt;/label&gt;
						&lt;input type='text' class='col-md-10 form-control input-text' name='EndingOfRecord' [(ngModel)]='rowdata.endingOfRecord'&gt;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recordId : string = '' ; 
	countryCode : string = '' ; 
	companyCode : string = '' ; 
	companyBranch : string = '' ; 
	postingKey : string = '' ; 
	costCenter : string = '' ; 
	documentNo : string = '' ; 
	documentType : string = '' ; 
	documentDate : string = '' ; 
	postingDate : string = '' ; 
	plant
	referenceDocumentNo
	amount
	currency
	order
	glAccount : string = '' ; 
	normalCancelFlag : string = '' ; 
	text : string = '' ; 
	profitCenter : string = '' ; 
	wbs : string = '' ; 
	quantity : string = '' ; 
	baseUnitOfMeasure : string = '' ; 
	amountInLocalCurrency : string = '' ; 
	exchangeRate : string = '' ; 
	refKey1 : string = '' ; 
	refKey2 : string = '' ; 
	refKey3 : string = '' ; 
	earmarkFund
	earmarkFundItem : string = '' ; 
	materialNo : string = '' ; 
	mainAssetNumber : string = '' ; 
	assetSubNumber : string = '' ; 
	transType : string = '' ; 
	endingOfRecord : string = '' ; </v>
      </c>
      <c r="T13" s="62" t="str">
        <f ca="1">TEXTJOIN2("
",TRUE,INDIRECT(T11):INDIRECT(T12))</f>
        <v xml:space="preserve">			this.recordId,
			this.countryCode,
			this.companyCode,
			this.companyBranch,
			this.postingKey,
			this.costCenter,
			this.documentNo,
			this.documentType,
			this.documentDate,
			this.postingDate,
			this.plant,
			this.referenceDocumentNo,
			this.amount,
			this.currency,
			this.order,
			this.glAccount,
			this.normalCancelFlag,
			this.text,
			this.profitCenter,
			this.wbs,
			this.quantity,
			this.baseUnitOfMeasure,
			this.amountInLocalCurrency,
			this.exchangeRate,
			this.refKey1,
			this.refKey2,
			this.refKey3,
			this.earmarkFund,
			this.earmarkFundItem,
			this.materialNo,
			this.mainAssetNumber,
			this.assetSubNumber,
			this.transType,
			this.endingOfRecord,</v>
      </c>
      <c r="U13" s="62" t="str">
        <f ca="1">TEXTJOIN2("
",TRUE,INDIRECT(U11):INDIRECT(U12))</f>
        <v xml:space="preserve">		this.recordId = '',
		this.countryCode = '',
		this.companyCode = '',
		this.companyBranch = '',
		this.postingKey = '',
		this.costCenter = '',
		this.documentNo = '',
		this.documentType = '',
		this.documentDate = '',
		this.postingDate = '',
		this.plant = '',
		this.referenceDocumentNo = '',
		this.amount = '',
		this.currency = '',
		this.order = '',
		this.glAccount = '',
		this.normalCancelFlag = '',
		this.text = '',
		this.profitCenter = '',
		this.wbs = '',
		this.quantity = '',
		this.baseUnitOfMeasure = '',
		this.amountInLocalCurrency = '',
		this.exchangeRate = '',
		this.refKey1 = '',
		this.refKey2 = '',
		this.refKey3 = '',
		this.earmarkFund = '',
		this.earmarkFundItem = '',
		this.materialNo = '',
		this.mainAssetNumber = '',
		this.assetSubNumber = '',
		this.transType = '',
		this.endingOfRecord = '',</v>
      </c>
      <c r="V13" s="28" t="str">
        <f ca="1">TEXTJOIN2("
",TRUE,INDIRECT(V11):INDIRECT(V12))</f>
        <v xml:space="preserve">amountInLocalCurrency
assetSubNumber
</v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fqf3mm07.component.ts</v>
      </c>
      <c r="I14" s="37" t="str">
        <f>B8&amp;".component.html"</f>
        <v>fqf3mm07.component.html</v>
      </c>
      <c r="J14" s="36" t="str">
        <f>B8&amp;".component.less"</f>
        <v>fqf3mm07.component.less</v>
      </c>
      <c r="K14" s="37" t="str">
        <f>"create-or-edit-"&amp;B8&amp;"-modal.component.html"</f>
        <v>create-or-edit-fqf3mm07-modal.component.html</v>
      </c>
      <c r="L14" s="37" t="str">
        <f>"create-or-edit-"&amp;B8&amp;"-modal.component.ts"</f>
        <v>create-or-edit-fqf3mm07-modal.component.ts</v>
      </c>
      <c r="M14" s="37" t="str">
        <f>"create-or-edit-"&amp;B8&amp;"-modal.component.less"</f>
        <v>create-or-edit-fqf3mm07-modal.component.less</v>
      </c>
      <c r="N14" s="37" t="str">
        <f>B8&amp;".module.ts"</f>
        <v>fqf3mm07.module.ts</v>
      </c>
      <c r="O14" s="37" t="str">
        <f>B8&amp;"-routing.module.ts"</f>
        <v>fqf3mm07-routing.module.ts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s="66" t="s">
        <v>365</v>
      </c>
      <c r="B15" s="28" t="str">
        <f t="shared" ref="B15:B47" si="0">SUBSTITUTE(PROPER(A15),"_","")</f>
        <v>RecordId</v>
      </c>
      <c r="C15" s="28" t="str">
        <f t="shared" ref="C15:C47" si="1">SUBSTITUTE(PROPER(A15),"_"," ")</f>
        <v>Record Id</v>
      </c>
      <c r="D15" s="28" t="str">
        <f t="shared" ref="D15:D47" si="2">LOWER(LEFT(B15,1))&amp;RIGHT(B15,LEN(B15) - 1)</f>
        <v>recordId</v>
      </c>
      <c r="E15" s="28" t="str">
        <f>A.Backend!H9</f>
        <v>string</v>
      </c>
      <c r="F15" s="28" t="str">
        <f>A.Backend!G9</f>
        <v>7</v>
      </c>
      <c r="G15" s="28" t="str">
        <f t="shared" ref="G15:G48" si="3">IF(E15="string"," : string = '' ; ",IF(OR(E15="DateTime",E15="TimeSpan")," : any ;",IF(E15="int"," : number = 0 ;","")))</f>
        <v xml:space="preserve"> : string = '' ; </v>
      </c>
      <c r="H15" s="35" t="str">
        <f t="shared" ref="H15:H48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this.l('Record Id'),headerTooltip: this.l('Record Id'),field: 'recordId',flex: 1},</v>
      </c>
      <c r="I15" s="35" t="str">
        <f t="shared" ref="I15:I48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[(ngModel)]='recordId' name='recordId'
									class='form-control' [placeholder]="l('Record Id')"
									type='text' (keyup.enter)='searchDatas()'&gt;
								&lt;/div&gt;</v>
      </c>
      <c r="J15" s="28"/>
      <c r="K15" s="35" t="str">
        <f t="shared" ref="K15:K48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title'&gt;Record Id&lt;/label&gt;
						&lt;input type='text' class='col-md-10 form-control input-text' name='RecordId' [(ngModel)]='rowdata.recordId'&gt;
					&lt;/div&gt;</v>
      </c>
      <c r="L15" s="56" t="str">
        <f t="shared" ref="L15:L47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recordId : string = '' ; </v>
      </c>
      <c r="T15" s="28" t="str">
        <f>REPT(CHAR(9),3)&amp;"this."&amp;D15&amp;","</f>
        <v xml:space="preserve">			this.recordId,</v>
      </c>
      <c r="U15" s="28" t="str">
        <f>IF(E15="int",REPT(CHAR(9),2)&amp;"this."&amp;D15&amp;" = 0,",REPT(CHAR(9),2)&amp;"this."&amp;D15&amp;" = '',")</f>
        <v xml:space="preserve">		this.recordId = '',</v>
      </c>
      <c r="V15" s="28" t="str">
        <f t="shared" ref="V15:V48" si="8">IF(AND(E15="string",F15="1"),D15,"")</f>
        <v/>
      </c>
    </row>
    <row r="16" spans="1:22" ht="18" customHeight="1" x14ac:dyDescent="0.25">
      <c r="A16" s="66" t="s">
        <v>373</v>
      </c>
      <c r="B16" s="28" t="str">
        <f t="shared" ref="B16" si="9">SUBSTITUTE(PROPER(A16),"_","")</f>
        <v>CountryCode</v>
      </c>
      <c r="C16" s="28" t="str">
        <f t="shared" ref="C16" si="10">SUBSTITUTE(PROPER(A16),"_"," ")</f>
        <v>Country Code</v>
      </c>
      <c r="D16" s="28" t="str">
        <f t="shared" ref="D16" si="11">LOWER(LEFT(B16,1))&amp;RIGHT(B16,LEN(B16) - 1)</f>
        <v>countryCode</v>
      </c>
      <c r="E16" s="28" t="str">
        <f>A.Backend!H10</f>
        <v>string</v>
      </c>
      <c r="F16" s="28" t="str">
        <f>A.Backend!G10</f>
        <v>3</v>
      </c>
      <c r="G16" s="28" t="str">
        <f t="shared" si="3"/>
        <v xml:space="preserve"> : string = '' ; </v>
      </c>
      <c r="H16" s="35" t="str">
        <f t="shared" si="4"/>
        <v xml:space="preserve">			{headerName: this.l('Country Code'),headerTooltip: this.l('Country Code'),field: 'countryCode',flex: 1},</v>
      </c>
      <c r="I16" s="35" t="str">
        <f t="shared" si="5"/>
        <v xml:space="preserve">								&lt;div class='input-search'&gt;
									&lt;input [(ngModel)]='countryCode' name='countryCode'
									class='form-control' [placeholder]="l('Country Code')"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title'&gt;Country Code&lt;/label&gt;
						&lt;input type='text' class='col-md-10 form-control input-text' name='CountryCode' [(ngModel)]='rowdata.countryCode'&gt;
					&lt;/div&gt;</v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48" si="13">REPT(CHAR(9),1)&amp;D16&amp;G16</f>
        <v xml:space="preserve">	countryCode : string = '' ; </v>
      </c>
      <c r="T16" s="28" t="str">
        <f t="shared" ref="T16:T48" si="14">REPT(CHAR(9),3)&amp;"this."&amp;D16&amp;","</f>
        <v xml:space="preserve">			this.countryCode,</v>
      </c>
      <c r="U16" s="28" t="str">
        <f t="shared" ref="U16:U48" si="15">IF(E16="int",REPT(CHAR(9),2)&amp;"this."&amp;D16&amp;" = 0,",REPT(CHAR(9),2)&amp;"this."&amp;D16&amp;" = '',")</f>
        <v xml:space="preserve">		this.countryCode = '',</v>
      </c>
      <c r="V16" s="28" t="str">
        <f t="shared" si="8"/>
        <v/>
      </c>
    </row>
    <row r="17" spans="1:22" ht="18" customHeight="1" x14ac:dyDescent="0.25">
      <c r="A17" s="66" t="s">
        <v>366</v>
      </c>
      <c r="B17" s="28" t="str">
        <f>SUBSTITUTE(PROPER(A17),"_","")</f>
        <v>CompanyCode</v>
      </c>
      <c r="C17" s="28" t="str">
        <f>SUBSTITUTE(PROPER(A17),"_"," ")</f>
        <v>Company Code</v>
      </c>
      <c r="D17" s="28" t="str">
        <f>LOWER(LEFT(B17,1))&amp;RIGHT(B17,LEN(B17) - 1)</f>
        <v>companyCode</v>
      </c>
      <c r="E17" s="28" t="str">
        <f>A.Backend!H11</f>
        <v>string</v>
      </c>
      <c r="F17" s="28" t="str">
        <f>A.Backend!G11</f>
        <v>4</v>
      </c>
      <c r="G17" s="28" t="str">
        <f t="shared" si="3"/>
        <v xml:space="preserve"> : string = '' ; </v>
      </c>
      <c r="H17" s="35" t="str">
        <f t="shared" si="4"/>
        <v xml:space="preserve">			{headerName: this.l('Company Code'),headerTooltip: this.l('Company Code'),field: 'companyCode',flex: 1},</v>
      </c>
      <c r="I17" s="35" t="str">
        <f t="shared" si="5"/>
        <v xml:space="preserve">								&lt;div class='input-search'&gt;
									&lt;input [(ngModel)]='companyCode' name='companyCode'
									class='form-control' [placeholder]="l('Company Code')"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title'&gt;Company Code&lt;/label&gt;
						&lt;input type='text' class='col-md-10 form-control input-text' name='CompanyCode' [(ngModel)]='rowdata.companyCode'&gt;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companyCode : string = '' ; </v>
      </c>
      <c r="T17" s="28" t="str">
        <f t="shared" si="14"/>
        <v xml:space="preserve">			this.companyCode,</v>
      </c>
      <c r="U17" s="28" t="str">
        <f t="shared" si="15"/>
        <v xml:space="preserve">		this.companyCode = '',</v>
      </c>
      <c r="V17" s="28" t="str">
        <f t="shared" si="8"/>
        <v/>
      </c>
    </row>
    <row r="18" spans="1:22" ht="15" customHeight="1" x14ac:dyDescent="0.25">
      <c r="A18" s="66" t="s">
        <v>374</v>
      </c>
      <c r="B18" s="28" t="str">
        <f t="shared" ref="B18:B21" si="16">SUBSTITUTE(PROPER(A18),"_","")</f>
        <v>CompanyBranch</v>
      </c>
      <c r="C18" s="28" t="str">
        <f t="shared" ref="C18:C21" si="17">SUBSTITUTE(PROPER(A18),"_"," ")</f>
        <v>Company Branch</v>
      </c>
      <c r="D18" s="28" t="str">
        <f t="shared" ref="D18:D21" si="18">LOWER(LEFT(B18,1))&amp;RIGHT(B18,LEN(B18) - 1)</f>
        <v>companyBranch</v>
      </c>
      <c r="E18" s="28" t="str">
        <f>A.Backend!H12</f>
        <v>string</v>
      </c>
      <c r="F18" s="28" t="str">
        <f>A.Backend!G12</f>
        <v>5</v>
      </c>
      <c r="G18" s="28" t="str">
        <f t="shared" si="3"/>
        <v xml:space="preserve"> : string = '' ; </v>
      </c>
      <c r="H18" s="35" t="str">
        <f t="shared" si="4"/>
        <v xml:space="preserve">			{headerName: this.l('Company Branch'),headerTooltip: this.l('Company Branch'),field: 'companyBranch',flex: 1},</v>
      </c>
      <c r="I18" s="35" t="str">
        <f t="shared" si="5"/>
        <v xml:space="preserve">								&lt;div class='input-search'&gt;
									&lt;input [(ngModel)]='companyBranch' name='companyBranch'
									class='form-control' [placeholder]="l('Company Branch')"
									type='text' (keyup.enter)='searchDatas()'&gt;
								&lt;/div&gt;</v>
      </c>
      <c r="J18" s="28"/>
      <c r="K18" s="35" t="str">
        <f t="shared" si="6"/>
        <v xml:space="preserve">					&lt;div class='col-md-12 form-group row'&gt;
						&lt;label class='col-md-2 form-control title'&gt;Company Branch&lt;/label&gt;
						&lt;input type='text' class='col-md-10 form-control input-text' name='CompanyBranch' [(ngModel)]='rowdata.companyBranch'&gt;
					&lt;/div&gt;</v>
      </c>
      <c r="L18" s="56" t="str">
        <f t="shared" ref="L18:L21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companyBranch : string = '' ; </v>
      </c>
      <c r="T18" s="28" t="str">
        <f t="shared" si="14"/>
        <v xml:space="preserve">			this.companyBranch,</v>
      </c>
      <c r="U18" s="28" t="str">
        <f t="shared" si="15"/>
        <v xml:space="preserve">		this.companyBranch = '',</v>
      </c>
      <c r="V18" s="28" t="str">
        <f t="shared" si="8"/>
        <v/>
      </c>
    </row>
    <row r="19" spans="1:22" ht="18" customHeight="1" x14ac:dyDescent="0.25">
      <c r="A19" s="67" t="s">
        <v>375</v>
      </c>
      <c r="B19" s="28" t="str">
        <f t="shared" si="16"/>
        <v>PostingKey</v>
      </c>
      <c r="C19" s="28" t="str">
        <f t="shared" si="17"/>
        <v>Posting Key</v>
      </c>
      <c r="D19" s="28" t="str">
        <f t="shared" si="18"/>
        <v>postingKey</v>
      </c>
      <c r="E19" s="28" t="str">
        <f>A.Backend!H13</f>
        <v>string</v>
      </c>
      <c r="F19" s="28" t="str">
        <f>A.Backend!G13</f>
        <v>2</v>
      </c>
      <c r="G19" s="28" t="str">
        <f t="shared" si="3"/>
        <v xml:space="preserve"> : string = '' ; </v>
      </c>
      <c r="H19" s="35" t="str">
        <f t="shared" si="4"/>
        <v xml:space="preserve">			{headerName: this.l('Posting Key'),headerTooltip: this.l('Posting Key'),field: 'postingKey',flex: 1},</v>
      </c>
      <c r="I19" s="35" t="str">
        <f t="shared" si="5"/>
        <v xml:space="preserve">								&lt;div class='input-search'&gt;
									&lt;input [(ngModel)]='postingKey' name='postingKey'
									class='form-control' [placeholder]="l('Posting Key')"
									type='text' (keyup.enter)='searchDatas()'&gt;
								&lt;/div&gt;</v>
      </c>
      <c r="J19" s="28"/>
      <c r="K19" s="35" t="str">
        <f t="shared" si="6"/>
        <v xml:space="preserve">					&lt;div class='col-md-12 form-group row'&gt;
						&lt;label class='col-md-2 form-control title'&gt;Posting Key&lt;/label&gt;
						&lt;input type='text' class='col-md-10 form-control input-text' name='PostingKey' [(ngModel)]='rowdata.postingKey'&gt;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3"/>
        <v xml:space="preserve">	postingKey : string = '' ; </v>
      </c>
      <c r="T19" s="28" t="str">
        <f t="shared" si="14"/>
        <v xml:space="preserve">			this.postingKey,</v>
      </c>
      <c r="U19" s="28" t="str">
        <f t="shared" si="15"/>
        <v xml:space="preserve">		this.postingKey = '',</v>
      </c>
      <c r="V19" s="28" t="str">
        <f t="shared" si="8"/>
        <v/>
      </c>
    </row>
    <row r="20" spans="1:22" ht="15" customHeight="1" x14ac:dyDescent="0.25">
      <c r="A20" s="68" t="s">
        <v>359</v>
      </c>
      <c r="B20" s="28" t="str">
        <f t="shared" si="16"/>
        <v>CostCenter</v>
      </c>
      <c r="C20" s="28" t="str">
        <f t="shared" si="17"/>
        <v>Cost Center</v>
      </c>
      <c r="D20" s="28" t="str">
        <f t="shared" si="18"/>
        <v>costCenter</v>
      </c>
      <c r="E20" s="28" t="str">
        <f>A.Backend!H14</f>
        <v>string</v>
      </c>
      <c r="F20" s="28" t="str">
        <f>A.Backend!G14</f>
        <v>10</v>
      </c>
      <c r="G20" s="28" t="str">
        <f t="shared" si="3"/>
        <v xml:space="preserve"> : string = '' ; </v>
      </c>
      <c r="H20" s="35" t="str">
        <f t="shared" si="4"/>
        <v xml:space="preserve">			{headerName: this.l('Cost Center'),headerTooltip: this.l('Cost Center'),field: 'costCenter',flex: 1},</v>
      </c>
      <c r="I20" s="35" t="str">
        <f t="shared" si="5"/>
        <v xml:space="preserve">								&lt;div class='input-search'&gt;
									&lt;input [(ngModel)]='costCenter' name='costCenter'
									class='form-control' [placeholder]="l('Cost Center')"
									type='text' (keyup.enter)='searchDatas()'&gt;
								&lt;/div&gt;</v>
      </c>
      <c r="J20" s="28"/>
      <c r="K20" s="35" t="str">
        <f t="shared" si="6"/>
        <v xml:space="preserve">					&lt;div class='col-md-12 form-group row'&gt;
						&lt;label class='col-md-2 form-control title'&gt;Cost Center&lt;/label&gt;
						&lt;input type='text' class='col-md-10 form-control input-text' name='CostCenter' [(ngModel)]='rowdata.costCenter'&gt;
					&lt;/div&gt;</v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3"/>
        <v xml:space="preserve">	costCenter : string = '' ; </v>
      </c>
      <c r="T20" s="28" t="str">
        <f t="shared" si="14"/>
        <v xml:space="preserve">			this.costCenter,</v>
      </c>
      <c r="U20" s="28" t="str">
        <f t="shared" si="15"/>
        <v xml:space="preserve">		this.costCenter = '',</v>
      </c>
      <c r="V20" s="28" t="str">
        <f t="shared" si="8"/>
        <v/>
      </c>
    </row>
    <row r="21" spans="1:22" ht="18" customHeight="1" x14ac:dyDescent="0.25">
      <c r="A21" s="69" t="s">
        <v>376</v>
      </c>
      <c r="B21" s="28" t="str">
        <f t="shared" si="16"/>
        <v>DocumentNo</v>
      </c>
      <c r="C21" s="28" t="str">
        <f t="shared" si="17"/>
        <v>Document No</v>
      </c>
      <c r="D21" s="28" t="str">
        <f t="shared" si="18"/>
        <v>documentNo</v>
      </c>
      <c r="E21" s="28" t="str">
        <f>A.Backend!H15</f>
        <v>string</v>
      </c>
      <c r="F21" s="28" t="str">
        <f>A.Backend!G15</f>
        <v>25</v>
      </c>
      <c r="G21" s="28" t="str">
        <f t="shared" si="3"/>
        <v xml:space="preserve"> : string = '' ; </v>
      </c>
      <c r="H21" s="35" t="str">
        <f t="shared" si="4"/>
        <v xml:space="preserve">			{headerName: this.l('Document No'),headerTooltip: this.l('Document No'),field: 'documentNo',flex: 1},</v>
      </c>
      <c r="I21" s="35" t="str">
        <f t="shared" si="5"/>
        <v xml:space="preserve">								&lt;div class='input-search'&gt;
									&lt;input [(ngModel)]='documentNo' name='documentNo'
									class='form-control' [placeholder]="l('Document No')"
									type='text' (keyup.enter)='searchDatas()'&gt;
								&lt;/div&gt;</v>
      </c>
      <c r="J21" s="28"/>
      <c r="K21" s="35" t="str">
        <f t="shared" si="6"/>
        <v xml:space="preserve">					&lt;div class='col-md-12 form-group row'&gt;
						&lt;label class='col-md-2 form-control title'&gt;Document No&lt;/label&gt;
						&lt;input type='text' class='col-md-10 form-control input-text' name='DocumentNo' [(ngModel)]='rowdata.documentNo'&gt;
					&lt;/div&gt;</v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si="13"/>
        <v xml:space="preserve">	documentNo : string = '' ; </v>
      </c>
      <c r="T21" s="28" t="str">
        <f t="shared" si="14"/>
        <v xml:space="preserve">			this.documentNo,</v>
      </c>
      <c r="U21" s="28" t="str">
        <f t="shared" si="15"/>
        <v xml:space="preserve">		this.documentNo = '',</v>
      </c>
      <c r="V21" s="28" t="str">
        <f t="shared" si="8"/>
        <v/>
      </c>
    </row>
    <row r="22" spans="1:22" ht="18" customHeight="1" x14ac:dyDescent="0.25">
      <c r="A22" s="66" t="s">
        <v>377</v>
      </c>
      <c r="B22" s="28" t="str">
        <f>SUBSTITUTE(PROPER(A22),"_","")</f>
        <v>DocumentType</v>
      </c>
      <c r="C22" s="28" t="str">
        <f>SUBSTITUTE(PROPER(A22),"_"," ")</f>
        <v>Document Type</v>
      </c>
      <c r="D22" s="28" t="str">
        <f>LOWER(LEFT(B22,1))&amp;RIGHT(B22,LEN(B22) - 1)</f>
        <v>documentType</v>
      </c>
      <c r="E22" s="28" t="str">
        <f>A.Backend!H16</f>
        <v>string</v>
      </c>
      <c r="F22" s="28" t="str">
        <f>A.Backend!G16</f>
        <v>2</v>
      </c>
      <c r="G22" s="28" t="str">
        <f t="shared" si="3"/>
        <v xml:space="preserve"> : string = '' ; </v>
      </c>
      <c r="H22" s="35" t="str">
        <f t="shared" si="4"/>
        <v xml:space="preserve">			{headerName: this.l('Document Type'),headerTooltip: this.l('Document Type'),field: 'documentType',flex: 1},</v>
      </c>
      <c r="I22" s="35" t="str">
        <f t="shared" si="5"/>
        <v xml:space="preserve">								&lt;div class='input-search'&gt;
									&lt;input [(ngModel)]='documentType' name='documentType'
									class='form-control' [placeholder]="l('Document Type')"
									type='text' (keyup.enter)='searchDatas()'&gt;
								&lt;/div&gt;</v>
      </c>
      <c r="J22" s="28"/>
      <c r="K22" s="35" t="str">
        <f t="shared" si="6"/>
        <v xml:space="preserve">					&lt;div class='col-md-12 form-group row'&gt;
						&lt;label class='col-md-2 form-control title'&gt;Document Type&lt;/label&gt;
						&lt;input type='text' class='col-md-10 form-control input-text' name='DocumentType' [(ngModel)]='rowdata.documentType'&gt;
					&lt;/div&gt;</v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13"/>
        <v xml:space="preserve">	documentType : string = '' ; </v>
      </c>
      <c r="T22" s="28" t="str">
        <f t="shared" si="14"/>
        <v xml:space="preserve">			this.documentType,</v>
      </c>
      <c r="U22" s="28" t="str">
        <f t="shared" si="15"/>
        <v xml:space="preserve">		this.documentType = '',</v>
      </c>
      <c r="V22" s="28" t="str">
        <f t="shared" si="8"/>
        <v/>
      </c>
    </row>
    <row r="23" spans="1:22" ht="15" customHeight="1" x14ac:dyDescent="0.25">
      <c r="A23" s="69" t="s">
        <v>378</v>
      </c>
      <c r="B23" s="28" t="str">
        <f t="shared" ref="B23:B41" si="20">SUBSTITUTE(PROPER(A23),"_","")</f>
        <v>DocumentDate</v>
      </c>
      <c r="C23" s="28" t="str">
        <f t="shared" ref="C23:C41" si="21">SUBSTITUTE(PROPER(A23),"_"," ")</f>
        <v>Document Date</v>
      </c>
      <c r="D23" s="28" t="str">
        <f t="shared" ref="D23:D41" si="22">LOWER(LEFT(B23,1))&amp;RIGHT(B23,LEN(B23) - 1)</f>
        <v>documentDate</v>
      </c>
      <c r="E23" s="28" t="str">
        <f>A.Backend!H17</f>
        <v>string</v>
      </c>
      <c r="F23" s="28" t="str">
        <f>A.Backend!G17</f>
        <v>8</v>
      </c>
      <c r="G23" s="28" t="str">
        <f t="shared" si="3"/>
        <v xml:space="preserve"> : string = '' ; </v>
      </c>
      <c r="H23" s="35" t="str">
        <f t="shared" si="4"/>
        <v xml:space="preserve">			{headerName: this.l('Document Date'),headerTooltip: this.l('Document Date'),field: 'documentDate',flex: 1},</v>
      </c>
      <c r="I23" s="35" t="str">
        <f t="shared" si="5"/>
        <v xml:space="preserve">								&lt;div class='input-search'&gt;
									&lt;input [(ngModel)]='documentDate' name='documentDate'
									class='form-control' [placeholder]="l('Document Date')"
									type='text' (keyup.enter)='searchDatas()'&gt;
								&lt;/div&gt;</v>
      </c>
      <c r="J23" s="28"/>
      <c r="K23" s="35" t="str">
        <f t="shared" si="6"/>
        <v xml:space="preserve">					&lt;div class='col-md-12 form-group row'&gt;
						&lt;label class='col-md-2 form-control title'&gt;Document Date&lt;/label&gt;
						&lt;input type='text' class='col-md-10 form-control input-text' name='DocumentDate' [(ngModel)]='rowdata.documentDate'&gt;
					&lt;/div&gt;</v>
      </c>
      <c r="L23" s="56" t="str">
        <f t="shared" ref="L23:L41" si="23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13"/>
        <v xml:space="preserve">	documentDate : string = '' ; </v>
      </c>
      <c r="T23" s="28" t="str">
        <f t="shared" si="14"/>
        <v xml:space="preserve">			this.documentDate,</v>
      </c>
      <c r="U23" s="28" t="str">
        <f t="shared" si="15"/>
        <v xml:space="preserve">		this.documentDate = '',</v>
      </c>
      <c r="V23" s="28" t="str">
        <f t="shared" si="8"/>
        <v/>
      </c>
    </row>
    <row r="24" spans="1:22" ht="18" customHeight="1" x14ac:dyDescent="0.25">
      <c r="A24" s="68" t="s">
        <v>367</v>
      </c>
      <c r="B24" s="28" t="str">
        <f t="shared" si="20"/>
        <v>PostingDate</v>
      </c>
      <c r="C24" s="28" t="str">
        <f t="shared" si="21"/>
        <v>Posting Date</v>
      </c>
      <c r="D24" s="28" t="str">
        <f t="shared" si="22"/>
        <v>postingDate</v>
      </c>
      <c r="E24" s="28" t="str">
        <f>A.Backend!H18</f>
        <v>string</v>
      </c>
      <c r="F24" s="28" t="str">
        <f>A.Backend!G18</f>
        <v>8</v>
      </c>
      <c r="G24" s="28" t="str">
        <f t="shared" si="3"/>
        <v xml:space="preserve"> : string = '' ; </v>
      </c>
      <c r="H24" s="35" t="str">
        <f t="shared" si="4"/>
        <v xml:space="preserve">			{headerName: this.l('Posting Date'),headerTooltip: this.l('Posting Date'),field: 'postingDate',flex: 1},</v>
      </c>
      <c r="I24" s="35" t="str">
        <f t="shared" si="5"/>
        <v xml:space="preserve">								&lt;div class='input-search'&gt;
									&lt;input [(ngModel)]='postingDate' name='postingDate'
									class='form-control' [placeholder]="l('Posting Date')"
									type='text' (keyup.enter)='searchDatas()'&gt;
								&lt;/div&gt;</v>
      </c>
      <c r="J24" s="28"/>
      <c r="K24" s="35" t="str">
        <f t="shared" si="6"/>
        <v xml:space="preserve">					&lt;div class='col-md-12 form-group row'&gt;
						&lt;label class='col-md-2 form-control title'&gt;Posting Date&lt;/label&gt;
						&lt;input type='text' class='col-md-10 form-control input-text' name='PostingDate' [(ngModel)]='rowdata.postingDate'&gt;
					&lt;/div&gt;</v>
      </c>
      <c r="L24" s="56" t="str">
        <f t="shared" si="23"/>
        <v/>
      </c>
      <c r="M24" s="28"/>
      <c r="N24" s="28"/>
      <c r="O24" s="28"/>
      <c r="P24" s="28"/>
      <c r="Q24" s="28"/>
      <c r="R24" s="28"/>
      <c r="S24" s="28" t="str">
        <f t="shared" si="13"/>
        <v xml:space="preserve">	postingDate : string = '' ; </v>
      </c>
      <c r="T24" s="28" t="str">
        <f t="shared" si="14"/>
        <v xml:space="preserve">			this.postingDate,</v>
      </c>
      <c r="U24" s="28" t="str">
        <f t="shared" si="15"/>
        <v xml:space="preserve">		this.postingDate = '',</v>
      </c>
      <c r="V24" s="28" t="str">
        <f t="shared" si="8"/>
        <v/>
      </c>
    </row>
    <row r="25" spans="1:22" ht="15" customHeight="1" x14ac:dyDescent="0.25">
      <c r="A25" s="66" t="s">
        <v>379</v>
      </c>
      <c r="B25" s="28" t="str">
        <f t="shared" ref="B25:B26" si="24">SUBSTITUTE(PROPER(A25),"_","")</f>
        <v>Plant</v>
      </c>
      <c r="C25" s="28" t="str">
        <f t="shared" ref="C25:C26" si="25">SUBSTITUTE(PROPER(A25),"_"," ")</f>
        <v>Plant</v>
      </c>
      <c r="D25" s="28" t="str">
        <f t="shared" ref="D25:D26" si="26">LOWER(LEFT(B25,1))&amp;RIGHT(B25,LEN(B25) - 1)</f>
        <v>plant</v>
      </c>
      <c r="E25" s="28">
        <f>A.Backend!H4</f>
        <v>0</v>
      </c>
      <c r="F25" s="28">
        <f>A.Backend!G4</f>
        <v>0</v>
      </c>
      <c r="G25" s="28" t="str">
        <f t="shared" ref="G25:G39" si="27">IF(E25="string"," : string = '' ; ",IF(OR(E25="DateTime",E25="TimeSpan")," : any ;",IF(E25="int"," : number = 0 ;","")))</f>
        <v/>
      </c>
      <c r="H25" s="35" t="str">
        <f t="shared" ref="H25:H39" si="28">IF(E25="DateTime",
REPT(CHAR(9),3)&amp;"{headerName: this.l('"&amp;C25&amp;"'),headerTooltip: this.l('"&amp;C25&amp;"'),field: '"&amp;D25&amp;"',valueGetter: (params) =&gt; this.pipe.transform(params.data?."&amp;D25&amp;", 'dd/MM/yyyy'),flex: 1},",
IF(AND(E25="string",F25="1"),
REPT(CHAR(9),3)&amp;"{headerName: this.l('"&amp;C25&amp;"'),headerTooltip: this.l('"&amp;C25&amp;"'),field:  '"&amp;D25&amp;"', cellClass: ['text-center'], width: 120, cellRenderer: 'agCellButtonComponent',
buttonDefTwo: { text: params =&gt; (params.data?.'"&amp;D25&amp;"' == 'Y') ? 'Active' : 'Inactive',iconName: 'fa fa-circle',className: params =&gt; (params.data?.'"&amp;D25&amp;"' == 'Y') ? 'btnActive' : 'btnInActive',},}",
REPT(CHAR(9),3)&amp;"{headerName: this.l('"&amp;C25&amp;"'),headerTooltip: this.l('"&amp;C25&amp;"'),field: '"&amp;D25&amp;"',flex: 1},"))</f>
        <v xml:space="preserve">			{headerName: this.l('Plant'),headerTooltip: this.l('Plant'),field: 'plant',flex: 1},</v>
      </c>
      <c r="I25" s="35" t="str">
        <f t="shared" ref="I25:I39" si="29"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IF(E25="string",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/>
      </c>
      <c r="J25" s="28"/>
      <c r="K25" s="35" t="str">
        <f t="shared" ref="K25:K39" si="30">IF(OR(E25="DateTime",E25="TimeSpan"),
REPT(CHAR(9),5)&amp;"&lt;div class='col-md-12 form-group row'&gt;
"&amp;REPT(CHAR(9),6)&amp;"&lt;label class='col-md-2 form-control title'&gt;"&amp;C25&amp;"&lt;/label&gt;
"&amp;REPT(CHAR(9),6)&amp;"&lt;input type='text' class='col-md-10 form-control input-text' name='"&amp;D25&amp;"' 
"&amp;REPT(CHAR(9),6)&amp;"#datepicker='bsDatepicker' [(ngModel)]='rowdata."&amp;D25&amp;"'  bsDatepicker &gt;
"&amp;REPT(CHAR(9),5)&amp;"&lt;/div&gt;",
IF(AND(E25="string",F25="1"),
REPT(CHAR(9),5)&amp;"&lt;div class='col-md-12 form-group row'&gt;
"&amp;REPT(CHAR(9),6)&amp;"&lt;label class='col-md-2 form-control title'&gt;"&amp;C25&amp;"&lt;/label&gt;
"&amp;REPT(CHAR(9),6)&amp;"&lt;new-checkbox [(ngModel)]='_"&amp;D25&amp;"' name='"&amp;D25&amp;"' className='col-md-10' &gt; &lt;/new-checkbox&gt;
"&amp;REPT(CHAR(9),5)&amp;"&lt;/div&gt;",
IF(E25="string",
REPT(CHAR(9),5)&amp;"&lt;div class='col-md-12 form-group row'&gt;
"&amp;REPT(CHAR(9),6)&amp;"&lt;label class='col-md-2 form-control title'&gt;"&amp;C25&amp;"&lt;/label&gt;
"&amp;REPT(CHAR(9),6)&amp;"&lt;input type='text' class='col-md-10 form-control input-text' name='"&amp;B25&amp;"' [(ngModel)]='rowdata."&amp;D25&amp;"'&gt;
"&amp;REPT(CHAR(9),5)&amp;"&lt;/div&gt;",
IF(E25="int",
REPT(CHAR(9),5)&amp;"&lt;div class='col-md-12 form-group row'&gt;
"&amp;REPT(CHAR(9),6)&amp;"&lt;label class='col-md-2 form-control title'&gt;"&amp;C25&amp;"&lt;/label&gt;
"&amp;REPT(CHAR(9),6)&amp;"&lt;input type='number' class='col-md-10 form-control input-text' name='"&amp;B25&amp;"' [(ngModel)]='rowdata."&amp;D25&amp;"'&gt;
"&amp;REPT(CHAR(9),5)&amp;"&lt;/div&gt;",""))))</f>
        <v/>
      </c>
      <c r="L25" s="56" t="str">
        <f t="shared" ref="L25:L26" si="31">IF(E25="DateTime",
REPT(CHAR(9),2)&amp;"const dateValue =  this.rowdata."&amp;D25&amp;" ? new Date(this.rowdata."&amp;D25&amp;"?.toString()) : new Date();
"&amp;REPT(CHAR(9),2)&amp;"this.datepicker?.bsValueChange.emit(dateValue);","")</f>
        <v/>
      </c>
      <c r="M25" s="28"/>
      <c r="N25" s="28"/>
      <c r="O25" s="28"/>
      <c r="P25" s="28"/>
      <c r="Q25" s="28"/>
      <c r="R25" s="28"/>
      <c r="S25" s="28" t="str">
        <f t="shared" ref="S25:S39" si="32">REPT(CHAR(9),1)&amp;D25&amp;G25</f>
        <v xml:space="preserve">	plant</v>
      </c>
      <c r="T25" s="28" t="str">
        <f t="shared" ref="T25:T39" si="33">REPT(CHAR(9),3)&amp;"this."&amp;D25&amp;","</f>
        <v xml:space="preserve">			this.plant,</v>
      </c>
      <c r="U25" s="28" t="str">
        <f t="shared" ref="U25:U39" si="34">IF(E25="int",REPT(CHAR(9),2)&amp;"this."&amp;D25&amp;" = 0,",REPT(CHAR(9),2)&amp;"this."&amp;D25&amp;" = '',")</f>
        <v xml:space="preserve">		this.plant = '',</v>
      </c>
      <c r="V25" s="28" t="str">
        <f t="shared" ref="V25:V39" si="35">IF(AND(E25="string",F25="1"),D25,"")</f>
        <v/>
      </c>
    </row>
    <row r="26" spans="1:22" ht="18" customHeight="1" x14ac:dyDescent="0.25">
      <c r="A26" s="69" t="s">
        <v>380</v>
      </c>
      <c r="B26" s="28" t="str">
        <f t="shared" si="24"/>
        <v>ReferenceDocumentNo</v>
      </c>
      <c r="C26" s="28" t="str">
        <f t="shared" si="25"/>
        <v>Reference Document No</v>
      </c>
      <c r="D26" s="28" t="str">
        <f t="shared" si="26"/>
        <v>referenceDocumentNo</v>
      </c>
      <c r="E26" s="28">
        <f>A.Backend!H5</f>
        <v>0</v>
      </c>
      <c r="F26" s="28">
        <f>A.Backend!G5</f>
        <v>0</v>
      </c>
      <c r="G26" s="28" t="str">
        <f t="shared" si="27"/>
        <v/>
      </c>
      <c r="H26" s="35" t="str">
        <f t="shared" si="28"/>
        <v xml:space="preserve">			{headerName: this.l('Reference Document No'),headerTooltip: this.l('Reference Document No'),field: 'referenceDocumentNo',flex: 1},</v>
      </c>
      <c r="I26" s="35" t="str">
        <f t="shared" si="29"/>
        <v/>
      </c>
      <c r="J26" s="28"/>
      <c r="K26" s="35" t="str">
        <f t="shared" si="30"/>
        <v/>
      </c>
      <c r="L26" s="56" t="str">
        <f t="shared" si="31"/>
        <v/>
      </c>
      <c r="M26" s="28"/>
      <c r="N26" s="28"/>
      <c r="O26" s="28"/>
      <c r="P26" s="28"/>
      <c r="Q26" s="28"/>
      <c r="R26" s="28"/>
      <c r="S26" s="28" t="str">
        <f t="shared" si="32"/>
        <v xml:space="preserve">	referenceDocumentNo</v>
      </c>
      <c r="T26" s="28" t="str">
        <f t="shared" si="33"/>
        <v xml:space="preserve">			this.referenceDocumentNo,</v>
      </c>
      <c r="U26" s="28" t="str">
        <f t="shared" si="34"/>
        <v xml:space="preserve">		this.referenceDocumentNo = '',</v>
      </c>
      <c r="V26" s="28" t="str">
        <f t="shared" si="35"/>
        <v/>
      </c>
    </row>
    <row r="27" spans="1:22" ht="18" customHeight="1" x14ac:dyDescent="0.25">
      <c r="A27" s="69" t="s">
        <v>381</v>
      </c>
      <c r="B27" s="28" t="str">
        <f>SUBSTITUTE(PROPER(A27),"_","")</f>
        <v>Amount</v>
      </c>
      <c r="C27" s="28" t="str">
        <f>SUBSTITUTE(PROPER(A27),"_"," ")</f>
        <v>Amount</v>
      </c>
      <c r="D27" s="28" t="str">
        <f>LOWER(LEFT(B27,1))&amp;RIGHT(B27,LEN(B27) - 1)</f>
        <v>amount</v>
      </c>
      <c r="E27" s="28" t="str">
        <f>A.Backend!H6</f>
        <v xml:space="preserve">	public class GetIF_FQF3MM07Input : PagedAndSortedResultRequestDto	
	{
</v>
      </c>
      <c r="F27" s="28" t="str">
        <f>A.Backend!G6</f>
        <v xml:space="preserve">	public class CreateOrEditIF_FQF3MM07Dto : EntityDto&lt;long?&gt;	
	{
</v>
      </c>
      <c r="G27" s="28" t="str">
        <f t="shared" si="27"/>
        <v/>
      </c>
      <c r="H27" s="35" t="str">
        <f t="shared" si="28"/>
        <v xml:space="preserve">			{headerName: this.l('Amount'),headerTooltip: this.l('Amount'),field: 'amount',flex: 1},</v>
      </c>
      <c r="I27" s="35" t="str">
        <f t="shared" si="29"/>
        <v/>
      </c>
      <c r="J27" s="28"/>
      <c r="K27" s="35" t="str">
        <f t="shared" si="30"/>
        <v/>
      </c>
      <c r="L27" s="56" t="str">
        <f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28"/>
      <c r="N27" s="28"/>
      <c r="O27" s="28"/>
      <c r="P27" s="28"/>
      <c r="Q27" s="28"/>
      <c r="R27" s="28"/>
      <c r="S27" s="28" t="str">
        <f t="shared" si="32"/>
        <v xml:space="preserve">	amount</v>
      </c>
      <c r="T27" s="28" t="str">
        <f t="shared" si="33"/>
        <v xml:space="preserve">			this.amount,</v>
      </c>
      <c r="U27" s="28" t="str">
        <f t="shared" si="34"/>
        <v xml:space="preserve">		this.amount = '',</v>
      </c>
      <c r="V27" s="28" t="str">
        <f t="shared" si="35"/>
        <v/>
      </c>
    </row>
    <row r="28" spans="1:22" ht="15" customHeight="1" x14ac:dyDescent="0.25">
      <c r="A28" s="68" t="s">
        <v>382</v>
      </c>
      <c r="B28" s="28" t="str">
        <f t="shared" ref="B28:B34" si="36">SUBSTITUTE(PROPER(A28),"_","")</f>
        <v>Currency</v>
      </c>
      <c r="C28" s="28" t="str">
        <f t="shared" ref="C28:C34" si="37">SUBSTITUTE(PROPER(A28),"_"," ")</f>
        <v>Currency</v>
      </c>
      <c r="D28" s="28" t="str">
        <f t="shared" ref="D28:D34" si="38">LOWER(LEFT(B28,1))&amp;RIGHT(B28,LEN(B28) - 1)</f>
        <v>currency</v>
      </c>
      <c r="E28" s="28">
        <f>A.Backend!H7</f>
        <v>0</v>
      </c>
      <c r="F28" s="28">
        <f>A.Backend!G7</f>
        <v>0</v>
      </c>
      <c r="G28" s="28" t="str">
        <f t="shared" si="27"/>
        <v/>
      </c>
      <c r="H28" s="35" t="str">
        <f t="shared" si="28"/>
        <v xml:space="preserve">			{headerName: this.l('Currency'),headerTooltip: this.l('Currency'),field: 'currency',flex: 1},</v>
      </c>
      <c r="I28" s="35" t="str">
        <f t="shared" si="29"/>
        <v/>
      </c>
      <c r="J28" s="28"/>
      <c r="K28" s="35" t="str">
        <f t="shared" si="30"/>
        <v/>
      </c>
      <c r="L28" s="56" t="str">
        <f t="shared" ref="L28:L34" si="39"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 t="shared" si="32"/>
        <v xml:space="preserve">	currency</v>
      </c>
      <c r="T28" s="28" t="str">
        <f t="shared" si="33"/>
        <v xml:space="preserve">			this.currency,</v>
      </c>
      <c r="U28" s="28" t="str">
        <f t="shared" si="34"/>
        <v xml:space="preserve">		this.currency = '',</v>
      </c>
      <c r="V28" s="28" t="str">
        <f t="shared" si="35"/>
        <v/>
      </c>
    </row>
    <row r="29" spans="1:22" ht="18" customHeight="1" x14ac:dyDescent="0.25">
      <c r="A29" s="68" t="s">
        <v>383</v>
      </c>
      <c r="B29" s="28" t="str">
        <f t="shared" si="36"/>
        <v>Order</v>
      </c>
      <c r="C29" s="28" t="str">
        <f t="shared" si="37"/>
        <v>Order</v>
      </c>
      <c r="D29" s="28" t="str">
        <f t="shared" si="38"/>
        <v>order</v>
      </c>
      <c r="E29" s="28" t="str">
        <f>A.Backend!H8</f>
        <v>Dot Net Data Type</v>
      </c>
      <c r="F29" s="28" t="str">
        <f>A.Backend!G8</f>
        <v>Length</v>
      </c>
      <c r="G29" s="28" t="str">
        <f t="shared" si="27"/>
        <v/>
      </c>
      <c r="H29" s="35" t="str">
        <f t="shared" si="28"/>
        <v xml:space="preserve">			{headerName: this.l('Order'),headerTooltip: this.l('Order'),field: 'order',flex: 1},</v>
      </c>
      <c r="I29" s="35" t="str">
        <f t="shared" si="29"/>
        <v/>
      </c>
      <c r="J29" s="28"/>
      <c r="K29" s="35" t="str">
        <f t="shared" si="30"/>
        <v/>
      </c>
      <c r="L29" s="56" t="str">
        <f t="shared" si="39"/>
        <v/>
      </c>
      <c r="M29" s="28"/>
      <c r="N29" s="28"/>
      <c r="O29" s="28"/>
      <c r="P29" s="28"/>
      <c r="Q29" s="28"/>
      <c r="R29" s="28"/>
      <c r="S29" s="28" t="str">
        <f t="shared" si="32"/>
        <v xml:space="preserve">	order</v>
      </c>
      <c r="T29" s="28" t="str">
        <f t="shared" si="33"/>
        <v xml:space="preserve">			this.order,</v>
      </c>
      <c r="U29" s="28" t="str">
        <f t="shared" si="34"/>
        <v xml:space="preserve">		this.order = '',</v>
      </c>
      <c r="V29" s="28" t="str">
        <f t="shared" si="35"/>
        <v/>
      </c>
    </row>
    <row r="30" spans="1:22" ht="15" customHeight="1" x14ac:dyDescent="0.25">
      <c r="A30" s="67" t="s">
        <v>384</v>
      </c>
      <c r="B30" s="28" t="str">
        <f t="shared" si="36"/>
        <v>GlAccount</v>
      </c>
      <c r="C30" s="28" t="str">
        <f t="shared" si="37"/>
        <v>Gl Account</v>
      </c>
      <c r="D30" s="28" t="str">
        <f t="shared" si="38"/>
        <v>glAccount</v>
      </c>
      <c r="E30" s="28" t="str">
        <f>A.Backend!H9</f>
        <v>string</v>
      </c>
      <c r="F30" s="28" t="str">
        <f>A.Backend!G9</f>
        <v>7</v>
      </c>
      <c r="G30" s="28" t="str">
        <f t="shared" si="27"/>
        <v xml:space="preserve"> : string = '' ; </v>
      </c>
      <c r="H30" s="35" t="str">
        <f t="shared" si="28"/>
        <v xml:space="preserve">			{headerName: this.l('Gl Account'),headerTooltip: this.l('Gl Account'),field: 'glAccount',flex: 1},</v>
      </c>
      <c r="I30" s="35" t="str">
        <f t="shared" si="29"/>
        <v xml:space="preserve">								&lt;div class='input-search'&gt;
									&lt;input [(ngModel)]='glAccount' name='glAccount'
									class='form-control' [placeholder]="l('Gl Account')"
									type='text' (keyup.enter)='searchDatas()'&gt;
								&lt;/div&gt;</v>
      </c>
      <c r="J30" s="28"/>
      <c r="K30" s="35" t="str">
        <f t="shared" si="30"/>
        <v xml:space="preserve">					&lt;div class='col-md-12 form-group row'&gt;
						&lt;label class='col-md-2 form-control title'&gt;Gl Account&lt;/label&gt;
						&lt;input type='text' class='col-md-10 form-control input-text' name='GlAccount' [(ngModel)]='rowdata.glAccount'&gt;
					&lt;/div&gt;</v>
      </c>
      <c r="L30" s="56" t="str">
        <f t="shared" si="39"/>
        <v/>
      </c>
      <c r="M30" s="28"/>
      <c r="N30" s="28"/>
      <c r="O30" s="28"/>
      <c r="P30" s="28"/>
      <c r="Q30" s="28"/>
      <c r="R30" s="28"/>
      <c r="S30" s="28" t="str">
        <f t="shared" si="32"/>
        <v xml:space="preserve">	glAccount : string = '' ; </v>
      </c>
      <c r="T30" s="28" t="str">
        <f t="shared" si="33"/>
        <v xml:space="preserve">			this.glAccount,</v>
      </c>
      <c r="U30" s="28" t="str">
        <f t="shared" si="34"/>
        <v xml:space="preserve">		this.glAccount = '',</v>
      </c>
      <c r="V30" s="28" t="str">
        <f t="shared" si="35"/>
        <v/>
      </c>
    </row>
    <row r="31" spans="1:22" ht="15" customHeight="1" x14ac:dyDescent="0.25">
      <c r="A31" s="69" t="s">
        <v>371</v>
      </c>
      <c r="B31" s="28" t="str">
        <f t="shared" si="36"/>
        <v>NormalCancelFlag</v>
      </c>
      <c r="C31" s="28" t="str">
        <f t="shared" si="37"/>
        <v>Normal Cancel Flag</v>
      </c>
      <c r="D31" s="28" t="str">
        <f t="shared" si="38"/>
        <v>normalCancelFlag</v>
      </c>
      <c r="E31" s="28" t="str">
        <f>A.Backend!H10</f>
        <v>string</v>
      </c>
      <c r="F31" s="28" t="str">
        <f>A.Backend!G10</f>
        <v>3</v>
      </c>
      <c r="G31" s="28" t="str">
        <f t="shared" si="27"/>
        <v xml:space="preserve"> : string = '' ; </v>
      </c>
      <c r="H31" s="35" t="str">
        <f t="shared" si="28"/>
        <v xml:space="preserve">			{headerName: this.l('Normal Cancel Flag'),headerTooltip: this.l('Normal Cancel Flag'),field: 'normalCancelFlag',flex: 1},</v>
      </c>
      <c r="I31" s="35" t="str">
        <f t="shared" si="29"/>
        <v xml:space="preserve">								&lt;div class='input-search'&gt;
									&lt;input [(ngModel)]='normalCancelFlag' name='normalCancelFlag'
									class='form-control' [placeholder]="l('Normal Cancel Flag')"
									type='text' (keyup.enter)='searchDatas()'&gt;
								&lt;/div&gt;</v>
      </c>
      <c r="J31" s="28"/>
      <c r="K31" s="35" t="str">
        <f t="shared" si="30"/>
        <v xml:space="preserve">					&lt;div class='col-md-12 form-group row'&gt;
						&lt;label class='col-md-2 form-control title'&gt;Normal Cancel Flag&lt;/label&gt;
						&lt;input type='text' class='col-md-10 form-control input-text' name='NormalCancelFlag' [(ngModel)]='rowdata.normalCancelFlag'&gt;
					&lt;/div&gt;</v>
      </c>
      <c r="L31" s="56" t="str">
        <f t="shared" si="39"/>
        <v/>
      </c>
      <c r="M31" s="28"/>
      <c r="N31" s="28"/>
      <c r="O31" s="28"/>
      <c r="P31" s="28"/>
      <c r="Q31" s="28"/>
      <c r="R31" s="28"/>
      <c r="S31" s="28" t="str">
        <f t="shared" si="32"/>
        <v xml:space="preserve">	normalCancelFlag : string = '' ; </v>
      </c>
      <c r="T31" s="28" t="str">
        <f t="shared" si="33"/>
        <v xml:space="preserve">			this.normalCancelFlag,</v>
      </c>
      <c r="U31" s="28" t="str">
        <f t="shared" si="34"/>
        <v xml:space="preserve">		this.normalCancelFlag = '',</v>
      </c>
      <c r="V31" s="28" t="str">
        <f t="shared" si="35"/>
        <v/>
      </c>
    </row>
    <row r="32" spans="1:22" ht="18" customHeight="1" x14ac:dyDescent="0.25">
      <c r="A32" s="69" t="s">
        <v>385</v>
      </c>
      <c r="B32" s="28" t="str">
        <f t="shared" si="36"/>
        <v>Text</v>
      </c>
      <c r="C32" s="28" t="str">
        <f t="shared" si="37"/>
        <v>Text</v>
      </c>
      <c r="D32" s="28" t="str">
        <f t="shared" si="38"/>
        <v>text</v>
      </c>
      <c r="E32" s="28" t="str">
        <f>A.Backend!H11</f>
        <v>string</v>
      </c>
      <c r="F32" s="28" t="str">
        <f>A.Backend!G11</f>
        <v>4</v>
      </c>
      <c r="G32" s="28" t="str">
        <f t="shared" si="27"/>
        <v xml:space="preserve"> : string = '' ; </v>
      </c>
      <c r="H32" s="35" t="str">
        <f t="shared" si="28"/>
        <v xml:space="preserve">			{headerName: this.l('Text'),headerTooltip: this.l('Text'),field: 'text',flex: 1},</v>
      </c>
      <c r="I32" s="35" t="str">
        <f t="shared" si="29"/>
        <v xml:space="preserve">								&lt;div class='input-search'&gt;
									&lt;input [(ngModel)]='text' name='text'
									class='form-control' [placeholder]="l('Text')"
									type='text' (keyup.enter)='searchDatas()'&gt;
								&lt;/div&gt;</v>
      </c>
      <c r="J32" s="28"/>
      <c r="K32" s="35" t="str">
        <f t="shared" si="30"/>
        <v xml:space="preserve">					&lt;div class='col-md-12 form-group row'&gt;
						&lt;label class='col-md-2 form-control title'&gt;Text&lt;/label&gt;
						&lt;input type='text' class='col-md-10 form-control input-text' name='Text' [(ngModel)]='rowdata.text'&gt;
					&lt;/div&gt;</v>
      </c>
      <c r="L32" s="56" t="str">
        <f t="shared" si="39"/>
        <v/>
      </c>
      <c r="M32" s="28"/>
      <c r="N32" s="28"/>
      <c r="O32" s="28"/>
      <c r="P32" s="28"/>
      <c r="Q32" s="28"/>
      <c r="R32" s="28"/>
      <c r="S32" s="28" t="str">
        <f t="shared" si="32"/>
        <v xml:space="preserve">	text : string = '' ; </v>
      </c>
      <c r="T32" s="28" t="str">
        <f t="shared" si="33"/>
        <v xml:space="preserve">			this.text,</v>
      </c>
      <c r="U32" s="28" t="str">
        <f t="shared" si="34"/>
        <v xml:space="preserve">		this.text = '',</v>
      </c>
      <c r="V32" s="28" t="str">
        <f t="shared" si="35"/>
        <v/>
      </c>
    </row>
    <row r="33" spans="1:22" ht="15" customHeight="1" x14ac:dyDescent="0.25">
      <c r="A33" s="66" t="s">
        <v>386</v>
      </c>
      <c r="B33" s="28" t="str">
        <f t="shared" si="36"/>
        <v>ProfitCenter</v>
      </c>
      <c r="C33" s="28" t="str">
        <f t="shared" si="37"/>
        <v>Profit Center</v>
      </c>
      <c r="D33" s="28" t="str">
        <f t="shared" si="38"/>
        <v>profitCenter</v>
      </c>
      <c r="E33" s="28" t="str">
        <f>A.Backend!H12</f>
        <v>string</v>
      </c>
      <c r="F33" s="28" t="str">
        <f>A.Backend!G12</f>
        <v>5</v>
      </c>
      <c r="G33" s="28" t="str">
        <f t="shared" si="27"/>
        <v xml:space="preserve"> : string = '' ; </v>
      </c>
      <c r="H33" s="35" t="str">
        <f t="shared" si="28"/>
        <v xml:space="preserve">			{headerName: this.l('Profit Center'),headerTooltip: this.l('Profit Center'),field: 'profitCenter',flex: 1},</v>
      </c>
      <c r="I33" s="35" t="str">
        <f t="shared" si="29"/>
        <v xml:space="preserve">								&lt;div class='input-search'&gt;
									&lt;input [(ngModel)]='profitCenter' name='profitCenter'
									class='form-control' [placeholder]="l('Profit Center')"
									type='text' (keyup.enter)='searchDatas()'&gt;
								&lt;/div&gt;</v>
      </c>
      <c r="J33" s="28"/>
      <c r="K33" s="35" t="str">
        <f t="shared" si="30"/>
        <v xml:space="preserve">					&lt;div class='col-md-12 form-group row'&gt;
						&lt;label class='col-md-2 form-control title'&gt;Profit Center&lt;/label&gt;
						&lt;input type='text' class='col-md-10 form-control input-text' name='ProfitCenter' [(ngModel)]='rowdata.profitCenter'&gt;
					&lt;/div&gt;</v>
      </c>
      <c r="L33" s="56" t="str">
        <f t="shared" si="39"/>
        <v/>
      </c>
      <c r="M33" s="28"/>
      <c r="N33" s="28"/>
      <c r="O33" s="28"/>
      <c r="P33" s="28"/>
      <c r="Q33" s="28"/>
      <c r="R33" s="28"/>
      <c r="S33" s="28" t="str">
        <f t="shared" si="32"/>
        <v xml:space="preserve">	profitCenter : string = '' ; </v>
      </c>
      <c r="T33" s="28" t="str">
        <f t="shared" si="33"/>
        <v xml:space="preserve">			this.profitCenter,</v>
      </c>
      <c r="U33" s="28" t="str">
        <f t="shared" si="34"/>
        <v xml:space="preserve">		this.profitCenter = '',</v>
      </c>
      <c r="V33" s="28" t="str">
        <f t="shared" si="35"/>
        <v/>
      </c>
    </row>
    <row r="34" spans="1:22" ht="18" customHeight="1" x14ac:dyDescent="0.25">
      <c r="A34" s="66" t="s">
        <v>358</v>
      </c>
      <c r="B34" s="28" t="str">
        <f t="shared" si="36"/>
        <v>Wbs</v>
      </c>
      <c r="C34" s="28" t="str">
        <f t="shared" si="37"/>
        <v>Wbs</v>
      </c>
      <c r="D34" s="28" t="str">
        <f t="shared" si="38"/>
        <v>wbs</v>
      </c>
      <c r="E34" s="28" t="str">
        <f>A.Backend!H13</f>
        <v>string</v>
      </c>
      <c r="F34" s="28" t="str">
        <f>A.Backend!G13</f>
        <v>2</v>
      </c>
      <c r="G34" s="28" t="str">
        <f t="shared" si="27"/>
        <v xml:space="preserve"> : string = '' ; </v>
      </c>
      <c r="H34" s="35" t="str">
        <f t="shared" si="28"/>
        <v xml:space="preserve">			{headerName: this.l('Wbs'),headerTooltip: this.l('Wbs'),field: 'wbs',flex: 1},</v>
      </c>
      <c r="I34" s="35" t="str">
        <f t="shared" si="29"/>
        <v xml:space="preserve">								&lt;div class='input-search'&gt;
									&lt;input [(ngModel)]='wbs' name='wbs'
									class='form-control' [placeholder]="l('Wbs')"
									type='text' (keyup.enter)='searchDatas()'&gt;
								&lt;/div&gt;</v>
      </c>
      <c r="J34" s="28"/>
      <c r="K34" s="35" t="str">
        <f t="shared" si="30"/>
        <v xml:space="preserve">					&lt;div class='col-md-12 form-group row'&gt;
						&lt;label class='col-md-2 form-control title'&gt;Wbs&lt;/label&gt;
						&lt;input type='text' class='col-md-10 form-control input-text' name='Wbs' [(ngModel)]='rowdata.wbs'&gt;
					&lt;/div&gt;</v>
      </c>
      <c r="L34" s="56" t="str">
        <f t="shared" si="39"/>
        <v/>
      </c>
      <c r="M34" s="28"/>
      <c r="N34" s="28"/>
      <c r="O34" s="28"/>
      <c r="P34" s="28"/>
      <c r="Q34" s="28"/>
      <c r="R34" s="28"/>
      <c r="S34" s="28" t="str">
        <f t="shared" si="32"/>
        <v xml:space="preserve">	wbs : string = '' ; </v>
      </c>
      <c r="T34" s="28" t="str">
        <f t="shared" si="33"/>
        <v xml:space="preserve">			this.wbs,</v>
      </c>
      <c r="U34" s="28" t="str">
        <f t="shared" si="34"/>
        <v xml:space="preserve">		this.wbs = '',</v>
      </c>
      <c r="V34" s="28" t="str">
        <f t="shared" si="35"/>
        <v/>
      </c>
    </row>
    <row r="35" spans="1:22" ht="18" customHeight="1" x14ac:dyDescent="0.25">
      <c r="A35" s="66" t="s">
        <v>357</v>
      </c>
      <c r="B35" s="28" t="str">
        <f>SUBSTITUTE(PROPER(A35),"_","")</f>
        <v>Quantity</v>
      </c>
      <c r="C35" s="28" t="str">
        <f>SUBSTITUTE(PROPER(A35),"_"," ")</f>
        <v>Quantity</v>
      </c>
      <c r="D35" s="28" t="str">
        <f>LOWER(LEFT(B35,1))&amp;RIGHT(B35,LEN(B35) - 1)</f>
        <v>quantity</v>
      </c>
      <c r="E35" s="28" t="str">
        <f>A.Backend!H15</f>
        <v>string</v>
      </c>
      <c r="F35" s="28" t="str">
        <f>A.Backend!G15</f>
        <v>25</v>
      </c>
      <c r="G35" s="28" t="str">
        <f t="shared" si="27"/>
        <v xml:space="preserve"> : string = '' ; </v>
      </c>
      <c r="H35" s="35" t="str">
        <f t="shared" si="28"/>
        <v xml:space="preserve">			{headerName: this.l('Quantity'),headerTooltip: this.l('Quantity'),field: 'quantity',flex: 1},</v>
      </c>
      <c r="I35" s="35" t="str">
        <f t="shared" si="29"/>
        <v xml:space="preserve">								&lt;div class='input-search'&gt;
									&lt;input [(ngModel)]='quantity' name='quantity'
									class='form-control' [placeholder]="l('Quantity')"
									type='text' (keyup.enter)='searchDatas()'&gt;
								&lt;/div&gt;</v>
      </c>
      <c r="J35" s="28"/>
      <c r="K35" s="35" t="str">
        <f t="shared" si="30"/>
        <v xml:space="preserve">					&lt;div class='col-md-12 form-group row'&gt;
						&lt;label class='col-md-2 form-control title'&gt;Quantity&lt;/label&gt;
						&lt;input type='text' class='col-md-10 form-control input-text' name='Quantity' [(ngModel)]='rowdata.quantity'&gt;
					&lt;/div&gt;</v>
      </c>
      <c r="L35" s="56" t="str">
        <f>IF(E35="DateTime",
REPT(CHAR(9),2)&amp;"const dateValue =  this.rowdata."&amp;D35&amp;" ? new Date(this.rowdata."&amp;D35&amp;"?.toString()) : new Date();
"&amp;REPT(CHAR(9),2)&amp;"this.datepicker?.bsValueChange.emit(dateValue);","")</f>
        <v/>
      </c>
      <c r="M35" s="28"/>
      <c r="N35" s="28"/>
      <c r="O35" s="28"/>
      <c r="P35" s="28"/>
      <c r="Q35" s="28"/>
      <c r="R35" s="28"/>
      <c r="S35" s="28" t="str">
        <f t="shared" si="32"/>
        <v xml:space="preserve">	quantity : string = '' ; </v>
      </c>
      <c r="T35" s="28" t="str">
        <f t="shared" si="33"/>
        <v xml:space="preserve">			this.quantity,</v>
      </c>
      <c r="U35" s="28" t="str">
        <f t="shared" si="34"/>
        <v xml:space="preserve">		this.quantity = '',</v>
      </c>
      <c r="V35" s="28" t="str">
        <f t="shared" si="35"/>
        <v/>
      </c>
    </row>
    <row r="36" spans="1:22" ht="15" customHeight="1" x14ac:dyDescent="0.25">
      <c r="A36" s="66" t="s">
        <v>387</v>
      </c>
      <c r="B36" s="28" t="str">
        <f t="shared" ref="B36:B39" si="40">SUBSTITUTE(PROPER(A36),"_","")</f>
        <v>BaseUnitOfMeasure</v>
      </c>
      <c r="C36" s="28" t="str">
        <f t="shared" ref="C36:C39" si="41">SUBSTITUTE(PROPER(A36),"_"," ")</f>
        <v>Base Unit Of Measure</v>
      </c>
      <c r="D36" s="28" t="str">
        <f t="shared" ref="D36:D39" si="42">LOWER(LEFT(B36,1))&amp;RIGHT(B36,LEN(B36) - 1)</f>
        <v>baseUnitOfMeasure</v>
      </c>
      <c r="E36" s="28" t="str">
        <f>A.Backend!H24</f>
        <v>string</v>
      </c>
      <c r="F36" s="28" t="str">
        <f>A.Backend!G24</f>
        <v>10</v>
      </c>
      <c r="G36" s="28" t="str">
        <f t="shared" si="27"/>
        <v xml:space="preserve"> : string = '' ; </v>
      </c>
      <c r="H36" s="35" t="str">
        <f t="shared" si="28"/>
        <v xml:space="preserve">			{headerName: this.l('Base Unit Of Measure'),headerTooltip: this.l('Base Unit Of Measure'),field: 'baseUnitOfMeasure',flex: 1},</v>
      </c>
      <c r="I36" s="35" t="str">
        <f t="shared" si="29"/>
        <v xml:space="preserve">								&lt;div class='input-search'&gt;
									&lt;input [(ngModel)]='baseUnitOfMeasure' name='baseUnitOfMeasure'
									class='form-control' [placeholder]="l('Base Unit Of Measure')"
									type='text' (keyup.enter)='searchDatas()'&gt;
								&lt;/div&gt;</v>
      </c>
      <c r="J36" s="28"/>
      <c r="K36" s="35" t="str">
        <f t="shared" si="30"/>
        <v xml:space="preserve">					&lt;div class='col-md-12 form-group row'&gt;
						&lt;label class='col-md-2 form-control title'&gt;Base Unit Of Measure&lt;/label&gt;
						&lt;input type='text' class='col-md-10 form-control input-text' name='BaseUnitOfMeasure' [(ngModel)]='rowdata.baseUnitOfMeasure'&gt;
					&lt;/div&gt;</v>
      </c>
      <c r="L36" s="56" t="str">
        <f t="shared" ref="L36:L39" si="43">IF(E36="DateTime",
REPT(CHAR(9),2)&amp;"const dateValue =  this.rowdata."&amp;D36&amp;" ? new Date(this.rowdata."&amp;D36&amp;"?.toString()) : new Date();
"&amp;REPT(CHAR(9),2)&amp;"this.datepicker?.bsValueChange.emit(dateValue);","")</f>
        <v/>
      </c>
      <c r="M36" s="28"/>
      <c r="N36" s="28"/>
      <c r="O36" s="28"/>
      <c r="P36" s="28"/>
      <c r="Q36" s="28"/>
      <c r="R36" s="28"/>
      <c r="S36" s="28" t="str">
        <f t="shared" si="32"/>
        <v xml:space="preserve">	baseUnitOfMeasure : string = '' ; </v>
      </c>
      <c r="T36" s="28" t="str">
        <f t="shared" si="33"/>
        <v xml:space="preserve">			this.baseUnitOfMeasure,</v>
      </c>
      <c r="U36" s="28" t="str">
        <f t="shared" si="34"/>
        <v xml:space="preserve">		this.baseUnitOfMeasure = '',</v>
      </c>
      <c r="V36" s="28" t="str">
        <f t="shared" si="35"/>
        <v/>
      </c>
    </row>
    <row r="37" spans="1:22" ht="18" customHeight="1" x14ac:dyDescent="0.25">
      <c r="A37" s="66" t="s">
        <v>388</v>
      </c>
      <c r="B37" s="28" t="str">
        <f t="shared" si="40"/>
        <v>AmountInLocalCurrency</v>
      </c>
      <c r="C37" s="28" t="str">
        <f t="shared" si="41"/>
        <v>Amount In Local Currency</v>
      </c>
      <c r="D37" s="28" t="str">
        <f t="shared" si="42"/>
        <v>amountInLocalCurrency</v>
      </c>
      <c r="E37" s="28" t="str">
        <f>A.Backend!H25</f>
        <v>string</v>
      </c>
      <c r="F37" s="28" t="str">
        <f>A.Backend!G25</f>
        <v>1</v>
      </c>
      <c r="G37" s="28" t="str">
        <f t="shared" si="27"/>
        <v xml:space="preserve"> : string = '' ; </v>
      </c>
      <c r="H37" s="35" t="str">
        <f t="shared" si="28"/>
        <v xml:space="preserve">			{headerName: this.l('Amount In Local Currency'),headerTooltip: this.l('Amount In Local Currency'),field:  'amountInLocalCurrency', cellClass: ['text-center'], width: 120, cellRenderer: 'agCellButtonComponent',
buttonDefTwo: { text: params =&gt; (params.data?.'amountInLocalCurrency' == 'Y') ? 'Active' : 'Inactive',iconName: 'fa fa-circle',className: params =&gt; (params.data?.'amountInLocalCurrency' == 'Y') ? 'btnActive' : 'btnInActive',},}</v>
      </c>
      <c r="I37" s="35" t="str">
        <f t="shared" si="29"/>
        <v xml:space="preserve">								&lt;div class='input-search'&gt;
									&lt;input [(ngModel)]='amountInLocalCurrency' name='amountInLocalCurrency'
									class='form-control' [placeholder]="l('Amount In Local Currency')"
									type='text' (keyup.enter)='searchDatas()'&gt;
								&lt;/div&gt;</v>
      </c>
      <c r="J37" s="28"/>
      <c r="K37" s="35" t="str">
        <f t="shared" si="30"/>
        <v xml:space="preserve">					&lt;div class='col-md-12 form-group row'&gt;
						&lt;label class='col-md-2 form-control title'&gt;Amount In Local Currency&lt;/label&gt;
						&lt;new-checkbox [(ngModel)]='_amountInLocalCurrency' name='amountInLocalCurrency' className='col-md-10' &gt; &lt;/new-checkbox&gt;
					&lt;/div&gt;</v>
      </c>
      <c r="L37" s="56" t="str">
        <f t="shared" si="43"/>
        <v/>
      </c>
      <c r="M37" s="28"/>
      <c r="N37" s="28"/>
      <c r="O37" s="28"/>
      <c r="P37" s="28"/>
      <c r="Q37" s="28"/>
      <c r="R37" s="28"/>
      <c r="S37" s="28" t="str">
        <f t="shared" si="32"/>
        <v xml:space="preserve">	amountInLocalCurrency : string = '' ; </v>
      </c>
      <c r="T37" s="28" t="str">
        <f t="shared" si="33"/>
        <v xml:space="preserve">			this.amountInLocalCurrency,</v>
      </c>
      <c r="U37" s="28" t="str">
        <f t="shared" si="34"/>
        <v xml:space="preserve">		this.amountInLocalCurrency = '',</v>
      </c>
      <c r="V37" s="28" t="str">
        <f t="shared" si="35"/>
        <v>amountInLocalCurrency</v>
      </c>
    </row>
    <row r="38" spans="1:22" ht="15" customHeight="1" x14ac:dyDescent="0.25">
      <c r="A38" s="66" t="s">
        <v>389</v>
      </c>
      <c r="B38" s="28" t="str">
        <f t="shared" si="40"/>
        <v>ExchangeRate</v>
      </c>
      <c r="C38" s="28" t="str">
        <f t="shared" si="41"/>
        <v>Exchange Rate</v>
      </c>
      <c r="D38" s="28" t="str">
        <f t="shared" si="42"/>
        <v>exchangeRate</v>
      </c>
      <c r="E38" s="28" t="str">
        <f>A.Backend!H26</f>
        <v>string</v>
      </c>
      <c r="F38" s="28" t="str">
        <f>A.Backend!G26</f>
        <v>50</v>
      </c>
      <c r="G38" s="28" t="str">
        <f t="shared" si="27"/>
        <v xml:space="preserve"> : string = '' ; </v>
      </c>
      <c r="H38" s="35" t="str">
        <f t="shared" si="28"/>
        <v xml:space="preserve">			{headerName: this.l('Exchange Rate'),headerTooltip: this.l('Exchange Rate'),field: 'exchangeRate',flex: 1},</v>
      </c>
      <c r="I38" s="35" t="str">
        <f t="shared" si="29"/>
        <v xml:space="preserve">								&lt;div class='input-search'&gt;
									&lt;input [(ngModel)]='exchangeRate' name='exchangeRate'
									class='form-control' [placeholder]="l('Exchange Rate')"
									type='text' (keyup.enter)='searchDatas()'&gt;
								&lt;/div&gt;</v>
      </c>
      <c r="J38" s="28"/>
      <c r="K38" s="35" t="str">
        <f t="shared" si="30"/>
        <v xml:space="preserve">					&lt;div class='col-md-12 form-group row'&gt;
						&lt;label class='col-md-2 form-control title'&gt;Exchange Rate&lt;/label&gt;
						&lt;input type='text' class='col-md-10 form-control input-text' name='ExchangeRate' [(ngModel)]='rowdata.exchangeRate'&gt;
					&lt;/div&gt;</v>
      </c>
      <c r="L38" s="56" t="str">
        <f t="shared" si="43"/>
        <v/>
      </c>
      <c r="M38" s="28"/>
      <c r="N38" s="28"/>
      <c r="O38" s="28"/>
      <c r="P38" s="28"/>
      <c r="Q38" s="28"/>
      <c r="R38" s="28"/>
      <c r="S38" s="28" t="str">
        <f t="shared" si="32"/>
        <v xml:space="preserve">	exchangeRate : string = '' ; </v>
      </c>
      <c r="T38" s="28" t="str">
        <f t="shared" si="33"/>
        <v xml:space="preserve">			this.exchangeRate,</v>
      </c>
      <c r="U38" s="28" t="str">
        <f t="shared" si="34"/>
        <v xml:space="preserve">		this.exchangeRate = '',</v>
      </c>
      <c r="V38" s="28" t="str">
        <f t="shared" si="35"/>
        <v/>
      </c>
    </row>
    <row r="39" spans="1:22" ht="18" customHeight="1" x14ac:dyDescent="0.25">
      <c r="A39" s="70" t="s">
        <v>390</v>
      </c>
      <c r="B39" s="28" t="str">
        <f t="shared" si="40"/>
        <v>RefKey1</v>
      </c>
      <c r="C39" s="28" t="str">
        <f t="shared" si="41"/>
        <v>Ref Key 1</v>
      </c>
      <c r="D39" s="28" t="str">
        <f t="shared" si="42"/>
        <v>refKey1</v>
      </c>
      <c r="E39" s="28" t="str">
        <f>A.Backend!H27</f>
        <v>string</v>
      </c>
      <c r="F39" s="28" t="str">
        <f>A.Backend!G27</f>
        <v>10</v>
      </c>
      <c r="G39" s="28" t="str">
        <f t="shared" si="27"/>
        <v xml:space="preserve"> : string = '' ; </v>
      </c>
      <c r="H39" s="35" t="str">
        <f t="shared" si="28"/>
        <v xml:space="preserve">			{headerName: this.l('Ref Key 1'),headerTooltip: this.l('Ref Key 1'),field: 'refKey1',flex: 1},</v>
      </c>
      <c r="I39" s="35" t="str">
        <f t="shared" si="29"/>
        <v xml:space="preserve">								&lt;div class='input-search'&gt;
									&lt;input [(ngModel)]='refKey1' name='refKey1'
									class='form-control' [placeholder]="l('Ref Key 1')"
									type='text' (keyup.enter)='searchDatas()'&gt;
								&lt;/div&gt;</v>
      </c>
      <c r="J39" s="28"/>
      <c r="K39" s="35" t="str">
        <f t="shared" si="30"/>
        <v xml:space="preserve">					&lt;div class='col-md-12 form-group row'&gt;
						&lt;label class='col-md-2 form-control title'&gt;Ref Key 1&lt;/label&gt;
						&lt;input type='text' class='col-md-10 form-control input-text' name='RefKey1' [(ngModel)]='rowdata.refKey1'&gt;
					&lt;/div&gt;</v>
      </c>
      <c r="L39" s="56" t="str">
        <f t="shared" si="43"/>
        <v/>
      </c>
      <c r="M39" s="28"/>
      <c r="N39" s="28"/>
      <c r="O39" s="28"/>
      <c r="P39" s="28"/>
      <c r="Q39" s="28"/>
      <c r="R39" s="28"/>
      <c r="S39" s="28" t="str">
        <f t="shared" si="32"/>
        <v xml:space="preserve">	refKey1 : string = '' ; </v>
      </c>
      <c r="T39" s="28" t="str">
        <f t="shared" si="33"/>
        <v xml:space="preserve">			this.refKey1,</v>
      </c>
      <c r="U39" s="28" t="str">
        <f t="shared" si="34"/>
        <v xml:space="preserve">		this.refKey1 = '',</v>
      </c>
      <c r="V39" s="28" t="str">
        <f t="shared" si="35"/>
        <v/>
      </c>
    </row>
    <row r="40" spans="1:22" ht="15" customHeight="1" x14ac:dyDescent="0.25">
      <c r="A40" s="70" t="s">
        <v>391</v>
      </c>
      <c r="B40" s="28" t="str">
        <f t="shared" si="20"/>
        <v>RefKey2</v>
      </c>
      <c r="C40" s="28" t="str">
        <f t="shared" si="21"/>
        <v>Ref Key 2</v>
      </c>
      <c r="D40" s="28" t="str">
        <f t="shared" si="22"/>
        <v>refKey2</v>
      </c>
      <c r="E40" s="28" t="str">
        <f>A.Backend!H19</f>
        <v>string</v>
      </c>
      <c r="F40" s="28" t="str">
        <f>A.Backend!G19</f>
        <v>4</v>
      </c>
      <c r="G40" s="28" t="str">
        <f t="shared" si="3"/>
        <v xml:space="preserve"> : string = '' ; </v>
      </c>
      <c r="H40" s="35" t="str">
        <f t="shared" si="4"/>
        <v xml:space="preserve">			{headerName: this.l('Ref Key 2'),headerTooltip: this.l('Ref Key 2'),field: 'refKey2',flex: 1},</v>
      </c>
      <c r="I40" s="35" t="str">
        <f t="shared" si="5"/>
        <v xml:space="preserve">								&lt;div class='input-search'&gt;
									&lt;input [(ngModel)]='refKey2' name='refKey2'
									class='form-control' [placeholder]="l('Ref Key 2')"
									type='text' (keyup.enter)='searchDatas()'&gt;
								&lt;/div&gt;</v>
      </c>
      <c r="J40" s="28"/>
      <c r="K40" s="35" t="str">
        <f t="shared" si="6"/>
        <v xml:space="preserve">					&lt;div class='col-md-12 form-group row'&gt;
						&lt;label class='col-md-2 form-control title'&gt;Ref Key 2&lt;/label&gt;
						&lt;input type='text' class='col-md-10 form-control input-text' name='RefKey2' [(ngModel)]='rowdata.refKey2'&gt;
					&lt;/div&gt;</v>
      </c>
      <c r="L40" s="56" t="str">
        <f t="shared" si="23"/>
        <v/>
      </c>
      <c r="M40" s="28"/>
      <c r="N40" s="28"/>
      <c r="O40" s="28"/>
      <c r="P40" s="28"/>
      <c r="Q40" s="28"/>
      <c r="R40" s="28"/>
      <c r="S40" s="28" t="str">
        <f t="shared" si="13"/>
        <v xml:space="preserve">	refKey2 : string = '' ; </v>
      </c>
      <c r="T40" s="28" t="str">
        <f t="shared" si="14"/>
        <v xml:space="preserve">			this.refKey2,</v>
      </c>
      <c r="U40" s="28" t="str">
        <f t="shared" si="15"/>
        <v xml:space="preserve">		this.refKey2 = '',</v>
      </c>
      <c r="V40" s="28" t="str">
        <f t="shared" si="8"/>
        <v/>
      </c>
    </row>
    <row r="41" spans="1:22" ht="18" customHeight="1" x14ac:dyDescent="0.25">
      <c r="A41" s="70" t="s">
        <v>392</v>
      </c>
      <c r="B41" s="28" t="str">
        <f t="shared" si="20"/>
        <v>RefKey3</v>
      </c>
      <c r="C41" s="28" t="str">
        <f t="shared" si="21"/>
        <v>Ref Key 3</v>
      </c>
      <c r="D41" s="28" t="str">
        <f t="shared" si="22"/>
        <v>refKey3</v>
      </c>
      <c r="E41" s="28" t="str">
        <f>A.Backend!H20</f>
        <v>string</v>
      </c>
      <c r="F41" s="28" t="str">
        <f>A.Backend!G20</f>
        <v>16</v>
      </c>
      <c r="G41" s="28" t="str">
        <f t="shared" si="3"/>
        <v xml:space="preserve"> : string = '' ; </v>
      </c>
      <c r="H41" s="35" t="str">
        <f t="shared" si="4"/>
        <v xml:space="preserve">			{headerName: this.l('Ref Key 3'),headerTooltip: this.l('Ref Key 3'),field: 'refKey3',flex: 1},</v>
      </c>
      <c r="I41" s="35" t="str">
        <f t="shared" si="5"/>
        <v xml:space="preserve">								&lt;div class='input-search'&gt;
									&lt;input [(ngModel)]='refKey3' name='refKey3'
									class='form-control' [placeholder]="l('Ref Key 3')"
									type='text' (keyup.enter)='searchDatas()'&gt;
								&lt;/div&gt;</v>
      </c>
      <c r="J41" s="28"/>
      <c r="K41" s="35" t="str">
        <f t="shared" si="6"/>
        <v xml:space="preserve">					&lt;div class='col-md-12 form-group row'&gt;
						&lt;label class='col-md-2 form-control title'&gt;Ref Key 3&lt;/label&gt;
						&lt;input type='text' class='col-md-10 form-control input-text' name='RefKey3' [(ngModel)]='rowdata.refKey3'&gt;
					&lt;/div&gt;</v>
      </c>
      <c r="L41" s="56" t="str">
        <f t="shared" si="23"/>
        <v/>
      </c>
      <c r="M41" s="28"/>
      <c r="N41" s="28"/>
      <c r="O41" s="28"/>
      <c r="P41" s="28"/>
      <c r="Q41" s="28"/>
      <c r="R41" s="28"/>
      <c r="S41" s="28" t="str">
        <f t="shared" si="13"/>
        <v xml:space="preserve">	refKey3 : string = '' ; </v>
      </c>
      <c r="T41" s="28" t="str">
        <f t="shared" si="14"/>
        <v xml:space="preserve">			this.refKey3,</v>
      </c>
      <c r="U41" s="28" t="str">
        <f t="shared" si="15"/>
        <v xml:space="preserve">		this.refKey3 = '',</v>
      </c>
      <c r="V41" s="28" t="str">
        <f t="shared" si="8"/>
        <v/>
      </c>
    </row>
    <row r="42" spans="1:22" ht="18" customHeight="1" x14ac:dyDescent="0.25">
      <c r="A42" s="70" t="s">
        <v>393</v>
      </c>
      <c r="B42" s="28" t="str">
        <f>SUBSTITUTE(PROPER(A42),"_","")</f>
        <v>EarmarkFund</v>
      </c>
      <c r="C42" s="28" t="str">
        <f>SUBSTITUTE(PROPER(A42),"_"," ")</f>
        <v>Earmark Fund</v>
      </c>
      <c r="D42" s="28" t="str">
        <f>LOWER(LEFT(B42,1))&amp;RIGHT(B42,LEN(B42) - 1)</f>
        <v>earmarkFund</v>
      </c>
      <c r="E42" s="28" t="str">
        <f>A.Backend!H21</f>
        <v>int?</v>
      </c>
      <c r="F42" s="28" t="str">
        <f>A.Backend!G21</f>
        <v/>
      </c>
      <c r="G42" s="28" t="str">
        <f t="shared" si="3"/>
        <v/>
      </c>
      <c r="H42" s="35" t="str">
        <f t="shared" si="4"/>
        <v xml:space="preserve">			{headerName: this.l('Earmark Fund'),headerTooltip: this.l('Earmark Fund'),field: 'earmarkFund',flex: 1},</v>
      </c>
      <c r="I42" s="35" t="str">
        <f t="shared" si="5"/>
        <v/>
      </c>
      <c r="J42" s="28"/>
      <c r="K42" s="35" t="str">
        <f t="shared" si="6"/>
        <v/>
      </c>
      <c r="L42" s="56" t="str">
        <f>IF(E42="DateTime",
REPT(CHAR(9),2)&amp;"const dateValue =  this.rowdata."&amp;D42&amp;" ? new Date(this.rowdata."&amp;D42&amp;"?.toString()) : new Date();
"&amp;REPT(CHAR(9),2)&amp;"this.datepicker?.bsValueChange.emit(dateValue);","")</f>
        <v/>
      </c>
      <c r="M42" s="28"/>
      <c r="N42" s="28"/>
      <c r="O42" s="28"/>
      <c r="P42" s="28"/>
      <c r="Q42" s="28"/>
      <c r="R42" s="28"/>
      <c r="S42" s="28" t="str">
        <f t="shared" si="13"/>
        <v xml:space="preserve">	earmarkFund</v>
      </c>
      <c r="T42" s="28" t="str">
        <f t="shared" si="14"/>
        <v xml:space="preserve">			this.earmarkFund,</v>
      </c>
      <c r="U42" s="28" t="str">
        <f t="shared" si="15"/>
        <v xml:space="preserve">		this.earmarkFund = '',</v>
      </c>
      <c r="V42" s="28" t="str">
        <f t="shared" si="8"/>
        <v/>
      </c>
    </row>
    <row r="43" spans="1:22" ht="15" customHeight="1" x14ac:dyDescent="0.25">
      <c r="A43" s="70" t="s">
        <v>394</v>
      </c>
      <c r="B43" s="28" t="str">
        <f t="shared" ref="B43:B45" si="44">SUBSTITUTE(PROPER(A43),"_","")</f>
        <v>EarmarkFundItem</v>
      </c>
      <c r="C43" s="28" t="str">
        <f t="shared" ref="C43:C45" si="45">SUBSTITUTE(PROPER(A43),"_"," ")</f>
        <v>Earmark Fund Item</v>
      </c>
      <c r="D43" s="28" t="str">
        <f t="shared" ref="D43:D45" si="46">LOWER(LEFT(B43,1))&amp;RIGHT(B43,LEN(B43) - 1)</f>
        <v>earmarkFundItem</v>
      </c>
      <c r="E43" s="28" t="str">
        <f>A.Backend!H22</f>
        <v>string</v>
      </c>
      <c r="F43" s="28" t="str">
        <f>A.Backend!G22</f>
        <v>3</v>
      </c>
      <c r="G43" s="28" t="str">
        <f t="shared" si="3"/>
        <v xml:space="preserve"> : string = '' ; </v>
      </c>
      <c r="H43" s="35" t="str">
        <f t="shared" si="4"/>
        <v xml:space="preserve">			{headerName: this.l('Earmark Fund Item'),headerTooltip: this.l('Earmark Fund Item'),field: 'earmarkFundItem',flex: 1},</v>
      </c>
      <c r="I43" s="35" t="str">
        <f t="shared" si="5"/>
        <v xml:space="preserve">								&lt;div class='input-search'&gt;
									&lt;input [(ngModel)]='earmarkFundItem' name='earmarkFundItem'
									class='form-control' [placeholder]="l('Earmark Fund Item')"
									type='text' (keyup.enter)='searchDatas()'&gt;
								&lt;/div&gt;</v>
      </c>
      <c r="J43" s="28"/>
      <c r="K43" s="35" t="str">
        <f t="shared" si="6"/>
        <v xml:space="preserve">					&lt;div class='col-md-12 form-group row'&gt;
						&lt;label class='col-md-2 form-control title'&gt;Earmark Fund Item&lt;/label&gt;
						&lt;input type='text' class='col-md-10 form-control input-text' name='EarmarkFundItem' [(ngModel)]='rowdata.earmarkFundItem'&gt;
					&lt;/div&gt;</v>
      </c>
      <c r="L43" s="56" t="str">
        <f t="shared" ref="L43:L45" si="47">IF(E43="DateTime",
REPT(CHAR(9),2)&amp;"const dateValue =  this.rowdata."&amp;D43&amp;" ? new Date(this.rowdata."&amp;D43&amp;"?.toString()) : new Date();
"&amp;REPT(CHAR(9),2)&amp;"this.datepicker?.bsValueChange.emit(dateValue);","")</f>
        <v/>
      </c>
      <c r="M43" s="28"/>
      <c r="N43" s="28"/>
      <c r="O43" s="28"/>
      <c r="P43" s="28"/>
      <c r="Q43" s="28"/>
      <c r="R43" s="28"/>
      <c r="S43" s="28" t="str">
        <f t="shared" si="13"/>
        <v xml:space="preserve">	earmarkFundItem : string = '' ; </v>
      </c>
      <c r="T43" s="28" t="str">
        <f t="shared" si="14"/>
        <v xml:space="preserve">			this.earmarkFundItem,</v>
      </c>
      <c r="U43" s="28" t="str">
        <f t="shared" si="15"/>
        <v xml:space="preserve">		this.earmarkFundItem = '',</v>
      </c>
      <c r="V43" s="28" t="str">
        <f t="shared" si="8"/>
        <v/>
      </c>
    </row>
    <row r="44" spans="1:22" ht="18" customHeight="1" x14ac:dyDescent="0.25">
      <c r="A44" s="70" t="s">
        <v>395</v>
      </c>
      <c r="B44" s="28" t="str">
        <f t="shared" si="44"/>
        <v>MaterialNo</v>
      </c>
      <c r="C44" s="28" t="str">
        <f t="shared" si="45"/>
        <v>Material No</v>
      </c>
      <c r="D44" s="28" t="str">
        <f t="shared" si="46"/>
        <v>materialNo</v>
      </c>
      <c r="E44" s="28" t="str">
        <f>A.Backend!H23</f>
        <v>string</v>
      </c>
      <c r="F44" s="28" t="str">
        <f>A.Backend!G23</f>
        <v>12</v>
      </c>
      <c r="G44" s="28" t="str">
        <f t="shared" si="3"/>
        <v xml:space="preserve"> : string = '' ; </v>
      </c>
      <c r="H44" s="35" t="str">
        <f t="shared" si="4"/>
        <v xml:space="preserve">			{headerName: this.l('Material No'),headerTooltip: this.l('Material No'),field: 'materialNo',flex: 1},</v>
      </c>
      <c r="I44" s="35" t="str">
        <f t="shared" si="5"/>
        <v xml:space="preserve">								&lt;div class='input-search'&gt;
									&lt;input [(ngModel)]='materialNo' name='materialNo'
									class='form-control' [placeholder]="l('Material No')"
									type='text' (keyup.enter)='searchDatas()'&gt;
								&lt;/div&gt;</v>
      </c>
      <c r="J44" s="28"/>
      <c r="K44" s="35" t="str">
        <f t="shared" si="6"/>
        <v xml:space="preserve">					&lt;div class='col-md-12 form-group row'&gt;
						&lt;label class='col-md-2 form-control title'&gt;Material No&lt;/label&gt;
						&lt;input type='text' class='col-md-10 form-control input-text' name='MaterialNo' [(ngModel)]='rowdata.materialNo'&gt;
					&lt;/div&gt;</v>
      </c>
      <c r="L44" s="56" t="str">
        <f t="shared" si="47"/>
        <v/>
      </c>
      <c r="M44" s="28"/>
      <c r="N44" s="28"/>
      <c r="O44" s="28"/>
      <c r="P44" s="28"/>
      <c r="Q44" s="28"/>
      <c r="R44" s="28"/>
      <c r="S44" s="28" t="str">
        <f t="shared" si="13"/>
        <v xml:space="preserve">	materialNo : string = '' ; </v>
      </c>
      <c r="T44" s="28" t="str">
        <f t="shared" si="14"/>
        <v xml:space="preserve">			this.materialNo,</v>
      </c>
      <c r="U44" s="28" t="str">
        <f t="shared" si="15"/>
        <v xml:space="preserve">		this.materialNo = '',</v>
      </c>
      <c r="V44" s="28" t="str">
        <f t="shared" si="8"/>
        <v/>
      </c>
    </row>
    <row r="45" spans="1:22" ht="15" customHeight="1" x14ac:dyDescent="0.25">
      <c r="A45" s="70" t="s">
        <v>396</v>
      </c>
      <c r="B45" s="28" t="str">
        <f t="shared" si="44"/>
        <v>MainAssetNumber</v>
      </c>
      <c r="C45" s="28" t="str">
        <f t="shared" si="45"/>
        <v>Main Asset Number</v>
      </c>
      <c r="D45" s="28" t="str">
        <f t="shared" si="46"/>
        <v>mainAssetNumber</v>
      </c>
      <c r="E45" s="28" t="str">
        <f>A.Backend!H24</f>
        <v>string</v>
      </c>
      <c r="F45" s="28" t="str">
        <f>A.Backend!G24</f>
        <v>10</v>
      </c>
      <c r="G45" s="28" t="str">
        <f t="shared" si="3"/>
        <v xml:space="preserve"> : string = '' ; </v>
      </c>
      <c r="H45" s="35" t="str">
        <f t="shared" si="4"/>
        <v xml:space="preserve">			{headerName: this.l('Main Asset Number'),headerTooltip: this.l('Main Asset Number'),field: 'mainAssetNumber',flex: 1},</v>
      </c>
      <c r="I45" s="35" t="str">
        <f t="shared" si="5"/>
        <v xml:space="preserve">								&lt;div class='input-search'&gt;
									&lt;input [(ngModel)]='mainAssetNumber' name='mainAssetNumber'
									class='form-control' [placeholder]="l('Main Asset Number')"
									type='text' (keyup.enter)='searchDatas()'&gt;
								&lt;/div&gt;</v>
      </c>
      <c r="J45" s="28"/>
      <c r="K45" s="35" t="str">
        <f t="shared" si="6"/>
        <v xml:space="preserve">					&lt;div class='col-md-12 form-group row'&gt;
						&lt;label class='col-md-2 form-control title'&gt;Main Asset Number&lt;/label&gt;
						&lt;input type='text' class='col-md-10 form-control input-text' name='MainAssetNumber' [(ngModel)]='rowdata.mainAssetNumber'&gt;
					&lt;/div&gt;</v>
      </c>
      <c r="L45" s="56" t="str">
        <f t="shared" si="47"/>
        <v/>
      </c>
      <c r="M45" s="28"/>
      <c r="N45" s="28"/>
      <c r="O45" s="28"/>
      <c r="P45" s="28"/>
      <c r="Q45" s="28"/>
      <c r="R45" s="28"/>
      <c r="S45" s="28" t="str">
        <f t="shared" si="13"/>
        <v xml:space="preserve">	mainAssetNumber : string = '' ; </v>
      </c>
      <c r="T45" s="28" t="str">
        <f t="shared" si="14"/>
        <v xml:space="preserve">			this.mainAssetNumber,</v>
      </c>
      <c r="U45" s="28" t="str">
        <f t="shared" si="15"/>
        <v xml:space="preserve">		this.mainAssetNumber = '',</v>
      </c>
      <c r="V45" s="28" t="str">
        <f t="shared" si="8"/>
        <v/>
      </c>
    </row>
    <row r="46" spans="1:22" ht="15" customHeight="1" x14ac:dyDescent="0.25">
      <c r="A46" s="71" t="s">
        <v>397</v>
      </c>
      <c r="B46" s="28" t="str">
        <f t="shared" ref="B46" si="48">SUBSTITUTE(PROPER(A46),"_","")</f>
        <v>AssetSubNumber</v>
      </c>
      <c r="C46" s="28" t="str">
        <f t="shared" ref="C46" si="49">SUBSTITUTE(PROPER(A46),"_"," ")</f>
        <v>Asset Sub Number</v>
      </c>
      <c r="D46" s="28" t="str">
        <f t="shared" ref="D46" si="50">LOWER(LEFT(B46,1))&amp;RIGHT(B46,LEN(B46) - 1)</f>
        <v>assetSubNumber</v>
      </c>
      <c r="E46" s="28" t="str">
        <f>A.Backend!H25</f>
        <v>string</v>
      </c>
      <c r="F46" s="28" t="str">
        <f>A.Backend!G25</f>
        <v>1</v>
      </c>
      <c r="G46" s="28" t="str">
        <f t="shared" si="3"/>
        <v xml:space="preserve"> : string = '' ; </v>
      </c>
      <c r="H46" s="35" t="str">
        <f t="shared" si="4"/>
        <v xml:space="preserve">			{headerName: this.l('Asset Sub Number'),headerTooltip: this.l('Asset Sub Number'),field:  'assetSubNumber', cellClass: ['text-center'], width: 120, cellRenderer: 'agCellButtonComponent',
buttonDefTwo: { text: params =&gt; (params.data?.'assetSubNumber' == 'Y') ? 'Active' : 'Inactive',iconName: 'fa fa-circle',className: params =&gt; (params.data?.'assetSubNumber' == 'Y') ? 'btnActive' : 'btnInActive',},}</v>
      </c>
      <c r="I46" s="35" t="str">
        <f t="shared" si="5"/>
        <v xml:space="preserve">								&lt;div class='input-search'&gt;
									&lt;input [(ngModel)]='assetSubNumber' name='assetSubNumber'
									class='form-control' [placeholder]="l('Asset Sub Number')"
									type='text' (keyup.enter)='searchDatas()'&gt;
								&lt;/div&gt;</v>
      </c>
      <c r="J46" s="28"/>
      <c r="K46" s="35" t="str">
        <f t="shared" si="6"/>
        <v xml:space="preserve">					&lt;div class='col-md-12 form-group row'&gt;
						&lt;label class='col-md-2 form-control title'&gt;Asset Sub Number&lt;/label&gt;
						&lt;new-checkbox [(ngModel)]='_assetSubNumber' name='assetSubNumber' className='col-md-10' &gt; &lt;/new-checkbox&gt;
					&lt;/div&gt;</v>
      </c>
      <c r="L46" s="56" t="str">
        <f t="shared" ref="L46" si="51">IF(E46="DateTime",
REPT(CHAR(9),2)&amp;"const dateValue =  this.rowdata."&amp;D46&amp;" ? new Date(this.rowdata."&amp;D46&amp;"?.toString()) : new Date();
"&amp;REPT(CHAR(9),2)&amp;"this.datepicker?.bsValueChange.emit(dateValue);","")</f>
        <v/>
      </c>
      <c r="M46" s="28"/>
      <c r="N46" s="28"/>
      <c r="O46" s="28"/>
      <c r="P46" s="28"/>
      <c r="Q46" s="28"/>
      <c r="R46" s="28"/>
      <c r="S46" s="28" t="str">
        <f t="shared" si="13"/>
        <v xml:space="preserve">	assetSubNumber : string = '' ; </v>
      </c>
      <c r="T46" s="28" t="str">
        <f t="shared" si="14"/>
        <v xml:space="preserve">			this.assetSubNumber,</v>
      </c>
      <c r="U46" s="28" t="str">
        <f t="shared" si="15"/>
        <v xml:space="preserve">		this.assetSubNumber = '',</v>
      </c>
      <c r="V46" s="28" t="str">
        <f t="shared" si="8"/>
        <v>assetSubNumber</v>
      </c>
    </row>
    <row r="47" spans="1:22" ht="18" customHeight="1" x14ac:dyDescent="0.25">
      <c r="A47" s="70" t="s">
        <v>398</v>
      </c>
      <c r="B47" s="28" t="str">
        <f t="shared" si="0"/>
        <v>TransType</v>
      </c>
      <c r="C47" s="28" t="str">
        <f t="shared" si="1"/>
        <v>Trans Type</v>
      </c>
      <c r="D47" s="28" t="str">
        <f t="shared" si="2"/>
        <v>transType</v>
      </c>
      <c r="E47" s="28" t="str">
        <f>A.Backend!H26</f>
        <v>string</v>
      </c>
      <c r="F47" s="28" t="str">
        <f>A.Backend!G26</f>
        <v>50</v>
      </c>
      <c r="G47" s="28" t="str">
        <f t="shared" si="3"/>
        <v xml:space="preserve"> : string = '' ; </v>
      </c>
      <c r="H47" s="35" t="str">
        <f t="shared" si="4"/>
        <v xml:space="preserve">			{headerName: this.l('Trans Type'),headerTooltip: this.l('Trans Type'),field: 'transType',flex: 1},</v>
      </c>
      <c r="I47" s="35" t="str">
        <f t="shared" si="5"/>
        <v xml:space="preserve">								&lt;div class='input-search'&gt;
									&lt;input [(ngModel)]='transType' name='transType'
									class='form-control' [placeholder]="l('Trans Type')"
									type='text' (keyup.enter)='searchDatas()'&gt;
								&lt;/div&gt;</v>
      </c>
      <c r="J47" s="28"/>
      <c r="K47" s="35" t="str">
        <f t="shared" si="6"/>
        <v xml:space="preserve">					&lt;div class='col-md-12 form-group row'&gt;
						&lt;label class='col-md-2 form-control title'&gt;Trans Type&lt;/label&gt;
						&lt;input type='text' class='col-md-10 form-control input-text' name='TransType' [(ngModel)]='rowdata.transType'&gt;
					&lt;/div&gt;</v>
      </c>
      <c r="L47" s="56" t="str">
        <f t="shared" si="7"/>
        <v/>
      </c>
      <c r="M47" s="28"/>
      <c r="N47" s="28"/>
      <c r="O47" s="28"/>
      <c r="P47" s="28"/>
      <c r="Q47" s="28"/>
      <c r="R47" s="28"/>
      <c r="S47" s="28" t="str">
        <f t="shared" si="13"/>
        <v xml:space="preserve">	transType : string = '' ; </v>
      </c>
      <c r="T47" s="28" t="str">
        <f t="shared" si="14"/>
        <v xml:space="preserve">			this.transType,</v>
      </c>
      <c r="U47" s="28" t="str">
        <f t="shared" si="15"/>
        <v xml:space="preserve">		this.transType = '',</v>
      </c>
      <c r="V47" s="28" t="str">
        <f t="shared" si="8"/>
        <v/>
      </c>
    </row>
    <row r="48" spans="1:22" ht="15" customHeight="1" x14ac:dyDescent="0.25">
      <c r="A48" s="66" t="s">
        <v>368</v>
      </c>
      <c r="B48" s="28" t="str">
        <f t="shared" ref="B48" si="52">SUBSTITUTE(PROPER(A48),"_","")</f>
        <v>EndingOfRecord</v>
      </c>
      <c r="C48" s="28" t="str">
        <f t="shared" ref="C48" si="53">SUBSTITUTE(PROPER(A48),"_"," ")</f>
        <v>Ending Of Record</v>
      </c>
      <c r="D48" s="28" t="str">
        <f t="shared" ref="D48" si="54">LOWER(LEFT(B48,1))&amp;RIGHT(B48,LEN(B48) - 1)</f>
        <v>endingOfRecord</v>
      </c>
      <c r="E48" s="28" t="str">
        <f>A.Backend!H27</f>
        <v>string</v>
      </c>
      <c r="F48" s="28" t="str">
        <f>A.Backend!G27</f>
        <v>10</v>
      </c>
      <c r="G48" s="28" t="str">
        <f t="shared" si="3"/>
        <v xml:space="preserve"> : string = '' ; </v>
      </c>
      <c r="H48" s="35" t="str">
        <f t="shared" si="4"/>
        <v xml:space="preserve">			{headerName: this.l('Ending Of Record'),headerTooltip: this.l('Ending Of Record'),field: 'endingOfRecord',flex: 1},</v>
      </c>
      <c r="I48" s="35" t="str">
        <f t="shared" si="5"/>
        <v xml:space="preserve">								&lt;div class='input-search'&gt;
									&lt;input [(ngModel)]='endingOfRecord' name='endingOfRecord'
									class='form-control' [placeholder]="l('Ending Of Record')"
									type='text' (keyup.enter)='searchDatas()'&gt;
								&lt;/div&gt;</v>
      </c>
      <c r="J48" s="28"/>
      <c r="K48" s="35" t="str">
        <f t="shared" si="6"/>
        <v xml:space="preserve">					&lt;div class='col-md-12 form-group row'&gt;
						&lt;label class='col-md-2 form-control title'&gt;Ending Of Record&lt;/label&gt;
						&lt;input type='text' class='col-md-10 form-control input-text' name='EndingOfRecord' [(ngModel)]='rowdata.endingOfRecord'&gt;
					&lt;/div&gt;</v>
      </c>
      <c r="L48" s="56" t="str">
        <f t="shared" ref="L48" si="55">IF(E48="DateTime",
REPT(CHAR(9),2)&amp;"const dateValue =  this.rowdata."&amp;D48&amp;" ? new Date(this.rowdata."&amp;D48&amp;"?.toString()) : new Date();
"&amp;REPT(CHAR(9),2)&amp;"this.datepicker?.bsValueChange.emit(dateValue);","")</f>
        <v/>
      </c>
      <c r="M48" s="28"/>
      <c r="N48" s="28"/>
      <c r="O48" s="28"/>
      <c r="P48" s="28"/>
      <c r="Q48" s="28"/>
      <c r="R48" s="28"/>
      <c r="S48" s="28" t="str">
        <f t="shared" si="13"/>
        <v xml:space="preserve">	endingOfRecord : string = '' ; </v>
      </c>
      <c r="T48" s="28" t="str">
        <f t="shared" si="14"/>
        <v xml:space="preserve">			this.endingOfRecord,</v>
      </c>
      <c r="U48" s="28" t="str">
        <f t="shared" si="15"/>
        <v xml:space="preserve">		this.endingOfRecord = '',</v>
      </c>
      <c r="V48" s="28" t="str">
        <f t="shared" si="8"/>
        <v/>
      </c>
    </row>
    <row r="50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263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2023-08-08T02:50:07Z</dcterms:modified>
</cp:coreProperties>
</file>
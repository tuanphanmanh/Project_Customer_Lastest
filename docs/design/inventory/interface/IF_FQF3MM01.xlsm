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MmsPublish\docs\design\inventory\interface\"/>
    </mc:Choice>
  </mc:AlternateContent>
  <bookViews>
    <workbookView xWindow="-120" yWindow="-120" windowWidth="24240" windowHeight="1314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P11" i="1" s="1"/>
  <c r="E11" i="1"/>
  <c r="H11" i="1" s="1"/>
  <c r="G11" i="1"/>
  <c r="L11" i="1"/>
  <c r="D12" i="1"/>
  <c r="P12" i="1" s="1"/>
  <c r="E12" i="1"/>
  <c r="H12" i="1" s="1"/>
  <c r="G12" i="1"/>
  <c r="L12" i="1"/>
  <c r="D13" i="1"/>
  <c r="P13" i="1" s="1"/>
  <c r="E13" i="1"/>
  <c r="H13" i="1" s="1"/>
  <c r="G13" i="1"/>
  <c r="L13" i="1"/>
  <c r="D14" i="1"/>
  <c r="P14" i="1" s="1"/>
  <c r="E14" i="1"/>
  <c r="H14" i="1" s="1"/>
  <c r="G14" i="1"/>
  <c r="L14" i="1"/>
  <c r="D15" i="1"/>
  <c r="P15" i="1" s="1"/>
  <c r="E15" i="1"/>
  <c r="H15" i="1" s="1"/>
  <c r="G15" i="1"/>
  <c r="L15" i="1"/>
  <c r="D16" i="1"/>
  <c r="P16" i="1" s="1"/>
  <c r="E16" i="1"/>
  <c r="H16" i="1" s="1"/>
  <c r="G16" i="1"/>
  <c r="L16" i="1"/>
  <c r="D17" i="1"/>
  <c r="P17" i="1" s="1"/>
  <c r="E17" i="1"/>
  <c r="H17" i="1" s="1"/>
  <c r="G17" i="1"/>
  <c r="L17" i="1"/>
  <c r="D18" i="1"/>
  <c r="P18" i="1" s="1"/>
  <c r="E18" i="1"/>
  <c r="H18" i="1" s="1"/>
  <c r="I18" i="1" s="1"/>
  <c r="G18" i="1"/>
  <c r="L18" i="1"/>
  <c r="D19" i="1"/>
  <c r="P19" i="1" s="1"/>
  <c r="E19" i="1"/>
  <c r="H19" i="1" s="1"/>
  <c r="G19" i="1"/>
  <c r="L19" i="1"/>
  <c r="D20" i="1"/>
  <c r="P20" i="1" s="1"/>
  <c r="E20" i="1"/>
  <c r="H20" i="1" s="1"/>
  <c r="G20" i="1"/>
  <c r="L20" i="1"/>
  <c r="D21" i="1"/>
  <c r="E21" i="1"/>
  <c r="H21" i="1" s="1"/>
  <c r="J21" i="1" s="1"/>
  <c r="G21" i="1"/>
  <c r="L21" i="1"/>
  <c r="P21" i="1"/>
  <c r="D22" i="1"/>
  <c r="E22" i="1"/>
  <c r="H22" i="1" s="1"/>
  <c r="G22" i="1"/>
  <c r="L22" i="1"/>
  <c r="D23" i="1"/>
  <c r="P23" i="1" s="1"/>
  <c r="E23" i="1"/>
  <c r="H23" i="1" s="1"/>
  <c r="G23" i="1"/>
  <c r="L23" i="1"/>
  <c r="D24" i="1"/>
  <c r="V24" i="1" s="1"/>
  <c r="E24" i="1"/>
  <c r="H24" i="1" s="1"/>
  <c r="G24" i="1"/>
  <c r="F30" i="5" s="1"/>
  <c r="L24" i="1"/>
  <c r="D25" i="1"/>
  <c r="P25" i="1" s="1"/>
  <c r="E25" i="1"/>
  <c r="H25" i="1" s="1"/>
  <c r="G25" i="1"/>
  <c r="F31" i="5" s="1"/>
  <c r="L25" i="1"/>
  <c r="D26" i="1"/>
  <c r="T26" i="1" s="1"/>
  <c r="E26" i="1"/>
  <c r="H26" i="1" s="1"/>
  <c r="G26" i="1"/>
  <c r="F32" i="5" s="1"/>
  <c r="L26" i="1"/>
  <c r="D27" i="1"/>
  <c r="P27" i="1" s="1"/>
  <c r="E27" i="1"/>
  <c r="H27" i="1" s="1"/>
  <c r="G27" i="1"/>
  <c r="F33" i="5" s="1"/>
  <c r="L27" i="1"/>
  <c r="D28" i="1"/>
  <c r="P28" i="1" s="1"/>
  <c r="E28" i="1"/>
  <c r="H28" i="1" s="1"/>
  <c r="G28" i="1"/>
  <c r="F34" i="5" s="1"/>
  <c r="L28" i="1"/>
  <c r="D29" i="1"/>
  <c r="P29" i="1" s="1"/>
  <c r="E29" i="1"/>
  <c r="H29" i="1" s="1"/>
  <c r="G29" i="1"/>
  <c r="F35" i="5" s="1"/>
  <c r="L29" i="1"/>
  <c r="D30" i="1"/>
  <c r="P30" i="1" s="1"/>
  <c r="E30" i="1"/>
  <c r="H30" i="1" s="1"/>
  <c r="G30" i="1"/>
  <c r="F36" i="5" s="1"/>
  <c r="L30" i="1"/>
  <c r="D31" i="1"/>
  <c r="P31" i="1" s="1"/>
  <c r="E31" i="1"/>
  <c r="H31" i="1" s="1"/>
  <c r="N31" i="1" s="1"/>
  <c r="G31" i="1"/>
  <c r="F37" i="5" s="1"/>
  <c r="L31" i="1"/>
  <c r="D32" i="1"/>
  <c r="P32" i="1" s="1"/>
  <c r="E32" i="1"/>
  <c r="H32" i="1" s="1"/>
  <c r="O32" i="1" s="1"/>
  <c r="G32" i="1"/>
  <c r="F38" i="5" s="1"/>
  <c r="L32" i="1"/>
  <c r="D33" i="1"/>
  <c r="P33" i="1" s="1"/>
  <c r="E33" i="1"/>
  <c r="H33" i="1" s="1"/>
  <c r="G33" i="1"/>
  <c r="F39" i="5" s="1"/>
  <c r="L33" i="1"/>
  <c r="C30" i="5"/>
  <c r="B30" i="5"/>
  <c r="D30" i="5" s="1"/>
  <c r="T30" i="5" s="1"/>
  <c r="C29" i="5"/>
  <c r="B29" i="5"/>
  <c r="D29" i="5" s="1"/>
  <c r="T29" i="5" s="1"/>
  <c r="C28" i="5"/>
  <c r="B28" i="5"/>
  <c r="D28" i="5" s="1"/>
  <c r="T28" i="5" s="1"/>
  <c r="C27" i="5"/>
  <c r="B27" i="5"/>
  <c r="D27" i="5" s="1"/>
  <c r="T27" i="5" s="1"/>
  <c r="C26" i="5"/>
  <c r="B26" i="5"/>
  <c r="D26" i="5" s="1"/>
  <c r="T26" i="5" s="1"/>
  <c r="C25" i="5"/>
  <c r="B25" i="5"/>
  <c r="D25" i="5" s="1"/>
  <c r="T25" i="5" s="1"/>
  <c r="C24" i="5"/>
  <c r="B24" i="5"/>
  <c r="D24" i="5" s="1"/>
  <c r="T24" i="5" s="1"/>
  <c r="C23" i="5"/>
  <c r="B23" i="5"/>
  <c r="D23" i="5" s="1"/>
  <c r="T23" i="5" s="1"/>
  <c r="C22" i="5"/>
  <c r="B22" i="5"/>
  <c r="D22" i="5" s="1"/>
  <c r="T22" i="5" s="1"/>
  <c r="C21" i="5"/>
  <c r="B21" i="5"/>
  <c r="D21" i="5" s="1"/>
  <c r="T21" i="5" s="1"/>
  <c r="C20" i="5"/>
  <c r="B20" i="5"/>
  <c r="D20" i="5" s="1"/>
  <c r="T20" i="5" s="1"/>
  <c r="C19" i="5"/>
  <c r="B19" i="5"/>
  <c r="D19" i="5" s="1"/>
  <c r="T19" i="5" s="1"/>
  <c r="C18" i="5"/>
  <c r="B18" i="5"/>
  <c r="D18" i="5" s="1"/>
  <c r="T18" i="5" s="1"/>
  <c r="V28" i="1" l="1"/>
  <c r="J17" i="1"/>
  <c r="O22" i="1"/>
  <c r="I22" i="1"/>
  <c r="I27" i="1"/>
  <c r="I33" i="1"/>
  <c r="J33" i="1"/>
  <c r="N33" i="1"/>
  <c r="O33" i="1"/>
  <c r="J28" i="1"/>
  <c r="I28" i="1"/>
  <c r="J16" i="1"/>
  <c r="I16" i="1"/>
  <c r="M29" i="1"/>
  <c r="J29" i="1"/>
  <c r="N19" i="1"/>
  <c r="M19" i="1"/>
  <c r="I19" i="1"/>
  <c r="J19" i="1"/>
  <c r="O20" i="1"/>
  <c r="I20" i="1"/>
  <c r="M20" i="1"/>
  <c r="J22" i="1"/>
  <c r="O21" i="1"/>
  <c r="I21" i="1"/>
  <c r="N21" i="1"/>
  <c r="M21" i="1"/>
  <c r="J20" i="1"/>
  <c r="M31" i="1"/>
  <c r="N20" i="1"/>
  <c r="P22" i="1"/>
  <c r="J31" i="1"/>
  <c r="I17" i="1"/>
  <c r="I15" i="1"/>
  <c r="N22" i="1"/>
  <c r="M17" i="1"/>
  <c r="I29" i="1"/>
  <c r="M22" i="1"/>
  <c r="N32" i="1"/>
  <c r="M32" i="1"/>
  <c r="J18" i="1"/>
  <c r="T30" i="1"/>
  <c r="J30" i="1"/>
  <c r="M18" i="1"/>
  <c r="V32" i="1"/>
  <c r="I30" i="1"/>
  <c r="M33" i="1"/>
  <c r="M30" i="1"/>
  <c r="I23" i="1"/>
  <c r="J23" i="1"/>
  <c r="M23" i="1"/>
  <c r="N23" i="1"/>
  <c r="O23" i="1"/>
  <c r="I13" i="1"/>
  <c r="J13" i="1"/>
  <c r="M13" i="1"/>
  <c r="N13" i="1"/>
  <c r="O13" i="1"/>
  <c r="I25" i="1"/>
  <c r="J25" i="1"/>
  <c r="M25" i="1"/>
  <c r="N25" i="1"/>
  <c r="O25" i="1"/>
  <c r="I12" i="1"/>
  <c r="J12" i="1"/>
  <c r="M12" i="1"/>
  <c r="N12" i="1"/>
  <c r="O12" i="1"/>
  <c r="I24" i="1"/>
  <c r="J24" i="1"/>
  <c r="M24" i="1"/>
  <c r="N24" i="1"/>
  <c r="O24" i="1"/>
  <c r="I14" i="1"/>
  <c r="J14" i="1"/>
  <c r="M14" i="1"/>
  <c r="N14" i="1"/>
  <c r="O14" i="1"/>
  <c r="I11" i="1"/>
  <c r="J11" i="1"/>
  <c r="M11" i="1"/>
  <c r="N11" i="1"/>
  <c r="O11" i="1"/>
  <c r="I26" i="1"/>
  <c r="J26" i="1"/>
  <c r="M26" i="1"/>
  <c r="N26" i="1"/>
  <c r="O26" i="1"/>
  <c r="P24" i="1"/>
  <c r="J32" i="1"/>
  <c r="I32" i="1"/>
  <c r="P26" i="1"/>
  <c r="I31" i="1"/>
  <c r="E37" i="5"/>
  <c r="G37" i="5" s="1"/>
  <c r="W29" i="1"/>
  <c r="O27" i="1"/>
  <c r="O15" i="1"/>
  <c r="O28" i="1"/>
  <c r="N27" i="1"/>
  <c r="O16" i="1"/>
  <c r="N15" i="1"/>
  <c r="O29" i="1"/>
  <c r="N28" i="1"/>
  <c r="M27" i="1"/>
  <c r="O17" i="1"/>
  <c r="N16" i="1"/>
  <c r="M15" i="1"/>
  <c r="O30" i="1"/>
  <c r="N29" i="1"/>
  <c r="M28" i="1"/>
  <c r="O18" i="1"/>
  <c r="N17" i="1"/>
  <c r="M16" i="1"/>
  <c r="O31" i="1"/>
  <c r="N30" i="1"/>
  <c r="J27" i="1"/>
  <c r="O19" i="1"/>
  <c r="N18" i="1"/>
  <c r="J15" i="1"/>
  <c r="E38" i="5"/>
  <c r="W25" i="1"/>
  <c r="E32" i="5"/>
  <c r="V32" i="5" s="1"/>
  <c r="E30" i="5"/>
  <c r="H30" i="5" s="1"/>
  <c r="E34" i="5"/>
  <c r="G34" i="5" s="1"/>
  <c r="E39" i="5"/>
  <c r="G39" i="5" s="1"/>
  <c r="E33" i="5"/>
  <c r="G33" i="5" s="1"/>
  <c r="E36" i="5"/>
  <c r="G36" i="5" s="1"/>
  <c r="U30" i="5"/>
  <c r="I30" i="5"/>
  <c r="E35" i="5"/>
  <c r="E31" i="5"/>
  <c r="T27" i="1"/>
  <c r="V31" i="1"/>
  <c r="V26" i="1"/>
  <c r="T31" i="1"/>
  <c r="V30" i="1"/>
  <c r="W33" i="1"/>
  <c r="V27" i="1"/>
  <c r="W30" i="1"/>
  <c r="W28" i="1"/>
  <c r="W26" i="1"/>
  <c r="W24" i="1"/>
  <c r="W32" i="1"/>
  <c r="W27" i="1"/>
  <c r="W31" i="1"/>
  <c r="T25" i="1"/>
  <c r="T29" i="1"/>
  <c r="T33" i="1"/>
  <c r="V25" i="1"/>
  <c r="V29" i="1"/>
  <c r="V33" i="1"/>
  <c r="T24" i="1"/>
  <c r="T28" i="1"/>
  <c r="T32" i="1"/>
  <c r="B7" i="5"/>
  <c r="B6" i="5"/>
  <c r="B2" i="5"/>
  <c r="V33" i="5" l="1"/>
  <c r="K30" i="5"/>
  <c r="G32" i="5"/>
  <c r="V30" i="5"/>
  <c r="L30" i="5"/>
  <c r="G30" i="5"/>
  <c r="S30" i="5" s="1"/>
  <c r="V38" i="5"/>
  <c r="G38" i="5"/>
  <c r="V36" i="5"/>
  <c r="V34" i="5"/>
  <c r="G35" i="5"/>
  <c r="V35" i="5"/>
  <c r="V31" i="5"/>
  <c r="G31" i="5"/>
  <c r="B8" i="5"/>
  <c r="B3" i="5"/>
  <c r="C39" i="5"/>
  <c r="B39" i="5"/>
  <c r="D39" i="5" s="1"/>
  <c r="V39" i="5" s="1"/>
  <c r="C38" i="5"/>
  <c r="K38" i="5" s="1"/>
  <c r="B38" i="5"/>
  <c r="D38" i="5" s="1"/>
  <c r="I38" i="5" s="1"/>
  <c r="C37" i="5"/>
  <c r="B37" i="5"/>
  <c r="D37" i="5" s="1"/>
  <c r="V37" i="5" s="1"/>
  <c r="C36" i="5"/>
  <c r="B36" i="5"/>
  <c r="D36" i="5" s="1"/>
  <c r="C35" i="5"/>
  <c r="B35" i="5"/>
  <c r="D35" i="5" s="1"/>
  <c r="C34" i="5"/>
  <c r="K34" i="5" s="1"/>
  <c r="B34" i="5"/>
  <c r="D34" i="5" s="1"/>
  <c r="I34" i="5" s="1"/>
  <c r="C33" i="5"/>
  <c r="B33" i="5"/>
  <c r="D33" i="5" s="1"/>
  <c r="I33" i="5" s="1"/>
  <c r="F29" i="5"/>
  <c r="E29" i="5"/>
  <c r="V23" i="1"/>
  <c r="F28" i="5"/>
  <c r="E28" i="5"/>
  <c r="T22" i="1"/>
  <c r="F27" i="5"/>
  <c r="E27" i="5"/>
  <c r="V21" i="1"/>
  <c r="F26" i="5"/>
  <c r="T20" i="1"/>
  <c r="F25" i="5"/>
  <c r="E25" i="5"/>
  <c r="V19" i="1"/>
  <c r="F24" i="5"/>
  <c r="E24" i="5"/>
  <c r="T18" i="1"/>
  <c r="F23" i="5"/>
  <c r="E23" i="5"/>
  <c r="V17" i="1"/>
  <c r="F22" i="5"/>
  <c r="E22" i="5"/>
  <c r="T16" i="1"/>
  <c r="F21" i="5"/>
  <c r="E21" i="5"/>
  <c r="V15" i="1"/>
  <c r="F20" i="5"/>
  <c r="E20" i="5"/>
  <c r="T14" i="1"/>
  <c r="K33" i="5" l="1"/>
  <c r="H35" i="5"/>
  <c r="K35" i="5"/>
  <c r="H33" i="5"/>
  <c r="V28" i="5"/>
  <c r="U28" i="5"/>
  <c r="K28" i="5"/>
  <c r="I28" i="5"/>
  <c r="H28" i="5"/>
  <c r="G28" i="5"/>
  <c r="S28" i="5" s="1"/>
  <c r="L28" i="5"/>
  <c r="H22" i="5"/>
  <c r="G22" i="5"/>
  <c r="S22" i="5" s="1"/>
  <c r="L22" i="5"/>
  <c r="V22" i="5"/>
  <c r="U22" i="5"/>
  <c r="I22" i="5"/>
  <c r="K22" i="5"/>
  <c r="H34" i="5"/>
  <c r="T34" i="5"/>
  <c r="S34" i="5"/>
  <c r="U34" i="5"/>
  <c r="T35" i="5"/>
  <c r="S35" i="5"/>
  <c r="K25" i="5"/>
  <c r="I25" i="5"/>
  <c r="G25" i="5"/>
  <c r="S25" i="5" s="1"/>
  <c r="H25" i="5"/>
  <c r="V25" i="5"/>
  <c r="U25" i="5"/>
  <c r="L25" i="5"/>
  <c r="V29" i="5"/>
  <c r="L29" i="5"/>
  <c r="U29" i="5"/>
  <c r="K29" i="5"/>
  <c r="I29" i="5"/>
  <c r="H29" i="5"/>
  <c r="G29" i="5"/>
  <c r="S29" i="5" s="1"/>
  <c r="E26" i="5"/>
  <c r="S36" i="5"/>
  <c r="T36" i="5"/>
  <c r="I36" i="5"/>
  <c r="U36" i="5"/>
  <c r="H39" i="5"/>
  <c r="K39" i="5"/>
  <c r="S37" i="5"/>
  <c r="T37" i="5"/>
  <c r="I37" i="5"/>
  <c r="U37" i="5"/>
  <c r="U35" i="5"/>
  <c r="K36" i="5"/>
  <c r="H36" i="5"/>
  <c r="V20" i="5"/>
  <c r="U20" i="5"/>
  <c r="K20" i="5"/>
  <c r="L20" i="5"/>
  <c r="I20" i="5"/>
  <c r="H20" i="5"/>
  <c r="G20" i="5"/>
  <c r="S20" i="5" s="1"/>
  <c r="K37" i="5"/>
  <c r="H37" i="5"/>
  <c r="I23" i="5"/>
  <c r="H23" i="5"/>
  <c r="G23" i="5"/>
  <c r="S23" i="5" s="1"/>
  <c r="V23" i="5"/>
  <c r="U23" i="5"/>
  <c r="K23" i="5"/>
  <c r="L23" i="5"/>
  <c r="U27" i="5"/>
  <c r="I27" i="5"/>
  <c r="K27" i="5"/>
  <c r="H27" i="5"/>
  <c r="G27" i="5"/>
  <c r="S27" i="5" s="1"/>
  <c r="V27" i="5"/>
  <c r="L27" i="5"/>
  <c r="L24" i="5"/>
  <c r="K24" i="5"/>
  <c r="I24" i="5"/>
  <c r="H24" i="5"/>
  <c r="G24" i="5"/>
  <c r="S24" i="5" s="1"/>
  <c r="V24" i="5"/>
  <c r="U24" i="5"/>
  <c r="H38" i="5"/>
  <c r="T38" i="5"/>
  <c r="S38" i="5"/>
  <c r="U38" i="5"/>
  <c r="G21" i="5"/>
  <c r="S21" i="5" s="1"/>
  <c r="V21" i="5"/>
  <c r="U21" i="5"/>
  <c r="H21" i="5"/>
  <c r="L21" i="5"/>
  <c r="K21" i="5"/>
  <c r="I21" i="5"/>
  <c r="T33" i="5"/>
  <c r="S33" i="5"/>
  <c r="U33" i="5"/>
  <c r="T39" i="5"/>
  <c r="S39" i="5"/>
  <c r="U39" i="5"/>
  <c r="I39" i="5"/>
  <c r="I35" i="5"/>
  <c r="L35" i="5"/>
  <c r="L37" i="5"/>
  <c r="L33" i="5"/>
  <c r="L38" i="5"/>
  <c r="L34" i="5"/>
  <c r="L36" i="5"/>
  <c r="W15" i="1"/>
  <c r="W19" i="1"/>
  <c r="W23" i="1"/>
  <c r="W21" i="1"/>
  <c r="V18" i="1"/>
  <c r="V20" i="1"/>
  <c r="V22" i="1"/>
  <c r="W18" i="1"/>
  <c r="T19" i="1"/>
  <c r="W20" i="1"/>
  <c r="T21" i="1"/>
  <c r="W22" i="1"/>
  <c r="T23" i="1"/>
  <c r="W17" i="1"/>
  <c r="W16" i="1"/>
  <c r="W14" i="1"/>
  <c r="T15" i="1"/>
  <c r="T17" i="1"/>
  <c r="V14" i="1"/>
  <c r="V16" i="1"/>
  <c r="C31" i="5"/>
  <c r="B31" i="5"/>
  <c r="D31" i="5" s="1"/>
  <c r="C17" i="5"/>
  <c r="B17" i="5"/>
  <c r="D17" i="5" s="1"/>
  <c r="C16" i="5"/>
  <c r="B16" i="5"/>
  <c r="D16" i="5" s="1"/>
  <c r="I31" i="5" l="1"/>
  <c r="H31" i="5"/>
  <c r="K31" i="5"/>
  <c r="L26" i="5"/>
  <c r="K26" i="5"/>
  <c r="H26" i="5"/>
  <c r="I26" i="5"/>
  <c r="G26" i="5"/>
  <c r="S26" i="5" s="1"/>
  <c r="U26" i="5"/>
  <c r="V26" i="5"/>
  <c r="T16" i="5"/>
  <c r="T17" i="5"/>
  <c r="T31" i="5"/>
  <c r="S31" i="5"/>
  <c r="U31" i="5"/>
  <c r="L39" i="5"/>
  <c r="B6" i="1"/>
  <c r="F19" i="5"/>
  <c r="E19" i="5"/>
  <c r="V13" i="1"/>
  <c r="U19" i="5" l="1"/>
  <c r="V19" i="5"/>
  <c r="K19" i="5"/>
  <c r="I19" i="5"/>
  <c r="H19" i="5"/>
  <c r="G19" i="5"/>
  <c r="S19" i="5" s="1"/>
  <c r="L19" i="5"/>
  <c r="W13" i="1"/>
  <c r="T13" i="1"/>
  <c r="C32" i="5"/>
  <c r="K32" i="5" s="1"/>
  <c r="B32" i="5"/>
  <c r="D32" i="5" s="1"/>
  <c r="I32" i="5" s="1"/>
  <c r="C15" i="5"/>
  <c r="B15" i="5"/>
  <c r="D15" i="5" s="1"/>
  <c r="T15" i="5" s="1"/>
  <c r="F18" i="5"/>
  <c r="E18" i="5"/>
  <c r="V12" i="1"/>
  <c r="F17" i="5"/>
  <c r="E17" i="5"/>
  <c r="T11" i="1"/>
  <c r="T32" i="5" l="1"/>
  <c r="S32" i="5"/>
  <c r="U32" i="5"/>
  <c r="H32" i="5"/>
  <c r="V17" i="5"/>
  <c r="U17" i="5"/>
  <c r="K17" i="5"/>
  <c r="I17" i="5"/>
  <c r="H17" i="5"/>
  <c r="G17" i="5"/>
  <c r="S17" i="5" s="1"/>
  <c r="V18" i="5"/>
  <c r="U18" i="5"/>
  <c r="K18" i="5"/>
  <c r="I18" i="5"/>
  <c r="H18" i="5"/>
  <c r="G18" i="5"/>
  <c r="S18" i="5" s="1"/>
  <c r="L18" i="5"/>
  <c r="L31" i="5"/>
  <c r="L17" i="5"/>
  <c r="W12" i="1"/>
  <c r="V11" i="1"/>
  <c r="W11" i="1"/>
  <c r="T12" i="1"/>
  <c r="G9" i="1" l="1"/>
  <c r="F15" i="5" s="1"/>
  <c r="E9" i="1"/>
  <c r="H9" i="1" s="1"/>
  <c r="E15" i="5" s="1"/>
  <c r="D9" i="1"/>
  <c r="V9" i="1" s="1"/>
  <c r="U15" i="5" l="1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B4" i="5" s="1"/>
  <c r="B5" i="5" s="1"/>
  <c r="G10" i="1" l="1"/>
  <c r="F16" i="5" s="1"/>
  <c r="E10" i="1"/>
  <c r="H10" i="1" s="1"/>
  <c r="E16" i="5" s="1"/>
  <c r="D10" i="1"/>
  <c r="T10" i="1" s="1"/>
  <c r="V16" i="5" l="1"/>
  <c r="U16" i="5"/>
  <c r="K16" i="5"/>
  <c r="I16" i="5"/>
  <c r="H16" i="5"/>
  <c r="G16" i="5"/>
  <c r="S16" i="5" s="1"/>
  <c r="L16" i="5"/>
  <c r="L32" i="5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35" i="1"/>
  <c r="K12" i="5" l="1"/>
  <c r="H12" i="5"/>
  <c r="V12" i="5"/>
  <c r="T12" i="5"/>
  <c r="U12" i="5"/>
  <c r="I12" i="5"/>
  <c r="L12" i="5"/>
  <c r="S12" i="5"/>
  <c r="R3" i="1" l="1"/>
  <c r="D1" i="1"/>
  <c r="F6" i="1"/>
  <c r="T35" i="1"/>
  <c r="T13" i="5"/>
  <c r="T7" i="1" l="1"/>
  <c r="W35" i="1"/>
  <c r="G6" i="1" l="1"/>
  <c r="U13" i="5"/>
  <c r="S13" i="5"/>
  <c r="L13" i="5"/>
  <c r="K13" i="5"/>
  <c r="I13" i="5"/>
  <c r="H13" i="5"/>
  <c r="V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9" i="1" l="1"/>
  <c r="L10" i="1"/>
  <c r="C7" i="1"/>
  <c r="I35" i="1"/>
  <c r="P35" i="1"/>
  <c r="J35" i="1"/>
  <c r="N35" i="1"/>
  <c r="O35" i="1"/>
  <c r="Q7" i="1" l="1"/>
  <c r="M68" i="3" s="1"/>
  <c r="L7" i="1"/>
  <c r="G68" i="3" s="1"/>
  <c r="K68" i="3"/>
  <c r="J68" i="3"/>
  <c r="K35" i="1"/>
  <c r="M35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<sst xmlns="http://schemas.openxmlformats.org/spreadsheetml/2006/main" count="531" uniqueCount="399">
  <si>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</si>
  <si>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</si>
  <si>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</si>
  <si>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</si>
  <si>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</si>
  <si>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</si>
  <si>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</si>
  <si>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</si>
  <si>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</si>
  <si>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</si>
  <si>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</si>
  <si>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</si>
  <si>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</si>
  <si>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</si>
  <si>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</si>
  <si>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</si>
  <si>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</si>
  <si>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</si>
  <si>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</si>
  <si>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</si>
  <si>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</si>
  <si>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</si>
  <si>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</si>
  <si>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</si>
  <si>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</si>
  <si>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</si>
  <si>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</si>
  <si>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</si>
  <si>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</si>
  <si>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</si>
  <si>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</si>
  <si>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</si>
  <si>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</si>
  <si>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</si>
  <si>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</si>
  <si>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</si>
  <si>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</si>
  <si>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</si>
  <si>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</si>
  <si>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</si>
  <si>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</si>
  <si>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</si>
  <si>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</si>
  <si>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</si>
  <si>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</si>
  <si>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</si>
  <si>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</si>
  <si>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</si>
  <si>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</si>
  <si>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</si>
  <si>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</si>
  <si>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</si>
  <si>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</si>
  <si>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</si>
  <si>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</si>
  <si>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</si>
  <si>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</si>
  <si>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</si>
  <si>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</si>
  <si>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</si>
  <si>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</si>
  <si>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</si>
  <si>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</si>
  <si>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</si>
  <si>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</si>
  <si>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</si>
  <si>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</si>
  <si>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</si>
  <si>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</si>
  <si>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</si>
  <si>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</si>
  <si>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</si>
  <si>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</si>
  <si>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</si>
  <si>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</si>
  <si>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</si>
  <si>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</si>
  <si>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</si>
  <si>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</si>
  <si>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</si>
  <si>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</si>
  <si>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</si>
  <si>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</si>
  <si>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</si>
  <si>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</si>
  <si>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</si>
  <si>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</si>
  <si>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</si>
  <si>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</si>
  <si>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</si>
  <si>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</si>
  <si>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</si>
  <si>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</si>
  <si>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</si>
  <si>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</si>
  <si>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</si>
  <si>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</si>
  <si>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</si>
  <si>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</si>
  <si>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</si>
  <si>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</si>
  <si>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</si>
  <si>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</si>
  <si>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</si>
  <si>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</si>
  <si>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</si>
  <si>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</si>
  <si>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</si>
  <si>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</si>
  <si>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</si>
  <si>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</si>
  <si>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</si>
  <si>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</si>
  <si>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</si>
  <si>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</si>
  <si>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</si>
  <si>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</si>
  <si>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</si>
  <si>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</si>
  <si>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</si>
  <si>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</si>
  <si>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</si>
  <si>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</si>
  <si>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</si>
  <si>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</si>
  <si>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</si>
  <si>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</si>
  <si>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</si>
  <si>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</si>
  <si>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</si>
  <si>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</si>
  <si>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</si>
  <si>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</si>
  <si>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</si>
  <si>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</si>
  <si>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</si>
  <si>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</si>
  <si>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</si>
  <si>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</si>
  <si>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</si>
  <si>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</si>
  <si>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</si>
  <si>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</si>
  <si>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</si>
  <si>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</si>
  <si>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</si>
  <si>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</si>
  <si>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</si>
  <si>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</si>
  <si>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</si>
  <si>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</si>
  <si>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</si>
  <si>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</si>
  <si>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</si>
  <si>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</si>
  <si>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</si>
  <si>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</si>
  <si>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</si>
  <si>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</si>
  <si>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</si>
  <si>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</si>
  <si>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</si>
  <si>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</si>
  <si>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</si>
  <si>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</si>
  <si>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</si>
  <si>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</si>
  <si>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</si>
  <si>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</si>
  <si>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</si>
  <si>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</si>
  <si>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</si>
  <si>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</si>
  <si>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</si>
  <si>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</si>
  <si>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</si>
  <si>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</si>
  <si>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</si>
  <si>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</si>
  <si>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</si>
  <si>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</si>
  <si>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</si>
  <si>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</si>
  <si>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</si>
  <si>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</si>
  <si>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</si>
  <si>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</si>
  <si>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</si>
  <si>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</si>
  <si>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</si>
  <si>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</si>
  <si>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</si>
  <si>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</si>
  <si>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</si>
  <si>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</si>
  <si>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</si>
  <si>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</si>
  <si>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</si>
  <si>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</si>
  <si>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</si>
  <si>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</si>
  <si>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</si>
  <si>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</si>
  <si>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</si>
  <si>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</si>
  <si>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</si>
  <si>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</si>
  <si>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</si>
  <si>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</si>
  <si>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</si>
  <si>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</si>
  <si>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</si>
  <si>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</si>
  <si>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</si>
  <si>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</si>
  <si>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</si>
  <si>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</si>
  <si>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</si>
  <si>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</si>
  <si>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</si>
  <si>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</si>
  <si>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</si>
  <si>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</si>
  <si>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</si>
  <si>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</si>
  <si>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</si>
  <si>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</si>
  <si>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</si>
  <si>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</si>
  <si>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</si>
  <si>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</si>
  <si>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</si>
  <si>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</si>
  <si>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</si>
  <si>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</si>
  <si>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</si>
  <si>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</si>
  <si>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</si>
  <si>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</si>
  <si>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</si>
  <si>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</si>
  <si>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</si>
  <si>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</si>
  <si>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</si>
  <si>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</si>
  <si>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</si>
  <si>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</si>
  <si>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</si>
  <si>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</si>
  <si>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</si>
  <si>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</si>
  <si>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</si>
  <si>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</si>
  <si>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</si>
  <si>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</si>
  <si>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</si>
  <si>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</si>
  <si>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</si>
  <si>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</si>
  <si>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</si>
  <si>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</si>
  <si>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</si>
  <si>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</si>
  <si>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</si>
  <si>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</si>
  <si>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</si>
  <si>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</si>
  <si>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</si>
  <si>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</si>
  <si>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</si>
  <si>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</si>
  <si>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</si>
  <si>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</si>
  <si>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</si>
  <si>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</si>
  <si>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</si>
  <si>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</si>
  <si>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</si>
  <si>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</si>
  <si>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</si>
  <si>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</si>
  <si>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</si>
  <si>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</si>
  <si>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</si>
  <si>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</si>
  <si>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</si>
  <si>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</si>
  <si>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</si>
  <si>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</si>
  <si>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</si>
  <si>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</si>
  <si>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</si>
  <si>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</si>
  <si>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</si>
  <si>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</si>
  <si>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</si>
  <si>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</si>
  <si>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</si>
  <si>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</si>
  <si>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</si>
  <si>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</si>
  <si>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</si>
  <si>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</si>
  <si>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</si>
  <si>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</si>
  <si>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</si>
  <si>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</si>
  <si>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</si>
  <si>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</si>
  <si>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</si>
  <si>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</si>
  <si>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</si>
  <si>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</si>
  <si>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</si>
  <si>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</si>
  <si>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</si>
  <si>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</si>
  <si>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</si>
  <si>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</si>
  <si>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</si>
  <si>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</si>
  <si>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</si>
  <si>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</si>
  <si>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</si>
  <si>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</si>
  <si>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</si>
  <si>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</si>
  <si>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</si>
  <si>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</si>
  <si>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</si>
  <si>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</si>
  <si>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</si>
  <si>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</si>
  <si>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</si>
  <si>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</si>
  <si>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</si>
  <si>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</si>
  <si>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</si>
  <si>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</si>
  <si>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</si>
  <si>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</si>
  <si>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</si>
  <si>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</si>
  <si>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</si>
  <si>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</si>
  <si>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</si>
  <si>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</si>
  <si>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</si>
  <si>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</si>
  <si>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</si>
  <si>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</si>
  <si>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</si>
  <si>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</si>
  <si>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</si>
  <si>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VARCHAR(10)</t>
  </si>
  <si>
    <t>VARCHAR(4)</t>
  </si>
  <si>
    <t>VARCHAR(30)</t>
  </si>
  <si>
    <t>VARCHAR(2)</t>
  </si>
  <si>
    <t>VARCHAR(20)</t>
  </si>
  <si>
    <t>VARCHAR(200)</t>
  </si>
  <si>
    <t>VARCHAR(1)</t>
  </si>
  <si>
    <t>IF_FQF3MM01</t>
  </si>
  <si>
    <t>Inventory.IF</t>
  </si>
  <si>
    <t>IF</t>
  </si>
  <si>
    <t>FQF3MM01</t>
  </si>
  <si>
    <t>RECORD_ID</t>
  </si>
  <si>
    <t>VIN</t>
  </si>
  <si>
    <t xml:space="preserve">URN  </t>
  </si>
  <si>
    <t>SPEC_SHEET_NO</t>
  </si>
  <si>
    <t xml:space="preserve">ID_LINE </t>
  </si>
  <si>
    <t>KATASHIKI</t>
  </si>
  <si>
    <t>SALE_KATASHIKI</t>
  </si>
  <si>
    <t>SALE_SUFFIX</t>
  </si>
  <si>
    <t xml:space="preserve">SPEC_200_DIGITS </t>
  </si>
  <si>
    <t>PRODUCTION_SUFFIX</t>
  </si>
  <si>
    <t xml:space="preserve">LOT_CODE   </t>
  </si>
  <si>
    <t>ENGINE_PREFIX</t>
  </si>
  <si>
    <t>ENGINE_NO</t>
  </si>
  <si>
    <t>PLANT_CODE</t>
  </si>
  <si>
    <t>CURRENT_STATUS</t>
  </si>
  <si>
    <t>LINE_OFF_DATETIME</t>
  </si>
  <si>
    <t>INTERIOR_COLOR</t>
  </si>
  <si>
    <t>EXTERIOR_COLOR</t>
  </si>
  <si>
    <t>DESTINATION_CODE</t>
  </si>
  <si>
    <t xml:space="preserve">ED_ODNO </t>
  </si>
  <si>
    <t xml:space="preserve">CANCEL_FLAG  </t>
  </si>
  <si>
    <t>SMS_CAR_FAMILY_CODE</t>
  </si>
  <si>
    <t>ORDER_TYPE</t>
  </si>
  <si>
    <t>KATASHIKI_CODE</t>
  </si>
  <si>
    <t>End_Of_Record</t>
  </si>
  <si>
    <t>VARCHAR(17)</t>
  </si>
  <si>
    <t>VARCHAR(5)</t>
  </si>
  <si>
    <t>VARCHAR(14)</t>
  </si>
  <si>
    <t>URN</t>
  </si>
  <si>
    <t>ID_LINE</t>
  </si>
  <si>
    <t>SPEC_200_DIGITS</t>
  </si>
  <si>
    <t>LOT_CODE</t>
  </si>
  <si>
    <t>ED_ODNO</t>
  </si>
  <si>
    <t>CANCEL_FLAG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</si>
</sst>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39" zoomScaleNormal="100" workbookViewId="0">
      <selection activeCell="D62" sqref="D62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71</v>
      </c>
    </row>
    <row r="2" spans="1:7" ht="15.75" x14ac:dyDescent="0.25">
      <c r="A2" s="1"/>
      <c r="B2" s="25" t="s">
        <v>193</v>
      </c>
    </row>
    <row r="3" spans="1:7" x14ac:dyDescent="0.25">
      <c r="A3" s="1"/>
      <c r="B3" s="1" t="s">
        <v>74</v>
      </c>
    </row>
    <row r="4" spans="1:7" x14ac:dyDescent="0.25">
      <c r="A4" s="1"/>
      <c r="B4" t="s">
        <v>73</v>
      </c>
    </row>
    <row r="5" spans="1:7" x14ac:dyDescent="0.25">
      <c r="A5" s="1"/>
      <c r="B5" t="s">
        <v>76</v>
      </c>
    </row>
    <row r="6" spans="1:7" x14ac:dyDescent="0.25">
      <c r="A6" s="1"/>
      <c r="B6" t="s">
        <v>84</v>
      </c>
    </row>
    <row r="7" spans="1:7" x14ac:dyDescent="0.25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25">
      <c r="A8" s="1"/>
      <c r="C8" t="s">
        <v>86</v>
      </c>
      <c r="F8" s="1" t="s">
        <v>230</v>
      </c>
      <c r="G8" t="s">
        <v>230</v>
      </c>
    </row>
    <row r="9" spans="1:7" x14ac:dyDescent="0.25">
      <c r="A9" s="1"/>
      <c r="C9" t="s">
        <v>85</v>
      </c>
      <c r="F9" s="1" t="s">
        <v>95</v>
      </c>
      <c r="G9" t="s">
        <v>95</v>
      </c>
    </row>
    <row r="10" spans="1:7" x14ac:dyDescent="0.25">
      <c r="A10" s="1"/>
      <c r="D10" t="s">
        <v>86</v>
      </c>
      <c r="F10" s="1" t="s">
        <v>230</v>
      </c>
      <c r="G10" t="s">
        <v>281</v>
      </c>
    </row>
    <row r="11" spans="1:7" x14ac:dyDescent="0.25">
      <c r="A11" s="1"/>
      <c r="D11" t="s">
        <v>87</v>
      </c>
      <c r="F11" s="1" t="s">
        <v>96</v>
      </c>
      <c r="G11" t="s">
        <v>282</v>
      </c>
    </row>
    <row r="12" spans="1:7" x14ac:dyDescent="0.25">
      <c r="A12" s="1"/>
      <c r="D12" t="s">
        <v>88</v>
      </c>
      <c r="F12" s="1" t="s">
        <v>97</v>
      </c>
      <c r="G12" t="s">
        <v>283</v>
      </c>
    </row>
    <row r="13" spans="1:7" x14ac:dyDescent="0.25">
      <c r="A13" s="1"/>
      <c r="D13" t="s">
        <v>89</v>
      </c>
      <c r="F13" s="1" t="s">
        <v>98</v>
      </c>
      <c r="G13" t="s">
        <v>284</v>
      </c>
    </row>
    <row r="14" spans="1:7" x14ac:dyDescent="0.25">
      <c r="A14" s="1"/>
      <c r="D14" t="s">
        <v>90</v>
      </c>
      <c r="F14" s="1" t="s">
        <v>99</v>
      </c>
      <c r="G14" t="s">
        <v>285</v>
      </c>
    </row>
    <row r="15" spans="1:7" x14ac:dyDescent="0.25">
      <c r="A15" s="1"/>
      <c r="D15" t="s">
        <v>91</v>
      </c>
      <c r="F15" s="1" t="s">
        <v>100</v>
      </c>
      <c r="G15" t="s">
        <v>286</v>
      </c>
    </row>
    <row r="16" spans="1:7" ht="12" customHeight="1" x14ac:dyDescent="0.25">
      <c r="A16" s="1"/>
      <c r="D16" t="s">
        <v>266</v>
      </c>
      <c r="F16" s="1" t="s">
        <v>267</v>
      </c>
      <c r="G16" t="s">
        <v>287</v>
      </c>
    </row>
    <row r="17" spans="1:7" ht="12" customHeight="1" x14ac:dyDescent="0.25">
      <c r="A17" s="1"/>
      <c r="D17" t="s">
        <v>301</v>
      </c>
      <c r="F17" s="1" t="s">
        <v>302</v>
      </c>
      <c r="G17" t="s">
        <v>303</v>
      </c>
    </row>
    <row r="18" spans="1:7" x14ac:dyDescent="0.25">
      <c r="A18" s="1"/>
      <c r="D18" t="s">
        <v>345</v>
      </c>
      <c r="F18" s="1" t="s">
        <v>347</v>
      </c>
      <c r="G18" t="s">
        <v>346</v>
      </c>
    </row>
    <row r="19" spans="1:7" x14ac:dyDescent="0.25">
      <c r="A19" s="1"/>
      <c r="C19" t="s">
        <v>88</v>
      </c>
      <c r="F19" s="1" t="s">
        <v>97</v>
      </c>
      <c r="G19" t="s">
        <v>97</v>
      </c>
    </row>
    <row r="20" spans="1:7" x14ac:dyDescent="0.25">
      <c r="A20" s="1"/>
      <c r="D20" t="s">
        <v>92</v>
      </c>
      <c r="F20" s="1" t="s">
        <v>111</v>
      </c>
      <c r="G20" t="s">
        <v>288</v>
      </c>
    </row>
    <row r="21" spans="1:7" x14ac:dyDescent="0.25">
      <c r="A21" s="1"/>
      <c r="D21" t="s">
        <v>93</v>
      </c>
      <c r="F21" s="1" t="s">
        <v>101</v>
      </c>
      <c r="G21" t="s">
        <v>289</v>
      </c>
    </row>
    <row r="22" spans="1:7" x14ac:dyDescent="0.25">
      <c r="A22" s="1"/>
      <c r="C22" t="s">
        <v>89</v>
      </c>
      <c r="F22" s="1" t="s">
        <v>98</v>
      </c>
      <c r="G22" t="s">
        <v>98</v>
      </c>
    </row>
    <row r="23" spans="1:7" x14ac:dyDescent="0.25">
      <c r="A23" s="1"/>
      <c r="D23" t="s">
        <v>92</v>
      </c>
      <c r="F23" s="1" t="s">
        <v>111</v>
      </c>
      <c r="G23" t="s">
        <v>298</v>
      </c>
    </row>
    <row r="24" spans="1:7" x14ac:dyDescent="0.25">
      <c r="A24" s="1"/>
      <c r="C24" t="s">
        <v>87</v>
      </c>
      <c r="F24" s="1" t="s">
        <v>96</v>
      </c>
      <c r="G24" t="s">
        <v>96</v>
      </c>
    </row>
    <row r="25" spans="1:7" x14ac:dyDescent="0.25">
      <c r="A25" s="1"/>
      <c r="D25" t="s">
        <v>92</v>
      </c>
      <c r="F25" s="1" t="s">
        <v>111</v>
      </c>
      <c r="G25" t="s">
        <v>297</v>
      </c>
    </row>
    <row r="26" spans="1:7" x14ac:dyDescent="0.25">
      <c r="A26" s="1"/>
      <c r="C26" t="s">
        <v>90</v>
      </c>
      <c r="F26" s="1" t="s">
        <v>99</v>
      </c>
      <c r="G26" t="s">
        <v>99</v>
      </c>
    </row>
    <row r="27" spans="1:7" x14ac:dyDescent="0.25">
      <c r="A27" s="1"/>
      <c r="C27" t="s">
        <v>266</v>
      </c>
      <c r="F27" s="1" t="s">
        <v>267</v>
      </c>
      <c r="G27" t="s">
        <v>267</v>
      </c>
    </row>
    <row r="28" spans="1:7" x14ac:dyDescent="0.25">
      <c r="A28" s="1"/>
      <c r="D28" t="s">
        <v>268</v>
      </c>
      <c r="F28" s="1" t="s">
        <v>270</v>
      </c>
      <c r="G28" t="s">
        <v>290</v>
      </c>
    </row>
    <row r="29" spans="1:7" x14ac:dyDescent="0.25">
      <c r="A29" s="1"/>
      <c r="D29" t="s">
        <v>271</v>
      </c>
      <c r="F29" s="1" t="s">
        <v>269</v>
      </c>
      <c r="G29" t="s">
        <v>291</v>
      </c>
    </row>
    <row r="30" spans="1:7" x14ac:dyDescent="0.25">
      <c r="A30" s="1"/>
      <c r="D30" t="s">
        <v>272</v>
      </c>
      <c r="F30" s="1" t="s">
        <v>275</v>
      </c>
      <c r="G30" t="s">
        <v>292</v>
      </c>
    </row>
    <row r="31" spans="1:7" x14ac:dyDescent="0.25">
      <c r="A31" s="1"/>
      <c r="D31" t="s">
        <v>273</v>
      </c>
      <c r="F31" s="1" t="s">
        <v>276</v>
      </c>
      <c r="G31" t="s">
        <v>293</v>
      </c>
    </row>
    <row r="32" spans="1:7" x14ac:dyDescent="0.25">
      <c r="A32" s="1"/>
      <c r="D32" t="s">
        <v>274</v>
      </c>
      <c r="F32" s="1" t="s">
        <v>277</v>
      </c>
      <c r="G32" t="s">
        <v>294</v>
      </c>
    </row>
    <row r="33" spans="1:8" x14ac:dyDescent="0.25">
      <c r="A33" s="1"/>
      <c r="D33" t="s">
        <v>279</v>
      </c>
      <c r="F33" s="1" t="s">
        <v>278</v>
      </c>
      <c r="G33" t="s">
        <v>295</v>
      </c>
    </row>
    <row r="34" spans="1:8" x14ac:dyDescent="0.25">
      <c r="A34" s="1"/>
      <c r="C34" t="s">
        <v>301</v>
      </c>
      <c r="F34" s="1" t="s">
        <v>302</v>
      </c>
      <c r="G34" t="s">
        <v>302</v>
      </c>
    </row>
    <row r="35" spans="1:8" x14ac:dyDescent="0.25">
      <c r="A35" s="1"/>
      <c r="D35" t="s">
        <v>304</v>
      </c>
      <c r="F35" s="1" t="s">
        <v>305</v>
      </c>
      <c r="G35" t="s">
        <v>306</v>
      </c>
    </row>
    <row r="36" spans="1:8" x14ac:dyDescent="0.25">
      <c r="A36" s="1"/>
      <c r="D36" t="s">
        <v>93</v>
      </c>
      <c r="F36" s="1" t="s">
        <v>101</v>
      </c>
      <c r="G36" t="s">
        <v>307</v>
      </c>
    </row>
    <row r="37" spans="1:8" x14ac:dyDescent="0.25">
      <c r="A37" s="1"/>
      <c r="D37" t="s">
        <v>308</v>
      </c>
      <c r="F37" s="1" t="s">
        <v>309</v>
      </c>
      <c r="G37" t="s">
        <v>310</v>
      </c>
    </row>
    <row r="38" spans="1:8" x14ac:dyDescent="0.25">
      <c r="A38" s="1"/>
      <c r="D38" t="s">
        <v>311</v>
      </c>
      <c r="F38" s="1" t="s">
        <v>312</v>
      </c>
      <c r="G38" t="s">
        <v>313</v>
      </c>
    </row>
    <row r="39" spans="1:8" x14ac:dyDescent="0.25">
      <c r="A39" s="1"/>
      <c r="D39" t="s">
        <v>315</v>
      </c>
      <c r="F39" s="1" t="s">
        <v>316</v>
      </c>
      <c r="G39" t="s">
        <v>317</v>
      </c>
    </row>
    <row r="40" spans="1:8" x14ac:dyDescent="0.25">
      <c r="A40" s="1"/>
      <c r="C40" t="s">
        <v>314</v>
      </c>
      <c r="F40" s="1" t="s">
        <v>296</v>
      </c>
      <c r="G40" t="s">
        <v>296</v>
      </c>
    </row>
    <row r="41" spans="1:8" x14ac:dyDescent="0.25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25">
      <c r="A42" s="1"/>
      <c r="C42" t="s">
        <v>319</v>
      </c>
      <c r="F42" s="1" t="s">
        <v>332</v>
      </c>
      <c r="G42" t="s">
        <v>332</v>
      </c>
    </row>
    <row r="43" spans="1:8" x14ac:dyDescent="0.25">
      <c r="A43" s="1"/>
      <c r="D43" t="s">
        <v>320</v>
      </c>
      <c r="F43" s="1" t="s">
        <v>326</v>
      </c>
      <c r="G43" t="s">
        <v>333</v>
      </c>
    </row>
    <row r="44" spans="1:8" x14ac:dyDescent="0.25">
      <c r="A44" s="1"/>
      <c r="D44" t="s">
        <v>322</v>
      </c>
      <c r="F44" s="1" t="s">
        <v>327</v>
      </c>
      <c r="G44" t="s">
        <v>334</v>
      </c>
    </row>
    <row r="45" spans="1:8" x14ac:dyDescent="0.25">
      <c r="A45" s="1"/>
      <c r="D45" t="s">
        <v>321</v>
      </c>
      <c r="F45" s="1" t="s">
        <v>328</v>
      </c>
      <c r="G45" t="s">
        <v>335</v>
      </c>
    </row>
    <row r="46" spans="1:8" x14ac:dyDescent="0.25">
      <c r="A46" s="1"/>
      <c r="D46" t="s">
        <v>324</v>
      </c>
      <c r="F46" s="1" t="s">
        <v>329</v>
      </c>
      <c r="G46" t="s">
        <v>336</v>
      </c>
    </row>
    <row r="47" spans="1:8" x14ac:dyDescent="0.25">
      <c r="A47" s="1"/>
      <c r="D47" t="s">
        <v>342</v>
      </c>
      <c r="F47" s="1" t="s">
        <v>343</v>
      </c>
      <c r="G47" t="s">
        <v>344</v>
      </c>
    </row>
    <row r="48" spans="1:8" x14ac:dyDescent="0.25">
      <c r="A48" s="1"/>
      <c r="D48" t="s">
        <v>325</v>
      </c>
      <c r="F48" s="1" t="s">
        <v>330</v>
      </c>
      <c r="G48" t="s">
        <v>337</v>
      </c>
    </row>
    <row r="49" spans="1:7" x14ac:dyDescent="0.25">
      <c r="A49" s="1"/>
      <c r="D49" t="s">
        <v>323</v>
      </c>
      <c r="F49" s="1" t="s">
        <v>331</v>
      </c>
      <c r="G49" t="s">
        <v>338</v>
      </c>
    </row>
    <row r="50" spans="1:7" x14ac:dyDescent="0.25">
      <c r="A50" s="1"/>
      <c r="D50" t="s">
        <v>339</v>
      </c>
      <c r="F50" s="1" t="s">
        <v>340</v>
      </c>
      <c r="G50" t="s">
        <v>341</v>
      </c>
    </row>
    <row r="51" spans="1:7" x14ac:dyDescent="0.25">
      <c r="A51" s="1"/>
    </row>
    <row r="52" spans="1:7" x14ac:dyDescent="0.25">
      <c r="A52" s="1"/>
      <c r="B52" t="s">
        <v>83</v>
      </c>
    </row>
    <row r="53" spans="1:7" x14ac:dyDescent="0.25">
      <c r="A53" s="1"/>
      <c r="B53" t="s">
        <v>80</v>
      </c>
    </row>
    <row r="54" spans="1:7" x14ac:dyDescent="0.25">
      <c r="A54" s="1"/>
      <c r="C54" s="17" t="s">
        <v>77</v>
      </c>
    </row>
    <row r="55" spans="1:7" x14ac:dyDescent="0.25">
      <c r="A55" s="1"/>
      <c r="C55" s="16" t="s">
        <v>78</v>
      </c>
    </row>
    <row r="56" spans="1:7" x14ac:dyDescent="0.25">
      <c r="A56" s="1"/>
      <c r="C56" s="16" t="s">
        <v>79</v>
      </c>
    </row>
    <row r="57" spans="1:7" x14ac:dyDescent="0.25">
      <c r="A57" s="1"/>
      <c r="B57" t="s">
        <v>103</v>
      </c>
      <c r="C57" s="16"/>
    </row>
    <row r="58" spans="1:7" x14ac:dyDescent="0.25">
      <c r="A58" s="1"/>
      <c r="C58" s="16" t="s">
        <v>104</v>
      </c>
    </row>
    <row r="59" spans="1:7" x14ac:dyDescent="0.25">
      <c r="A59" s="1"/>
      <c r="C59" s="16" t="s">
        <v>105</v>
      </c>
    </row>
    <row r="60" spans="1:7" x14ac:dyDescent="0.25">
      <c r="A60" s="1"/>
      <c r="C60" s="16" t="s">
        <v>106</v>
      </c>
    </row>
    <row r="61" spans="1:7" x14ac:dyDescent="0.25">
      <c r="A61" s="1"/>
      <c r="C61" s="16" t="s">
        <v>108</v>
      </c>
    </row>
    <row r="62" spans="1:7" x14ac:dyDescent="0.25">
      <c r="A62" s="1"/>
      <c r="C62" s="16" t="s">
        <v>110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107</v>
      </c>
    </row>
    <row r="65" spans="2:14" ht="21" customHeight="1" x14ac:dyDescent="0.25">
      <c r="B65" s="19" t="s">
        <v>75</v>
      </c>
    </row>
    <row r="66" spans="2:14" ht="21" customHeight="1" x14ac:dyDescent="0.25">
      <c r="B66" s="59" t="s">
        <v>227</v>
      </c>
    </row>
    <row r="67" spans="2:14" ht="15.75" thickBot="1" x14ac:dyDescent="0.3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prod.Inventory.IF
{
	[Table("IF_FQF3MM01")]
	public class IF_FQF3MM01: FullAuditedEntity&lt;long&gt;, IEntity&lt;long&gt;	
	{
		public const int MaxVinLength = 17;
		public const int MaxUrnLength = 10;
		public const int MaxSpecSheetNoLength = 2;
		public const int MaxIdLineLength = 2;
		public const int MaxKatashikiLength = 20;
		public const int MaxSaleKatashikiLength = 20;
		public const int MaxSaleSuffixLength = 2;
		public const int MaxSpec200DigitsLength = 200;
		public const int MaxProductionSuffixLength = 2;
		public const int MaxLotCodeLength = 2;
		public const int MaxEnginePrefixLength = 5;
		public const int MaxEngineNoLength = 30;
		public const int MaxPlantCodeLength = 4;
		public const int MaxCurrentStatusLength = 2;
		public const int MaxLineOffDatetimeLength = 14;
		public const int MaxInteriorColorLength = 4;
		public const int MaxExteriorColorLength = 4;
		public const int MaxDestinationCodeLength = 5;
		public const int MaxEdOdnoLength = 5;
		public const int MaxCancelFlagLength = 1;
		public const int MaxSmsCarFamilyCodeLength = 4;
		public const int MaxOrderTypeLength = 1;
		public const int MaxKatashikiCodeLength = 5;
		public const int MaxEndOfRecordLength = 1;
		public virtual int? RecordId { get; set; }
		[StringLength(MaxVinLength)]
		public virtual string Vin { get; set; }
		[StringLength(MaxUrnLength)]
		public virtual string Urn { get; set; }
		[StringLength(MaxSpecSheetNoLength)]
		public virtual string SpecSheetNo { get; set; }
		[StringLength(MaxIdLineLength)]
		public virtual string IdLine { get; set; }
		[StringLength(MaxKatashikiLength)]
		public virtual string Katashiki { get; set; }
		[StringLength(MaxSaleKatashikiLength)]
		public virtual string SaleKatashiki { get; set; }
		[StringLength(MaxSaleSuffixLength)]
		public virtual string SaleSuffix { get; set; }
		[StringLength(MaxSpec200DigitsLength)]
		public virtual string Spec200Digits { get; set; }
		[StringLength(MaxProductionSuffixLength)]
		public virtual string ProductionSuffix { get; set; }
		[StringLength(MaxLotCodeLength)]
		public virtual string LotCode { get; set; }
		[StringLength(MaxEnginePrefixLength)]
		public virtual string EnginePrefix { get; set; }
		[StringLength(MaxEngineNoLength)]
		public virtual string EngineNo { get; set; }
		[StringLength(MaxPlantCodeLength)]
		public virtual string PlantCode { get; set; }
		[StringLength(MaxCurrentStatusLength)]
		public virtual string CurrentStatus { get; set; }
		[StringLength(MaxLineOffDatetimeLength)]
		public virtual string LineOffDatetime { get; set; }
		[StringLength(MaxInteriorColorLength)]
		public virtual string InteriorColor { get; set; }
		[StringLength(MaxExteriorColorLength)]
		public virtual string ExteriorColor { get; set; }
		[StringLength(MaxDestinationCodeLength)]
		public virtual string DestinationCode { get; set; }
		[StringLength(MaxEdOdnoLength)]
		public virtual string EdOdno { get; set; }
		[StringLength(MaxCancelFlagLength)]
		public virtual string CancelFlag { get; set; }
		[StringLength(MaxSmsCarFamilyCodeLength)]
		public virtual string SmsCarFamilyCode { get; set; }
		[StringLength(MaxOrderTypeLength)]
		public virtual string OrderType { get; set; }
		[StringLength(MaxKatashikiCodeLength)]
		public virtual string KatashikiCode { get; set; }
		[StringLength(MaxEndOfRecordLength)]
		public virtual string EndOfRecord { get; set; }
	}
}
</v>
      </c>
      <c r="D68" s="48" t="str">
        <f>A.Backend!O7</f>
        <v xml:space="preserve">		public const string Pages_Inventory_IF_FQF3MM01 = "Pages.Inventory.IF.FQF3MM01";
		public const string Pages_Inventory_IF_FQF3MM01_CreateEdit = "Pages.Inventory.IF.FQF3MM01.CreateEdit";
		public const string Pages_Inventory_IF_FQF3MM01_Delete = "Pages.Inventory.IF.FQF3MM01.Delete";
</v>
      </c>
      <c r="E68" s="48" t="str">
        <f>A.Backend!N7</f>
        <v xml:space="preserve">		var perIF_FQF3MM01 = PARENTS.CreateChildPermission(AppPermissions.Pages_Inventory_IF_FQF3MM01, L( "InventoryIFFQF3MM01"), multiTenancySides: MultiTenancySides.Tenant);
		perIF_FQF3MM01.CreateChildPermission(AppPermissions.Pages_Inventory_IF_FQF3MM01_CreateEdit, L( "InventoryIFFQF3MM01CreateEdit"), multiTenancySides: MultiTenancySides.Tenant);
		perIF_FQF3MM01.CreateChildPermission(AppPermissions.Pages_Inventory_IF_FQF3MM01_Delete, L( "InventoryIFFQF3MM01Delete"), multiTenancySides: MultiTenancySides.Tenant);</v>
      </c>
      <c r="F68" s="48" t="str">
        <f>A.Backend!K7</f>
        <v>public virtual DbSet&lt;IF_FQF3MM01&gt; IF_FQF3MM01s { get; set; }</v>
      </c>
      <c r="G68" s="48" t="str">
        <f ca="1">A.Backend!L7</f>
        <v xml:space="preserve">namespace prod.Inventory.IF
{
	public class IF_FQF3MM01Consts	
	{
		public const int MaxVinLength = 17;
		public const int MaxUrnLength = 10;
		public const int MaxSpecSheetNoLength = 2;
		public const int MaxIdLineLength = 2;
		public const int MaxKatashikiLength = 20;
		public const int MaxSaleKatashikiLength = 20;
		public const int MaxSaleSuffixLength = 2;
		public const int MaxSpec200DigitsLength = 200;
		public const int MaxProductionSuffixLength = 2;
		public const int MaxLotCodeLength = 2;
		public const int MaxEnginePrefixLength = 5;
		public const int MaxEngineNoLength = 30;
		public const int MaxPlantCodeLength = 4;
		public const int MaxCurrentStatusLength = 2;
		public const int MaxLineOffDatetimeLength = 14;
		public const int MaxInteriorColorLength = 4;
		public const int MaxExteriorColorLength = 4;
		public const int MaxDestinationCodeLength = 5;
		public const int MaxEdOdnoLength = 5;
		public const int MaxCancelFlagLength = 1;
		public const int MaxSmsCarFamilyCodeLength = 4;
		public const int MaxOrderTypeLength = 1;
		public const int MaxKatashikiCodeLength = 5;
		public const int MaxEndOfRecordLength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prod.Inventory.IF.Dto
{
	public class IF_FQF3MM01Dto : EntityDto&lt;long?&gt;	
	{
		public virtual int? RecordId { get; set; }
		public virtual string Vin { get; set; }
		public virtual string Urn { get; set; }
		public virtual string SpecSheetNo { get; set; }
		public virtual string IdLine { get; set; }
		public virtual string Katashiki { get; set; }
		public virtual string SaleKatashiki { get; set; }
		public virtual string SaleSuffix { get; set; }
		public virtual string Spec200Digits { get; set; }
		public virtual string ProductionSuffix { get; set; }
		public virtual string LotCode { get; set; }
		public virtual string EnginePrefix { get; set; }
		public virtual string EngineNo { get; set; }
		public virtual string PlantCode { get; set; }
		public virtual string CurrentStatus { get; set; }
		public virtual string LineOffDatetime { get; set; }
		public virtual string InteriorColor { get; set; }
		public virtual string ExteriorColor { get; set; }
		public virtual string DestinationCode { get; set; }
		public virtual string EdOdno { get; set; }
		public virtual string CancelFlag { get; set; }
		public virtual string SmsCarFamilyCode { get; set; }
		public virtual string OrderType { get; set; }
		public virtual string KatashikiCode { get; set; }
		public virtual string EndOfRecord { get; set; }
	}
	public class CreateOrEditIF_FQF3MM01Dto : EntityDto&lt;long?&gt;	
	{
		public virtual int? RecordId { get; set; }
		[StringLength(IF_FQF3MM01Consts.MaxVinLength)]
		public virtual string Vin { get; set; }
		[StringLength(IF_FQF3MM01Consts.MaxUrnLength)]
		public virtual string Urn { get; set; }
		[StringLength(IF_FQF3MM01Consts.MaxSpecSheetNoLength)]
		public virtual string SpecSheetNo { get; set; }
		[StringLength(IF_FQF3MM01Consts.MaxIdLineLength)]
		public virtual string IdLine { get; set; }
		[StringLength(IF_FQF3MM01Consts.MaxKatashikiLength)]
		public virtual string Katashiki { get; set; }
		[StringLength(IF_FQF3MM01Consts.MaxSaleKatashikiLength)]
		public virtual string SaleKatashiki { get; set; }
		[StringLength(IF_FQF3MM01Consts.MaxSaleSuffixLength)]
		public virtual string SaleSuffix { get; set; }
		[StringLength(IF_FQF3MM01Consts.MaxSpec200DigitsLength)]
		public virtual string Spec200Digits { get; set; }
		[StringLength(IF_FQF3MM01Consts.MaxProductionSuffixLength)]
		public virtual string ProductionSuffix { get; set; }
		[StringLength(IF_FQF3MM01Consts.MaxLotCodeLength)]
		public virtual string LotCode { get; set; }
		[StringLength(IF_FQF3MM01Consts.MaxEnginePrefixLength)]
		public virtual string EnginePrefix { get; set; }
		[StringLength(IF_FQF3MM01Consts.MaxEngineNoLength)]
		public virtual string EngineNo { get; set; }
		[StringLength(IF_FQF3MM01Consts.MaxPlantCodeLength)]
		public virtual string PlantCode { get; set; }
		[StringLength(IF_FQF3MM01Consts.MaxCurrentStatusLength)]
		public virtual string CurrentStatus { get; set; }
		[StringLength(IF_FQF3MM01Consts.MaxLineOffDatetimeLength)]
		public virtual string LineOffDatetime { get; set; }
		[StringLength(IF_FQF3MM01Consts.MaxInteriorColorLength)]
		public virtual string InteriorColor { get; set; }
		[StringLength(IF_FQF3MM01Consts.MaxExteriorColorLength)]
		public virtual string ExteriorColor { get; set; }
		[StringLength(IF_FQF3MM01Consts.MaxDestinationCodeLength)]
		public virtual string DestinationCode { get; set; }
		[StringLength(IF_FQF3MM01Consts.MaxEdOdnoLength)]
		public virtual string EdOdno { get; set; }
		[StringLength(IF_FQF3MM01Consts.MaxCancelFlagLength)]
		public virtual string CancelFlag { get; set; }
		[StringLength(IF_FQF3MM01Consts.MaxSmsCarFamilyCodeLength)]
		public virtual string SmsCarFamilyCode { get; set; }
		[StringLength(IF_FQF3MM01Consts.MaxOrderTypeLength)]
		public virtual string OrderType { get; set; }
		[StringLength(IF_FQF3MM01Consts.MaxKatashikiCodeLength)]
		public virtual string KatashikiCode { get; set; }
		[StringLength(IF_FQF3MM01Consts.MaxEndOfRecordLength)]
		public virtual string EndOfRecord { get; set; }
	}
	public class GetIF_FQF3MM01Input : PagedAndSortedResultRequestDto	
	{
		public virtual string Vin { get; set; }
		public virtual string Urn { get; set; }
		public virtual string SpecSheetNo { get; set; }
		public virtual string IdLine { get; set; }
		public virtual string Katashiki { get; set; }
		public virtual string SaleKatashiki { get; set; }
		public virtual string SaleSuffix { get; set; }
		public virtual string Spec200Digits { get; set; }
		public virtual string ProductionSuffix { get; set; }
		public virtual string LotCode { get; set; }
		public virtual string EnginePrefix { get; set; }
		public virtual string EngineNo { get; set; }
		public virtual string PlantCode { get; set; }
		public virtual string CurrentStatus { get; set; }
		public virtual string LineOffDatetime { get; set; }
		public virtual string InteriorColor { get; set; }
		public virtual string ExteriorColor { get; set; }
		public virtual string DestinationCode { get; set; }
		public virtual string EdOdno { get; set; }
		public virtual string CancelFlag { get; set; }
		public virtual string SmsCarFamilyCode { get; set; }
		public virtual string OrderType { get; set; }
		public virtual string KatashikiCode { get; set; }
		public virtual string EndOfRecord { get; set; }
	}
}
</v>
      </c>
      <c r="I68" s="48" t="str">
        <f ca="1">A.Backend!R7</f>
        <v xml:space="preserve">using Abp.Application.Services.Dto;
using System;
using System.ComponentModel.DataAnnotations;
namespace prod.Inventory.IF.Dto
{
	public class IF_FQF3MM01ExportInput{
		public virtual int? RecordId { get; set; }
		public virtual string Vin { get; set; }
		public virtual string Urn { get; set; }
		public virtual string SpecSheetNo { get; set; }
		public virtual string IdLine { get; set; }
		public virtual string Katashiki { get; set; }
		public virtual string SaleKatashiki { get; set; }
		public virtual string SaleSuffix { get; set; }
		public virtual string Spec200Digits { get; set; }
		public virtual string ProductionSuffix { get; set; }
		public virtual string LotCode { get; set; }
		public virtual string EnginePrefix { get; set; }
		public virtual string EngineNo { get; set; }
		public virtual string PlantCode { get; set; }
		public virtual string CurrentStatus { get; set; }
		public virtual string LineOffDatetime { get; set; }
		public virtual string InteriorColor { get; set; }
		public virtual string ExteriorColor { get; set; }
		public virtual string DestinationCode { get; set; }
		public virtual string EdOdno { get; set; }
		public virtual string CancelFlag { get; set; }
		public virtual string SmsCarFamilyCode { get; set; }
		public virtual string OrderType { get; set; }
		public virtual string KatashikiCode { get; set; }
		public virtual string EndOfRecord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vovina.Inventory.IF.Dto;
namespace prod.Inventory.IF
{
	public interface IIF_FQF3MM01AppService : IApplicationService
	{
		Task&lt;PagedResultDto&lt;IF_FQF3MM01Dto&gt;&gt; GetAll(GetIF_FQF3MM01Input input);
		Task CreateOrEdit(CreateOrEditIF_FQF3MM01Dto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vovina.Inventory.IF.Dto;
namespace prod.Inventory.IF.Exporting
{
	public interface IIF_FQF3MM01ExcelExporter : IApplicationService
	{
		FileDto ExportToFile(List&lt;IF_FQF3MM01Dto&gt; if_fqf3mm01);
	}
}
</v>
      </c>
      <c r="L68" s="48" t="str">
        <f ca="1">A.Backend!T7</f>
        <v>using System.Collections.Generic;
using vovina.DataExporting.Excel.NPOI;
using vovina.Dto;
using vovina.IF.IF.Exporting;
using vovina.IF.IF.Dto;
using vovina.Storage;
using vovina.IF.IF.Dto;
namespace vovina.IF.IF.Exporting
{
    public class IF_FQF3MM01ExcelExporter : NpoiExcelExporterBase, IIF_FQF3MM01ExcelExporter
    {
        public IF_FQF3MM01ExcelExporter(ITempFileCacheManager tempFileCacheManager) : base(tempFileCacheManager) { }
        public FileDto ExportToFile(List&lt;IF_FQF3MM01Dto&gt; fqf3mm01)
        {
            return CreateExcelPackage(
				"IFIFFQF3MM01.xlsx",
				excelPackage =&gt;
				 {
					var sheet = excelPackage.CreateSheet("FQF3MM01");
					AddHeader(
								sheet,
								("RecordId"),
								("Vin"),
								("Urn"),
								("SpecSheetNo"),
								("IdLine"),
								("Katashiki"),
								("SaleKatashiki"),
								("SaleSuffix"),
								("Spec200Digits"),
								("ProductionSuffix"),
								("LotCode"),
								("EnginePrefix"),
								("EngineNo"),
								("PlantCode"),
								("CurrentStatus"),
								("LineOffDatetime"),
								("InteriorColor"),
								("ExteriorColor"),
								("DestinationCode"),
								("EdOdno"),
								("CancelFlag"),
								("SmsCarFamilyCode"),
								("OrderType"),
								("KatashikiCode"),
								("EndOfRecord"),
							   );
					AddObjects(
						 sheet, 1, fqf3mm01,                                       
								_ =&gt; _.RecordId,
								_ =&gt; _.Vin,
								_ =&gt; _.Urn,
								_ =&gt; _.SpecSheetNo,
								_ =&gt; _.IdLine,
								_ =&gt; _.Katashiki,
								_ =&gt; _.SaleKatashiki,
								_ =&gt; _.SaleSuffix,
								_ =&gt; _.Spec200Digits,
								_ =&gt; _.ProductionSuffix,
								_ =&gt; _.LotCode,
								_ =&gt; _.EnginePrefix,
								_ =&gt; _.EngineNo,
								_ =&gt; _.PlantCode,
								_ =&gt; _.CurrentStatus,
								_ =&gt; _.LineOffDatetime,
								_ =&gt; _.InteriorColor,
								_ =&gt; _.ExteriorColor,
								_ =&gt; _.DestinationCode,
								_ =&gt; _.EdOdno,
								_ =&gt; _.CancelFlag,
								_ =&gt; _.SmsCarFamilyCode,
								_ =&gt; _.OrderType,
								_ =&gt; _.KatashikiCode,
								_ =&gt; _.EndOfRecord,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vovina.IF.IF.Dto;
using vovina.IF.IF.Exporting;
namespace vovina.IF.IF
{
    [AbpAuthorize(AppPermissions.Pages_IF_IF_FQF3MM01)]
    public class IF_FQF3MM01AppService : vovinaAppServiceBase, IIF_FQF3MM01AppService
    {
        private readonly IDapperRepository&lt;IF_FQF3MM01, long&gt; _dapperRepo;
        private readonly IRepository&lt;IF_FQF3MM01, long&gt; _repo;
        private readonly IIF_FQF3MM01ExcelExporter _calendarListExcelExporter;
        public IF_FQF3MM01AppService(IRepository&lt;IF_FQF3MM01,long&gt; repo, 
                                         IDapperRepository&lt;IF_FQF3MM01,long&gt; dapperRepo,
                                        IIF_FQF3MM01ExcelExporter calendarListExcelExporter
            )
        {
            _repo = repo;
            _dapperRepo = dapperRepo;
            _calendarListExcelExporter = calendarListExcelExporter;
        }
        [AbpAuthorize(AppPermissions.Pages_IF_IF_FQF3MM01_CreateEdit)]
        public async Task CreateOrEdit(CreateOrEditIF_FQF3MM01Dto input)
        {
            if (input.Id == null) await Create(input);
            else await Update(input);
        }
        //CREATE
        private async Task Create(CreateOrEditIF_FQF3MM01Dto input)
        {          
            var mainObj = ObjectMapper.Map&lt;IF_FQF3MM01&gt;(input);
            await CurrentUnitOfWork.GetDbContext&lt;vovinaDbContext&gt;().AddAsync(mainObj);
        }
        // EDIT
        private async Task Update(CreateOrEditIF_FQF3MM01Dto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[AbpAuthorize(AppPermissions.Pages_IF_IF_FQF3MM01_Delete)]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Task&lt;PagedResultDto&lt;IF_FQF3MM01Dto&gt;&gt; GetAll(GetIF_FQF3MM01Input input)
        {
            var filtered = _repo.GetAll()
				.WhereIf(!string.IsNullOrWhiteSpace(input.Vin), e =&gt; e.Vin.Contains(input.Vin))
				.WhereIf(!string.IsNullOrWhiteSpace(input.Urn), e =&gt; e.Urn.Contains(input.Urn))
				.WhereIf(!string.IsNullOrWhiteSpace(input.SpecSheetNo), e =&gt; e.SpecSheetNo.Contains(input.SpecSheetNo))
				.WhereIf(!string.IsNullOrWhiteSpace(input.IdLine), e =&gt; e.IdLine.Contains(input.IdLine))
				.WhereIf(!string.IsNullOrWhiteSpace(input.Katashiki), e =&gt; e.Katashiki.Contains(input.Katashiki))
				.WhereIf(!string.IsNullOrWhiteSpace(input.SaleKatashiki), e =&gt; e.SaleKatashiki.Contains(input.SaleKatashiki))
				.WhereIf(!string.IsNullOrWhiteSpace(input.SaleSuffix), e =&gt; e.SaleSuffix.Contains(input.SaleSuffix))
				.WhereIf(!string.IsNullOrWhiteSpace(input.Spec200Digits), e =&gt; e.Spec200Digits.Contains(input.Spec200Digits))
				.WhereIf(!string.IsNullOrWhiteSpace(input.ProductionSuffix), e =&gt; e.ProductionSuffix.Contains(input.ProductionSuffix))
				.WhereIf(!string.IsNullOrWhiteSpace(input.LotCode), e =&gt; e.LotCode.Contains(input.LotCode))
				.WhereIf(!string.IsNullOrWhiteSpace(input.EnginePrefix), e =&gt; e.EnginePrefix.Contains(input.EnginePrefix))
				.WhereIf(!string.IsNullOrWhiteSpace(input.EngineNo), e =&gt; e.EngineNo.Contains(input.EngineNo))
				.WhereIf(!string.IsNullOrWhiteSpace(input.PlantCode), e =&gt; e.PlantCode.Contains(input.PlantCode))
				.WhereIf(!string.IsNullOrWhiteSpace(input.CurrentStatus), e =&gt; e.CurrentStatus.Contains(input.CurrentStatus))
				.WhereIf(!string.IsNullOrWhiteSpace(input.LineOffDatetime), e =&gt; e.LineOffDatetime.Contains(input.LineOffDatetime))
				.WhereIf(!string.IsNullOrWhiteSpace(input.InteriorColor), e =&gt; e.InteriorColor.Contains(input.InteriorColor))
				.WhereIf(!string.IsNullOrWhiteSpace(input.ExteriorColor), e =&gt; e.ExteriorColor.Contains(input.ExteriorColor))
				.WhereIf(!string.IsNullOrWhiteSpace(input.DestinationCode), e =&gt; e.DestinationCode.Contains(input.DestinationCode))
				.WhereIf(!string.IsNullOrWhiteSpace(input.EdOdno), e =&gt; e.EdOdno.Contains(input.EdOdno))
				.WhereIf(!string.IsNullOrWhiteSpace(input.CancelFlag), e =&gt; e.CancelFlag.Contains(input.CancelFlag))
				.WhereIf(!string.IsNullOrWhiteSpace(input.SmsCarFamilyCode), e =&gt; e.SmsCarFamilyCode.Contains(input.SmsCarFamilyCode))
				.WhereIf(!string.IsNullOrWhiteSpace(input.OrderType), e =&gt; e.OrderType.Contains(input.OrderType))
				.WhereIf(!string.IsNullOrWhiteSpace(input.KatashikiCode), e =&gt; e.KatashikiCode.Contains(input.KatashikiCode))
				.WhereIf(!string.IsNullOrWhiteSpace(input.EndOfRecord), e =&gt; e.EndOfRecord.Contains(input.EndOfRecord))                   
				;
            var pageAndFiltered = filtered.OrderBy(s =&gt; s.Id);
            var system = from o in pageAndFiltered
                         select new IF_FQF3MM01Dto
                        {
							Id = o.Id,
							RecordId = o.RecordId,
							Vin = o.Vin,
							Urn = o.Urn,
							SpecSheetNo = o.SpecSheetNo,
							IdLine = o.IdLine,
							Katashiki = o.Katashiki,
							SaleKatashiki = o.SaleKatashiki,
							SaleSuffix = o.SaleSuffix,
							Spec200Digits = o.Spec200Digits,
							ProductionSuffix = o.ProductionSuffix,
							LotCode = o.LotCode,
							EnginePrefix = o.EnginePrefix,
							EngineNo = o.EngineNo,
							PlantCode = o.PlantCode,
							CurrentStatus = o.CurrentStatus,
							LineOffDatetime = o.LineOffDatetime,
							InteriorColor = o.InteriorColor,
							ExteriorColor = o.ExteriorColor,
							DestinationCode = o.DestinationCode,
							EdOdno = o.EdOdno,
							CancelFlag = o.CancelFlag,
							SmsCarFamilyCode = o.SmsCarFamilyCode,
							OrderType = o.OrderType,
							KatashikiCode = o.KatashikiCode,
							EndOfRecord = o.EndOfRecord,
                        };
            var totalCount = await filtered.CountAsync();
			var paged = system.PageBy(input);
            return new PagedResultDto&lt;IF_FQF3MM01Dto&gt;(
                totalCount,
                 await paged.ToListAsync()
            );
        }
        public async Task&lt;FileDto&gt; GetFQF3MM01ToExcel(IF_FQF3MM01ExportInput input)
        {
            var query = from o in _repo.GetAll()
                        select new IF_FQF3MM01Dto
                        {
							Id = o.Id,
							RecordId = o.RecordId,
							Vin = o.Vin,
							Urn = o.Urn,
							SpecSheetNo = o.SpecSheetNo,
							IdLine = o.IdLine,
							Katashiki = o.Katashiki,
							SaleKatashiki = o.SaleKatashiki,
							SaleSuffix = o.SaleSuffix,
							Spec200Digits = o.Spec200Digits,
							ProductionSuffix = o.ProductionSuffix,
							LotCode = o.LotCode,
							EnginePrefix = o.EnginePrefix,
							EngineNo = o.EngineNo,
							PlantCode = o.PlantCode,
							CurrentStatus = o.CurrentStatus,
							LineOffDatetime = o.LineOffDatetime,
							InteriorColor = o.InteriorColor,
							ExteriorColor = o.ExteriorColor,
							DestinationCode = o.DestinationCode,
							EdOdno = o.EdOdno,
							CancelFlag = o.CancelFlag,
							SmsCarFamilyCode = o.SmsCarFamilyCode,
							OrderType = o.OrderType,
							KatashikiCode = o.KatashikiCode,
							EndOfRecord = o.EndOfRecord,
                        };
            var exportToExcel = await query.ToListAsync();
            return _calendarListExcelExporter.ExportToFile(exportToExcel);
        }
       // public async Task GenerateAsync()
      //  {
        //    await _dapperRepo.ExecuteAsync(IF_FQF3MM01Consts.SP_MST_WPT_CALENDAR_GENERATE);
       // }
    }
}</v>
      </c>
      <c r="N68" s="58" t="str">
        <f>A.Backend!U7</f>
        <v xml:space="preserve">  configuration.CreateMap&lt;IF_FQF3MM01Dto, IF_FQF3MM01&gt;();
  configuration.CreateMap&lt;IF_FQF3MM01, IF_FQF3MM01Dto&gt;();
  configuration.CreateMap&lt;CreateOrEditIF_FQF3MM01Dto, IF_FQF3MM01&gt;();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70</v>
      </c>
    </row>
    <row r="73" spans="2:14" ht="21" x14ac:dyDescent="0.35">
      <c r="B73" t="str">
        <f>B.Frontend!B8</f>
        <v>fqf3mm01</v>
      </c>
      <c r="C73" s="66" t="str">
        <f>"create folder " &amp;B73</f>
        <v>create folder fqf3mm01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25">
      <c r="B74" s="56" t="s">
        <v>225</v>
      </c>
      <c r="C74" s="28" t="str">
        <f>B.Frontend!H14</f>
        <v>fqf3mm01.component.ts</v>
      </c>
      <c r="D74" s="28" t="str">
        <f>B.Frontend!I14</f>
        <v>fqf3mm01.component.html</v>
      </c>
      <c r="E74" s="28" t="str">
        <f>B.Frontend!J14</f>
        <v>fqf3mm01.component.less</v>
      </c>
      <c r="F74" s="28" t="str">
        <f>B.Frontend!K14</f>
        <v>create-or-edit-fqf3mm01-modal.component.html</v>
      </c>
      <c r="G74" s="28" t="str">
        <f>B.Frontend!L14</f>
        <v>create-or-edit-fqf3mm01-modal.component.ts</v>
      </c>
      <c r="H74" s="28" t="str">
        <f>B.Frontend!M14</f>
        <v>create-or-edit-fqf3mm01-modal.component.less</v>
      </c>
      <c r="I74" s="28" t="str">
        <f>B.Frontend!N14</f>
        <v>fqf3mm01.module.ts</v>
      </c>
      <c r="J74" s="28" t="str">
        <f>B.Frontend!O14</f>
        <v>fqf3mm01-routing.module.ts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25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IF_FQF3MM01Dto, IF_FQF3MM01ServiceProxy } from '@shared/service-proxies/service-proxies';
import { finalize } from 'rxjs/internal/operators/finalize';
import { CreateOrEditFQF3MM01ModalComponent } from './create-or-edit-fqf3mm01-modal.component';
import { DatePipe } from '@angular/common';
import { FileDownloadService } from '@shared/utils/file-download.service';
import ceil from 'lodash-es/ceil';
import { Paginator } from 'primeng/paginator';
@Component({
    templateUrl: './fqf3mm01.component.html',
    styleUrls: ['./fqf3mm01.component.less'],
})
export class FQF3MM01Component extends AppComponentBase implements OnInit {
    @ViewChild('createOrEditModalFQF3MM01', { static: true }) createOrEditModalFQF3MM01:| CreateOrEditFQF3MM01ModalComponent|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IF_FQF3MM01Dto = new IF_FQF3MM01Dto();
    saveSelectedRow: IF_FQF3MM01Dto = new IF_FQF3MM01Dto();
    datas: IF_FQF3MM01Dto = new IF_FQF3MM01Dto();
    isLoading: boolean = false;
    dataParams: GridParams | undefined;
    rowData: any[] = [];
    gridApi!: GridApi;
    rowSelection = 'multiple';
    filter: string = '';
	pipe = new DatePipe('en-US');
	frameworkComponents: FrameworkComponent;
    	recordId
	vin : string = '' ; 
	urn   : string = '' ; 
	specSheetNo : string = '' ; 
	idLine  : string = '' ; 
	katashiki : string = '' ; 
	saleKatashiki : string = '' ; 
	saleSuffix : string = '' ; 
	spec200Digits  : string = '' ; 
	productionSuffix : string = '' ; 
	lotCode    : string = '' ; 
	enginePrefix : string = '' ; 
	engineNo : string = '' ; 
	plantCode : string = '' ; 
	currentStatus : string = '' ; 
	lineOffDatetime : string = '' ; 
	interiorColor : string = '' ; 
	exteriorColor : string = '' ; 
	destinationCode : string = '' ; 
	edOdno  : string = '' ; 
	cancelFlag   : string = '' ; 
	smsCarFamilyCode : string = '' ; 
	orderType : string = '' ; 
	katashikiCode : string = '' ; 
	endOfRecord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IF_FQF3MM01ServiceProxy,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this.l('Record Id'),headerTooltip: this.l('Record Id'),field: 'recordId',flex: 1},
			{headerName: this.l('Vin'),headerTooltip: this.l('Vin'),field: 'vin',flex: 1},
			{headerName: this.l('Urn  '),headerTooltip: this.l('Urn  '),field: 'urn  ',flex: 1},
			{headerName: this.l('Spec Sheet No'),headerTooltip: this.l('Spec Sheet No'),field: 'specSheetNo',flex: 1},
			{headerName: this.l('Id Line '),headerTooltip: this.l('Id Line '),field: 'idLine ',flex: 1},
			{headerName: this.l('Katashiki'),headerTooltip: this.l('Katashiki'),field: 'katashiki',flex: 1},
			{headerName: this.l('Sale Katashiki'),headerTooltip: this.l('Sale Katashiki'),field: 'saleKatashiki',flex: 1},
			{headerName: this.l('Sale Suffix'),headerTooltip: this.l('Sale Suffix'),field: 'saleSuffix',flex: 1},
			{headerName: this.l('Spec 200 Digits '),headerTooltip: this.l('Spec 200 Digits '),field: 'spec200Digits ',flex: 1},
			{headerName: this.l('Production Suffix'),headerTooltip: this.l('Production Suffix'),field: 'productionSuffix',flex: 1},
			{headerName: this.l('Lot Code   '),headerTooltip: this.l('Lot Code   '),field: 'lotCode   ',flex: 1},
			{headerName: this.l('Engine Prefix'),headerTooltip: this.l('Engine Prefix'),field: 'enginePrefix',flex: 1},
			{headerName: this.l('Engine No'),headerTooltip: this.l('Engine No'),field: 'engineNo',flex: 1},
			{headerName: this.l('Plant Code'),headerTooltip: this.l('Plant Code'),field: 'plantCode',flex: 1},
			{headerName: this.l('Current Status'),headerTooltip: this.l('Current Status'),field: 'currentStatus',flex: 1},
			{headerName: this.l('Line Off Datetime'),headerTooltip: this.l('Line Off Datetime'),field: 'lineOffDatetime',flex: 1},
			{headerName: this.l('Interior Color'),headerTooltip: this.l('Interior Color'),field: 'interiorColor',flex: 1},
			{headerName: this.l('Exterior Color'),headerTooltip: this.l('Exterior Color'),field: 'exteriorColor',flex: 1},
			{headerName: this.l('Destination Code'),headerTooltip: this.l('Destination Code'),field: 'destinationCode',flex: 1},
			{headerName: this.l('Ed Odno '),headerTooltip: this.l('Ed Odno '),field: 'edOdno ',flex: 1},
			{headerName: this.l('Cancel Flag  '),headerTooltip: this.l('Cancel Flag  '),field:  'cancelFlag  ', cellClass: ['text-center'], width: 120, cellRenderer: 'agCellButtonComponent',
buttonDefTwo: { text: params =&gt; (params.data?.'cancelFlag  ' == 'Y') ? 'Active' : 'Inactive',iconName: 'fa fa-circle',className: params =&gt; (params.data?.'cancelFlag  ' == 'Y') ? 'btnActive' : 'btnInActive',},}
			{headerName: this.l('Sms Car Family Code'),headerTooltip: this.l('Sms Car Family Code'),field: 'smsCarFamilyCode',flex: 1},
			{headerName: this.l('Order Type'),headerTooltip: this.l('Order Type'),field:  'orderType', cellClass: ['text-center'], width: 120, cellRenderer: 'agCellButtonComponent',
buttonDefTwo: { text: params =&gt; (params.data?.'orderType' == 'Y') ? 'Active' : 'Inactive',iconName: 'fa fa-circle',className: params =&gt; (params.data?.'orderType' == 'Y') ? 'btnActive' : 'btnInActive',},}
			{headerName: this.l('Katashiki Code'),headerTooltip: this.l('Katashiki Code'),field: 'katashikiCode',flex: 1},
			{headerName: this.l('End Of Record'),headerTooltip: this.l('End Of Record'),field:  'endOfRecord', cellClass: ['text-center'], width: 120, cellRenderer: 'agCellButtonComponent',
buttonDefTwo: { text: params =&gt; (params.data?.'endOfRecord' == 'Y') ? 'Active' : 'Inactive',iconName: 'fa fa-circle',className: params =&gt; (params.data?.'endOfRecord'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this.recordId,
			this.vin,
			this.urn  ,
			this.specSheetNo,
			this.idLine ,
			this.katashiki,
			this.saleKatashiki,
			this.saleSuffix,
			this.spec200Digits ,
			this.productionSuffix,
			this.lotCode   ,
			this.enginePrefix,
			this.engineNo,
			this.plantCode,
			this.currentStatus,
			this.lineOffDatetime,
			this.interiorColor,
			this.exteriorColor,
			this.destinationCode,
			this.edOdno ,
			this.cancelFlag  ,
			this.smsCarFamilyCode,
			this.orderType,
			this.katashikiCode,
			this.endOfRecord,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this.recordId = '',
		this.vin = '',
		this.urn   = '',
		this.specSheetNo = '',
		this.idLine  = '',
		this.katashiki = '',
		this.saleKatashiki = '',
		this.saleSuffix = '',
		this.spec200Digits  = '',
		this.productionSuffix = '',
		this.lotCode    = '',
		this.enginePrefix = '',
		this.engineNo = '',
		this.plantCode = '',
		this.currentStatus = '',
		this.lineOffDatetime = '',
		this.interiorColor = '',
		this.exteriorColor = '',
		this.destinationCode = '',
		this.edOdno  = '',
		this.cancelFlag   = '',
		this.smsCarFamilyCode = '',
		this.orderType = '',
		this.katashikiCode = '',
		this.endOfRecord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this.recordId,
			this.vin,
			this.urn  ,
			this.specSheetNo,
			this.idLine ,
			this.katashiki,
			this.saleKatashiki,
			this.saleSuffix,
			this.spec200Digits ,
			this.productionSuffix,
			this.lotCode   ,
			this.enginePrefix,
			this.engineNo,
			this.plantCode,
			this.currentStatus,
			this.lineOffDatetime,
			this.interiorColor,
			this.exteriorColor,
			this.destinationCode,
			this.edOdno ,
			this.cancelFlag  ,
			this.smsCarFamilyCode,
			this.orderType,
			this.katashikiCode,
			this.endOfRecord,
			'',
            this.paginationParams.skipCount,
            this.paginationParams.pageSize
        );
    }
    onChangeRowSelection(params: { api: { getSelectedRows: () =&gt; IF_FQF3MM01Dto[] } }) {
        this.saveSelectedRow = params.api.getSelectedRows()[0] ?? new IF_FQF3MM01Dto();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IF_FQF3MM01Dto):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this._service.getFQF3MM01ToExcel(
			this.recordId,
			this.vin,
			this.urn  ,
			this.specSheetNo,
			this.idLine ,
			this.katashiki,
			this.saleKatashiki,
			this.saleSuffix,
			this.spec200Digits ,
			this.productionSuffix,
			this.lotCode   ,
			this.enginePrefix,
			this.engineNo,
			this.plantCode,
			this.currentStatus,
			this.lineOffDatetime,
			this.interiorColor,
			this.exteriorColor,
			this.destinationCode,
			this.edOdno ,
			this.cancelFlag  ,
			this.smsCarFamilyCode,
			this.orderType,
			this.katashikiCode,
			this.endOfRecord,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FQF3MM01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[(ngModel)]='vin' name='vin'
									class='form-control' [placeholder]="l('Vin')"
									type='text' (keyup.enter)='searchDatas()'&gt;
								&lt;/div&gt;
								&lt;div class='input-search'&gt;
									&lt;input [(ngModel)]='urn  ' name='urn  '
									class='form-control' [placeholder]="l('Urn  ')"
									type='text' (keyup.enter)='searchDatas()'&gt;
								&lt;/div&gt;
								&lt;div class='input-search'&gt;
									&lt;input [(ngModel)]='specSheetNo' name='specSheetNo'
									class='form-control' [placeholder]="l('Spec Sheet No')"
									type='text' (keyup.enter)='searchDatas()'&gt;
								&lt;/div&gt;
								&lt;div class='input-search'&gt;
									&lt;input [(ngModel)]='idLine ' name='idLine '
									class='form-control' [placeholder]="l('Id Line ')"
									type='text' (keyup.enter)='searchDatas()'&gt;
								&lt;/div&gt;
								&lt;div class='input-search'&gt;
									&lt;input [(ngModel)]='katashiki' name='katashiki'
									class='form-control' [placeholder]="l('Katashiki')"
									type='text' (keyup.enter)='searchDatas()'&gt;
								&lt;/div&gt;
								&lt;div class='input-search'&gt;
									&lt;input [(ngModel)]='saleKatashiki' name='saleKatashiki'
									class='form-control' [placeholder]="l('Sale Katashiki')"
									type='text' (keyup.enter)='searchDatas()'&gt;
								&lt;/div&gt;
								&lt;div class='input-search'&gt;
									&lt;input [(ngModel)]='saleSuffix' name='saleSuffix'
									class='form-control' [placeholder]="l('Sale Suffix')"
									type='text' (keyup.enter)='searchDatas()'&gt;
								&lt;/div&gt;
								&lt;div class='input-search'&gt;
									&lt;input [(ngModel)]='spec200Digits ' name='spec200Digits '
									class='form-control' [placeholder]="l('Spec 200 Digits ')"
									type='text' (keyup.enter)='searchDatas()'&gt;
								&lt;/div&gt;
								&lt;div class='input-search'&gt;
									&lt;input [(ngModel)]='productionSuffix' name='productionSuffix'
									class='form-control' [placeholder]="l('Production Suffix')"
									type='text' (keyup.enter)='searchDatas()'&gt;
								&lt;/div&gt;
								&lt;div class='input-search'&gt;
									&lt;input [(ngModel)]='lotCode   ' name='lotCode   '
									class='form-control' [placeholder]="l('Lot Code   ')"
									type='text' (keyup.enter)='searchDatas()'&gt;
								&lt;/div&gt;
								&lt;div class='input-search'&gt;
									&lt;input [(ngModel)]='enginePrefix' name='enginePrefix'
									class='form-control' [placeholder]="l('Engine Prefix')"
									type='text' (keyup.enter)='searchDatas()'&gt;
								&lt;/div&gt;
								&lt;div class='input-search'&gt;
									&lt;input [(ngModel)]='engineNo' name='engineNo'
									class='form-control' [placeholder]="l('Engine No')"
									type='text' (keyup.enter)='searchDatas()'&gt;
								&lt;/div&gt;
								&lt;div class='input-search'&gt;
									&lt;input [(ngModel)]='plantCode' name='plantCode'
									class='form-control' [placeholder]="l('Plant Code')"
									type='text' (keyup.enter)='searchDatas()'&gt;
								&lt;/div&gt;
								&lt;div class='input-search'&gt;
									&lt;input [(ngModel)]='currentStatus' name='currentStatus'
									class='form-control' [placeholder]="l('Current Status')"
									type='text' (keyup.enter)='searchDatas()'&gt;
								&lt;/div&gt;
								&lt;div class='input-search'&gt;
									&lt;input [(ngModel)]='lineOffDatetime' name='lineOffDatetime'
									class='form-control' [placeholder]="l('Line Off Datetime')"
									type='text' (keyup.enter)='searchDatas()'&gt;
								&lt;/div&gt;
								&lt;div class='input-search'&gt;
									&lt;input [(ngModel)]='interiorColor' name='interiorColor'
									class='form-control' [placeholder]="l('Interior Color')"
									type='text' (keyup.enter)='searchDatas()'&gt;
								&lt;/div&gt;
								&lt;div class='input-search'&gt;
									&lt;input [(ngModel)]='exteriorColor' name='exteriorColor'
									class='form-control' [placeholder]="l('Exterior Color')"
									type='text' (keyup.enter)='searchDatas()'&gt;
								&lt;/div&gt;
								&lt;div class='input-search'&gt;
									&lt;input [(ngModel)]='destinationCode' name='destinationCode'
									class='form-control' [placeholder]="l('Destination Code')"
									type='text' (keyup.enter)='searchDatas()'&gt;
								&lt;/div&gt;
								&lt;div class='input-search'&gt;
									&lt;input [(ngModel)]='edOdno ' name='edOdno '
									class='form-control' [placeholder]="l('Ed Odno ')"
									type='text' (keyup.enter)='searchDatas()'&gt;
								&lt;/div&gt;
								&lt;div class='input-search'&gt;
									&lt;input [(ngModel)]='cancelFlag  ' name='cancelFlag  '
									class='form-control' [placeholder]="l('Cancel Flag  ')"
									type='text' (keyup.enter)='searchDatas()'&gt;
								&lt;/div&gt;
								&lt;div class='input-search'&gt;
									&lt;input [(ngModel)]='smsCarFamilyCode' name='smsCarFamilyCode'
									class='form-control' [placeholder]="l('Sms Car Family Code')"
									type='text' (keyup.enter)='searchDatas()'&gt;
								&lt;/div&gt;
								&lt;div class='input-search'&gt;
									&lt;input [(ngModel)]='orderType' name='orderType'
									class='form-control' [placeholder]="l('Order Type')"
									type='text' (keyup.enter)='searchDatas()'&gt;
								&lt;/div&gt;
								&lt;div class='input-search'&gt;
									&lt;input [(ngModel)]='katashikiCode' name='katashikiCode'
									class='form-control' [placeholder]="l('Katashiki Code')"
									type='text' (keyup.enter)='searchDatas()'&gt;
								&lt;/div&gt;
								&lt;div class='input-search'&gt;
									&lt;input [(ngModel)]='endOfRecord' name='endOfRecord'
									class='form-control' [placeholder]="l('End Of Record')"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(click)="createOrEditModalFQF3MM01.show()"&gt;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(click)="createOrEditModalFQF3MM01.show(selectedRow)"&gt;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&lt;create-or-edit-fqf3mm01-modal
    #createOrEditModalFQF3MM01
    (modalSave)="callBackDataGrid(dataParams)"
    (modalClose)="onChangeRowSelection(dataParams)"
&gt;
&lt;/create-or-edit-fqf3mm01-modal&gt;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#createOrEditModalFQF3MM01="bs-modal"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FQF3MM01')}}&lt;/h3&gt;
                    &lt;h3 *ngIf="!rowdata.id"&gt;{{('Create New FQF3MM01')}}&lt;/h3&gt;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title'&gt;Vin&lt;/label&gt;
						&lt;input type='text' class='col-md-10 form-control input-text' name='Vin' [(ngModel)]='rowdata.vin'&gt;
					&lt;/div&gt;
					&lt;div class='col-md-12 form-group row'&gt;
						&lt;label class='col-md-2 form-control title'&gt;Urn  &lt;/label&gt;
						&lt;input type='text' class='col-md-10 form-control input-text' name='Urn  ' [(ngModel)]='rowdata.urn  '&gt;
					&lt;/div&gt;
					&lt;div class='col-md-12 form-group row'&gt;
						&lt;label class='col-md-2 form-control title'&gt;Spec Sheet No&lt;/label&gt;
						&lt;input type='text' class='col-md-10 form-control input-text' name='SpecSheetNo' [(ngModel)]='rowdata.specSheetNo'&gt;
					&lt;/div&gt;
					&lt;div class='col-md-12 form-group row'&gt;
						&lt;label class='col-md-2 form-control title'&gt;Id Line &lt;/label&gt;
						&lt;input type='text' class='col-md-10 form-control input-text' name='IdLine ' [(ngModel)]='rowdata.idLine '&gt;
					&lt;/div&gt;
					&lt;div class='col-md-12 form-group row'&gt;
						&lt;label class='col-md-2 form-control title'&gt;Katashiki&lt;/label&gt;
						&lt;input type='text' class='col-md-10 form-control input-text' name='Katashiki' [(ngModel)]='rowdata.katashiki'&gt;
					&lt;/div&gt;
					&lt;div class='col-md-12 form-group row'&gt;
						&lt;label class='col-md-2 form-control title'&gt;Sale Katashiki&lt;/label&gt;
						&lt;input type='text' class='col-md-10 form-control input-text' name='SaleKatashiki' [(ngModel)]='rowdata.saleKatashiki'&gt;
					&lt;/div&gt;
					&lt;div class='col-md-12 form-group row'&gt;
						&lt;label class='col-md-2 form-control title'&gt;Sale Suffix&lt;/label&gt;
						&lt;input type='text' class='col-md-10 form-control input-text' name='SaleSuffix' [(ngModel)]='rowdata.saleSuffix'&gt;
					&lt;/div&gt;
					&lt;div class='col-md-12 form-group row'&gt;
						&lt;label class='col-md-2 form-control title'&gt;Spec 200 Digits &lt;/label&gt;
						&lt;input type='text' class='col-md-10 form-control input-text' name='Spec200Digits ' [(ngModel)]='rowdata.spec200Digits '&gt;
					&lt;/div&gt;
					&lt;div class='col-md-12 form-group row'&gt;
						&lt;label class='col-md-2 form-control title'&gt;Production Suffix&lt;/label&gt;
						&lt;input type='text' class='col-md-10 form-control input-text' name='ProductionSuffix' [(ngModel)]='rowdata.productionSuffix'&gt;
					&lt;/div&gt;
					&lt;div class='col-md-12 form-group row'&gt;
						&lt;label class='col-md-2 form-control title'&gt;Lot Code   &lt;/label&gt;
						&lt;input type='text' class='col-md-10 form-control input-text' name='LotCode   ' [(ngModel)]='rowdata.lotCode   '&gt;
					&lt;/div&gt;
					&lt;div class='col-md-12 form-group row'&gt;
						&lt;label class='col-md-2 form-control title'&gt;Engine Prefix&lt;/label&gt;
						&lt;input type='text' class='col-md-10 form-control input-text' name='EnginePrefix' [(ngModel)]='rowdata.enginePrefix'&gt;
					&lt;/div&gt;
					&lt;div class='col-md-12 form-group row'&gt;
						&lt;label class='col-md-2 form-control title'&gt;Engine No&lt;/label&gt;
						&lt;input type='text' class='col-md-10 form-control input-text' name='EngineNo' [(ngModel)]='rowdata.engineNo'&gt;
					&lt;/div&gt;
					&lt;div class='col-md-12 form-group row'&gt;
						&lt;label class='col-md-2 form-control title'&gt;Plant Code&lt;/label&gt;
						&lt;input type='text' class='col-md-10 form-control input-text' name='PlantCode' [(ngModel)]='rowdata.plantCode'&gt;
					&lt;/div&gt;
					&lt;div class='col-md-12 form-group row'&gt;
						&lt;label class='col-md-2 form-control title'&gt;Current Status&lt;/label&gt;
						&lt;input type='text' class='col-md-10 form-control input-text' name='CurrentStatus' [(ngModel)]='rowdata.currentStatus'&gt;
					&lt;/div&gt;
					&lt;div class='col-md-12 form-group row'&gt;
						&lt;label class='col-md-2 form-control title'&gt;Line Off Datetime&lt;/label&gt;
						&lt;input type='text' class='col-md-10 form-control input-text' name='LineOffDatetime' [(ngModel)]='rowdata.lineOffDatetime'&gt;
					&lt;/div&gt;
					&lt;div class='col-md-12 form-group row'&gt;
						&lt;label class='col-md-2 form-control title'&gt;Interior Color&lt;/label&gt;
						&lt;input type='text' class='col-md-10 form-control input-text' name='InteriorColor' [(ngModel)]='rowdata.interiorColor'&gt;
					&lt;/div&gt;
					&lt;div class='col-md-12 form-group row'&gt;
						&lt;label class='col-md-2 form-control title'&gt;Exterior Color&lt;/label&gt;
						&lt;input type='text' class='col-md-10 form-control input-text' name='ExteriorColor' [(ngModel)]='rowdata.exteriorColor'&gt;
					&lt;/div&gt;
					&lt;div class='col-md-12 form-group row'&gt;
						&lt;label class='col-md-2 form-control title'&gt;Destination Code&lt;/label&gt;
						&lt;input type='text' class='col-md-10 form-control input-text' name='DestinationCode' [(ngModel)]='rowdata.destinationCode'&gt;
					&lt;/div&gt;
					&lt;div class='col-md-12 form-group row'&gt;
						&lt;label class='col-md-2 form-control title'&gt;Ed Odno &lt;/label&gt;
						&lt;input type='text' class='col-md-10 form-control input-text' name='EdOdno ' [(ngModel)]='rowdata.edOdno '&gt;
					&lt;/div&gt;
					&lt;div class='col-md-12 form-group row'&gt;
						&lt;label class='col-md-2 form-control title'&gt;Cancel Flag  &lt;/label&gt;
						&lt;new-checkbox [(ngModel)]='_cancelFlag  ' name='cancelFlag  ' className='col-md-10' &gt; &lt;/new-checkbox&gt;
					&lt;/div&gt;
					&lt;div class='col-md-12 form-group row'&gt;
						&lt;label class='col-md-2 form-control title'&gt;Sms Car Family Code&lt;/label&gt;
						&lt;input type='text' class='col-md-10 form-control input-text' name='SmsCarFamilyCode' [(ngModel)]='rowdata.smsCarFamilyCode'&gt;
					&lt;/div&gt;
					&lt;div class='col-md-12 form-group row'&gt;
						&lt;label class='col-md-2 form-control title'&gt;Order Type&lt;/label&gt;
						&lt;new-checkbox [(ngModel)]='_orderType' name='orderType' className='col-md-10' &gt; &lt;/new-checkbox&gt;
					&lt;/div&gt;
					&lt;div class='col-md-12 form-group row'&gt;
						&lt;label class='col-md-2 form-control title'&gt;Katashiki Code&lt;/label&gt;
						&lt;input type='text' class='col-md-10 form-control input-text' name='KatashikiCode' [(ngModel)]='rowdata.katashikiCode'&gt;
					&lt;/div&gt;
					&lt;div class='col-md-12 form-group row'&gt;
						&lt;label class='col-md-2 form-control title'&gt;End Of Record&lt;/label&gt;
						&lt;new-checkbox [(ngModel)]='_endOfRecord' name='endOfRecord'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CreateOrEditIF_FQF3MM01Dto, IF_FQF3MM01ServiceProxy } from '@shared/service-proxies/service-proxies';
import { BsDatepickerDirective } from 'ngx-bootstrap/datepicker';
@Component({
    selector: 'create-or-edit-fqf3mm01-modal',
    templateUrl: './create-or-edit-fqf3mm01-modal.component.html',
    styleUrls: ['./create-or-edit-fqf3mm01-modal.component.less']
    })
export class CreateOrEditFQF3MM01ModalComponent extends AppComponentBase {
    @ViewChild('createOrEditModalFQF3MM01',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CreateOrEditIF_FQF3MM01Dto = new CreateOrEditIF_FQF3MM01Dto();
    active: boolean = false;
    saving: boolean = false;
    _cancelFlag  
orderType
endOfRecord: boolean;
    constructor(
        injector: Injector,
        private _mstwptFQF3MM01Service: IF_FQF3MM01ServiceProxy,
    ) 
    {
        super(injector);
    }
    show(rowdata?: CreateOrEditIF_FQF3MM01Dto): void {
        if (!rowdata) this.rowdata = new CreateOrEditIF_FQF3MM01Dto();
        else this.rowdata = rowdata;
        this._cancelFlag  
orderType
endOfRecord = (this.rowdata.cancelFlag  
orderType
endOfRecord == "N")? false: true;
        this.active = true;
        this.modal.show();
    } 
    changeActive(event){
        this._cancelFlag  
orderType
endOfRecord = event.target.checked;
    }
    save(): void {
    this.saving = true; 
    this.rowdata.cancelFlag  
orderType
endOfRecord = (this._cancelFlag  
orderType
endOfRecord == true) ? 'Y' : 'N'
    this._mstwptFQF3MM01Service.createOrEdit(this.rowdata)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FQF3MM01RoutingModule } from './fqf3mm01-routing.module';
import { FQF3MM01Component } from './fqf3mm01.component';
import { CreateOrEditFQF3MM01ModalComponent } from './create-or-edit-fqf3mm01-modal.component';
@NgModule({
    declarations: [
       FQF3MM01Component, 
        CreateOrEditFQF3MM01ModalComponent
    ],
    imports: [
        AppSharedModule, FQF3MM01RoutingModule]
})
export class FQF3MM01Module {}</v>
      </c>
      <c r="J75" s="46" t="str">
        <f>B.Frontend!O10</f>
        <v>import {NgModule} from '@angular/core';
import {RouterModule, Routes} from '@angular/router';
import { FQF3MM01Component } from './fqf3mm01.component';
const routes: Routes = [{
    path: '',
    component: FQF3MM01Component,
    pathMatch: 'full'
}];
@NgModule({
    imports: [RouterModule.forChild(routes)],
    exports: [RouterModule],
})
export class FQF3MM01RoutingModule {}</v>
      </c>
      <c r="K75" s="46" t="str">
        <f>B.Frontend!P10</f>
        <v xml:space="preserve"> new AppMenuItem("FQF3MM01", "Pages.IF.IF.FQF3MM01", "flaticon-book",   "/app/main/if/if/fqf3mm01"),</v>
      </c>
      <c r="L75" s="47" t="str">
        <f>B.Frontend!Q10</f>
        <v>{
    path: 'if/if/fqf3mm01',
    loadChildren: () =&gt; import('./if/if/fqf3mm01/fqf3mm01.module').then(m =&gt; m.FQF3MM01Module),
    data: { permission: 'Pages.IF.IF.FQF3MM01' }
},</v>
      </c>
      <c r="M75" s="45" t="str">
        <f>B.Frontend!R10</f>
        <v>ApiServiceProxies.IF_FQF3MM01ServiceProxy,</v>
      </c>
    </row>
    <row r="77" spans="2:14" x14ac:dyDescent="0.25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35"/>
  <sheetViews>
    <sheetView tabSelected="1" topLeftCell="A16" workbookViewId="0">
      <pane xSplit="1" topLeftCell="B1" activePane="topRight" state="frozen"/>
      <selection pane="topRight" activeCell="C31" sqref="C31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vovina.Inventory.IF.Dto;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25">
      <c r="A2" s="1" t="s">
        <v>12</v>
      </c>
      <c r="B2" s="27" t="s">
        <v>362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25">
      <c r="A3" s="1" t="s">
        <v>5</v>
      </c>
      <c r="B3" s="27" t="s">
        <v>361</v>
      </c>
      <c r="C3" s="9" t="s">
        <v>41</v>
      </c>
      <c r="D3" s="9" t="s">
        <v>42</v>
      </c>
      <c r="E3" s="9" t="s">
        <v>37</v>
      </c>
      <c r="F3" s="10" t="str">
        <f>"J"&amp;COUNTA($A:$A)</f>
        <v>J33</v>
      </c>
      <c r="G3" s="4" t="s">
        <v>54</v>
      </c>
      <c r="H3" s="9" t="str">
        <f>"I"&amp;COUNTA($A:$A)</f>
        <v>I33</v>
      </c>
      <c r="I3" s="9" t="str">
        <f>REPT(CHAR(9),2)&amp;"[Required]"&amp;"
"</f>
        <v xml:space="preserve">		[Required]
</v>
      </c>
      <c r="J3" s="10" t="str">
        <f>"L"&amp;COUNTA($A:$A)</f>
        <v>L33</v>
      </c>
      <c r="K3" s="5" t="s">
        <v>53</v>
      </c>
      <c r="L3" s="10" t="str">
        <f>"M"&amp;COUNTA($A:$A)</f>
        <v>M33</v>
      </c>
      <c r="M3" s="10" t="str">
        <f>"N"&amp;COUNTA($A:$A)</f>
        <v>N33</v>
      </c>
      <c r="N3" s="10" t="str">
        <f>"O"&amp;COUNTA($A:$A)</f>
        <v>O33</v>
      </c>
      <c r="O3" s="10" t="str">
        <f>"P"&amp;COUNTA($A:$A)</f>
        <v>P33</v>
      </c>
      <c r="Q3" s="10" t="str">
        <f>RIGHT(B2,(LEN(B2)-FIND(".",B2,1)))</f>
        <v>IF</v>
      </c>
      <c r="R3" s="29" t="str">
        <f>REPT(CHAR(9),1)&amp;"public class "&amp;B3&amp;"ExportInput"&amp;C3</f>
        <v xml:space="preserve">	public class IF_FQF3MM01ExportInput{
</v>
      </c>
      <c r="S3" s="10" t="str">
        <f>"namespace "&amp;$B$6&amp;".Exporting
"&amp;$C$3</f>
        <v xml:space="preserve">namespace prod.Inventory.IF.Exporting
{
</v>
      </c>
      <c r="T3" s="10" t="str">
        <f>"T"&amp;COUNTA($A:$A)</f>
        <v>T33</v>
      </c>
      <c r="V3" s="10" t="str">
        <f>"V"&amp;COUNTA($A:$A)</f>
        <v>V33</v>
      </c>
      <c r="W3" s="9" t="str">
        <f>"W"&amp;COUNTA($A:$A)</f>
        <v>W33</v>
      </c>
    </row>
    <row r="4" spans="1:23" s="10" customFormat="1" ht="33" customHeight="1" x14ac:dyDescent="0.25">
      <c r="A4" s="1" t="s">
        <v>233</v>
      </c>
      <c r="B4" s="65" t="s">
        <v>363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234</v>
      </c>
      <c r="B5" s="65" t="s">
        <v>364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prod.Inventory.IF</v>
      </c>
      <c r="C6" s="10" t="str">
        <f>"namespace "&amp;$B$6&amp;"
"&amp;$C$3</f>
        <v xml:space="preserve">namespace prod.Inventory.IF
{
</v>
      </c>
      <c r="D6" s="10" t="str">
        <f>REPT(CHAR(9),1)&amp;"public class "&amp;B3&amp;G3&amp;REPT(CHAR(9),1)&amp;"
"&amp;REPT(CHAR(9),1)&amp;C3</f>
        <v xml:space="preserve">	public class IF_FQF3MM01: FullAuditedEntity&lt;long&gt;, IEntity&lt;long&gt;	
	{
</v>
      </c>
      <c r="E6" s="10" t="str">
        <f>REPT(CHAR(9),1)&amp;"public class "&amp;B3&amp;"Consts"&amp;REPT(CHAR(9),1)&amp;"
"&amp;REPT(CHAR(9),1)&amp;C3</f>
        <v xml:space="preserve">	public class IF_FQF3MM01Consts	
	{
</v>
      </c>
      <c r="F6" s="10" t="str">
        <f>REPT(CHAR(9),1)&amp;"public class "&amp;B3&amp;"Dto"&amp;K3&amp;REPT(CHAR(9),1)&amp;"
"&amp;REPT(CHAR(9),1)&amp;C3</f>
        <v xml:space="preserve">	public class IF_FQF3MM01Dto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CreateOrEditIF_FQF3MM01Dto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GetIF_FQF3MM01Input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4.95" customHeight="1" x14ac:dyDescent="0.25">
      <c r="A7" s="1" t="s">
        <v>13</v>
      </c>
      <c r="B7" s="9" t="str">
        <f>B3</f>
        <v>IF_FQF3MM01</v>
      </c>
      <c r="C7" s="10" t="str">
        <f>REPT(CHAR(9),1)&amp;"[Table("""&amp;B7&amp;""")]"&amp;"
"</f>
        <v xml:space="preserve">	[Table("IF_FQF3MM01")]
</v>
      </c>
      <c r="D7" s="10"/>
      <c r="E7" s="10"/>
      <c r="F7" s="10"/>
      <c r="G7" s="10"/>
      <c r="H7" s="10"/>
      <c r="I7" s="10"/>
      <c r="J7" t="str">
        <f ca="1">SUBSTITUTE(SUBSTITUTE((B1&amp;C6&amp;C7&amp;K35&amp;D6&amp;I35&amp;E3&amp;J35&amp;""&amp;REPT(CHAR(9),1)&amp;D3&amp;D3),"WorkingPattern",$Q$3),"Master",$B$4)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prod.Inventory.IF
{
	[Table("IF_FQF3MM01")]
	public class IF_FQF3MM01: FullAuditedEntity&lt;long&gt;, IEntity&lt;long&gt;	
	{
		public const int MaxVinLength = 17;
		public const int MaxUrnLength = 10;
		public const int MaxSpecSheetNoLength = 2;
		public const int MaxIdLineLength = 2;
		public const int MaxKatashikiLength = 20;
		public const int MaxSaleKatashikiLength = 20;
		public const int MaxSaleSuffixLength = 2;
		public const int MaxSpec200DigitsLength = 200;
		public const int MaxProductionSuffixLength = 2;
		public const int MaxLotCodeLength = 2;
		public const int MaxEnginePrefixLength = 5;
		public const int MaxEngineNoLength = 30;
		public const int MaxPlantCodeLength = 4;
		public const int MaxCurrentStatusLength = 2;
		public const int MaxLineOffDatetimeLength = 14;
		public const int MaxInteriorColorLength = 4;
		public const int MaxExteriorColorLength = 4;
		public const int MaxDestinationCodeLength = 5;
		public const int MaxEdOdnoLength = 5;
		public const int MaxCancelFlagLength = 1;
		public const int MaxSmsCarFamilyCodeLength = 4;
		public const int MaxOrderTypeLength = 1;
		public const int MaxKatashikiCodeLength = 5;
		public const int MaxEndOfRecordLength = 1;
		public virtual int? RecordId { get; set; }
		[StringLength(MaxVinLength)]
		public virtual string Vin { get; set; }
		[StringLength(MaxUrnLength)]
		public virtual string Urn { get; set; }
		[StringLength(MaxSpecSheetNoLength)]
		public virtual string SpecSheetNo { get; set; }
		[StringLength(MaxIdLineLength)]
		public virtual string IdLine { get; set; }
		[StringLength(MaxKatashikiLength)]
		public virtual string Katashiki { get; set; }
		[StringLength(MaxSaleKatashikiLength)]
		public virtual string SaleKatashiki { get; set; }
		[StringLength(MaxSaleSuffixLength)]
		public virtual string SaleSuffix { get; set; }
		[StringLength(MaxSpec200DigitsLength)]
		public virtual string Spec200Digits { get; set; }
		[StringLength(MaxProductionSuffixLength)]
		public virtual string ProductionSuffix { get; set; }
		[StringLength(MaxLotCodeLength)]
		public virtual string LotCode { get; set; }
		[StringLength(MaxEnginePrefixLength)]
		public virtual string EnginePrefix { get; set; }
		[StringLength(MaxEngineNoLength)]
		public virtual string EngineNo { get; set; }
		[StringLength(MaxPlantCodeLength)]
		public virtual string PlantCode { get; set; }
		[StringLength(MaxCurrentStatusLength)]
		public virtual string CurrentStatus { get; set; }
		[StringLength(MaxLineOffDatetimeLength)]
		public virtual string LineOffDatetime { get; set; }
		[StringLength(MaxInteriorColorLength)]
		public virtual string InteriorColor { get; set; }
		[StringLength(MaxExteriorColorLength)]
		public virtual string ExteriorColor { get; set; }
		[StringLength(MaxDestinationCodeLength)]
		public virtual string DestinationCode { get; set; }
		[StringLength(MaxEdOdnoLength)]
		public virtual string EdOdno { get; set; }
		[StringLength(MaxCancelFlagLength)]
		public virtual string CancelFlag { get; set; }
		[StringLength(MaxSmsCarFamilyCodeLength)]
		public virtual string SmsCarFamilyCode { get; set; }
		[StringLength(MaxOrderTypeLength)]
		public virtual string OrderType { get; set; }
		[StringLength(MaxKatashikiCodeLength)]
		public virtual string KatashikiCode { get; set; }
		[StringLength(MaxEndOfRecordLength)]
		public virtual string EndOfRecord { get; set; }
	}
}
</v>
      </c>
      <c r="K7" t="str">
        <f>SUBSTITUTE(SUBSTITUTE(("public virtual DbSet&lt;"&amp;B3&amp;"&gt; "&amp;B3&amp;"s { get; set; }"),"WorkingPattern",$Q$3),"Master",$B$4)</f>
        <v>public virtual DbSet&lt;IF_FQF3MM01&gt; IF_FQF3MM01s { get; set; }</v>
      </c>
      <c r="L7" t="str">
        <f ca="1">SUBSTITUTE(SUBSTITUTE((C6&amp;E6&amp;I35&amp;"
"&amp;REPT(CHAR(9),2)&amp;"// Define Store Name: Format SP_ + &lt;Store Name&gt; = &lt;Store Name&gt;
"&amp;E3&amp;REPT(CHAR(9),1)&amp;D3&amp;D3),"WorkingPattern",$Q$3),"Master",$B$4)</f>
        <v xml:space="preserve">namespace prod.Inventory.IF
{
	public class IF_FQF3MM01Consts	
	{
		public const int MaxVinLength = 17;
		public const int MaxUrnLength = 10;
		public const int MaxSpecSheetNoLength = 2;
		public const int MaxIdLineLength = 2;
		public const int MaxKatashikiLength = 20;
		public const int MaxSaleKatashikiLength = 20;
		public const int MaxSaleSuffixLength = 2;
		public const int MaxSpec200DigitsLength = 200;
		public const int MaxProductionSuffixLength = 2;
		public const int MaxLotCodeLength = 2;
		public const int MaxEnginePrefixLength = 5;
		public const int MaxEngineNoLength = 30;
		public const int MaxPlantCodeLength = 4;
		public const int MaxCurrentStatusLength = 2;
		public const int MaxLineOffDatetimeLength = 14;
		public const int MaxInteriorColorLength = 4;
		public const int MaxExteriorColorLength = 4;
		public const int MaxDestinationCodeLength = 5;
		public const int MaxEdOdnoLength = 5;
		public const int MaxCancelFlagLength = 1;
		public const int MaxSmsCarFamilyCodeLength = 4;
		public const int MaxOrderTypeLength = 1;
		public const int MaxKatashikiCodeLength = 5;
		public const int MaxEndOfRecordLength = 1;
		// Define Store Name: Format SP_ + &lt;Store Name&gt; = &lt;Store Name&gt;
	}
}
</v>
      </c>
      <c r="M7" t="str">
        <f ca="1">SUBSTITUTE(SUBSTITUTE((C1&amp;"namespace "&amp;B6&amp;".Dto"&amp;E3&amp;C3&amp;F6&amp;M35&amp;E3&amp;REPT(CHAR(9),1)&amp;D3&amp;G6&amp;N35&amp;REPT(CHAR(9),1)&amp;D3&amp;H6&amp;O35&amp;"
"&amp;REPT(CHAR(9),1)&amp;D3&amp;D3),"WorkingPattern",$Q$3),"Master",$B$4)</f>
        <v xml:space="preserve">using Abp.Application.Services.Dto;
using System;
using System.ComponentModel.DataAnnotations;
namespace prod.Inventory.IF.Dto
{
	public class IF_FQF3MM01Dto : EntityDto&lt;long?&gt;	
	{
		public virtual int? RecordId { get; set; }
		public virtual string Vin { get; set; }
		public virtual string Urn { get; set; }
		public virtual string SpecSheetNo { get; set; }
		public virtual string IdLine { get; set; }
		public virtual string Katashiki { get; set; }
		public virtual string SaleKatashiki { get; set; }
		public virtual string SaleSuffix { get; set; }
		public virtual string Spec200Digits { get; set; }
		public virtual string ProductionSuffix { get; set; }
		public virtual string LotCode { get; set; }
		public virtual string EnginePrefix { get; set; }
		public virtual string EngineNo { get; set; }
		public virtual string PlantCode { get; set; }
		public virtual string CurrentStatus { get; set; }
		public virtual string LineOffDatetime { get; set; }
		public virtual string InteriorColor { get; set; }
		public virtual string ExteriorColor { get; set; }
		public virtual string DestinationCode { get; set; }
		public virtual string EdOdno { get; set; }
		public virtual string CancelFlag { get; set; }
		public virtual string SmsCarFamilyCode { get; set; }
		public virtual string OrderType { get; set; }
		public virtual string KatashikiCode { get; set; }
		public virtual string EndOfRecord { get; set; }
	}
	public class CreateOrEditIF_FQF3MM01Dto : EntityDto&lt;long?&gt;	
	{
		public virtual int? RecordId { get; set; }
		[StringLength(IF_FQF3MM01Consts.MaxVinLength)]
		public virtual string Vin { get; set; }
		[StringLength(IF_FQF3MM01Consts.MaxUrnLength)]
		public virtual string Urn { get; set; }
		[StringLength(IF_FQF3MM01Consts.MaxSpecSheetNoLength)]
		public virtual string SpecSheetNo { get; set; }
		[StringLength(IF_FQF3MM01Consts.MaxIdLineLength)]
		public virtual string IdLine { get; set; }
		[StringLength(IF_FQF3MM01Consts.MaxKatashikiLength)]
		public virtual string Katashiki { get; set; }
		[StringLength(IF_FQF3MM01Consts.MaxSaleKatashikiLength)]
		public virtual string SaleKatashiki { get; set; }
		[StringLength(IF_FQF3MM01Consts.MaxSaleSuffixLength)]
		public virtual string SaleSuffix { get; set; }
		[StringLength(IF_FQF3MM01Consts.MaxSpec200DigitsLength)]
		public virtual string Spec200Digits { get; set; }
		[StringLength(IF_FQF3MM01Consts.MaxProductionSuffixLength)]
		public virtual string ProductionSuffix { get; set; }
		[StringLength(IF_FQF3MM01Consts.MaxLotCodeLength)]
		public virtual string LotCode { get; set; }
		[StringLength(IF_FQF3MM01Consts.MaxEnginePrefixLength)]
		public virtual string EnginePrefix { get; set; }
		[StringLength(IF_FQF3MM01Consts.MaxEngineNoLength)]
		public virtual string EngineNo { get; set; }
		[StringLength(IF_FQF3MM01Consts.MaxPlantCodeLength)]
		public virtual string PlantCode { get; set; }
		[StringLength(IF_FQF3MM01Consts.MaxCurrentStatusLength)]
		public virtual string CurrentStatus { get; set; }
		[StringLength(IF_FQF3MM01Consts.MaxLineOffDatetimeLength)]
		public virtual string LineOffDatetime { get; set; }
		[StringLength(IF_FQF3MM01Consts.MaxInteriorColorLength)]
		public virtual string InteriorColor { get; set; }
		[StringLength(IF_FQF3MM01Consts.MaxExteriorColorLength)]
		public virtual string ExteriorColor { get; set; }
		[StringLength(IF_FQF3MM01Consts.MaxDestinationCodeLength)]
		public virtual string DestinationCode { get; set; }
		[StringLength(IF_FQF3MM01Consts.MaxEdOdnoLength)]
		public virtual string EdOdno { get; set; }
		[StringLength(IF_FQF3MM01Consts.MaxCancelFlagLength)]
		public virtual string CancelFlag { get; set; }
		[StringLength(IF_FQF3MM01Consts.MaxSmsCarFamilyCodeLength)]
		public virtual string SmsCarFamilyCode { get; set; }
		[StringLength(IF_FQF3MM01Consts.MaxOrderTypeLength)]
		public virtual string OrderType { get; set; }
		[StringLength(IF_FQF3MM01Consts.MaxKatashikiCodeLength)]
		public virtual string KatashikiCode { get; set; }
		[StringLength(IF_FQF3MM01Consts.MaxEndOfRecordLength)]
		public virtual string EndOfRecord { get; set; }
	}
	public class GetIF_FQF3MM01Input : PagedAndSortedResultRequestDto	
	{
		public virtual string Vin { get; set; }
		public virtual string Urn { get; set; }
		public virtual string SpecSheetNo { get; set; }
		public virtual string IdLine { get; set; }
		public virtual string Katashiki { get; set; }
		public virtual string SaleKatashiki { get; set; }
		public virtual string SaleSuffix { get; set; }
		public virtual string Spec200Digits { get; set; }
		public virtual string ProductionSuffix { get; set; }
		public virtual string LotCode { get; set; }
		public virtual string EnginePrefix { get; set; }
		public virtual string EngineNo { get; set; }
		public virtual string PlantCode { get; set; }
		public virtual string CurrentStatus { get; set; }
		public virtual string LineOffDatetime { get; set; }
		public virtual string InteriorColor { get; set; }
		public virtual string ExteriorColor { get; set; }
		public virtual string DestinationCode { get; set; }
		public virtual string EdOdno { get; set; }
		public virtual string CancelFlag { get; set; }
		public virtual string SmsCarFamilyCode { get; set; }
		public virtual string OrderType { get; set; }
		public virtual string KatashikiCode { get; set; }
		public virtual string EndOfRecord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perIF_FQF3MM01 = PARENTS.CreateChildPermission(AppPermissions.Pages_Inventory_IF_FQF3MM01, L( "InventoryIFFQF3MM01"), multiTenancySides: MultiTenancySides.Tenant);
		perIF_FQF3MM01.CreateChildPermission(AppPermissions.Pages_Inventory_IF_FQF3MM01_CreateEdit, L( "InventoryIFFQF3MM01CreateEdit"), multiTenancySides: MultiTenancySides.Tenant);
		perIF_FQF3MM01.CreateChildPermission(AppPermissions.Pages_Inventory_IF_FQF3MM01_Delete, L( "InventoryIFFQF3MM01Delete"),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Pages_Inventory_IF_FQF3MM01 = "Pages.Inventory.IF.FQF3MM01";
		public const string Pages_Inventory_IF_FQF3MM01_CreateEdit = "Pages.Inventory.IF.FQF3MM01.CreateEdit";
		public const string Pages_Inventory_IF_FQF3MM01_Delete = "Pages.Inventory.IF.FQF3MM01.Delete";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vovina.Inventory.IF.Dto;
namespace prod.Inventory.IF
{
	public interface IIF_FQF3MM01AppService : IApplicationService
	{
		Task&lt;PagedResultDto&lt;IF_FQF3MM01Dto&gt;&gt; GetAll(GetIF_FQF3MM01Input input);
		Task CreateOrEdit(CreateOrEditIF_FQF3MM01Dto input);
		Task Delete(EntityDto input);
	}
}
</v>
      </c>
      <c r="Q7" t="str">
        <f ca="1">SUBSTITUTE(SUBSTITUTE(SUBSTITUTE(SUBSTITUTE(SUBSTITUTE(SUBSTITUTE(E1,"MstWptCalendar",$B$3),"&lt;PROPERTIES&gt;",P35),"Calendar",$B$5),"WorkingPattern",$Q$3),"Master",$B$4),"&lt;PARAMS_SEARCH&gt;",$W$35)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vovina.IF.IF.Dto;
using vovina.IF.IF.Exporting;
namespace vovina.IF.IF
{
    [AbpAuthorize(AppPermissions.Pages_IF_IF_FQF3MM01)]
    public class IF_FQF3MM01AppService : vovinaAppServiceBase, IIF_FQF3MM01AppService
    {
        private readonly IDapperRepository&lt;IF_FQF3MM01, long&gt; _dapperRepo;
        private readonly IRepository&lt;IF_FQF3MM01, long&gt; _repo;
        private readonly IIF_FQF3MM01ExcelExporter _calendarListExcelExporter;
        public IF_FQF3MM01AppService(IRepository&lt;IF_FQF3MM01,long&gt; repo, 
                                         IDapperRepository&lt;IF_FQF3MM01,long&gt; dapperRepo,
                                        IIF_FQF3MM01ExcelExporter calendarListExcelExporter
            )
        {
            _repo = repo;
            _dapperRepo = dapperRepo;
            _calendarListExcelExporter = calendarListExcelExporter;
        }
        [AbpAuthorize(AppPermissions.Pages_IF_IF_FQF3MM01_CreateEdit)]
        public async Task CreateOrEdit(CreateOrEditIF_FQF3MM01Dto input)
        {
            if (input.Id == null) await Create(input);
            else await Update(input);
        }
        //CREATE
        private async Task Create(CreateOrEditIF_FQF3MM01Dto input)
        {          
            var mainObj = ObjectMapper.Map&lt;IF_FQF3MM01&gt;(input);
            await CurrentUnitOfWork.GetDbContext&lt;vovinaDbContext&gt;().AddAsync(mainObj);
        }
        // EDIT
        private async Task Update(CreateOrEditIF_FQF3MM01Dto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[AbpAuthorize(AppPermissions.Pages_IF_IF_FQF3MM01_Delete)]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Task&lt;PagedResultDto&lt;IF_FQF3MM01Dto&gt;&gt; GetAll(GetIF_FQF3MM01Input input)
        {
            var filtered = _repo.GetAll()
				.WhereIf(!string.IsNullOrWhiteSpace(input.Vin), e =&gt; e.Vin.Contains(input.Vin))
				.WhereIf(!string.IsNullOrWhiteSpace(input.Urn), e =&gt; e.Urn.Contains(input.Urn))
				.WhereIf(!string.IsNullOrWhiteSpace(input.SpecSheetNo), e =&gt; e.SpecSheetNo.Contains(input.SpecSheetNo))
				.WhereIf(!string.IsNullOrWhiteSpace(input.IdLine), e =&gt; e.IdLine.Contains(input.IdLine))
				.WhereIf(!string.IsNullOrWhiteSpace(input.Katashiki), e =&gt; e.Katashiki.Contains(input.Katashiki))
				.WhereIf(!string.IsNullOrWhiteSpace(input.SaleKatashiki), e =&gt; e.SaleKatashiki.Contains(input.SaleKatashiki))
				.WhereIf(!string.IsNullOrWhiteSpace(input.SaleSuffix), e =&gt; e.SaleSuffix.Contains(input.SaleSuffix))
				.WhereIf(!string.IsNullOrWhiteSpace(input.Spec200Digits), e =&gt; e.Spec200Digits.Contains(input.Spec200Digits))
				.WhereIf(!string.IsNullOrWhiteSpace(input.ProductionSuffix), e =&gt; e.ProductionSuffix.Contains(input.ProductionSuffix))
				.WhereIf(!string.IsNullOrWhiteSpace(input.LotCode), e =&gt; e.LotCode.Contains(input.LotCode))
				.WhereIf(!string.IsNullOrWhiteSpace(input.EnginePrefix), e =&gt; e.EnginePrefix.Contains(input.EnginePrefix))
				.WhereIf(!string.IsNullOrWhiteSpace(input.EngineNo), e =&gt; e.EngineNo.Contains(input.EngineNo))
				.WhereIf(!string.IsNullOrWhiteSpace(input.PlantCode), e =&gt; e.PlantCode.Contains(input.PlantCode))
				.WhereIf(!string.IsNullOrWhiteSpace(input.CurrentStatus), e =&gt; e.CurrentStatus.Contains(input.CurrentStatus))
				.WhereIf(!string.IsNullOrWhiteSpace(input.LineOffDatetime), e =&gt; e.LineOffDatetime.Contains(input.LineOffDatetime))
				.WhereIf(!string.IsNullOrWhiteSpace(input.InteriorColor), e =&gt; e.InteriorColor.Contains(input.InteriorColor))
				.WhereIf(!string.IsNullOrWhiteSpace(input.ExteriorColor), e =&gt; e.ExteriorColor.Contains(input.ExteriorColor))
				.WhereIf(!string.IsNullOrWhiteSpace(input.DestinationCode), e =&gt; e.DestinationCode.Contains(input.DestinationCode))
				.WhereIf(!string.IsNullOrWhiteSpace(input.EdOdno), e =&gt; e.EdOdno.Contains(input.EdOdno))
				.WhereIf(!string.IsNullOrWhiteSpace(input.CancelFlag), e =&gt; e.CancelFlag.Contains(input.CancelFlag))
				.WhereIf(!string.IsNullOrWhiteSpace(input.SmsCarFamilyCode), e =&gt; e.SmsCarFamilyCode.Contains(input.SmsCarFamilyCode))
				.WhereIf(!string.IsNullOrWhiteSpace(input.OrderType), e =&gt; e.OrderType.Contains(input.OrderType))
				.WhereIf(!string.IsNullOrWhiteSpace(input.KatashikiCode), e =&gt; e.KatashikiCode.Contains(input.KatashikiCode))
				.WhereIf(!string.IsNullOrWhiteSpace(input.EndOfRecord), e =&gt; e.EndOfRecord.Contains(input.EndOfRecord))                   
				;
            var pageAndFiltered = filtered.OrderBy(s =&gt; s.Id);
            var system = from o in pageAndFiltered
                         select new IF_FQF3MM01Dto
                        {
							Id = o.Id,
							RecordId = o.RecordId,
							Vin = o.Vin,
							Urn = o.Urn,
							SpecSheetNo = o.SpecSheetNo,
							IdLine = o.IdLine,
							Katashiki = o.Katashiki,
							SaleKatashiki = o.SaleKatashiki,
							SaleSuffix = o.SaleSuffix,
							Spec200Digits = o.Spec200Digits,
							ProductionSuffix = o.ProductionSuffix,
							LotCode = o.LotCode,
							EnginePrefix = o.EnginePrefix,
							EngineNo = o.EngineNo,
							PlantCode = o.PlantCode,
							CurrentStatus = o.CurrentStatus,
							LineOffDatetime = o.LineOffDatetime,
							InteriorColor = o.InteriorColor,
							ExteriorColor = o.ExteriorColor,
							DestinationCode = o.DestinationCode,
							EdOdno = o.EdOdno,
							CancelFlag = o.CancelFlag,
							SmsCarFamilyCode = o.SmsCarFamilyCode,
							OrderType = o.OrderType,
							KatashikiCode = o.KatashikiCode,
							EndOfRecord = o.EndOfRecord,
                        };
            var totalCount = await filtered.CountAsync();
			var paged = system.PageBy(input);
            return new PagedResultDto&lt;IF_FQF3MM01Dto&gt;(
                totalCount,
                 await paged.ToListAsync()
            );
        }
        public async Task&lt;FileDto&gt; GetFQF3MM01ToExcel(IF_FQF3MM01ExportInput input)
        {
            var query = from o in _repo.GetAll()
                        select new IF_FQF3MM01Dto
                        {
							Id = o.Id,
							RecordId = o.RecordId,
							Vin = o.Vin,
							Urn = o.Urn,
							SpecSheetNo = o.SpecSheetNo,
							IdLine = o.IdLine,
							Katashiki = o.Katashiki,
							SaleKatashiki = o.SaleKatashiki,
							SaleSuffix = o.SaleSuffix,
							Spec200Digits = o.Spec200Digits,
							ProductionSuffix = o.ProductionSuffix,
							LotCode = o.LotCode,
							EnginePrefix = o.EnginePrefix,
							EngineNo = o.EngineNo,
							PlantCode = o.PlantCode,
							CurrentStatus = o.CurrentStatus,
							LineOffDatetime = o.LineOffDatetime,
							InteriorColor = o.InteriorColor,
							ExteriorColor = o.ExteriorColor,
							DestinationCode = o.DestinationCode,
							EdOdno = o.EdOdno,
							CancelFlag = o.CancelFlag,
							SmsCarFamilyCode = o.SmsCarFamilyCode,
							OrderType = o.OrderType,
							KatashikiCode = o.KatashikiCode,
							EndOfRecord = o.EndOfRecord,
                        };
            var exportToExcel = await query.ToListAsync();
            return _calendarListExcelExporter.ExportToFile(exportToExcel);
        }
       // public async Task GenerateAsync()
      //  {
        //    await _dapperRepo.ExecuteAsync(IF_FQF3MM01Consts.SP_MST_WPT_CALENDAR_GENERATE);
       // }
    }
}</v>
      </c>
      <c r="R7" t="str">
        <f ca="1">SUBSTITUTE(SUBSTITUTE((C1&amp;"namespace "&amp;B6&amp;".Dto"&amp;E3&amp;C3&amp;R3&amp;M35&amp;E3&amp;REPT(CHAR(9),1)&amp;D3&amp;D3),"WorkingPattern",$Q$3),"Master",$B$4)</f>
        <v xml:space="preserve">using Abp.Application.Services.Dto;
using System;
using System.ComponentModel.DataAnnotations;
namespace prod.Inventory.IF.Dto
{
	public class IF_FQF3MM01ExportInput{
		public virtual int? RecordId { get; set; }
		public virtual string Vin { get; set; }
		public virtual string Urn { get; set; }
		public virtual string SpecSheetNo { get; set; }
		public virtual string IdLine { get; set; }
		public virtual string Katashiki { get; set; }
		public virtual string SaleKatashiki { get; set; }
		public virtual string SaleSuffix { get; set; }
		public virtual string Spec200Digits { get; set; }
		public virtual string ProductionSuffix { get; set; }
		public virtual string LotCode { get; set; }
		public virtual string EnginePrefix { get; set; }
		public virtual string EngineNo { get; set; }
		public virtual string PlantCode { get; set; }
		public virtual string CurrentStatus { get; set; }
		public virtual string LineOffDatetime { get; set; }
		public virtual string InteriorColor { get; set; }
		public virtual string ExteriorColor { get; set; }
		public virtual string DestinationCode { get; set; }
		public virtual string EdOdno { get; set; }
		public virtual string CancelFlag { get; set; }
		public virtual string SmsCarFamilyCode { get; set; }
		public virtual string OrderType { get; set; }
		public virtual string KatashikiCode { get; set; }
		public virtual string EndOfRecord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vovina.Inventory.IF.Dto;
namespace prod.Inventory.IF.Exporting
{
	public interface IIF_FQF3MM01ExcelExporter : IApplicationService
	{
		FileDto ExportToFile(List&lt;IF_FQF3MM01Dto&gt; if_fqf3mm01);
	}
}
</v>
      </c>
      <c r="T7" s="26" t="str">
        <f ca="1">SUBSTITUTE(SUBSTITUTE(SUBSTITUTE(SUBSTITUTE(SUBSTITUTE(SUBSTITUTE(SUBSTITUTE(T1,"MstWptCalendar",$B$3),"&lt;PROPERTIES1&gt;",V35),"&lt;PROPERTIES&gt;",T35),"Calendar",$B$5),"calendar",LOWER(B5)),"WorkingPattern",$Q$3),"Master",$B$4)</f>
        <v>using System.Collections.Generic;
using vovina.DataExporting.Excel.NPOI;
using vovina.Dto;
using vovina.IF.IF.Exporting;
using vovina.IF.IF.Dto;
using vovina.Storage;
using vovina.IF.IF.Dto;
namespace vovina.IF.IF.Exporting
{
    public class IF_FQF3MM01ExcelExporter : NpoiExcelExporterBase, IIF_FQF3MM01ExcelExporter
    {
        public IF_FQF3MM01ExcelExporter(ITempFileCacheManager tempFileCacheManager) : base(tempFileCacheManager) { }
        public FileDto ExportToFile(List&lt;IF_FQF3MM01Dto&gt; fqf3mm01)
        {
            return CreateExcelPackage(
				"IFIFFQF3MM01.xlsx",
				excelPackage =&gt;
				 {
					var sheet = excelPackage.CreateSheet("FQF3MM01");
					AddHeader(
								sheet,
								("RecordId"),
								("Vin"),
								("Urn"),
								("SpecSheetNo"),
								("IdLine"),
								("Katashiki"),
								("SaleKatashiki"),
								("SaleSuffix"),
								("Spec200Digits"),
								("ProductionSuffix"),
								("LotCode"),
								("EnginePrefix"),
								("EngineNo"),
								("PlantCode"),
								("CurrentStatus"),
								("LineOffDatetime"),
								("InteriorColor"),
								("ExteriorColor"),
								("DestinationCode"),
								("EdOdno"),
								("CancelFlag"),
								("SmsCarFamilyCode"),
								("OrderType"),
								("KatashikiCode"),
								("EndOfRecord"),
							   );
					AddObjects(
						 sheet, 1, fqf3mm01,                                       
								_ =&gt; _.RecordId,
								_ =&gt; _.Vin,
								_ =&gt; _.Urn,
								_ =&gt; _.SpecSheetNo,
								_ =&gt; _.IdLine,
								_ =&gt; _.Katashiki,
								_ =&gt; _.SaleKatashiki,
								_ =&gt; _.SaleSuffix,
								_ =&gt; _.Spec200Digits,
								_ =&gt; _.ProductionSuffix,
								_ =&gt; _.LotCode,
								_ =&gt; _.EnginePrefix,
								_ =&gt; _.EngineNo,
								_ =&gt; _.PlantCode,
								_ =&gt; _.CurrentStatus,
								_ =&gt; _.LineOffDatetime,
								_ =&gt; _.InteriorColor,
								_ =&gt; _.ExteriorColor,
								_ =&gt; _.DestinationCode,
								_ =&gt; _.EdOdno,
								_ =&gt; _.CancelFlag,
								_ =&gt; _.SmsCarFamilyCode,
								_ =&gt; _.OrderType,
								_ =&gt; _.KatashikiCode,
								_ =&gt; _.EndOfRecord,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configuration.CreateMap&lt;IF_FQF3MM01Dto, IF_FQF3MM01&gt;();
  configuration.CreateMap&lt;IF_FQF3MM01, IF_FQF3MM01Dto&gt;();
  configuration.CreateMap&lt;CreateOrEditIF_FQF3MM01Dto, IF_FQF3MM01&gt;();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25">
      <c r="A9" t="s">
        <v>365</v>
      </c>
      <c r="B9" t="s">
        <v>4</v>
      </c>
      <c r="C9" t="s">
        <v>1</v>
      </c>
      <c r="D9" t="str">
        <f t="shared" ref="D9" si="0">SUBSTITUTE(PROPER(A9),"_","")</f>
        <v>RecordId</v>
      </c>
      <c r="E9" t="str">
        <f t="shared" ref="E9" si="1">IFERROR(LEFT(B9, FIND("(",B9)-1),B9)</f>
        <v>int</v>
      </c>
      <c r="F9" s="6"/>
      <c r="G9" t="str">
        <f t="shared" ref="G9" si="2">IFERROR(MID(B9,FIND("(",B9) +1, FIND(")",B9) - FIND("(",B9) - 1),"")</f>
        <v/>
      </c>
      <c r="H9" t="str">
        <f>+VLOOKUP(E9,'Data Type Mapping'!A:B,2,)</f>
        <v>int?</v>
      </c>
      <c r="I9" t="str">
        <f t="shared" ref="I9" si="3">IF(H9="string",REPT(CHAR(9),2)&amp;"public const int Max"&amp;D9&amp;"Length = "&amp;G9&amp;";"&amp;$E$3,"" )</f>
        <v/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public virtual int? RecordId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int? RecordId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public virtual int? RecordId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/>
      </c>
      <c r="P9" t="str">
        <f t="shared" ref="P9" si="9">REPT(CHAR(9),7)&amp;D9&amp;" = o." &amp;D9 &amp;","</f>
        <v xml:space="preserve">							RecordId = o.RecordId,</v>
      </c>
      <c r="T9" s="63" t="str">
        <f t="shared" ref="T9" si="10">REPT(CHAR(9),8)&amp;"("""&amp;D9&amp;"""),"</f>
        <v xml:space="preserve">								("RecordId"),</v>
      </c>
      <c r="V9" s="64" t="str">
        <f t="shared" ref="V9" si="11">REPT(CHAR(9),8)&amp;"_ =&gt; _."&amp;D9&amp;","</f>
        <v xml:space="preserve">								_ =&gt; _.RecordId,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/>
      </c>
    </row>
    <row r="10" spans="1:23" customFormat="1" ht="18.75" customHeight="1" x14ac:dyDescent="0.25">
      <c r="A10" t="s">
        <v>366</v>
      </c>
      <c r="B10" t="s">
        <v>390</v>
      </c>
      <c r="C10" t="s">
        <v>1</v>
      </c>
      <c r="D10" t="str">
        <f t="shared" ref="D10:D11" si="13">SUBSTITUTE(PROPER(A10),"_","")</f>
        <v>Vin</v>
      </c>
      <c r="E10" t="str">
        <f t="shared" ref="E10:E11" si="14">IFERROR(LEFT(B10, FIND("(",B10)-1),B10)</f>
        <v>VARCHAR</v>
      </c>
      <c r="F10" s="6"/>
      <c r="G10" t="str">
        <f t="shared" ref="G10:G11" si="15">IFERROR(MID(B10,FIND("(",B10) +1, FIND(")",B10) - FIND("(",B10) - 1),"")</f>
        <v>17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MaxVinLength = 17;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[StringLength(MaxVinLength)]
		public virtual string Vin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Vin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[StringLength(IF_FQF3MM01Consts.MaxVinLength)]
		public virtual string Vin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Vin { get; set; }
</v>
      </c>
      <c r="P10" t="str">
        <f t="shared" ref="P10:P11" si="22">REPT(CHAR(9),7)&amp;D10&amp;" = o." &amp;D10 &amp;","</f>
        <v xml:space="preserve">							Vin = o.Vin,</v>
      </c>
      <c r="T10" s="63" t="str">
        <f t="shared" ref="T10:T11" si="23">REPT(CHAR(9),8)&amp;"("""&amp;D10&amp;"""),"</f>
        <v xml:space="preserve">								("Vin"),</v>
      </c>
      <c r="V10" s="64" t="str">
        <f t="shared" ref="V10:V11" si="24">REPT(CHAR(9),8)&amp;"_ =&gt; _."&amp;D10&amp;","</f>
        <v xml:space="preserve">								_ =&gt; _.Vin,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.WhereIf(!string.IsNullOrWhiteSpace(input.Vin), e =&gt; e.Vin.Contains(input.Vin))</v>
      </c>
    </row>
    <row r="11" spans="1:23" customFormat="1" ht="18.75" customHeight="1" x14ac:dyDescent="0.25">
      <c r="A11" t="s">
        <v>393</v>
      </c>
      <c r="B11" t="s">
        <v>354</v>
      </c>
      <c r="C11" t="s">
        <v>1</v>
      </c>
      <c r="D11" t="str">
        <f t="shared" si="13"/>
        <v>Urn</v>
      </c>
      <c r="E11" t="str">
        <f t="shared" si="14"/>
        <v>VARCHAR</v>
      </c>
      <c r="F11" s="6"/>
      <c r="G11" t="str">
        <f t="shared" si="15"/>
        <v>10</v>
      </c>
      <c r="H11" t="str">
        <f>+VLOOKUP(E11,'Data Type Mapping'!A:B,2,)</f>
        <v>string</v>
      </c>
      <c r="I11" t="str">
        <f t="shared" si="16"/>
        <v xml:space="preserve">		public const int MaxUrnLength = 10;
</v>
      </c>
      <c r="J11" t="str">
        <f t="shared" si="17"/>
        <v xml:space="preserve">		[StringLength(MaxUrnLength)]
		public virtual string Urn { get; set; }
</v>
      </c>
      <c r="K11" s="6"/>
      <c r="L11" t="str">
        <f t="shared" si="18"/>
        <v/>
      </c>
      <c r="M11" t="str">
        <f t="shared" si="19"/>
        <v xml:space="preserve">		public virtual string Urn { get; set; }
</v>
      </c>
      <c r="N11" t="str">
        <f t="shared" si="20"/>
        <v xml:space="preserve">		[StringLength(IF_FQF3MM01Consts.MaxUrnLength)]
		public virtual string Urn { get; set; }
</v>
      </c>
      <c r="O11" t="str">
        <f t="shared" si="21"/>
        <v xml:space="preserve">		public virtual string Urn { get; set; }
</v>
      </c>
      <c r="P11" t="str">
        <f t="shared" si="22"/>
        <v xml:space="preserve">							Urn = o.Urn,</v>
      </c>
      <c r="T11" s="63" t="str">
        <f t="shared" si="23"/>
        <v xml:space="preserve">								("Urn"),</v>
      </c>
      <c r="V11" s="64" t="str">
        <f t="shared" si="24"/>
        <v xml:space="preserve">								_ =&gt; _.Urn,</v>
      </c>
      <c r="W11" s="63" t="str">
        <f t="shared" si="25"/>
        <v xml:space="preserve">				.WhereIf(!string.IsNullOrWhiteSpace(input.Urn), e =&gt; e.Urn.Contains(input.Urn))</v>
      </c>
    </row>
    <row r="12" spans="1:23" customFormat="1" ht="18.75" customHeight="1" x14ac:dyDescent="0.25">
      <c r="A12" t="s">
        <v>368</v>
      </c>
      <c r="B12" t="s">
        <v>357</v>
      </c>
      <c r="C12" t="s">
        <v>1</v>
      </c>
      <c r="D12" t="str">
        <f t="shared" ref="D12:D15" si="26">SUBSTITUTE(PROPER(A12),"_","")</f>
        <v>SpecSheetNo</v>
      </c>
      <c r="E12" t="str">
        <f t="shared" ref="E12:E15" si="27">IFERROR(LEFT(B12, FIND("(",B12)-1),B12)</f>
        <v>VARCHAR</v>
      </c>
      <c r="F12" s="6"/>
      <c r="G12" t="str">
        <f t="shared" ref="G12:G15" si="28">IFERROR(MID(B12,FIND("(",B12) +1, FIND(")",B12) - FIND("(",B12) - 1),"")</f>
        <v>2</v>
      </c>
      <c r="H12" t="str">
        <f>+VLOOKUP(E12,'Data Type Mapping'!A:B,2,)</f>
        <v>string</v>
      </c>
      <c r="I12" t="str">
        <f t="shared" ref="I12:I15" si="29">IF(H12="string",REPT(CHAR(9),2)&amp;"public const int Max"&amp;D12&amp;"Length = "&amp;G12&amp;";"&amp;$E$3,"" )</f>
        <v xml:space="preserve">		public const int MaxSpecSheetNoLength = 2;
</v>
      </c>
      <c r="J12" t="str">
        <f t="shared" ref="J12:J15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[StringLength(MaxSpecSheetNoLength)]
		public virtual string SpecSheetNo { get; set; }
</v>
      </c>
      <c r="K12" s="6"/>
      <c r="L12" t="str">
        <f t="shared" ref="L12:L15" si="31">IF(K12="","",REPT(CHAR(9),1)&amp;"[Index(nameof("&amp;IF(D12="","",""&amp;D12)&amp;")"&amp;", Name="&amp;"""IX_"&amp;$B$7&amp;"_"&amp;D12&amp;""")]")</f>
        <v/>
      </c>
      <c r="M12" t="str">
        <f t="shared" ref="M12:M15" si="32">REPT(CHAR(9),2)&amp;"public virtual "&amp;IF(OR(H12="DateTime",H12="TimeSpan"),H12&amp;"?",H12)&amp;IF(C12="?","? "," ")&amp;D12&amp;" { get; set; }" &amp; "
"</f>
        <v xml:space="preserve">		public virtual string SpecSheetNo { get; set; }
</v>
      </c>
      <c r="N12" t="str">
        <f t="shared" ref="N12:N15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[StringLength(IF_FQF3MM01Consts.MaxSpecSheetNoLength)]
		public virtual string SpecSheetNo { get; set; }
</v>
      </c>
      <c r="O12" t="str">
        <f t="shared" ref="O12:O15" si="34">IF(OR(H12="string",H12="DateTime",H12="int"),REPT(CHAR(9),2)&amp;"public virtual "&amp;IF(OR(H12="DateTime",H12="TimeSpan"),H12&amp;"?",H12)&amp;IF(C12="?","? "," ")&amp;D12&amp;" { get; set; }"&amp;$E$3,"")</f>
        <v xml:space="preserve">		public virtual string SpecSheetNo { get; set; }
</v>
      </c>
      <c r="P12" t="str">
        <f t="shared" ref="P12:P15" si="35">REPT(CHAR(9),7)&amp;D12&amp;" = o." &amp;D12 &amp;","</f>
        <v xml:space="preserve">							SpecSheetNo = o.SpecSheetNo,</v>
      </c>
      <c r="T12" s="63" t="str">
        <f t="shared" ref="T12:T15" si="36">REPT(CHAR(9),8)&amp;"("""&amp;D12&amp;"""),"</f>
        <v xml:space="preserve">								("SpecSheetNo"),</v>
      </c>
      <c r="V12" s="64" t="str">
        <f t="shared" ref="V12:V15" si="37">REPT(CHAR(9),8)&amp;"_ =&gt; _."&amp;D12&amp;","</f>
        <v xml:space="preserve">								_ =&gt; _.SpecSheetNo,</v>
      </c>
      <c r="W12" s="63" t="str">
        <f t="shared" ref="W12:W15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.WhereIf(!string.IsNullOrWhiteSpace(input.SpecSheetNo), e =&gt; e.SpecSheetNo.Contains(input.SpecSheetNo))</v>
      </c>
    </row>
    <row r="13" spans="1:23" customFormat="1" ht="18.75" customHeight="1" x14ac:dyDescent="0.25">
      <c r="A13" t="s">
        <v>394</v>
      </c>
      <c r="B13" t="s">
        <v>357</v>
      </c>
      <c r="C13" t="s">
        <v>1</v>
      </c>
      <c r="D13" t="str">
        <f t="shared" si="26"/>
        <v>IdLine</v>
      </c>
      <c r="E13" t="str">
        <f t="shared" si="27"/>
        <v>VARCHAR</v>
      </c>
      <c r="F13" s="6"/>
      <c r="G13" t="str">
        <f t="shared" si="28"/>
        <v>2</v>
      </c>
      <c r="H13" t="str">
        <f>+VLOOKUP(E13,'Data Type Mapping'!A:B,2,)</f>
        <v>string</v>
      </c>
      <c r="I13" t="str">
        <f t="shared" si="29"/>
        <v xml:space="preserve">		public const int MaxIdLineLength = 2;
</v>
      </c>
      <c r="J13" t="str">
        <f t="shared" si="30"/>
        <v xml:space="preserve">		[StringLength(MaxIdLineLength)]
		public virtual string IdLine { get; set; }
</v>
      </c>
      <c r="K13" s="6"/>
      <c r="L13" t="str">
        <f t="shared" si="31"/>
        <v/>
      </c>
      <c r="M13" t="str">
        <f t="shared" si="32"/>
        <v xml:space="preserve">		public virtual string IdLine { get; set; }
</v>
      </c>
      <c r="N13" t="str">
        <f t="shared" si="33"/>
        <v xml:space="preserve">		[StringLength(IF_FQF3MM01Consts.MaxIdLineLength)]
		public virtual string IdLine { get; set; }
</v>
      </c>
      <c r="O13" t="str">
        <f t="shared" si="34"/>
        <v xml:space="preserve">		public virtual string IdLine { get; set; }
</v>
      </c>
      <c r="P13" t="str">
        <f t="shared" si="35"/>
        <v xml:space="preserve">							IdLine = o.IdLine,</v>
      </c>
      <c r="T13" s="63" t="str">
        <f t="shared" si="36"/>
        <v xml:space="preserve">								("IdLine"),</v>
      </c>
      <c r="V13" s="64" t="str">
        <f t="shared" si="37"/>
        <v xml:space="preserve">								_ =&gt; _.IdLine,</v>
      </c>
      <c r="W13" s="63" t="str">
        <f t="shared" si="38"/>
        <v xml:space="preserve">				.WhereIf(!string.IsNullOrWhiteSpace(input.IdLine), e =&gt; e.IdLine.Contains(input.IdLine))</v>
      </c>
    </row>
    <row r="14" spans="1:23" customFormat="1" ht="18.75" customHeight="1" x14ac:dyDescent="0.25">
      <c r="A14" t="s">
        <v>370</v>
      </c>
      <c r="B14" t="s">
        <v>358</v>
      </c>
      <c r="C14" t="s">
        <v>1</v>
      </c>
      <c r="D14" t="str">
        <f t="shared" si="26"/>
        <v>Katashiki</v>
      </c>
      <c r="E14" t="str">
        <f t="shared" si="27"/>
        <v>VARCHAR</v>
      </c>
      <c r="F14" s="6"/>
      <c r="G14" t="str">
        <f t="shared" si="28"/>
        <v>20</v>
      </c>
      <c r="H14" t="str">
        <f>+VLOOKUP(E14,'Data Type Mapping'!A:B,2,)</f>
        <v>string</v>
      </c>
      <c r="I14" t="str">
        <f t="shared" si="29"/>
        <v xml:space="preserve">		public const int MaxKatashikiLength = 20;
</v>
      </c>
      <c r="J14" t="str">
        <f t="shared" si="30"/>
        <v xml:space="preserve">		[StringLength(MaxKatashikiLength)]
		public virtual string Katashiki { get; set; }
</v>
      </c>
      <c r="K14" s="6"/>
      <c r="L14" t="str">
        <f t="shared" si="31"/>
        <v/>
      </c>
      <c r="M14" t="str">
        <f t="shared" si="32"/>
        <v xml:space="preserve">		public virtual string Katashiki { get; set; }
</v>
      </c>
      <c r="N14" t="str">
        <f t="shared" si="33"/>
        <v xml:space="preserve">		[StringLength(IF_FQF3MM01Consts.MaxKatashikiLength)]
		public virtual string Katashiki { get; set; }
</v>
      </c>
      <c r="O14" t="str">
        <f t="shared" si="34"/>
        <v xml:space="preserve">		public virtual string Katashiki { get; set; }
</v>
      </c>
      <c r="P14" t="str">
        <f t="shared" si="35"/>
        <v xml:space="preserve">							Katashiki = o.Katashiki,</v>
      </c>
      <c r="T14" s="63" t="str">
        <f t="shared" si="36"/>
        <v xml:space="preserve">								("Katashiki"),</v>
      </c>
      <c r="V14" s="64" t="str">
        <f t="shared" si="37"/>
        <v xml:space="preserve">								_ =&gt; _.Katashiki,</v>
      </c>
      <c r="W14" s="63" t="str">
        <f t="shared" si="38"/>
        <v xml:space="preserve">				.WhereIf(!string.IsNullOrWhiteSpace(input.Katashiki), e =&gt; e.Katashiki.Contains(input.Katashiki))</v>
      </c>
    </row>
    <row r="15" spans="1:23" customFormat="1" ht="18.75" customHeight="1" x14ac:dyDescent="0.25">
      <c r="A15" t="s">
        <v>371</v>
      </c>
      <c r="B15" t="s">
        <v>358</v>
      </c>
      <c r="C15" t="s">
        <v>1</v>
      </c>
      <c r="D15" t="str">
        <f t="shared" si="26"/>
        <v>SaleKatashiki</v>
      </c>
      <c r="E15" t="str">
        <f t="shared" si="27"/>
        <v>VARCHAR</v>
      </c>
      <c r="F15" s="6"/>
      <c r="G15" t="str">
        <f t="shared" si="28"/>
        <v>20</v>
      </c>
      <c r="H15" t="str">
        <f>+VLOOKUP(E15,'Data Type Mapping'!A:B,2,)</f>
        <v>string</v>
      </c>
      <c r="I15" t="str">
        <f t="shared" si="29"/>
        <v xml:space="preserve">		public const int MaxSaleKatashikiLength = 20;
</v>
      </c>
      <c r="J15" t="str">
        <f t="shared" si="30"/>
        <v xml:space="preserve">		[StringLength(MaxSaleKatashikiLength)]
		public virtual string SaleKatashiki { get; set; }
</v>
      </c>
      <c r="K15" s="6"/>
      <c r="L15" t="str">
        <f t="shared" si="31"/>
        <v/>
      </c>
      <c r="M15" t="str">
        <f t="shared" si="32"/>
        <v xml:space="preserve">		public virtual string SaleKatashiki { get; set; }
</v>
      </c>
      <c r="N15" t="str">
        <f t="shared" si="33"/>
        <v xml:space="preserve">		[StringLength(IF_FQF3MM01Consts.MaxSaleKatashikiLength)]
		public virtual string SaleKatashiki { get; set; }
</v>
      </c>
      <c r="O15" t="str">
        <f t="shared" si="34"/>
        <v xml:space="preserve">		public virtual string SaleKatashiki { get; set; }
</v>
      </c>
      <c r="P15" t="str">
        <f t="shared" si="35"/>
        <v xml:space="preserve">							SaleKatashiki = o.SaleKatashiki,</v>
      </c>
      <c r="T15" s="63" t="str">
        <f t="shared" si="36"/>
        <v xml:space="preserve">								("SaleKatashiki"),</v>
      </c>
      <c r="V15" s="64" t="str">
        <f t="shared" si="37"/>
        <v xml:space="preserve">								_ =&gt; _.SaleKatashiki,</v>
      </c>
      <c r="W15" s="63" t="str">
        <f t="shared" si="38"/>
        <v xml:space="preserve">				.WhereIf(!string.IsNullOrWhiteSpace(input.SaleKatashiki), e =&gt; e.SaleKatashiki.Contains(input.SaleKatashiki))</v>
      </c>
    </row>
    <row r="16" spans="1:23" customFormat="1" ht="18.75" customHeight="1" x14ac:dyDescent="0.25">
      <c r="A16" t="s">
        <v>372</v>
      </c>
      <c r="B16" t="s">
        <v>357</v>
      </c>
      <c r="C16" t="s">
        <v>1</v>
      </c>
      <c r="D16" t="str">
        <f t="shared" ref="D16:D23" si="39">SUBSTITUTE(PROPER(A16),"_","")</f>
        <v>SaleSuffix</v>
      </c>
      <c r="E16" t="str">
        <f t="shared" ref="E16:E23" si="40">IFERROR(LEFT(B16, FIND("(",B16)-1),B16)</f>
        <v>VARCHAR</v>
      </c>
      <c r="F16" s="6"/>
      <c r="G16" t="str">
        <f t="shared" ref="G16:G23" si="41">IFERROR(MID(B16,FIND("(",B16) +1, FIND(")",B16) - FIND("(",B16) - 1),"")</f>
        <v>2</v>
      </c>
      <c r="H16" t="str">
        <f>+VLOOKUP(E16,'Data Type Mapping'!A:B,2,)</f>
        <v>string</v>
      </c>
      <c r="I16" t="str">
        <f t="shared" ref="I16:I23" si="42">IF(H16="string",REPT(CHAR(9),2)&amp;"public const int Max"&amp;D16&amp;"Length = "&amp;G16&amp;";"&amp;$E$3,"" )</f>
        <v xml:space="preserve">		public const int MaxSaleSuffixLength = 2;
</v>
      </c>
      <c r="J16" t="str">
        <f t="shared" ref="J16:J23" si="43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[StringLength(MaxSaleSuffixLength)]
		public virtual string SaleSuffix { get; set; }
</v>
      </c>
      <c r="K16" s="6"/>
      <c r="L16" t="str">
        <f t="shared" ref="L16:L23" si="44">IF(K16="","",REPT(CHAR(9),1)&amp;"[Index(nameof("&amp;IF(D16="","",""&amp;D16)&amp;")"&amp;", Name="&amp;"""IX_"&amp;$B$7&amp;"_"&amp;D16&amp;""")]")</f>
        <v/>
      </c>
      <c r="M16" t="str">
        <f t="shared" ref="M16:M23" si="45">REPT(CHAR(9),2)&amp;"public virtual "&amp;IF(OR(H16="DateTime",H16="TimeSpan"),H16&amp;"?",H16)&amp;IF(C16="?","? "," ")&amp;D16&amp;" { get; set; }" &amp; "
"</f>
        <v xml:space="preserve">		public virtual string SaleSuffix { get; set; }
</v>
      </c>
      <c r="N16" t="str">
        <f t="shared" ref="N16:N23" si="46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[StringLength(IF_FQF3MM01Consts.MaxSaleSuffixLength)]
		public virtual string SaleSuffix { get; set; }
</v>
      </c>
      <c r="O16" t="str">
        <f t="shared" ref="O16:O23" si="47">IF(OR(H16="string",H16="DateTime",H16="int"),REPT(CHAR(9),2)&amp;"public virtual "&amp;IF(OR(H16="DateTime",H16="TimeSpan"),H16&amp;"?",H16)&amp;IF(C16="?","? "," ")&amp;D16&amp;" { get; set; }"&amp;$E$3,"")</f>
        <v xml:space="preserve">		public virtual string SaleSuffix { get; set; }
</v>
      </c>
      <c r="P16" t="str">
        <f t="shared" ref="P16:P23" si="48">REPT(CHAR(9),7)&amp;D16&amp;" = o." &amp;D16 &amp;","</f>
        <v xml:space="preserve">							SaleSuffix = o.SaleSuffix,</v>
      </c>
      <c r="T16" s="63" t="str">
        <f t="shared" ref="T16:T23" si="49">REPT(CHAR(9),8)&amp;"("""&amp;D16&amp;"""),"</f>
        <v xml:space="preserve">								("SaleSuffix"),</v>
      </c>
      <c r="V16" s="64" t="str">
        <f t="shared" ref="V16:V23" si="50">REPT(CHAR(9),8)&amp;"_ =&gt; _."&amp;D16&amp;","</f>
        <v xml:space="preserve">								_ =&gt; _.SaleSuffix,</v>
      </c>
      <c r="W16" s="63" t="str">
        <f t="shared" ref="W16:W23" si="51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 xml:space="preserve">				.WhereIf(!string.IsNullOrWhiteSpace(input.SaleSuffix), e =&gt; e.SaleSuffix.Contains(input.SaleSuffix))</v>
      </c>
    </row>
    <row r="17" spans="1:23" customFormat="1" ht="18.75" customHeight="1" x14ac:dyDescent="0.25">
      <c r="A17" t="s">
        <v>395</v>
      </c>
      <c r="B17" t="s">
        <v>359</v>
      </c>
      <c r="C17" t="s">
        <v>1</v>
      </c>
      <c r="D17" t="str">
        <f t="shared" si="39"/>
        <v>Spec200Digits</v>
      </c>
      <c r="E17" t="str">
        <f t="shared" si="40"/>
        <v>VARCHAR</v>
      </c>
      <c r="F17" s="6"/>
      <c r="G17" t="str">
        <f t="shared" si="41"/>
        <v>200</v>
      </c>
      <c r="H17" t="str">
        <f>+VLOOKUP(E17,'Data Type Mapping'!A:B,2,)</f>
        <v>string</v>
      </c>
      <c r="I17" t="str">
        <f t="shared" si="42"/>
        <v xml:space="preserve">		public const int MaxSpec200DigitsLength = 200;
</v>
      </c>
      <c r="J17" t="str">
        <f t="shared" si="43"/>
        <v xml:space="preserve">		[StringLength(MaxSpec200DigitsLength)]
		public virtual string Spec200Digits { get; set; }
</v>
      </c>
      <c r="K17" s="6"/>
      <c r="L17" t="str">
        <f t="shared" si="44"/>
        <v/>
      </c>
      <c r="M17" t="str">
        <f t="shared" si="45"/>
        <v xml:space="preserve">		public virtual string Spec200Digits { get; set; }
</v>
      </c>
      <c r="N17" t="str">
        <f t="shared" si="46"/>
        <v xml:space="preserve">		[StringLength(IF_FQF3MM01Consts.MaxSpec200DigitsLength)]
		public virtual string Spec200Digits { get; set; }
</v>
      </c>
      <c r="O17" t="str">
        <f t="shared" si="47"/>
        <v xml:space="preserve">		public virtual string Spec200Digits { get; set; }
</v>
      </c>
      <c r="P17" t="str">
        <f t="shared" si="48"/>
        <v xml:space="preserve">							Spec200Digits = o.Spec200Digits,</v>
      </c>
      <c r="T17" s="63" t="str">
        <f t="shared" si="49"/>
        <v xml:space="preserve">								("Spec200Digits"),</v>
      </c>
      <c r="V17" s="64" t="str">
        <f t="shared" si="50"/>
        <v xml:space="preserve">								_ =&gt; _.Spec200Digits,</v>
      </c>
      <c r="W17" s="63" t="str">
        <f t="shared" si="51"/>
        <v xml:space="preserve">				.WhereIf(!string.IsNullOrWhiteSpace(input.Spec200Digits), e =&gt; e.Spec200Digits.Contains(input.Spec200Digits))</v>
      </c>
    </row>
    <row r="18" spans="1:23" customFormat="1" ht="18.75" customHeight="1" x14ac:dyDescent="0.25">
      <c r="A18" t="s">
        <v>374</v>
      </c>
      <c r="B18" t="s">
        <v>357</v>
      </c>
      <c r="C18" t="s">
        <v>1</v>
      </c>
      <c r="D18" t="str">
        <f t="shared" si="39"/>
        <v>ProductionSuffix</v>
      </c>
      <c r="E18" t="str">
        <f t="shared" si="40"/>
        <v>VARCHAR</v>
      </c>
      <c r="F18" s="6"/>
      <c r="G18" t="str">
        <f t="shared" si="41"/>
        <v>2</v>
      </c>
      <c r="H18" t="str">
        <f>+VLOOKUP(E18,'Data Type Mapping'!A:B,2,)</f>
        <v>string</v>
      </c>
      <c r="I18" t="str">
        <f t="shared" si="42"/>
        <v xml:space="preserve">		public const int MaxProductionSuffixLength = 2;
</v>
      </c>
      <c r="J18" t="str">
        <f t="shared" si="43"/>
        <v xml:space="preserve">		[StringLength(MaxProductionSuffixLength)]
		public virtual string ProductionSuffix { get; set; }
</v>
      </c>
      <c r="K18" s="6"/>
      <c r="L18" t="str">
        <f t="shared" si="44"/>
        <v/>
      </c>
      <c r="M18" t="str">
        <f t="shared" si="45"/>
        <v xml:space="preserve">		public virtual string ProductionSuffix { get; set; }
</v>
      </c>
      <c r="N18" t="str">
        <f t="shared" si="46"/>
        <v xml:space="preserve">		[StringLength(IF_FQF3MM01Consts.MaxProductionSuffixLength)]
		public virtual string ProductionSuffix { get; set; }
</v>
      </c>
      <c r="O18" t="str">
        <f t="shared" si="47"/>
        <v xml:space="preserve">		public virtual string ProductionSuffix { get; set; }
</v>
      </c>
      <c r="P18" t="str">
        <f t="shared" si="48"/>
        <v xml:space="preserve">							ProductionSuffix = o.ProductionSuffix,</v>
      </c>
      <c r="T18" s="63" t="str">
        <f t="shared" si="49"/>
        <v xml:space="preserve">								("ProductionSuffix"),</v>
      </c>
      <c r="V18" s="64" t="str">
        <f t="shared" si="50"/>
        <v xml:space="preserve">								_ =&gt; _.ProductionSuffix,</v>
      </c>
      <c r="W18" s="63" t="str">
        <f t="shared" si="51"/>
        <v xml:space="preserve">				.WhereIf(!string.IsNullOrWhiteSpace(input.ProductionSuffix), e =&gt; e.ProductionSuffix.Contains(input.ProductionSuffix))</v>
      </c>
    </row>
    <row r="19" spans="1:23" customFormat="1" ht="18.75" customHeight="1" x14ac:dyDescent="0.25">
      <c r="A19" t="s">
        <v>396</v>
      </c>
      <c r="B19" t="s">
        <v>357</v>
      </c>
      <c r="C19" t="s">
        <v>1</v>
      </c>
      <c r="D19" t="str">
        <f t="shared" si="39"/>
        <v>LotCode</v>
      </c>
      <c r="E19" t="str">
        <f t="shared" si="40"/>
        <v>VARCHAR</v>
      </c>
      <c r="F19" s="6"/>
      <c r="G19" t="str">
        <f t="shared" si="41"/>
        <v>2</v>
      </c>
      <c r="H19" t="str">
        <f>+VLOOKUP(E19,'Data Type Mapping'!A:B,2,)</f>
        <v>string</v>
      </c>
      <c r="I19" t="str">
        <f t="shared" si="42"/>
        <v xml:space="preserve">		public const int MaxLotCodeLength = 2;
</v>
      </c>
      <c r="J19" t="str">
        <f t="shared" si="43"/>
        <v xml:space="preserve">		[StringLength(MaxLotCodeLength)]
		public virtual string LotCode { get; set; }
</v>
      </c>
      <c r="K19" s="6"/>
      <c r="L19" t="str">
        <f t="shared" si="44"/>
        <v/>
      </c>
      <c r="M19" t="str">
        <f t="shared" si="45"/>
        <v xml:space="preserve">		public virtual string LotCode { get; set; }
</v>
      </c>
      <c r="N19" t="str">
        <f t="shared" si="46"/>
        <v xml:space="preserve">		[StringLength(IF_FQF3MM01Consts.MaxLotCodeLength)]
		public virtual string LotCode { get; set; }
</v>
      </c>
      <c r="O19" t="str">
        <f t="shared" si="47"/>
        <v xml:space="preserve">		public virtual string LotCode { get; set; }
</v>
      </c>
      <c r="P19" t="str">
        <f t="shared" si="48"/>
        <v xml:space="preserve">							LotCode = o.LotCode,</v>
      </c>
      <c r="T19" s="63" t="str">
        <f t="shared" si="49"/>
        <v xml:space="preserve">								("LotCode"),</v>
      </c>
      <c r="V19" s="64" t="str">
        <f t="shared" si="50"/>
        <v xml:space="preserve">								_ =&gt; _.LotCode,</v>
      </c>
      <c r="W19" s="63" t="str">
        <f t="shared" si="51"/>
        <v xml:space="preserve">				.WhereIf(!string.IsNullOrWhiteSpace(input.LotCode), e =&gt; e.LotCode.Contains(input.LotCode))</v>
      </c>
    </row>
    <row r="20" spans="1:23" customFormat="1" ht="18.75" customHeight="1" x14ac:dyDescent="0.25">
      <c r="A20" t="s">
        <v>376</v>
      </c>
      <c r="B20" t="s">
        <v>391</v>
      </c>
      <c r="C20" t="s">
        <v>1</v>
      </c>
      <c r="D20" t="str">
        <f t="shared" si="39"/>
        <v>EnginePrefix</v>
      </c>
      <c r="E20" t="str">
        <f t="shared" si="40"/>
        <v>VARCHAR</v>
      </c>
      <c r="F20" s="6"/>
      <c r="G20" t="str">
        <f t="shared" si="41"/>
        <v>5</v>
      </c>
      <c r="H20" t="str">
        <f>+VLOOKUP(E20,'Data Type Mapping'!A:B,2,)</f>
        <v>string</v>
      </c>
      <c r="I20" t="str">
        <f t="shared" si="42"/>
        <v xml:space="preserve">		public const int MaxEnginePrefixLength = 5;
</v>
      </c>
      <c r="J20" t="str">
        <f t="shared" si="43"/>
        <v xml:space="preserve">		[StringLength(MaxEnginePrefixLength)]
		public virtual string EnginePrefix { get; set; }
</v>
      </c>
      <c r="K20" s="6"/>
      <c r="L20" t="str">
        <f t="shared" si="44"/>
        <v/>
      </c>
      <c r="M20" t="str">
        <f t="shared" si="45"/>
        <v xml:space="preserve">		public virtual string EnginePrefix { get; set; }
</v>
      </c>
      <c r="N20" t="str">
        <f t="shared" si="46"/>
        <v xml:space="preserve">		[StringLength(IF_FQF3MM01Consts.MaxEnginePrefixLength)]
		public virtual string EnginePrefix { get; set; }
</v>
      </c>
      <c r="O20" t="str">
        <f t="shared" si="47"/>
        <v xml:space="preserve">		public virtual string EnginePrefix { get; set; }
</v>
      </c>
      <c r="P20" t="str">
        <f t="shared" si="48"/>
        <v xml:space="preserve">							EnginePrefix = o.EnginePrefix,</v>
      </c>
      <c r="T20" s="63" t="str">
        <f t="shared" si="49"/>
        <v xml:space="preserve">								("EnginePrefix"),</v>
      </c>
      <c r="V20" s="64" t="str">
        <f t="shared" si="50"/>
        <v xml:space="preserve">								_ =&gt; _.EnginePrefix,</v>
      </c>
      <c r="W20" s="63" t="str">
        <f t="shared" si="51"/>
        <v xml:space="preserve">				.WhereIf(!string.IsNullOrWhiteSpace(input.EnginePrefix), e =&gt; e.EnginePrefix.Contains(input.EnginePrefix))</v>
      </c>
    </row>
    <row r="21" spans="1:23" customFormat="1" ht="18.75" customHeight="1" x14ac:dyDescent="0.25">
      <c r="A21" t="s">
        <v>377</v>
      </c>
      <c r="B21" t="s">
        <v>356</v>
      </c>
      <c r="C21" t="s">
        <v>1</v>
      </c>
      <c r="D21" t="str">
        <f t="shared" si="39"/>
        <v>EngineNo</v>
      </c>
      <c r="E21" t="str">
        <f t="shared" si="40"/>
        <v>VARCHAR</v>
      </c>
      <c r="F21" s="6"/>
      <c r="G21" t="str">
        <f t="shared" si="41"/>
        <v>30</v>
      </c>
      <c r="H21" t="str">
        <f>+VLOOKUP(E21,'Data Type Mapping'!A:B,2,)</f>
        <v>string</v>
      </c>
      <c r="I21" t="str">
        <f t="shared" si="42"/>
        <v xml:space="preserve">		public const int MaxEngineNoLength = 30;
</v>
      </c>
      <c r="J21" t="str">
        <f t="shared" si="43"/>
        <v xml:space="preserve">		[StringLength(MaxEngineNoLength)]
		public virtual string EngineNo { get; set; }
</v>
      </c>
      <c r="K21" s="6"/>
      <c r="L21" t="str">
        <f t="shared" si="44"/>
        <v/>
      </c>
      <c r="M21" t="str">
        <f t="shared" si="45"/>
        <v xml:space="preserve">		public virtual string EngineNo { get; set; }
</v>
      </c>
      <c r="N21" t="str">
        <f t="shared" si="46"/>
        <v xml:space="preserve">		[StringLength(IF_FQF3MM01Consts.MaxEngineNoLength)]
		public virtual string EngineNo { get; set; }
</v>
      </c>
      <c r="O21" t="str">
        <f t="shared" si="47"/>
        <v xml:space="preserve">		public virtual string EngineNo { get; set; }
</v>
      </c>
      <c r="P21" t="str">
        <f t="shared" si="48"/>
        <v xml:space="preserve">							EngineNo = o.EngineNo,</v>
      </c>
      <c r="T21" s="63" t="str">
        <f t="shared" si="49"/>
        <v xml:space="preserve">								("EngineNo"),</v>
      </c>
      <c r="V21" s="64" t="str">
        <f t="shared" si="50"/>
        <v xml:space="preserve">								_ =&gt; _.EngineNo,</v>
      </c>
      <c r="W21" s="63" t="str">
        <f t="shared" si="51"/>
        <v xml:space="preserve">				.WhereIf(!string.IsNullOrWhiteSpace(input.EngineNo), e =&gt; e.EngineNo.Contains(input.EngineNo))</v>
      </c>
    </row>
    <row r="22" spans="1:23" customFormat="1" ht="18.75" customHeight="1" x14ac:dyDescent="0.25">
      <c r="A22" t="s">
        <v>378</v>
      </c>
      <c r="B22" t="s">
        <v>355</v>
      </c>
      <c r="C22" t="s">
        <v>1</v>
      </c>
      <c r="D22" t="str">
        <f t="shared" si="39"/>
        <v>PlantCode</v>
      </c>
      <c r="E22" t="str">
        <f t="shared" si="40"/>
        <v>VARCHAR</v>
      </c>
      <c r="F22" s="6"/>
      <c r="G22" t="str">
        <f t="shared" si="41"/>
        <v>4</v>
      </c>
      <c r="H22" t="str">
        <f>+VLOOKUP(E22,'Data Type Mapping'!A:B,2,)</f>
        <v>string</v>
      </c>
      <c r="I22" t="str">
        <f t="shared" si="42"/>
        <v xml:space="preserve">		public const int MaxPlantCodeLength = 4;
</v>
      </c>
      <c r="J22" t="str">
        <f t="shared" si="43"/>
        <v xml:space="preserve">		[StringLength(MaxPlantCodeLength)]
		public virtual string PlantCode { get; set; }
</v>
      </c>
      <c r="K22" s="6"/>
      <c r="L22" t="str">
        <f t="shared" si="44"/>
        <v/>
      </c>
      <c r="M22" t="str">
        <f t="shared" si="45"/>
        <v xml:space="preserve">		public virtual string PlantCode { get; set; }
</v>
      </c>
      <c r="N22" t="str">
        <f t="shared" si="46"/>
        <v xml:space="preserve">		[StringLength(IF_FQF3MM01Consts.MaxPlantCodeLength)]
		public virtual string PlantCode { get; set; }
</v>
      </c>
      <c r="O22" t="str">
        <f t="shared" si="47"/>
        <v xml:space="preserve">		public virtual string PlantCode { get; set; }
</v>
      </c>
      <c r="P22" t="str">
        <f t="shared" si="48"/>
        <v xml:space="preserve">							PlantCode = o.PlantCode,</v>
      </c>
      <c r="T22" s="63" t="str">
        <f t="shared" si="49"/>
        <v xml:space="preserve">								("PlantCode"),</v>
      </c>
      <c r="V22" s="64" t="str">
        <f t="shared" si="50"/>
        <v xml:space="preserve">								_ =&gt; _.PlantCode,</v>
      </c>
      <c r="W22" s="63" t="str">
        <f t="shared" si="51"/>
        <v xml:space="preserve">				.WhereIf(!string.IsNullOrWhiteSpace(input.PlantCode), e =&gt; e.PlantCode.Contains(input.PlantCode))</v>
      </c>
    </row>
    <row r="23" spans="1:23" customFormat="1" ht="18.75" customHeight="1" x14ac:dyDescent="0.25">
      <c r="A23" t="s">
        <v>379</v>
      </c>
      <c r="B23" t="s">
        <v>357</v>
      </c>
      <c r="C23" t="s">
        <v>1</v>
      </c>
      <c r="D23" t="str">
        <f t="shared" si="39"/>
        <v>CurrentStatus</v>
      </c>
      <c r="E23" t="str">
        <f t="shared" si="40"/>
        <v>VARCHAR</v>
      </c>
      <c r="F23" s="6"/>
      <c r="G23" t="str">
        <f t="shared" si="41"/>
        <v>2</v>
      </c>
      <c r="H23" t="str">
        <f>+VLOOKUP(E23,'Data Type Mapping'!A:B,2,)</f>
        <v>string</v>
      </c>
      <c r="I23" t="str">
        <f t="shared" si="42"/>
        <v xml:space="preserve">		public const int MaxCurrentStatusLength = 2;
</v>
      </c>
      <c r="J23" t="str">
        <f t="shared" si="43"/>
        <v xml:space="preserve">		[StringLength(MaxCurrentStatusLength)]
		public virtual string CurrentStatus { get; set; }
</v>
      </c>
      <c r="K23" s="6"/>
      <c r="L23" t="str">
        <f t="shared" si="44"/>
        <v/>
      </c>
      <c r="M23" t="str">
        <f t="shared" si="45"/>
        <v xml:space="preserve">		public virtual string CurrentStatus { get; set; }
</v>
      </c>
      <c r="N23" t="str">
        <f t="shared" si="46"/>
        <v xml:space="preserve">		[StringLength(IF_FQF3MM01Consts.MaxCurrentStatusLength)]
		public virtual string CurrentStatus { get; set; }
</v>
      </c>
      <c r="O23" t="str">
        <f t="shared" si="47"/>
        <v xml:space="preserve">		public virtual string CurrentStatus { get; set; }
</v>
      </c>
      <c r="P23" t="str">
        <f t="shared" si="48"/>
        <v xml:space="preserve">							CurrentStatus = o.CurrentStatus,</v>
      </c>
      <c r="T23" s="63" t="str">
        <f t="shared" si="49"/>
        <v xml:space="preserve">								("CurrentStatus"),</v>
      </c>
      <c r="V23" s="64" t="str">
        <f t="shared" si="50"/>
        <v xml:space="preserve">								_ =&gt; _.CurrentStatus,</v>
      </c>
      <c r="W23" s="63" t="str">
        <f t="shared" si="51"/>
        <v xml:space="preserve">				.WhereIf(!string.IsNullOrWhiteSpace(input.CurrentStatus), e =&gt; e.CurrentStatus.Contains(input.CurrentStatus))</v>
      </c>
    </row>
    <row r="24" spans="1:23" customFormat="1" ht="18.75" customHeight="1" x14ac:dyDescent="0.25">
      <c r="A24" t="s">
        <v>380</v>
      </c>
      <c r="B24" t="s">
        <v>392</v>
      </c>
      <c r="C24" t="s">
        <v>1</v>
      </c>
      <c r="D24" t="str">
        <f t="shared" ref="D24:D33" si="52">SUBSTITUTE(PROPER(A24),"_","")</f>
        <v>LineOffDatetime</v>
      </c>
      <c r="E24" t="str">
        <f t="shared" ref="E24:E33" si="53">IFERROR(LEFT(B24, FIND("(",B24)-1),B24)</f>
        <v>VARCHAR</v>
      </c>
      <c r="F24" s="6"/>
      <c r="G24" t="str">
        <f t="shared" ref="G24:G33" si="54">IFERROR(MID(B24,FIND("(",B24) +1, FIND(")",B24) - FIND("(",B24) - 1),"")</f>
        <v>14</v>
      </c>
      <c r="H24" t="str">
        <f>+VLOOKUP(E24,'Data Type Mapping'!A:B,2,)</f>
        <v>string</v>
      </c>
      <c r="I24" t="str">
        <f t="shared" ref="I24:I33" si="55">IF(H24="string",REPT(CHAR(9),2)&amp;"public const int Max"&amp;D24&amp;"Length = "&amp;G24&amp;";"&amp;$E$3,"" )</f>
        <v xml:space="preserve">		public const int MaxLineOffDatetimeLength = 14;
</v>
      </c>
      <c r="J24" t="str">
        <f t="shared" ref="J24:J33" si="56">IF(F24="","",REPT(CHAR(9),2)&amp;"[Column(TypeName="""&amp;F24&amp;""")]"&amp;$E$3)&amp;IF(C24="Checked","",$I$3)&amp;IF(H24="string",REPT(CHAR(9),2)&amp;"[StringLength(Max"&amp;D24&amp;"Length"&amp;")]"&amp;$E$3,"")&amp;REPT(CHAR(9),2)&amp;"public virtual "&amp;H24&amp;IF(C24="?","? "," ")&amp;D24&amp;" { get; set; }" &amp; "
"</f>
        <v xml:space="preserve">		[StringLength(MaxLineOffDatetimeLength)]
		public virtual string LineOffDatetime { get; set; }
</v>
      </c>
      <c r="K24" s="6"/>
      <c r="L24" t="str">
        <f t="shared" ref="L24:L33" si="57">IF(K24="","",REPT(CHAR(9),1)&amp;"[Index(nameof("&amp;IF(D24="","",""&amp;D24)&amp;")"&amp;", Name="&amp;"""IX_"&amp;$B$7&amp;"_"&amp;D24&amp;""")]")</f>
        <v/>
      </c>
      <c r="M24" t="str">
        <f t="shared" ref="M24:M33" si="58">REPT(CHAR(9),2)&amp;"public virtual "&amp;IF(OR(H24="DateTime",H24="TimeSpan"),H24&amp;"?",H24)&amp;IF(C24="?","? "," ")&amp;D24&amp;" { get; set; }" &amp; "
"</f>
        <v xml:space="preserve">		public virtual string LineOffDatetime { get; set; }
</v>
      </c>
      <c r="N24" t="str">
        <f t="shared" ref="N24:N33" si="59">IF(C24="Checked","",$I$3)&amp;IF(H24="string",REPT(CHAR(9),2)&amp;"[StringLength("&amp;$B$3&amp;"Consts.Max"&amp;D24&amp;"Length"&amp;")]"&amp;$E$3,"")&amp;REPT(CHAR(9),2)&amp;"public virtual "&amp;IF(OR(H24="DateTime",H24="TimeSpan"),H24&amp;"?",H24)&amp;IF(C24="?","? "," ")&amp;D24&amp;" { get; set; }" &amp; "
"</f>
        <v xml:space="preserve">		[StringLength(IF_FQF3MM01Consts.MaxLineOffDatetimeLength)]
		public virtual string LineOffDatetime { get; set; }
</v>
      </c>
      <c r="O24" t="str">
        <f t="shared" ref="O24:O33" si="60">IF(OR(H24="string",H24="DateTime",H24="int"),REPT(CHAR(9),2)&amp;"public virtual "&amp;IF(OR(H24="DateTime",H24="TimeSpan"),H24&amp;"?",H24)&amp;IF(C24="?","? "," ")&amp;D24&amp;" { get; set; }"&amp;$E$3,"")</f>
        <v xml:space="preserve">		public virtual string LineOffDatetime { get; set; }
</v>
      </c>
      <c r="P24" t="str">
        <f t="shared" ref="P24:P33" si="61">REPT(CHAR(9),7)&amp;D24&amp;" = o." &amp;D24 &amp;","</f>
        <v xml:space="preserve">							LineOffDatetime = o.LineOffDatetime,</v>
      </c>
      <c r="T24" s="63" t="str">
        <f t="shared" ref="T24:T33" si="62">REPT(CHAR(9),8)&amp;"("""&amp;D24&amp;"""),"</f>
        <v xml:space="preserve">								("LineOffDatetime"),</v>
      </c>
      <c r="V24" s="64" t="str">
        <f t="shared" ref="V24:V33" si="63">REPT(CHAR(9),8)&amp;"_ =&gt; _."&amp;D24&amp;","</f>
        <v xml:space="preserve">								_ =&gt; _.LineOffDatetime,</v>
      </c>
      <c r="W24" s="63" t="str">
        <f t="shared" ref="W24:W33" si="64">IF(H24="string",REPT(CHAR(9),4)&amp;".WhereIf(!string.IsNullOrWhiteSpace(input."&amp;D24&amp;"), e =&gt; e."&amp;D24&amp;".Contains(input."&amp;D24&amp;"))",IF(H24="DateTime",REPT(CHAR(9),4)&amp;".WhereIf(input."&amp;D24&amp;".HasValue, t =&gt; t."&amp;D24&amp;" == input."&amp;D24&amp;".Value)",""))</f>
        <v xml:space="preserve">				.WhereIf(!string.IsNullOrWhiteSpace(input.LineOffDatetime), e =&gt; e.LineOffDatetime.Contains(input.LineOffDatetime))</v>
      </c>
    </row>
    <row r="25" spans="1:23" customFormat="1" ht="18.75" customHeight="1" x14ac:dyDescent="0.25">
      <c r="A25" t="s">
        <v>381</v>
      </c>
      <c r="B25" t="s">
        <v>355</v>
      </c>
      <c r="C25" t="s">
        <v>1</v>
      </c>
      <c r="D25" t="str">
        <f t="shared" si="52"/>
        <v>InteriorColor</v>
      </c>
      <c r="E25" t="str">
        <f t="shared" si="53"/>
        <v>VARCHAR</v>
      </c>
      <c r="F25" s="6"/>
      <c r="G25" t="str">
        <f t="shared" si="54"/>
        <v>4</v>
      </c>
      <c r="H25" t="str">
        <f>+VLOOKUP(E25,'Data Type Mapping'!A:B,2,)</f>
        <v>string</v>
      </c>
      <c r="I25" t="str">
        <f t="shared" si="55"/>
        <v xml:space="preserve">		public const int MaxInteriorColorLength = 4;
</v>
      </c>
      <c r="J25" t="str">
        <f t="shared" si="56"/>
        <v xml:space="preserve">		[StringLength(MaxInteriorColorLength)]
		public virtual string InteriorColor { get; set; }
</v>
      </c>
      <c r="K25" s="6"/>
      <c r="L25" t="str">
        <f t="shared" si="57"/>
        <v/>
      </c>
      <c r="M25" t="str">
        <f t="shared" si="58"/>
        <v xml:space="preserve">		public virtual string InteriorColor { get; set; }
</v>
      </c>
      <c r="N25" t="str">
        <f t="shared" si="59"/>
        <v xml:space="preserve">		[StringLength(IF_FQF3MM01Consts.MaxInteriorColorLength)]
		public virtual string InteriorColor { get; set; }
</v>
      </c>
      <c r="O25" t="str">
        <f t="shared" si="60"/>
        <v xml:space="preserve">		public virtual string InteriorColor { get; set; }
</v>
      </c>
      <c r="P25" t="str">
        <f t="shared" si="61"/>
        <v xml:space="preserve">							InteriorColor = o.InteriorColor,</v>
      </c>
      <c r="T25" s="63" t="str">
        <f t="shared" si="62"/>
        <v xml:space="preserve">								("InteriorColor"),</v>
      </c>
      <c r="V25" s="64" t="str">
        <f t="shared" si="63"/>
        <v xml:space="preserve">								_ =&gt; _.InteriorColor,</v>
      </c>
      <c r="W25" s="63" t="str">
        <f t="shared" si="64"/>
        <v xml:space="preserve">				.WhereIf(!string.IsNullOrWhiteSpace(input.InteriorColor), e =&gt; e.InteriorColor.Contains(input.InteriorColor))</v>
      </c>
    </row>
    <row r="26" spans="1:23" customFormat="1" ht="18.75" customHeight="1" x14ac:dyDescent="0.25">
      <c r="A26" t="s">
        <v>382</v>
      </c>
      <c r="B26" t="s">
        <v>355</v>
      </c>
      <c r="C26" t="s">
        <v>1</v>
      </c>
      <c r="D26" t="str">
        <f t="shared" si="52"/>
        <v>ExteriorColor</v>
      </c>
      <c r="E26" t="str">
        <f t="shared" si="53"/>
        <v>VARCHAR</v>
      </c>
      <c r="F26" s="6"/>
      <c r="G26" t="str">
        <f t="shared" si="54"/>
        <v>4</v>
      </c>
      <c r="H26" t="str">
        <f>+VLOOKUP(E26,'Data Type Mapping'!A:B,2,)</f>
        <v>string</v>
      </c>
      <c r="I26" t="str">
        <f t="shared" si="55"/>
        <v xml:space="preserve">		public const int MaxExteriorColorLength = 4;
</v>
      </c>
      <c r="J26" t="str">
        <f t="shared" si="56"/>
        <v xml:space="preserve">		[StringLength(MaxExteriorColorLength)]
		public virtual string ExteriorColor { get; set; }
</v>
      </c>
      <c r="K26" s="6"/>
      <c r="L26" t="str">
        <f t="shared" si="57"/>
        <v/>
      </c>
      <c r="M26" t="str">
        <f t="shared" si="58"/>
        <v xml:space="preserve">		public virtual string ExteriorColor { get; set; }
</v>
      </c>
      <c r="N26" t="str">
        <f t="shared" si="59"/>
        <v xml:space="preserve">		[StringLength(IF_FQF3MM01Consts.MaxExteriorColorLength)]
		public virtual string ExteriorColor { get; set; }
</v>
      </c>
      <c r="O26" t="str">
        <f t="shared" si="60"/>
        <v xml:space="preserve">		public virtual string ExteriorColor { get; set; }
</v>
      </c>
      <c r="P26" t="str">
        <f t="shared" si="61"/>
        <v xml:space="preserve">							ExteriorColor = o.ExteriorColor,</v>
      </c>
      <c r="T26" s="63" t="str">
        <f t="shared" si="62"/>
        <v xml:space="preserve">								("ExteriorColor"),</v>
      </c>
      <c r="V26" s="64" t="str">
        <f t="shared" si="63"/>
        <v xml:space="preserve">								_ =&gt; _.ExteriorColor,</v>
      </c>
      <c r="W26" s="63" t="str">
        <f t="shared" si="64"/>
        <v xml:space="preserve">				.WhereIf(!string.IsNullOrWhiteSpace(input.ExteriorColor), e =&gt; e.ExteriorColor.Contains(input.ExteriorColor))</v>
      </c>
    </row>
    <row r="27" spans="1:23" customFormat="1" ht="18.75" customHeight="1" x14ac:dyDescent="0.25">
      <c r="A27" t="s">
        <v>383</v>
      </c>
      <c r="B27" t="s">
        <v>391</v>
      </c>
      <c r="C27" t="s">
        <v>1</v>
      </c>
      <c r="D27" t="str">
        <f t="shared" si="52"/>
        <v>DestinationCode</v>
      </c>
      <c r="E27" t="str">
        <f t="shared" si="53"/>
        <v>VARCHAR</v>
      </c>
      <c r="F27" s="6"/>
      <c r="G27" t="str">
        <f t="shared" si="54"/>
        <v>5</v>
      </c>
      <c r="H27" t="str">
        <f>+VLOOKUP(E27,'Data Type Mapping'!A:B,2,)</f>
        <v>string</v>
      </c>
      <c r="I27" t="str">
        <f t="shared" si="55"/>
        <v xml:space="preserve">		public const int MaxDestinationCodeLength = 5;
</v>
      </c>
      <c r="J27" t="str">
        <f t="shared" si="56"/>
        <v xml:space="preserve">		[StringLength(MaxDestinationCodeLength)]
		public virtual string DestinationCode { get; set; }
</v>
      </c>
      <c r="K27" s="6"/>
      <c r="L27" t="str">
        <f t="shared" si="57"/>
        <v/>
      </c>
      <c r="M27" t="str">
        <f t="shared" si="58"/>
        <v xml:space="preserve">		public virtual string DestinationCode { get; set; }
</v>
      </c>
      <c r="N27" t="str">
        <f t="shared" si="59"/>
        <v xml:space="preserve">		[StringLength(IF_FQF3MM01Consts.MaxDestinationCodeLength)]
		public virtual string DestinationCode { get; set; }
</v>
      </c>
      <c r="O27" t="str">
        <f t="shared" si="60"/>
        <v xml:space="preserve">		public virtual string DestinationCode { get; set; }
</v>
      </c>
      <c r="P27" t="str">
        <f t="shared" si="61"/>
        <v xml:space="preserve">							DestinationCode = o.DestinationCode,</v>
      </c>
      <c r="T27" s="63" t="str">
        <f t="shared" si="62"/>
        <v xml:space="preserve">								("DestinationCode"),</v>
      </c>
      <c r="V27" s="64" t="str">
        <f t="shared" si="63"/>
        <v xml:space="preserve">								_ =&gt; _.DestinationCode,</v>
      </c>
      <c r="W27" s="63" t="str">
        <f t="shared" si="64"/>
        <v xml:space="preserve">				.WhereIf(!string.IsNullOrWhiteSpace(input.DestinationCode), e =&gt; e.DestinationCode.Contains(input.DestinationCode))</v>
      </c>
    </row>
    <row r="28" spans="1:23" customFormat="1" ht="18.75" customHeight="1" x14ac:dyDescent="0.25">
      <c r="A28" t="s">
        <v>397</v>
      </c>
      <c r="B28" t="s">
        <v>391</v>
      </c>
      <c r="C28" t="s">
        <v>1</v>
      </c>
      <c r="D28" t="str">
        <f t="shared" si="52"/>
        <v>EdOdno</v>
      </c>
      <c r="E28" t="str">
        <f t="shared" si="53"/>
        <v>VARCHAR</v>
      </c>
      <c r="F28" s="6"/>
      <c r="G28" t="str">
        <f t="shared" si="54"/>
        <v>5</v>
      </c>
      <c r="H28" t="str">
        <f>+VLOOKUP(E28,'Data Type Mapping'!A:B,2,)</f>
        <v>string</v>
      </c>
      <c r="I28" t="str">
        <f t="shared" si="55"/>
        <v xml:space="preserve">		public const int MaxEdOdnoLength = 5;
</v>
      </c>
      <c r="J28" t="str">
        <f t="shared" si="56"/>
        <v xml:space="preserve">		[StringLength(MaxEdOdnoLength)]
		public virtual string EdOdno { get; set; }
</v>
      </c>
      <c r="K28" s="6"/>
      <c r="L28" t="str">
        <f t="shared" si="57"/>
        <v/>
      </c>
      <c r="M28" t="str">
        <f t="shared" si="58"/>
        <v xml:space="preserve">		public virtual string EdOdno { get; set; }
</v>
      </c>
      <c r="N28" t="str">
        <f t="shared" si="59"/>
        <v xml:space="preserve">		[StringLength(IF_FQF3MM01Consts.MaxEdOdnoLength)]
		public virtual string EdOdno { get; set; }
</v>
      </c>
      <c r="O28" t="str">
        <f t="shared" si="60"/>
        <v xml:space="preserve">		public virtual string EdOdno { get; set; }
</v>
      </c>
      <c r="P28" t="str">
        <f t="shared" si="61"/>
        <v xml:space="preserve">							EdOdno = o.EdOdno,</v>
      </c>
      <c r="T28" s="63" t="str">
        <f t="shared" si="62"/>
        <v xml:space="preserve">								("EdOdno"),</v>
      </c>
      <c r="V28" s="64" t="str">
        <f t="shared" si="63"/>
        <v xml:space="preserve">								_ =&gt; _.EdOdno,</v>
      </c>
      <c r="W28" s="63" t="str">
        <f t="shared" si="64"/>
        <v xml:space="preserve">				.WhereIf(!string.IsNullOrWhiteSpace(input.EdOdno), e =&gt; e.EdOdno.Contains(input.EdOdno))</v>
      </c>
    </row>
    <row r="29" spans="1:23" customFormat="1" ht="18.75" customHeight="1" x14ac:dyDescent="0.25">
      <c r="A29" t="s">
        <v>398</v>
      </c>
      <c r="B29" t="s">
        <v>360</v>
      </c>
      <c r="C29" t="s">
        <v>1</v>
      </c>
      <c r="D29" t="str">
        <f t="shared" si="52"/>
        <v>CancelFlag</v>
      </c>
      <c r="E29" t="str">
        <f t="shared" si="53"/>
        <v>VARCHAR</v>
      </c>
      <c r="F29" s="6"/>
      <c r="G29" t="str">
        <f t="shared" si="54"/>
        <v>1</v>
      </c>
      <c r="H29" t="str">
        <f>+VLOOKUP(E29,'Data Type Mapping'!A:B,2,)</f>
        <v>string</v>
      </c>
      <c r="I29" t="str">
        <f t="shared" si="55"/>
        <v xml:space="preserve">		public const int MaxCancelFlagLength = 1;
</v>
      </c>
      <c r="J29" t="str">
        <f t="shared" si="56"/>
        <v xml:space="preserve">		[StringLength(MaxCancelFlagLength)]
		public virtual string CancelFlag { get; set; }
</v>
      </c>
      <c r="K29" s="6"/>
      <c r="L29" t="str">
        <f t="shared" si="57"/>
        <v/>
      </c>
      <c r="M29" t="str">
        <f t="shared" si="58"/>
        <v xml:space="preserve">		public virtual string CancelFlag { get; set; }
</v>
      </c>
      <c r="N29" t="str">
        <f t="shared" si="59"/>
        <v xml:space="preserve">		[StringLength(IF_FQF3MM01Consts.MaxCancelFlagLength)]
		public virtual string CancelFlag { get; set; }
</v>
      </c>
      <c r="O29" t="str">
        <f t="shared" si="60"/>
        <v xml:space="preserve">		public virtual string CancelFlag { get; set; }
</v>
      </c>
      <c r="P29" t="str">
        <f t="shared" si="61"/>
        <v xml:space="preserve">							CancelFlag = o.CancelFlag,</v>
      </c>
      <c r="T29" s="63" t="str">
        <f t="shared" si="62"/>
        <v xml:space="preserve">								("CancelFlag"),</v>
      </c>
      <c r="V29" s="64" t="str">
        <f t="shared" si="63"/>
        <v xml:space="preserve">								_ =&gt; _.CancelFlag,</v>
      </c>
      <c r="W29" s="63" t="str">
        <f t="shared" si="64"/>
        <v xml:space="preserve">				.WhereIf(!string.IsNullOrWhiteSpace(input.CancelFlag), e =&gt; e.CancelFlag.Contains(input.CancelFlag))</v>
      </c>
    </row>
    <row r="30" spans="1:23" customFormat="1" ht="18.75" customHeight="1" x14ac:dyDescent="0.25">
      <c r="A30" t="s">
        <v>386</v>
      </c>
      <c r="B30" t="s">
        <v>355</v>
      </c>
      <c r="C30" t="s">
        <v>1</v>
      </c>
      <c r="D30" t="str">
        <f t="shared" si="52"/>
        <v>SmsCarFamilyCode</v>
      </c>
      <c r="E30" t="str">
        <f t="shared" si="53"/>
        <v>VARCHAR</v>
      </c>
      <c r="F30" s="6"/>
      <c r="G30" t="str">
        <f t="shared" si="54"/>
        <v>4</v>
      </c>
      <c r="H30" t="str">
        <f>+VLOOKUP(E30,'Data Type Mapping'!A:B,2,)</f>
        <v>string</v>
      </c>
      <c r="I30" t="str">
        <f t="shared" si="55"/>
        <v xml:space="preserve">		public const int MaxSmsCarFamilyCodeLength = 4;
</v>
      </c>
      <c r="J30" t="str">
        <f t="shared" si="56"/>
        <v xml:space="preserve">		[StringLength(MaxSmsCarFamilyCodeLength)]
		public virtual string SmsCarFamilyCode { get; set; }
</v>
      </c>
      <c r="K30" s="6"/>
      <c r="L30" t="str">
        <f t="shared" si="57"/>
        <v/>
      </c>
      <c r="M30" t="str">
        <f t="shared" si="58"/>
        <v xml:space="preserve">		public virtual string SmsCarFamilyCode { get; set; }
</v>
      </c>
      <c r="N30" t="str">
        <f t="shared" si="59"/>
        <v xml:space="preserve">		[StringLength(IF_FQF3MM01Consts.MaxSmsCarFamilyCodeLength)]
		public virtual string SmsCarFamilyCode { get; set; }
</v>
      </c>
      <c r="O30" t="str">
        <f t="shared" si="60"/>
        <v xml:space="preserve">		public virtual string SmsCarFamilyCode { get; set; }
</v>
      </c>
      <c r="P30" t="str">
        <f t="shared" si="61"/>
        <v xml:space="preserve">							SmsCarFamilyCode = o.SmsCarFamilyCode,</v>
      </c>
      <c r="T30" s="63" t="str">
        <f t="shared" si="62"/>
        <v xml:space="preserve">								("SmsCarFamilyCode"),</v>
      </c>
      <c r="V30" s="64" t="str">
        <f t="shared" si="63"/>
        <v xml:space="preserve">								_ =&gt; _.SmsCarFamilyCode,</v>
      </c>
      <c r="W30" s="63" t="str">
        <f t="shared" si="64"/>
        <v xml:space="preserve">				.WhereIf(!string.IsNullOrWhiteSpace(input.SmsCarFamilyCode), e =&gt; e.SmsCarFamilyCode.Contains(input.SmsCarFamilyCode))</v>
      </c>
    </row>
    <row r="31" spans="1:23" customFormat="1" ht="18.75" customHeight="1" x14ac:dyDescent="0.25">
      <c r="A31" t="s">
        <v>387</v>
      </c>
      <c r="B31" t="s">
        <v>360</v>
      </c>
      <c r="C31" t="s">
        <v>1</v>
      </c>
      <c r="D31" t="str">
        <f t="shared" si="52"/>
        <v>OrderType</v>
      </c>
      <c r="E31" t="str">
        <f t="shared" si="53"/>
        <v>VARCHAR</v>
      </c>
      <c r="F31" s="6"/>
      <c r="G31" t="str">
        <f t="shared" si="54"/>
        <v>1</v>
      </c>
      <c r="H31" t="str">
        <f>+VLOOKUP(E31,'Data Type Mapping'!A:B,2,)</f>
        <v>string</v>
      </c>
      <c r="I31" t="str">
        <f t="shared" si="55"/>
        <v xml:space="preserve">		public const int MaxOrderTypeLength = 1;
</v>
      </c>
      <c r="J31" t="str">
        <f t="shared" si="56"/>
        <v xml:space="preserve">		[StringLength(MaxOrderTypeLength)]
		public virtual string OrderType { get; set; }
</v>
      </c>
      <c r="K31" s="6"/>
      <c r="L31" t="str">
        <f t="shared" si="57"/>
        <v/>
      </c>
      <c r="M31" t="str">
        <f t="shared" si="58"/>
        <v xml:space="preserve">		public virtual string OrderType { get; set; }
</v>
      </c>
      <c r="N31" t="str">
        <f t="shared" si="59"/>
        <v xml:space="preserve">		[StringLength(IF_FQF3MM01Consts.MaxOrderTypeLength)]
		public virtual string OrderType { get; set; }
</v>
      </c>
      <c r="O31" t="str">
        <f t="shared" si="60"/>
        <v xml:space="preserve">		public virtual string OrderType { get; set; }
</v>
      </c>
      <c r="P31" t="str">
        <f t="shared" si="61"/>
        <v xml:space="preserve">							OrderType = o.OrderType,</v>
      </c>
      <c r="T31" s="63" t="str">
        <f t="shared" si="62"/>
        <v xml:space="preserve">								("OrderType"),</v>
      </c>
      <c r="V31" s="64" t="str">
        <f t="shared" si="63"/>
        <v xml:space="preserve">								_ =&gt; _.OrderType,</v>
      </c>
      <c r="W31" s="63" t="str">
        <f t="shared" si="64"/>
        <v xml:space="preserve">				.WhereIf(!string.IsNullOrWhiteSpace(input.OrderType), e =&gt; e.OrderType.Contains(input.OrderType))</v>
      </c>
    </row>
    <row r="32" spans="1:23" customFormat="1" ht="18.75" customHeight="1" x14ac:dyDescent="0.25">
      <c r="A32" t="s">
        <v>388</v>
      </c>
      <c r="B32" t="s">
        <v>391</v>
      </c>
      <c r="C32" t="s">
        <v>1</v>
      </c>
      <c r="D32" t="str">
        <f t="shared" si="52"/>
        <v>KatashikiCode</v>
      </c>
      <c r="E32" t="str">
        <f t="shared" si="53"/>
        <v>VARCHAR</v>
      </c>
      <c r="F32" s="6"/>
      <c r="G32" t="str">
        <f t="shared" si="54"/>
        <v>5</v>
      </c>
      <c r="H32" t="str">
        <f>+VLOOKUP(E32,'Data Type Mapping'!A:B,2,)</f>
        <v>string</v>
      </c>
      <c r="I32" t="str">
        <f t="shared" si="55"/>
        <v xml:space="preserve">		public const int MaxKatashikiCodeLength = 5;
</v>
      </c>
      <c r="J32" t="str">
        <f t="shared" si="56"/>
        <v xml:space="preserve">		[StringLength(MaxKatashikiCodeLength)]
		public virtual string KatashikiCode { get; set; }
</v>
      </c>
      <c r="K32" s="6"/>
      <c r="L32" t="str">
        <f t="shared" si="57"/>
        <v/>
      </c>
      <c r="M32" t="str">
        <f t="shared" si="58"/>
        <v xml:space="preserve">		public virtual string KatashikiCode { get; set; }
</v>
      </c>
      <c r="N32" t="str">
        <f t="shared" si="59"/>
        <v xml:space="preserve">		[StringLength(IF_FQF3MM01Consts.MaxKatashikiCodeLength)]
		public virtual string KatashikiCode { get; set; }
</v>
      </c>
      <c r="O32" t="str">
        <f t="shared" si="60"/>
        <v xml:space="preserve">		public virtual string KatashikiCode { get; set; }
</v>
      </c>
      <c r="P32" t="str">
        <f t="shared" si="61"/>
        <v xml:space="preserve">							KatashikiCode = o.KatashikiCode,</v>
      </c>
      <c r="T32" s="63" t="str">
        <f t="shared" si="62"/>
        <v xml:space="preserve">								("KatashikiCode"),</v>
      </c>
      <c r="V32" s="64" t="str">
        <f t="shared" si="63"/>
        <v xml:space="preserve">								_ =&gt; _.KatashikiCode,</v>
      </c>
      <c r="W32" s="63" t="str">
        <f t="shared" si="64"/>
        <v xml:space="preserve">				.WhereIf(!string.IsNullOrWhiteSpace(input.KatashikiCode), e =&gt; e.KatashikiCode.Contains(input.KatashikiCode))</v>
      </c>
    </row>
    <row r="33" spans="1:23" customFormat="1" ht="18.75" customHeight="1" x14ac:dyDescent="0.25">
      <c r="A33" t="s">
        <v>389</v>
      </c>
      <c r="B33" t="s">
        <v>360</v>
      </c>
      <c r="C33" t="s">
        <v>1</v>
      </c>
      <c r="D33" t="str">
        <f t="shared" si="52"/>
        <v>EndOfRecord</v>
      </c>
      <c r="E33" t="str">
        <f t="shared" si="53"/>
        <v>VARCHAR</v>
      </c>
      <c r="F33" s="6"/>
      <c r="G33" t="str">
        <f t="shared" si="54"/>
        <v>1</v>
      </c>
      <c r="H33" t="str">
        <f>+VLOOKUP(E33,'Data Type Mapping'!A:B,2,)</f>
        <v>string</v>
      </c>
      <c r="I33" t="str">
        <f t="shared" si="55"/>
        <v xml:space="preserve">		public const int MaxEndOfRecordLength = 1;
</v>
      </c>
      <c r="J33" t="str">
        <f t="shared" si="56"/>
        <v xml:space="preserve">		[StringLength(MaxEndOfRecordLength)]
		public virtual string EndOfRecord { get; set; }
</v>
      </c>
      <c r="K33" s="6"/>
      <c r="L33" t="str">
        <f t="shared" si="57"/>
        <v/>
      </c>
      <c r="M33" t="str">
        <f t="shared" si="58"/>
        <v xml:space="preserve">		public virtual string EndOfRecord { get; set; }
</v>
      </c>
      <c r="N33" t="str">
        <f t="shared" si="59"/>
        <v xml:space="preserve">		[StringLength(IF_FQF3MM01Consts.MaxEndOfRecordLength)]
		public virtual string EndOfRecord { get; set; }
</v>
      </c>
      <c r="O33" t="str">
        <f t="shared" si="60"/>
        <v xml:space="preserve">		public virtual string EndOfRecord { get; set; }
</v>
      </c>
      <c r="P33" t="str">
        <f t="shared" si="61"/>
        <v xml:space="preserve">							EndOfRecord = o.EndOfRecord,</v>
      </c>
      <c r="T33" s="63" t="str">
        <f t="shared" si="62"/>
        <v xml:space="preserve">								("EndOfRecord"),</v>
      </c>
      <c r="V33" s="64" t="str">
        <f t="shared" si="63"/>
        <v xml:space="preserve">								_ =&gt; _.EndOfRecord,</v>
      </c>
      <c r="W33" s="63" t="str">
        <f t="shared" si="64"/>
        <v xml:space="preserve">				.WhereIf(!string.IsNullOrWhiteSpace(input.EndOfRecord), e =&gt; e.EndOfRecord.Contains(input.EndOfRecord))</v>
      </c>
    </row>
    <row r="35" spans="1:23" ht="45.75" customHeight="1" x14ac:dyDescent="0.25">
      <c r="H35" s="11"/>
      <c r="I35" s="31" t="str">
        <f ca="1">TEXTJOIN2("
", TRUE,INDIRECT( $H$1):INDIRECT( $H$3))</f>
        <v xml:space="preserve">		public const int MaxVinLength = 17;
		public const int MaxUrnLength = 10;
		public const int MaxSpecSheetNoLength = 2;
		public const int MaxIdLineLength = 2;
		public const int MaxKatashikiLength = 20;
		public const int MaxSaleKatashikiLength = 20;
		public const int MaxSaleSuffixLength = 2;
		public const int MaxSpec200DigitsLength = 200;
		public const int MaxProductionSuffixLength = 2;
		public const int MaxLotCodeLength = 2;
		public const int MaxEnginePrefixLength = 5;
		public const int MaxEngineNoLength = 30;
		public const int MaxPlantCodeLength = 4;
		public const int MaxCurrentStatusLength = 2;
		public const int MaxLineOffDatetimeLength = 14;
		public const int MaxInteriorColorLength = 4;
		public const int MaxExteriorColorLength = 4;
		public const int MaxDestinationCodeLength = 5;
		public const int MaxEdOdnoLength = 5;
		public const int MaxCancelFlagLength = 1;
		public const int MaxSmsCarFamilyCodeLength = 4;
		public const int MaxOrderTypeLength = 1;
		public const int MaxKatashikiCodeLength = 5;
		public const int MaxEndOfRecordLength = 1;
</v>
      </c>
      <c r="J35" s="30" t="str">
        <f ca="1">TEXTJOIN2("
", TRUE,INDIRECT( $F$1):INDIRECT( $F$3))</f>
        <v xml:space="preserve">		public virtual int? RecordId { get; set; }
		[StringLength(MaxVinLength)]
		public virtual string Vin { get; set; }
		[StringLength(MaxUrnLength)]
		public virtual string Urn { get; set; }
		[StringLength(MaxSpecSheetNoLength)]
		public virtual string SpecSheetNo { get; set; }
		[StringLength(MaxIdLineLength)]
		public virtual string IdLine { get; set; }
		[StringLength(MaxKatashikiLength)]
		public virtual string Katashiki { get; set; }
		[StringLength(MaxSaleKatashikiLength)]
		public virtual string SaleKatashiki { get; set; }
		[StringLength(MaxSaleSuffixLength)]
		public virtual string SaleSuffix { get; set; }
		[StringLength(MaxSpec200DigitsLength)]
		public virtual string Spec200Digits { get; set; }
		[StringLength(MaxProductionSuffixLength)]
		public virtual string ProductionSuffix { get; set; }
		[StringLength(MaxLotCodeLength)]
		public virtual string LotCode { get; set; }
		[StringLength(MaxEnginePrefixLength)]
		public virtual string EnginePrefix { get; set; }
		[StringLength(MaxEngineNoLength)]
		public virtual string EngineNo { get; set; }
		[StringLength(MaxPlantCodeLength)]
		public virtual string PlantCode { get; set; }
		[StringLength(MaxCurrentStatusLength)]
		public virtual string CurrentStatus { get; set; }
		[StringLength(MaxLineOffDatetimeLength)]
		public virtual string LineOffDatetime { get; set; }
		[StringLength(MaxInteriorColorLength)]
		public virtual string InteriorColor { get; set; }
		[StringLength(MaxExteriorColorLength)]
		public virtual string ExteriorColor { get; set; }
		[StringLength(MaxDestinationCodeLength)]
		public virtual string DestinationCode { get; set; }
		[StringLength(MaxEdOdnoLength)]
		public virtual string EdOdno { get; set; }
		[StringLength(MaxCancelFlagLength)]
		public virtual string CancelFlag { get; set; }
		[StringLength(MaxSmsCarFamilyCodeLength)]
		public virtual string SmsCarFamilyCode { get; set; }
		[StringLength(MaxOrderTypeLength)]
		public virtual string OrderType { get; set; }
		[StringLength(MaxKatashikiCodeLength)]
		public virtual string KatashikiCode { get; set; }
		[StringLength(MaxEndOfRecordLength)]
		public virtual string EndOfRecord { get; set; }
</v>
      </c>
      <c r="K35" s="32" t="str">
        <f ca="1">TEXTJOIN2("
", TRUE,INDIRECT( $J$1):INDIRECT( $J$3))</f>
        <v/>
      </c>
      <c r="L35" s="12" t="s">
        <v>57</v>
      </c>
      <c r="M35" s="33" t="str">
        <f ca="1">TEXTJOIN2("
",TRUE,INDIRECT( $L$1):INDIRECT($L$3))</f>
        <v xml:space="preserve">		public virtual int? RecordId { get; set; }
		public virtual string Vin { get; set; }
		public virtual string Urn { get; set; }
		public virtual string SpecSheetNo { get; set; }
		public virtual string IdLine { get; set; }
		public virtual string Katashiki { get; set; }
		public virtual string SaleKatashiki { get; set; }
		public virtual string SaleSuffix { get; set; }
		public virtual string Spec200Digits { get; set; }
		public virtual string ProductionSuffix { get; set; }
		public virtual string LotCode { get; set; }
		public virtual string EnginePrefix { get; set; }
		public virtual string EngineNo { get; set; }
		public virtual string PlantCode { get; set; }
		public virtual string CurrentStatus { get; set; }
		public virtual string LineOffDatetime { get; set; }
		public virtual string InteriorColor { get; set; }
		public virtual string ExteriorColor { get; set; }
		public virtual string DestinationCode { get; set; }
		public virtual string EdOdno { get; set; }
		public virtual string CancelFlag { get; set; }
		public virtual string SmsCarFamilyCode { get; set; }
		public virtual string OrderType { get; set; }
		public virtual string KatashikiCode { get; set; }
		public virtual string EndOfRecord { get; set; }
</v>
      </c>
      <c r="N35" s="30" t="str">
        <f ca="1">TEXTJOIN2("
",TRUE,INDIRECT( $M$1):INDIRECT($M$3))</f>
        <v xml:space="preserve">		public virtual int? RecordId { get; set; }
		[StringLength(IF_FQF3MM01Consts.MaxVinLength)]
		public virtual string Vin { get; set; }
		[StringLength(IF_FQF3MM01Consts.MaxUrnLength)]
		public virtual string Urn { get; set; }
		[StringLength(IF_FQF3MM01Consts.MaxSpecSheetNoLength)]
		public virtual string SpecSheetNo { get; set; }
		[StringLength(IF_FQF3MM01Consts.MaxIdLineLength)]
		public virtual string IdLine { get; set; }
		[StringLength(IF_FQF3MM01Consts.MaxKatashikiLength)]
		public virtual string Katashiki { get; set; }
		[StringLength(IF_FQF3MM01Consts.MaxSaleKatashikiLength)]
		public virtual string SaleKatashiki { get; set; }
		[StringLength(IF_FQF3MM01Consts.MaxSaleSuffixLength)]
		public virtual string SaleSuffix { get; set; }
		[StringLength(IF_FQF3MM01Consts.MaxSpec200DigitsLength)]
		public virtual string Spec200Digits { get; set; }
		[StringLength(IF_FQF3MM01Consts.MaxProductionSuffixLength)]
		public virtual string ProductionSuffix { get; set; }
		[StringLength(IF_FQF3MM01Consts.MaxLotCodeLength)]
		public virtual string LotCode { get; set; }
		[StringLength(IF_FQF3MM01Consts.MaxEnginePrefixLength)]
		public virtual string EnginePrefix { get; set; }
		[StringLength(IF_FQF3MM01Consts.MaxEngineNoLength)]
		public virtual string EngineNo { get; set; }
		[StringLength(IF_FQF3MM01Consts.MaxPlantCodeLength)]
		public virtual string PlantCode { get; set; }
		[StringLength(IF_FQF3MM01Consts.MaxCurrentStatusLength)]
		public virtual string CurrentStatus { get; set; }
		[StringLength(IF_FQF3MM01Consts.MaxLineOffDatetimeLength)]
		public virtual string LineOffDatetime { get; set; }
		[StringLength(IF_FQF3MM01Consts.MaxInteriorColorLength)]
		public virtual string InteriorColor { get; set; }
		[StringLength(IF_FQF3MM01Consts.MaxExteriorColorLength)]
		public virtual string ExteriorColor { get; set; }
		[StringLength(IF_FQF3MM01Consts.MaxDestinationCodeLength)]
		public virtual string DestinationCode { get; set; }
		[StringLength(IF_FQF3MM01Consts.MaxEdOdnoLength)]
		public virtual string EdOdno { get; set; }
		[StringLength(IF_FQF3MM01Consts.MaxCancelFlagLength)]
		public virtual string CancelFlag { get; set; }
		[StringLength(IF_FQF3MM01Consts.MaxSmsCarFamilyCodeLength)]
		public virtual string SmsCarFamilyCode { get; set; }
		[StringLength(IF_FQF3MM01Consts.MaxOrderTypeLength)]
		public virtual string OrderType { get; set; }
		[StringLength(IF_FQF3MM01Consts.MaxKatashikiCodeLength)]
		public virtual string KatashikiCode { get; set; }
		[StringLength(IF_FQF3MM01Consts.MaxEndOfRecordLength)]
		public virtual string EndOfRecord { get; set; }
</v>
      </c>
      <c r="O35" s="30" t="str">
        <f ca="1">TEXTJOIN2("
",TRUE,INDIRECT( $N$1):INDIRECT($N$3))</f>
        <v xml:space="preserve">		public virtual string Vin { get; set; }
		public virtual string Urn { get; set; }
		public virtual string SpecSheetNo { get; set; }
		public virtual string IdLine { get; set; }
		public virtual string Katashiki { get; set; }
		public virtual string SaleKatashiki { get; set; }
		public virtual string SaleSuffix { get; set; }
		public virtual string Spec200Digits { get; set; }
		public virtual string ProductionSuffix { get; set; }
		public virtual string LotCode { get; set; }
		public virtual string EnginePrefix { get; set; }
		public virtual string EngineNo { get; set; }
		public virtual string PlantCode { get; set; }
		public virtual string CurrentStatus { get; set; }
		public virtual string LineOffDatetime { get; set; }
		public virtual string InteriorColor { get; set; }
		public virtual string ExteriorColor { get; set; }
		public virtual string DestinationCode { get; set; }
		public virtual string EdOdno { get; set; }
		public virtual string CancelFlag { get; set; }
		public virtual string SmsCarFamilyCode { get; set; }
		public virtual string OrderType { get; set; }
		public virtual string KatashikiCode { get; set; }
		public virtual string EndOfRecord { get; set; }
</v>
      </c>
      <c r="P35" s="8" t="str">
        <f ca="1">TEXTJOIN2("
",TRUE,INDIRECT( $O$1):INDIRECT($O$3))</f>
        <v xml:space="preserve">							RecordId = o.RecordId,
							Vin = o.Vin,
							Urn = o.Urn,
							SpecSheetNo = o.SpecSheetNo,
							IdLine = o.IdLine,
							Katashiki = o.Katashiki,
							SaleKatashiki = o.SaleKatashiki,
							SaleSuffix = o.SaleSuffix,
							Spec200Digits = o.Spec200Digits,
							ProductionSuffix = o.ProductionSuffix,
							LotCode = o.LotCode,
							EnginePrefix = o.EnginePrefix,
							EngineNo = o.EngineNo,
							PlantCode = o.PlantCode,
							CurrentStatus = o.CurrentStatus,
							LineOffDatetime = o.LineOffDatetime,
							InteriorColor = o.InteriorColor,
							ExteriorColor = o.ExteriorColor,
							DestinationCode = o.DestinationCode,
							EdOdno = o.EdOdno,
							CancelFlag = o.CancelFlag,
							SmsCarFamilyCode = o.SmsCarFamilyCode,
							OrderType = o.OrderType,
							KatashikiCode = o.KatashikiCode,
							EndOfRecord = o.EndOfRecord,</v>
      </c>
      <c r="T35" s="8" t="str">
        <f ca="1">TEXTJOIN2("
",TRUE,INDIRECT( $T$2):INDIRECT($T$3))</f>
        <v xml:space="preserve">								("RecordId"),
								("Vin"),
								("Urn"),
								("SpecSheetNo"),
								("IdLine"),
								("Katashiki"),
								("SaleKatashiki"),
								("SaleSuffix"),
								("Spec200Digits"),
								("ProductionSuffix"),
								("LotCode"),
								("EnginePrefix"),
								("EngineNo"),
								("PlantCode"),
								("CurrentStatus"),
								("LineOffDatetime"),
								("InteriorColor"),
								("ExteriorColor"),
								("DestinationCode"),
								("EdOdno"),
								("CancelFlag"),
								("SmsCarFamilyCode"),
								("OrderType"),
								("KatashikiCode"),
								("EndOfRecord"),</v>
      </c>
      <c r="V35" s="8" t="str">
        <f ca="1">TEXTJOIN2("
",TRUE,INDIRECT( $V$2):INDIRECT($V$3))</f>
        <v xml:space="preserve">								_ =&gt; _.RecordId,
								_ =&gt; _.Vin,
								_ =&gt; _.Urn,
								_ =&gt; _.SpecSheetNo,
								_ =&gt; _.IdLine,
								_ =&gt; _.Katashiki,
								_ =&gt; _.SaleKatashiki,
								_ =&gt; _.SaleSuffix,
								_ =&gt; _.Spec200Digits,
								_ =&gt; _.ProductionSuffix,
								_ =&gt; _.LotCode,
								_ =&gt; _.EnginePrefix,
								_ =&gt; _.EngineNo,
								_ =&gt; _.PlantCode,
								_ =&gt; _.CurrentStatus,
								_ =&gt; _.LineOffDatetime,
								_ =&gt; _.InteriorColor,
								_ =&gt; _.ExteriorColor,
								_ =&gt; _.DestinationCode,
								_ =&gt; _.EdOdno,
								_ =&gt; _.CancelFlag,
								_ =&gt; _.SmsCarFamilyCode,
								_ =&gt; _.OrderType,
								_ =&gt; _.KatashikiCode,
								_ =&gt; _.EndOfRecord,</v>
      </c>
      <c r="W35" s="8" t="str">
        <f ca="1">TEXTJOIN2("
",TRUE,INDIRECT( $W$2):INDIRECT($W$3))</f>
        <v xml:space="preserve">				.WhereIf(!string.IsNullOrWhiteSpace(input.Vin), e =&gt; e.Vin.Contains(input.Vin))
				.WhereIf(!string.IsNullOrWhiteSpace(input.Urn), e =&gt; e.Urn.Contains(input.Urn))
				.WhereIf(!string.IsNullOrWhiteSpace(input.SpecSheetNo), e =&gt; e.SpecSheetNo.Contains(input.SpecSheetNo))
				.WhereIf(!string.IsNullOrWhiteSpace(input.IdLine), e =&gt; e.IdLine.Contains(input.IdLine))
				.WhereIf(!string.IsNullOrWhiteSpace(input.Katashiki), e =&gt; e.Katashiki.Contains(input.Katashiki))
				.WhereIf(!string.IsNullOrWhiteSpace(input.SaleKatashiki), e =&gt; e.SaleKatashiki.Contains(input.SaleKatashiki))
				.WhereIf(!string.IsNullOrWhiteSpace(input.SaleSuffix), e =&gt; e.SaleSuffix.Contains(input.SaleSuffix))
				.WhereIf(!string.IsNullOrWhiteSpace(input.Spec200Digits), e =&gt; e.Spec200Digits.Contains(input.Spec200Digits))
				.WhereIf(!string.IsNullOrWhiteSpace(input.ProductionSuffix), e =&gt; e.ProductionSuffix.Contains(input.ProductionSuffix))
				.WhereIf(!string.IsNullOrWhiteSpace(input.LotCode), e =&gt; e.LotCode.Contains(input.LotCode))
				.WhereIf(!string.IsNullOrWhiteSpace(input.EnginePrefix), e =&gt; e.EnginePrefix.Contains(input.EnginePrefix))
				.WhereIf(!string.IsNullOrWhiteSpace(input.EngineNo), e =&gt; e.EngineNo.Contains(input.EngineNo))
				.WhereIf(!string.IsNullOrWhiteSpace(input.PlantCode), e =&gt; e.PlantCode.Contains(input.PlantCode))
				.WhereIf(!string.IsNullOrWhiteSpace(input.CurrentStatus), e =&gt; e.CurrentStatus.Contains(input.CurrentStatus))
				.WhereIf(!string.IsNullOrWhiteSpace(input.LineOffDatetime), e =&gt; e.LineOffDatetime.Contains(input.LineOffDatetime))
				.WhereIf(!string.IsNullOrWhiteSpace(input.InteriorColor), e =&gt; e.InteriorColor.Contains(input.InteriorColor))
				.WhereIf(!string.IsNullOrWhiteSpace(input.ExteriorColor), e =&gt; e.ExteriorColor.Contains(input.ExteriorColor))
				.WhereIf(!string.IsNullOrWhiteSpace(input.DestinationCode), e =&gt; e.DestinationCode.Contains(input.DestinationCode))
				.WhereIf(!string.IsNullOrWhiteSpace(input.EdOdno), e =&gt; e.EdOdno.Contains(input.EdOdno))
				.WhereIf(!string.IsNullOrWhiteSpace(input.CancelFlag), e =&gt; e.CancelFlag.Contains(input.CancelFlag))
				.WhereIf(!string.IsNullOrWhiteSpace(input.SmsCarFamilyCode), e =&gt; e.SmsCarFamilyCode.Contains(input.SmsCarFamilyCode))
				.WhereIf(!string.IsNullOrWhiteSpace(input.OrderType), e =&gt; e.OrderType.Contains(input.OrderType))
				.WhereIf(!string.IsNullOrWhiteSpace(input.KatashikiCode), e =&gt; e.KatashikiCode.Contains(input.KatashikiCode))
				.WhereIf(!string.IsNullOrWhiteSpace(input.EndOfRecord), e =&gt; e.EndOfRecord.Contains(input.EndOfRecord))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41"/>
  <sheetViews>
    <sheetView workbookViewId="0">
      <selection activeCell="B1" sqref="B1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x14ac:dyDescent="0.25">
      <c r="A1" s="38" t="s">
        <v>208</v>
      </c>
      <c r="B1" s="39" t="s">
        <v>364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233</v>
      </c>
      <c r="B2" s="39" t="str">
        <f>A.Backend!B4</f>
        <v>IF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233</v>
      </c>
      <c r="B3" s="39" t="str">
        <f>LOWER(B2)</f>
        <v>if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210</v>
      </c>
      <c r="B4" s="40" t="str">
        <f>A.Backend!Q3</f>
        <v>IF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210</v>
      </c>
      <c r="B5" s="40" t="str">
        <f>LOWER(B4)</f>
        <v>if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220</v>
      </c>
      <c r="B6" s="41" t="str">
        <f>A.Backend!B3</f>
        <v>IF_FQF3MM01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211</v>
      </c>
      <c r="B7" s="40" t="str">
        <f>A.Backend!B5</f>
        <v>FQF3MM01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209</v>
      </c>
      <c r="B8" s="40" t="str">
        <f>LOWER(B7)</f>
        <v>fqf3mm01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25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IF_FQF3MM01Dto, IF_FQF3MM01ServiceProxy } from '@shared/service-proxies/service-proxies';
import { finalize } from 'rxjs/internal/operators/finalize';
import { CreateOrEditFQF3MM01ModalComponent } from './create-or-edit-fqf3mm01-modal.component';
import { DatePipe } from '@angular/common';
import { FileDownloadService } from '@shared/utils/file-download.service';
import ceil from 'lodash-es/ceil';
import { Paginator } from 'primeng/paginator';
@Component({
    templateUrl: './fqf3mm01.component.html',
    styleUrls: ['./fqf3mm01.component.less'],
})
export class FQF3MM01Component extends AppComponentBase implements OnInit {
    @ViewChild('createOrEditModalFQF3MM01', { static: true }) createOrEditModalFQF3MM01:| CreateOrEditFQF3MM01ModalComponent|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IF_FQF3MM01Dto = new IF_FQF3MM01Dto();
    saveSelectedRow: IF_FQF3MM01Dto = new IF_FQF3MM01Dto();
    datas: IF_FQF3MM01Dto = new IF_FQF3MM01Dto();
    isLoading: boolean = false;
    dataParams: GridParams | undefined;
    rowData: any[] = [];
    gridApi!: GridApi;
    rowSelection = 'multiple';
    filter: string = '';
	pipe = new DatePipe('en-US');
	frameworkComponents: FrameworkComponent;
    	recordId
	vin : string = '' ; 
	urn   : string = '' ; 
	specSheetNo : string = '' ; 
	idLine  : string = '' ; 
	katashiki : string = '' ; 
	saleKatashiki : string = '' ; 
	saleSuffix : string = '' ; 
	spec200Digits  : string = '' ; 
	productionSuffix : string = '' ; 
	lotCode    : string = '' ; 
	enginePrefix : string = '' ; 
	engineNo : string = '' ; 
	plantCode : string = '' ; 
	currentStatus : string = '' ; 
	lineOffDatetime : string = '' ; 
	interiorColor : string = '' ; 
	exteriorColor : string = '' ; 
	destinationCode : string = '' ; 
	edOdno  : string = '' ; 
	cancelFlag   : string = '' ; 
	smsCarFamilyCode : string = '' ; 
	orderType : string = '' ; 
	katashikiCode : string = '' ; 
	endOfRecord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IF_FQF3MM01ServiceProxy,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this.l('Record Id'),headerTooltip: this.l('Record Id'),field: 'recordId',flex: 1},
			{headerName: this.l('Vin'),headerTooltip: this.l('Vin'),field: 'vin',flex: 1},
			{headerName: this.l('Urn  '),headerTooltip: this.l('Urn  '),field: 'urn  ',flex: 1},
			{headerName: this.l('Spec Sheet No'),headerTooltip: this.l('Spec Sheet No'),field: 'specSheetNo',flex: 1},
			{headerName: this.l('Id Line '),headerTooltip: this.l('Id Line '),field: 'idLine ',flex: 1},
			{headerName: this.l('Katashiki'),headerTooltip: this.l('Katashiki'),field: 'katashiki',flex: 1},
			{headerName: this.l('Sale Katashiki'),headerTooltip: this.l('Sale Katashiki'),field: 'saleKatashiki',flex: 1},
			{headerName: this.l('Sale Suffix'),headerTooltip: this.l('Sale Suffix'),field: 'saleSuffix',flex: 1},
			{headerName: this.l('Spec 200 Digits '),headerTooltip: this.l('Spec 200 Digits '),field: 'spec200Digits ',flex: 1},
			{headerName: this.l('Production Suffix'),headerTooltip: this.l('Production Suffix'),field: 'productionSuffix',flex: 1},
			{headerName: this.l('Lot Code   '),headerTooltip: this.l('Lot Code   '),field: 'lotCode   ',flex: 1},
			{headerName: this.l('Engine Prefix'),headerTooltip: this.l('Engine Prefix'),field: 'enginePrefix',flex: 1},
			{headerName: this.l('Engine No'),headerTooltip: this.l('Engine No'),field: 'engineNo',flex: 1},
			{headerName: this.l('Plant Code'),headerTooltip: this.l('Plant Code'),field: 'plantCode',flex: 1},
			{headerName: this.l('Current Status'),headerTooltip: this.l('Current Status'),field: 'currentStatus',flex: 1},
			{headerName: this.l('Line Off Datetime'),headerTooltip: this.l('Line Off Datetime'),field: 'lineOffDatetime',flex: 1},
			{headerName: this.l('Interior Color'),headerTooltip: this.l('Interior Color'),field: 'interiorColor',flex: 1},
			{headerName: this.l('Exterior Color'),headerTooltip: this.l('Exterior Color'),field: 'exteriorColor',flex: 1},
			{headerName: this.l('Destination Code'),headerTooltip: this.l('Destination Code'),field: 'destinationCode',flex: 1},
			{headerName: this.l('Ed Odno '),headerTooltip: this.l('Ed Odno '),field: 'edOdno ',flex: 1},
			{headerName: this.l('Cancel Flag  '),headerTooltip: this.l('Cancel Flag  '),field:  'cancelFlag  ', cellClass: ['text-center'], width: 120, cellRenderer: 'agCellButtonComponent',
buttonDefTwo: { text: params =&gt; (params.data?.'cancelFlag  ' == 'Y') ? 'Active' : 'Inactive',iconName: 'fa fa-circle',className: params =&gt; (params.data?.'cancelFlag  ' == 'Y') ? 'btnActive' : 'btnInActive',},}
			{headerName: this.l('Sms Car Family Code'),headerTooltip: this.l('Sms Car Family Code'),field: 'smsCarFamilyCode',flex: 1},
			{headerName: this.l('Order Type'),headerTooltip: this.l('Order Type'),field:  'orderType', cellClass: ['text-center'], width: 120, cellRenderer: 'agCellButtonComponent',
buttonDefTwo: { text: params =&gt; (params.data?.'orderType' == 'Y') ? 'Active' : 'Inactive',iconName: 'fa fa-circle',className: params =&gt; (params.data?.'orderType' == 'Y') ? 'btnActive' : 'btnInActive',},}
			{headerName: this.l('Katashiki Code'),headerTooltip: this.l('Katashiki Code'),field: 'katashikiCode',flex: 1},
			{headerName: this.l('End Of Record'),headerTooltip: this.l('End Of Record'),field:  'endOfRecord', cellClass: ['text-center'], width: 120, cellRenderer: 'agCellButtonComponent',
buttonDefTwo: { text: params =&gt; (params.data?.'endOfRecord' == 'Y') ? 'Active' : 'Inactive',iconName: 'fa fa-circle',className: params =&gt; (params.data?.'endOfRecord'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this.recordId,
			this.vin,
			this.urn  ,
			this.specSheetNo,
			this.idLine ,
			this.katashiki,
			this.saleKatashiki,
			this.saleSuffix,
			this.spec200Digits ,
			this.productionSuffix,
			this.lotCode   ,
			this.enginePrefix,
			this.engineNo,
			this.plantCode,
			this.currentStatus,
			this.lineOffDatetime,
			this.interiorColor,
			this.exteriorColor,
			this.destinationCode,
			this.edOdno ,
			this.cancelFlag  ,
			this.smsCarFamilyCode,
			this.orderType,
			this.katashikiCode,
			this.endOfRecord,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this.recordId = '',
		this.vin = '',
		this.urn   = '',
		this.specSheetNo = '',
		this.idLine  = '',
		this.katashiki = '',
		this.saleKatashiki = '',
		this.saleSuffix = '',
		this.spec200Digits  = '',
		this.productionSuffix = '',
		this.lotCode    = '',
		this.enginePrefix = '',
		this.engineNo = '',
		this.plantCode = '',
		this.currentStatus = '',
		this.lineOffDatetime = '',
		this.interiorColor = '',
		this.exteriorColor = '',
		this.destinationCode = '',
		this.edOdno  = '',
		this.cancelFlag   = '',
		this.smsCarFamilyCode = '',
		this.orderType = '',
		this.katashikiCode = '',
		this.endOfRecord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this.recordId,
			this.vin,
			this.urn  ,
			this.specSheetNo,
			this.idLine ,
			this.katashiki,
			this.saleKatashiki,
			this.saleSuffix,
			this.spec200Digits ,
			this.productionSuffix,
			this.lotCode   ,
			this.enginePrefix,
			this.engineNo,
			this.plantCode,
			this.currentStatus,
			this.lineOffDatetime,
			this.interiorColor,
			this.exteriorColor,
			this.destinationCode,
			this.edOdno ,
			this.cancelFlag  ,
			this.smsCarFamilyCode,
			this.orderType,
			this.katashikiCode,
			this.endOfRecord,
			'',
            this.paginationParams.skipCount,
            this.paginationParams.pageSize
        );
    }
    onChangeRowSelection(params: { api: { getSelectedRows: () =&gt; IF_FQF3MM01Dto[] } }) {
        this.saveSelectedRow = params.api.getSelectedRows()[0] ?? new IF_FQF3MM01Dto();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IF_FQF3MM01Dto):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this._service.getFQF3MM01ToExcel(
			this.recordId,
			this.vin,
			this.urn  ,
			this.specSheetNo,
			this.idLine ,
			this.katashiki,
			this.saleKatashiki,
			this.saleSuffix,
			this.spec200Digits ,
			this.productionSuffix,
			this.lotCode   ,
			this.enginePrefix,
			this.engineNo,
			this.plantCode,
			this.currentStatus,
			this.lineOffDatetime,
			this.interiorColor,
			this.exteriorColor,
			this.destinationCode,
			this.edOdno ,
			this.cancelFlag  ,
			this.smsCarFamilyCode,
			this.orderType,
			this.katashikiCode,
			this.endOfRecord,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FQF3MM01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[(ngModel)]='vin' name='vin'
									class='form-control' [placeholder]="l('Vin')"
									type='text' (keyup.enter)='searchDatas()'&gt;
								&lt;/div&gt;
								&lt;div class='input-search'&gt;
									&lt;input [(ngModel)]='urn  ' name='urn  '
									class='form-control' [placeholder]="l('Urn  ')"
									type='text' (keyup.enter)='searchDatas()'&gt;
								&lt;/div&gt;
								&lt;div class='input-search'&gt;
									&lt;input [(ngModel)]='specSheetNo' name='specSheetNo'
									class='form-control' [placeholder]="l('Spec Sheet No')"
									type='text' (keyup.enter)='searchDatas()'&gt;
								&lt;/div&gt;
								&lt;div class='input-search'&gt;
									&lt;input [(ngModel)]='idLine ' name='idLine '
									class='form-control' [placeholder]="l('Id Line ')"
									type='text' (keyup.enter)='searchDatas()'&gt;
								&lt;/div&gt;
								&lt;div class='input-search'&gt;
									&lt;input [(ngModel)]='katashiki' name='katashiki'
									class='form-control' [placeholder]="l('Katashiki')"
									type='text' (keyup.enter)='searchDatas()'&gt;
								&lt;/div&gt;
								&lt;div class='input-search'&gt;
									&lt;input [(ngModel)]='saleKatashiki' name='saleKatashiki'
									class='form-control' [placeholder]="l('Sale Katashiki')"
									type='text' (keyup.enter)='searchDatas()'&gt;
								&lt;/div&gt;
								&lt;div class='input-search'&gt;
									&lt;input [(ngModel)]='saleSuffix' name='saleSuffix'
									class='form-control' [placeholder]="l('Sale Suffix')"
									type='text' (keyup.enter)='searchDatas()'&gt;
								&lt;/div&gt;
								&lt;div class='input-search'&gt;
									&lt;input [(ngModel)]='spec200Digits ' name='spec200Digits '
									class='form-control' [placeholder]="l('Spec 200 Digits ')"
									type='text' (keyup.enter)='searchDatas()'&gt;
								&lt;/div&gt;
								&lt;div class='input-search'&gt;
									&lt;input [(ngModel)]='productionSuffix' name='productionSuffix'
									class='form-control' [placeholder]="l('Production Suffix')"
									type='text' (keyup.enter)='searchDatas()'&gt;
								&lt;/div&gt;
								&lt;div class='input-search'&gt;
									&lt;input [(ngModel)]='lotCode   ' name='lotCode   '
									class='form-control' [placeholder]="l('Lot Code   ')"
									type='text' (keyup.enter)='searchDatas()'&gt;
								&lt;/div&gt;
								&lt;div class='input-search'&gt;
									&lt;input [(ngModel)]='enginePrefix' name='enginePrefix'
									class='form-control' [placeholder]="l('Engine Prefix')"
									type='text' (keyup.enter)='searchDatas()'&gt;
								&lt;/div&gt;
								&lt;div class='input-search'&gt;
									&lt;input [(ngModel)]='engineNo' name='engineNo'
									class='form-control' [placeholder]="l('Engine No')"
									type='text' (keyup.enter)='searchDatas()'&gt;
								&lt;/div&gt;
								&lt;div class='input-search'&gt;
									&lt;input [(ngModel)]='plantCode' name='plantCode'
									class='form-control' [placeholder]="l('Plant Code')"
									type='text' (keyup.enter)='searchDatas()'&gt;
								&lt;/div&gt;
								&lt;div class='input-search'&gt;
									&lt;input [(ngModel)]='currentStatus' name='currentStatus'
									class='form-control' [placeholder]="l('Current Status')"
									type='text' (keyup.enter)='searchDatas()'&gt;
								&lt;/div&gt;
								&lt;div class='input-search'&gt;
									&lt;input [(ngModel)]='lineOffDatetime' name='lineOffDatetime'
									class='form-control' [placeholder]="l('Line Off Datetime')"
									type='text' (keyup.enter)='searchDatas()'&gt;
								&lt;/div&gt;
								&lt;div class='input-search'&gt;
									&lt;input [(ngModel)]='interiorColor' name='interiorColor'
									class='form-control' [placeholder]="l('Interior Color')"
									type='text' (keyup.enter)='searchDatas()'&gt;
								&lt;/div&gt;
								&lt;div class='input-search'&gt;
									&lt;input [(ngModel)]='exteriorColor' name='exteriorColor'
									class='form-control' [placeholder]="l('Exterior Color')"
									type='text' (keyup.enter)='searchDatas()'&gt;
								&lt;/div&gt;
								&lt;div class='input-search'&gt;
									&lt;input [(ngModel)]='destinationCode' name='destinationCode'
									class='form-control' [placeholder]="l('Destination Code')"
									type='text' (keyup.enter)='searchDatas()'&gt;
								&lt;/div&gt;
								&lt;div class='input-search'&gt;
									&lt;input [(ngModel)]='edOdno ' name='edOdno '
									class='form-control' [placeholder]="l('Ed Odno ')"
									type='text' (keyup.enter)='searchDatas()'&gt;
								&lt;/div&gt;
								&lt;div class='input-search'&gt;
									&lt;input [(ngModel)]='cancelFlag  ' name='cancelFlag  '
									class='form-control' [placeholder]="l('Cancel Flag  ')"
									type='text' (keyup.enter)='searchDatas()'&gt;
								&lt;/div&gt;
								&lt;div class='input-search'&gt;
									&lt;input [(ngModel)]='smsCarFamilyCode' name='smsCarFamilyCode'
									class='form-control' [placeholder]="l('Sms Car Family Code')"
									type='text' (keyup.enter)='searchDatas()'&gt;
								&lt;/div&gt;
								&lt;div class='input-search'&gt;
									&lt;input [(ngModel)]='orderType' name='orderType'
									class='form-control' [placeholder]="l('Order Type')"
									type='text' (keyup.enter)='searchDatas()'&gt;
								&lt;/div&gt;
								&lt;div class='input-search'&gt;
									&lt;input [(ngModel)]='katashikiCode' name='katashikiCode'
									class='form-control' [placeholder]="l('Katashiki Code')"
									type='text' (keyup.enter)='searchDatas()'&gt;
								&lt;/div&gt;
								&lt;div class='input-search'&gt;
									&lt;input [(ngModel)]='endOfRecord' name='endOfRecord'
									class='form-control' [placeholder]="l('End Of Record')"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(click)="createOrEditModalFQF3MM01.show()"&gt;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(click)="createOrEditModalFQF3MM01.show(selectedRow)"&gt;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&lt;create-or-edit-fqf3mm01-modal
    #createOrEditModalFQF3MM01
    (modalSave)="callBackDataGrid(dataParams)"
    (modalClose)="onChangeRowSelection(dataParams)"
&gt;
&lt;/create-or-edit-fqf3mm01-modal&gt;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#createOrEditModalFQF3MM01="bs-modal"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FQF3MM01')}}&lt;/h3&gt;
                    &lt;h3 *ngIf="!rowdata.id"&gt;{{('Create New FQF3MM01')}}&lt;/h3&gt;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title'&gt;Vin&lt;/label&gt;
						&lt;input type='text' class='col-md-10 form-control input-text' name='Vin' [(ngModel)]='rowdata.vin'&gt;
					&lt;/div&gt;
					&lt;div class='col-md-12 form-group row'&gt;
						&lt;label class='col-md-2 form-control title'&gt;Urn  &lt;/label&gt;
						&lt;input type='text' class='col-md-10 form-control input-text' name='Urn  ' [(ngModel)]='rowdata.urn  '&gt;
					&lt;/div&gt;
					&lt;div class='col-md-12 form-group row'&gt;
						&lt;label class='col-md-2 form-control title'&gt;Spec Sheet No&lt;/label&gt;
						&lt;input type='text' class='col-md-10 form-control input-text' name='SpecSheetNo' [(ngModel)]='rowdata.specSheetNo'&gt;
					&lt;/div&gt;
					&lt;div class='col-md-12 form-group row'&gt;
						&lt;label class='col-md-2 form-control title'&gt;Id Line &lt;/label&gt;
						&lt;input type='text' class='col-md-10 form-control input-text' name='IdLine ' [(ngModel)]='rowdata.idLine '&gt;
					&lt;/div&gt;
					&lt;div class='col-md-12 form-group row'&gt;
						&lt;label class='col-md-2 form-control title'&gt;Katashiki&lt;/label&gt;
						&lt;input type='text' class='col-md-10 form-control input-text' name='Katashiki' [(ngModel)]='rowdata.katashiki'&gt;
					&lt;/div&gt;
					&lt;div class='col-md-12 form-group row'&gt;
						&lt;label class='col-md-2 form-control title'&gt;Sale Katashiki&lt;/label&gt;
						&lt;input type='text' class='col-md-10 form-control input-text' name='SaleKatashiki' [(ngModel)]='rowdata.saleKatashiki'&gt;
					&lt;/div&gt;
					&lt;div class='col-md-12 form-group row'&gt;
						&lt;label class='col-md-2 form-control title'&gt;Sale Suffix&lt;/label&gt;
						&lt;input type='text' class='col-md-10 form-control input-text' name='SaleSuffix' [(ngModel)]='rowdata.saleSuffix'&gt;
					&lt;/div&gt;
					&lt;div class='col-md-12 form-group row'&gt;
						&lt;label class='col-md-2 form-control title'&gt;Spec 200 Digits &lt;/label&gt;
						&lt;input type='text' class='col-md-10 form-control input-text' name='Spec200Digits ' [(ngModel)]='rowdata.spec200Digits '&gt;
					&lt;/div&gt;
					&lt;div class='col-md-12 form-group row'&gt;
						&lt;label class='col-md-2 form-control title'&gt;Production Suffix&lt;/label&gt;
						&lt;input type='text' class='col-md-10 form-control input-text' name='ProductionSuffix' [(ngModel)]='rowdata.productionSuffix'&gt;
					&lt;/div&gt;
					&lt;div class='col-md-12 form-group row'&gt;
						&lt;label class='col-md-2 form-control title'&gt;Lot Code   &lt;/label&gt;
						&lt;input type='text' class='col-md-10 form-control input-text' name='LotCode   ' [(ngModel)]='rowdata.lotCode   '&gt;
					&lt;/div&gt;
					&lt;div class='col-md-12 form-group row'&gt;
						&lt;label class='col-md-2 form-control title'&gt;Engine Prefix&lt;/label&gt;
						&lt;input type='text' class='col-md-10 form-control input-text' name='EnginePrefix' [(ngModel)]='rowdata.enginePrefix'&gt;
					&lt;/div&gt;
					&lt;div class='col-md-12 form-group row'&gt;
						&lt;label class='col-md-2 form-control title'&gt;Engine No&lt;/label&gt;
						&lt;input type='text' class='col-md-10 form-control input-text' name='EngineNo' [(ngModel)]='rowdata.engineNo'&gt;
					&lt;/div&gt;
					&lt;div class='col-md-12 form-group row'&gt;
						&lt;label class='col-md-2 form-control title'&gt;Plant Code&lt;/label&gt;
						&lt;input type='text' class='col-md-10 form-control input-text' name='PlantCode' [(ngModel)]='rowdata.plantCode'&gt;
					&lt;/div&gt;
					&lt;div class='col-md-12 form-group row'&gt;
						&lt;label class='col-md-2 form-control title'&gt;Current Status&lt;/label&gt;
						&lt;input type='text' class='col-md-10 form-control input-text' name='CurrentStatus' [(ngModel)]='rowdata.currentStatus'&gt;
					&lt;/div&gt;
					&lt;div class='col-md-12 form-group row'&gt;
						&lt;label class='col-md-2 form-control title'&gt;Line Off Datetime&lt;/label&gt;
						&lt;input type='text' class='col-md-10 form-control input-text' name='LineOffDatetime' [(ngModel)]='rowdata.lineOffDatetime'&gt;
					&lt;/div&gt;
					&lt;div class='col-md-12 form-group row'&gt;
						&lt;label class='col-md-2 form-control title'&gt;Interior Color&lt;/label&gt;
						&lt;input type='text' class='col-md-10 form-control input-text' name='InteriorColor' [(ngModel)]='rowdata.interiorColor'&gt;
					&lt;/div&gt;
					&lt;div class='col-md-12 form-group row'&gt;
						&lt;label class='col-md-2 form-control title'&gt;Exterior Color&lt;/label&gt;
						&lt;input type='text' class='col-md-10 form-control input-text' name='ExteriorColor' [(ngModel)]='rowdata.exteriorColor'&gt;
					&lt;/div&gt;
					&lt;div class='col-md-12 form-group row'&gt;
						&lt;label class='col-md-2 form-control title'&gt;Destination Code&lt;/label&gt;
						&lt;input type='text' class='col-md-10 form-control input-text' name='DestinationCode' [(ngModel)]='rowdata.destinationCode'&gt;
					&lt;/div&gt;
					&lt;div class='col-md-12 form-group row'&gt;
						&lt;label class='col-md-2 form-control title'&gt;Ed Odno &lt;/label&gt;
						&lt;input type='text' class='col-md-10 form-control input-text' name='EdOdno ' [(ngModel)]='rowdata.edOdno '&gt;
					&lt;/div&gt;
					&lt;div class='col-md-12 form-group row'&gt;
						&lt;label class='col-md-2 form-control title'&gt;Cancel Flag  &lt;/label&gt;
						&lt;new-checkbox [(ngModel)]='_cancelFlag  ' name='cancelFlag  ' className='col-md-10' &gt; &lt;/new-checkbox&gt;
					&lt;/div&gt;
					&lt;div class='col-md-12 form-group row'&gt;
						&lt;label class='col-md-2 form-control title'&gt;Sms Car Family Code&lt;/label&gt;
						&lt;input type='text' class='col-md-10 form-control input-text' name='SmsCarFamilyCode' [(ngModel)]='rowdata.smsCarFamilyCode'&gt;
					&lt;/div&gt;
					&lt;div class='col-md-12 form-group row'&gt;
						&lt;label class='col-md-2 form-control title'&gt;Order Type&lt;/label&gt;
						&lt;new-checkbox [(ngModel)]='_orderType' name='orderType' className='col-md-10' &gt; &lt;/new-checkbox&gt;
					&lt;/div&gt;
					&lt;div class='col-md-12 form-group row'&gt;
						&lt;label class='col-md-2 form-control title'&gt;Katashiki Code&lt;/label&gt;
						&lt;input type='text' class='col-md-10 form-control input-text' name='KatashikiCode' [(ngModel)]='rowdata.katashikiCode'&gt;
					&lt;/div&gt;
					&lt;div class='col-md-12 form-group row'&gt;
						&lt;label class='col-md-2 form-control title'&gt;End Of Record&lt;/label&gt;
						&lt;new-checkbox [(ngModel)]='_endOfRecord' name='endOfRecord'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CreateOrEditIF_FQF3MM01Dto, IF_FQF3MM01ServiceProxy } from '@shared/service-proxies/service-proxies';
import { BsDatepickerDirective } from 'ngx-bootstrap/datepicker';
@Component({
    selector: 'create-or-edit-fqf3mm01-modal',
    templateUrl: './create-or-edit-fqf3mm01-modal.component.html',
    styleUrls: ['./create-or-edit-fqf3mm01-modal.component.less']
    })
export class CreateOrEditFQF3MM01ModalComponent extends AppComponentBase {
    @ViewChild('createOrEditModalFQF3MM01',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CreateOrEditIF_FQF3MM01Dto = new CreateOrEditIF_FQF3MM01Dto();
    active: boolean = false;
    saving: boolean = false;
    _cancelFlag  
orderType
endOfRecord: boolean;
    constructor(
        injector: Injector,
        private _mstwptFQF3MM01Service: IF_FQF3MM01ServiceProxy,
    ) 
    {
        super(injector);
    }
    show(rowdata?: CreateOrEditIF_FQF3MM01Dto): void {
        if (!rowdata) this.rowdata = new CreateOrEditIF_FQF3MM01Dto();
        else this.rowdata = rowdata;
        this._cancelFlag  
orderType
endOfRecord = (this.rowdata.cancelFlag  
orderType
endOfRecord == "N")? false: true;
        this.active = true;
        this.modal.show();
    } 
    changeActive(event){
        this._cancelFlag  
orderType
endOfRecord = event.target.checked;
    }
    save(): void {
    this.saving = true; 
    this.rowdata.cancelFlag  
orderType
endOfRecord = (this._cancelFlag  
orderType
endOfRecord == true) ? 'Y' : 'N'
    this._mstwptFQF3MM01Service.createOrEdit(this.rowdata)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FQF3MM01RoutingModule } from './fqf3mm01-routing.module';
import { FQF3MM01Component } from './fqf3mm01.component';
import { CreateOrEditFQF3MM01ModalComponent } from './create-or-edit-fqf3mm01-modal.component';
@NgModule({
    declarations: [
       FQF3MM01Component, 
        CreateOrEditFQF3MM01ModalComponent
    ],
    imports: [
        AppSharedModule, FQF3MM01RoutingModule]
})
export class FQF3MM01Module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FQF3MM01Component } from './fqf3mm01.component';
const routes: Routes = [{
    path: '',
    component: FQF3MM01Component,
    pathMatch: 'full'
}];
@NgModule({
    imports: [RouterModule.forChild(routes)],
    exports: [RouterModule],
})
export class FQF3MM01RoutingModule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AppMenuItem("FQF3MM01", "Pages.IF.IF.FQF3MM01", "flaticon-book",   "/app/main/if/if/fqf3mm01"),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'if/if/fqf3mm01',
    loadChildren: () =&gt; import('./if/if/fqf3mm01/fqf3mm01.module').then(m =&gt; m.FQF3MM01Module),
    data: { permission: 'Pages.IF.IF.FQF3MM01' }
},</v>
      </c>
      <c r="R10" s="47" t="str">
        <f>SUBSTITUTE(R9,"MstWptCalendar",$B$6)</f>
        <v>ApiServiceProxies.IF_FQF3MM01ServiceProxy,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H39</v>
      </c>
      <c r="I12" s="28" t="str">
        <f>"I"&amp;COUNTA($A:$A)</f>
        <v>I39</v>
      </c>
      <c r="J12" s="28"/>
      <c r="K12" s="28" t="str">
        <f>"K"&amp;COUNTA($A:$A)</f>
        <v>K39</v>
      </c>
      <c r="L12" s="28" t="str">
        <f>"L"&amp;COUNTA($A:$A)</f>
        <v>L39</v>
      </c>
      <c r="M12" s="28"/>
      <c r="N12" s="28"/>
      <c r="O12" s="28"/>
      <c r="P12" s="28"/>
      <c r="Q12" s="28"/>
      <c r="R12" s="28"/>
      <c r="S12" s="28" t="str">
        <f>"S"&amp;COUNTA($A:$A)</f>
        <v>S39</v>
      </c>
      <c r="T12" s="28" t="str">
        <f>"T"&amp;COUNTA($A:$A)</f>
        <v>T39</v>
      </c>
      <c r="U12" s="28" t="str">
        <f>"U"&amp;COUNTA($A:$A)</f>
        <v>U39</v>
      </c>
      <c r="V12" s="28" t="str">
        <f>"V"&amp;COUNTA($A:$A)</f>
        <v>V39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this.l('Record Id'),headerTooltip: this.l('Record Id'),field: 'recordId',flex: 1},
			{headerName: this.l('Vin'),headerTooltip: this.l('Vin'),field: 'vin',flex: 1},
			{headerName: this.l('Urn  '),headerTooltip: this.l('Urn  '),field: 'urn  ',flex: 1},
			{headerName: this.l('Spec Sheet No'),headerTooltip: this.l('Spec Sheet No'),field: 'specSheetNo',flex: 1},
			{headerName: this.l('Id Line '),headerTooltip: this.l('Id Line '),field: 'idLine ',flex: 1},
			{headerName: this.l('Katashiki'),headerTooltip: this.l('Katashiki'),field: 'katashiki',flex: 1},
			{headerName: this.l('Sale Katashiki'),headerTooltip: this.l('Sale Katashiki'),field: 'saleKatashiki',flex: 1},
			{headerName: this.l('Sale Suffix'),headerTooltip: this.l('Sale Suffix'),field: 'saleSuffix',flex: 1},
			{headerName: this.l('Spec 200 Digits '),headerTooltip: this.l('Spec 200 Digits '),field: 'spec200Digits ',flex: 1},
			{headerName: this.l('Production Suffix'),headerTooltip: this.l('Production Suffix'),field: 'productionSuffix',flex: 1},
			{headerName: this.l('Lot Code   '),headerTooltip: this.l('Lot Code   '),field: 'lotCode   ',flex: 1},
			{headerName: this.l('Engine Prefix'),headerTooltip: this.l('Engine Prefix'),field: 'enginePrefix',flex: 1},
			{headerName: this.l('Engine No'),headerTooltip: this.l('Engine No'),field: 'engineNo',flex: 1},
			{headerName: this.l('Plant Code'),headerTooltip: this.l('Plant Code'),field: 'plantCode',flex: 1},
			{headerName: this.l('Current Status'),headerTooltip: this.l('Current Status'),field: 'currentStatus',flex: 1},
			{headerName: this.l('Line Off Datetime'),headerTooltip: this.l('Line Off Datetime'),field: 'lineOffDatetime',flex: 1},
			{headerName: this.l('Interior Color'),headerTooltip: this.l('Interior Color'),field: 'interiorColor',flex: 1},
			{headerName: this.l('Exterior Color'),headerTooltip: this.l('Exterior Color'),field: 'exteriorColor',flex: 1},
			{headerName: this.l('Destination Code'),headerTooltip: this.l('Destination Code'),field: 'destinationCode',flex: 1},
			{headerName: this.l('Ed Odno '),headerTooltip: this.l('Ed Odno '),field: 'edOdno ',flex: 1},
			{headerName: this.l('Cancel Flag  '),headerTooltip: this.l('Cancel Flag  '),field:  'cancelFlag  ', cellClass: ['text-center'], width: 120, cellRenderer: 'agCellButtonComponent',
buttonDefTwo: { text: params =&gt; (params.data?.'cancelFlag  ' == 'Y') ? 'Active' : 'Inactive',iconName: 'fa fa-circle',className: params =&gt; (params.data?.'cancelFlag  ' == 'Y') ? 'btnActive' : 'btnInActive',},}
			{headerName: this.l('Sms Car Family Code'),headerTooltip: this.l('Sms Car Family Code'),field: 'smsCarFamilyCode',flex: 1},
			{headerName: this.l('Order Type'),headerTooltip: this.l('Order Type'),field:  'orderType', cellClass: ['text-center'], width: 120, cellRenderer: 'agCellButtonComponent',
buttonDefTwo: { text: params =&gt; (params.data?.'orderType' == 'Y') ? 'Active' : 'Inactive',iconName: 'fa fa-circle',className: params =&gt; (params.data?.'orderType' == 'Y') ? 'btnActive' : 'btnInActive',},}
			{headerName: this.l('Katashiki Code'),headerTooltip: this.l('Katashiki Code'),field: 'katashikiCode',flex: 1},
			{headerName: this.l('End Of Record'),headerTooltip: this.l('End Of Record'),field:  'endOfRecord', cellClass: ['text-center'], width: 120, cellRenderer: 'agCellButtonComponent',
buttonDefTwo: { text: params =&gt; (params.data?.'endOfRecord' == 'Y') ? 'Active' : 'Inactive',iconName: 'fa fa-circle',className: params =&gt; (params.data?.'endOfRecord' == 'Y') ? 'btnActive' : 'btnInActive',},}</v>
      </c>
      <c r="I13" s="35" t="str">
        <f ca="1">TEXTJOIN2("
",TRUE,INDIRECT(I11):INDIRECT(I12))</f>
        <v xml:space="preserve">								&lt;div class='input-search'&gt;
									&lt;input [(ngModel)]='vin' name='vin'
									class='form-control' [placeholder]="l('Vin')"
									type='text' (keyup.enter)='searchDatas()'&gt;
								&lt;/div&gt;
								&lt;div class='input-search'&gt;
									&lt;input [(ngModel)]='urn  ' name='urn  '
									class='form-control' [placeholder]="l('Urn  ')"
									type='text' (keyup.enter)='searchDatas()'&gt;
								&lt;/div&gt;
								&lt;div class='input-search'&gt;
									&lt;input [(ngModel)]='specSheetNo' name='specSheetNo'
									class='form-control' [placeholder]="l('Spec Sheet No')"
									type='text' (keyup.enter)='searchDatas()'&gt;
								&lt;/div&gt;
								&lt;div class='input-search'&gt;
									&lt;input [(ngModel)]='idLine ' name='idLine '
									class='form-control' [placeholder]="l('Id Line ')"
									type='text' (keyup.enter)='searchDatas()'&gt;
								&lt;/div&gt;
								&lt;div class='input-search'&gt;
									&lt;input [(ngModel)]='katashiki' name='katashiki'
									class='form-control' [placeholder]="l('Katashiki')"
									type='text' (keyup.enter)='searchDatas()'&gt;
								&lt;/div&gt;
								&lt;div class='input-search'&gt;
									&lt;input [(ngModel)]='saleKatashiki' name='saleKatashiki'
									class='form-control' [placeholder]="l('Sale Katashiki')"
									type='text' (keyup.enter)='searchDatas()'&gt;
								&lt;/div&gt;
								&lt;div class='input-search'&gt;
									&lt;input [(ngModel)]='saleSuffix' name='saleSuffix'
									class='form-control' [placeholder]="l('Sale Suffix')"
									type='text' (keyup.enter)='searchDatas()'&gt;
								&lt;/div&gt;
								&lt;div class='input-search'&gt;
									&lt;input [(ngModel)]='spec200Digits ' name='spec200Digits '
									class='form-control' [placeholder]="l('Spec 200 Digits ')"
									type='text' (keyup.enter)='searchDatas()'&gt;
								&lt;/div&gt;
								&lt;div class='input-search'&gt;
									&lt;input [(ngModel)]='productionSuffix' name='productionSuffix'
									class='form-control' [placeholder]="l('Production Suffix')"
									type='text' (keyup.enter)='searchDatas()'&gt;
								&lt;/div&gt;
								&lt;div class='input-search'&gt;
									&lt;input [(ngModel)]='lotCode   ' name='lotCode   '
									class='form-control' [placeholder]="l('Lot Code   ')"
									type='text' (keyup.enter)='searchDatas()'&gt;
								&lt;/div&gt;
								&lt;div class='input-search'&gt;
									&lt;input [(ngModel)]='enginePrefix' name='enginePrefix'
									class='form-control' [placeholder]="l('Engine Prefix')"
									type='text' (keyup.enter)='searchDatas()'&gt;
								&lt;/div&gt;
								&lt;div class='input-search'&gt;
									&lt;input [(ngModel)]='engineNo' name='engineNo'
									class='form-control' [placeholder]="l('Engine No')"
									type='text' (keyup.enter)='searchDatas()'&gt;
								&lt;/div&gt;
								&lt;div class='input-search'&gt;
									&lt;input [(ngModel)]='plantCode' name='plantCode'
									class='form-control' [placeholder]="l('Plant Code')"
									type='text' (keyup.enter)='searchDatas()'&gt;
								&lt;/div&gt;
								&lt;div class='input-search'&gt;
									&lt;input [(ngModel)]='currentStatus' name='currentStatus'
									class='form-control' [placeholder]="l('Current Status')"
									type='text' (keyup.enter)='searchDatas()'&gt;
								&lt;/div&gt;
								&lt;div class='input-search'&gt;
									&lt;input [(ngModel)]='lineOffDatetime' name='lineOffDatetime'
									class='form-control' [placeholder]="l('Line Off Datetime')"
									type='text' (keyup.enter)='searchDatas()'&gt;
								&lt;/div&gt;
								&lt;div class='input-search'&gt;
									&lt;input [(ngModel)]='interiorColor' name='interiorColor'
									class='form-control' [placeholder]="l('Interior Color')"
									type='text' (keyup.enter)='searchDatas()'&gt;
								&lt;/div&gt;
								&lt;div class='input-search'&gt;
									&lt;input [(ngModel)]='exteriorColor' name='exteriorColor'
									class='form-control' [placeholder]="l('Exterior Color')"
									type='text' (keyup.enter)='searchDatas()'&gt;
								&lt;/div&gt;
								&lt;div class='input-search'&gt;
									&lt;input [(ngModel)]='destinationCode' name='destinationCode'
									class='form-control' [placeholder]="l('Destination Code')"
									type='text' (keyup.enter)='searchDatas()'&gt;
								&lt;/div&gt;
								&lt;div class='input-search'&gt;
									&lt;input [(ngModel)]='edOdno ' name='edOdno '
									class='form-control' [placeholder]="l('Ed Odno ')"
									type='text' (keyup.enter)='searchDatas()'&gt;
								&lt;/div&gt;
								&lt;div class='input-search'&gt;
									&lt;input [(ngModel)]='cancelFlag  ' name='cancelFlag  '
									class='form-control' [placeholder]="l('Cancel Flag  ')"
									type='text' (keyup.enter)='searchDatas()'&gt;
								&lt;/div&gt;
								&lt;div class='input-search'&gt;
									&lt;input [(ngModel)]='smsCarFamilyCode' name='smsCarFamilyCode'
									class='form-control' [placeholder]="l('Sms Car Family Code')"
									type='text' (keyup.enter)='searchDatas()'&gt;
								&lt;/div&gt;
								&lt;div class='input-search'&gt;
									&lt;input [(ngModel)]='orderType' name='orderType'
									class='form-control' [placeholder]="l('Order Type')"
									type='text' (keyup.enter)='searchDatas()'&gt;
								&lt;/div&gt;
								&lt;div class='input-search'&gt;
									&lt;input [(ngModel)]='katashikiCode' name='katashikiCode'
									class='form-control' [placeholder]="l('Katashiki Code')"
									type='text' (keyup.enter)='searchDatas()'&gt;
								&lt;/div&gt;
								&lt;div class='input-search'&gt;
									&lt;input [(ngModel)]='endOfRecord' name='endOfRecord'
									class='form-control' [placeholder]="l('End Of Record')"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title'&gt;Vin&lt;/label&gt;
						&lt;input type='text' class='col-md-10 form-control input-text' name='Vin' [(ngModel)]='rowdata.vin'&gt;
					&lt;/div&gt;
					&lt;div class='col-md-12 form-group row'&gt;
						&lt;label class='col-md-2 form-control title'&gt;Urn  &lt;/label&gt;
						&lt;input type='text' class='col-md-10 form-control input-text' name='Urn  ' [(ngModel)]='rowdata.urn  '&gt;
					&lt;/div&gt;
					&lt;div class='col-md-12 form-group row'&gt;
						&lt;label class='col-md-2 form-control title'&gt;Spec Sheet No&lt;/label&gt;
						&lt;input type='text' class='col-md-10 form-control input-text' name='SpecSheetNo' [(ngModel)]='rowdata.specSheetNo'&gt;
					&lt;/div&gt;
					&lt;div class='col-md-12 form-group row'&gt;
						&lt;label class='col-md-2 form-control title'&gt;Id Line &lt;/label&gt;
						&lt;input type='text' class='col-md-10 form-control input-text' name='IdLine ' [(ngModel)]='rowdata.idLine '&gt;
					&lt;/div&gt;
					&lt;div class='col-md-12 form-group row'&gt;
						&lt;label class='col-md-2 form-control title'&gt;Katashiki&lt;/label&gt;
						&lt;input type='text' class='col-md-10 form-control input-text' name='Katashiki' [(ngModel)]='rowdata.katashiki'&gt;
					&lt;/div&gt;
					&lt;div class='col-md-12 form-group row'&gt;
						&lt;label class='col-md-2 form-control title'&gt;Sale Katashiki&lt;/label&gt;
						&lt;input type='text' class='col-md-10 form-control input-text' name='SaleKatashiki' [(ngModel)]='rowdata.saleKatashiki'&gt;
					&lt;/div&gt;
					&lt;div class='col-md-12 form-group row'&gt;
						&lt;label class='col-md-2 form-control title'&gt;Sale Suffix&lt;/label&gt;
						&lt;input type='text' class='col-md-10 form-control input-text' name='SaleSuffix' [(ngModel)]='rowdata.saleSuffix'&gt;
					&lt;/div&gt;
					&lt;div class='col-md-12 form-group row'&gt;
						&lt;label class='col-md-2 form-control title'&gt;Spec 200 Digits &lt;/label&gt;
						&lt;input type='text' class='col-md-10 form-control input-text' name='Spec200Digits ' [(ngModel)]='rowdata.spec200Digits '&gt;
					&lt;/div&gt;
					&lt;div class='col-md-12 form-group row'&gt;
						&lt;label class='col-md-2 form-control title'&gt;Production Suffix&lt;/label&gt;
						&lt;input type='text' class='col-md-10 form-control input-text' name='ProductionSuffix' [(ngModel)]='rowdata.productionSuffix'&gt;
					&lt;/div&gt;
					&lt;div class='col-md-12 form-group row'&gt;
						&lt;label class='col-md-2 form-control title'&gt;Lot Code   &lt;/label&gt;
						&lt;input type='text' class='col-md-10 form-control input-text' name='LotCode   ' [(ngModel)]='rowdata.lotCode   '&gt;
					&lt;/div&gt;
					&lt;div class='col-md-12 form-group row'&gt;
						&lt;label class='col-md-2 form-control title'&gt;Engine Prefix&lt;/label&gt;
						&lt;input type='text' class='col-md-10 form-control input-text' name='EnginePrefix' [(ngModel)]='rowdata.enginePrefix'&gt;
					&lt;/div&gt;
					&lt;div class='col-md-12 form-group row'&gt;
						&lt;label class='col-md-2 form-control title'&gt;Engine No&lt;/label&gt;
						&lt;input type='text' class='col-md-10 form-control input-text' name='EngineNo' [(ngModel)]='rowdata.engineNo'&gt;
					&lt;/div&gt;
					&lt;div class='col-md-12 form-group row'&gt;
						&lt;label class='col-md-2 form-control title'&gt;Plant Code&lt;/label&gt;
						&lt;input type='text' class='col-md-10 form-control input-text' name='PlantCode' [(ngModel)]='rowdata.plantCode'&gt;
					&lt;/div&gt;
					&lt;div class='col-md-12 form-group row'&gt;
						&lt;label class='col-md-2 form-control title'&gt;Current Status&lt;/label&gt;
						&lt;input type='text' class='col-md-10 form-control input-text' name='CurrentStatus' [(ngModel)]='rowdata.currentStatus'&gt;
					&lt;/div&gt;
					&lt;div class='col-md-12 form-group row'&gt;
						&lt;label class='col-md-2 form-control title'&gt;Line Off Datetime&lt;/label&gt;
						&lt;input type='text' class='col-md-10 form-control input-text' name='LineOffDatetime' [(ngModel)]='rowdata.lineOffDatetime'&gt;
					&lt;/div&gt;
					&lt;div class='col-md-12 form-group row'&gt;
						&lt;label class='col-md-2 form-control title'&gt;Interior Color&lt;/label&gt;
						&lt;input type='text' class='col-md-10 form-control input-text' name='InteriorColor' [(ngModel)]='rowdata.interiorColor'&gt;
					&lt;/div&gt;
					&lt;div class='col-md-12 form-group row'&gt;
						&lt;label class='col-md-2 form-control title'&gt;Exterior Color&lt;/label&gt;
						&lt;input type='text' class='col-md-10 form-control input-text' name='ExteriorColor' [(ngModel)]='rowdata.exteriorColor'&gt;
					&lt;/div&gt;
					&lt;div class='col-md-12 form-group row'&gt;
						&lt;label class='col-md-2 form-control title'&gt;Destination Code&lt;/label&gt;
						&lt;input type='text' class='col-md-10 form-control input-text' name='DestinationCode' [(ngModel)]='rowdata.destinationCode'&gt;
					&lt;/div&gt;
					&lt;div class='col-md-12 form-group row'&gt;
						&lt;label class='col-md-2 form-control title'&gt;Ed Odno &lt;/label&gt;
						&lt;input type='text' class='col-md-10 form-control input-text' name='EdOdno ' [(ngModel)]='rowdata.edOdno '&gt;
					&lt;/div&gt;
					&lt;div class='col-md-12 form-group row'&gt;
						&lt;label class='col-md-2 form-control title'&gt;Cancel Flag  &lt;/label&gt;
						&lt;new-checkbox [(ngModel)]='_cancelFlag  ' name='cancelFlag  ' className='col-md-10' &gt; &lt;/new-checkbox&gt;
					&lt;/div&gt;
					&lt;div class='col-md-12 form-group row'&gt;
						&lt;label class='col-md-2 form-control title'&gt;Sms Car Family Code&lt;/label&gt;
						&lt;input type='text' class='col-md-10 form-control input-text' name='SmsCarFamilyCode' [(ngModel)]='rowdata.smsCarFamilyCode'&gt;
					&lt;/div&gt;
					&lt;div class='col-md-12 form-group row'&gt;
						&lt;label class='col-md-2 form-control title'&gt;Order Type&lt;/label&gt;
						&lt;new-checkbox [(ngModel)]='_orderType' name='orderType' className='col-md-10' &gt; &lt;/new-checkbox&gt;
					&lt;/div&gt;
					&lt;div class='col-md-12 form-group row'&gt;
						&lt;label class='col-md-2 form-control title'&gt;Katashiki Code&lt;/label&gt;
						&lt;input type='text' class='col-md-10 form-control input-text' name='KatashikiCode' [(ngModel)]='rowdata.katashikiCode'&gt;
					&lt;/div&gt;
					&lt;div class='col-md-12 form-group row'&gt;
						&lt;label class='col-md-2 form-control title'&gt;End Of Record&lt;/label&gt;
						&lt;new-checkbox [(ngModel)]='_endOfRecord' name='endOfRecord'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recordId
	vin : string = '' ; 
	urn   : string = '' ; 
	specSheetNo : string = '' ; 
	idLine  : string = '' ; 
	katashiki : string = '' ; 
	saleKatashiki : string = '' ; 
	saleSuffix : string = '' ; 
	spec200Digits  : string = '' ; 
	productionSuffix : string = '' ; 
	lotCode    : string = '' ; 
	enginePrefix : string = '' ; 
	engineNo : string = '' ; 
	plantCode : string = '' ; 
	currentStatus : string = '' ; 
	lineOffDatetime : string = '' ; 
	interiorColor : string = '' ; 
	exteriorColor : string = '' ; 
	destinationCode : string = '' ; 
	edOdno  : string = '' ; 
	cancelFlag   : string = '' ; 
	smsCarFamilyCode : string = '' ; 
	orderType : string = '' ; 
	katashikiCode : string = '' ; 
	endOfRecord : string = '' ; </v>
      </c>
      <c r="T13" s="62" t="str">
        <f ca="1">TEXTJOIN2("
",TRUE,INDIRECT(T11):INDIRECT(T12))</f>
        <v xml:space="preserve">			this.recordId,
			this.vin,
			this.urn  ,
			this.specSheetNo,
			this.idLine ,
			this.katashiki,
			this.saleKatashiki,
			this.saleSuffix,
			this.spec200Digits ,
			this.productionSuffix,
			this.lotCode   ,
			this.enginePrefix,
			this.engineNo,
			this.plantCode,
			this.currentStatus,
			this.lineOffDatetime,
			this.interiorColor,
			this.exteriorColor,
			this.destinationCode,
			this.edOdno ,
			this.cancelFlag  ,
			this.smsCarFamilyCode,
			this.orderType,
			this.katashikiCode,
			this.endOfRecord,</v>
      </c>
      <c r="U13" s="62" t="str">
        <f ca="1">TEXTJOIN2("
",TRUE,INDIRECT(U11):INDIRECT(U12))</f>
        <v xml:space="preserve">		this.recordId = '',
		this.vin = '',
		this.urn   = '',
		this.specSheetNo = '',
		this.idLine  = '',
		this.katashiki = '',
		this.saleKatashiki = '',
		this.saleSuffix = '',
		this.spec200Digits  = '',
		this.productionSuffix = '',
		this.lotCode    = '',
		this.enginePrefix = '',
		this.engineNo = '',
		this.plantCode = '',
		this.currentStatus = '',
		this.lineOffDatetime = '',
		this.interiorColor = '',
		this.exteriorColor = '',
		this.destinationCode = '',
		this.edOdno  = '',
		this.cancelFlag   = '',
		this.smsCarFamilyCode = '',
		this.orderType = '',
		this.katashikiCode = '',
		this.endOfRecord = '',</v>
      </c>
      <c r="V13" s="28" t="str">
        <f ca="1">TEXTJOIN2("
",TRUE,INDIRECT(V11):INDIRECT(V12))</f>
        <v>cancelFlag  
orderType
endOfRecord</v>
      </c>
    </row>
    <row r="14" spans="1:22" x14ac:dyDescent="0.25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fqf3mm01.component.ts</v>
      </c>
      <c r="I14" s="37" t="str">
        <f>B8&amp;".component.html"</f>
        <v>fqf3mm01.component.html</v>
      </c>
      <c r="J14" s="36" t="str">
        <f>B8&amp;".component.less"</f>
        <v>fqf3mm01.component.less</v>
      </c>
      <c r="K14" s="37" t="str">
        <f>"create-or-edit-"&amp;B8&amp;"-modal.component.html"</f>
        <v>create-or-edit-fqf3mm01-modal.component.html</v>
      </c>
      <c r="L14" s="37" t="str">
        <f>"create-or-edit-"&amp;B8&amp;"-modal.component.ts"</f>
        <v>create-or-edit-fqf3mm01-modal.component.ts</v>
      </c>
      <c r="M14" s="37" t="str">
        <f>"create-or-edit-"&amp;B8&amp;"-modal.component.less"</f>
        <v>create-or-edit-fqf3mm01-modal.component.less</v>
      </c>
      <c r="N14" s="37" t="str">
        <f>B8&amp;".module.ts"</f>
        <v>fqf3mm01.module.ts</v>
      </c>
      <c r="O14" s="37" t="str">
        <f>B8&amp;"-routing.module.ts"</f>
        <v>fqf3mm01-routing.module.ts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25">
      <c r="A15" t="s">
        <v>365</v>
      </c>
      <c r="B15" s="28" t="str">
        <f t="shared" ref="B15:B32" si="0">SUBSTITUTE(PROPER(A15),"_","")</f>
        <v>RecordId</v>
      </c>
      <c r="C15" s="28" t="str">
        <f t="shared" ref="C15:C32" si="1">SUBSTITUTE(PROPER(A15),"_"," ")</f>
        <v>Record Id</v>
      </c>
      <c r="D15" s="28" t="str">
        <f t="shared" ref="D15:D32" si="2">LOWER(LEFT(B15,1))&amp;RIGHT(B15,LEN(B15) - 1)</f>
        <v>recordId</v>
      </c>
      <c r="E15" s="28" t="str">
        <f>A.Backend!H9</f>
        <v>int?</v>
      </c>
      <c r="F15" s="28" t="str">
        <f>A.Backend!G9</f>
        <v/>
      </c>
      <c r="G15" s="28" t="str">
        <f t="shared" ref="G15:G39" si="3">IF(E15="string"," : string = '' ; ",IF(OR(E15="DateTime",E15="TimeSpan")," : any ;",IF(E15="int"," : number = 0 ;","")))</f>
        <v/>
      </c>
      <c r="H15" s="35" t="str">
        <f t="shared" ref="H15:H39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this.l('Record Id'),headerTooltip: this.l('Record Id'),field: 'recordId',flex: 1},</v>
      </c>
      <c r="I15" s="35" t="str">
        <f t="shared" ref="I15:I39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/>
      </c>
      <c r="J15" s="28"/>
      <c r="K15" s="35" t="str">
        <f t="shared" ref="K15:K39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/>
      </c>
      <c r="L15" s="56" t="str">
        <f t="shared" ref="L15:L32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recordId</v>
      </c>
      <c r="T15" s="28" t="str">
        <f>REPT(CHAR(9),3)&amp;"this."&amp;D15&amp;","</f>
        <v xml:space="preserve">			this.recordId,</v>
      </c>
      <c r="U15" s="28" t="str">
        <f>IF(E15="int",REPT(CHAR(9),2)&amp;"this."&amp;D15&amp;" = 0,",REPT(CHAR(9),2)&amp;"this."&amp;D15&amp;" = '',")</f>
        <v xml:space="preserve">		this.recordId = '',</v>
      </c>
      <c r="V15" s="28" t="str">
        <f t="shared" ref="V15:V39" si="8">IF(AND(E15="string",F15="1"),D15,"")</f>
        <v/>
      </c>
    </row>
    <row r="16" spans="1:22" ht="18" customHeight="1" x14ac:dyDescent="0.25">
      <c r="A16" t="s">
        <v>366</v>
      </c>
      <c r="B16" s="28" t="str">
        <f t="shared" ref="B16" si="9">SUBSTITUTE(PROPER(A16),"_","")</f>
        <v>Vin</v>
      </c>
      <c r="C16" s="28" t="str">
        <f t="shared" ref="C16" si="10">SUBSTITUTE(PROPER(A16),"_"," ")</f>
        <v>Vin</v>
      </c>
      <c r="D16" s="28" t="str">
        <f t="shared" ref="D16" si="11">LOWER(LEFT(B16,1))&amp;RIGHT(B16,LEN(B16) - 1)</f>
        <v>vin</v>
      </c>
      <c r="E16" s="28" t="str">
        <f>A.Backend!H10</f>
        <v>string</v>
      </c>
      <c r="F16" s="28" t="str">
        <f>A.Backend!G10</f>
        <v>17</v>
      </c>
      <c r="G16" s="28" t="str">
        <f t="shared" si="3"/>
        <v xml:space="preserve"> : string = '' ; </v>
      </c>
      <c r="H16" s="35" t="str">
        <f t="shared" si="4"/>
        <v xml:space="preserve">			{headerName: this.l('Vin'),headerTooltip: this.l('Vin'),field: 'vin',flex: 1},</v>
      </c>
      <c r="I16" s="35" t="str">
        <f t="shared" si="5"/>
        <v xml:space="preserve">								&lt;div class='input-search'&gt;
									&lt;input [(ngModel)]='vin' name='vin'
									class='form-control' [placeholder]="l('Vin')"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title'&gt;Vin&lt;/label&gt;
						&lt;input type='text' class='col-md-10 form-control input-text' name='Vin' [(ngModel)]='rowdata.vin'&gt;
					&lt;/div&gt;</v>
      </c>
      <c r="L16" s="56" t="str">
        <f t="shared" ref="L16" si="12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39" si="13">REPT(CHAR(9),1)&amp;D16&amp;G16</f>
        <v xml:space="preserve">	vin : string = '' ; </v>
      </c>
      <c r="T16" s="28" t="str">
        <f t="shared" ref="T16:T39" si="14">REPT(CHAR(9),3)&amp;"this."&amp;D16&amp;","</f>
        <v xml:space="preserve">			this.vin,</v>
      </c>
      <c r="U16" s="28" t="str">
        <f t="shared" ref="U16:U39" si="15">IF(E16="int",REPT(CHAR(9),2)&amp;"this."&amp;D16&amp;" = 0,",REPT(CHAR(9),2)&amp;"this."&amp;D16&amp;" = '',")</f>
        <v xml:space="preserve">		this.vin = '',</v>
      </c>
      <c r="V16" s="28" t="str">
        <f t="shared" si="8"/>
        <v/>
      </c>
    </row>
    <row r="17" spans="1:22" ht="18" customHeight="1" x14ac:dyDescent="0.25">
      <c r="A17" t="s">
        <v>367</v>
      </c>
      <c r="B17" s="28" t="str">
        <f>SUBSTITUTE(PROPER(A17),"_","")</f>
        <v xml:space="preserve">Urn  </v>
      </c>
      <c r="C17" s="28" t="str">
        <f>SUBSTITUTE(PROPER(A17),"_"," ")</f>
        <v xml:space="preserve">Urn  </v>
      </c>
      <c r="D17" s="28" t="str">
        <f>LOWER(LEFT(B17,1))&amp;RIGHT(B17,LEN(B17) - 1)</f>
        <v xml:space="preserve">urn  </v>
      </c>
      <c r="E17" s="28" t="str">
        <f>A.Backend!H11</f>
        <v>string</v>
      </c>
      <c r="F17" s="28" t="str">
        <f>A.Backend!G11</f>
        <v>10</v>
      </c>
      <c r="G17" s="28" t="str">
        <f t="shared" si="3"/>
        <v xml:space="preserve"> : string = '' ; </v>
      </c>
      <c r="H17" s="35" t="str">
        <f t="shared" si="4"/>
        <v xml:space="preserve">			{headerName: this.l('Urn  '),headerTooltip: this.l('Urn  '),field: 'urn  ',flex: 1},</v>
      </c>
      <c r="I17" s="35" t="str">
        <f t="shared" si="5"/>
        <v xml:space="preserve">								&lt;div class='input-search'&gt;
									&lt;input [(ngModel)]='urn  ' name='urn  '
									class='form-control' [placeholder]="l('Urn  ')"
									type='text' (keyup.enter)='searchDatas()'&gt;
								&lt;/div&gt;</v>
      </c>
      <c r="J17" s="28"/>
      <c r="K17" s="35" t="str">
        <f t="shared" si="6"/>
        <v xml:space="preserve">					&lt;div class='col-md-12 form-group row'&gt;
						&lt;label class='col-md-2 form-control title'&gt;Urn  &lt;/label&gt;
						&lt;input type='text' class='col-md-10 form-control input-text' name='Urn  ' [(ngModel)]='rowdata.urn  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3"/>
        <v xml:space="preserve">	urn   : string = '' ; </v>
      </c>
      <c r="T17" s="28" t="str">
        <f t="shared" si="14"/>
        <v xml:space="preserve">			this.urn  ,</v>
      </c>
      <c r="U17" s="28" t="str">
        <f t="shared" si="15"/>
        <v xml:space="preserve">		this.urn   = '',</v>
      </c>
      <c r="V17" s="28" t="str">
        <f t="shared" si="8"/>
        <v/>
      </c>
    </row>
    <row r="18" spans="1:22" ht="15" customHeight="1" x14ac:dyDescent="0.25">
      <c r="A18" t="s">
        <v>368</v>
      </c>
      <c r="B18" s="28" t="str">
        <f t="shared" ref="B18:B21" si="16">SUBSTITUTE(PROPER(A18),"_","")</f>
        <v>SpecSheetNo</v>
      </c>
      <c r="C18" s="28" t="str">
        <f t="shared" ref="C18:C21" si="17">SUBSTITUTE(PROPER(A18),"_"," ")</f>
        <v>Spec Sheet No</v>
      </c>
      <c r="D18" s="28" t="str">
        <f t="shared" ref="D18:D21" si="18">LOWER(LEFT(B18,1))&amp;RIGHT(B18,LEN(B18) - 1)</f>
        <v>specSheetNo</v>
      </c>
      <c r="E18" s="28" t="str">
        <f>A.Backend!H12</f>
        <v>string</v>
      </c>
      <c r="F18" s="28" t="str">
        <f>A.Backend!G12</f>
        <v>2</v>
      </c>
      <c r="G18" s="28" t="str">
        <f t="shared" si="3"/>
        <v xml:space="preserve"> : string = '' ; </v>
      </c>
      <c r="H18" s="35" t="str">
        <f t="shared" si="4"/>
        <v xml:space="preserve">			{headerName: this.l('Spec Sheet No'),headerTooltip: this.l('Spec Sheet No'),field: 'specSheetNo',flex: 1},</v>
      </c>
      <c r="I18" s="35" t="str">
        <f t="shared" si="5"/>
        <v xml:space="preserve">								&lt;div class='input-search'&gt;
									&lt;input [(ngModel)]='specSheetNo' name='specSheetNo'
									class='form-control' [placeholder]="l('Spec Sheet No')"
									type='text' (keyup.enter)='searchDatas()'&gt;
								&lt;/div&gt;</v>
      </c>
      <c r="J18" s="28"/>
      <c r="K18" s="35" t="str">
        <f t="shared" si="6"/>
        <v xml:space="preserve">					&lt;div class='col-md-12 form-group row'&gt;
						&lt;label class='col-md-2 form-control title'&gt;Spec Sheet No&lt;/label&gt;
						&lt;input type='text' class='col-md-10 form-control input-text' name='SpecSheetNo' [(ngModel)]='rowdata.specSheetNo'&gt;
					&lt;/div&gt;</v>
      </c>
      <c r="L18" s="56" t="str">
        <f t="shared" ref="L18:L21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3"/>
        <v xml:space="preserve">	specSheetNo : string = '' ; </v>
      </c>
      <c r="T18" s="28" t="str">
        <f t="shared" si="14"/>
        <v xml:space="preserve">			this.specSheetNo,</v>
      </c>
      <c r="U18" s="28" t="str">
        <f t="shared" si="15"/>
        <v xml:space="preserve">		this.specSheetNo = '',</v>
      </c>
      <c r="V18" s="28" t="str">
        <f t="shared" si="8"/>
        <v/>
      </c>
    </row>
    <row r="19" spans="1:22" ht="18" customHeight="1" x14ac:dyDescent="0.25">
      <c r="A19" t="s">
        <v>369</v>
      </c>
      <c r="B19" s="28" t="str">
        <f t="shared" si="16"/>
        <v xml:space="preserve">IdLine </v>
      </c>
      <c r="C19" s="28" t="str">
        <f t="shared" si="17"/>
        <v xml:space="preserve">Id Line </v>
      </c>
      <c r="D19" s="28" t="str">
        <f t="shared" si="18"/>
        <v xml:space="preserve">idLine </v>
      </c>
      <c r="E19" s="28" t="str">
        <f>A.Backend!H13</f>
        <v>string</v>
      </c>
      <c r="F19" s="28" t="str">
        <f>A.Backend!G13</f>
        <v>2</v>
      </c>
      <c r="G19" s="28" t="str">
        <f t="shared" si="3"/>
        <v xml:space="preserve"> : string = '' ; </v>
      </c>
      <c r="H19" s="35" t="str">
        <f t="shared" si="4"/>
        <v xml:space="preserve">			{headerName: this.l('Id Line '),headerTooltip: this.l('Id Line '),field: 'idLine ',flex: 1},</v>
      </c>
      <c r="I19" s="35" t="str">
        <f t="shared" si="5"/>
        <v xml:space="preserve">								&lt;div class='input-search'&gt;
									&lt;input [(ngModel)]='idLine ' name='idLine '
									class='form-control' [placeholder]="l('Id Line ')"
									type='text' (keyup.enter)='searchDatas()'&gt;
								&lt;/div&gt;</v>
      </c>
      <c r="J19" s="28"/>
      <c r="K19" s="35" t="str">
        <f t="shared" si="6"/>
        <v xml:space="preserve">					&lt;div class='col-md-12 form-group row'&gt;
						&lt;label class='col-md-2 form-control title'&gt;Id Line &lt;/label&gt;
						&lt;input type='text' class='col-md-10 form-control input-text' name='IdLine ' [(ngModel)]='rowdata.idLine '&gt;
					&lt;/div&gt;</v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3"/>
        <v xml:space="preserve">	idLine  : string = '' ; </v>
      </c>
      <c r="T19" s="28" t="str">
        <f t="shared" si="14"/>
        <v xml:space="preserve">			this.idLine ,</v>
      </c>
      <c r="U19" s="28" t="str">
        <f t="shared" si="15"/>
        <v xml:space="preserve">		this.idLine  = '',</v>
      </c>
      <c r="V19" s="28" t="str">
        <f t="shared" si="8"/>
        <v/>
      </c>
    </row>
    <row r="20" spans="1:22" ht="15" customHeight="1" x14ac:dyDescent="0.25">
      <c r="A20" t="s">
        <v>370</v>
      </c>
      <c r="B20" s="28" t="str">
        <f t="shared" si="16"/>
        <v>Katashiki</v>
      </c>
      <c r="C20" s="28" t="str">
        <f t="shared" si="17"/>
        <v>Katashiki</v>
      </c>
      <c r="D20" s="28" t="str">
        <f t="shared" si="18"/>
        <v>katashiki</v>
      </c>
      <c r="E20" s="28" t="str">
        <f>A.Backend!H14</f>
        <v>string</v>
      </c>
      <c r="F20" s="28" t="str">
        <f>A.Backend!G14</f>
        <v>20</v>
      </c>
      <c r="G20" s="28" t="str">
        <f t="shared" si="3"/>
        <v xml:space="preserve"> : string = '' ; </v>
      </c>
      <c r="H20" s="35" t="str">
        <f t="shared" si="4"/>
        <v xml:space="preserve">			{headerName: this.l('Katashiki'),headerTooltip: this.l('Katashiki'),field: 'katashiki',flex: 1},</v>
      </c>
      <c r="I20" s="35" t="str">
        <f t="shared" si="5"/>
        <v xml:space="preserve">								&lt;div class='input-search'&gt;
									&lt;input [(ngModel)]='katashiki' name='katashiki'
									class='form-control' [placeholder]="l('Katashiki')"
									type='text' (keyup.enter)='searchDatas()'&gt;
								&lt;/div&gt;</v>
      </c>
      <c r="J20" s="28"/>
      <c r="K20" s="35" t="str">
        <f t="shared" si="6"/>
        <v xml:space="preserve">					&lt;div class='col-md-12 form-group row'&gt;
						&lt;label class='col-md-2 form-control title'&gt;Katashiki&lt;/label&gt;
						&lt;input type='text' class='col-md-10 form-control input-text' name='Katashiki' [(ngModel)]='rowdata.katashiki'&gt;
					&lt;/div&gt;</v>
      </c>
      <c r="L20" s="56" t="str">
        <f t="shared" si="19"/>
        <v/>
      </c>
      <c r="M20" s="28"/>
      <c r="N20" s="28"/>
      <c r="O20" s="28"/>
      <c r="P20" s="28"/>
      <c r="Q20" s="28"/>
      <c r="R20" s="28"/>
      <c r="S20" s="28" t="str">
        <f t="shared" si="13"/>
        <v xml:space="preserve">	katashiki : string = '' ; </v>
      </c>
      <c r="T20" s="28" t="str">
        <f t="shared" si="14"/>
        <v xml:space="preserve">			this.katashiki,</v>
      </c>
      <c r="U20" s="28" t="str">
        <f t="shared" si="15"/>
        <v xml:space="preserve">		this.katashiki = '',</v>
      </c>
      <c r="V20" s="28" t="str">
        <f t="shared" si="8"/>
        <v/>
      </c>
    </row>
    <row r="21" spans="1:22" ht="18" customHeight="1" x14ac:dyDescent="0.25">
      <c r="A21" t="s">
        <v>371</v>
      </c>
      <c r="B21" s="28" t="str">
        <f t="shared" si="16"/>
        <v>SaleKatashiki</v>
      </c>
      <c r="C21" s="28" t="str">
        <f t="shared" si="17"/>
        <v>Sale Katashiki</v>
      </c>
      <c r="D21" s="28" t="str">
        <f t="shared" si="18"/>
        <v>saleKatashiki</v>
      </c>
      <c r="E21" s="28" t="str">
        <f>A.Backend!H15</f>
        <v>string</v>
      </c>
      <c r="F21" s="28" t="str">
        <f>A.Backend!G15</f>
        <v>20</v>
      </c>
      <c r="G21" s="28" t="str">
        <f t="shared" si="3"/>
        <v xml:space="preserve"> : string = '' ; </v>
      </c>
      <c r="H21" s="35" t="str">
        <f t="shared" si="4"/>
        <v xml:space="preserve">			{headerName: this.l('Sale Katashiki'),headerTooltip: this.l('Sale Katashiki'),field: 'saleKatashiki',flex: 1},</v>
      </c>
      <c r="I21" s="35" t="str">
        <f t="shared" si="5"/>
        <v xml:space="preserve">								&lt;div class='input-search'&gt;
									&lt;input [(ngModel)]='saleKatashiki' name='saleKatashiki'
									class='form-control' [placeholder]="l('Sale Katashiki')"
									type='text' (keyup.enter)='searchDatas()'&gt;
								&lt;/div&gt;</v>
      </c>
      <c r="J21" s="28"/>
      <c r="K21" s="35" t="str">
        <f t="shared" si="6"/>
        <v xml:space="preserve">					&lt;div class='col-md-12 form-group row'&gt;
						&lt;label class='col-md-2 form-control title'&gt;Sale Katashiki&lt;/label&gt;
						&lt;input type='text' class='col-md-10 form-control input-text' name='SaleKatashiki' [(ngModel)]='rowdata.saleKatashiki'&gt;
					&lt;/div&gt;</v>
      </c>
      <c r="L21" s="56" t="str">
        <f t="shared" si="19"/>
        <v/>
      </c>
      <c r="M21" s="28"/>
      <c r="N21" s="28"/>
      <c r="O21" s="28"/>
      <c r="P21" s="28"/>
      <c r="Q21" s="28"/>
      <c r="R21" s="28"/>
      <c r="S21" s="28" t="str">
        <f t="shared" si="13"/>
        <v xml:space="preserve">	saleKatashiki : string = '' ; </v>
      </c>
      <c r="T21" s="28" t="str">
        <f t="shared" si="14"/>
        <v xml:space="preserve">			this.saleKatashiki,</v>
      </c>
      <c r="U21" s="28" t="str">
        <f t="shared" si="15"/>
        <v xml:space="preserve">		this.saleKatashiki = '',</v>
      </c>
      <c r="V21" s="28" t="str">
        <f t="shared" si="8"/>
        <v/>
      </c>
    </row>
    <row r="22" spans="1:22" ht="18" customHeight="1" x14ac:dyDescent="0.25">
      <c r="A22" t="s">
        <v>372</v>
      </c>
      <c r="B22" s="28" t="str">
        <f>SUBSTITUTE(PROPER(A22),"_","")</f>
        <v>SaleSuffix</v>
      </c>
      <c r="C22" s="28" t="str">
        <f>SUBSTITUTE(PROPER(A22),"_"," ")</f>
        <v>Sale Suffix</v>
      </c>
      <c r="D22" s="28" t="str">
        <f>LOWER(LEFT(B22,1))&amp;RIGHT(B22,LEN(B22) - 1)</f>
        <v>saleSuffix</v>
      </c>
      <c r="E22" s="28" t="str">
        <f>A.Backend!H16</f>
        <v>string</v>
      </c>
      <c r="F22" s="28" t="str">
        <f>A.Backend!G16</f>
        <v>2</v>
      </c>
      <c r="G22" s="28" t="str">
        <f t="shared" si="3"/>
        <v xml:space="preserve"> : string = '' ; </v>
      </c>
      <c r="H22" s="35" t="str">
        <f t="shared" si="4"/>
        <v xml:space="preserve">			{headerName: this.l('Sale Suffix'),headerTooltip: this.l('Sale Suffix'),field: 'saleSuffix',flex: 1},</v>
      </c>
      <c r="I22" s="35" t="str">
        <f t="shared" si="5"/>
        <v xml:space="preserve">								&lt;div class='input-search'&gt;
									&lt;input [(ngModel)]='saleSuffix' name='saleSuffix'
									class='form-control' [placeholder]="l('Sale Suffix')"
									type='text' (keyup.enter)='searchDatas()'&gt;
								&lt;/div&gt;</v>
      </c>
      <c r="J22" s="28"/>
      <c r="K22" s="35" t="str">
        <f t="shared" si="6"/>
        <v xml:space="preserve">					&lt;div class='col-md-12 form-group row'&gt;
						&lt;label class='col-md-2 form-control title'&gt;Sale Suffix&lt;/label&gt;
						&lt;input type='text' class='col-md-10 form-control input-text' name='SaleSuffix' [(ngModel)]='rowdata.saleSuffix'&gt;
					&lt;/div&gt;</v>
      </c>
      <c r="L22" s="56" t="str">
        <f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 t="shared" si="13"/>
        <v xml:space="preserve">	saleSuffix : string = '' ; </v>
      </c>
      <c r="T22" s="28" t="str">
        <f t="shared" si="14"/>
        <v xml:space="preserve">			this.saleSuffix,</v>
      </c>
      <c r="U22" s="28" t="str">
        <f t="shared" si="15"/>
        <v xml:space="preserve">		this.saleSuffix = '',</v>
      </c>
      <c r="V22" s="28" t="str">
        <f t="shared" si="8"/>
        <v/>
      </c>
    </row>
    <row r="23" spans="1:22" ht="15" customHeight="1" x14ac:dyDescent="0.25">
      <c r="A23" t="s">
        <v>373</v>
      </c>
      <c r="B23" s="28" t="str">
        <f t="shared" ref="B23:B26" si="20">SUBSTITUTE(PROPER(A23),"_","")</f>
        <v xml:space="preserve">Spec200Digits </v>
      </c>
      <c r="C23" s="28" t="str">
        <f t="shared" ref="C23:C26" si="21">SUBSTITUTE(PROPER(A23),"_"," ")</f>
        <v xml:space="preserve">Spec 200 Digits </v>
      </c>
      <c r="D23" s="28" t="str">
        <f t="shared" ref="D23:D26" si="22">LOWER(LEFT(B23,1))&amp;RIGHT(B23,LEN(B23) - 1)</f>
        <v xml:space="preserve">spec200Digits </v>
      </c>
      <c r="E23" s="28" t="str">
        <f>A.Backend!H17</f>
        <v>string</v>
      </c>
      <c r="F23" s="28" t="str">
        <f>A.Backend!G17</f>
        <v>200</v>
      </c>
      <c r="G23" s="28" t="str">
        <f t="shared" si="3"/>
        <v xml:space="preserve"> : string = '' ; </v>
      </c>
      <c r="H23" s="35" t="str">
        <f t="shared" si="4"/>
        <v xml:space="preserve">			{headerName: this.l('Spec 200 Digits '),headerTooltip: this.l('Spec 200 Digits '),field: 'spec200Digits ',flex: 1},</v>
      </c>
      <c r="I23" s="35" t="str">
        <f t="shared" si="5"/>
        <v xml:space="preserve">								&lt;div class='input-search'&gt;
									&lt;input [(ngModel)]='spec200Digits ' name='spec200Digits '
									class='form-control' [placeholder]="l('Spec 200 Digits ')"
									type='text' (keyup.enter)='searchDatas()'&gt;
								&lt;/div&gt;</v>
      </c>
      <c r="J23" s="28"/>
      <c r="K23" s="35" t="str">
        <f t="shared" si="6"/>
        <v xml:space="preserve">					&lt;div class='col-md-12 form-group row'&gt;
						&lt;label class='col-md-2 form-control title'&gt;Spec 200 Digits &lt;/label&gt;
						&lt;input type='text' class='col-md-10 form-control input-text' name='Spec200Digits ' [(ngModel)]='rowdata.spec200Digits '&gt;
					&lt;/div&gt;</v>
      </c>
      <c r="L23" s="56" t="str">
        <f t="shared" ref="L23:L26" si="23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 t="shared" si="13"/>
        <v xml:space="preserve">	spec200Digits  : string = '' ; </v>
      </c>
      <c r="T23" s="28" t="str">
        <f t="shared" si="14"/>
        <v xml:space="preserve">			this.spec200Digits ,</v>
      </c>
      <c r="U23" s="28" t="str">
        <f t="shared" si="15"/>
        <v xml:space="preserve">		this.spec200Digits  = '',</v>
      </c>
      <c r="V23" s="28" t="str">
        <f t="shared" si="8"/>
        <v/>
      </c>
    </row>
    <row r="24" spans="1:22" ht="18" customHeight="1" x14ac:dyDescent="0.25">
      <c r="A24" t="s">
        <v>374</v>
      </c>
      <c r="B24" s="28" t="str">
        <f t="shared" si="20"/>
        <v>ProductionSuffix</v>
      </c>
      <c r="C24" s="28" t="str">
        <f t="shared" si="21"/>
        <v>Production Suffix</v>
      </c>
      <c r="D24" s="28" t="str">
        <f t="shared" si="22"/>
        <v>productionSuffix</v>
      </c>
      <c r="E24" s="28" t="str">
        <f>A.Backend!H18</f>
        <v>string</v>
      </c>
      <c r="F24" s="28" t="str">
        <f>A.Backend!G18</f>
        <v>2</v>
      </c>
      <c r="G24" s="28" t="str">
        <f t="shared" si="3"/>
        <v xml:space="preserve"> : string = '' ; </v>
      </c>
      <c r="H24" s="35" t="str">
        <f t="shared" si="4"/>
        <v xml:space="preserve">			{headerName: this.l('Production Suffix'),headerTooltip: this.l('Production Suffix'),field: 'productionSuffix',flex: 1},</v>
      </c>
      <c r="I24" s="35" t="str">
        <f t="shared" si="5"/>
        <v xml:space="preserve">								&lt;div class='input-search'&gt;
									&lt;input [(ngModel)]='productionSuffix' name='productionSuffix'
									class='form-control' [placeholder]="l('Production Suffix')"
									type='text' (keyup.enter)='searchDatas()'&gt;
								&lt;/div&gt;</v>
      </c>
      <c r="J24" s="28"/>
      <c r="K24" s="35" t="str">
        <f t="shared" si="6"/>
        <v xml:space="preserve">					&lt;div class='col-md-12 form-group row'&gt;
						&lt;label class='col-md-2 form-control title'&gt;Production Suffix&lt;/label&gt;
						&lt;input type='text' class='col-md-10 form-control input-text' name='ProductionSuffix' [(ngModel)]='rowdata.productionSuffix'&gt;
					&lt;/div&gt;</v>
      </c>
      <c r="L24" s="56" t="str">
        <f t="shared" si="23"/>
        <v/>
      </c>
      <c r="M24" s="28"/>
      <c r="N24" s="28"/>
      <c r="O24" s="28"/>
      <c r="P24" s="28"/>
      <c r="Q24" s="28"/>
      <c r="R24" s="28"/>
      <c r="S24" s="28" t="str">
        <f t="shared" si="13"/>
        <v xml:space="preserve">	productionSuffix : string = '' ; </v>
      </c>
      <c r="T24" s="28" t="str">
        <f t="shared" si="14"/>
        <v xml:space="preserve">			this.productionSuffix,</v>
      </c>
      <c r="U24" s="28" t="str">
        <f t="shared" si="15"/>
        <v xml:space="preserve">		this.productionSuffix = '',</v>
      </c>
      <c r="V24" s="28" t="str">
        <f t="shared" si="8"/>
        <v/>
      </c>
    </row>
    <row r="25" spans="1:22" ht="15" customHeight="1" x14ac:dyDescent="0.25">
      <c r="A25" t="s">
        <v>375</v>
      </c>
      <c r="B25" s="28" t="str">
        <f t="shared" si="20"/>
        <v xml:space="preserve">LotCode   </v>
      </c>
      <c r="C25" s="28" t="str">
        <f t="shared" si="21"/>
        <v xml:space="preserve">Lot Code   </v>
      </c>
      <c r="D25" s="28" t="str">
        <f t="shared" si="22"/>
        <v xml:space="preserve">lotCode   </v>
      </c>
      <c r="E25" s="28" t="str">
        <f>A.Backend!H19</f>
        <v>string</v>
      </c>
      <c r="F25" s="28" t="str">
        <f>A.Backend!G19</f>
        <v>2</v>
      </c>
      <c r="G25" s="28" t="str">
        <f t="shared" si="3"/>
        <v xml:space="preserve"> : string = '' ; </v>
      </c>
      <c r="H25" s="35" t="str">
        <f t="shared" si="4"/>
        <v xml:space="preserve">			{headerName: this.l('Lot Code   '),headerTooltip: this.l('Lot Code   '),field: 'lotCode   ',flex: 1},</v>
      </c>
      <c r="I25" s="35" t="str">
        <f t="shared" si="5"/>
        <v xml:space="preserve">								&lt;div class='input-search'&gt;
									&lt;input [(ngModel)]='lotCode   ' name='lotCode   '
									class='form-control' [placeholder]="l('Lot Code   ')"
									type='text' (keyup.enter)='searchDatas()'&gt;
								&lt;/div&gt;</v>
      </c>
      <c r="J25" s="28"/>
      <c r="K25" s="35" t="str">
        <f t="shared" si="6"/>
        <v xml:space="preserve">					&lt;div class='col-md-12 form-group row'&gt;
						&lt;label class='col-md-2 form-control title'&gt;Lot Code   &lt;/label&gt;
						&lt;input type='text' class='col-md-10 form-control input-text' name='LotCode   ' [(ngModel)]='rowdata.lotCode   '&gt;
					&lt;/div&gt;</v>
      </c>
      <c r="L25" s="56" t="str">
        <f t="shared" si="23"/>
        <v/>
      </c>
      <c r="M25" s="28"/>
      <c r="N25" s="28"/>
      <c r="O25" s="28"/>
      <c r="P25" s="28"/>
      <c r="Q25" s="28"/>
      <c r="R25" s="28"/>
      <c r="S25" s="28" t="str">
        <f t="shared" si="13"/>
        <v xml:space="preserve">	lotCode    : string = '' ; </v>
      </c>
      <c r="T25" s="28" t="str">
        <f t="shared" si="14"/>
        <v xml:space="preserve">			this.lotCode   ,</v>
      </c>
      <c r="U25" s="28" t="str">
        <f t="shared" si="15"/>
        <v xml:space="preserve">		this.lotCode    = '',</v>
      </c>
      <c r="V25" s="28" t="str">
        <f t="shared" si="8"/>
        <v/>
      </c>
    </row>
    <row r="26" spans="1:22" ht="18" customHeight="1" x14ac:dyDescent="0.25">
      <c r="A26" t="s">
        <v>376</v>
      </c>
      <c r="B26" s="28" t="str">
        <f t="shared" si="20"/>
        <v>EnginePrefix</v>
      </c>
      <c r="C26" s="28" t="str">
        <f t="shared" si="21"/>
        <v>Engine Prefix</v>
      </c>
      <c r="D26" s="28" t="str">
        <f t="shared" si="22"/>
        <v>enginePrefix</v>
      </c>
      <c r="E26" s="28" t="str">
        <f>A.Backend!H20</f>
        <v>string</v>
      </c>
      <c r="F26" s="28" t="str">
        <f>A.Backend!G20</f>
        <v>5</v>
      </c>
      <c r="G26" s="28" t="str">
        <f t="shared" si="3"/>
        <v xml:space="preserve"> : string = '' ; </v>
      </c>
      <c r="H26" s="35" t="str">
        <f t="shared" si="4"/>
        <v xml:space="preserve">			{headerName: this.l('Engine Prefix'),headerTooltip: this.l('Engine Prefix'),field: 'enginePrefix',flex: 1},</v>
      </c>
      <c r="I26" s="35" t="str">
        <f t="shared" si="5"/>
        <v xml:space="preserve">								&lt;div class='input-search'&gt;
									&lt;input [(ngModel)]='enginePrefix' name='enginePrefix'
									class='form-control' [placeholder]="l('Engine Prefix')"
									type='text' (keyup.enter)='searchDatas()'&gt;
								&lt;/div&gt;</v>
      </c>
      <c r="J26" s="28"/>
      <c r="K26" s="35" t="str">
        <f t="shared" si="6"/>
        <v xml:space="preserve">					&lt;div class='col-md-12 form-group row'&gt;
						&lt;label class='col-md-2 form-control title'&gt;Engine Prefix&lt;/label&gt;
						&lt;input type='text' class='col-md-10 form-control input-text' name='EnginePrefix' [(ngModel)]='rowdata.enginePrefix'&gt;
					&lt;/div&gt;</v>
      </c>
      <c r="L26" s="56" t="str">
        <f t="shared" si="23"/>
        <v/>
      </c>
      <c r="M26" s="28"/>
      <c r="N26" s="28"/>
      <c r="O26" s="28"/>
      <c r="P26" s="28"/>
      <c r="Q26" s="28"/>
      <c r="R26" s="28"/>
      <c r="S26" s="28" t="str">
        <f t="shared" si="13"/>
        <v xml:space="preserve">	enginePrefix : string = '' ; </v>
      </c>
      <c r="T26" s="28" t="str">
        <f t="shared" si="14"/>
        <v xml:space="preserve">			this.enginePrefix,</v>
      </c>
      <c r="U26" s="28" t="str">
        <f t="shared" si="15"/>
        <v xml:space="preserve">		this.enginePrefix = '',</v>
      </c>
      <c r="V26" s="28" t="str">
        <f t="shared" si="8"/>
        <v/>
      </c>
    </row>
    <row r="27" spans="1:22" ht="18" customHeight="1" x14ac:dyDescent="0.25">
      <c r="A27" t="s">
        <v>377</v>
      </c>
      <c r="B27" s="28" t="str">
        <f>SUBSTITUTE(PROPER(A27),"_","")</f>
        <v>EngineNo</v>
      </c>
      <c r="C27" s="28" t="str">
        <f>SUBSTITUTE(PROPER(A27),"_"," ")</f>
        <v>Engine No</v>
      </c>
      <c r="D27" s="28" t="str">
        <f>LOWER(LEFT(B27,1))&amp;RIGHT(B27,LEN(B27) - 1)</f>
        <v>engineNo</v>
      </c>
      <c r="E27" s="28" t="str">
        <f>A.Backend!H21</f>
        <v>string</v>
      </c>
      <c r="F27" s="28" t="str">
        <f>A.Backend!G21</f>
        <v>30</v>
      </c>
      <c r="G27" s="28" t="str">
        <f t="shared" si="3"/>
        <v xml:space="preserve"> : string = '' ; </v>
      </c>
      <c r="H27" s="35" t="str">
        <f t="shared" si="4"/>
        <v xml:space="preserve">			{headerName: this.l('Engine No'),headerTooltip: this.l('Engine No'),field: 'engineNo',flex: 1},</v>
      </c>
      <c r="I27" s="35" t="str">
        <f t="shared" si="5"/>
        <v xml:space="preserve">								&lt;div class='input-search'&gt;
									&lt;input [(ngModel)]='engineNo' name='engineNo'
									class='form-control' [placeholder]="l('Engine No')"
									type='text' (keyup.enter)='searchDatas()'&gt;
								&lt;/div&gt;</v>
      </c>
      <c r="J27" s="28"/>
      <c r="K27" s="35" t="str">
        <f t="shared" si="6"/>
        <v xml:space="preserve">					&lt;div class='col-md-12 form-group row'&gt;
						&lt;label class='col-md-2 form-control title'&gt;Engine No&lt;/label&gt;
						&lt;input type='text' class='col-md-10 form-control input-text' name='EngineNo' [(ngModel)]='rowdata.engineNo'&gt;
					&lt;/div&gt;</v>
      </c>
      <c r="L27" s="56" t="str">
        <f>IF(E27="DateTime",
REPT(CHAR(9),2)&amp;"const dateValue =  this.rowdata."&amp;D27&amp;" ? new Date(this.rowdata."&amp;D27&amp;"?.toString()) : new Date();
"&amp;REPT(CHAR(9),2)&amp;"this.datepicker?.bsValueChange.emit(dateValue);","")</f>
        <v/>
      </c>
      <c r="M27" s="28"/>
      <c r="N27" s="28"/>
      <c r="O27" s="28"/>
      <c r="P27" s="28"/>
      <c r="Q27" s="28"/>
      <c r="R27" s="28"/>
      <c r="S27" s="28" t="str">
        <f t="shared" si="13"/>
        <v xml:space="preserve">	engineNo : string = '' ; </v>
      </c>
      <c r="T27" s="28" t="str">
        <f t="shared" si="14"/>
        <v xml:space="preserve">			this.engineNo,</v>
      </c>
      <c r="U27" s="28" t="str">
        <f t="shared" si="15"/>
        <v xml:space="preserve">		this.engineNo = '',</v>
      </c>
      <c r="V27" s="28" t="str">
        <f t="shared" si="8"/>
        <v/>
      </c>
    </row>
    <row r="28" spans="1:22" ht="15" customHeight="1" x14ac:dyDescent="0.25">
      <c r="A28" t="s">
        <v>378</v>
      </c>
      <c r="B28" s="28" t="str">
        <f t="shared" ref="B28:B30" si="24">SUBSTITUTE(PROPER(A28),"_","")</f>
        <v>PlantCode</v>
      </c>
      <c r="C28" s="28" t="str">
        <f t="shared" ref="C28:C30" si="25">SUBSTITUTE(PROPER(A28),"_"," ")</f>
        <v>Plant Code</v>
      </c>
      <c r="D28" s="28" t="str">
        <f t="shared" ref="D28:D30" si="26">LOWER(LEFT(B28,1))&amp;RIGHT(B28,LEN(B28) - 1)</f>
        <v>plantCode</v>
      </c>
      <c r="E28" s="28" t="str">
        <f>A.Backend!H22</f>
        <v>string</v>
      </c>
      <c r="F28" s="28" t="str">
        <f>A.Backend!G22</f>
        <v>4</v>
      </c>
      <c r="G28" s="28" t="str">
        <f t="shared" si="3"/>
        <v xml:space="preserve"> : string = '' ; </v>
      </c>
      <c r="H28" s="35" t="str">
        <f t="shared" si="4"/>
        <v xml:space="preserve">			{headerName: this.l('Plant Code'),headerTooltip: this.l('Plant Code'),field: 'plantCode',flex: 1},</v>
      </c>
      <c r="I28" s="35" t="str">
        <f t="shared" si="5"/>
        <v xml:space="preserve">								&lt;div class='input-search'&gt;
									&lt;input [(ngModel)]='plantCode' name='plantCode'
									class='form-control' [placeholder]="l('Plant Code')"
									type='text' (keyup.enter)='searchDatas()'&gt;
								&lt;/div&gt;</v>
      </c>
      <c r="J28" s="28"/>
      <c r="K28" s="35" t="str">
        <f t="shared" si="6"/>
        <v xml:space="preserve">					&lt;div class='col-md-12 form-group row'&gt;
						&lt;label class='col-md-2 form-control title'&gt;Plant Code&lt;/label&gt;
						&lt;input type='text' class='col-md-10 form-control input-text' name='PlantCode' [(ngModel)]='rowdata.plantCode'&gt;
					&lt;/div&gt;</v>
      </c>
      <c r="L28" s="56" t="str">
        <f t="shared" ref="L28:L30" si="27">IF(E28="DateTime",
REPT(CHAR(9),2)&amp;"const dateValue =  this.rowdata."&amp;D28&amp;" ? new Date(this.rowdata."&amp;D28&amp;"?.toString()) : new Date();
"&amp;REPT(CHAR(9),2)&amp;"this.datepicker?.bsValueChange.emit(dateValue);","")</f>
        <v/>
      </c>
      <c r="M28" s="28"/>
      <c r="N28" s="28"/>
      <c r="O28" s="28"/>
      <c r="P28" s="28"/>
      <c r="Q28" s="28"/>
      <c r="R28" s="28"/>
      <c r="S28" s="28" t="str">
        <f t="shared" si="13"/>
        <v xml:space="preserve">	plantCode : string = '' ; </v>
      </c>
      <c r="T28" s="28" t="str">
        <f t="shared" si="14"/>
        <v xml:space="preserve">			this.plantCode,</v>
      </c>
      <c r="U28" s="28" t="str">
        <f t="shared" si="15"/>
        <v xml:space="preserve">		this.plantCode = '',</v>
      </c>
      <c r="V28" s="28" t="str">
        <f t="shared" si="8"/>
        <v/>
      </c>
    </row>
    <row r="29" spans="1:22" ht="18" customHeight="1" x14ac:dyDescent="0.25">
      <c r="A29" t="s">
        <v>379</v>
      </c>
      <c r="B29" s="28" t="str">
        <f t="shared" si="24"/>
        <v>CurrentStatus</v>
      </c>
      <c r="C29" s="28" t="str">
        <f t="shared" si="25"/>
        <v>Current Status</v>
      </c>
      <c r="D29" s="28" t="str">
        <f t="shared" si="26"/>
        <v>currentStatus</v>
      </c>
      <c r="E29" s="28" t="str">
        <f>A.Backend!H23</f>
        <v>string</v>
      </c>
      <c r="F29" s="28" t="str">
        <f>A.Backend!G23</f>
        <v>2</v>
      </c>
      <c r="G29" s="28" t="str">
        <f t="shared" si="3"/>
        <v xml:space="preserve"> : string = '' ; </v>
      </c>
      <c r="H29" s="35" t="str">
        <f t="shared" si="4"/>
        <v xml:space="preserve">			{headerName: this.l('Current Status'),headerTooltip: this.l('Current Status'),field: 'currentStatus',flex: 1},</v>
      </c>
      <c r="I29" s="35" t="str">
        <f t="shared" si="5"/>
        <v xml:space="preserve">								&lt;div class='input-search'&gt;
									&lt;input [(ngModel)]='currentStatus' name='currentStatus'
									class='form-control' [placeholder]="l('Current Status')"
									type='text' (keyup.enter)='searchDatas()'&gt;
								&lt;/div&gt;</v>
      </c>
      <c r="J29" s="28"/>
      <c r="K29" s="35" t="str">
        <f t="shared" si="6"/>
        <v xml:space="preserve">					&lt;div class='col-md-12 form-group row'&gt;
						&lt;label class='col-md-2 form-control title'&gt;Current Status&lt;/label&gt;
						&lt;input type='text' class='col-md-10 form-control input-text' name='CurrentStatus' [(ngModel)]='rowdata.currentStatus'&gt;
					&lt;/div&gt;</v>
      </c>
      <c r="L29" s="56" t="str">
        <f t="shared" si="27"/>
        <v/>
      </c>
      <c r="M29" s="28"/>
      <c r="N29" s="28"/>
      <c r="O29" s="28"/>
      <c r="P29" s="28"/>
      <c r="Q29" s="28"/>
      <c r="R29" s="28"/>
      <c r="S29" s="28" t="str">
        <f t="shared" si="13"/>
        <v xml:space="preserve">	currentStatus : string = '' ; </v>
      </c>
      <c r="T29" s="28" t="str">
        <f t="shared" si="14"/>
        <v xml:space="preserve">			this.currentStatus,</v>
      </c>
      <c r="U29" s="28" t="str">
        <f t="shared" si="15"/>
        <v xml:space="preserve">		this.currentStatus = '',</v>
      </c>
      <c r="V29" s="28" t="str">
        <f t="shared" si="8"/>
        <v/>
      </c>
    </row>
    <row r="30" spans="1:22" ht="15" customHeight="1" x14ac:dyDescent="0.25">
      <c r="A30" t="s">
        <v>380</v>
      </c>
      <c r="B30" s="28" t="str">
        <f t="shared" si="24"/>
        <v>LineOffDatetime</v>
      </c>
      <c r="C30" s="28" t="str">
        <f t="shared" si="25"/>
        <v>Line Off Datetime</v>
      </c>
      <c r="D30" s="28" t="str">
        <f t="shared" si="26"/>
        <v>lineOffDatetime</v>
      </c>
      <c r="E30" s="28" t="str">
        <f>A.Backend!H24</f>
        <v>string</v>
      </c>
      <c r="F30" s="28" t="str">
        <f>A.Backend!G24</f>
        <v>14</v>
      </c>
      <c r="G30" s="28" t="str">
        <f t="shared" si="3"/>
        <v xml:space="preserve"> : string = '' ; </v>
      </c>
      <c r="H30" s="35" t="str">
        <f t="shared" si="4"/>
        <v xml:space="preserve">			{headerName: this.l('Line Off Datetime'),headerTooltip: this.l('Line Off Datetime'),field: 'lineOffDatetime',flex: 1},</v>
      </c>
      <c r="I30" s="35" t="str">
        <f t="shared" si="5"/>
        <v xml:space="preserve">								&lt;div class='input-search'&gt;
									&lt;input [(ngModel)]='lineOffDatetime' name='lineOffDatetime'
									class='form-control' [placeholder]="l('Line Off Datetime')"
									type='text' (keyup.enter)='searchDatas()'&gt;
								&lt;/div&gt;</v>
      </c>
      <c r="J30" s="28"/>
      <c r="K30" s="35" t="str">
        <f t="shared" si="6"/>
        <v xml:space="preserve">					&lt;div class='col-md-12 form-group row'&gt;
						&lt;label class='col-md-2 form-control title'&gt;Line Off Datetime&lt;/label&gt;
						&lt;input type='text' class='col-md-10 form-control input-text' name='LineOffDatetime' [(ngModel)]='rowdata.lineOffDatetime'&gt;
					&lt;/div&gt;</v>
      </c>
      <c r="L30" s="56" t="str">
        <f t="shared" si="27"/>
        <v/>
      </c>
      <c r="M30" s="28"/>
      <c r="N30" s="28"/>
      <c r="O30" s="28"/>
      <c r="P30" s="28"/>
      <c r="Q30" s="28"/>
      <c r="R30" s="28"/>
      <c r="S30" s="28" t="str">
        <f t="shared" si="13"/>
        <v xml:space="preserve">	lineOffDatetime : string = '' ; </v>
      </c>
      <c r="T30" s="28" t="str">
        <f t="shared" si="14"/>
        <v xml:space="preserve">			this.lineOffDatetime,</v>
      </c>
      <c r="U30" s="28" t="str">
        <f t="shared" si="15"/>
        <v xml:space="preserve">		this.lineOffDatetime = '',</v>
      </c>
      <c r="V30" s="28" t="str">
        <f t="shared" si="8"/>
        <v/>
      </c>
    </row>
    <row r="31" spans="1:22" ht="15" customHeight="1" x14ac:dyDescent="0.25">
      <c r="A31" t="s">
        <v>381</v>
      </c>
      <c r="B31" s="28" t="str">
        <f t="shared" ref="B31" si="28">SUBSTITUTE(PROPER(A31),"_","")</f>
        <v>InteriorColor</v>
      </c>
      <c r="C31" s="28" t="str">
        <f t="shared" ref="C31" si="29">SUBSTITUTE(PROPER(A31),"_"," ")</f>
        <v>Interior Color</v>
      </c>
      <c r="D31" s="28" t="str">
        <f t="shared" ref="D31" si="30">LOWER(LEFT(B31,1))&amp;RIGHT(B31,LEN(B31) - 1)</f>
        <v>interiorColor</v>
      </c>
      <c r="E31" s="28" t="str">
        <f>A.Backend!H25</f>
        <v>string</v>
      </c>
      <c r="F31" s="28" t="str">
        <f>A.Backend!G25</f>
        <v>4</v>
      </c>
      <c r="G31" s="28" t="str">
        <f t="shared" si="3"/>
        <v xml:space="preserve"> : string = '' ; </v>
      </c>
      <c r="H31" s="35" t="str">
        <f t="shared" si="4"/>
        <v xml:space="preserve">			{headerName: this.l('Interior Color'),headerTooltip: this.l('Interior Color'),field: 'interiorColor',flex: 1},</v>
      </c>
      <c r="I31" s="35" t="str">
        <f t="shared" si="5"/>
        <v xml:space="preserve">								&lt;div class='input-search'&gt;
									&lt;input [(ngModel)]='interiorColor' name='interiorColor'
									class='form-control' [placeholder]="l('Interior Color')"
									type='text' (keyup.enter)='searchDatas()'&gt;
								&lt;/div&gt;</v>
      </c>
      <c r="J31" s="28"/>
      <c r="K31" s="35" t="str">
        <f t="shared" si="6"/>
        <v xml:space="preserve">					&lt;div class='col-md-12 form-group row'&gt;
						&lt;label class='col-md-2 form-control title'&gt;Interior Color&lt;/label&gt;
						&lt;input type='text' class='col-md-10 form-control input-text' name='InteriorColor' [(ngModel)]='rowdata.interiorColor'&gt;
					&lt;/div&gt;</v>
      </c>
      <c r="L31" s="56" t="str">
        <f t="shared" ref="L31" si="31">IF(E31="DateTime",
REPT(CHAR(9),2)&amp;"const dateValue =  this.rowdata."&amp;D31&amp;" ? new Date(this.rowdata."&amp;D31&amp;"?.toString()) : new Date();
"&amp;REPT(CHAR(9),2)&amp;"this.datepicker?.bsValueChange.emit(dateValue);","")</f>
        <v/>
      </c>
      <c r="M31" s="28"/>
      <c r="N31" s="28"/>
      <c r="O31" s="28"/>
      <c r="P31" s="28"/>
      <c r="Q31" s="28"/>
      <c r="R31" s="28"/>
      <c r="S31" s="28" t="str">
        <f t="shared" si="13"/>
        <v xml:space="preserve">	interiorColor : string = '' ; </v>
      </c>
      <c r="T31" s="28" t="str">
        <f t="shared" si="14"/>
        <v xml:space="preserve">			this.interiorColor,</v>
      </c>
      <c r="U31" s="28" t="str">
        <f t="shared" si="15"/>
        <v xml:space="preserve">		this.interiorColor = '',</v>
      </c>
      <c r="V31" s="28" t="str">
        <f t="shared" si="8"/>
        <v/>
      </c>
    </row>
    <row r="32" spans="1:22" ht="18" customHeight="1" x14ac:dyDescent="0.25">
      <c r="A32" t="s">
        <v>382</v>
      </c>
      <c r="B32" s="28" t="str">
        <f t="shared" si="0"/>
        <v>ExteriorColor</v>
      </c>
      <c r="C32" s="28" t="str">
        <f t="shared" si="1"/>
        <v>Exterior Color</v>
      </c>
      <c r="D32" s="28" t="str">
        <f t="shared" si="2"/>
        <v>exteriorColor</v>
      </c>
      <c r="E32" s="28" t="str">
        <f>A.Backend!H26</f>
        <v>string</v>
      </c>
      <c r="F32" s="28" t="str">
        <f>A.Backend!G26</f>
        <v>4</v>
      </c>
      <c r="G32" s="28" t="str">
        <f t="shared" si="3"/>
        <v xml:space="preserve"> : string = '' ; </v>
      </c>
      <c r="H32" s="35" t="str">
        <f t="shared" si="4"/>
        <v xml:space="preserve">			{headerName: this.l('Exterior Color'),headerTooltip: this.l('Exterior Color'),field: 'exteriorColor',flex: 1},</v>
      </c>
      <c r="I32" s="35" t="str">
        <f t="shared" si="5"/>
        <v xml:space="preserve">								&lt;div class='input-search'&gt;
									&lt;input [(ngModel)]='exteriorColor' name='exteriorColor'
									class='form-control' [placeholder]="l('Exterior Color')"
									type='text' (keyup.enter)='searchDatas()'&gt;
								&lt;/div&gt;</v>
      </c>
      <c r="J32" s="28"/>
      <c r="K32" s="35" t="str">
        <f t="shared" si="6"/>
        <v xml:space="preserve">					&lt;div class='col-md-12 form-group row'&gt;
						&lt;label class='col-md-2 form-control title'&gt;Exterior Color&lt;/label&gt;
						&lt;input type='text' class='col-md-10 form-control input-text' name='ExteriorColor' [(ngModel)]='rowdata.exteriorColor'&gt;
					&lt;/div&gt;</v>
      </c>
      <c r="L32" s="56" t="str">
        <f t="shared" si="7"/>
        <v/>
      </c>
      <c r="M32" s="28"/>
      <c r="N32" s="28"/>
      <c r="O32" s="28"/>
      <c r="P32" s="28"/>
      <c r="Q32" s="28"/>
      <c r="R32" s="28"/>
      <c r="S32" s="28" t="str">
        <f t="shared" si="13"/>
        <v xml:space="preserve">	exteriorColor : string = '' ; </v>
      </c>
      <c r="T32" s="28" t="str">
        <f t="shared" si="14"/>
        <v xml:space="preserve">			this.exteriorColor,</v>
      </c>
      <c r="U32" s="28" t="str">
        <f t="shared" si="15"/>
        <v xml:space="preserve">		this.exteriorColor = '',</v>
      </c>
      <c r="V32" s="28" t="str">
        <f t="shared" si="8"/>
        <v/>
      </c>
    </row>
    <row r="33" spans="1:22" ht="15" customHeight="1" x14ac:dyDescent="0.25">
      <c r="A33" t="s">
        <v>383</v>
      </c>
      <c r="B33" s="28" t="str">
        <f t="shared" ref="B33:B34" si="32">SUBSTITUTE(PROPER(A33),"_","")</f>
        <v>DestinationCode</v>
      </c>
      <c r="C33" s="28" t="str">
        <f t="shared" ref="C33:C34" si="33">SUBSTITUTE(PROPER(A33),"_"," ")</f>
        <v>Destination Code</v>
      </c>
      <c r="D33" s="28" t="str">
        <f t="shared" ref="D33:D34" si="34">LOWER(LEFT(B33,1))&amp;RIGHT(B33,LEN(B33) - 1)</f>
        <v>destinationCode</v>
      </c>
      <c r="E33" s="28" t="str">
        <f>A.Backend!H27</f>
        <v>string</v>
      </c>
      <c r="F33" s="28" t="str">
        <f>A.Backend!G27</f>
        <v>5</v>
      </c>
      <c r="G33" s="28" t="str">
        <f t="shared" si="3"/>
        <v xml:space="preserve"> : string = '' ; </v>
      </c>
      <c r="H33" s="35" t="str">
        <f t="shared" si="4"/>
        <v xml:space="preserve">			{headerName: this.l('Destination Code'),headerTooltip: this.l('Destination Code'),field: 'destinationCode',flex: 1},</v>
      </c>
      <c r="I33" s="35" t="str">
        <f t="shared" si="5"/>
        <v xml:space="preserve">								&lt;div class='input-search'&gt;
									&lt;input [(ngModel)]='destinationCode' name='destinationCode'
									class='form-control' [placeholder]="l('Destination Code')"
									type='text' (keyup.enter)='searchDatas()'&gt;
								&lt;/div&gt;</v>
      </c>
      <c r="J33" s="28"/>
      <c r="K33" s="35" t="str">
        <f t="shared" si="6"/>
        <v xml:space="preserve">					&lt;div class='col-md-12 form-group row'&gt;
						&lt;label class='col-md-2 form-control title'&gt;Destination Code&lt;/label&gt;
						&lt;input type='text' class='col-md-10 form-control input-text' name='DestinationCode' [(ngModel)]='rowdata.destinationCode'&gt;
					&lt;/div&gt;</v>
      </c>
      <c r="L33" s="56" t="str">
        <f t="shared" ref="L33:L34" si="35">IF(E33="DateTime",
REPT(CHAR(9),2)&amp;"const dateValue =  this.rowdata."&amp;D33&amp;" ? new Date(this.rowdata."&amp;D33&amp;"?.toString()) : new Date();
"&amp;REPT(CHAR(9),2)&amp;"this.datepicker?.bsValueChange.emit(dateValue);","")</f>
        <v/>
      </c>
      <c r="M33" s="28"/>
      <c r="N33" s="28"/>
      <c r="O33" s="28"/>
      <c r="P33" s="28"/>
      <c r="Q33" s="28"/>
      <c r="R33" s="28"/>
      <c r="S33" s="28" t="str">
        <f t="shared" si="13"/>
        <v xml:space="preserve">	destinationCode : string = '' ; </v>
      </c>
      <c r="T33" s="28" t="str">
        <f t="shared" si="14"/>
        <v xml:space="preserve">			this.destinationCode,</v>
      </c>
      <c r="U33" s="28" t="str">
        <f t="shared" si="15"/>
        <v xml:space="preserve">		this.destinationCode = '',</v>
      </c>
      <c r="V33" s="28" t="str">
        <f t="shared" si="8"/>
        <v/>
      </c>
    </row>
    <row r="34" spans="1:22" ht="18" customHeight="1" x14ac:dyDescent="0.25">
      <c r="A34" t="s">
        <v>384</v>
      </c>
      <c r="B34" s="28" t="str">
        <f t="shared" si="32"/>
        <v xml:space="preserve">EdOdno </v>
      </c>
      <c r="C34" s="28" t="str">
        <f t="shared" si="33"/>
        <v xml:space="preserve">Ed Odno </v>
      </c>
      <c r="D34" s="28" t="str">
        <f t="shared" si="34"/>
        <v xml:space="preserve">edOdno </v>
      </c>
      <c r="E34" s="28" t="str">
        <f>A.Backend!H28</f>
        <v>string</v>
      </c>
      <c r="F34" s="28" t="str">
        <f>A.Backend!G28</f>
        <v>5</v>
      </c>
      <c r="G34" s="28" t="str">
        <f t="shared" si="3"/>
        <v xml:space="preserve"> : string = '' ; </v>
      </c>
      <c r="H34" s="35" t="str">
        <f t="shared" si="4"/>
        <v xml:space="preserve">			{headerName: this.l('Ed Odno '),headerTooltip: this.l('Ed Odno '),field: 'edOdno ',flex: 1},</v>
      </c>
      <c r="I34" s="35" t="str">
        <f t="shared" si="5"/>
        <v xml:space="preserve">								&lt;div class='input-search'&gt;
									&lt;input [(ngModel)]='edOdno ' name='edOdno '
									class='form-control' [placeholder]="l('Ed Odno ')"
									type='text' (keyup.enter)='searchDatas()'&gt;
								&lt;/div&gt;</v>
      </c>
      <c r="J34" s="28"/>
      <c r="K34" s="35" t="str">
        <f t="shared" si="6"/>
        <v xml:space="preserve">					&lt;div class='col-md-12 form-group row'&gt;
						&lt;label class='col-md-2 form-control title'&gt;Ed Odno &lt;/label&gt;
						&lt;input type='text' class='col-md-10 form-control input-text' name='EdOdno ' [(ngModel)]='rowdata.edOdno '&gt;
					&lt;/div&gt;</v>
      </c>
      <c r="L34" s="56" t="str">
        <f t="shared" si="35"/>
        <v/>
      </c>
      <c r="M34" s="28"/>
      <c r="N34" s="28"/>
      <c r="O34" s="28"/>
      <c r="P34" s="28"/>
      <c r="Q34" s="28"/>
      <c r="R34" s="28"/>
      <c r="S34" s="28" t="str">
        <f t="shared" si="13"/>
        <v xml:space="preserve">	edOdno  : string = '' ; </v>
      </c>
      <c r="T34" s="28" t="str">
        <f t="shared" si="14"/>
        <v xml:space="preserve">			this.edOdno ,</v>
      </c>
      <c r="U34" s="28" t="str">
        <f t="shared" si="15"/>
        <v xml:space="preserve">		this.edOdno  = '',</v>
      </c>
      <c r="V34" s="28" t="str">
        <f t="shared" si="8"/>
        <v/>
      </c>
    </row>
    <row r="35" spans="1:22" ht="18" customHeight="1" x14ac:dyDescent="0.25">
      <c r="A35" t="s">
        <v>385</v>
      </c>
      <c r="B35" s="28" t="str">
        <f>SUBSTITUTE(PROPER(A35),"_","")</f>
        <v xml:space="preserve">CancelFlag  </v>
      </c>
      <c r="C35" s="28" t="str">
        <f>SUBSTITUTE(PROPER(A35),"_"," ")</f>
        <v xml:space="preserve">Cancel Flag  </v>
      </c>
      <c r="D35" s="28" t="str">
        <f>LOWER(LEFT(B35,1))&amp;RIGHT(B35,LEN(B35) - 1)</f>
        <v xml:space="preserve">cancelFlag  </v>
      </c>
      <c r="E35" s="28" t="str">
        <f>A.Backend!H29</f>
        <v>string</v>
      </c>
      <c r="F35" s="28" t="str">
        <f>A.Backend!G29</f>
        <v>1</v>
      </c>
      <c r="G35" s="28" t="str">
        <f t="shared" si="3"/>
        <v xml:space="preserve"> : string = '' ; </v>
      </c>
      <c r="H35" s="35" t="str">
        <f t="shared" si="4"/>
        <v xml:space="preserve">			{headerName: this.l('Cancel Flag  '),headerTooltip: this.l('Cancel Flag  '),field:  'cancelFlag  ', cellClass: ['text-center'], width: 120, cellRenderer: 'agCellButtonComponent',
buttonDefTwo: { text: params =&gt; (params.data?.'cancelFlag  ' == 'Y') ? 'Active' : 'Inactive',iconName: 'fa fa-circle',className: params =&gt; (params.data?.'cancelFlag  ' == 'Y') ? 'btnActive' : 'btnInActive',},}</v>
      </c>
      <c r="I35" s="35" t="str">
        <f t="shared" si="5"/>
        <v xml:space="preserve">								&lt;div class='input-search'&gt;
									&lt;input [(ngModel)]='cancelFlag  ' name='cancelFlag  '
									class='form-control' [placeholder]="l('Cancel Flag  ')"
									type='text' (keyup.enter)='searchDatas()'&gt;
								&lt;/div&gt;</v>
      </c>
      <c r="J35" s="28"/>
      <c r="K35" s="35" t="str">
        <f t="shared" si="6"/>
        <v xml:space="preserve">					&lt;div class='col-md-12 form-group row'&gt;
						&lt;label class='col-md-2 form-control title'&gt;Cancel Flag  &lt;/label&gt;
						&lt;new-checkbox [(ngModel)]='_cancelFlag  ' name='cancelFlag  ' className='col-md-10' &gt; &lt;/new-checkbox&gt;
					&lt;/div&gt;</v>
      </c>
      <c r="L35" s="56" t="str">
        <f>IF(E35="DateTime",
REPT(CHAR(9),2)&amp;"const dateValue =  this.rowdata."&amp;D35&amp;" ? new Date(this.rowdata."&amp;D35&amp;"?.toString()) : new Date();
"&amp;REPT(CHAR(9),2)&amp;"this.datepicker?.bsValueChange.emit(dateValue);","")</f>
        <v/>
      </c>
      <c r="M35" s="28"/>
      <c r="N35" s="28"/>
      <c r="O35" s="28"/>
      <c r="P35" s="28"/>
      <c r="Q35" s="28"/>
      <c r="R35" s="28"/>
      <c r="S35" s="28" t="str">
        <f t="shared" si="13"/>
        <v xml:space="preserve">	cancelFlag   : string = '' ; </v>
      </c>
      <c r="T35" s="28" t="str">
        <f t="shared" si="14"/>
        <v xml:space="preserve">			this.cancelFlag  ,</v>
      </c>
      <c r="U35" s="28" t="str">
        <f t="shared" si="15"/>
        <v xml:space="preserve">		this.cancelFlag   = '',</v>
      </c>
      <c r="V35" s="28" t="str">
        <f t="shared" si="8"/>
        <v xml:space="preserve">cancelFlag  </v>
      </c>
    </row>
    <row r="36" spans="1:22" ht="15" customHeight="1" x14ac:dyDescent="0.25">
      <c r="A36" t="s">
        <v>386</v>
      </c>
      <c r="B36" s="28" t="str">
        <f t="shared" ref="B36:B39" si="36">SUBSTITUTE(PROPER(A36),"_","")</f>
        <v>SmsCarFamilyCode</v>
      </c>
      <c r="C36" s="28" t="str">
        <f t="shared" ref="C36:C39" si="37">SUBSTITUTE(PROPER(A36),"_"," ")</f>
        <v>Sms Car Family Code</v>
      </c>
      <c r="D36" s="28" t="str">
        <f t="shared" ref="D36:D39" si="38">LOWER(LEFT(B36,1))&amp;RIGHT(B36,LEN(B36) - 1)</f>
        <v>smsCarFamilyCode</v>
      </c>
      <c r="E36" s="28" t="str">
        <f>A.Backend!H30</f>
        <v>string</v>
      </c>
      <c r="F36" s="28" t="str">
        <f>A.Backend!G30</f>
        <v>4</v>
      </c>
      <c r="G36" s="28" t="str">
        <f t="shared" si="3"/>
        <v xml:space="preserve"> : string = '' ; </v>
      </c>
      <c r="H36" s="35" t="str">
        <f t="shared" si="4"/>
        <v xml:space="preserve">			{headerName: this.l('Sms Car Family Code'),headerTooltip: this.l('Sms Car Family Code'),field: 'smsCarFamilyCode',flex: 1},</v>
      </c>
      <c r="I36" s="35" t="str">
        <f t="shared" si="5"/>
        <v xml:space="preserve">								&lt;div class='input-search'&gt;
									&lt;input [(ngModel)]='smsCarFamilyCode' name='smsCarFamilyCode'
									class='form-control' [placeholder]="l('Sms Car Family Code')"
									type='text' (keyup.enter)='searchDatas()'&gt;
								&lt;/div&gt;</v>
      </c>
      <c r="J36" s="28"/>
      <c r="K36" s="35" t="str">
        <f t="shared" si="6"/>
        <v xml:space="preserve">					&lt;div class='col-md-12 form-group row'&gt;
						&lt;label class='col-md-2 form-control title'&gt;Sms Car Family Code&lt;/label&gt;
						&lt;input type='text' class='col-md-10 form-control input-text' name='SmsCarFamilyCode' [(ngModel)]='rowdata.smsCarFamilyCode'&gt;
					&lt;/div&gt;</v>
      </c>
      <c r="L36" s="56" t="str">
        <f t="shared" ref="L36:L39" si="39">IF(E36="DateTime",
REPT(CHAR(9),2)&amp;"const dateValue =  this.rowdata."&amp;D36&amp;" ? new Date(this.rowdata."&amp;D36&amp;"?.toString()) : new Date();
"&amp;REPT(CHAR(9),2)&amp;"this.datepicker?.bsValueChange.emit(dateValue);","")</f>
        <v/>
      </c>
      <c r="M36" s="28"/>
      <c r="N36" s="28"/>
      <c r="O36" s="28"/>
      <c r="P36" s="28"/>
      <c r="Q36" s="28"/>
      <c r="R36" s="28"/>
      <c r="S36" s="28" t="str">
        <f t="shared" si="13"/>
        <v xml:space="preserve">	smsCarFamilyCode : string = '' ; </v>
      </c>
      <c r="T36" s="28" t="str">
        <f t="shared" si="14"/>
        <v xml:space="preserve">			this.smsCarFamilyCode,</v>
      </c>
      <c r="U36" s="28" t="str">
        <f t="shared" si="15"/>
        <v xml:space="preserve">		this.smsCarFamilyCode = '',</v>
      </c>
      <c r="V36" s="28" t="str">
        <f t="shared" si="8"/>
        <v/>
      </c>
    </row>
    <row r="37" spans="1:22" ht="18" customHeight="1" x14ac:dyDescent="0.25">
      <c r="A37" t="s">
        <v>387</v>
      </c>
      <c r="B37" s="28" t="str">
        <f t="shared" si="36"/>
        <v>OrderType</v>
      </c>
      <c r="C37" s="28" t="str">
        <f t="shared" si="37"/>
        <v>Order Type</v>
      </c>
      <c r="D37" s="28" t="str">
        <f t="shared" si="38"/>
        <v>orderType</v>
      </c>
      <c r="E37" s="28" t="str">
        <f>A.Backend!H31</f>
        <v>string</v>
      </c>
      <c r="F37" s="28" t="str">
        <f>A.Backend!G31</f>
        <v>1</v>
      </c>
      <c r="G37" s="28" t="str">
        <f t="shared" si="3"/>
        <v xml:space="preserve"> : string = '' ; </v>
      </c>
      <c r="H37" s="35" t="str">
        <f t="shared" si="4"/>
        <v xml:space="preserve">			{headerName: this.l('Order Type'),headerTooltip: this.l('Order Type'),field:  'orderType', cellClass: ['text-center'], width: 120, cellRenderer: 'agCellButtonComponent',
buttonDefTwo: { text: params =&gt; (params.data?.'orderType' == 'Y') ? 'Active' : 'Inactive',iconName: 'fa fa-circle',className: params =&gt; (params.data?.'orderType' == 'Y') ? 'btnActive' : 'btnInActive',},}</v>
      </c>
      <c r="I37" s="35" t="str">
        <f t="shared" si="5"/>
        <v xml:space="preserve">								&lt;div class='input-search'&gt;
									&lt;input [(ngModel)]='orderType' name='orderType'
									class='form-control' [placeholder]="l('Order Type')"
									type='text' (keyup.enter)='searchDatas()'&gt;
								&lt;/div&gt;</v>
      </c>
      <c r="J37" s="28"/>
      <c r="K37" s="35" t="str">
        <f t="shared" si="6"/>
        <v xml:space="preserve">					&lt;div class='col-md-12 form-group row'&gt;
						&lt;label class='col-md-2 form-control title'&gt;Order Type&lt;/label&gt;
						&lt;new-checkbox [(ngModel)]='_orderType' name='orderType' className='col-md-10' &gt; &lt;/new-checkbox&gt;
					&lt;/div&gt;</v>
      </c>
      <c r="L37" s="56" t="str">
        <f t="shared" si="39"/>
        <v/>
      </c>
      <c r="M37" s="28"/>
      <c r="N37" s="28"/>
      <c r="O37" s="28"/>
      <c r="P37" s="28"/>
      <c r="Q37" s="28"/>
      <c r="R37" s="28"/>
      <c r="S37" s="28" t="str">
        <f t="shared" si="13"/>
        <v xml:space="preserve">	orderType : string = '' ; </v>
      </c>
      <c r="T37" s="28" t="str">
        <f t="shared" si="14"/>
        <v xml:space="preserve">			this.orderType,</v>
      </c>
      <c r="U37" s="28" t="str">
        <f t="shared" si="15"/>
        <v xml:space="preserve">		this.orderType = '',</v>
      </c>
      <c r="V37" s="28" t="str">
        <f t="shared" si="8"/>
        <v>orderType</v>
      </c>
    </row>
    <row r="38" spans="1:22" ht="15" customHeight="1" x14ac:dyDescent="0.25">
      <c r="A38" t="s">
        <v>388</v>
      </c>
      <c r="B38" s="28" t="str">
        <f t="shared" si="36"/>
        <v>KatashikiCode</v>
      </c>
      <c r="C38" s="28" t="str">
        <f t="shared" si="37"/>
        <v>Katashiki Code</v>
      </c>
      <c r="D38" s="28" t="str">
        <f t="shared" si="38"/>
        <v>katashikiCode</v>
      </c>
      <c r="E38" s="28" t="str">
        <f>A.Backend!H32</f>
        <v>string</v>
      </c>
      <c r="F38" s="28" t="str">
        <f>A.Backend!G32</f>
        <v>5</v>
      </c>
      <c r="G38" s="28" t="str">
        <f t="shared" si="3"/>
        <v xml:space="preserve"> : string = '' ; </v>
      </c>
      <c r="H38" s="35" t="str">
        <f t="shared" si="4"/>
        <v xml:space="preserve">			{headerName: this.l('Katashiki Code'),headerTooltip: this.l('Katashiki Code'),field: 'katashikiCode',flex: 1},</v>
      </c>
      <c r="I38" s="35" t="str">
        <f t="shared" si="5"/>
        <v xml:space="preserve">								&lt;div class='input-search'&gt;
									&lt;input [(ngModel)]='katashikiCode' name='katashikiCode'
									class='form-control' [placeholder]="l('Katashiki Code')"
									type='text' (keyup.enter)='searchDatas()'&gt;
								&lt;/div&gt;</v>
      </c>
      <c r="J38" s="28"/>
      <c r="K38" s="35" t="str">
        <f t="shared" si="6"/>
        <v xml:space="preserve">					&lt;div class='col-md-12 form-group row'&gt;
						&lt;label class='col-md-2 form-control title'&gt;Katashiki Code&lt;/label&gt;
						&lt;input type='text' class='col-md-10 form-control input-text' name='KatashikiCode' [(ngModel)]='rowdata.katashikiCode'&gt;
					&lt;/div&gt;</v>
      </c>
      <c r="L38" s="56" t="str">
        <f t="shared" si="39"/>
        <v/>
      </c>
      <c r="M38" s="28"/>
      <c r="N38" s="28"/>
      <c r="O38" s="28"/>
      <c r="P38" s="28"/>
      <c r="Q38" s="28"/>
      <c r="R38" s="28"/>
      <c r="S38" s="28" t="str">
        <f t="shared" si="13"/>
        <v xml:space="preserve">	katashikiCode : string = '' ; </v>
      </c>
      <c r="T38" s="28" t="str">
        <f t="shared" si="14"/>
        <v xml:space="preserve">			this.katashikiCode,</v>
      </c>
      <c r="U38" s="28" t="str">
        <f t="shared" si="15"/>
        <v xml:space="preserve">		this.katashikiCode = '',</v>
      </c>
      <c r="V38" s="28" t="str">
        <f t="shared" si="8"/>
        <v/>
      </c>
    </row>
    <row r="39" spans="1:22" ht="18" customHeight="1" x14ac:dyDescent="0.25">
      <c r="A39" t="s">
        <v>389</v>
      </c>
      <c r="B39" s="28" t="str">
        <f t="shared" si="36"/>
        <v>EndOfRecord</v>
      </c>
      <c r="C39" s="28" t="str">
        <f t="shared" si="37"/>
        <v>End Of Record</v>
      </c>
      <c r="D39" s="28" t="str">
        <f t="shared" si="38"/>
        <v>endOfRecord</v>
      </c>
      <c r="E39" s="28" t="str">
        <f>A.Backend!H33</f>
        <v>string</v>
      </c>
      <c r="F39" s="28" t="str">
        <f>A.Backend!G33</f>
        <v>1</v>
      </c>
      <c r="G39" s="28" t="str">
        <f t="shared" si="3"/>
        <v xml:space="preserve"> : string = '' ; </v>
      </c>
      <c r="H39" s="35" t="str">
        <f t="shared" si="4"/>
        <v xml:space="preserve">			{headerName: this.l('End Of Record'),headerTooltip: this.l('End Of Record'),field:  'endOfRecord', cellClass: ['text-center'], width: 120, cellRenderer: 'agCellButtonComponent',
buttonDefTwo: { text: params =&gt; (params.data?.'endOfRecord' == 'Y') ? 'Active' : 'Inactive',iconName: 'fa fa-circle',className: params =&gt; (params.data?.'endOfRecord' == 'Y') ? 'btnActive' : 'btnInActive',},}</v>
      </c>
      <c r="I39" s="35" t="str">
        <f t="shared" si="5"/>
        <v xml:space="preserve">								&lt;div class='input-search'&gt;
									&lt;input [(ngModel)]='endOfRecord' name='endOfRecord'
									class='form-control' [placeholder]="l('End Of Record')"
									type='text' (keyup.enter)='searchDatas()'&gt;
								&lt;/div&gt;</v>
      </c>
      <c r="J39" s="28"/>
      <c r="K39" s="35" t="str">
        <f t="shared" si="6"/>
        <v xml:space="preserve">					&lt;div class='col-md-12 form-group row'&gt;
						&lt;label class='col-md-2 form-control title'&gt;End Of Record&lt;/label&gt;
						&lt;new-checkbox [(ngModel)]='_endOfRecord' name='endOfRecord' className='col-md-10' &gt; &lt;/new-checkbox&gt;
					&lt;/div&gt;</v>
      </c>
      <c r="L39" s="56" t="str">
        <f t="shared" si="39"/>
        <v/>
      </c>
      <c r="M39" s="28"/>
      <c r="N39" s="28"/>
      <c r="O39" s="28"/>
      <c r="P39" s="28"/>
      <c r="Q39" s="28"/>
      <c r="R39" s="28"/>
      <c r="S39" s="28" t="str">
        <f t="shared" si="13"/>
        <v xml:space="preserve">	endOfRecord : string = '' ; </v>
      </c>
      <c r="T39" s="28" t="str">
        <f t="shared" si="14"/>
        <v xml:space="preserve">			this.endOfRecord,</v>
      </c>
      <c r="U39" s="28" t="str">
        <f t="shared" si="15"/>
        <v xml:space="preserve">		this.endOfRecord = '',</v>
      </c>
      <c r="V39" s="28" t="str">
        <f t="shared" si="8"/>
        <v>endOfRecord</v>
      </c>
    </row>
    <row r="41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B24" sqref="B24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34</v>
      </c>
    </row>
    <row r="6" spans="1:2" x14ac:dyDescent="0.25">
      <c r="A6" t="s">
        <v>23</v>
      </c>
      <c r="B6" t="s">
        <v>353</v>
      </c>
    </row>
    <row r="7" spans="1:2" x14ac:dyDescent="0.25">
      <c r="A7" t="s">
        <v>24</v>
      </c>
      <c r="B7" t="s">
        <v>348</v>
      </c>
    </row>
    <row r="8" spans="1:2" x14ac:dyDescent="0.25">
      <c r="A8" t="s">
        <v>4</v>
      </c>
      <c r="B8" t="s">
        <v>348</v>
      </c>
    </row>
    <row r="9" spans="1:2" x14ac:dyDescent="0.25">
      <c r="A9" t="s">
        <v>0</v>
      </c>
      <c r="B9" t="s">
        <v>349</v>
      </c>
    </row>
    <row r="10" spans="1:2" x14ac:dyDescent="0.25">
      <c r="A10" t="s">
        <v>25</v>
      </c>
      <c r="B10" t="s">
        <v>352</v>
      </c>
    </row>
    <row r="11" spans="1:2" x14ac:dyDescent="0.25">
      <c r="A11" t="s">
        <v>26</v>
      </c>
      <c r="B11" t="s">
        <v>352</v>
      </c>
    </row>
    <row r="12" spans="1:2" x14ac:dyDescent="0.25">
      <c r="A12" t="s">
        <v>27</v>
      </c>
      <c r="B12" t="s">
        <v>352</v>
      </c>
    </row>
    <row r="13" spans="1:2" x14ac:dyDescent="0.25">
      <c r="A13" t="s">
        <v>28</v>
      </c>
      <c r="B13" t="s">
        <v>352</v>
      </c>
    </row>
    <row r="14" spans="1:2" x14ac:dyDescent="0.25">
      <c r="A14" t="s">
        <v>29</v>
      </c>
      <c r="B14" t="s">
        <v>352</v>
      </c>
    </row>
    <row r="15" spans="1:2" x14ac:dyDescent="0.25">
      <c r="A15" t="s">
        <v>30</v>
      </c>
      <c r="B15" t="s">
        <v>352</v>
      </c>
    </row>
    <row r="16" spans="1:2" x14ac:dyDescent="0.25">
      <c r="A16" t="s">
        <v>31</v>
      </c>
      <c r="B16" t="s">
        <v>350</v>
      </c>
    </row>
    <row r="17" spans="1:2" x14ac:dyDescent="0.25">
      <c r="A17" t="s">
        <v>3</v>
      </c>
      <c r="B17" t="s">
        <v>350</v>
      </c>
    </row>
    <row r="18" spans="1:2" x14ac:dyDescent="0.25">
      <c r="A18" t="s">
        <v>33</v>
      </c>
      <c r="B18" t="s">
        <v>350</v>
      </c>
    </row>
    <row r="19" spans="1:2" x14ac:dyDescent="0.25">
      <c r="A19" t="s">
        <v>2</v>
      </c>
      <c r="B19" t="s">
        <v>350</v>
      </c>
    </row>
    <row r="20" spans="1:2" x14ac:dyDescent="0.25">
      <c r="A20" t="s">
        <v>263</v>
      </c>
      <c r="B20" t="s">
        <v>351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190</v>
      </c>
      <c r="B2" s="23" t="s">
        <v>187</v>
      </c>
    </row>
    <row r="3" spans="1:2" x14ac:dyDescent="0.25">
      <c r="B3" s="20" t="s">
        <v>112</v>
      </c>
    </row>
    <row r="4" spans="1:2" x14ac:dyDescent="0.25">
      <c r="B4" s="20" t="s">
        <v>113</v>
      </c>
    </row>
    <row r="5" spans="1:2" x14ac:dyDescent="0.25">
      <c r="B5" s="20" t="s">
        <v>114</v>
      </c>
    </row>
    <row r="6" spans="1:2" x14ac:dyDescent="0.25">
      <c r="B6" s="20" t="s">
        <v>115</v>
      </c>
    </row>
    <row r="7" spans="1:2" x14ac:dyDescent="0.25">
      <c r="B7" s="20" t="s">
        <v>116</v>
      </c>
    </row>
    <row r="8" spans="1:2" x14ac:dyDescent="0.25">
      <c r="B8" s="20" t="s">
        <v>117</v>
      </c>
    </row>
    <row r="9" spans="1:2" x14ac:dyDescent="0.25">
      <c r="B9" s="20" t="s">
        <v>118</v>
      </c>
    </row>
    <row r="10" spans="1:2" x14ac:dyDescent="0.25">
      <c r="B10" s="20" t="s">
        <v>119</v>
      </c>
    </row>
    <row r="11" spans="1:2" x14ac:dyDescent="0.25">
      <c r="B11" s="20" t="s">
        <v>120</v>
      </c>
    </row>
    <row r="12" spans="1:2" x14ac:dyDescent="0.25">
      <c r="B12" s="20" t="s">
        <v>121</v>
      </c>
    </row>
    <row r="13" spans="1:2" x14ac:dyDescent="0.25">
      <c r="B13" s="20" t="s">
        <v>122</v>
      </c>
    </row>
    <row r="14" spans="1:2" x14ac:dyDescent="0.25">
      <c r="B14" s="20" t="s">
        <v>123</v>
      </c>
    </row>
    <row r="15" spans="1:2" x14ac:dyDescent="0.25">
      <c r="B15" s="20" t="s">
        <v>124</v>
      </c>
    </row>
    <row r="16" spans="1:2" x14ac:dyDescent="0.25">
      <c r="B16" s="20" t="s">
        <v>125</v>
      </c>
    </row>
    <row r="17" spans="1:3" x14ac:dyDescent="0.25">
      <c r="B17" s="20" t="s">
        <v>126</v>
      </c>
    </row>
    <row r="18" spans="1:3" x14ac:dyDescent="0.25">
      <c r="B18" s="20" t="s">
        <v>127</v>
      </c>
      <c r="C18" t="s">
        <v>189</v>
      </c>
    </row>
    <row r="19" spans="1:3" x14ac:dyDescent="0.25">
      <c r="B19" s="20" t="s">
        <v>128</v>
      </c>
    </row>
    <row r="20" spans="1:3" x14ac:dyDescent="0.25">
      <c r="B20" s="20" t="s">
        <v>129</v>
      </c>
    </row>
    <row r="21" spans="1:3" x14ac:dyDescent="0.25">
      <c r="B21" s="20" t="s">
        <v>130</v>
      </c>
    </row>
    <row r="22" spans="1:3" x14ac:dyDescent="0.25">
      <c r="B22" s="20" t="s">
        <v>131</v>
      </c>
      <c r="C22" t="s">
        <v>194</v>
      </c>
    </row>
    <row r="23" spans="1:3" x14ac:dyDescent="0.25">
      <c r="B23" s="20" t="s">
        <v>132</v>
      </c>
    </row>
    <row r="24" spans="1:3" x14ac:dyDescent="0.25">
      <c r="B24" s="20" t="s">
        <v>133</v>
      </c>
    </row>
    <row r="25" spans="1:3" x14ac:dyDescent="0.25">
      <c r="B25" s="20" t="s">
        <v>134</v>
      </c>
    </row>
    <row r="26" spans="1:3" x14ac:dyDescent="0.25">
      <c r="A26" s="22" t="s">
        <v>191</v>
      </c>
      <c r="B26" s="23" t="s">
        <v>188</v>
      </c>
    </row>
    <row r="27" spans="1:3" x14ac:dyDescent="0.25">
      <c r="B27" s="20" t="s">
        <v>135</v>
      </c>
    </row>
    <row r="28" spans="1:3" x14ac:dyDescent="0.25">
      <c r="B28" s="21" t="s">
        <v>136</v>
      </c>
    </row>
    <row r="29" spans="1:3" x14ac:dyDescent="0.25">
      <c r="B29" s="20" t="s">
        <v>137</v>
      </c>
    </row>
    <row r="30" spans="1:3" x14ac:dyDescent="0.25">
      <c r="B30" s="20" t="s">
        <v>138</v>
      </c>
    </row>
    <row r="31" spans="1:3" x14ac:dyDescent="0.25">
      <c r="B31" s="20" t="s">
        <v>139</v>
      </c>
    </row>
    <row r="32" spans="1:3" x14ac:dyDescent="0.25">
      <c r="B32" s="20" t="s">
        <v>140</v>
      </c>
    </row>
    <row r="33" spans="2:2" x14ac:dyDescent="0.25">
      <c r="B33" s="20" t="s">
        <v>141</v>
      </c>
    </row>
    <row r="34" spans="2:2" x14ac:dyDescent="0.25">
      <c r="B34" s="20" t="s">
        <v>142</v>
      </c>
    </row>
    <row r="35" spans="2:2" x14ac:dyDescent="0.25">
      <c r="B35" s="20" t="s">
        <v>143</v>
      </c>
    </row>
    <row r="36" spans="2:2" x14ac:dyDescent="0.25">
      <c r="B36" s="20" t="s">
        <v>144</v>
      </c>
    </row>
    <row r="37" spans="2:2" x14ac:dyDescent="0.25">
      <c r="B37" s="20" t="s">
        <v>145</v>
      </c>
    </row>
    <row r="38" spans="2:2" x14ac:dyDescent="0.25">
      <c r="B38" s="20" t="s">
        <v>146</v>
      </c>
    </row>
    <row r="39" spans="2:2" x14ac:dyDescent="0.25">
      <c r="B39" s="20" t="s">
        <v>147</v>
      </c>
    </row>
    <row r="40" spans="2:2" x14ac:dyDescent="0.25">
      <c r="B40" s="20" t="s">
        <v>148</v>
      </c>
    </row>
    <row r="41" spans="2:2" x14ac:dyDescent="0.25">
      <c r="B41" s="20" t="s">
        <v>149</v>
      </c>
    </row>
    <row r="42" spans="2:2" x14ac:dyDescent="0.25">
      <c r="B42" s="20" t="s">
        <v>150</v>
      </c>
    </row>
    <row r="43" spans="2:2" x14ac:dyDescent="0.25">
      <c r="B43" s="21" t="s">
        <v>151</v>
      </c>
    </row>
    <row r="44" spans="2:2" x14ac:dyDescent="0.25">
      <c r="B44" s="20" t="s">
        <v>137</v>
      </c>
    </row>
    <row r="45" spans="2:2" x14ac:dyDescent="0.25">
      <c r="B45" s="20" t="s">
        <v>152</v>
      </c>
    </row>
    <row r="46" spans="2:2" x14ac:dyDescent="0.25">
      <c r="B46" s="20" t="s">
        <v>153</v>
      </c>
    </row>
    <row r="47" spans="2:2" x14ac:dyDescent="0.25">
      <c r="B47" s="20" t="s">
        <v>154</v>
      </c>
    </row>
    <row r="48" spans="2:2" x14ac:dyDescent="0.25">
      <c r="B48" s="20" t="s">
        <v>155</v>
      </c>
    </row>
    <row r="49" spans="2:2" x14ac:dyDescent="0.25">
      <c r="B49" s="20" t="s">
        <v>138</v>
      </c>
    </row>
    <row r="50" spans="2:2" x14ac:dyDescent="0.25">
      <c r="B50" s="20" t="s">
        <v>139</v>
      </c>
    </row>
    <row r="51" spans="2:2" x14ac:dyDescent="0.25">
      <c r="B51" s="20" t="s">
        <v>140</v>
      </c>
    </row>
    <row r="52" spans="2:2" x14ac:dyDescent="0.25">
      <c r="B52" s="20" t="s">
        <v>141</v>
      </c>
    </row>
    <row r="53" spans="2:2" x14ac:dyDescent="0.25">
      <c r="B53" s="20" t="s">
        <v>142</v>
      </c>
    </row>
    <row r="54" spans="2:2" x14ac:dyDescent="0.25">
      <c r="B54" s="20" t="s">
        <v>143</v>
      </c>
    </row>
    <row r="55" spans="2:2" x14ac:dyDescent="0.25">
      <c r="B55" s="20" t="s">
        <v>144</v>
      </c>
    </row>
    <row r="56" spans="2:2" x14ac:dyDescent="0.25">
      <c r="B56" s="20" t="s">
        <v>156</v>
      </c>
    </row>
    <row r="57" spans="2:2" x14ac:dyDescent="0.25">
      <c r="B57" s="20" t="s">
        <v>157</v>
      </c>
    </row>
    <row r="58" spans="2:2" x14ac:dyDescent="0.25">
      <c r="B58" s="20" t="s">
        <v>145</v>
      </c>
    </row>
    <row r="59" spans="2:2" x14ac:dyDescent="0.25">
      <c r="B59" s="20" t="s">
        <v>146</v>
      </c>
    </row>
    <row r="60" spans="2:2" x14ac:dyDescent="0.25">
      <c r="B60" s="20" t="s">
        <v>158</v>
      </c>
    </row>
    <row r="61" spans="2:2" x14ac:dyDescent="0.25">
      <c r="B61" s="20" t="s">
        <v>159</v>
      </c>
    </row>
    <row r="62" spans="2:2" x14ac:dyDescent="0.25">
      <c r="B62" s="20" t="s">
        <v>160</v>
      </c>
    </row>
    <row r="63" spans="2:2" x14ac:dyDescent="0.25">
      <c r="B63" s="20" t="s">
        <v>155</v>
      </c>
    </row>
    <row r="64" spans="2:2" x14ac:dyDescent="0.25">
      <c r="B64" s="20" t="s">
        <v>147</v>
      </c>
    </row>
    <row r="65" spans="2:2" x14ac:dyDescent="0.25">
      <c r="B65" s="20" t="s">
        <v>148</v>
      </c>
    </row>
    <row r="66" spans="2:2" x14ac:dyDescent="0.25">
      <c r="B66" s="20" t="s">
        <v>161</v>
      </c>
    </row>
    <row r="67" spans="2:2" x14ac:dyDescent="0.25">
      <c r="B67" s="20" t="s">
        <v>155</v>
      </c>
    </row>
    <row r="68" spans="2:2" x14ac:dyDescent="0.25">
      <c r="B68" s="20" t="s">
        <v>149</v>
      </c>
    </row>
    <row r="69" spans="2:2" x14ac:dyDescent="0.25">
      <c r="B69" s="20" t="s">
        <v>162</v>
      </c>
    </row>
    <row r="70" spans="2:2" x14ac:dyDescent="0.25">
      <c r="B70" s="21" t="s">
        <v>163</v>
      </c>
    </row>
    <row r="71" spans="2:2" x14ac:dyDescent="0.25">
      <c r="B71" s="20" t="s">
        <v>137</v>
      </c>
    </row>
    <row r="72" spans="2:2" x14ac:dyDescent="0.25">
      <c r="B72" s="20" t="s">
        <v>138</v>
      </c>
    </row>
    <row r="73" spans="2:2" x14ac:dyDescent="0.25">
      <c r="B73" s="20" t="s">
        <v>139</v>
      </c>
    </row>
    <row r="74" spans="2:2" x14ac:dyDescent="0.25">
      <c r="B74" s="20" t="s">
        <v>140</v>
      </c>
    </row>
    <row r="75" spans="2:2" x14ac:dyDescent="0.25">
      <c r="B75" s="20" t="s">
        <v>144</v>
      </c>
    </row>
    <row r="76" spans="2:2" x14ac:dyDescent="0.25">
      <c r="B76" s="20" t="s">
        <v>146</v>
      </c>
    </row>
    <row r="77" spans="2:2" x14ac:dyDescent="0.25">
      <c r="B77" s="20" t="s">
        <v>147</v>
      </c>
    </row>
    <row r="78" spans="2:2" x14ac:dyDescent="0.25">
      <c r="B78" s="20" t="s">
        <v>148</v>
      </c>
    </row>
    <row r="79" spans="2:2" x14ac:dyDescent="0.25">
      <c r="B79" s="20" t="s">
        <v>149</v>
      </c>
    </row>
    <row r="80" spans="2:2" x14ac:dyDescent="0.25">
      <c r="B80" s="20" t="s">
        <v>162</v>
      </c>
    </row>
    <row r="81" spans="1:2" x14ac:dyDescent="0.25">
      <c r="B81" s="21" t="s">
        <v>164</v>
      </c>
    </row>
    <row r="82" spans="1:2" x14ac:dyDescent="0.25">
      <c r="B82" s="21" t="s">
        <v>165</v>
      </c>
    </row>
    <row r="83" spans="1:2" x14ac:dyDescent="0.25">
      <c r="B83" s="21" t="s">
        <v>166</v>
      </c>
    </row>
    <row r="84" spans="1:2" x14ac:dyDescent="0.25">
      <c r="B84" s="21" t="s">
        <v>167</v>
      </c>
    </row>
    <row r="85" spans="1:2" x14ac:dyDescent="0.25">
      <c r="B85" s="21" t="s">
        <v>168</v>
      </c>
    </row>
    <row r="86" spans="1:2" x14ac:dyDescent="0.25">
      <c r="B86" s="21" t="s">
        <v>169</v>
      </c>
    </row>
    <row r="87" spans="1:2" x14ac:dyDescent="0.25">
      <c r="B87" s="21" t="s">
        <v>170</v>
      </c>
    </row>
    <row r="88" spans="1:2" x14ac:dyDescent="0.25">
      <c r="A88" s="22" t="s">
        <v>192</v>
      </c>
      <c r="B88" s="24" t="s">
        <v>171</v>
      </c>
    </row>
    <row r="89" spans="1:2" x14ac:dyDescent="0.25">
      <c r="B89" s="20" t="s">
        <v>172</v>
      </c>
    </row>
    <row r="90" spans="1:2" x14ac:dyDescent="0.25">
      <c r="B90" s="20" t="s">
        <v>173</v>
      </c>
    </row>
    <row r="91" spans="1:2" x14ac:dyDescent="0.25">
      <c r="B91" s="20" t="s">
        <v>174</v>
      </c>
    </row>
    <row r="92" spans="1:2" x14ac:dyDescent="0.25">
      <c r="B92" s="20" t="s">
        <v>175</v>
      </c>
    </row>
    <row r="93" spans="1:2" x14ac:dyDescent="0.25">
      <c r="B93" s="20" t="s">
        <v>176</v>
      </c>
    </row>
    <row r="94" spans="1:2" x14ac:dyDescent="0.25">
      <c r="B94" s="20" t="s">
        <v>177</v>
      </c>
    </row>
    <row r="95" spans="1:2" x14ac:dyDescent="0.25">
      <c r="B95" s="20" t="s">
        <v>178</v>
      </c>
    </row>
    <row r="96" spans="1:2" x14ac:dyDescent="0.25">
      <c r="B96" s="20" t="s">
        <v>179</v>
      </c>
    </row>
    <row r="97" spans="2:2" x14ac:dyDescent="0.25">
      <c r="B97" s="20" t="s">
        <v>180</v>
      </c>
    </row>
    <row r="98" spans="2:2" x14ac:dyDescent="0.25">
      <c r="B98" s="20" t="s">
        <v>181</v>
      </c>
    </row>
    <row r="99" spans="2:2" x14ac:dyDescent="0.25">
      <c r="B99" s="20" t="s">
        <v>182</v>
      </c>
    </row>
    <row r="100" spans="2:2" x14ac:dyDescent="0.25">
      <c r="B100" s="20" t="s">
        <v>183</v>
      </c>
    </row>
    <row r="101" spans="2:2" x14ac:dyDescent="0.25">
      <c r="B101" s="20" t="s">
        <v>184</v>
      </c>
    </row>
    <row r="102" spans="2:2" x14ac:dyDescent="0.25">
      <c r="B102" s="20" t="s">
        <v>185</v>
      </c>
    </row>
    <row r="103" spans="2:2" x14ac:dyDescent="0.25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2023-07-20T10:43:11Z</dcterms:modified>
</cp:coreProperties>
</file>
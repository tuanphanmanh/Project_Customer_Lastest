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MS\docs\design\inventory\ihp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6" i="5"/>
  <c r="B2" i="5"/>
  <c r="B8" i="5" l="1"/>
  <c r="B3" i="5"/>
  <c r="C17" i="5" l="1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G11" i="1"/>
  <c r="F17" i="5" s="1"/>
  <c r="E11" i="1"/>
  <c r="H11" i="1" s="1"/>
  <c r="E17" i="5" s="1"/>
  <c r="D11" i="1"/>
  <c r="T11" i="1" s="1"/>
  <c r="U17" i="5" l="1"/>
  <c r="K17" i="5"/>
  <c r="H17" i="5"/>
  <c r="G17" i="5"/>
  <c r="S17" i="5" s="1"/>
  <c r="I17" i="5"/>
  <c r="V17" i="5"/>
  <c r="L17" i="5"/>
  <c r="M11" i="1"/>
  <c r="L11" i="1"/>
  <c r="P11" i="1"/>
  <c r="I11" i="1"/>
  <c r="N11" i="1"/>
  <c r="V11" i="1"/>
  <c r="J11" i="1"/>
  <c r="O11" i="1"/>
  <c r="W11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H16" i="5" l="1"/>
  <c r="I16" i="5"/>
  <c r="G16" i="5"/>
  <c r="S16" i="5" s="1"/>
  <c r="K16" i="5"/>
  <c r="U16" i="5"/>
  <c r="V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1"/>
  <c r="T13" i="5"/>
  <c r="T7" i="1" l="1"/>
  <c r="W13" i="1"/>
  <c r="G6" i="1" l="1"/>
  <c r="H13" i="5"/>
  <c r="K13" i="5"/>
  <c r="V13" i="5"/>
  <c r="L13" i="5"/>
  <c r="U13" i="5"/>
  <c r="I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I13" i="1"/>
  <c r="O13" i="1"/>
  <c r="J13" i="1"/>
  <c r="N13" i="1"/>
  <c r="P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<sst xmlns="http://schemas.openxmlformats.org/spreadsheetml/2006/main" count="443" uniqueCount="361">
  <si>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</si>
  <si>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</si>
  <si>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</si>
  <si>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</si>
  <si>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</si>
  <si>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</si>
  <si>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</si>
  <si>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</si>
  <si>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</si>
  <si>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</si>
  <si>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</si>
  <si>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</si>
  <si>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</si>
  <si>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</si>
  <si>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</si>
  <si>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</si>
  <si>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</si>
  <si>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</si>
  <si>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</si>
  <si>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</si>
  <si>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</si>
  <si>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</si>
  <si>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</si>
  <si>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</si>
  <si>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</si>
  <si>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</si>
  <si>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</si>
  <si>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</si>
  <si>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</si>
  <si>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</si>
  <si>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</si>
  <si>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</si>
  <si>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</si>
  <si>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</si>
  <si>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</si>
  <si>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</si>
  <si>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</si>
  <si>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</si>
  <si>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</si>
  <si>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</si>
  <si>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</si>
  <si>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</si>
  <si>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</si>
  <si>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</si>
  <si>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</si>
  <si>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</si>
  <si>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</si>
  <si>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</si>
  <si>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</si>
  <si>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</si>
  <si>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</si>
  <si>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</si>
  <si>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</si>
  <si>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</si>
  <si>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</si>
  <si>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</si>
  <si>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</si>
  <si>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</si>
  <si>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</si>
  <si>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</si>
  <si>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</si>
  <si>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</si>
  <si>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</si>
  <si>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</si>
  <si>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</si>
  <si>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</si>
  <si>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</si>
  <si>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</si>
  <si>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</si>
  <si>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</si>
  <si>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</si>
  <si>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</si>
  <si>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</si>
  <si>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</si>
  <si>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</si>
  <si>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</si>
  <si>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</si>
  <si>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</si>
  <si>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</si>
  <si>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</si>
  <si>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</si>
  <si>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</si>
  <si>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</si>
  <si>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</si>
  <si>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</si>
  <si>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</si>
  <si>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</si>
  <si>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</si>
  <si>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</si>
  <si>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</si>
  <si>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</si>
  <si>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</si>
  <si>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</si>
  <si>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</si>
  <si>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</si>
  <si>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</si>
  <si>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</si>
  <si>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</si>
  <si>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</si>
  <si>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</si>
  <si>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</si>
  <si>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</si>
  <si>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</si>
  <si>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</si>
  <si>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</si>
  <si>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</si>
  <si>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</si>
  <si>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</si>
  <si>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</si>
  <si>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</si>
  <si>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</si>
  <si>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</si>
  <si>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</si>
  <si>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</si>
  <si>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</si>
  <si>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</si>
  <si>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</si>
  <si>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</si>
  <si>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</si>
  <si>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</si>
  <si>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</si>
  <si>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</si>
  <si>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</si>
  <si>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</si>
  <si>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</si>
  <si>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</si>
  <si>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</si>
  <si>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</si>
  <si>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</si>
  <si>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</si>
  <si>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</si>
  <si>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</si>
  <si>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</si>
  <si>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</si>
  <si>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</si>
  <si>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</si>
  <si>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</si>
  <si>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</si>
  <si>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</si>
  <si>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</si>
  <si>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</si>
  <si>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</si>
  <si>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</si>
  <si>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</si>
  <si>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</si>
  <si>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</si>
  <si>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</si>
  <si>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</si>
  <si>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</si>
  <si>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</si>
  <si>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</si>
  <si>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</si>
  <si>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</si>
  <si>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</si>
  <si>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</si>
  <si>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</si>
  <si>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</si>
  <si>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</si>
  <si>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</si>
  <si>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</si>
  <si>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</si>
  <si>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</si>
  <si>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</si>
  <si>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</si>
  <si>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</si>
  <si>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</si>
  <si>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</si>
  <si>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</si>
  <si>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</si>
  <si>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</si>
  <si>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</si>
  <si>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</si>
  <si>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</si>
  <si>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</si>
  <si>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</si>
  <si>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</si>
  <si>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</si>
  <si>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</si>
  <si>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</si>
  <si>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</si>
  <si>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</si>
  <si>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</si>
  <si>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</si>
  <si>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</si>
  <si>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</si>
  <si>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</si>
  <si>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</si>
  <si>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</si>
  <si>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</si>
  <si>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</si>
  <si>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</si>
  <si>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</si>
  <si>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</si>
  <si>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</si>
  <si>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</si>
  <si>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</si>
  <si>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</si>
  <si>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</si>
  <si>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</si>
  <si>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</si>
  <si>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</si>
  <si>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</si>
  <si>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</si>
  <si>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</si>
  <si>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</si>
  <si>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</si>
  <si>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</si>
  <si>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</si>
  <si>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</si>
  <si>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</si>
  <si>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</si>
  <si>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</si>
  <si>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</si>
  <si>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</si>
  <si>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</si>
  <si>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</si>
  <si>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</si>
  <si>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</si>
  <si>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</si>
  <si>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</si>
  <si>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</si>
  <si>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</si>
  <si>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</si>
  <si>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</si>
  <si>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</si>
  <si>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</si>
  <si>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</si>
  <si>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</si>
  <si>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</si>
  <si>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</si>
  <si>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</si>
  <si>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</si>
  <si>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</si>
  <si>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</si>
  <si>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</si>
  <si>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</si>
  <si>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</si>
  <si>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</si>
  <si>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</si>
  <si>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</si>
  <si>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</si>
  <si>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</si>
  <si>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</si>
  <si>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</si>
  <si>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</si>
  <si>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</si>
  <si>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</si>
  <si>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</si>
  <si>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</si>
  <si>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</si>
  <si>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</si>
  <si>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</si>
  <si>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</si>
  <si>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</si>
  <si>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</si>
  <si>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</si>
  <si>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</si>
  <si>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</si>
  <si>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</si>
  <si>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</si>
  <si>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</si>
  <si>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</si>
  <si>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</si>
  <si>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</si>
  <si>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</si>
  <si>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</si>
  <si>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</si>
  <si>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</si>
  <si>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</si>
  <si>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</si>
  <si>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</si>
  <si>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</si>
  <si>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</si>
  <si>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</si>
  <si>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</si>
  <si>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</si>
  <si>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</si>
  <si>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</si>
  <si>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</si>
  <si>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</si>
  <si>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</si>
  <si>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</si>
  <si>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</si>
  <si>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</si>
  <si>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</si>
  <si>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</si>
  <si>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</si>
  <si>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</si>
  <si>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</si>
  <si>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</si>
  <si>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</si>
  <si>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</si>
  <si>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</si>
  <si>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</si>
  <si>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</si>
  <si>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</si>
  <si>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</si>
  <si>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</si>
  <si>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</si>
  <si>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</si>
  <si>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</si>
  <si>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</si>
  <si>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</si>
  <si>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</si>
  <si>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</si>
  <si>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</si>
  <si>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</si>
  <si>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</si>
  <si>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</si>
  <si>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</si>
  <si>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</si>
  <si>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</si>
  <si>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</si>
  <si>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</si>
  <si>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</si>
  <si>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</si>
  <si>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</si>
  <si>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</si>
  <si>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</si>
  <si>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</si>
  <si>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</si>
  <si>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</si>
  <si>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</si>
  <si>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</si>
  <si>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</si>
  <si>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</si>
  <si>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</si>
  <si>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</si>
  <si>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</si>
  <si>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</si>
  <si>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</si>
  <si>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</si>
  <si>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</si>
  <si>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</si>
  <si>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</si>
  <si>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</si>
  <si>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</si>
  <si>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</si>
  <si>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</si>
  <si>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</si>
  <si>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</si>
  <si>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</si>
  <si>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</si>
  <si>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</si>
  <si>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</si>
  <si>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</si>
  <si>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</si>
  <si>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</si>
  <si>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</si>
  <si>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</si>
  <si>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</si>
  <si>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</si>
  <si>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</si>
  <si>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</si>
  <si>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Inventory.IHP</t>
  </si>
  <si>
    <t>InvIhpPartGrade</t>
  </si>
  <si>
    <t>Grade</t>
  </si>
  <si>
    <t>VARCHAR(3)</t>
  </si>
  <si>
    <t>IHP_PART_ID</t>
  </si>
  <si>
    <t>USAGE_QTY</t>
  </si>
  <si>
    <t>Ihp Part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</si>
</sst>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55" zoomScaleNormal="100" workbookViewId="0">
      <selection activeCell="F68" sqref="F68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prod.Inventory.IHP
{
	[Table("InvIhpPartGrade")]
	public class InvIhpPartGrade: FullAuditedEntity&lt;long&gt;, IEntity&lt;long&gt;	
	{
		public const int MaxGradeLength = 3;
		[StringLength(MaxGradeLength)]
		public virtual string Grade { get; set; }
		public virtual long? IhpPartId { get; set; }
		public virtual int? UsageQty { get; set; }
	}
}
</v>
      </c>
      <c r="D68" s="48" t="str">
        <f>A.Backend!O7</f>
        <v xml:space="preserve">		public const string Pages_Inventory_IHP_InvIhpPartGrade = "Pages.Inventory.IHP.InvIhpPartGrade";
		public const string Pages_Inventory_IHP_InvIhpPartGrade_CreateEdit = "Pages.Inventory.IHP.InvIhpPartGrade.CreateEdit";
		public const string Pages_Inventory_IHP_InvIhpPartGrade_Delete = "Pages.Inventory.IHP.InvIhpPartGrade.Delete";
</v>
      </c>
      <c r="E68" s="48" t="str">
        <f>A.Backend!N7</f>
        <v xml:space="preserve">		var perInvIhpPartGrade = PARENTS.CreateChildPermission(AppPermissions.Pages_Inventory_IHP_InvIhpPartGrade, L( "InventoryIHPInvIhpPartGrade"), multiTenancySides: MultiTenancySides.Tenant);
		perInvIhpPartGrade.CreateChildPermission(AppPermissions.Pages_Inventory_IHP_InvIhpPartGrade_CreateEdit, L( "InventoryIHPInvIhpPartGradeCreateEdit"), multiTenancySides: MultiTenancySides.Tenant);
		perInvIhpPartGrade.CreateChildPermission(AppPermissions.Pages_Inventory_IHP_InvIhpPartGrade_Delete, L( "InventoryIHPInvIhpPartGradeDelete"), multiTenancySides: MultiTenancySides.Tenant);</v>
      </c>
      <c r="F68" s="48" t="str">
        <f>A.Backend!K7</f>
        <v>public virtual DbSet&lt;InvIhpPartGrade&gt; InvIhpPartGrades { get; set; }</v>
      </c>
      <c r="G68" s="48" t="str">
        <f ca="1">A.Backend!L7</f>
        <v xml:space="preserve">namespace prod.Inventory.IHP
{
	public class InvIhpPartGradeConsts	
	{
		public const int MaxGradeLength = 3;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prod.Inventory.IHP.Dto
{
	public class InvIhpPartGradeDto : EntityDto&lt;long?&gt;	
	{
		public virtual string Grade { get; set; }
		public virtual long? IhpPartId { get; set; }
		public virtual int? UsageQty { get; set; }
	}
	public class CreateOrEditInvIhpPartGradeDto : EntityDto&lt;long?&gt;	
	{
		[StringLength(InvIhpPartGradeConsts.MaxGradeLength)]
		public virtual string Grade { get; set; }
		public virtual long? IhpPartId { get; set; }
		public virtual int? UsageQty { get; set; }
	}
	public class GetInvIhpPartGradeInput : PagedAndSortedResultRequestDto	
	{
		public virtual string Grade { get; set; }
	}
}
</v>
      </c>
      <c r="I68" s="48" t="str">
        <f ca="1">A.Backend!R7</f>
        <v xml:space="preserve">using Abp.Application.Services.Dto;
using System;
using System.ComponentModel.DataAnnotations;
namespace prod.Inventory.IHP.Dto
{
	public class InvIhpPartGradeExportInput{
		public virtual string Grade { get; set; }
		public virtual long? IhpPartId { get; set; }
		public virtual int? UsageQty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vovina.Inventory.IHP.Dto;
namespace prod.Inventory.IHP
{
	public interface IInvIhpPartGradeAppService : IApplicationService
	{
		Task&lt;PagedResultDto&lt;InvIhpPartGradeDto&gt;&gt; GetAll(GetInvIhpPartGradeInput input);
		Task CreateOrEdit(CreateOrEditInvIhpPartGradeDto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vovina.Inventory.IHP.Dto;
namespace prod.Inventory.IHP.Exporting
{
	public interface IInvIhpPartGradeExcelExporter : IApplicationService
	{
		FileDto ExportToFile(List&lt;InvIhpPartGradeDto&gt; invihppartgrade);
	}
}
</v>
      </c>
      <c r="L68" s="48" t="str">
        <f ca="1">A.Backend!T7</f>
        <v>using System.Collections.Generic;
using vovina.DataExporting.Excel.NPOI;
using vovina.Dto;
using vovina.Inventory.IHP.Exporting;
using vovina.Inventory.IHP.Dto;
using vovina.Storage;
using vovina.Inventory.IHP.Dto;
namespace vovina.Inventory.IHP.Exporting
{
    public class InvIhpPartGradeExcelExporter : NpoiExcelExporterBase, IInvIhpPartGradeExcelExporter
    {
        public InvIhpPartGradeExcelExporter(ITempFileCacheManager tempFileCacheManager) : base(tempFileCacheManager) { }
        public FileDto ExportToFile(List&lt;InvIhpPartGradeDto&gt; invihppartgrade)
        {
            return CreateExcelPackage(
				"InventoryIHPInvIhpPartGrade.xlsx",
				excelPackage =&gt;
				 {
					var sheet = excelPackage.CreateSheet("InvIhpPartGrade");
					AddHeader(
								sheet,
								("Grade"),
								("IhpPartId"),
								("UsageQty"),
							   );
					AddObjects(
						 sheet, 1, invihppartgrade,                                       
								_ =&gt; _.Grade,
								_ =&gt; _.IhpPartId,
								_ =&gt; _.UsageQty,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vovina.Inventory.IHP.Dto;
using vovina.Inventory.IHP.Exporting;
namespace vovina.Inventory.IHP
{
    [AbpAuthorize(AppPermissions.Pages_Inventory_IHP_InvIhpPartGrade)]
    public class InvIhpPartGradeAppService : vovinaAppServiceBase, IInvIhpPartGradeAppService
    {
        private readonly IDapperRepository&lt;InvIhpPartGrade, long&gt; _dapperRepo;
        private readonly IRepository&lt;InvIhpPartGrade, long&gt; _repo;
        private readonly IInvIhpPartGradeExcelExporter _calendarListExcelExporter;
        public InvIhpPartGradeAppService(IRepository&lt;InvIhpPartGrade,long&gt; repo, 
                                         IDapperRepository&lt;InvIhpPartGrade,long&gt; dapperRepo,
                                        IInvIhpPartGradeExcelExporter calendarListExcelExporter
            )
        {
            _repo = repo;
            _dapperRepo = dapperRepo;
            _calendarListExcelExporter = calendarListExcelExporter;
        }
        [AbpAuthorize(AppPermissions.Pages_Inventory_IHP_InvIhpPartGrade_CreateEdit)]
        public async Task CreateOrEdit(CreateOrEditInvIhpPartGradeDto input)
        {
            if (input.Id == null) await Create(input);
            else await Update(input);
        }
        //CREATE
        private async Task Create(CreateOrEditInvIhpPartGradeDto input)
        {          
            var mainObj = ObjectMapper.Map&lt;InvIhpPartGrade&gt;(input);
            await CurrentUnitOfWork.GetDbContext&lt;vovinaDbContext&gt;().AddAsync(mainObj);
        }
        // EDIT
        private async Task Update(CreateOrEditInvIhpPartGradeDto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[AbpAuthorize(AppPermissions.Pages_Inventory_IHP_InvIhpPartGrade_Delete)]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Task&lt;PagedResultDto&lt;InvIhpPartGradeDto&gt;&gt; GetAll(GetInvIhpPartGradeInput input)
        {
            var filtered = _repo.GetAll()
				.WhereIf(!string.IsNullOrWhiteSpace(input.Grade), e =&gt; e.Grade.Contains(input.Grade))
				;
            var pageAndFiltered = filtered.OrderBy(s =&gt; s.Id);
            var system = from o in pageAndFiltered
                         select new InvIhpPartGradeDto
                        {
							Id = o.Id,
							Grade = o.Grade,
							IhpPartId = o.IhpPartId,
							UsageQty = o.UsageQty,
                        };
            var totalCount = await filtered.CountAsync();
			var paged = system.PageBy(input);
            return new PagedResultDto&lt;InvIhpPartGradeDto&gt;(
                totalCount,
                 await paged.ToListAsync()
            );
        }
        public async Task&lt;FileDto&gt; GetInvIhpPartGradeToExcel(InvIhpPartGradeExportInput input)
        {
            var query = from o in _repo.GetAll()
                        select new InvIhpPartGradeDto
                        {
							Id = o.Id,
							Grade = o.Grade,
							IhpPartId = o.IhpPartId,
							UsageQty = o.UsageQty,
                        };
            var exportToExcel = await query.ToListAsync();
            return _calendarListExcelExporter.ExportToFile(exportToExcel);
        }
       // public async Task GenerateAsync()
      //  {
        //    await _dapperRepo.ExecuteAsync(InvIhpPartGradeConsts.SP_MST_WPT_CALENDAR_GENERATE);
       // }
    }
}</v>
      </c>
      <c r="N68" s="58" t="str">
        <f>A.Backend!U7</f>
        <v xml:space="preserve">  configuration.CreateMap&lt;InvIhpPartGradeDto, InvIhpPartGrade&gt;();
  configuration.CreateMap&lt;InvIhpPartGrade, InvIhpPartGradeDto&gt;();
  configuration.CreateMap&lt;CreateOrEditInvIhpPartGradeDto, InvIhpPartGrade&gt;();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invihppartgrade</v>
      </c>
      <c r="C73" s="66" t="str">
        <f>"create folder " &amp;B73</f>
        <v>create folder invihppartgrade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invihppartgrade.component.ts</v>
      </c>
      <c r="D74" s="28" t="str">
        <f>B.Frontend!I14</f>
        <v>invihppartgrade.component.html</v>
      </c>
      <c r="E74" s="28" t="str">
        <f>B.Frontend!J14</f>
        <v>invihppartgrade.component.less</v>
      </c>
      <c r="F74" s="28" t="str">
        <f>B.Frontend!K14</f>
        <v>create-or-edit-invihppartgrade-modal.component.html</v>
      </c>
      <c r="G74" s="28" t="str">
        <f>B.Frontend!L14</f>
        <v>create-or-edit-invihppartgrade-modal.component.ts</v>
      </c>
      <c r="H74" s="28" t="str">
        <f>B.Frontend!M14</f>
        <v>create-or-edit-invihppartgrade-modal.component.less</v>
      </c>
      <c r="I74" s="28" t="str">
        <f>B.Frontend!N14</f>
        <v>invihppartgrade.module.ts</v>
      </c>
      <c r="J74" s="28" t="str">
        <f>B.Frontend!O14</f>
        <v>invihppartgrade-routing.module.ts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InvIhpPartGradeDto, InvIhpPartGradeServiceProxy } from '@shared/service-proxies/service-proxies';
import { finalize } from 'rxjs/internal/operators/finalize';
import { CreateOrEditInvIhpPartGradeModalComponent } from './create-or-edit-invihppartgrade-modal.component';
import { DatePipe } from '@angular/common';
import { FileDownloadService } from '@shared/utils/file-download.service';
import ceil from 'lodash-es/ceil';
import { Paginator } from 'primeng/paginator';
@Component({
    templateUrl: './invihppartgrade.component.html',
    styleUrls: ['./invihppartgrade.component.less'],
})
export class InvIhpPartGradeComponent extends AppComponentBase implements OnInit {
    @ViewChild('createOrEditModalInvIhpPartGrade', { static: true }) createOrEditModalInvIhpPartGrade:| CreateOrEditInvIhpPartGradeModalComponent|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InvIhpPartGradeDto = new InvIhpPartGradeDto();
    saveSelectedRow: InvIhpPartGradeDto = new InvIhpPartGradeDto();
    datas: InvIhpPartGradeDto = new InvIhpPartGradeDto();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ihpPartId
	usageQty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InvIhpPartGradeServiceProxy,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this.l('Ihp Part Id'),headerTooltip: this.l('Ihp Part Id'),field: 'ihpPartId',flex: 1},
			{headerName: this.l('Usage Qty'),headerTooltip: this.l('Usage Qty'),field: 'usageQty',flex: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this.grade,
			this.ihpPartId,
			this.usageQty,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this.grade = '',
		this.ihpPartId = '',
		this.usageQty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this.ihpPartId,
			this.usageQty,
			'',
            this.paginationParams.skipCount,
            this.paginationParams.pageSize
        );
    }
    onChangeRowSelection(params: { api: { getSelectedRows: () =&gt; InvIhpPartGradeDto[] } }) {
        this.saveSelectedRow = params.api.getSelectedRows()[0] ?? new InvIhpPartGradeDto();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InvIhpPartGradeDto):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this._service.getInvIhpPartGradeToExcel(
			this.grade,
			this.ihpPartId,
			this.usageQty,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Ihp Part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(click)="createOrEditModalInvIhpPartGrade.show()"&gt;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(click)="createOrEditModalInvIhpPartGrade.show(selectedRow)"&gt;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&lt;create-or-edit-invihppartgrade-modal
    #createOrEditModalInvIhpPartGrade
    (modalSave)="callBackDataGrid(dataParams)"
    (modalClose)="onChangeRowSelection(dataParams)"
&gt;
&lt;/create-or-edit-invihppartgrade-modal&gt;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#createOrEditModalInvIhpPartGrade="bs-modal"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InvIhpPartGrade')}}&lt;/h3&gt;
                    &lt;h3 *ngIf="!rowdata.id"&gt;{{('Create New InvIhpPartGrade')}}&lt;/h3&gt;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CreateOrEditInvIhpPartGradeDto, InvIhpPartGradeServiceProxy } from '@shared/service-proxies/service-proxies';
import { BsDatepickerDirective } from 'ngx-bootstrap/datepicker';
@Component({
    selector: 'create-or-edit-invihppartgrade-modal',
    templateUrl: './create-or-edit-invihppartgrade-modal.component.html',
    styleUrls: ['./create-or-edit-invihppartgrade-modal.component.less']
    })
export class CreateOrEditInvIhpPartGradeModalComponent extends AppComponentBase {
    @ViewChild('createOrEditModalInvIhpPartGrade',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CreateOrEditInvIhpPartGradeDto = new CreateOrEditInvIhpPartGradeDto();
    active: boolean = false;
    saving: boolean = false;
    _: boolean;
    constructor(
        injector: Injector,
        private _mstwptInvIhpPartGradeService: InvIhpPartGradeServiceProxy,
    ) 
    {
        super(injector);
    }
    show(rowdata?: CreateOrEditInvIhpPartGradeDto): void {
        if (!rowdata) this.rowdata = new CreateOrEditInvIhpPartGradeDto();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this._mstwptInvIhpPartGradeService.createOrEdit(this.rowdata)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InvIhpPartGradeRoutingModule } from './invihppartgrade-routing.module';
import { InvIhpPartGradeComponent } from './invihppartgrade.component';
import { CreateOrEditInvIhpPartGradeModalComponent } from './create-or-edit-invihppartgrade-modal.component';
@NgModule({
    declarations: [
       InvIhpPartGradeComponent, 
        CreateOrEditInvIhpPartGradeModalComponent
    ],
    imports: [
        AppSharedModule, InvIhpPartGradeRoutingModule]
})
export class InvIhpPartGradeModule {}</v>
      </c>
      <c r="J75" s="46" t="str">
        <f>B.Frontend!O10</f>
        <v>import {NgModule} from '@angular/core';
import {RouterModule, Routes} from '@angular/router';
import { InvIhpPartGradeComponent } from './invihppartgrade.component';
const routes: Routes = [{
    path: '',
    component: InvIhpPartGradeComponent,
    pathMatch: 'full'
}];
@NgModule({
    imports: [RouterModule.forChild(routes)],
    exports: [RouterModule],
})
export class InvIhpPartGradeRoutingModule {}</v>
      </c>
      <c r="K75" s="46" t="str">
        <f>B.Frontend!P10</f>
        <v xml:space="preserve"> new AppMenuItem("InvIhpPartGrade", "Pages.Inventory.IHP.InvIhpPartGrade", "flaticon-book",   "/app/main/inventory/ihp/invihppartgrade"),</v>
      </c>
      <c r="L75" s="47" t="str">
        <f>B.Frontend!Q10</f>
        <v>{
    path: 'inventory/ihp/invihppartgrade',
    loadChildren: () =&gt; import('./inventory/ihp/invihppartgrade/invihppartgrade.module').then(m =&gt; m.InvIhpPartGradeModule),
    data: { permission: 'Pages.Inventory.IHP.InvIhpPartGrade' }
},</v>
      </c>
      <c r="M75" s="45" t="str">
        <f>B.Frontend!R10</f>
        <v>ApiServiceProxies.InvIhpPartGradeServiceProxy,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workbookViewId="0">
      <pane xSplit="1" topLeftCell="B1" activePane="topRight" state="frozen"/>
      <selection pane="topRight" activeCell="C4" sqref="C4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vovina.Inventory.IHP.Dto;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354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355</v>
      </c>
      <c r="C3" s="9" t="s">
        <v>41</v>
      </c>
      <c r="D3" s="9" t="s">
        <v>42</v>
      </c>
      <c r="E3" s="9" t="s">
        <v>37</v>
      </c>
      <c r="F3" s="10" t="str">
        <f>"J"&amp;COUNTA($A:$A)</f>
        <v>J11</v>
      </c>
      <c r="G3" s="4" t="s">
        <v>54</v>
      </c>
      <c r="H3" s="9" t="str">
        <f>"I"&amp;COUNTA($A:$A)</f>
        <v>I11</v>
      </c>
      <c r="I3" s="9" t="str">
        <f>REPT(CHAR(9),2)&amp;"[Required]"&amp;"
"</f>
        <v xml:space="preserve">		[Required]
</v>
      </c>
      <c r="J3" s="10" t="str">
        <f>"L"&amp;COUNTA($A:$A)</f>
        <v>L11</v>
      </c>
      <c r="K3" s="5" t="s">
        <v>53</v>
      </c>
      <c r="L3" s="10" t="str">
        <f>"M"&amp;COUNTA($A:$A)</f>
        <v>M11</v>
      </c>
      <c r="M3" s="10" t="str">
        <f>"N"&amp;COUNTA($A:$A)</f>
        <v>N11</v>
      </c>
      <c r="N3" s="10" t="str">
        <f>"O"&amp;COUNTA($A:$A)</f>
        <v>O11</v>
      </c>
      <c r="O3" s="10" t="str">
        <f>"P"&amp;COUNTA($A:$A)</f>
        <v>P11</v>
      </c>
      <c r="Q3" s="10" t="str">
        <f>RIGHT(B2,(LEN(B2)-FIND(".",B2,1)))</f>
        <v>IHP</v>
      </c>
      <c r="R3" s="29" t="str">
        <f>REPT(CHAR(9),1)&amp;"public class "&amp;B3&amp;"ExportInput"&amp;C3</f>
        <v xml:space="preserve">	public class InvIhpPartGradeExportInput{
</v>
      </c>
      <c r="S3" s="10" t="str">
        <f>"namespace "&amp;$B$6&amp;".Exporting
"&amp;$C$3</f>
        <v xml:space="preserve">namespace prod.Inventory.IHP.Exporting
{
</v>
      </c>
      <c r="T3" s="10" t="str">
        <f>"T"&amp;COUNTA($A:$A)</f>
        <v>T11</v>
      </c>
      <c r="V3" s="10" t="str">
        <f>"V"&amp;COUNTA($A:$A)</f>
        <v>V11</v>
      </c>
      <c r="W3" s="9" t="str">
        <f>"W"&amp;COUNTA($A:$A)</f>
        <v>W11</v>
      </c>
    </row>
    <row r="4" spans="1:23" s="10" customFormat="1" ht="33" customHeight="1" x14ac:dyDescent="0.3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355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prod.Inventory.IHP</v>
      </c>
      <c r="C6" s="10" t="str">
        <f>"namespace "&amp;$B$6&amp;"
"&amp;$C$3</f>
        <v xml:space="preserve">namespace prod.Inventory.IHP
{
</v>
      </c>
      <c r="D6" s="10" t="str">
        <f>REPT(CHAR(9),1)&amp;"public class "&amp;B3&amp;G3&amp;REPT(CHAR(9),1)&amp;"
"&amp;REPT(CHAR(9),1)&amp;C3</f>
        <v xml:space="preserve">	public class InvIhpPartGrade: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InvIhpPartGradeConsts	
	{
</v>
      </c>
      <c r="F6" s="10" t="str">
        <f>REPT(CHAR(9),1)&amp;"public class "&amp;B3&amp;"Dto"&amp;K3&amp;REPT(CHAR(9),1)&amp;"
"&amp;REPT(CHAR(9),1)&amp;C3</f>
        <v xml:space="preserve">	public class InvIhpPartGradeDto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CreateOrEditInvIhpPartGradeDto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GetInvIhpPartGradeInput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InvIhpPartGrade</v>
      </c>
      <c r="C7" s="10" t="str">
        <f>REPT(CHAR(9),1)&amp;"[Table("""&amp;B7&amp;""")]"&amp;"
"</f>
        <v xml:space="preserve">	[Table("InvIhpPartGrade")]
</v>
      </c>
      <c r="D7" s="10"/>
      <c r="E7" s="10"/>
      <c r="F7" s="10"/>
      <c r="G7" s="10"/>
      <c r="H7" s="10"/>
      <c r="I7" s="10"/>
      <c r="J7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prod.Inventory.IHP
{
	[Table("InvIhpPartGrade")]
	public class InvIhpPartGrade: FullAuditedEntity&lt;long&gt;, IEntity&lt;long&gt;	
	{
		public const int MaxGradeLength = 3;
		[StringLength(MaxGradeLength)]
		public virtual string Grade { get; set; }
		public virtual long? IhpPartId { get; set; }
		public virtual int? UsageQty { get; set; }
	}
}
</v>
      </c>
      <c r="K7" t="str">
        <f>SUBSTITUTE(SUBSTITUTE(("public virtual DbSet&lt;"&amp;B3&amp;"&gt; "&amp;B3&amp;"s { get; set; }"),"WorkingPattern",$Q$3),"Master",$B$4)</f>
        <v>public virtual DbSet&lt;InvIhpPartGrade&gt; InvIhpPartGrades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prod.Inventory.IHP
{
	public class InvIhpPartGradeConsts	
	{
		public const int MaxGradeLength = 3;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prod.Inventory.IHP.Dto
{
	public class InvIhpPartGradeDto : EntityDto&lt;long?&gt;	
	{
		public virtual string Grade { get; set; }
		public virtual long? IhpPartId { get; set; }
		public virtual int? UsageQty { get; set; }
	}
	public class CreateOrEditInvIhpPartGradeDto : EntityDto&lt;long?&gt;	
	{
		[StringLength(InvIhpPartGradeConsts.MaxGradeLength)]
		public virtual string Grade { get; set; }
		public virtual long? IhpPartId { get; set; }
		public virtual int? UsageQty { get; set; }
	}
	public class GetInvIhpPartGradeInput : PagedAndSortedResultRequestDto	
	{
		public virtual string Grade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perInvIhpPartGrade = PARENTS.CreateChildPermission(AppPermissions.Pages_Inventory_IHP_InvIhpPartGrade, L( "InventoryIHPInvIhpPartGrade"), multiTenancySides: MultiTenancySides.Tenant);
		perInvIhpPartGrade.CreateChildPermission(AppPermissions.Pages_Inventory_IHP_InvIhpPartGrade_CreateEdit, L( "InventoryIHPInvIhpPartGradeCreateEdit"), multiTenancySides: MultiTenancySides.Tenant);
		perInvIhpPartGrade.CreateChildPermission(AppPermissions.Pages_Inventory_IHP_InvIhpPartGrade_Delete, L( "InventoryIHPInvIhpPartGradeDelete"),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Pages_Inventory_IHP_InvIhpPartGrade = "Pages.Inventory.IHP.InvIhpPartGrade";
		public const string Pages_Inventory_IHP_InvIhpPartGrade_CreateEdit = "Pages.Inventory.IHP.InvIhpPartGrade.CreateEdit";
		public const string Pages_Inventory_IHP_InvIhpPartGrade_Delete = "Pages.Inventory.IHP.InvIhpPartGrade.Delete";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vovina.Inventory.IHP.Dto;
namespace prod.Inventory.IHP
{
	public interface IInvIhpPartGradeAppService : IApplicationService
	{
		Task&lt;PagedResultDto&lt;InvIhpPartGradeDto&gt;&gt; GetAll(GetInvIhpPartGradeInput input);
		Task CreateOrEdit(CreateOrEditInvIhpPartGradeDto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vovina.Inventory.IHP.Dto;
using vovina.Inventory.IHP.Exporting;
namespace vovina.Inventory.IHP
{
    [AbpAuthorize(AppPermissions.Pages_Inventory_IHP_InvIhpPartGrade)]
    public class InvIhpPartGradeAppService : vovinaAppServiceBase, IInvIhpPartGradeAppService
    {
        private readonly IDapperRepository&lt;InvIhpPartGrade, long&gt; _dapperRepo;
        private readonly IRepository&lt;InvIhpPartGrade, long&gt; _repo;
        private readonly IInvIhpPartGradeExcelExporter _calendarListExcelExporter;
        public InvIhpPartGradeAppService(IRepository&lt;InvIhpPartGrade,long&gt; repo, 
                                         IDapperRepository&lt;InvIhpPartGrade,long&gt; dapperRepo,
                                        IInvIhpPartGradeExcelExporter calendarListExcelExporter
            )
        {
            _repo = repo;
            _dapperRepo = dapperRepo;
            _calendarListExcelExporter = calendarListExcelExporter;
        }
        [AbpAuthorize(AppPermissions.Pages_Inventory_IHP_InvIhpPartGrade_CreateEdit)]
        public async Task CreateOrEdit(CreateOrEditInvIhpPartGradeDto input)
        {
            if (input.Id == null) await Create(input);
            else await Update(input);
        }
        //CREATE
        private async Task Create(CreateOrEditInvIhpPartGradeDto input)
        {          
            var mainObj = ObjectMapper.Map&lt;InvIhpPartGrade&gt;(input);
            await CurrentUnitOfWork.GetDbContext&lt;vovinaDbContext&gt;().AddAsync(mainObj);
        }
        // EDIT
        private async Task Update(CreateOrEditInvIhpPartGradeDto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[AbpAuthorize(AppPermissions.Pages_Inventory_IHP_InvIhpPartGrade_Delete)]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Task&lt;PagedResultDto&lt;InvIhpPartGradeDto&gt;&gt; GetAll(GetInvIhpPartGradeInput input)
        {
            var filtered = _repo.GetAll()
				.WhereIf(!string.IsNullOrWhiteSpace(input.Grade), e =&gt; e.Grade.Contains(input.Grade))
				;
            var pageAndFiltered = filtered.OrderBy(s =&gt; s.Id);
            var system = from o in pageAndFiltered
                         select new InvIhpPartGradeDto
                        {
							Id = o.Id,
							Grade = o.Grade,
							IhpPartId = o.IhpPartId,
							UsageQty = o.UsageQty,
                        };
            var totalCount = await filtered.CountAsync();
			var paged = system.PageBy(input);
            return new PagedResultDto&lt;InvIhpPartGradeDto&gt;(
                totalCount,
                 await paged.ToListAsync()
            );
        }
        public async Task&lt;FileDto&gt; GetInvIhpPartGradeToExcel(InvIhpPartGradeExportInput input)
        {
            var query = from o in _repo.GetAll()
                        select new InvIhpPartGradeDto
                        {
							Id = o.Id,
							Grade = o.Grade,
							IhpPartId = o.IhpPartId,
							UsageQty = o.UsageQty,
                        };
            var exportToExcel = await query.ToListAsync();
            return _calendarListExcelExporter.ExportToFile(exportToExcel);
        }
       // public async Task GenerateAsync()
      //  {
        //    await _dapperRepo.ExecuteAsync(InvIhpPartGradeConsts.SP_MST_WPT_CALENDAR_GENERATE);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prod.Inventory.IHP.Dto
{
	public class InvIhpPartGradeExportInput{
		public virtual string Grade { get; set; }
		public virtual long? IhpPartId { get; set; }
		public virtual int? UsageQty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vovina.Inventory.IHP.Dto;
namespace prod.Inventory.IHP.Exporting
{
	public interface IInvIhpPartGradeExcelExporter : IApplicationService
	{
		FileDto ExportToFile(List&lt;InvIhpPartGradeDto&gt; invihppartgrade);
	}
}
</v>
      </c>
      <c r="T7" s="26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vovina.Inventory.IHP.Exporting;
using vovina.Inventory.IHP.Dto;
using vovina.Storage;
using vovina.Inventory.IHP.Dto;
namespace vovina.Inventory.IHP.Exporting
{
    public class InvIhpPartGradeExcelExporter : NpoiExcelExporterBase, IInvIhpPartGradeExcelExporter
    {
        public InvIhpPartGradeExcelExporter(ITempFileCacheManager tempFileCacheManager) : base(tempFileCacheManager) { }
        public FileDto ExportToFile(List&lt;InvIhpPartGradeDto&gt; invihppartgrade)
        {
            return CreateExcelPackage(
				"InventoryIHPInvIhpPartGrade.xlsx",
				excelPackage =&gt;
				 {
					var sheet = excelPackage.CreateSheet("InvIhpPartGrade");
					AddHeader(
								sheet,
								("Grade"),
								("IhpPartId"),
								("UsageQty"),
							   );
					AddObjects(
						 sheet, 1, invihppartgrade,                                       
								_ =&gt; _.Grade,
								_ =&gt; _.IhpPartId,
								_ =&gt; _.UsageQty,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configuration.CreateMap&lt;InvIhpPartGradeDto, InvIhpPartGrade&gt;();
  configuration.CreateMap&lt;InvIhpPartGrade, InvIhpPartGradeDto&gt;();
  configuration.CreateMap&lt;CreateOrEditInvIhpPartGradeDto, InvIhpPartGrade&gt;();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356</v>
      </c>
      <c r="B9" t="s">
        <v>357</v>
      </c>
      <c r="C9" t="s">
        <v>1</v>
      </c>
      <c r="D9" t="str">
        <f t="shared" ref="D9" si="0">SUBSTITUTE(PROPER(A9),"_","")</f>
        <v>Grade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3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MaxGradeLength = 3;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[StringLength(MaxGradeLength)]
		public virtual string Grade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Grade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[StringLength(InvIhpPartGradeConsts.MaxGradeLength)]
		public virtual string Grade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Grade { get; set; }
</v>
      </c>
      <c r="P9" t="str">
        <f t="shared" ref="P9" si="9">REPT(CHAR(9),7)&amp;D9&amp;" = o." &amp;D9 &amp;","</f>
        <v xml:space="preserve">							Grade = o.Grade,</v>
      </c>
      <c r="T9" s="63" t="str">
        <f t="shared" ref="T9" si="10">REPT(CHAR(9),8)&amp;"("""&amp;D9&amp;"""),"</f>
        <v xml:space="preserve">								("Grade"),</v>
      </c>
      <c r="V9" s="64" t="str">
        <f t="shared" ref="V9" si="11">REPT(CHAR(9),8)&amp;"_ =&gt; _."&amp;D9&amp;","</f>
        <v xml:space="preserve">								_ =&gt; _.Grade,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.WhereIf(!string.IsNullOrWhiteSpace(input.Grade), e =&gt; e.Grade.Contains(input.Grade))</v>
      </c>
    </row>
    <row r="10" spans="1:23" customFormat="1" ht="18.75" customHeight="1" x14ac:dyDescent="0.3">
      <c r="A10" t="s">
        <v>358</v>
      </c>
      <c r="B10" t="s">
        <v>0</v>
      </c>
      <c r="C10" t="s">
        <v>1</v>
      </c>
      <c r="D10" t="str">
        <f t="shared" ref="D10:D11" si="13">SUBSTITUTE(PROPER(A10),"_","")</f>
        <v>IhpPartId</v>
      </c>
      <c r="E10" t="str">
        <f t="shared" ref="E10:E11" si="14">IFERROR(LEFT(B10, FIND("(",B10)-1),B10)</f>
        <v>bigint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long?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long? IhpPartId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long? IhpPartId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long? IhpPartId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IhpPartId = o.IhpPartId,</v>
      </c>
      <c r="T10" s="63" t="str">
        <f t="shared" ref="T10:T11" si="23">REPT(CHAR(9),8)&amp;"("""&amp;D10&amp;"""),"</f>
        <v xml:space="preserve">								("IhpPartId"),</v>
      </c>
      <c r="V10" s="64" t="str">
        <f t="shared" ref="V10:V11" si="24">REPT(CHAR(9),8)&amp;"_ =&gt; _."&amp;D10&amp;","</f>
        <v xml:space="preserve">								_ =&gt; _.IhpPartId,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">
      <c r="A11" t="s">
        <v>359</v>
      </c>
      <c r="B11" t="s">
        <v>4</v>
      </c>
      <c r="C11" t="s">
        <v>1</v>
      </c>
      <c r="D11" t="str">
        <f t="shared" si="13"/>
        <v>UsageQty</v>
      </c>
      <c r="E11" t="str">
        <f t="shared" si="14"/>
        <v>int</v>
      </c>
      <c r="F11" s="6"/>
      <c r="G11" t="str">
        <f t="shared" si="15"/>
        <v/>
      </c>
      <c r="H11" t="str">
        <f>+VLOOKUP(E11,'Data Type Mapping'!A:B,2,)</f>
        <v>int?</v>
      </c>
      <c r="I11" t="str">
        <f t="shared" si="16"/>
        <v/>
      </c>
      <c r="J11" t="str">
        <f t="shared" si="17"/>
        <v xml:space="preserve">		public virtual int? UsageQty { get; set; }
</v>
      </c>
      <c r="K11" s="6"/>
      <c r="L11" t="str">
        <f t="shared" si="18"/>
        <v/>
      </c>
      <c r="M11" t="str">
        <f t="shared" si="19"/>
        <v xml:space="preserve">		public virtual int? UsageQty { get; set; }
</v>
      </c>
      <c r="N11" t="str">
        <f t="shared" si="20"/>
        <v xml:space="preserve">		public virtual int? UsageQty { get; set; }
</v>
      </c>
      <c r="O11" t="str">
        <f t="shared" si="21"/>
        <v/>
      </c>
      <c r="P11" t="str">
        <f t="shared" si="22"/>
        <v xml:space="preserve">							UsageQty = o.UsageQty,</v>
      </c>
      <c r="T11" s="63" t="str">
        <f t="shared" si="23"/>
        <v xml:space="preserve">								("UsageQty"),</v>
      </c>
      <c r="V11" s="64" t="str">
        <f t="shared" si="24"/>
        <v xml:space="preserve">								_ =&gt; _.UsageQty,</v>
      </c>
      <c r="W11" s="63" t="str">
        <f t="shared" si="25"/>
        <v/>
      </c>
    </row>
    <row r="13" spans="1:23" ht="45.75" customHeight="1" x14ac:dyDescent="0.3">
      <c r="H13" s="11"/>
      <c r="I13" s="31" t="str">
        <f ca="1">TEXTJOIN2("
", TRUE,INDIRECT( $H$1):INDIRECT( $H$3))</f>
        <v xml:space="preserve">		public const int MaxGradeLength = 3;
</v>
      </c>
      <c r="J13" s="30" t="str">
        <f ca="1">TEXTJOIN2("
", TRUE,INDIRECT( $F$1):INDIRECT( $F$3))</f>
        <v xml:space="preserve">		[StringLength(MaxGradeLength)]
		public virtual string Grade { get; set; }
		public virtual long? IhpPartId { get; set; }
		public virtual int? UsageQty { get; set; }
</v>
      </c>
      <c r="K13" s="32" t="str">
        <f ca="1">TEXTJOIN2("
", TRUE,INDIRECT( $J$1):INDIRECT( $J$3))</f>
        <v/>
      </c>
      <c r="L13" s="12" t="s">
        <v>57</v>
      </c>
      <c r="M13" s="33" t="str">
        <f ca="1">TEXTJOIN2("
",TRUE,INDIRECT( $L$1):INDIRECT($L$3))</f>
        <v xml:space="preserve">		public virtual string Grade { get; set; }
		public virtual long? IhpPartId { get; set; }
		public virtual int? UsageQty { get; set; }
</v>
      </c>
      <c r="N13" s="30" t="str">
        <f ca="1">TEXTJOIN2("
",TRUE,INDIRECT( $M$1):INDIRECT($M$3))</f>
        <v xml:space="preserve">		[StringLength(InvIhpPartGradeConsts.MaxGradeLength)]
		public virtual string Grade { get; set; }
		public virtual long? IhpPartId { get; set; }
		public virtual int? UsageQty { get; set; }
</v>
      </c>
      <c r="O13" s="30" t="str">
        <f ca="1">TEXTJOIN2("
",TRUE,INDIRECT( $N$1):INDIRECT($N$3))</f>
        <v xml:space="preserve">		public virtual string Grade { get; set; }
</v>
      </c>
      <c r="P13" s="8" t="str">
        <f ca="1">TEXTJOIN2("
",TRUE,INDIRECT( $O$1):INDIRECT($O$3))</f>
        <v xml:space="preserve">							Grade = o.Grade,
							IhpPartId = o.IhpPartId,
							UsageQty = o.UsageQty,</v>
      </c>
      <c r="T13" s="8" t="str">
        <f ca="1">TEXTJOIN2("
",TRUE,INDIRECT( $T$2):INDIRECT($T$3))</f>
        <v xml:space="preserve">								("Grade"),
								("IhpPartId"),
								("UsageQty"),</v>
      </c>
      <c r="V13" s="8" t="str">
        <f ca="1">TEXTJOIN2("
",TRUE,INDIRECT( $V$2):INDIRECT($V$3))</f>
        <v xml:space="preserve">								_ =&gt; _.Grade,
								_ =&gt; _.IhpPartId,
								_ =&gt; _.UsageQty,</v>
      </c>
      <c r="W13" s="8" t="str">
        <f ca="1">TEXTJOIN2("
",TRUE,INDIRECT( $W$2):INDIRECT($W$3))</f>
        <v xml:space="preserve">				.WhereIf(!string.IsNullOrWhiteSpace(input.Grade), e =&gt; e.Grade.Contains(input.Grade))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17" sqref="B17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65" t="s">
        <v>360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IHP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ihp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InvIhpPartGrade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InvIhpPartGrade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invihppartgrade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InvIhpPartGradeDto, InvIhpPartGradeServiceProxy } from '@shared/service-proxies/service-proxies';
import { finalize } from 'rxjs/internal/operators/finalize';
import { CreateOrEditInvIhpPartGradeModalComponent } from './create-or-edit-invihppartgrade-modal.component';
import { DatePipe } from '@angular/common';
import { FileDownloadService } from '@shared/utils/file-download.service';
import ceil from 'lodash-es/ceil';
import { Paginator } from 'primeng/paginator';
@Component({
    templateUrl: './invihppartgrade.component.html',
    styleUrls: ['./invihppartgrade.component.less'],
})
export class InvIhpPartGradeComponent extends AppComponentBase implements OnInit {
    @ViewChild('createOrEditModalInvIhpPartGrade', { static: true }) createOrEditModalInvIhpPartGrade:| CreateOrEditInvIhpPartGradeModalComponent|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InvIhpPartGradeDto = new InvIhpPartGradeDto();
    saveSelectedRow: InvIhpPartGradeDto = new InvIhpPartGradeDto();
    datas: InvIhpPartGradeDto = new InvIhpPartGradeDto();
    isLoading: boolean = false;
    dataParams: GridParams | undefined;
    rowData: any[] = [];
    gridApi!: GridApi;
    rowSelection = 'multiple';
    filter: string = '';
	pipe = new DatePipe('en-US');
	frameworkComponents: FrameworkComponent;
    	grade : string = '' ; 
	ihpPartId
	usageQty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InvIhpPartGradeServiceProxy,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this.l('Grade'),headerTooltip: this.l('Grade'),field: 'grade',flex: 1},
			{headerName: this.l('Ihp Part Id'),headerTooltip: this.l('Ihp Part Id'),field: 'ihpPartId',flex: 1},
			{headerName: this.l('Usage Qty'),headerTooltip: this.l('Usage Qty'),field: 'usageQty',flex: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this.grade,
			this.ihpPartId,
			this.usageQty,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this.grade = '',
		this.ihpPartId = '',
		this.usageQty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this.grade,
			this.ihpPartId,
			this.usageQty,
			'',
            this.paginationParams.skipCount,
            this.paginationParams.pageSize
        );
    }
    onChangeRowSelection(params: { api: { getSelectedRows: () =&gt; InvIhpPartGradeDto[] } }) {
        this.saveSelectedRow = params.api.getSelectedRows()[0] ?? new InvIhpPartGradeDto();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InvIhpPartGradeDto):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this._service.getInvIhpPartGradeToExcel(
			this.grade,
			this.ihpPartId,
			this.usageQty,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Ihp Part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(click)="createOrEditModalInvIhpPartGrade.show()"&gt;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(click)="createOrEditModalInvIhpPartGrade.show(selectedRow)"&gt;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&lt;create-or-edit-invihppartgrade-modal
    #createOrEditModalInvIhpPartGrade
    (modalSave)="callBackDataGrid(dataParams)"
    (modalClose)="onChangeRowSelection(dataParams)"
&gt;
&lt;/create-or-edit-invihppartgrade-modal&gt;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#createOrEditModalInvIhpPartGrade="bs-modal"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InvIhpPartGrade')}}&lt;/h3&gt;
                    &lt;h3 *ngIf="!rowdata.id"&gt;{{('Create New InvIhpPartGrade')}}&lt;/h3&gt;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CreateOrEditInvIhpPartGradeDto, InvIhpPartGradeServiceProxy } from '@shared/service-proxies/service-proxies';
import { BsDatepickerDirective } from 'ngx-bootstrap/datepicker';
@Component({
    selector: 'create-or-edit-invihppartgrade-modal',
    templateUrl: './create-or-edit-invihppartgrade-modal.component.html',
    styleUrls: ['./create-or-edit-invihppartgrade-modal.component.less']
    })
export class CreateOrEditInvIhpPartGradeModalComponent extends AppComponentBase {
    @ViewChild('createOrEditModalInvIhpPartGrade',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CreateOrEditInvIhpPartGradeDto = new CreateOrEditInvIhpPartGradeDto();
    active: boolean = false;
    saving: boolean = false;
    _: boolean;
    constructor(
        injector: Injector,
        private _mstwptInvIhpPartGradeService: InvIhpPartGradeServiceProxy,
    ) 
    {
        super(injector);
    }
    show(rowdata?: CreateOrEditInvIhpPartGradeDto): void {
        if (!rowdata) this.rowdata = new CreateOrEditInvIhpPartGradeDto();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this._mstwptInvIhpPartGradeService.createOrEdit(this.rowdata)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InvIhpPartGradeRoutingModule } from './invihppartgrade-routing.module';
import { InvIhpPartGradeComponent } from './invihppartgrade.component';
import { CreateOrEditInvIhpPartGradeModalComponent } from './create-or-edit-invihppartgrade-modal.component';
@NgModule({
    declarations: [
       InvIhpPartGradeComponent, 
        CreateOrEditInvIhpPartGradeModalComponent
    ],
    imports: [
        AppSharedModule, InvIhpPartGradeRoutingModule]
})
export class InvIhpPartGradeModule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InvIhpPartGradeComponent } from './invihppartgrade.component';
const routes: Routes = [{
    path: '',
    component: InvIhpPartGradeComponent,
    pathMatch: 'full'
}];
@NgModule({
    imports: [RouterModule.forChild(routes)],
    exports: [RouterModule],
})
export class InvIhpPartGradeRoutingModule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AppMenuItem("InvIhpPartGrade", "Pages.Inventory.IHP.InvIhpPartGrade", "flaticon-book",   "/app/main/inventory/ihp/invihppartgrade"),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'inventory/ihp/invihppartgrade',
    loadChildren: () =&gt; import('./inventory/ihp/invihppartgrade/invihppartgrade.module').then(m =&gt; m.InvIhpPartGradeModule),
    data: { permission: 'Pages.Inventory.IHP.InvIhpPartGrade' }
},</v>
      </c>
      <c r="R10" s="47" t="str">
        <f>SUBSTITUTE(R9,"MstWptCalendar",$B$6)</f>
        <v>ApiServiceProxies.InvIhpPartGradeServiceProxy,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H17</v>
      </c>
      <c r="I12" s="28" t="str">
        <f>"I"&amp;COUNTA($A:$A)</f>
        <v>I17</v>
      </c>
      <c r="J12" s="28"/>
      <c r="K12" s="28" t="str">
        <f>"K"&amp;COUNTA($A:$A)</f>
        <v>K17</v>
      </c>
      <c r="L12" s="28" t="str">
        <f>"L"&amp;COUNTA($A:$A)</f>
        <v>L17</v>
      </c>
      <c r="M12" s="28"/>
      <c r="N12" s="28"/>
      <c r="O12" s="28"/>
      <c r="P12" s="28"/>
      <c r="Q12" s="28"/>
      <c r="R12" s="28"/>
      <c r="S12" s="28" t="str">
        <f>"S"&amp;COUNTA($A:$A)</f>
        <v>S17</v>
      </c>
      <c r="T12" s="28" t="str">
        <f>"T"&amp;COUNTA($A:$A)</f>
        <v>T17</v>
      </c>
      <c r="U12" s="28" t="str">
        <f>"U"&amp;COUNTA($A:$A)</f>
        <v>U17</v>
      </c>
      <c r="V12" s="28" t="str">
        <f>"V"&amp;COUNTA($A:$A)</f>
        <v>V17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this.l('Grade'),headerTooltip: this.l('Grade'),field: 'grade',flex: 1},
			{headerName: this.l('Ihp Part Id'),headerTooltip: this.l('Ihp Part Id'),field: 'ihpPartId',flex: 1},
			{headerName: this.l('Usage Qty'),headerTooltip: this.l('Usage Qty'),field: 'usageQty',flex: 1},</v>
      </c>
      <c r="I13" s="35" t="str">
        <f ca="1">TEXTJOIN2("
",TRUE,INDIRECT(I11):INDIRECT(I12))</f>
        <v xml:space="preserve">								&lt;div class='input-search'&gt;
									&lt;input [(ngModel)]='grade' name='grade'
									class='form-control' [placeholder]="l('Grade')"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grade : string = '' ; 
	ihpPartId
	usageQty</v>
      </c>
      <c r="T13" s="62" t="str">
        <f ca="1">TEXTJOIN2("
",TRUE,INDIRECT(T11):INDIRECT(T12))</f>
        <v xml:space="preserve">			this.grade,
			this.ihpPartId,
			this.usageQty,</v>
      </c>
      <c r="U13" s="62" t="str">
        <f ca="1">TEXTJOIN2("
",TRUE,INDIRECT(U11):INDIRECT(U12))</f>
        <v xml:space="preserve">		this.grade = '',
		this.ihpPartId = '',
		this.usageQty = '',</v>
      </c>
      <c r="V13" s="28" t="str">
        <f ca="1">TEXTJOIN2("
",TRUE,INDIRECT(V11):INDIRECT(V12))</f>
        <v/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invihppartgrade.component.ts</v>
      </c>
      <c r="I14" s="37" t="str">
        <f>B8&amp;".component.html"</f>
        <v>invihppartgrade.component.html</v>
      </c>
      <c r="J14" s="36" t="str">
        <f>B8&amp;".component.less"</f>
        <v>invihppartgrade.component.less</v>
      </c>
      <c r="K14" s="37" t="str">
        <f>"create-or-edit-"&amp;B8&amp;"-modal.component.html"</f>
        <v>create-or-edit-invihppartgrade-modal.component.html</v>
      </c>
      <c r="L14" s="37" t="str">
        <f>"create-or-edit-"&amp;B8&amp;"-modal.component.ts"</f>
        <v>create-or-edit-invihppartgrade-modal.component.ts</v>
      </c>
      <c r="M14" s="37" t="str">
        <f>"create-or-edit-"&amp;B8&amp;"-modal.component.less"</f>
        <v>create-or-edit-invihppartgrade-modal.component.less</v>
      </c>
      <c r="N14" s="37" t="str">
        <f>B8&amp;".module.ts"</f>
        <v>invihppartgrade.module.ts</v>
      </c>
      <c r="O14" s="37" t="str">
        <f>B8&amp;"-routing.module.ts"</f>
        <v>invihppartgrade-routing.module.ts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356</v>
      </c>
      <c r="B15" s="28" t="str">
        <f t="shared" ref="B15" si="0">SUBSTITUTE(PROPER(A15),"_","")</f>
        <v>Grade</v>
      </c>
      <c r="C15" s="28" t="str">
        <f t="shared" ref="C15" si="1">SUBSTITUTE(PROPER(A15),"_"," ")</f>
        <v>Grade</v>
      </c>
      <c r="D15" s="28" t="str">
        <f t="shared" ref="D15" si="2">LOWER(LEFT(B15,1))&amp;RIGHT(B15,LEN(B15) - 1)</f>
        <v>grade</v>
      </c>
      <c r="E15" s="28" t="str">
        <f>A.Backend!H9</f>
        <v>string</v>
      </c>
      <c r="F15" s="28" t="str">
        <f>A.Backend!G9</f>
        <v>3</v>
      </c>
      <c r="G15" s="28" t="str">
        <f t="shared" ref="G15:G17" si="3">IF(E15="string"," : string = '' ; ",IF(OR(E15="DateTime",E15="TimeSpan")," : any ;",IF(E15="int"," : number = 0 ;","")))</f>
        <v xml:space="preserve"> : string = '' ; </v>
      </c>
      <c r="H15" s="35" t="str">
        <f t="shared" ref="H15:H1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this.l('Grade'),headerTooltip: this.l('Grade'),field: 'grade',flex: 1},</v>
      </c>
      <c r="I15" s="35" t="str">
        <f t="shared" ref="I15:I1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5" s="28"/>
      <c r="K15" s="35" t="str">
        <f t="shared" ref="K15:K1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grade : string = '' ; </v>
      </c>
      <c r="T15" s="28" t="str">
        <f>REPT(CHAR(9),3)&amp;"this."&amp;D15&amp;","</f>
        <v xml:space="preserve">			this.grade,</v>
      </c>
      <c r="U15" s="28" t="str">
        <f>IF(E15="int",REPT(CHAR(9),2)&amp;"this."&amp;D15&amp;" = 0,",REPT(CHAR(9),2)&amp;"this."&amp;D15&amp;" = '',")</f>
        <v xml:space="preserve">		this.grade = '',</v>
      </c>
      <c r="V15" s="28" t="str">
        <f t="shared" ref="V15:V17" si="8">IF(AND(E15="string",F15="1"),D15,"")</f>
        <v/>
      </c>
    </row>
    <row r="16" spans="1:22" ht="18" customHeight="1" x14ac:dyDescent="0.3">
      <c r="A16" t="s">
        <v>358</v>
      </c>
      <c r="B16" s="28" t="str">
        <f t="shared" ref="B16" si="9">SUBSTITUTE(PROPER(A16),"_","")</f>
        <v>IhpPartId</v>
      </c>
      <c r="C16" s="28" t="str">
        <f t="shared" ref="C16" si="10">SUBSTITUTE(PROPER(A16),"_"," ")</f>
        <v>Ihp Part Id</v>
      </c>
      <c r="D16" s="28" t="str">
        <f t="shared" ref="D16" si="11">LOWER(LEFT(B16,1))&amp;RIGHT(B16,LEN(B16) - 1)</f>
        <v>ihpPartId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this.l('Ihp Part Id'),headerTooltip: this.l('Ihp Part Id'),field: 'ihpPartId',flex: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7" si="13">REPT(CHAR(9),1)&amp;D16&amp;G16</f>
        <v xml:space="preserve">	ihpPartId</v>
      </c>
      <c r="T16" s="28" t="str">
        <f t="shared" ref="T16:T17" si="14">REPT(CHAR(9),3)&amp;"this."&amp;D16&amp;","</f>
        <v xml:space="preserve">			this.ihpPartId,</v>
      </c>
      <c r="U16" s="28" t="str">
        <f t="shared" ref="U16:U17" si="15">IF(E16="int",REPT(CHAR(9),2)&amp;"this."&amp;D16&amp;" = 0,",REPT(CHAR(9),2)&amp;"this."&amp;D16&amp;" = '',")</f>
        <v xml:space="preserve">		this.ihpPartId = '',</v>
      </c>
      <c r="V16" s="28" t="str">
        <f t="shared" si="8"/>
        <v/>
      </c>
    </row>
    <row r="17" spans="1:22" ht="18" customHeight="1" x14ac:dyDescent="0.3">
      <c r="A17" t="s">
        <v>359</v>
      </c>
      <c r="B17" s="28" t="str">
        <f>SUBSTITUTE(PROPER(A17),"_","")</f>
        <v>UsageQty</v>
      </c>
      <c r="C17" s="28" t="str">
        <f>SUBSTITUTE(PROPER(A17),"_"," ")</f>
        <v>Usage Qty</v>
      </c>
      <c r="D17" s="28" t="str">
        <f>LOWER(LEFT(B17,1))&amp;RIGHT(B17,LEN(B17) - 1)</f>
        <v>usageQty</v>
      </c>
      <c r="E17" s="28" t="str">
        <f>A.Backend!H11</f>
        <v>int?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this.l('Usage Qty'),headerTooltip: this.l('Usage Qty'),field: 'usageQty',flex: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usageQty</v>
      </c>
      <c r="T17" s="28" t="str">
        <f t="shared" si="14"/>
        <v xml:space="preserve">			this.usageQty,</v>
      </c>
      <c r="U17" s="28" t="str">
        <f t="shared" si="15"/>
        <v xml:space="preserve">		this.usageQty = '',</v>
      </c>
      <c r="V17" s="28" t="str">
        <f t="shared" si="8"/>
        <v/>
      </c>
    </row>
    <row r="19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353</v>
      </c>
    </row>
    <row r="7" spans="1:2" x14ac:dyDescent="0.3">
      <c r="A7" t="s">
        <v>24</v>
      </c>
      <c r="B7" t="s">
        <v>348</v>
      </c>
    </row>
    <row r="8" spans="1:2" x14ac:dyDescent="0.3">
      <c r="A8" t="s">
        <v>4</v>
      </c>
      <c r="B8" t="s">
        <v>348</v>
      </c>
    </row>
    <row r="9" spans="1:2" x14ac:dyDescent="0.3">
      <c r="A9" t="s">
        <v>0</v>
      </c>
      <c r="B9" t="s">
        <v>349</v>
      </c>
    </row>
    <row r="10" spans="1:2" x14ac:dyDescent="0.3">
      <c r="A10" t="s">
        <v>25</v>
      </c>
      <c r="B10" t="s">
        <v>352</v>
      </c>
    </row>
    <row r="11" spans="1:2" x14ac:dyDescent="0.3">
      <c r="A11" t="s">
        <v>26</v>
      </c>
      <c r="B11" t="s">
        <v>352</v>
      </c>
    </row>
    <row r="12" spans="1:2" x14ac:dyDescent="0.3">
      <c r="A12" t="s">
        <v>27</v>
      </c>
      <c r="B12" t="s">
        <v>352</v>
      </c>
    </row>
    <row r="13" spans="1:2" x14ac:dyDescent="0.3">
      <c r="A13" t="s">
        <v>28</v>
      </c>
      <c r="B13" t="s">
        <v>352</v>
      </c>
    </row>
    <row r="14" spans="1:2" x14ac:dyDescent="0.3">
      <c r="A14" t="s">
        <v>29</v>
      </c>
      <c r="B14" t="s">
        <v>352</v>
      </c>
    </row>
    <row r="15" spans="1:2" x14ac:dyDescent="0.3">
      <c r="A15" t="s">
        <v>30</v>
      </c>
      <c r="B15" t="s">
        <v>352</v>
      </c>
    </row>
    <row r="16" spans="1:2" x14ac:dyDescent="0.3">
      <c r="A16" t="s">
        <v>31</v>
      </c>
      <c r="B16" t="s">
        <v>350</v>
      </c>
    </row>
    <row r="17" spans="1:2" x14ac:dyDescent="0.3">
      <c r="A17" t="s">
        <v>3</v>
      </c>
      <c r="B17" t="s">
        <v>350</v>
      </c>
    </row>
    <row r="18" spans="1:2" x14ac:dyDescent="0.3">
      <c r="A18" t="s">
        <v>33</v>
      </c>
      <c r="B18" t="s">
        <v>350</v>
      </c>
    </row>
    <row r="19" spans="1:2" x14ac:dyDescent="0.3">
      <c r="A19" t="s">
        <v>2</v>
      </c>
      <c r="B19" t="s">
        <v>350</v>
      </c>
    </row>
    <row r="20" spans="1:2" x14ac:dyDescent="0.3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2023-07-13T09:16:13Z</dcterms:modified>
</cp:coreProperties>
</file>
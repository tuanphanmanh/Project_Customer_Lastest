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mms\docs\design\inventory\ckd\"/>
    </mc:Choice>
  </mc:AlternateContent>
  <xr:revisionPtr revIDLastSave="0" documentId="13_ncr:1_{556815E9-530D-48B1-92A2-41601216B2B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5" l="1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T25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B7" i="5" l="1"/>
  <c r="B6" i="5"/>
  <c r="B2" i="5"/>
  <c r="B8" i="5" l="1"/>
  <c r="B3" i="5"/>
  <c r="G22" i="1"/>
  <c r="F28" i="5" s="1"/>
  <c r="E22" i="1"/>
  <c r="H22" i="1" s="1"/>
  <c r="E28" i="5" s="1"/>
  <c r="D22" i="1"/>
  <c r="T22" i="1" s="1"/>
  <c r="L21" i="1"/>
  <c r="G21" i="1"/>
  <c r="F27" i="5" s="1"/>
  <c r="E21" i="1"/>
  <c r="H21" i="1" s="1"/>
  <c r="E27" i="5" s="1"/>
  <c r="D21" i="1"/>
  <c r="V21" i="1" s="1"/>
  <c r="L20" i="1"/>
  <c r="G20" i="1"/>
  <c r="F26" i="5" s="1"/>
  <c r="E20" i="1"/>
  <c r="H20" i="1" s="1"/>
  <c r="D20" i="1"/>
  <c r="T20" i="1" s="1"/>
  <c r="L19" i="1"/>
  <c r="G19" i="1"/>
  <c r="F25" i="5" s="1"/>
  <c r="E19" i="1"/>
  <c r="H19" i="1" s="1"/>
  <c r="E25" i="5" s="1"/>
  <c r="D19" i="1"/>
  <c r="V19" i="1" s="1"/>
  <c r="G18" i="1"/>
  <c r="F24" i="5" s="1"/>
  <c r="E18" i="1"/>
  <c r="H18" i="1" s="1"/>
  <c r="E24" i="5" s="1"/>
  <c r="D18" i="1"/>
  <c r="T18" i="1" s="1"/>
  <c r="L17" i="1"/>
  <c r="G17" i="1"/>
  <c r="F23" i="5" s="1"/>
  <c r="E17" i="1"/>
  <c r="H17" i="1" s="1"/>
  <c r="E23" i="5" s="1"/>
  <c r="D17" i="1"/>
  <c r="V17" i="1" s="1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L20" i="5" l="1"/>
  <c r="V20" i="5"/>
  <c r="U20" i="5"/>
  <c r="G20" i="5"/>
  <c r="S20" i="5" s="1"/>
  <c r="K20" i="5"/>
  <c r="H20" i="5"/>
  <c r="I20" i="5"/>
  <c r="U27" i="5"/>
  <c r="K27" i="5"/>
  <c r="I27" i="5"/>
  <c r="H27" i="5"/>
  <c r="G27" i="5"/>
  <c r="S27" i="5" s="1"/>
  <c r="V27" i="5"/>
  <c r="L27" i="5"/>
  <c r="I23" i="5"/>
  <c r="H23" i="5"/>
  <c r="G23" i="5"/>
  <c r="S23" i="5" s="1"/>
  <c r="V23" i="5"/>
  <c r="U23" i="5"/>
  <c r="K23" i="5"/>
  <c r="L23" i="5"/>
  <c r="K25" i="5"/>
  <c r="I25" i="5"/>
  <c r="H25" i="5"/>
  <c r="G25" i="5"/>
  <c r="S25" i="5" s="1"/>
  <c r="V25" i="5"/>
  <c r="U25" i="5"/>
  <c r="L25" i="5"/>
  <c r="V28" i="5"/>
  <c r="U28" i="5"/>
  <c r="K28" i="5"/>
  <c r="I28" i="5"/>
  <c r="H28" i="5"/>
  <c r="G28" i="5"/>
  <c r="S28" i="5" s="1"/>
  <c r="L28" i="5"/>
  <c r="G21" i="5"/>
  <c r="S21" i="5" s="1"/>
  <c r="V21" i="5"/>
  <c r="U21" i="5"/>
  <c r="L21" i="5"/>
  <c r="I21" i="5"/>
  <c r="H21" i="5"/>
  <c r="K21" i="5"/>
  <c r="L24" i="5"/>
  <c r="K24" i="5"/>
  <c r="I24" i="5"/>
  <c r="H24" i="5"/>
  <c r="G24" i="5"/>
  <c r="S24" i="5" s="1"/>
  <c r="V24" i="5"/>
  <c r="U24" i="5"/>
  <c r="H22" i="5"/>
  <c r="G22" i="5"/>
  <c r="S22" i="5" s="1"/>
  <c r="L22" i="5"/>
  <c r="V22" i="5"/>
  <c r="U22" i="5"/>
  <c r="I22" i="5"/>
  <c r="K22" i="5"/>
  <c r="I20" i="1"/>
  <c r="E26" i="5"/>
  <c r="M18" i="1"/>
  <c r="I18" i="1"/>
  <c r="M22" i="1"/>
  <c r="I22" i="1"/>
  <c r="P15" i="1"/>
  <c r="P21" i="1"/>
  <c r="W15" i="1"/>
  <c r="P19" i="1"/>
  <c r="M20" i="1"/>
  <c r="W19" i="1"/>
  <c r="O19" i="1"/>
  <c r="J19" i="1"/>
  <c r="N19" i="1"/>
  <c r="I19" i="1"/>
  <c r="M19" i="1"/>
  <c r="W21" i="1"/>
  <c r="O21" i="1"/>
  <c r="J21" i="1"/>
  <c r="N21" i="1"/>
  <c r="I21" i="1"/>
  <c r="M21" i="1"/>
  <c r="N18" i="1"/>
  <c r="V18" i="1"/>
  <c r="N20" i="1"/>
  <c r="V20" i="1"/>
  <c r="N22" i="1"/>
  <c r="V22" i="1"/>
  <c r="J18" i="1"/>
  <c r="O18" i="1"/>
  <c r="W18" i="1"/>
  <c r="T19" i="1"/>
  <c r="J20" i="1"/>
  <c r="O20" i="1"/>
  <c r="W20" i="1"/>
  <c r="T21" i="1"/>
  <c r="J22" i="1"/>
  <c r="O22" i="1"/>
  <c r="W22" i="1"/>
  <c r="P18" i="1"/>
  <c r="P20" i="1"/>
  <c r="P22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C17" i="5"/>
  <c r="B17" i="5"/>
  <c r="D17" i="5" s="1"/>
  <c r="C16" i="5"/>
  <c r="B16" i="5"/>
  <c r="D16" i="5" s="1"/>
  <c r="L26" i="5" l="1"/>
  <c r="K26" i="5"/>
  <c r="I26" i="5"/>
  <c r="H26" i="5"/>
  <c r="G26" i="5"/>
  <c r="S26" i="5" s="1"/>
  <c r="V26" i="5"/>
  <c r="U26" i="5"/>
  <c r="T16" i="5"/>
  <c r="T17" i="5"/>
  <c r="B6" i="1"/>
  <c r="G13" i="1"/>
  <c r="F19" i="5" s="1"/>
  <c r="E13" i="1"/>
  <c r="H13" i="1" s="1"/>
  <c r="E19" i="5" s="1"/>
  <c r="D13" i="1"/>
  <c r="V13" i="1" s="1"/>
  <c r="V19" i="5" l="1"/>
  <c r="U19" i="5"/>
  <c r="K19" i="5"/>
  <c r="I19" i="5"/>
  <c r="G19" i="5"/>
  <c r="S19" i="5" s="1"/>
  <c r="H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V18" i="5" l="1"/>
  <c r="U18" i="5"/>
  <c r="K18" i="5"/>
  <c r="I18" i="5"/>
  <c r="H18" i="5"/>
  <c r="G18" i="5"/>
  <c r="S18" i="5" s="1"/>
  <c r="L18" i="5"/>
  <c r="V17" i="5"/>
  <c r="U17" i="5"/>
  <c r="K17" i="5"/>
  <c r="I17" i="5"/>
  <c r="H17" i="5"/>
  <c r="G17" i="5"/>
  <c r="S17" i="5" s="1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4" i="1"/>
  <c r="K12" i="5" l="1"/>
  <c r="H12" i="5"/>
  <c r="V12" i="5"/>
  <c r="T12" i="5"/>
  <c r="U12" i="5"/>
  <c r="I12" i="5"/>
  <c r="L12" i="5"/>
  <c r="S12" i="5"/>
  <c r="R3" i="1" l="1"/>
  <c r="D1" i="1"/>
  <c r="F6" i="1"/>
  <c r="T24" i="1"/>
  <c r="T13" i="5"/>
  <c r="T7" i="1" l="1"/>
  <c r="W24" i="1"/>
  <c r="G6" i="1" l="1"/>
  <c r="H13" i="5"/>
  <c r="I13" i="5"/>
  <c r="V13" i="5"/>
  <c r="U13" i="5"/>
  <c r="S13" i="5"/>
  <c r="L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22" i="1"/>
  <c r="L14" i="1"/>
  <c r="L9" i="1"/>
  <c r="L10" i="1"/>
  <c r="C7" i="1"/>
  <c r="O24" i="1"/>
  <c r="I24" i="1"/>
  <c r="N24" i="1"/>
  <c r="J24" i="1"/>
  <c r="P24" i="1"/>
  <c r="Q7" i="1" l="1"/>
  <c r="M68" i="3" s="1"/>
  <c r="L7" i="1"/>
  <c r="G68" i="3" s="1"/>
  <c r="K68" i="3"/>
  <c r="J68" i="3"/>
  <c r="K24" i="1"/>
  <c r="M24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<sst xmlns="http://schemas.openxmlformats.org/spreadsheetml/2006/main" count="487" uniqueCount="377">
  <si>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</si>
  <si>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</si>
  <si>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</si>
  <si>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</si>
  <si>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</si>
  <si>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</si>
  <si>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</si>
  <si>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</si>
  <si>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</si>
  <si>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</si>
  <si>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</si>
  <si>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</si>
  <si>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</si>
  <si>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</si>
  <si>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</si>
  <si>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</si>
  <si>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</si>
  <si>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</si>
  <si>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</si>
  <si>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</si>
  <si>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</si>
  <si>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</si>
  <si>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</si>
  <si>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</si>
  <si>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</si>
  <si>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</si>
  <si>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</si>
  <si>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</si>
  <si>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</si>
  <si>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</si>
  <si>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</si>
  <si>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</si>
  <si>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</si>
  <si>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</si>
  <si>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</si>
  <si>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</si>
  <si>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</si>
  <si>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</si>
  <si>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</si>
  <si>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</si>
  <si>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</si>
  <si>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</si>
  <si>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</si>
  <si>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</si>
  <si>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</si>
  <si>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</si>
  <si>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</si>
  <si>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</si>
  <si>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</si>
  <si>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</si>
  <si>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</si>
  <si>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</si>
  <si>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</si>
  <si>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</si>
  <si>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</si>
  <si>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</si>
  <si>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</si>
  <si>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</si>
  <si>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</si>
  <si>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</si>
  <si>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</si>
  <si>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</si>
  <si>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</si>
  <si>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</si>
  <si>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</si>
  <si>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</si>
  <si>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</si>
  <si>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</si>
  <si>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</si>
  <si>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</si>
  <si>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</si>
  <si>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</si>
  <si>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</si>
  <si>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</si>
  <si>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</si>
  <si>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</si>
  <si>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</si>
  <si>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</si>
  <si>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</si>
  <si>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</si>
  <si>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</si>
  <si>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</si>
  <si>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</si>
  <si>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</si>
  <si>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</si>
  <si>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</si>
  <si>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</si>
  <si>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</si>
  <si>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</si>
  <si>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</si>
  <si>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</si>
  <si>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</si>
  <si>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</si>
  <si>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</si>
  <si>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</si>
  <si>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</si>
  <si>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</si>
  <si>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</si>
  <si>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</si>
  <si>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</si>
  <si>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</si>
  <si>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</si>
  <si>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</si>
  <si>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</si>
  <si>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</si>
  <si>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</si>
  <si>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</si>
  <si>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</si>
  <si>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</si>
  <si>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</si>
  <si>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</si>
  <si>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</si>
  <si>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</si>
  <si>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</si>
  <si>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</si>
  <si>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</si>
  <si>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</si>
  <si>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</si>
  <si>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</si>
  <si>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</si>
  <si>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</si>
  <si>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</si>
  <si>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</si>
  <si>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</si>
  <si>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</si>
  <si>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</si>
  <si>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</si>
  <si>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</si>
  <si>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</si>
  <si>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</si>
  <si>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</si>
  <si>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</si>
  <si>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</si>
  <si>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</si>
  <si>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</si>
  <si>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</si>
  <si>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</si>
  <si>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</si>
  <si>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</si>
  <si>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</si>
  <si>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</si>
  <si>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</si>
  <si>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</si>
  <si>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</si>
  <si>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</si>
  <si>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</si>
  <si>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</si>
  <si>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</si>
  <si>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</si>
  <si>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</si>
  <si>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</si>
  <si>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</si>
  <si>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</si>
  <si>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</si>
  <si>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</si>
  <si>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</si>
  <si>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</si>
  <si>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</si>
  <si>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</si>
  <si>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</si>
  <si>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</si>
  <si>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</si>
  <si>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</si>
  <si>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</si>
  <si>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</si>
  <si>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</si>
  <si>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</si>
  <si>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</si>
  <si>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</si>
  <si>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</si>
  <si>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</si>
  <si>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</si>
  <si>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</si>
  <si>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</si>
  <si>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</si>
  <si>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</si>
  <si>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</si>
  <si>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</si>
  <si>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</si>
  <si>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</si>
  <si>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</si>
  <si>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</si>
  <si>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</si>
  <si>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</si>
  <si>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</si>
  <si>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</si>
  <si>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</si>
  <si>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</si>
  <si>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</si>
  <si>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</si>
  <si>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</si>
  <si>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</si>
  <si>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</si>
  <si>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</si>
  <si>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</si>
  <si>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</si>
  <si>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</si>
  <si>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</si>
  <si>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</si>
  <si>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</si>
  <si>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</si>
  <si>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</si>
  <si>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</si>
  <si>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</si>
  <si>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</si>
  <si>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</si>
  <si>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</si>
  <si>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</si>
  <si>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</si>
  <si>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</si>
  <si>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</si>
  <si>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</si>
  <si>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</si>
  <si>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</si>
  <si>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</si>
  <si>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</si>
  <si>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</si>
  <si>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</si>
  <si>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</si>
  <si>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</si>
  <si>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</si>
  <si>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</si>
  <si>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</si>
  <si>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</si>
  <si>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</si>
  <si>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</si>
  <si>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</si>
  <si>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</si>
  <si>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</si>
  <si>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</si>
  <si>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</si>
  <si>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</si>
  <si>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</si>
  <si>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</si>
  <si>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</si>
  <si>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</si>
  <si>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</si>
  <si>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</si>
  <si>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</si>
  <si>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</si>
  <si>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</si>
  <si>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</si>
  <si>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</si>
  <si>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</si>
  <si>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</si>
  <si>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</si>
  <si>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</si>
  <si>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</si>
  <si>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</si>
  <si>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</si>
  <si>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</si>
  <si>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</si>
  <si>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</si>
  <si>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</si>
  <si>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</si>
  <si>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</si>
  <si>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</si>
  <si>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</si>
  <si>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</si>
  <si>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</si>
  <si>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</si>
  <si>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</si>
  <si>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</si>
  <si>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</si>
  <si>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</si>
  <si>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</si>
  <si>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</si>
  <si>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</si>
  <si>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</si>
  <si>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</si>
  <si>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</si>
  <si>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</si>
  <si>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</si>
  <si>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</si>
  <si>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</si>
  <si>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</si>
  <si>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</si>
  <si>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</si>
  <si>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</si>
  <si>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</si>
  <si>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</si>
  <si>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</si>
  <si>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</si>
  <si>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</si>
  <si>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</si>
  <si>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</si>
  <si>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</si>
  <si>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</si>
  <si>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</si>
  <si>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</si>
  <si>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</si>
  <si>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</si>
  <si>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</si>
  <si>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</si>
  <si>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</si>
  <si>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</si>
  <si>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</si>
  <si>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</si>
  <si>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</si>
  <si>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</si>
  <si>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</si>
  <si>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</si>
  <si>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</si>
  <si>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</si>
  <si>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</si>
  <si>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</si>
  <si>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</si>
  <si>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</si>
  <si>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</si>
  <si>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</si>
  <si>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</si>
  <si>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</si>
  <si>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</si>
  <si>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</si>
  <si>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</si>
  <si>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</si>
  <si>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</si>
  <si>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</si>
  <si>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</si>
  <si>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</si>
  <si>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</si>
  <si>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</si>
  <si>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</si>
  <si>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</si>
  <si>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</si>
  <si>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</si>
  <si>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</si>
  <si>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</si>
  <si>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</si>
  <si>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</si>
  <si>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</si>
  <si>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</si>
  <si>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</si>
  <si>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</si>
  <si>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</si>
  <si>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</si>
  <si>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</si>
  <si>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</si>
  <si>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</si>
  <si>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</si>
  <si>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</si>
  <si>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</si>
  <si>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</si>
  <si>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</si>
  <si>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</si>
  <si>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</si>
  <si>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</si>
  <si>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</si>
  <si>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</si>
  <si>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SUPPLIER_NO</t>
  </si>
  <si>
    <t>int?</t>
  </si>
  <si>
    <t>long?</t>
  </si>
  <si>
    <t>DateTime?</t>
  </si>
  <si>
    <t>TimeSpan?</t>
  </si>
  <si>
    <t>decimal?</t>
  </si>
  <si>
    <t>byte?</t>
  </si>
  <si>
    <t>PART_NO</t>
  </si>
  <si>
    <t>LOT_NO</t>
  </si>
  <si>
    <t>VARCHAR(10)</t>
  </si>
  <si>
    <t>PART_NAME</t>
  </si>
  <si>
    <t>VARCHAR(20)</t>
  </si>
  <si>
    <t>VARCHAR(200)</t>
  </si>
  <si>
    <t>RUN_NO</t>
  </si>
  <si>
    <t>CFC</t>
  </si>
  <si>
    <t>CHECK_MODEL</t>
  </si>
  <si>
    <t>QTY</t>
  </si>
  <si>
    <t>EFFECT_QTY</t>
  </si>
  <si>
    <t>REASON_CODE</t>
  </si>
  <si>
    <t>ORDER_STATUS</t>
  </si>
  <si>
    <t>RETURN_QTY</t>
  </si>
  <si>
    <t>RETURN_DATE</t>
  </si>
  <si>
    <t>REMARK</t>
  </si>
  <si>
    <t>VARCHAR(50)</t>
  </si>
  <si>
    <t>VARCHAR(500)</t>
  </si>
  <si>
    <t>VARCHAR(5000)</t>
  </si>
  <si>
    <t>InvCkdSmqd</t>
  </si>
  <si>
    <t>Smqd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</si>
</sst>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A61" zoomScaleNormal="100" workbookViewId="0">
      <selection activeCell="C68" sqref="C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[Table("InvCkdSmqd")]
	public class InvCkdSmqd: FullAuditedEntity&lt;long&gt;, IEntity&lt;long&gt;	
	{
		public const int MaxRunNoLength = 50;
		public const int MaxCfcLength = 50;
		public const int MaxLotNoLength = 10;
		public const int MaxCheckModelLength = 200;
		public const int MaxSupplierNoLength = 20;
		public const int MaxPartNoLength = 50;
		public const int MaxPartNameLength = 200;
		public const int MaxReasonCodeLength = 500;
		public const int MaxOrderStatusLength = 50;
		public const int MaxRemarkLength = 5000;
		[StringLength(MaxRunNoLength)]
		public virtual string RunNo { get; set; }
		[StringLength(MaxCfcLength)]
		public virtual string Cfc { get; set; }
		[StringLength(MaxLotNoLength)]
		public virtual string LotNo { get; set; }
		[StringLength(MaxCheckModelLength)]
		public virtual string CheckModel { get; set; }
		[StringLength(MaxSupplierNoLength)]
		public virtual string SupplierNo { get; set; }
		[StringLength(MaxPartNoLength)]
		public virtual string PartNo { get; set; }
		[StringLength(MaxPartNameLength)]
		public virtual string PartName { get; set; }
		public virtual int? Qty { get; set; }
		public virtual int? EffectQty { get; set; }
		[StringLength(MaxReasonCodeLength)]
		public virtual string ReasonCode { get; set; }
		[StringLength(MaxOrderStatusLength)]
		public virtual string OrderStatus { get; set; }
		public virtual int? ReturnQty { get; set; }
		public virtual DateTime? ReturnDate { get; set; }
		[StringLength(MaxRemarkLength)]
		public virtual string Remark { get; set; }
	}
}
</v>
      </c>
      <c r="D68" s="48" t="str">
        <f>A.Backend!O7</f>
        <v xml:space="preserve">		public const string Pages_Inventory_CKD_Smqd = "Pages.Inventory.CKD.Smqd";
		public const string Pages_Inventory_CKD_Smqd_CreateEdit = "Pages.Inventory.CKD.Smqd.CreateEdit";
		public const string Pages_Inventory_CKD_Smqd_Delete = "Pages.Inventory.CKD.Smqd.Delete";
</v>
      </c>
      <c r="E68" s="48" t="str">
        <f>A.Backend!N7</f>
        <v xml:space="preserve">		var perInvCkdSmqd = PARENTS.CreateChildPermission(AppPermissions.Pages_Inventory_CKD_Smqd, L( "InventoryCKDSmqd"), multiTenancySides: MultiTenancySides.Tenant);
		perInvCkdSmqd.CreateChildPermission(AppPermissions.Pages_Inventory_CKD_Smqd_CreateEdit, L( "InventoryCKDSmqdCreateEdit"), multiTenancySides: MultiTenancySides.Tenant);
		perInvCkdSmqd.CreateChildPermission(AppPermissions.Pages_Inventory_CKD_Smqd_Delete, L( "InventoryCKDSmqdDelete"), multiTenancySides: MultiTenancySides.Tenant);</v>
      </c>
      <c r="F68" s="48" t="str">
        <f>A.Backend!K7</f>
        <v>public virtual DbSet&lt;InvCkdSmqd&gt; InvCkdSmqds { get; set; }</v>
      </c>
      <c r="G68" s="48" t="str">
        <f ca="1">A.Backend!L7</f>
        <v xml:space="preserve">namespace prod.Inventory.CKD
{
	public class InvCkdSmqdConsts	
	{
		public const int MaxRunNoLength = 50;
		public const int MaxCfcLength = 50;
		public const int MaxLotNoLength = 10;
		public const int MaxCheckModelLength = 200;
		public const int MaxSupplierNoLength = 20;
		public const int MaxPartNoLength = 50;
		public const int MaxPartNameLength = 200;
		public const int MaxReasonCodeLength = 500;
		public const int MaxOrderStatusLength = 50;
		public const int MaxRemarkLength = 5000;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InvCkdSmqdDto : EntityDto&lt;long?&gt;	
	{
		public virtual string RunNo { get; set; }
		public virtual string Cfc { get; set; }
		public virtual string LotNo { get; set; }
		public virtual string CheckModel { get; set; }
		public virtual string SupplierNo { get; set; }
		public virtual string PartNo { get; set; }
		public virtual string PartName { get; set; }
		public virtual int? Qty { get; set; }
		public virtual int? EffectQty { get; set; }
		public virtual string ReasonCode { get; set; }
		public virtual string OrderStatus { get; set; }
		public virtual int? ReturnQty { get; set; }
		public virtual DateTime? ReturnDate { get; set; }
		public virtual string Remark { get; set; }
	}
	public class CreateOrEditInvCkdSmqdDto : EntityDto&lt;long?&gt;	
	{
		[StringLength(InvCkdSmqdConsts.MaxRunNoLength)]
		public virtual string RunNo { get; set; }
		[StringLength(InvCkdSmqdConsts.MaxCfcLength)]
		public virtual string Cfc { get; set; }
		[StringLength(InvCkdSmqdConsts.MaxLotNoLength)]
		public virtual string LotNo { get; set; }
		[StringLength(InvCkdSmqdConsts.MaxCheckModelLength)]
		public virtual string CheckModel { get; set; }
		[StringLength(InvCkdSmqdConsts.MaxSupplierNoLength)]
		public virtual string SupplierNo { get; set; }
		[StringLength(InvCkdSmqdConsts.MaxPartNoLength)]
		public virtual string PartNo { get; set; }
		[StringLength(InvCkdSmqdConsts.MaxPartNameLength)]
		public virtual string PartName { get; set; }
		public virtual int? Qty { get; set; }
		public virtual int? EffectQty { get; set; }
		[StringLength(InvCkdSmqdConsts.MaxReasonCodeLength)]
		public virtual string ReasonCode { get; set; }
		[StringLength(InvCkdSmqdConsts.MaxOrderStatusLength)]
		public virtual string OrderStatus { get; set; }
		public virtual int? ReturnQty { get; set; }
		public virtual DateTime? ReturnDate { get; set; }
		[StringLength(InvCkdSmqdConsts.MaxRemarkLength)]
		public virtual string Remark { get; set; }
	}
	public class GetInvCkdSmqdInput : PagedAndSortedResultRequestDto	
	{
		public virtual string RunNo { get; set; }
		public virtual string Cfc { get; set; }
		public virtual string LotNo { get; set; }
		public virtual string CheckModel { get; set; }
		public virtual string SupplierNo { get; set; }
		public virtual string PartNo { get; set; }
		public virtual string PartName { get; set; }
		public virtual string ReasonCode { get; set; }
		public virtual string OrderStatus { get; set; }
		public virtual string Remark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InvCkdSmqdExportInput{
		public virtual string RunNo { get; set; }
		public virtual string Cfc { get; set; }
		public virtual string LotNo { get; set; }
		public virtual string CheckModel { get; set; }
		public virtual string SupplierNo { get; set; }
		public virtual string PartNo { get; set; }
		public virtual string PartName { get; set; }
		public virtual int? Qty { get; set; }
		public virtual int? EffectQty { get; set; }
		public virtual string ReasonCode { get; set; }
		public virtual string OrderStatus { get; set; }
		public virtual int? ReturnQty { get; set; }
		public virtual DateTime? ReturnDate { get; set; }
		public virtual string Remark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IInvCkdSmqdAppService : IApplicationService
	{
		Task&lt;PagedResultDto&lt;InvCkdSmqdDto&gt;&gt; GetAll(GetInvCkdSmqdInput input);
		Task CreateOrEdit(CreateOrEditInvCkdSmqdDto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IInvCkdSmqdExcelExporter : IApplicationService
	{
		FileDto ExportToFile(List&lt;InvCkdSmqdDto&gt; invckdsmqd);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InvCkdSmqdExcelExporter : NpoiExcelExporterBase, IInvCkdSmqdExcelExporter
    {
        public InvCkdSmqdExcelExporter(ITempFileCacheManager tempFileCacheManager) : base(tempFileCacheManager) { }
        public FileDto ExportToFile(List&lt;InvCkdSmqdDto&gt; smqd)
        {
            return CreateExcelPackage(
				"InventoryCKDSmqd.xlsx",
				excelPackage =&gt;
				 {
					var sheet = excelPackage.CreateSheet("Smqd");
					AddHeader(
								sheet,
								("RunNo"),
								("Cfc"),
								("LotNo"),
								("CheckModel"),
								("SupplierNo"),
								("PartNo"),
								("PartName"),
								("Qty"),
								("EffectQty"),
								("ReasonCode"),
								("OrderStatus"),
								("ReturnQty"),
								("ReturnDate"),
								("Remark"),
							   );
					AddObjects(
						 sheet, 1, smqd,                                       
								_ =&gt; _.RunNo,
								_ =&gt; _.Cfc,
								_ =&gt; _.LotNo,
								_ =&gt; _.CheckModel,
								_ =&gt; _.SupplierNo,
								_ =&gt; _.PartNo,
								_ =&gt; _.PartName,
								_ =&gt; _.Qty,
								_ =&gt; _.EffectQty,
								_ =&gt; _.ReasonCode,
								_ =&gt; _.OrderStatus,
								_ =&gt; _.ReturnQty,
								_ =&gt; _.ReturnDate,
								_ =&gt; _.Remark,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[AbpAuthorize(AppPermissions.Pages_Inventory_CKD_Smqd)]
    public class InvCkdSmqdAppService : vovinaAppServiceBase, IInvCkdSmqdAppService
    {
        private readonly IDapperRepository&lt;InvCkdSmqd, long&gt; _dapperRepo;
        private readonly IRepository&lt;InvCkdSmqd, long&gt; _repo;
        private readonly IInvCkdSmqdExcelExporter _calendarListExcelExporter;
        public InvCkdSmqdAppService(IRepository&lt;InvCkdSmqd,long&gt; repo, 
                                         IDapperRepository&lt;InvCkdSmqd,long&gt; dapperRepo,
                                        IInvCkdSmqdExcelExporter calendarListExcelExporter
            )
        {
            _repo = repo;
            _dapperRepo = dapperRepo;
            _calendarListExcelExporter = calendarListExcelExporter;
        }
        [AbpAuthorize(AppPermissions.Pages_Inventory_CKD_Smqd_CreateEdit)]
        public async Task CreateOrEdit(CreateOrEditInvCkdSmqdDto input)
        {
            if (input.Id == null) await Create(input);
            else await Update(input);
        }
        //CREATE
        private async Task Create(CreateOrEditInvCkdSmqdDto input)
        {          
            var mainObj = ObjectMapper.Map&lt;InvCkdSmqd&gt;(input);
            await CurrentUnitOfWork.GetDbContext&lt;vovinaDbContext&gt;().AddAsync(mainObj);
        }
        // EDIT
        private async Task Update(CreateOrEditInvCkdSmqdDto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[AbpAuthorize(AppPermissions.Pages_Inventory_CKD_Smqd_Delete)]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Task&lt;PagedResultDto&lt;InvCkdSmqdDto&gt;&gt; GetAll(GetInvCkdSmqdInput input)
        {
            var filtered = _repo.GetAll()
				.WhereIf(!string.IsNullOrWhiteSpace(input.RunNo), e =&gt; e.RunNo.Contains(input.RunNo))
				.WhereIf(!string.IsNullOrWhiteSpace(input.Cfc), e =&gt; e.Cfc.Contains(input.Cfc))
				.WhereIf(!string.IsNullOrWhiteSpace(input.LotNo), e =&gt; e.LotNo.Contains(input.LotNo))
				.WhereIf(!string.IsNullOrWhiteSpace(input.CheckModel), e =&gt; e.CheckModel.Contains(input.CheckModel))
				.WhereIf(!string.IsNullOrWhiteSpace(input.SupplierNo), e =&gt; e.SupplierNo.Contains(input.SupplierNo))
				.WhereIf(!string.IsNullOrWhiteSpace(input.PartNo), e =&gt; e.PartNo.Contains(input.PartNo))
				.WhereIf(!string.IsNullOrWhiteSpace(input.PartName), e =&gt; e.PartName.Contains(input.PartName))
				.WhereIf(!string.IsNullOrWhiteSpace(input.ReasonCode), e =&gt; e.ReasonCode.Contains(input.ReasonCode))
				.WhereIf(!string.IsNullOrWhiteSpace(input.OrderStatus), e =&gt; e.OrderStatus.Contains(input.OrderStatus))
				.WhereIf(!string.IsNullOrWhiteSpace(input.Remark), e =&gt; e.Remark.Contains(input.Remark))                   
				;
            var pageAndFiltered = filtered.OrderBy(s =&gt; s.Id);
            var system = from o in pageAndFiltered
                         select new InvCkdSmqdDto
                        {
							Id = o.Id,
							RunNo = o.RunNo,
							Cfc = o.Cfc,
							LotNo = o.LotNo,
							CheckModel = o.CheckModel,
							SupplierNo = o.SupplierNo,
							PartNo = o.PartNo,
							PartName = o.PartName,
							Qty = o.Qty,
							EffectQty = o.EffectQty,
							ReasonCode = o.ReasonCode,
							OrderStatus = o.OrderStatus,
							ReturnQty = o.ReturnQty,
							ReturnDate = o.ReturnDate,
							Remark = o.Remark,
                        };
            var totalCount = await filtered.CountAsync();
			var paged = system.PageBy(input);
            return new PagedResultDto&lt;InvCkdSmqdDto&gt;(
                totalCount,
                 await paged.ToListAsync()
            );
        }
        public async Task&lt;FileDto&gt; GetSmqdToExcel(InvCkdSmqdExportInput input)
        {
            var query = from o in _repo.GetAll()
                        select new InvCkdSmqdDto
                        {
							Id = o.Id,
							RunNo = o.RunNo,
							Cfc = o.Cfc,
							LotNo = o.LotNo,
							CheckModel = o.CheckModel,
							SupplierNo = o.SupplierNo,
							PartNo = o.PartNo,
							PartName = o.PartName,
							Qty = o.Qty,
							EffectQty = o.EffectQty,
							ReasonCode = o.ReasonCode,
							OrderStatus = o.OrderStatus,
							ReturnQty = o.ReturnQty,
							ReturnDate = o.ReturnDate,
							Remark = o.Remark,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_dapperRepo.ExecuteAsync(InvCkdSmqdConsts.SP_MST_WPT_CALENDAR_GENERATE);
       // }
    }
}</v>
      </c>
      <c r="N68" s="58" t="str">
        <f>A.Backend!U7</f>
        <v xml:space="preserve">  configuration.CreateMap&lt;InvCkdSmqdDto, InvCkdSmqd&gt;();
  configuration.CreateMap&lt;InvCkdSmqd, InvCkdSmqdDto&gt;();
  configuration.CreateMap&lt;CreateOrEditInvCkdSmqdDto, InvCkdSmqd&gt;();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smqd</v>
      </c>
      <c r="C73" s="66" t="str">
        <f>"create folder " &amp;B73</f>
        <v>create folder smqd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smqd.component.ts</v>
      </c>
      <c r="D74" s="28" t="str">
        <f>B.Frontend!I14</f>
        <v>smqd.component.html</v>
      </c>
      <c r="E74" s="28" t="str">
        <f>B.Frontend!J14</f>
        <v>smqd.component.less</v>
      </c>
      <c r="F74" s="28" t="str">
        <f>B.Frontend!K14</f>
        <v>create-or-edit-smqd-modal.component.html</v>
      </c>
      <c r="G74" s="28" t="str">
        <f>B.Frontend!L14</f>
        <v>create-or-edit-smqd-modal.component.ts</v>
      </c>
      <c r="H74" s="28" t="str">
        <f>B.Frontend!M14</f>
        <v>create-or-edit-smqd-modal.component.less</v>
      </c>
      <c r="I74" s="28" t="str">
        <f>B.Frontend!N14</f>
        <v>smqd.module.ts</v>
      </c>
      <c r="J74" s="28" t="str">
        <f>B.Frontend!O14</f>
        <v>smqd-routing.module.ts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InvCkdSmqdDto, InvCkdSmqdServiceProxy } from '@shared/service-proxies/service-proxies';
import { finalize } from 'rxjs/internal/operators/finalize';
import { CreateOrEditSmqdModalComponent } from './create-or-edit-smqd-modal.component';
import { DatePipe } from '@angular/common';
import { FileDownloadService } from '@shared/utils/file-download.service';
import ceil from 'lodash-es/ceil';
import { Paginator } from 'primeng/paginator';
@Component({
    templateUrl: './smqd.component.html',
    styleUrls: ['./smqd.component.less'],
})
export class SmqdComponent extends AppComponentBase implements OnInit {
    @ViewChild('createOrEditModalSmqd', { static: true }) createOrEditModalSmqd:| CreateOrEditSmqdModalComponent|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InvCkdSmqdDto = new InvCkdSmqdDto();
    saveSelectedRow: InvCkdSmqdDto = new InvCkdSmqdDto();
    datas: InvCkdSmqdDto = new InvCkdSmqdDto();
    isLoading: boolean = false;
    dataParams: GridParams | undefined;
    rowData: any[] = [];
    gridApi!: GridApi;
    rowSelection = 'multiple';
    filter: string = '';
	pipe = new DatePipe('en-US');
	frameworkComponents: FrameworkComponent;
    	runNo : string = '' ; 
	cfc : string = '' ; 
	lotNo : string = '' ; 
	checkModel : string = '' ; 
	supplierNo : string = '' ; 
	partNo : string = '' ; 
	partName : string = '' ; 
	qty
	effectQty
	reasonCode : string = '' ; 
	orderStatus : string = '' ; 
	returnQty
	returnDate
	remark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InvCkdSmqdServiceProxy,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this.l('Run No'),headerTooltip: this.l('Run No'),field: 'runNo',flex: 1},
			{headerName: this.l('Cfc'),headerTooltip: this.l('Cfc'),field: 'cfc',flex: 1},
			{headerName: this.l('Lot No'),headerTooltip: this.l('Lot No'),field: 'lotNo',flex: 1},
			{headerName: this.l('Check Model'),headerTooltip: this.l('Check Model'),field: 'checkModel',flex: 1},
			{headerName: this.l('Supplier No'),headerTooltip: this.l('Supplier No'),field: 'supplierNo',flex: 1},
			{headerName: this.l('Part No'),headerTooltip: this.l('Part No'),field: 'partNo',flex: 1},
			{headerName: this.l('Part Name'),headerTooltip: this.l('Part Name'),field: 'partName',flex: 1},
			{headerName: this.l('Qty'),headerTooltip: this.l('Qty'),field: 'qty',flex: 1},
			{headerName: this.l('Effect Qty'),headerTooltip: this.l('Effect Qty'),field: 'effectQty',flex: 1},
			{headerName: this.l('Reason Code'),headerTooltip: this.l('Reason Code'),field: 'reasonCode',flex: 1},
			{headerName: this.l('Order Status'),headerTooltip: this.l('Order Status'),field: 'orderStatus',flex: 1},
			{headerName: this.l('Return Qty'),headerTooltip: this.l('Return Qty'),field: 'returnQty',flex: 1},
			{headerName: this.l('Return Date'),headerTooltip: this.l('Return Date'),field: 'returnDate',flex: 1},
			{headerName: this.l('Remark'),headerTooltip: this.l('Remark'),field: 'remark',flex: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this.runNo,
			this.cfc,
			this.lotNo,
			this.checkModel,
			this.supplierNo,
			this.partNo,
			this.partName,
			this.qty,
			this.effectQty,
			this.reasonCode,
			this.orderStatus,
			this.returnQty,
			this.returnDate,
			this.remark,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this.runNo = '',
		this.cfc = '',
		this.lotNo = '',
		this.checkModel = '',
		this.supplierNo = '',
		this.partNo = '',
		this.partName = '',
		this.qty = '',
		this.effectQty = '',
		this.reasonCode = '',
		this.orderStatus = '',
		this.returnQty = '',
		this.returnDate = '',
		this.remark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this.runNo,
			this.cfc,
			this.lotNo,
			this.checkModel,
			this.supplierNo,
			this.partNo,
			this.partName,
			this.qty,
			this.effectQty,
			this.reasonCode,
			this.orderStatus,
			this.returnQty,
			this.returnDate,
			this.remark,
			'',
            this.paginationParams.skipCount,
            this.paginationParams.pageSize
        );
    }
    onChangeRowSelection(params: { api: { getSelectedRows: () =&gt; InvCkdSmqdDto[] } }) {
        this.saveSelectedRow = params.api.getSelectedRows()[0] ?? new InvCkdSmqdDto();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InvCkdSmqdDto):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this._service.getSmqdToExcel(
			this.runNo,
			this.cfc,
			this.lotNo,
			this.checkModel,
			this.supplierNo,
			this.partNo,
			this.partName,
			this.qty,
			this.effectQty,
			this.reasonCode,
			this.orderStatus,
			this.returnQty,
			this.returnDate,
			this.remark,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Smqd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[(ngModel)]='runNo' name='runNo'
									class='form-control' [placeholder]="l('Run No')"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[(ngModel)]='checkModel' name='checkModel'
									class='form-control' [placeholder]="l('Check Model')"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[(ngModel)]='reasonCode' name='reasonCode'
									class='form-control' [placeholder]="l('Reason Code')"
									type='text' (keyup.enter)='searchDatas()'&gt;
								&lt;/div&gt;
								&lt;div class='input-search'&gt;
									&lt;input [(ngModel)]='orderStatus' name='orderStatus'
									class='form-control' [placeholder]="l('Order Status')"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(click)="createOrEditModalSmqd.show()"&gt;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(click)="createOrEditModalSmqd.show(selectedRow)"&gt;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&lt;create-or-edit-smqd-modal
    #createOrEditModalSmqd
    (modalSave)="callBackDataGrid(dataParams)"
    (modalClose)="onChangeRowSelection(dataParams)"
&gt;
&lt;/create-or-edit-smqd-modal&gt;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#createOrEditModalSmqd="bs-modal"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Smqd')}}&lt;/h3&gt;
                    &lt;h3 *ngIf="!rowdata.id"&gt;{{('Create New Smqd')}}&lt;/h3&gt;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title'&gt;Run No&lt;/label&gt;
						&lt;input type='text' class='col-md-10 form-control input-text' name='RunNo' [(ngModel)]='rowdata.runNo'&gt;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title'&gt;Check Model&lt;/label&gt;
						&lt;input type='text' class='col-md-10 form-control input-text' name='CheckModel' [(ngModel)]='rowdata.checkModel'&gt;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title'&gt;Reason Code&lt;/label&gt;
						&lt;input type='text' class='col-md-10 form-control input-text' name='ReasonCode' [(ngModel)]='rowdata.reasonCode'&gt;
					&lt;/div&gt;
					&lt;div class='col-md-12 form-group row'&gt;
						&lt;label class='col-md-2 form-control title'&gt;Order Status&lt;/label&gt;
						&lt;input type='text' class='col-md-10 form-control input-text' name='OrderStatus' [(ngModel)]='rowdata.orderStatus'&gt;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CreateOrEditInvCkdSmqdDto, InvCkdSmqdServiceProxy } from '@shared/service-proxies/service-proxies';
import { BsDatepickerDirective } from 'ngx-bootstrap/datepicker';
@Component({
    selector: 'create-or-edit-smqd-modal',
    templateUrl: './create-or-edit-smqd-modal.component.html',
    styleUrls: ['./create-or-edit-smqd-modal.component.less']
    })
export class CreateOrEditSmqdModalComponent extends AppComponentBase {
    @ViewChild('createOrEditModalSmqd',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CreateOrEditInvCkdSmqdDto = new CreateOrEditInvCkdSmqdDto();
    active: boolean = false;
    saving: boolean = false;
    _: boolean;
    constructor(
        injector: Injector,
        private _mstwptSmqdService: InvCkdSmqdServiceProxy,
    ) 
    {
        super(injector);
    }
    show(rowdata?: CreateOrEditInvCkdSmqdDto): void {
        if (!rowdata) this.rowdata = new CreateOrEditInvCkdSmqdDto();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this._mstwptSmqdService.createOrEdit(this.rowdata)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SmqdRoutingModule } from './smqd-routing.module';
import { SmqdComponent } from './smqd.component';
import { CreateOrEditSmqdModalComponent } from './create-or-edit-smqd-modal.component';
@NgModule({
    declarations: [
       SmqdComponent, 
        CreateOrEditSmqdModalComponent
    ],
    imports: [
        AppSharedModule, SmqdRoutingModule]
})
export class SmqdModule {}</v>
      </c>
      <c r="J75" s="46" t="str">
        <f>B.Frontend!O10</f>
        <v>import {NgModule} from '@angular/core';
import {RouterModule, Routes} from '@angular/router';
import { SmqdComponent } from './smqd.component';
const routes: Routes = [{
    path: '',
    component: SmqdComponent,
    pathMatch: 'full'
}];
@NgModule({
    imports: [RouterModule.forChild(routes)],
    exports: [RouterModule],
})
export class SmqdRoutingModule {}</v>
      </c>
      <c r="K75" s="46" t="str">
        <f>B.Frontend!P10</f>
        <v xml:space="preserve"> new AppMenuItem("Smqd", "Pages.Inventory.CKD.Smqd", "flaticon-book",   "/app/main/inventory/ckd/smqd"),</v>
      </c>
      <c r="L75" s="47" t="str">
        <f>B.Frontend!Q10</f>
        <v>{
    path: 'inventory/ckd/smqd',
    loadChildren: () =&gt; import('./inventory/ckd/smqd/smqd.module').then(m =&gt; m.SmqdModule),
    data: { permission: 'Pages.Inventory.CKD.Smqd' }
},</v>
      </c>
      <c r="M75" s="45" t="str">
        <f>B.Frontend!R10</f>
        <v>ApiServiceProxies.InvCkdSmqdServiceProxy,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4"/>
  <sheetViews>
    <sheetView workbookViewId="0">
      <pane xSplit="1" topLeftCell="B1" activePane="topRight" state="frozen"/>
      <selection pane="topRight" activeCell="B5" sqref="B5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348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375</v>
      </c>
      <c r="C3" s="9" t="s">
        <v>41</v>
      </c>
      <c r="D3" s="9" t="s">
        <v>42</v>
      </c>
      <c r="E3" s="9" t="s">
        <v>37</v>
      </c>
      <c r="F3" s="10" t="str">
        <f>"J"&amp;COUNTA($A:$A)</f>
        <v>J22</v>
      </c>
      <c r="G3" s="4" t="s">
        <v>54</v>
      </c>
      <c r="H3" s="9" t="str">
        <f>"I"&amp;COUNTA($A:$A)</f>
        <v>I22</v>
      </c>
      <c r="I3" s="9" t="str">
        <f>REPT(CHAR(9),2)&amp;"[Required]"&amp;"
"</f>
        <v xml:space="preserve">		[Required]
</v>
      </c>
      <c r="J3" s="10" t="str">
        <f>"L"&amp;COUNTA($A:$A)</f>
        <v>L22</v>
      </c>
      <c r="K3" s="5" t="s">
        <v>53</v>
      </c>
      <c r="L3" s="10" t="str">
        <f>"M"&amp;COUNTA($A:$A)</f>
        <v>M22</v>
      </c>
      <c r="M3" s="10" t="str">
        <f>"N"&amp;COUNTA($A:$A)</f>
        <v>N22</v>
      </c>
      <c r="N3" s="10" t="str">
        <f>"O"&amp;COUNTA($A:$A)</f>
        <v>O22</v>
      </c>
      <c r="O3" s="10" t="str">
        <f>"P"&amp;COUNTA($A:$A)</f>
        <v>P22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InvCkdSmqdExportInput{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T22</v>
      </c>
      <c r="V3" s="10" t="str">
        <f>"V"&amp;COUNTA($A:$A)</f>
        <v>V22</v>
      </c>
      <c r="W3" s="9" t="str">
        <f>"W"&amp;COUNTA($A:$A)</f>
        <v>W22</v>
      </c>
    </row>
    <row r="4" spans="1:23" s="10" customFormat="1" ht="33" customHeight="1" x14ac:dyDescent="0.25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376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InvCkdSmqd: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InvCkdSmqdConsts	
	{
</v>
      </c>
      <c r="F6" s="10" t="str">
        <f>REPT(CHAR(9),1)&amp;"public class "&amp;B3&amp;"Dto"&amp;K3&amp;REPT(CHAR(9),1)&amp;"
"&amp;REPT(CHAR(9),1)&amp;C3</f>
        <v xml:space="preserve">	public class InvCkdSmqdDto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CreateOrEditInvCkdSmqdDto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GetInvCkdSmqdInput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InvCkdSmqd</v>
      </c>
      <c r="C7" s="10" t="str">
        <f>REPT(CHAR(9),1)&amp;"[Table("""&amp;B7&amp;""")]"&amp;"
"</f>
        <v xml:space="preserve">	[Table("InvCkdSmqd")]
</v>
      </c>
      <c r="D7" s="10"/>
      <c r="E7" s="10"/>
      <c r="F7" s="10"/>
      <c r="G7" s="10"/>
      <c r="H7" s="10"/>
      <c r="I7" s="10"/>
      <c r="J7" t="str">
        <f ca="1">SUBSTITUTE(SUBSTITUTE((B1&amp;C6&amp;C7&amp;K24&amp;D6&amp;I24&amp;E3&amp;J24&amp;""&amp;REPT(CHAR(9),1)&amp;D3&amp;D3),"WorkingPattern",$Q$3),"Master",$B$4)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[Table("InvCkdSmqd")]
	public class InvCkdSmqd: FullAuditedEntity&lt;long&gt;, IEntity&lt;long&gt;	
	{
		public const int MaxRunNoLength = 50;
		public const int MaxCfcLength = 50;
		public const int MaxLotNoLength = 10;
		public const int MaxCheckModelLength = 200;
		public const int MaxSupplierNoLength = 20;
		public const int MaxPartNoLength = 50;
		public const int MaxPartNameLength = 200;
		public const int MaxReasonCodeLength = 500;
		public const int MaxOrderStatusLength = 50;
		public const int MaxRemarkLength = 5000;
		[StringLength(MaxRunNoLength)]
		public virtual string RunNo { get; set; }
		[StringLength(MaxCfcLength)]
		public virtual string Cfc { get; set; }
		[StringLength(MaxLotNoLength)]
		public virtual string LotNo { get; set; }
		[StringLength(MaxCheckModelLength)]
		public virtual string CheckModel { get; set; }
		[StringLength(MaxSupplierNoLength)]
		public virtual string SupplierNo { get; set; }
		[StringLength(MaxPartNoLength)]
		public virtual string PartNo { get; set; }
		[StringLength(MaxPartNameLength)]
		public virtual string PartName { get; set; }
		public virtual int? Qty { get; set; }
		public virtual int? EffectQty { get; set; }
		[StringLength(MaxReasonCodeLength)]
		public virtual string ReasonCode { get; set; }
		[StringLength(MaxOrderStatusLength)]
		public virtual string OrderStatus { get; set; }
		public virtual int? ReturnQty { get; set; }
		public virtual DateTime? ReturnDate { get; set; }
		[StringLength(MaxRemarkLength)]
		public virtual string Remark { get; set; }
	}
}
</v>
      </c>
      <c r="K7" t="str">
        <f>SUBSTITUTE(SUBSTITUTE(("public virtual DbSet&lt;"&amp;B3&amp;"&gt; "&amp;B3&amp;"s { get; set; }"),"WorkingPattern",$Q$3),"Master",$B$4)</f>
        <v>public virtual DbSet&lt;InvCkdSmqd&gt; InvCkdSmqds { get; set; }</v>
      </c>
      <c r="L7" t="str">
        <f ca="1">SUBSTITUTE(SUBSTITUTE((C6&amp;E6&amp;I24&amp;"
"&amp;REPT(CHAR(9),2)&amp;"// Define Store Name: Format SP_ + &lt;Store Name&gt; = &lt;Store Name&gt;
"&amp;E3&amp;REPT(CHAR(9),1)&amp;D3&amp;D3),"WorkingPattern",$Q$3),"Master",$B$4)</f>
        <v xml:space="preserve">namespace prod.Inventory.CKD
{
	public class InvCkdSmqdConsts	
	{
		public const int MaxRunNoLength = 50;
		public const int MaxCfcLength = 50;
		public const int MaxLotNoLength = 10;
		public const int MaxCheckModelLength = 200;
		public const int MaxSupplierNoLength = 20;
		public const int MaxPartNoLength = 50;
		public const int MaxPartNameLength = 200;
		public const int MaxReasonCodeLength = 500;
		public const int MaxOrderStatusLength = 50;
		public const int MaxRemarkLength = 5000;
		// Define Store Name: Format SP_ + &lt;Store Name&gt; = &lt;Store Name&gt;
	}
}
</v>
      </c>
      <c r="M7" t="str">
        <f ca="1">SUBSTITUTE(SUBSTITUTE((C1&amp;"namespace "&amp;B6&amp;".Dto"&amp;E3&amp;C3&amp;F6&amp;M24&amp;E3&amp;REPT(CHAR(9),1)&amp;D3&amp;G6&amp;N24&amp;REPT(CHAR(9),1)&amp;D3&amp;H6&amp;O24&amp;"
"&amp;REPT(CHAR(9),1)&amp;D3&amp;D3),"WorkingPattern",$Q$3),"Master",$B$4)</f>
        <v xml:space="preserve">using Abp.Application.Services.Dto;
using System;
using System.ComponentModel.DataAnnotations;
namespace prod.Inventory.CKD.Dto
{
	public class InvCkdSmqdDto : EntityDto&lt;long?&gt;	
	{
		public virtual string RunNo { get; set; }
		public virtual string Cfc { get; set; }
		public virtual string LotNo { get; set; }
		public virtual string CheckModel { get; set; }
		public virtual string SupplierNo { get; set; }
		public virtual string PartNo { get; set; }
		public virtual string PartName { get; set; }
		public virtual int? Qty { get; set; }
		public virtual int? EffectQty { get; set; }
		public virtual string ReasonCode { get; set; }
		public virtual string OrderStatus { get; set; }
		public virtual int? ReturnQty { get; set; }
		public virtual DateTime? ReturnDate { get; set; }
		public virtual string Remark { get; set; }
	}
	public class CreateOrEditInvCkdSmqdDto : EntityDto&lt;long?&gt;	
	{
		[StringLength(InvCkdSmqdConsts.MaxRunNoLength)]
		public virtual string RunNo { get; set; }
		[StringLength(InvCkdSmqdConsts.MaxCfcLength)]
		public virtual string Cfc { get; set; }
		[StringLength(InvCkdSmqdConsts.MaxLotNoLength)]
		public virtual string LotNo { get; set; }
		[StringLength(InvCkdSmqdConsts.MaxCheckModelLength)]
		public virtual string CheckModel { get; set; }
		[StringLength(InvCkdSmqdConsts.MaxSupplierNoLength)]
		public virtual string SupplierNo { get; set; }
		[StringLength(InvCkdSmqdConsts.MaxPartNoLength)]
		public virtual string PartNo { get; set; }
		[StringLength(InvCkdSmqdConsts.MaxPartNameLength)]
		public virtual string PartName { get; set; }
		public virtual int? Qty { get; set; }
		public virtual int? EffectQty { get; set; }
		[StringLength(InvCkdSmqdConsts.MaxReasonCodeLength)]
		public virtual string ReasonCode { get; set; }
		[StringLength(InvCkdSmqdConsts.MaxOrderStatusLength)]
		public virtual string OrderStatus { get; set; }
		public virtual int? ReturnQty { get; set; }
		public virtual DateTime? ReturnDate { get; set; }
		[StringLength(InvCkdSmqdConsts.MaxRemarkLength)]
		public virtual string Remark { get; set; }
	}
	public class GetInvCkdSmqdInput : PagedAndSortedResultRequestDto	
	{
		public virtual string RunNo { get; set; }
		public virtual string Cfc { get; set; }
		public virtual string LotNo { get; set; }
		public virtual string CheckModel { get; set; }
		public virtual string SupplierNo { get; set; }
		public virtual string PartNo { get; set; }
		public virtual string PartName { get; set; }
		public virtual string ReasonCode { get; set; }
		public virtual string OrderStatus { get; set; }
		public virtual string Remark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perInvCkdSmqd = PARENTS.CreateChildPermission(AppPermissions.Pages_Inventory_CKD_Smqd, L( "InventoryCKDSmqd"), multiTenancySides: MultiTenancySides.Tenant);
		perInvCkdSmqd.CreateChildPermission(AppPermissions.Pages_Inventory_CKD_Smqd_CreateEdit, L( "InventoryCKDSmqdCreateEdit"), multiTenancySides: MultiTenancySides.Tenant);
		perInvCkdSmqd.CreateChildPermission(AppPermissions.Pages_Inventory_CKD_Smqd_Delete, L( "InventoryCKDSmqdDelete"),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Pages_Inventory_CKD_Smqd = "Pages.Inventory.CKD.Smqd";
		public const string Pages_Inventory_CKD_Smqd_CreateEdit = "Pages.Inventory.CKD.Smqd.CreateEdit";
		public const string Pages_Inventory_CKD_Smqd_Delete = "Pages.Inventory.CKD.Smqd.Delete";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IInvCkdSmqdAppService : IApplicationService
	{
		Task&lt;PagedResultDto&lt;InvCkdSmqdDto&gt;&gt; GetAll(GetInvCkdSmqdInput input);
		Task CreateOrEdit(CreateOrEditInvCkdSmqdDto input);
		Task Delete(EntityDto input);
	}
}
</v>
      </c>
      <c r="Q7" t="str">
        <f ca="1">SUBSTITUTE(SUBSTITUTE(SUBSTITUTE(SUBSTITUTE(SUBSTITUTE(SUBSTITUTE(E1,"MstWptCalendar",$B$3),"&lt;PROPERTIES&gt;",P24),"Calendar",$B$5),"WorkingPattern",$Q$3),"Master",$B$4),"&lt;PARAMS_SEARCH&gt;",$W$24)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[AbpAuthorize(AppPermissions.Pages_Inventory_CKD_Smqd)]
    public class InvCkdSmqdAppService : vovinaAppServiceBase, IInvCkdSmqdAppService
    {
        private readonly IDapperRepository&lt;InvCkdSmqd, long&gt; _dapperRepo;
        private readonly IRepository&lt;InvCkdSmqd, long&gt; _repo;
        private readonly IInvCkdSmqdExcelExporter _calendarListExcelExporter;
        public InvCkdSmqdAppService(IRepository&lt;InvCkdSmqd,long&gt; repo, 
                                         IDapperRepository&lt;InvCkdSmqd,long&gt; dapperRepo,
                                        IInvCkdSmqdExcelExporter calendarListExcelExporter
            )
        {
            _repo = repo;
            _dapperRepo = dapperRepo;
            _calendarListExcelExporter = calendarListExcelExporter;
        }
        [AbpAuthorize(AppPermissions.Pages_Inventory_CKD_Smqd_CreateEdit)]
        public async Task CreateOrEdit(CreateOrEditInvCkdSmqdDto input)
        {
            if (input.Id == null) await Create(input);
            else await Update(input);
        }
        //CREATE
        private async Task Create(CreateOrEditInvCkdSmqdDto input)
        {          
            var mainObj = ObjectMapper.Map&lt;InvCkdSmqd&gt;(input);
            await CurrentUnitOfWork.GetDbContext&lt;vovinaDbContext&gt;().AddAsync(mainObj);
        }
        // EDIT
        private async Task Update(CreateOrEditInvCkdSmqdDto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[AbpAuthorize(AppPermissions.Pages_Inventory_CKD_Smqd_Delete)]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Task&lt;PagedResultDto&lt;InvCkdSmqdDto&gt;&gt; GetAll(GetInvCkdSmqdInput input)
        {
            var filtered = _repo.GetAll()
				.WhereIf(!string.IsNullOrWhiteSpace(input.RunNo), e =&gt; e.RunNo.Contains(input.RunNo))
				.WhereIf(!string.IsNullOrWhiteSpace(input.Cfc), e =&gt; e.Cfc.Contains(input.Cfc))
				.WhereIf(!string.IsNullOrWhiteSpace(input.LotNo), e =&gt; e.LotNo.Contains(input.LotNo))
				.WhereIf(!string.IsNullOrWhiteSpace(input.CheckModel), e =&gt; e.CheckModel.Contains(input.CheckModel))
				.WhereIf(!string.IsNullOrWhiteSpace(input.SupplierNo), e =&gt; e.SupplierNo.Contains(input.SupplierNo))
				.WhereIf(!string.IsNullOrWhiteSpace(input.PartNo), e =&gt; e.PartNo.Contains(input.PartNo))
				.WhereIf(!string.IsNullOrWhiteSpace(input.PartName), e =&gt; e.PartName.Contains(input.PartName))
				.WhereIf(!string.IsNullOrWhiteSpace(input.ReasonCode), e =&gt; e.ReasonCode.Contains(input.ReasonCode))
				.WhereIf(!string.IsNullOrWhiteSpace(input.OrderStatus), e =&gt; e.OrderStatus.Contains(input.OrderStatus))
				.WhereIf(!string.IsNullOrWhiteSpace(input.Remark), e =&gt; e.Remark.Contains(input.Remark))                   
				;
            var pageAndFiltered = filtered.OrderBy(s =&gt; s.Id);
            var system = from o in pageAndFiltered
                         select new InvCkdSmqdDto
                        {
							Id = o.Id,
							RunNo = o.RunNo,
							Cfc = o.Cfc,
							LotNo = o.LotNo,
							CheckModel = o.CheckModel,
							SupplierNo = o.SupplierNo,
							PartNo = o.PartNo,
							PartName = o.PartName,
							Qty = o.Qty,
							EffectQty = o.EffectQty,
							ReasonCode = o.ReasonCode,
							OrderStatus = o.OrderStatus,
							ReturnQty = o.ReturnQty,
							ReturnDate = o.ReturnDate,
							Remark = o.Remark,
                        };
            var totalCount = await filtered.CountAsync();
			var paged = system.PageBy(input);
            return new PagedResultDto&lt;InvCkdSmqdDto&gt;(
                totalCount,
                 await paged.ToListAsync()
            );
        }
        public async Task&lt;FileDto&gt; GetSmqdToExcel(InvCkdSmqdExportInput input)
        {
            var query = from o in _repo.GetAll()
                        select new InvCkdSmqdDto
                        {
							Id = o.Id,
							RunNo = o.RunNo,
							Cfc = o.Cfc,
							LotNo = o.LotNo,
							CheckModel = o.CheckModel,
							SupplierNo = o.SupplierNo,
							PartNo = o.PartNo,
							PartName = o.PartName,
							Qty = o.Qty,
							EffectQty = o.EffectQty,
							ReasonCode = o.ReasonCode,
							OrderStatus = o.OrderStatus,
							ReturnQty = o.ReturnQty,
							ReturnDate = o.ReturnDate,
							Remark = o.Remark,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_dapperRepo.ExecuteAsync(InvCkdSmqdConsts.SP_MST_WPT_CALENDAR_GENERATE);
       // }
    }
}</v>
      </c>
      <c r="R7" t="str">
        <f ca="1">SUBSTITUTE(SUBSTITUTE((C1&amp;"namespace "&amp;B6&amp;".Dto"&amp;E3&amp;C3&amp;R3&amp;M24&amp;E3&amp;REPT(CHAR(9),1)&amp;D3&amp;D3),"WorkingPattern",$Q$3),"Master",$B$4)</f>
        <v xml:space="preserve">using Abp.Application.Services.Dto;
using System;
using System.ComponentModel.DataAnnotations;
namespace prod.Inventory.CKD.Dto
{
	public class InvCkdSmqdExportInput{
		public virtual string RunNo { get; set; }
		public virtual string Cfc { get; set; }
		public virtual string LotNo { get; set; }
		public virtual string CheckModel { get; set; }
		public virtual string SupplierNo { get; set; }
		public virtual string PartNo { get; set; }
		public virtual string PartName { get; set; }
		public virtual int? Qty { get; set; }
		public virtual int? EffectQty { get; set; }
		public virtual string ReasonCode { get; set; }
		public virtual string OrderStatus { get; set; }
		public virtual int? ReturnQty { get; set; }
		public virtual DateTime? ReturnDate { get; set; }
		public virtual string Remark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IInvCkdSmqdExcelExporter : IApplicationService
	{
		FileDto ExportToFile(List&lt;InvCkdSmqdDto&gt; invckdsmqd);
	}
}
</v>
      </c>
      <c r="T7" s="26" t="str">
        <f ca="1">SUBSTITUTE(SUBSTITUTE(SUBSTITUTE(SUBSTITUTE(SUBSTITUTE(SUBSTITUTE(SUBSTITUTE(T1,"MstWptCalendar",$B$3),"&lt;PROPERTIES1&gt;",V24),"&lt;PROPERTIES&gt;",T24),"Calendar",$B$5),"calendar",LOWER(B5)),"WorkingPattern",$Q$3),"Master",$B$4)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InvCkdSmqdExcelExporter : NpoiExcelExporterBase, IInvCkdSmqdExcelExporter
    {
        public InvCkdSmqdExcelExporter(ITempFileCacheManager tempFileCacheManager) : base(tempFileCacheManager) { }
        public FileDto ExportToFile(List&lt;InvCkdSmqdDto&gt; smqd)
        {
            return CreateExcelPackage(
				"InventoryCKDSmqd.xlsx",
				excelPackage =&gt;
				 {
					var sheet = excelPackage.CreateSheet("Smqd");
					AddHeader(
								sheet,
								("RunNo"),
								("Cfc"),
								("LotNo"),
								("CheckModel"),
								("SupplierNo"),
								("PartNo"),
								("PartName"),
								("Qty"),
								("EffectQty"),
								("ReasonCode"),
								("OrderStatus"),
								("ReturnQty"),
								("ReturnDate"),
								("Remark"),
							   );
					AddObjects(
						 sheet, 1, smqd,                                       
								_ =&gt; _.RunNo,
								_ =&gt; _.Cfc,
								_ =&gt; _.LotNo,
								_ =&gt; _.CheckModel,
								_ =&gt; _.SupplierNo,
								_ =&gt; _.PartNo,
								_ =&gt; _.PartName,
								_ =&gt; _.Qty,
								_ =&gt; _.EffectQty,
								_ =&gt; _.ReasonCode,
								_ =&gt; _.OrderStatus,
								_ =&gt; _.ReturnQty,
								_ =&gt; _.ReturnDate,
								_ =&gt; _.Remark,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configuration.CreateMap&lt;InvCkdSmqdDto, InvCkdSmqd&gt;();
  configuration.CreateMap&lt;InvCkdSmqd, InvCkdSmqdDto&gt;();
  configuration.CreateMap&lt;CreateOrEditInvCkdSmqdDto, InvCkdSmqd&gt;();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362</v>
      </c>
      <c r="B9" t="s">
        <v>372</v>
      </c>
      <c r="C9" t="s">
        <v>1</v>
      </c>
      <c r="D9" t="str">
        <f t="shared" ref="D9" si="0">SUBSTITUTE(PROPER(A9),"_","")</f>
        <v>RunNo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MaxRunNoLength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[StringLength(MaxRunNoLength)]
		public virtual string RunNo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RunNo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[StringLength(InvCkdSmqdConsts.MaxRunNoLength)]
		public virtual string RunNo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RunNo { get; set; }
</v>
      </c>
      <c r="P9" t="str">
        <f t="shared" ref="P9" si="9">REPT(CHAR(9),7)&amp;D9&amp;" = o." &amp;D9 &amp;","</f>
        <v xml:space="preserve">							RunNo = o.RunNo,</v>
      </c>
      <c r="T9" s="63" t="str">
        <f t="shared" ref="T9" si="10">REPT(CHAR(9),8)&amp;"("""&amp;D9&amp;"""),"</f>
        <v xml:space="preserve">								("RunNo"),</v>
      </c>
      <c r="V9" s="64" t="str">
        <f t="shared" ref="V9" si="11">REPT(CHAR(9),8)&amp;"_ =&gt; _."&amp;D9&amp;","</f>
        <v xml:space="preserve">								_ =&gt; _.RunNo,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.WhereIf(!string.IsNullOrWhiteSpace(input.RunNo), e =&gt; e.RunNo.Contains(input.RunNo))</v>
      </c>
    </row>
    <row r="10" spans="1:23" customFormat="1" ht="18.75" customHeight="1" x14ac:dyDescent="0.25">
      <c r="A10" t="s">
        <v>363</v>
      </c>
      <c r="B10" t="s">
        <v>372</v>
      </c>
      <c r="C10" t="s">
        <v>1</v>
      </c>
      <c r="D10" t="str">
        <f t="shared" ref="D10:D11" si="13">SUBSTITUTE(PROPER(A10),"_","")</f>
        <v>Cfc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MaxCfcLength = 50;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[StringLength(MaxCfcLength)]
		public virtual string Cfc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Cfc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[StringLength(InvCkdSmqdConsts.MaxCfcLength)]
		public virtual string Cfc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Cfc { get; set; }
</v>
      </c>
      <c r="P10" t="str">
        <f t="shared" ref="P10:P11" si="22">REPT(CHAR(9),7)&amp;D10&amp;" = o." &amp;D10 &amp;","</f>
        <v xml:space="preserve">							Cfc = o.Cfc,</v>
      </c>
      <c r="T10" s="63" t="str">
        <f t="shared" ref="T10:T11" si="23">REPT(CHAR(9),8)&amp;"("""&amp;D10&amp;"""),"</f>
        <v xml:space="preserve">								("Cfc"),</v>
      </c>
      <c r="V10" s="64" t="str">
        <f t="shared" ref="V10:V11" si="24">REPT(CHAR(9),8)&amp;"_ =&gt; _."&amp;D10&amp;","</f>
        <v xml:space="preserve">								_ =&gt; _.Cfc,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.WhereIf(!string.IsNullOrWhiteSpace(input.Cfc), e =&gt; e.Cfc.Contains(input.Cfc))</v>
      </c>
    </row>
    <row r="11" spans="1:23" customFormat="1" ht="18.75" customHeight="1" x14ac:dyDescent="0.25">
      <c r="A11" t="s">
        <v>357</v>
      </c>
      <c r="B11" t="s">
        <v>358</v>
      </c>
      <c r="C11" t="s">
        <v>1</v>
      </c>
      <c r="D11" t="str">
        <f t="shared" si="13"/>
        <v>LotNo</v>
      </c>
      <c r="E11" t="str">
        <f t="shared" si="14"/>
        <v>VARCHAR</v>
      </c>
      <c r="F11" s="6"/>
      <c r="G11" t="str">
        <f t="shared" si="15"/>
        <v>10</v>
      </c>
      <c r="H11" t="str">
        <f>+VLOOKUP(E11,'Data Type Mapping'!A:B,2,)</f>
        <v>string</v>
      </c>
      <c r="I11" t="str">
        <f t="shared" si="16"/>
        <v xml:space="preserve">		public const int MaxLotNoLength = 10;
</v>
      </c>
      <c r="J11" t="str">
        <f t="shared" si="17"/>
        <v xml:space="preserve">		[StringLength(MaxLotNoLength)]
		public virtual string LotNo { get; set; }
</v>
      </c>
      <c r="K11" s="6"/>
      <c r="L11" t="str">
        <f t="shared" si="18"/>
        <v/>
      </c>
      <c r="M11" t="str">
        <f t="shared" si="19"/>
        <v xml:space="preserve">		public virtual string LotNo { get; set; }
</v>
      </c>
      <c r="N11" t="str">
        <f t="shared" si="20"/>
        <v xml:space="preserve">		[StringLength(InvCkdSmqdConsts.MaxLotNoLength)]
		public virtual string LotNo { get; set; }
</v>
      </c>
      <c r="O11" t="str">
        <f t="shared" si="21"/>
        <v xml:space="preserve">		public virtual string LotNo { get; set; }
</v>
      </c>
      <c r="P11" t="str">
        <f t="shared" si="22"/>
        <v xml:space="preserve">							LotNo = o.LotNo,</v>
      </c>
      <c r="T11" s="63" t="str">
        <f t="shared" si="23"/>
        <v xml:space="preserve">								("LotNo"),</v>
      </c>
      <c r="V11" s="64" t="str">
        <f t="shared" si="24"/>
        <v xml:space="preserve">								_ =&gt; _.LotNo,</v>
      </c>
      <c r="W11" s="63" t="str">
        <f t="shared" si="25"/>
        <v xml:space="preserve">				.WhereIf(!string.IsNullOrWhiteSpace(input.LotNo), e =&gt; e.LotNo.Contains(input.LotNo))</v>
      </c>
    </row>
    <row r="12" spans="1:23" customFormat="1" ht="18.75" customHeight="1" x14ac:dyDescent="0.25">
      <c r="A12" t="s">
        <v>364</v>
      </c>
      <c r="B12" t="s">
        <v>361</v>
      </c>
      <c r="C12" t="s">
        <v>1</v>
      </c>
      <c r="D12" t="str">
        <f t="shared" ref="D12:D15" si="26">SUBSTITUTE(PROPER(A12),"_","")</f>
        <v>CheckModel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200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MaxCheckModelLength = 200;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[StringLength(MaxCheckModelLength)]
		public virtual string CheckModel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CheckModel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[StringLength(InvCkdSmqdConsts.MaxCheckModelLength)]
		public virtual string CheckModel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CheckModel { get; set; }
</v>
      </c>
      <c r="P12" t="str">
        <f t="shared" ref="P12:P15" si="35">REPT(CHAR(9),7)&amp;D12&amp;" = o." &amp;D12 &amp;","</f>
        <v xml:space="preserve">							CheckModel = o.CheckModel,</v>
      </c>
      <c r="T12" s="63" t="str">
        <f t="shared" ref="T12:T15" si="36">REPT(CHAR(9),8)&amp;"("""&amp;D12&amp;"""),"</f>
        <v xml:space="preserve">								("CheckModel"),</v>
      </c>
      <c r="V12" s="64" t="str">
        <f t="shared" ref="V12:V15" si="37">REPT(CHAR(9),8)&amp;"_ =&gt; _."&amp;D12&amp;","</f>
        <v xml:space="preserve">								_ =&gt; _.CheckModel,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.WhereIf(!string.IsNullOrWhiteSpace(input.CheckModel), e =&gt; e.CheckModel.Contains(input.CheckModel))</v>
      </c>
    </row>
    <row r="13" spans="1:23" customFormat="1" ht="18.75" customHeight="1" x14ac:dyDescent="0.25">
      <c r="A13" t="s">
        <v>349</v>
      </c>
      <c r="B13" t="s">
        <v>360</v>
      </c>
      <c r="C13" t="s">
        <v>1</v>
      </c>
      <c r="D13" t="str">
        <f t="shared" si="26"/>
        <v>SupplierNo</v>
      </c>
      <c r="E13" t="str">
        <f t="shared" si="27"/>
        <v>VARCHAR</v>
      </c>
      <c r="F13" s="6"/>
      <c r="G13" t="str">
        <f t="shared" si="28"/>
        <v>20</v>
      </c>
      <c r="H13" t="str">
        <f>+VLOOKUP(E13,'Data Type Mapping'!A:B,2,)</f>
        <v>string</v>
      </c>
      <c r="I13" t="str">
        <f t="shared" si="29"/>
        <v xml:space="preserve">		public const int MaxSupplierNoLength = 20;
</v>
      </c>
      <c r="J13" t="str">
        <f t="shared" si="30"/>
        <v xml:space="preserve">		[StringLength(MaxSupplierNoLength)]
		public virtual string SupplierNo { get; set; }
</v>
      </c>
      <c r="K13" s="6"/>
      <c r="L13" t="str">
        <f t="shared" si="31"/>
        <v/>
      </c>
      <c r="M13" t="str">
        <f t="shared" si="32"/>
        <v xml:space="preserve">		public virtual string SupplierNo { get; set; }
</v>
      </c>
      <c r="N13" t="str">
        <f t="shared" si="33"/>
        <v xml:space="preserve">		[StringLength(InvCkdSmqdConsts.MaxSupplierNoLength)]
		public virtual string SupplierNo { get; set; }
</v>
      </c>
      <c r="O13" t="str">
        <f t="shared" si="34"/>
        <v xml:space="preserve">		public virtual string SupplierNo { get; set; }
</v>
      </c>
      <c r="P13" t="str">
        <f t="shared" si="35"/>
        <v xml:space="preserve">							SupplierNo = o.SupplierNo,</v>
      </c>
      <c r="T13" s="63" t="str">
        <f t="shared" si="36"/>
        <v xml:space="preserve">								("SupplierNo"),</v>
      </c>
      <c r="V13" s="64" t="str">
        <f t="shared" si="37"/>
        <v xml:space="preserve">								_ =&gt; _.SupplierNo,</v>
      </c>
      <c r="W13" s="63" t="str">
        <f t="shared" si="38"/>
        <v xml:space="preserve">				.WhereIf(!string.IsNullOrWhiteSpace(input.SupplierNo), e =&gt; e.SupplierNo.Contains(input.SupplierNo))</v>
      </c>
    </row>
    <row r="14" spans="1:23" customFormat="1" ht="18.75" customHeight="1" x14ac:dyDescent="0.25">
      <c r="A14" t="s">
        <v>356</v>
      </c>
      <c r="B14" t="s">
        <v>372</v>
      </c>
      <c r="C14" t="s">
        <v>1</v>
      </c>
      <c r="D14" t="str">
        <f t="shared" si="26"/>
        <v>PartNo</v>
      </c>
      <c r="E14" t="str">
        <f t="shared" si="27"/>
        <v>VARCHAR</v>
      </c>
      <c r="F14" s="6"/>
      <c r="G14" t="str">
        <f t="shared" si="28"/>
        <v>50</v>
      </c>
      <c r="H14" t="str">
        <f>+VLOOKUP(E14,'Data Type Mapping'!A:B,2,)</f>
        <v>string</v>
      </c>
      <c r="I14" t="str">
        <f t="shared" si="29"/>
        <v xml:space="preserve">		public const int MaxPartNoLength = 50;
</v>
      </c>
      <c r="J14" t="str">
        <f t="shared" si="30"/>
        <v xml:space="preserve">		[StringLength(MaxPartNoLength)]
		public virtual string PartNo { get; set; }
</v>
      </c>
      <c r="K14" s="6"/>
      <c r="L14" t="str">
        <f t="shared" si="31"/>
        <v/>
      </c>
      <c r="M14" t="str">
        <f t="shared" si="32"/>
        <v xml:space="preserve">		public virtual string PartNo { get; set; }
</v>
      </c>
      <c r="N14" t="str">
        <f t="shared" si="33"/>
        <v xml:space="preserve">		[StringLength(InvCkdSmqdConsts.MaxPartNoLength)]
		public virtual string PartNo { get; set; }
</v>
      </c>
      <c r="O14" t="str">
        <f t="shared" si="34"/>
        <v xml:space="preserve">		public virtual string PartNo { get; set; }
</v>
      </c>
      <c r="P14" t="str">
        <f t="shared" si="35"/>
        <v xml:space="preserve">							PartNo = o.PartNo,</v>
      </c>
      <c r="T14" s="63" t="str">
        <f t="shared" si="36"/>
        <v xml:space="preserve">								("PartNo"),</v>
      </c>
      <c r="V14" s="64" t="str">
        <f t="shared" si="37"/>
        <v xml:space="preserve">								_ =&gt; _.PartNo,</v>
      </c>
      <c r="W14" s="63" t="str">
        <f t="shared" si="38"/>
        <v xml:space="preserve">				.WhereIf(!string.IsNullOrWhiteSpace(input.PartNo), e =&gt; e.PartNo.Contains(input.PartNo))</v>
      </c>
    </row>
    <row r="15" spans="1:23" customFormat="1" ht="18.75" customHeight="1" x14ac:dyDescent="0.25">
      <c r="A15" t="s">
        <v>359</v>
      </c>
      <c r="B15" t="s">
        <v>361</v>
      </c>
      <c r="C15" t="s">
        <v>1</v>
      </c>
      <c r="D15" t="str">
        <f t="shared" si="26"/>
        <v>PartName</v>
      </c>
      <c r="E15" t="str">
        <f t="shared" si="27"/>
        <v>VARCHAR</v>
      </c>
      <c r="F15" s="6"/>
      <c r="G15" t="str">
        <f t="shared" si="28"/>
        <v>200</v>
      </c>
      <c r="H15" t="str">
        <f>+VLOOKUP(E15,'Data Type Mapping'!A:B,2,)</f>
        <v>string</v>
      </c>
      <c r="I15" t="str">
        <f t="shared" si="29"/>
        <v xml:space="preserve">		public const int MaxPartNameLength = 200;
</v>
      </c>
      <c r="J15" t="str">
        <f t="shared" si="30"/>
        <v xml:space="preserve">		[StringLength(MaxPartNameLength)]
		public virtual string PartName { get; set; }
</v>
      </c>
      <c r="K15" s="6"/>
      <c r="L15" t="str">
        <f t="shared" si="31"/>
        <v/>
      </c>
      <c r="M15" t="str">
        <f t="shared" si="32"/>
        <v xml:space="preserve">		public virtual string PartName { get; set; }
</v>
      </c>
      <c r="N15" t="str">
        <f t="shared" si="33"/>
        <v xml:space="preserve">		[StringLength(InvCkdSmqdConsts.MaxPartNameLength)]
		public virtual string PartName { get; set; }
</v>
      </c>
      <c r="O15" t="str">
        <f t="shared" si="34"/>
        <v xml:space="preserve">		public virtual string PartName { get; set; }
</v>
      </c>
      <c r="P15" t="str">
        <f t="shared" si="35"/>
        <v xml:space="preserve">							PartName = o.PartName,</v>
      </c>
      <c r="T15" s="63" t="str">
        <f t="shared" si="36"/>
        <v xml:space="preserve">								("PartName"),</v>
      </c>
      <c r="V15" s="64" t="str">
        <f t="shared" si="37"/>
        <v xml:space="preserve">								_ =&gt; _.PartName,</v>
      </c>
      <c r="W15" s="63" t="str">
        <f t="shared" si="38"/>
        <v xml:space="preserve">				.WhereIf(!string.IsNullOrWhiteSpace(input.PartName), e =&gt; e.PartName.Contains(input.PartName))</v>
      </c>
    </row>
    <row r="16" spans="1:23" customFormat="1" ht="18.75" customHeight="1" x14ac:dyDescent="0.25">
      <c r="A16" t="s">
        <v>365</v>
      </c>
      <c r="B16" t="s">
        <v>4</v>
      </c>
      <c r="C16" t="s">
        <v>1</v>
      </c>
      <c r="D16" t="str">
        <f t="shared" ref="D16:D22" si="39">SUBSTITUTE(PROPER(A16),"_","")</f>
        <v>Qty</v>
      </c>
      <c r="E16" t="str">
        <f t="shared" ref="E16:E22" si="40">IFERROR(LEFT(B16, FIND("(",B16)-1),B16)</f>
        <v>int</v>
      </c>
      <c r="F16" s="6"/>
      <c r="G16" t="str">
        <f t="shared" ref="G16:G22" si="41">IFERROR(MID(B16,FIND("(",B16) +1, FIND(")",B16) - FIND("(",B16) - 1),"")</f>
        <v/>
      </c>
      <c r="H16" t="str">
        <f>+VLOOKUP(E16,'Data Type Mapping'!A:B,2,)</f>
        <v>int?</v>
      </c>
      <c r="I16" t="str">
        <f t="shared" ref="I16:I22" si="42">IF(H16="string",REPT(CHAR(9),2)&amp;"public const int Max"&amp;D16&amp;"Length = "&amp;G16&amp;";"&amp;$E$3,"" )</f>
        <v/>
      </c>
      <c r="J16" t="str">
        <f t="shared" ref="J16:J22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int? Qty { get; set; }
</v>
      </c>
      <c r="K16" s="6"/>
      <c r="L16" t="str">
        <f t="shared" ref="L16:L22" si="44">IF(K16="","",REPT(CHAR(9),1)&amp;"[Index(nameof("&amp;IF(D16="","",""&amp;D16)&amp;")"&amp;", Name="&amp;"""IX_"&amp;$B$7&amp;"_"&amp;D16&amp;""")]")</f>
        <v/>
      </c>
      <c r="M16" t="str">
        <f t="shared" ref="M16:M22" si="45">REPT(CHAR(9),2)&amp;"public virtual "&amp;IF(OR(H16="DateTime",H16="TimeSpan"),H16&amp;"?",H16)&amp;IF(C16="?","? "," ")&amp;D16&amp;" { get; set; }" &amp; "
"</f>
        <v xml:space="preserve">		public virtual int? Qty { get; set; }
</v>
      </c>
      <c r="N16" t="str">
        <f t="shared" ref="N16:N22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int? Qty { get; set; }
</v>
      </c>
      <c r="O16" t="str">
        <f t="shared" ref="O16:O22" si="47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:P22" si="48">REPT(CHAR(9),7)&amp;D16&amp;" = o." &amp;D16 &amp;","</f>
        <v xml:space="preserve">							Qty = o.Qty,</v>
      </c>
      <c r="T16" s="63" t="str">
        <f t="shared" ref="T16:T22" si="49">REPT(CHAR(9),8)&amp;"("""&amp;D16&amp;"""),"</f>
        <v xml:space="preserve">								("Qty"),</v>
      </c>
      <c r="V16" s="64" t="str">
        <f t="shared" ref="V16:V22" si="50">REPT(CHAR(9),8)&amp;"_ =&gt; _."&amp;D16&amp;","</f>
        <v xml:space="preserve">								_ =&gt; _.Qty,</v>
      </c>
      <c r="W16" s="63" t="str">
        <f t="shared" ref="W16:W22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25">
      <c r="A17" t="s">
        <v>366</v>
      </c>
      <c r="B17" t="s">
        <v>4</v>
      </c>
      <c r="C17" t="s">
        <v>1</v>
      </c>
      <c r="D17" t="str">
        <f t="shared" si="39"/>
        <v>EffectQty</v>
      </c>
      <c r="E17" t="str">
        <f t="shared" si="40"/>
        <v>int</v>
      </c>
      <c r="F17" s="6"/>
      <c r="G17" t="str">
        <f t="shared" si="41"/>
        <v/>
      </c>
      <c r="H17" t="str">
        <f>+VLOOKUP(E17,'Data Type Mapping'!A:B,2,)</f>
        <v>int?</v>
      </c>
      <c r="I17" t="str">
        <f t="shared" si="42"/>
        <v/>
      </c>
      <c r="J17" t="str">
        <f t="shared" si="43"/>
        <v xml:space="preserve">		public virtual int? EffectQty { get; set; }
</v>
      </c>
      <c r="K17" s="6"/>
      <c r="L17" t="str">
        <f t="shared" si="44"/>
        <v/>
      </c>
      <c r="M17" t="str">
        <f t="shared" si="45"/>
        <v xml:space="preserve">		public virtual int? EffectQty { get; set; }
</v>
      </c>
      <c r="N17" t="str">
        <f t="shared" si="46"/>
        <v xml:space="preserve">		public virtual int? EffectQty { get; set; }
</v>
      </c>
      <c r="O17" t="str">
        <f t="shared" si="47"/>
        <v/>
      </c>
      <c r="P17" t="str">
        <f t="shared" si="48"/>
        <v xml:space="preserve">							EffectQty = o.EffectQty,</v>
      </c>
      <c r="T17" s="63" t="str">
        <f t="shared" si="49"/>
        <v xml:space="preserve">								("EffectQty"),</v>
      </c>
      <c r="V17" s="64" t="str">
        <f t="shared" si="50"/>
        <v xml:space="preserve">								_ =&gt; _.EffectQty,</v>
      </c>
      <c r="W17" s="63" t="str">
        <f t="shared" si="51"/>
        <v/>
      </c>
    </row>
    <row r="18" spans="1:23" customFormat="1" ht="18.75" customHeight="1" x14ac:dyDescent="0.25">
      <c r="A18" t="s">
        <v>367</v>
      </c>
      <c r="B18" t="s">
        <v>373</v>
      </c>
      <c r="C18" t="s">
        <v>1</v>
      </c>
      <c r="D18" t="str">
        <f t="shared" si="39"/>
        <v>ReasonCode</v>
      </c>
      <c r="E18" t="str">
        <f t="shared" si="40"/>
        <v>VARCHAR</v>
      </c>
      <c r="F18" s="6"/>
      <c r="G18" t="str">
        <f t="shared" si="41"/>
        <v>500</v>
      </c>
      <c r="H18" t="str">
        <f>+VLOOKUP(E18,'Data Type Mapping'!A:B,2,)</f>
        <v>string</v>
      </c>
      <c r="I18" t="str">
        <f t="shared" si="42"/>
        <v xml:space="preserve">		public const int MaxReasonCodeLength = 500;
</v>
      </c>
      <c r="J18" t="str">
        <f t="shared" si="43"/>
        <v xml:space="preserve">		[StringLength(MaxReasonCodeLength)]
		public virtual string ReasonCode { get; set; }
</v>
      </c>
      <c r="K18" s="6"/>
      <c r="L18" t="str">
        <f t="shared" si="44"/>
        <v/>
      </c>
      <c r="M18" t="str">
        <f t="shared" si="45"/>
        <v xml:space="preserve">		public virtual string ReasonCode { get; set; }
</v>
      </c>
      <c r="N18" t="str">
        <f t="shared" si="46"/>
        <v xml:space="preserve">		[StringLength(InvCkdSmqdConsts.MaxReasonCodeLength)]
		public virtual string ReasonCode { get; set; }
</v>
      </c>
      <c r="O18" t="str">
        <f t="shared" si="47"/>
        <v xml:space="preserve">		public virtual string ReasonCode { get; set; }
</v>
      </c>
      <c r="P18" t="str">
        <f t="shared" si="48"/>
        <v xml:space="preserve">							ReasonCode = o.ReasonCode,</v>
      </c>
      <c r="T18" s="63" t="str">
        <f t="shared" si="49"/>
        <v xml:space="preserve">								("ReasonCode"),</v>
      </c>
      <c r="V18" s="64" t="str">
        <f t="shared" si="50"/>
        <v xml:space="preserve">								_ =&gt; _.ReasonCode,</v>
      </c>
      <c r="W18" s="63" t="str">
        <f t="shared" si="51"/>
        <v xml:space="preserve">				.WhereIf(!string.IsNullOrWhiteSpace(input.ReasonCode), e =&gt; e.ReasonCode.Contains(input.ReasonCode))</v>
      </c>
    </row>
    <row r="19" spans="1:23" customFormat="1" ht="18.75" customHeight="1" x14ac:dyDescent="0.25">
      <c r="A19" t="s">
        <v>368</v>
      </c>
      <c r="B19" t="s">
        <v>372</v>
      </c>
      <c r="C19" t="s">
        <v>1</v>
      </c>
      <c r="D19" t="str">
        <f t="shared" si="39"/>
        <v>OrderStatus</v>
      </c>
      <c r="E19" t="str">
        <f t="shared" si="40"/>
        <v>VARCHAR</v>
      </c>
      <c r="F19" s="6"/>
      <c r="G19" t="str">
        <f t="shared" si="41"/>
        <v>50</v>
      </c>
      <c r="H19" t="str">
        <f>+VLOOKUP(E19,'Data Type Mapping'!A:B,2,)</f>
        <v>string</v>
      </c>
      <c r="I19" t="str">
        <f t="shared" si="42"/>
        <v xml:space="preserve">		public const int MaxOrderStatusLength = 50;
</v>
      </c>
      <c r="J19" t="str">
        <f t="shared" si="43"/>
        <v xml:space="preserve">		[StringLength(MaxOrderStatusLength)]
		public virtual string OrderStatus { get; set; }
</v>
      </c>
      <c r="K19" s="6"/>
      <c r="L19" t="str">
        <f t="shared" si="44"/>
        <v/>
      </c>
      <c r="M19" t="str">
        <f t="shared" si="45"/>
        <v xml:space="preserve">		public virtual string OrderStatus { get; set; }
</v>
      </c>
      <c r="N19" t="str">
        <f t="shared" si="46"/>
        <v xml:space="preserve">		[StringLength(InvCkdSmqdConsts.MaxOrderStatusLength)]
		public virtual string OrderStatus { get; set; }
</v>
      </c>
      <c r="O19" t="str">
        <f t="shared" si="47"/>
        <v xml:space="preserve">		public virtual string OrderStatus { get; set; }
</v>
      </c>
      <c r="P19" t="str">
        <f t="shared" si="48"/>
        <v xml:space="preserve">							OrderStatus = o.OrderStatus,</v>
      </c>
      <c r="T19" s="63" t="str">
        <f t="shared" si="49"/>
        <v xml:space="preserve">								("OrderStatus"),</v>
      </c>
      <c r="V19" s="64" t="str">
        <f t="shared" si="50"/>
        <v xml:space="preserve">								_ =&gt; _.OrderStatus,</v>
      </c>
      <c r="W19" s="63" t="str">
        <f t="shared" si="51"/>
        <v xml:space="preserve">				.WhereIf(!string.IsNullOrWhiteSpace(input.OrderStatus), e =&gt; e.OrderStatus.Contains(input.OrderStatus))</v>
      </c>
    </row>
    <row r="20" spans="1:23" customFormat="1" ht="18.75" customHeight="1" x14ac:dyDescent="0.25">
      <c r="A20" t="s">
        <v>369</v>
      </c>
      <c r="B20" t="s">
        <v>4</v>
      </c>
      <c r="C20" t="s">
        <v>1</v>
      </c>
      <c r="D20" t="str">
        <f t="shared" si="39"/>
        <v>ReturnQty</v>
      </c>
      <c r="E20" t="str">
        <f t="shared" si="40"/>
        <v>int</v>
      </c>
      <c r="F20" s="6"/>
      <c r="G20" t="str">
        <f t="shared" si="41"/>
        <v/>
      </c>
      <c r="H20" t="str">
        <f>+VLOOKUP(E20,'Data Type Mapping'!A:B,2,)</f>
        <v>int?</v>
      </c>
      <c r="I20" t="str">
        <f t="shared" si="42"/>
        <v/>
      </c>
      <c r="J20" t="str">
        <f t="shared" si="43"/>
        <v xml:space="preserve">		public virtual int? ReturnQty { get; set; }
</v>
      </c>
      <c r="K20" s="6"/>
      <c r="L20" t="str">
        <f t="shared" si="44"/>
        <v/>
      </c>
      <c r="M20" t="str">
        <f t="shared" si="45"/>
        <v xml:space="preserve">		public virtual int? ReturnQty { get; set; }
</v>
      </c>
      <c r="N20" t="str">
        <f t="shared" si="46"/>
        <v xml:space="preserve">		public virtual int? ReturnQty { get; set; }
</v>
      </c>
      <c r="O20" t="str">
        <f t="shared" si="47"/>
        <v/>
      </c>
      <c r="P20" t="str">
        <f t="shared" si="48"/>
        <v xml:space="preserve">							ReturnQty = o.ReturnQty,</v>
      </c>
      <c r="T20" s="63" t="str">
        <f t="shared" si="49"/>
        <v xml:space="preserve">								("ReturnQty"),</v>
      </c>
      <c r="V20" s="64" t="str">
        <f t="shared" si="50"/>
        <v xml:space="preserve">								_ =&gt; _.ReturnQty,</v>
      </c>
      <c r="W20" s="63" t="str">
        <f t="shared" si="51"/>
        <v/>
      </c>
    </row>
    <row r="21" spans="1:23" customFormat="1" ht="18.75" customHeight="1" x14ac:dyDescent="0.25">
      <c r="A21" t="s">
        <v>370</v>
      </c>
      <c r="B21" t="s">
        <v>2</v>
      </c>
      <c r="C21" t="s">
        <v>1</v>
      </c>
      <c r="D21" t="str">
        <f t="shared" si="39"/>
        <v>ReturnDate</v>
      </c>
      <c r="E21" t="str">
        <f t="shared" si="40"/>
        <v>date</v>
      </c>
      <c r="F21" s="6"/>
      <c r="G21" t="str">
        <f t="shared" si="41"/>
        <v/>
      </c>
      <c r="H21" t="str">
        <f>+VLOOKUP(E21,'Data Type Mapping'!A:B,2,)</f>
        <v>DateTime?</v>
      </c>
      <c r="I21" t="str">
        <f t="shared" si="42"/>
        <v/>
      </c>
      <c r="J21" t="str">
        <f t="shared" si="43"/>
        <v xml:space="preserve">		public virtual DateTime? ReturnDate { get; set; }
</v>
      </c>
      <c r="K21" s="6"/>
      <c r="L21" t="str">
        <f t="shared" si="44"/>
        <v/>
      </c>
      <c r="M21" t="str">
        <f t="shared" si="45"/>
        <v xml:space="preserve">		public virtual DateTime? ReturnDate { get; set; }
</v>
      </c>
      <c r="N21" t="str">
        <f t="shared" si="46"/>
        <v xml:space="preserve">		public virtual DateTime? ReturnDate { get; set; }
</v>
      </c>
      <c r="O21" t="str">
        <f t="shared" si="47"/>
        <v/>
      </c>
      <c r="P21" t="str">
        <f t="shared" si="48"/>
        <v xml:space="preserve">							ReturnDate = o.ReturnDate,</v>
      </c>
      <c r="T21" s="63" t="str">
        <f t="shared" si="49"/>
        <v xml:space="preserve">								("ReturnDate"),</v>
      </c>
      <c r="V21" s="64" t="str">
        <f t="shared" si="50"/>
        <v xml:space="preserve">								_ =&gt; _.ReturnDate,</v>
      </c>
      <c r="W21" s="63" t="str">
        <f t="shared" si="51"/>
        <v/>
      </c>
    </row>
    <row r="22" spans="1:23" customFormat="1" ht="18.75" customHeight="1" x14ac:dyDescent="0.25">
      <c r="A22" t="s">
        <v>371</v>
      </c>
      <c r="B22" t="s">
        <v>374</v>
      </c>
      <c r="C22" t="s">
        <v>1</v>
      </c>
      <c r="D22" t="str">
        <f t="shared" si="39"/>
        <v>Remark</v>
      </c>
      <c r="E22" t="str">
        <f t="shared" si="40"/>
        <v>VARCHAR</v>
      </c>
      <c r="F22" s="6"/>
      <c r="G22" t="str">
        <f t="shared" si="41"/>
        <v>5000</v>
      </c>
      <c r="H22" t="str">
        <f>+VLOOKUP(E22,'Data Type Mapping'!A:B,2,)</f>
        <v>string</v>
      </c>
      <c r="I22" t="str">
        <f t="shared" si="42"/>
        <v xml:space="preserve">		public const int MaxRemarkLength = 5000;
</v>
      </c>
      <c r="J22" t="str">
        <f t="shared" si="43"/>
        <v xml:space="preserve">		[StringLength(MaxRemarkLength)]
		public virtual string Remark { get; set; }
</v>
      </c>
      <c r="K22" s="6"/>
      <c r="L22" t="str">
        <f t="shared" si="44"/>
        <v/>
      </c>
      <c r="M22" t="str">
        <f t="shared" si="45"/>
        <v xml:space="preserve">		public virtual string Remark { get; set; }
</v>
      </c>
      <c r="N22" t="str">
        <f t="shared" si="46"/>
        <v xml:space="preserve">		[StringLength(InvCkdSmqdConsts.MaxRemarkLength)]
		public virtual string Remark { get; set; }
</v>
      </c>
      <c r="O22" t="str">
        <f t="shared" si="47"/>
        <v xml:space="preserve">		public virtual string Remark { get; set; }
</v>
      </c>
      <c r="P22" t="str">
        <f t="shared" si="48"/>
        <v xml:space="preserve">							Remark = o.Remark,</v>
      </c>
      <c r="T22" s="63" t="str">
        <f t="shared" si="49"/>
        <v xml:space="preserve">								("Remark"),</v>
      </c>
      <c r="V22" s="64" t="str">
        <f t="shared" si="50"/>
        <v xml:space="preserve">								_ =&gt; _.Remark,</v>
      </c>
      <c r="W22" s="63" t="str">
        <f t="shared" si="51"/>
        <v xml:space="preserve">				.WhereIf(!string.IsNullOrWhiteSpace(input.Remark), e =&gt; e.Remark.Contains(input.Remark))</v>
      </c>
    </row>
    <row r="24" spans="1:23" ht="45.75" customHeight="1" x14ac:dyDescent="0.25">
      <c r="H24" s="11"/>
      <c r="I24" s="31" t="str">
        <f ca="1">TEXTJOIN2("
", TRUE,INDIRECT( $H$1):INDIRECT( $H$3))</f>
        <v xml:space="preserve">		public const int MaxRunNoLength = 50;
		public const int MaxCfcLength = 50;
		public const int MaxLotNoLength = 10;
		public const int MaxCheckModelLength = 200;
		public const int MaxSupplierNoLength = 20;
		public const int MaxPartNoLength = 50;
		public const int MaxPartNameLength = 200;
		public const int MaxReasonCodeLength = 500;
		public const int MaxOrderStatusLength = 50;
		public const int MaxRemarkLength = 5000;
</v>
      </c>
      <c r="J24" s="30" t="str">
        <f ca="1">TEXTJOIN2("
", TRUE,INDIRECT( $F$1):INDIRECT( $F$3))</f>
        <v xml:space="preserve">		[StringLength(MaxRunNoLength)]
		public virtual string RunNo { get; set; }
		[StringLength(MaxCfcLength)]
		public virtual string Cfc { get; set; }
		[StringLength(MaxLotNoLength)]
		public virtual string LotNo { get; set; }
		[StringLength(MaxCheckModelLength)]
		public virtual string CheckModel { get; set; }
		[StringLength(MaxSupplierNoLength)]
		public virtual string SupplierNo { get; set; }
		[StringLength(MaxPartNoLength)]
		public virtual string PartNo { get; set; }
		[StringLength(MaxPartNameLength)]
		public virtual string PartName { get; set; }
		public virtual int? Qty { get; set; }
		public virtual int? EffectQty { get; set; }
		[StringLength(MaxReasonCodeLength)]
		public virtual string ReasonCode { get; set; }
		[StringLength(MaxOrderStatusLength)]
		public virtual string OrderStatus { get; set; }
		public virtual int? ReturnQty { get; set; }
		public virtual DateTime? ReturnDate { get; set; }
		[StringLength(MaxRemarkLength)]
		public virtual string Remark { get; set; }
</v>
      </c>
      <c r="K24" s="32" t="str">
        <f ca="1">TEXTJOIN2("
", TRUE,INDIRECT( $J$1):INDIRECT( $J$3))</f>
        <v/>
      </c>
      <c r="L24" s="12" t="s">
        <v>57</v>
      </c>
      <c r="M24" s="33" t="str">
        <f ca="1">TEXTJOIN2("
",TRUE,INDIRECT( $L$1):INDIRECT($L$3))</f>
        <v xml:space="preserve">		public virtual string RunNo { get; set; }
		public virtual string Cfc { get; set; }
		public virtual string LotNo { get; set; }
		public virtual string CheckModel { get; set; }
		public virtual string SupplierNo { get; set; }
		public virtual string PartNo { get; set; }
		public virtual string PartName { get; set; }
		public virtual int? Qty { get; set; }
		public virtual int? EffectQty { get; set; }
		public virtual string ReasonCode { get; set; }
		public virtual string OrderStatus { get; set; }
		public virtual int? ReturnQty { get; set; }
		public virtual DateTime? ReturnDate { get; set; }
		public virtual string Remark { get; set; }
</v>
      </c>
      <c r="N24" s="30" t="str">
        <f ca="1">TEXTJOIN2("
",TRUE,INDIRECT( $M$1):INDIRECT($M$3))</f>
        <v xml:space="preserve">		[StringLength(InvCkdSmqdConsts.MaxRunNoLength)]
		public virtual string RunNo { get; set; }
		[StringLength(InvCkdSmqdConsts.MaxCfcLength)]
		public virtual string Cfc { get; set; }
		[StringLength(InvCkdSmqdConsts.MaxLotNoLength)]
		public virtual string LotNo { get; set; }
		[StringLength(InvCkdSmqdConsts.MaxCheckModelLength)]
		public virtual string CheckModel { get; set; }
		[StringLength(InvCkdSmqdConsts.MaxSupplierNoLength)]
		public virtual string SupplierNo { get; set; }
		[StringLength(InvCkdSmqdConsts.MaxPartNoLength)]
		public virtual string PartNo { get; set; }
		[StringLength(InvCkdSmqdConsts.MaxPartNameLength)]
		public virtual string PartName { get; set; }
		public virtual int? Qty { get; set; }
		public virtual int? EffectQty { get; set; }
		[StringLength(InvCkdSmqdConsts.MaxReasonCodeLength)]
		public virtual string ReasonCode { get; set; }
		[StringLength(InvCkdSmqdConsts.MaxOrderStatusLength)]
		public virtual string OrderStatus { get; set; }
		public virtual int? ReturnQty { get; set; }
		public virtual DateTime? ReturnDate { get; set; }
		[StringLength(InvCkdSmqdConsts.MaxRemarkLength)]
		public virtual string Remark { get; set; }
</v>
      </c>
      <c r="O24" s="30" t="str">
        <f ca="1">TEXTJOIN2("
",TRUE,INDIRECT( $N$1):INDIRECT($N$3))</f>
        <v xml:space="preserve">		public virtual string RunNo { get; set; }
		public virtual string Cfc { get; set; }
		public virtual string LotNo { get; set; }
		public virtual string CheckModel { get; set; }
		public virtual string SupplierNo { get; set; }
		public virtual string PartNo { get; set; }
		public virtual string PartName { get; set; }
		public virtual string ReasonCode { get; set; }
		public virtual string OrderStatus { get; set; }
		public virtual string Remark { get; set; }
</v>
      </c>
      <c r="P24" s="8" t="str">
        <f ca="1">TEXTJOIN2("
",TRUE,INDIRECT( $O$1):INDIRECT($O$3))</f>
        <v xml:space="preserve">							RunNo = o.RunNo,
							Cfc = o.Cfc,
							LotNo = o.LotNo,
							CheckModel = o.CheckModel,
							SupplierNo = o.SupplierNo,
							PartNo = o.PartNo,
							PartName = o.PartName,
							Qty = o.Qty,
							EffectQty = o.EffectQty,
							ReasonCode = o.ReasonCode,
							OrderStatus = o.OrderStatus,
							ReturnQty = o.ReturnQty,
							ReturnDate = o.ReturnDate,
							Remark = o.Remark,</v>
      </c>
      <c r="T24" s="8" t="str">
        <f ca="1">TEXTJOIN2("
",TRUE,INDIRECT( $T$2):INDIRECT($T$3))</f>
        <v xml:space="preserve">								("RunNo"),
								("Cfc"),
								("LotNo"),
								("CheckModel"),
								("SupplierNo"),
								("PartNo"),
								("PartName"),
								("Qty"),
								("EffectQty"),
								("ReasonCode"),
								("OrderStatus"),
								("ReturnQty"),
								("ReturnDate"),
								("Remark"),</v>
      </c>
      <c r="V24" s="8" t="str">
        <f ca="1">TEXTJOIN2("
",TRUE,INDIRECT( $V$2):INDIRECT($V$3))</f>
        <v xml:space="preserve">								_ =&gt; _.RunNo,
								_ =&gt; _.Cfc,
								_ =&gt; _.LotNo,
								_ =&gt; _.CheckModel,
								_ =&gt; _.SupplierNo,
								_ =&gt; _.PartNo,
								_ =&gt; _.PartName,
								_ =&gt; _.Qty,
								_ =&gt; _.EffectQty,
								_ =&gt; _.ReasonCode,
								_ =&gt; _.OrderStatus,
								_ =&gt; _.ReturnQty,
								_ =&gt; _.ReturnDate,
								_ =&gt; _.Remark,</v>
      </c>
      <c r="W24" s="8" t="str">
        <f ca="1">TEXTJOIN2("
",TRUE,INDIRECT( $W$2):INDIRECT($W$3))</f>
        <v xml:space="preserve">				.WhereIf(!string.IsNullOrWhiteSpace(input.RunNo), e =&gt; e.RunNo.Contains(input.RunNo))
				.WhereIf(!string.IsNullOrWhiteSpace(input.Cfc), e =&gt; e.Cfc.Contains(input.Cfc))
				.WhereIf(!string.IsNullOrWhiteSpace(input.LotNo), e =&gt; e.LotNo.Contains(input.LotNo))
				.WhereIf(!string.IsNullOrWhiteSpace(input.CheckModel), e =&gt; e.CheckModel.Contains(input.CheckModel))
				.WhereIf(!string.IsNullOrWhiteSpace(input.SupplierNo), e =&gt; e.SupplierNo.Contains(input.SupplierNo))
				.WhereIf(!string.IsNullOrWhiteSpace(input.PartNo), e =&gt; e.PartNo.Contains(input.PartNo))
				.WhereIf(!string.IsNullOrWhiteSpace(input.PartName), e =&gt; e.PartName.Contains(input.PartName))
				.WhereIf(!string.IsNullOrWhiteSpace(input.ReasonCode), e =&gt; e.ReasonCode.Contains(input.ReasonCode))
				.WhereIf(!string.IsNullOrWhiteSpace(input.OrderStatus), e =&gt; e.OrderStatus.Contains(input.OrderStatus))
				.WhereIf(!string.IsNullOrWhiteSpace(input.Remark), e =&gt; e.Remark.Contains(input.Remark))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30"/>
  <sheetViews>
    <sheetView workbookViewId="0">
      <selection activeCell="B1" sqref="B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208</v>
      </c>
      <c r="B1" s="39" t="s">
        <v>376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InvCkdSmqd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Smqd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smqd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InvCkdSmqdDto, InvCkdSmqdServiceProxy } from '@shared/service-proxies/service-proxies';
import { finalize } from 'rxjs/internal/operators/finalize';
import { CreateOrEditSmqdModalComponent } from './create-or-edit-smqd-modal.component';
import { DatePipe } from '@angular/common';
import { FileDownloadService } from '@shared/utils/file-download.service';
import ceil from 'lodash-es/ceil';
import { Paginator } from 'primeng/paginator';
@Component({
    templateUrl: './smqd.component.html',
    styleUrls: ['./smqd.component.less'],
})
export class SmqdComponent extends AppComponentBase implements OnInit {
    @ViewChild('createOrEditModalSmqd', { static: true }) createOrEditModalSmqd:| CreateOrEditSmqdModalComponent|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InvCkdSmqdDto = new InvCkdSmqdDto();
    saveSelectedRow: InvCkdSmqdDto = new InvCkdSmqdDto();
    datas: InvCkdSmqdDto = new InvCkdSmqdDto();
    isLoading: boolean = false;
    dataParams: GridParams | undefined;
    rowData: any[] = [];
    gridApi!: GridApi;
    rowSelection = 'multiple';
    filter: string = '';
	pipe = new DatePipe('en-US');
	frameworkComponents: FrameworkComponent;
    	runNo : string = '' ; 
	cfc : string = '' ; 
	lotNo : string = '' ; 
	checkModel : string = '' ; 
	supplierNo : string = '' ; 
	partNo : string = '' ; 
	partName : string = '' ; 
	qty
	effectQty
	reasonCode : string = '' ; 
	orderStatus : string = '' ; 
	returnQty
	returnDate
	remark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InvCkdSmqdServiceProxy,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this.l('Run No'),headerTooltip: this.l('Run No'),field: 'runNo',flex: 1},
			{headerName: this.l('Cfc'),headerTooltip: this.l('Cfc'),field: 'cfc',flex: 1},
			{headerName: this.l('Lot No'),headerTooltip: this.l('Lot No'),field: 'lotNo',flex: 1},
			{headerName: this.l('Check Model'),headerTooltip: this.l('Check Model'),field: 'checkModel',flex: 1},
			{headerName: this.l('Supplier No'),headerTooltip: this.l('Supplier No'),field: 'supplierNo',flex: 1},
			{headerName: this.l('Part No'),headerTooltip: this.l('Part No'),field: 'partNo',flex: 1},
			{headerName: this.l('Part Name'),headerTooltip: this.l('Part Name'),field: 'partName',flex: 1},
			{headerName: this.l('Qty'),headerTooltip: this.l('Qty'),field: 'qty',flex: 1},
			{headerName: this.l('Effect Qty'),headerTooltip: this.l('Effect Qty'),field: 'effectQty',flex: 1},
			{headerName: this.l('Reason Code'),headerTooltip: this.l('Reason Code'),field: 'reasonCode',flex: 1},
			{headerName: this.l('Order Status'),headerTooltip: this.l('Order Status'),field: 'orderStatus',flex: 1},
			{headerName: this.l('Return Qty'),headerTooltip: this.l('Return Qty'),field: 'returnQty',flex: 1},
			{headerName: this.l('Return Date'),headerTooltip: this.l('Return Date'),field: 'returnDate',flex: 1},
			{headerName: this.l('Remark'),headerTooltip: this.l('Remark'),field: 'remark',flex: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this.runNo,
			this.cfc,
			this.lotNo,
			this.checkModel,
			this.supplierNo,
			this.partNo,
			this.partName,
			this.qty,
			this.effectQty,
			this.reasonCode,
			this.orderStatus,
			this.returnQty,
			this.returnDate,
			this.remark,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this.runNo = '',
		this.cfc = '',
		this.lotNo = '',
		this.checkModel = '',
		this.supplierNo = '',
		this.partNo = '',
		this.partName = '',
		this.qty = '',
		this.effectQty = '',
		this.reasonCode = '',
		this.orderStatus = '',
		this.returnQty = '',
		this.returnDate = '',
		this.remark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this.runNo,
			this.cfc,
			this.lotNo,
			this.checkModel,
			this.supplierNo,
			this.partNo,
			this.partName,
			this.qty,
			this.effectQty,
			this.reasonCode,
			this.orderStatus,
			this.returnQty,
			this.returnDate,
			this.remark,
			'',
            this.paginationParams.skipCount,
            this.paginationParams.pageSize
        );
    }
    onChangeRowSelection(params: { api: { getSelectedRows: () =&gt; InvCkdSmqdDto[] } }) {
        this.saveSelectedRow = params.api.getSelectedRows()[0] ?? new InvCkdSmqdDto();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InvCkdSmqdDto):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this._service.getSmqdToExcel(
			this.runNo,
			this.cfc,
			this.lotNo,
			this.checkModel,
			this.supplierNo,
			this.partNo,
			this.partName,
			this.qty,
			this.effectQty,
			this.reasonCode,
			this.orderStatus,
			this.returnQty,
			this.returnDate,
			this.remark,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Smqd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[(ngModel)]='runNo' name='runNo'
									class='form-control' [placeholder]="l('Run No')"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[(ngModel)]='checkModel' name='checkModel'
									class='form-control' [placeholder]="l('Check Model')"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[(ngModel)]='reasonCode' name='reasonCode'
									class='form-control' [placeholder]="l('Reason Code')"
									type='text' (keyup.enter)='searchDatas()'&gt;
								&lt;/div&gt;
								&lt;div class='input-search'&gt;
									&lt;input [(ngModel)]='orderStatus' name='orderStatus'
									class='form-control' [placeholder]="l('Order Status')"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(click)="createOrEditModalSmqd.show()"&gt;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(click)="createOrEditModalSmqd.show(selectedRow)"&gt;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&lt;create-or-edit-smqd-modal
    #createOrEditModalSmqd
    (modalSave)="callBackDataGrid(dataParams)"
    (modalClose)="onChangeRowSelection(dataParams)"
&gt;
&lt;/create-or-edit-smqd-modal&gt;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#createOrEditModalSmqd="bs-modal"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Smqd')}}&lt;/h3&gt;
                    &lt;h3 *ngIf="!rowdata.id"&gt;{{('Create New Smqd')}}&lt;/h3&gt;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title'&gt;Run No&lt;/label&gt;
						&lt;input type='text' class='col-md-10 form-control input-text' name='RunNo' [(ngModel)]='rowdata.runNo'&gt;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title'&gt;Check Model&lt;/label&gt;
						&lt;input type='text' class='col-md-10 form-control input-text' name='CheckModel' [(ngModel)]='rowdata.checkModel'&gt;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title'&gt;Reason Code&lt;/label&gt;
						&lt;input type='text' class='col-md-10 form-control input-text' name='ReasonCode' [(ngModel)]='rowdata.reasonCode'&gt;
					&lt;/div&gt;
					&lt;div class='col-md-12 form-group row'&gt;
						&lt;label class='col-md-2 form-control title'&gt;Order Status&lt;/label&gt;
						&lt;input type='text' class='col-md-10 form-control input-text' name='OrderStatus' [(ngModel)]='rowdata.orderStatus'&gt;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CreateOrEditInvCkdSmqdDto, InvCkdSmqdServiceProxy } from '@shared/service-proxies/service-proxies';
import { BsDatepickerDirective } from 'ngx-bootstrap/datepicker';
@Component({
    selector: 'create-or-edit-smqd-modal',
    templateUrl: './create-or-edit-smqd-modal.component.html',
    styleUrls: ['./create-or-edit-smqd-modal.component.less']
    })
export class CreateOrEditSmqdModalComponent extends AppComponentBase {
    @ViewChild('createOrEditModalSmqd',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CreateOrEditInvCkdSmqdDto = new CreateOrEditInvCkdSmqdDto();
    active: boolean = false;
    saving: boolean = false;
    _: boolean;
    constructor(
        injector: Injector,
        private _mstwptSmqdService: InvCkdSmqdServiceProxy,
    ) 
    {
        super(injector);
    }
    show(rowdata?: CreateOrEditInvCkdSmqdDto): void {
        if (!rowdata) this.rowdata = new CreateOrEditInvCkdSmqdDto();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this._mstwptSmqdService.createOrEdit(this.rowdata)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SmqdRoutingModule } from './smqd-routing.module';
import { SmqdComponent } from './smqd.component';
import { CreateOrEditSmqdModalComponent } from './create-or-edit-smqd-modal.component';
@NgModule({
    declarations: [
       SmqdComponent, 
        CreateOrEditSmqdModalComponent
    ],
    imports: [
        AppSharedModule, SmqdRoutingModule]
})
export class SmqdModule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SmqdComponent } from './smqd.component';
const routes: Routes = [{
    path: '',
    component: SmqdComponent,
    pathMatch: 'full'
}];
@NgModule({
    imports: [RouterModule.forChild(routes)],
    exports: [RouterModule],
})
export class SmqdRoutingModule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AppMenuItem("Smqd", "Pages.Inventory.CKD.Smqd", "flaticon-book",   "/app/main/inventory/ckd/smqd"),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'inventory/ckd/smqd',
    loadChildren: () =&gt; import('./inventory/ckd/smqd/smqd.module').then(m =&gt; m.SmqdModule),
    data: { permission: 'Pages.Inventory.CKD.Smqd' }
},</v>
      </c>
      <c r="R10" s="47" t="str">
        <f>SUBSTITUTE(R9,"MstWptCalendar",$B$6)</f>
        <v>ApiServiceProxies.InvCkdSmqdServiceProxy,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H28</v>
      </c>
      <c r="I12" s="28" t="str">
        <f>"I"&amp;COUNTA($A:$A)</f>
        <v>I28</v>
      </c>
      <c r="J12" s="28"/>
      <c r="K12" s="28" t="str">
        <f>"K"&amp;COUNTA($A:$A)</f>
        <v>K28</v>
      </c>
      <c r="L12" s="28" t="str">
        <f>"L"&amp;COUNTA($A:$A)</f>
        <v>L28</v>
      </c>
      <c r="M12" s="28"/>
      <c r="N12" s="28"/>
      <c r="O12" s="28"/>
      <c r="P12" s="28"/>
      <c r="Q12" s="28"/>
      <c r="R12" s="28"/>
      <c r="S12" s="28" t="str">
        <f>"S"&amp;COUNTA($A:$A)</f>
        <v>S28</v>
      </c>
      <c r="T12" s="28" t="str">
        <f>"T"&amp;COUNTA($A:$A)</f>
        <v>T28</v>
      </c>
      <c r="U12" s="28" t="str">
        <f>"U"&amp;COUNTA($A:$A)</f>
        <v>U28</v>
      </c>
      <c r="V12" s="28" t="str">
        <f>"V"&amp;COUNTA($A:$A)</f>
        <v>V28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this.l('Run No'),headerTooltip: this.l('Run No'),field: 'runNo',flex: 1},
			{headerName: this.l('Cfc'),headerTooltip: this.l('Cfc'),field: 'cfc',flex: 1},
			{headerName: this.l('Lot No'),headerTooltip: this.l('Lot No'),field: 'lotNo',flex: 1},
			{headerName: this.l('Check Model'),headerTooltip: this.l('Check Model'),field: 'checkModel',flex: 1},
			{headerName: this.l('Supplier No'),headerTooltip: this.l('Supplier No'),field: 'supplierNo',flex: 1},
			{headerName: this.l('Part No'),headerTooltip: this.l('Part No'),field: 'partNo',flex: 1},
			{headerName: this.l('Part Name'),headerTooltip: this.l('Part Name'),field: 'partName',flex: 1},
			{headerName: this.l('Qty'),headerTooltip: this.l('Qty'),field: 'qty',flex: 1},
			{headerName: this.l('Effect Qty'),headerTooltip: this.l('Effect Qty'),field: 'effectQty',flex: 1},
			{headerName: this.l('Reason Code'),headerTooltip: this.l('Reason Code'),field: 'reasonCode',flex: 1},
			{headerName: this.l('Order Status'),headerTooltip: this.l('Order Status'),field: 'orderStatus',flex: 1},
			{headerName: this.l('Return Qty'),headerTooltip: this.l('Return Qty'),field: 'returnQty',flex: 1},
			{headerName: this.l('Return Date'),headerTooltip: this.l('Return Date'),field: 'returnDate',flex: 1},
			{headerName: this.l('Remark'),headerTooltip: this.l('Remark'),field: 'remark',flex: 1},</v>
      </c>
      <c r="I13" s="35" t="str">
        <f ca="1">TEXTJOIN2("
",TRUE,INDIRECT(I11):INDIRECT(I12))</f>
        <v xml:space="preserve">								&lt;div class='input-search'&gt;
									&lt;input [(ngModel)]='runNo' name='runNo'
									class='form-control' [placeholder]="l('Run No')"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[(ngModel)]='checkModel' name='checkModel'
									class='form-control' [placeholder]="l('Check Model')"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[(ngModel)]='reasonCode' name='reasonCode'
									class='form-control' [placeholder]="l('Reason Code')"
									type='text' (keyup.enter)='searchDatas()'&gt;
								&lt;/div&gt;
								&lt;div class='input-search'&gt;
									&lt;input [(ngModel)]='orderStatus' name='orderStatus'
									class='form-control' [placeholder]="l('Order Status')"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title'&gt;Run No&lt;/label&gt;
						&lt;input type='text' class='col-md-10 form-control input-text' name='RunNo' [(ngModel)]='rowdata.runNo'&gt;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title'&gt;Check Model&lt;/label&gt;
						&lt;input type='text' class='col-md-10 form-control input-text' name='CheckModel' [(ngModel)]='rowdata.checkModel'&gt;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title'&gt;Reason Code&lt;/label&gt;
						&lt;input type='text' class='col-md-10 form-control input-text' name='ReasonCode' [(ngModel)]='rowdata.reasonCode'&gt;
					&lt;/div&gt;
					&lt;div class='col-md-12 form-group row'&gt;
						&lt;label class='col-md-2 form-control title'&gt;Order Status&lt;/label&gt;
						&lt;input type='text' class='col-md-10 form-control input-text' name='OrderStatus' [(ngModel)]='rowdata.orderStatus'&gt;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runNo : string = '' ; 
	cfc : string = '' ; 
	lotNo : string = '' ; 
	checkModel : string = '' ; 
	supplierNo : string = '' ; 
	partNo : string = '' ; 
	partName : string = '' ; 
	qty
	effectQty
	reasonCode : string = '' ; 
	orderStatus : string = '' ; 
	returnQty
	returnDate
	remark : string = '' ; </v>
      </c>
      <c r="T13" s="62" t="str">
        <f ca="1">TEXTJOIN2("
",TRUE,INDIRECT(T11):INDIRECT(T12))</f>
        <v xml:space="preserve">			this.runNo,
			this.cfc,
			this.lotNo,
			this.checkModel,
			this.supplierNo,
			this.partNo,
			this.partName,
			this.qty,
			this.effectQty,
			this.reasonCode,
			this.orderStatus,
			this.returnQty,
			this.returnDate,
			this.remark,</v>
      </c>
      <c r="U13" s="62" t="str">
        <f ca="1">TEXTJOIN2("
",TRUE,INDIRECT(U11):INDIRECT(U12))</f>
        <v xml:space="preserve">		this.runNo = '',
		this.cfc = '',
		this.lotNo = '',
		this.checkModel = '',
		this.supplierNo = '',
		this.partNo = '',
		this.partName = '',
		this.qty = '',
		this.effectQty = '',
		this.reasonCode = '',
		this.orderStatus = '',
		this.returnQty = '',
		this.returnDate = '',
		this.remark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smqd.component.ts</v>
      </c>
      <c r="I14" s="37" t="str">
        <f>B8&amp;".component.html"</f>
        <v>smqd.component.html</v>
      </c>
      <c r="J14" s="36" t="str">
        <f>B8&amp;".component.less"</f>
        <v>smqd.component.less</v>
      </c>
      <c r="K14" s="37" t="str">
        <f>"create-or-edit-"&amp;B8&amp;"-modal.component.html"</f>
        <v>create-or-edit-smqd-modal.component.html</v>
      </c>
      <c r="L14" s="37" t="str">
        <f>"create-or-edit-"&amp;B8&amp;"-modal.component.ts"</f>
        <v>create-or-edit-smqd-modal.component.ts</v>
      </c>
      <c r="M14" s="37" t="str">
        <f>"create-or-edit-"&amp;B8&amp;"-modal.component.less"</f>
        <v>create-or-edit-smqd-modal.component.less</v>
      </c>
      <c r="N14" s="37" t="str">
        <f>B8&amp;".module.ts"</f>
        <v>smqd.module.ts</v>
      </c>
      <c r="O14" s="37" t="str">
        <f>B8&amp;"-routing.module.ts"</f>
        <v>smqd-routing.module.ts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362</v>
      </c>
      <c r="B15" s="28" t="str">
        <f t="shared" ref="B15" si="0">SUBSTITUTE(PROPER(A15),"_","")</f>
        <v>RunNo</v>
      </c>
      <c r="C15" s="28" t="str">
        <f t="shared" ref="C15" si="1">SUBSTITUTE(PROPER(A15),"_"," ")</f>
        <v>Run No</v>
      </c>
      <c r="D15" s="28" t="str">
        <f t="shared" ref="D15" si="2">LOWER(LEFT(B15,1))&amp;RIGHT(B15,LEN(B15) - 1)</f>
        <v>runNo</v>
      </c>
      <c r="E15" s="28" t="str">
        <f>A.Backend!H9</f>
        <v>string</v>
      </c>
      <c r="F15" s="28" t="str">
        <f>A.Backend!G9</f>
        <v>50</v>
      </c>
      <c r="G15" s="28" t="str">
        <f t="shared" ref="G15:G28" si="3">IF(E15="string"," : string = '' ; ",IF(OR(E15="DateTime",E15="TimeSpan")," : any ;",IF(E15="int"," : number = 0 ;","")))</f>
        <v xml:space="preserve"> : string = '' ; </v>
      </c>
      <c r="H15" s="35" t="str">
        <f t="shared" ref="H15:H2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this.l('Run No'),headerTooltip: this.l('Run No'),field: 'runNo',flex: 1},</v>
      </c>
      <c r="I15" s="35" t="str">
        <f t="shared" ref="I15:I2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[(ngModel)]='runNo' name='runNo'
									class='form-control' [placeholder]="l('Run No')"
									type='text' (keyup.enter)='searchDatas()'&gt;
								&lt;/div&gt;</v>
      </c>
      <c r="J15" s="28"/>
      <c r="K15" s="35" t="str">
        <f t="shared" ref="K15:K2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title'&gt;Run No&lt;/label&gt;
						&lt;input type='text' class='col-md-10 form-control input-text' name='RunNo' [(ngModel)]='rowdata.runNo'&gt;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runNo : string = '' ; </v>
      </c>
      <c r="T15" s="28" t="str">
        <f>REPT(CHAR(9),3)&amp;"this."&amp;D15&amp;","</f>
        <v xml:space="preserve">			this.runNo,</v>
      </c>
      <c r="U15" s="28" t="str">
        <f>IF(E15="int",REPT(CHAR(9),2)&amp;"this."&amp;D15&amp;" = 0,",REPT(CHAR(9),2)&amp;"this."&amp;D15&amp;" = '',")</f>
        <v xml:space="preserve">		this.runNo = '',</v>
      </c>
      <c r="V15" s="28" t="str">
        <f t="shared" ref="V15:V28" si="8">IF(AND(E15="string",F15="1"),D15,"")</f>
        <v/>
      </c>
    </row>
    <row r="16" spans="1:22" ht="18" customHeight="1" x14ac:dyDescent="0.25">
      <c r="A16" t="s">
        <v>363</v>
      </c>
      <c r="B16" s="28" t="str">
        <f t="shared" ref="B16" si="9">SUBSTITUTE(PROPER(A16),"_","")</f>
        <v>Cfc</v>
      </c>
      <c r="C16" s="28" t="str">
        <f t="shared" ref="C16" si="10">SUBSTITUTE(PROPER(A16),"_"," ")</f>
        <v>Cfc</v>
      </c>
      <c r="D16" s="28" t="str">
        <f t="shared" ref="D16" si="11">LOWER(LEFT(B16,1))&amp;RIGHT(B16,LEN(B16) - 1)</f>
        <v>cfc</v>
      </c>
      <c r="E16" s="28" t="str">
        <f>A.Backend!H10</f>
        <v>string</v>
      </c>
      <c r="F16" s="28" t="str">
        <f>A.Backend!G10</f>
        <v>50</v>
      </c>
      <c r="G16" s="28" t="str">
        <f t="shared" si="3"/>
        <v xml:space="preserve"> : string = '' ; </v>
      </c>
      <c r="H16" s="35" t="str">
        <f t="shared" si="4"/>
        <v xml:space="preserve">			{headerName: this.l('Cfc'),headerTooltip: this.l('Cfc'),field: 'cfc',flex: 1},</v>
      </c>
      <c r="I16" s="35" t="str">
        <f t="shared" si="5"/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8" si="13">REPT(CHAR(9),1)&amp;D16&amp;G16</f>
        <v xml:space="preserve">	cfc : string = '' ; </v>
      </c>
      <c r="T16" s="28" t="str">
        <f t="shared" ref="T16:T28" si="14">REPT(CHAR(9),3)&amp;"this."&amp;D16&amp;","</f>
        <v xml:space="preserve">			this.cfc,</v>
      </c>
      <c r="U16" s="28" t="str">
        <f t="shared" ref="U16:U28" si="15">IF(E16="int",REPT(CHAR(9),2)&amp;"this."&amp;D16&amp;" = 0,",REPT(CHAR(9),2)&amp;"this."&amp;D16&amp;" = '',")</f>
        <v xml:space="preserve">		this.cfc = '',</v>
      </c>
      <c r="V16" s="28" t="str">
        <f t="shared" si="8"/>
        <v/>
      </c>
    </row>
    <row r="17" spans="1:22" ht="18" customHeight="1" x14ac:dyDescent="0.25">
      <c r="A17" t="s">
        <v>357</v>
      </c>
      <c r="B17" s="28" t="str">
        <f>SUBSTITUTE(PROPER(A17),"_","")</f>
        <v>LotNo</v>
      </c>
      <c r="C17" s="28" t="str">
        <f>SUBSTITUTE(PROPER(A17),"_"," ")</f>
        <v>Lot No</v>
      </c>
      <c r="D17" s="28" t="str">
        <f>LOWER(LEFT(B17,1))&amp;RIGHT(B17,LEN(B17) - 1)</f>
        <v>lotNo</v>
      </c>
      <c r="E17" s="28" t="str">
        <f>A.Backend!H11</f>
        <v>string</v>
      </c>
      <c r="F17" s="28" t="str">
        <f>A.Backend!G11</f>
        <v>10</v>
      </c>
      <c r="G17" s="28" t="str">
        <f t="shared" si="3"/>
        <v xml:space="preserve"> : string = '' ; </v>
      </c>
      <c r="H17" s="35" t="str">
        <f t="shared" si="4"/>
        <v xml:space="preserve">			{headerName: this.l('Lot No'),headerTooltip: this.l('Lot No'),field: 'lotNo',flex: 1},</v>
      </c>
      <c r="I17" s="35" t="str">
        <f t="shared" si="5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lotNo : string = '' ; </v>
      </c>
      <c r="T17" s="28" t="str">
        <f t="shared" si="14"/>
        <v xml:space="preserve">			this.lotNo,</v>
      </c>
      <c r="U17" s="28" t="str">
        <f t="shared" si="15"/>
        <v xml:space="preserve">		this.lotNo = '',</v>
      </c>
      <c r="V17" s="28" t="str">
        <f t="shared" si="8"/>
        <v/>
      </c>
    </row>
    <row r="18" spans="1:22" ht="15" customHeight="1" x14ac:dyDescent="0.25">
      <c r="A18" t="s">
        <v>364</v>
      </c>
      <c r="B18" s="28" t="str">
        <f t="shared" ref="B18:B21" si="16">SUBSTITUTE(PROPER(A18),"_","")</f>
        <v>CheckModel</v>
      </c>
      <c r="C18" s="28" t="str">
        <f t="shared" ref="C18:C21" si="17">SUBSTITUTE(PROPER(A18),"_"," ")</f>
        <v>Check Model</v>
      </c>
      <c r="D18" s="28" t="str">
        <f t="shared" ref="D18:D21" si="18">LOWER(LEFT(B18,1))&amp;RIGHT(B18,LEN(B18) - 1)</f>
        <v>checkModel</v>
      </c>
      <c r="E18" s="28" t="str">
        <f>A.Backend!H12</f>
        <v>string</v>
      </c>
      <c r="F18" s="28" t="str">
        <f>A.Backend!G12</f>
        <v>200</v>
      </c>
      <c r="G18" s="28" t="str">
        <f t="shared" si="3"/>
        <v xml:space="preserve"> : string = '' ; </v>
      </c>
      <c r="H18" s="35" t="str">
        <f t="shared" si="4"/>
        <v xml:space="preserve">			{headerName: this.l('Check Model'),headerTooltip: this.l('Check Model'),field: 'checkModel',flex: 1},</v>
      </c>
      <c r="I18" s="35" t="str">
        <f t="shared" si="5"/>
        <v xml:space="preserve">								&lt;div class='input-search'&gt;
									&lt;input [(ngModel)]='checkModel' name='checkModel'
									class='form-control' [placeholder]="l('Check Model')"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title'&gt;Check Model&lt;/label&gt;
						&lt;input type='text' class='col-md-10 form-control input-text' name='CheckModel' [(ngModel)]='rowdata.checkModel'&gt;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checkModel : string = '' ; </v>
      </c>
      <c r="T18" s="28" t="str">
        <f t="shared" si="14"/>
        <v xml:space="preserve">			this.checkModel,</v>
      </c>
      <c r="U18" s="28" t="str">
        <f t="shared" si="15"/>
        <v xml:space="preserve">		this.checkModel = '',</v>
      </c>
      <c r="V18" s="28" t="str">
        <f t="shared" si="8"/>
        <v/>
      </c>
    </row>
    <row r="19" spans="1:22" ht="18" customHeight="1" x14ac:dyDescent="0.25">
      <c r="A19" t="s">
        <v>349</v>
      </c>
      <c r="B19" s="28" t="str">
        <f t="shared" si="16"/>
        <v>SupplierNo</v>
      </c>
      <c r="C19" s="28" t="str">
        <f t="shared" si="17"/>
        <v>Supplier No</v>
      </c>
      <c r="D19" s="28" t="str">
        <f t="shared" si="18"/>
        <v>supplierNo</v>
      </c>
      <c r="E19" s="28" t="str">
        <f>A.Backend!H13</f>
        <v>string</v>
      </c>
      <c r="F19" s="28" t="str">
        <f>A.Backend!G13</f>
        <v>20</v>
      </c>
      <c r="G19" s="28" t="str">
        <f t="shared" si="3"/>
        <v xml:space="preserve"> : string = '' ; </v>
      </c>
      <c r="H19" s="35" t="str">
        <f t="shared" si="4"/>
        <v xml:space="preserve">			{headerName: this.l('Supplier No'),headerTooltip: this.l('Supplier No'),field: 'supplierNo',flex: 1},</v>
      </c>
      <c r="I19" s="35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supplierNo : string = '' ; </v>
      </c>
      <c r="T19" s="28" t="str">
        <f t="shared" si="14"/>
        <v xml:space="preserve">			this.supplierNo,</v>
      </c>
      <c r="U19" s="28" t="str">
        <f t="shared" si="15"/>
        <v xml:space="preserve">		this.supplierNo = '',</v>
      </c>
      <c r="V19" s="28" t="str">
        <f t="shared" si="8"/>
        <v/>
      </c>
    </row>
    <row r="20" spans="1:22" ht="15" customHeight="1" x14ac:dyDescent="0.25">
      <c r="A20" t="s">
        <v>356</v>
      </c>
      <c r="B20" s="28" t="str">
        <f t="shared" si="16"/>
        <v>PartNo</v>
      </c>
      <c r="C20" s="28" t="str">
        <f t="shared" si="17"/>
        <v>Part No</v>
      </c>
      <c r="D20" s="28" t="str">
        <f t="shared" si="18"/>
        <v>partNo</v>
      </c>
      <c r="E20" s="28" t="str">
        <f>A.Backend!H14</f>
        <v>string</v>
      </c>
      <c r="F20" s="28" t="str">
        <f>A.Backend!G14</f>
        <v>50</v>
      </c>
      <c r="G20" s="28" t="str">
        <f t="shared" si="3"/>
        <v xml:space="preserve"> : string = '' ; </v>
      </c>
      <c r="H20" s="35" t="str">
        <f t="shared" si="4"/>
        <v xml:space="preserve">			{headerName: this.l('Part No'),headerTooltip: this.l('Part No'),field: 'partNo',flex: 1},</v>
      </c>
      <c r="I20" s="35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partNo : string = '' ; </v>
      </c>
      <c r="T20" s="28" t="str">
        <f t="shared" si="14"/>
        <v xml:space="preserve">			this.partNo,</v>
      </c>
      <c r="U20" s="28" t="str">
        <f t="shared" si="15"/>
        <v xml:space="preserve">		this.partNo = '',</v>
      </c>
      <c r="V20" s="28" t="str">
        <f t="shared" si="8"/>
        <v/>
      </c>
    </row>
    <row r="21" spans="1:22" ht="18" customHeight="1" x14ac:dyDescent="0.25">
      <c r="A21" t="s">
        <v>359</v>
      </c>
      <c r="B21" s="28" t="str">
        <f t="shared" si="16"/>
        <v>PartName</v>
      </c>
      <c r="C21" s="28" t="str">
        <f t="shared" si="17"/>
        <v>Part Name</v>
      </c>
      <c r="D21" s="28" t="str">
        <f t="shared" si="18"/>
        <v>partName</v>
      </c>
      <c r="E21" s="28" t="str">
        <f>A.Backend!H15</f>
        <v>string</v>
      </c>
      <c r="F21" s="28" t="str">
        <f>A.Backend!G15</f>
        <v>200</v>
      </c>
      <c r="G21" s="28" t="str">
        <f t="shared" si="3"/>
        <v xml:space="preserve"> : string = '' ; </v>
      </c>
      <c r="H21" s="35" t="str">
        <f t="shared" si="4"/>
        <v xml:space="preserve">			{headerName: this.l('Part Name'),headerTooltip: this.l('Part Name'),field: 'partName',flex: 1},</v>
      </c>
      <c r="I21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partName : string = '' ; </v>
      </c>
      <c r="T21" s="28" t="str">
        <f t="shared" si="14"/>
        <v xml:space="preserve">			this.partName,</v>
      </c>
      <c r="U21" s="28" t="str">
        <f t="shared" si="15"/>
        <v xml:space="preserve">		this.partName = '',</v>
      </c>
      <c r="V21" s="28" t="str">
        <f t="shared" si="8"/>
        <v/>
      </c>
    </row>
    <row r="22" spans="1:22" ht="18" customHeight="1" x14ac:dyDescent="0.25">
      <c r="A22" t="s">
        <v>365</v>
      </c>
      <c r="B22" s="28" t="str">
        <f>SUBSTITUTE(PROPER(A22),"_","")</f>
        <v>Qty</v>
      </c>
      <c r="C22" s="28" t="str">
        <f>SUBSTITUTE(PROPER(A22),"_"," ")</f>
        <v>Qty</v>
      </c>
      <c r="D22" s="28" t="str">
        <f>LOWER(LEFT(B22,1))&amp;RIGHT(B22,LEN(B22) - 1)</f>
        <v>qty</v>
      </c>
      <c r="E22" s="28" t="str">
        <f>A.Backend!H16</f>
        <v>int?</v>
      </c>
      <c r="F22" s="28" t="str">
        <f>A.Backend!G16</f>
        <v/>
      </c>
      <c r="G22" s="28" t="str">
        <f t="shared" si="3"/>
        <v/>
      </c>
      <c r="H22" s="35" t="str">
        <f t="shared" si="4"/>
        <v xml:space="preserve">			{headerName: this.l('Qty'),headerTooltip: this.l('Qty'),field: 'qty',flex: 1},</v>
      </c>
      <c r="I22" s="35" t="str">
        <f t="shared" si="5"/>
        <v/>
      </c>
      <c r="J22" s="28"/>
      <c r="K22" s="35" t="str">
        <f t="shared" si="6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qty</v>
      </c>
      <c r="T22" s="28" t="str">
        <f t="shared" si="14"/>
        <v xml:space="preserve">			this.qty,</v>
      </c>
      <c r="U22" s="28" t="str">
        <f t="shared" si="15"/>
        <v xml:space="preserve">		this.qty = '',</v>
      </c>
      <c r="V22" s="28" t="str">
        <f t="shared" si="8"/>
        <v/>
      </c>
    </row>
    <row r="23" spans="1:22" ht="15" customHeight="1" x14ac:dyDescent="0.25">
      <c r="A23" t="s">
        <v>366</v>
      </c>
      <c r="B23" s="28" t="str">
        <f t="shared" ref="B23:B26" si="20">SUBSTITUTE(PROPER(A23),"_","")</f>
        <v>EffectQty</v>
      </c>
      <c r="C23" s="28" t="str">
        <f t="shared" ref="C23:C26" si="21">SUBSTITUTE(PROPER(A23),"_"," ")</f>
        <v>Effect Qty</v>
      </c>
      <c r="D23" s="28" t="str">
        <f t="shared" ref="D23:D26" si="22">LOWER(LEFT(B23,1))&amp;RIGHT(B23,LEN(B23) - 1)</f>
        <v>effectQty</v>
      </c>
      <c r="E23" s="28" t="str">
        <f>A.Backend!H17</f>
        <v>int?</v>
      </c>
      <c r="F23" s="28" t="str">
        <f>A.Backend!G17</f>
        <v/>
      </c>
      <c r="G23" s="28" t="str">
        <f t="shared" si="3"/>
        <v/>
      </c>
      <c r="H23" s="35" t="str">
        <f t="shared" si="4"/>
        <v xml:space="preserve">			{headerName: this.l('Effect Qty'),headerTooltip: this.l('Effect Qty'),field: 'effectQty',flex: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effectQty</v>
      </c>
      <c r="T23" s="28" t="str">
        <f t="shared" si="14"/>
        <v xml:space="preserve">			this.effectQty,</v>
      </c>
      <c r="U23" s="28" t="str">
        <f t="shared" si="15"/>
        <v xml:space="preserve">		this.effectQty = '',</v>
      </c>
      <c r="V23" s="28" t="str">
        <f t="shared" si="8"/>
        <v/>
      </c>
    </row>
    <row r="24" spans="1:22" ht="18" customHeight="1" x14ac:dyDescent="0.25">
      <c r="A24" t="s">
        <v>367</v>
      </c>
      <c r="B24" s="28" t="str">
        <f t="shared" si="20"/>
        <v>ReasonCode</v>
      </c>
      <c r="C24" s="28" t="str">
        <f t="shared" si="21"/>
        <v>Reason Code</v>
      </c>
      <c r="D24" s="28" t="str">
        <f t="shared" si="22"/>
        <v>reasonCode</v>
      </c>
      <c r="E24" s="28" t="str">
        <f>A.Backend!H18</f>
        <v>string</v>
      </c>
      <c r="F24" s="28" t="str">
        <f>A.Backend!G18</f>
        <v>500</v>
      </c>
      <c r="G24" s="28" t="str">
        <f t="shared" si="3"/>
        <v xml:space="preserve"> : string = '' ; </v>
      </c>
      <c r="H24" s="35" t="str">
        <f t="shared" si="4"/>
        <v xml:space="preserve">			{headerName: this.l('Reason Code'),headerTooltip: this.l('Reason Code'),field: 'reasonCode',flex: 1},</v>
      </c>
      <c r="I24" s="35" t="str">
        <f t="shared" si="5"/>
        <v xml:space="preserve">								&lt;div class='input-search'&gt;
									&lt;input [(ngModel)]='reasonCode' name='reasonCode'
									class='form-control' [placeholder]="l('Reason Code')"
									type='text' (keyup.enter)='searchDatas()'&gt;
								&lt;/div&gt;</v>
      </c>
      <c r="J24" s="28"/>
      <c r="K24" s="35" t="str">
        <f t="shared" si="6"/>
        <v xml:space="preserve">					&lt;div class='col-md-12 form-group row'&gt;
						&lt;label class='col-md-2 form-control title'&gt;Reason Code&lt;/label&gt;
						&lt;input type='text' class='col-md-10 form-control input-text' name='ReasonCode' [(ngModel)]='rowdata.reasonCode'&gt;
					&lt;/div&gt;</v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reasonCode : string = '' ; </v>
      </c>
      <c r="T24" s="28" t="str">
        <f t="shared" si="14"/>
        <v xml:space="preserve">			this.reasonCode,</v>
      </c>
      <c r="U24" s="28" t="str">
        <f t="shared" si="15"/>
        <v xml:space="preserve">		this.reasonCode = '',</v>
      </c>
      <c r="V24" s="28" t="str">
        <f t="shared" si="8"/>
        <v/>
      </c>
    </row>
    <row r="25" spans="1:22" ht="15" customHeight="1" x14ac:dyDescent="0.25">
      <c r="A25" t="s">
        <v>368</v>
      </c>
      <c r="B25" s="28" t="str">
        <f t="shared" si="20"/>
        <v>OrderStatus</v>
      </c>
      <c r="C25" s="28" t="str">
        <f t="shared" si="21"/>
        <v>Order Status</v>
      </c>
      <c r="D25" s="28" t="str">
        <f t="shared" si="22"/>
        <v>orderStatus</v>
      </c>
      <c r="E25" s="28" t="str">
        <f>A.Backend!H19</f>
        <v>string</v>
      </c>
      <c r="F25" s="28" t="str">
        <f>A.Backend!G19</f>
        <v>50</v>
      </c>
      <c r="G25" s="28" t="str">
        <f t="shared" si="3"/>
        <v xml:space="preserve"> : string = '' ; </v>
      </c>
      <c r="H25" s="35" t="str">
        <f t="shared" si="4"/>
        <v xml:space="preserve">			{headerName: this.l('Order Status'),headerTooltip: this.l('Order Status'),field: 'orderStatus',flex: 1},</v>
      </c>
      <c r="I25" s="35" t="str">
        <f t="shared" si="5"/>
        <v xml:space="preserve">								&lt;div class='input-search'&gt;
									&lt;input [(ngModel)]='orderStatus' name='orderStatus'
									class='form-control' [placeholder]="l('Order Status')"
									type='text' (keyup.enter)='searchDatas()'&gt;
								&lt;/div&gt;</v>
      </c>
      <c r="J25" s="28"/>
      <c r="K25" s="35" t="str">
        <f t="shared" si="6"/>
        <v xml:space="preserve">					&lt;div class='col-md-12 form-group row'&gt;
						&lt;label class='col-md-2 form-control title'&gt;Order Status&lt;/label&gt;
						&lt;input type='text' class='col-md-10 form-control input-text' name='OrderStatus' [(ngModel)]='rowdata.orderStatus'&gt;
					&lt;/div&gt;</v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orderStatus : string = '' ; </v>
      </c>
      <c r="T25" s="28" t="str">
        <f t="shared" si="14"/>
        <v xml:space="preserve">			this.orderStatus,</v>
      </c>
      <c r="U25" s="28" t="str">
        <f t="shared" si="15"/>
        <v xml:space="preserve">		this.orderStatus = '',</v>
      </c>
      <c r="V25" s="28" t="str">
        <f t="shared" si="8"/>
        <v/>
      </c>
    </row>
    <row r="26" spans="1:22" ht="18" customHeight="1" x14ac:dyDescent="0.25">
      <c r="A26" t="s">
        <v>369</v>
      </c>
      <c r="B26" s="28" t="str">
        <f t="shared" si="20"/>
        <v>ReturnQty</v>
      </c>
      <c r="C26" s="28" t="str">
        <f t="shared" si="21"/>
        <v>Return Qty</v>
      </c>
      <c r="D26" s="28" t="str">
        <f t="shared" si="22"/>
        <v>returnQty</v>
      </c>
      <c r="E26" s="28" t="str">
        <f>A.Backend!H20</f>
        <v>int?</v>
      </c>
      <c r="F26" s="28" t="str">
        <f>A.Backend!G20</f>
        <v/>
      </c>
      <c r="G26" s="28" t="str">
        <f t="shared" si="3"/>
        <v/>
      </c>
      <c r="H26" s="35" t="str">
        <f t="shared" si="4"/>
        <v xml:space="preserve">			{headerName: this.l('Return Qty'),headerTooltip: this.l('Return Qty'),field: 'returnQty',flex: 1},</v>
      </c>
      <c r="I26" s="35" t="str">
        <f t="shared" si="5"/>
        <v/>
      </c>
      <c r="J26" s="28"/>
      <c r="K26" s="35" t="str">
        <f t="shared" si="6"/>
        <v/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returnQty</v>
      </c>
      <c r="T26" s="28" t="str">
        <f t="shared" si="14"/>
        <v xml:space="preserve">			this.returnQty,</v>
      </c>
      <c r="U26" s="28" t="str">
        <f t="shared" si="15"/>
        <v xml:space="preserve">		this.returnQty = '',</v>
      </c>
      <c r="V26" s="28" t="str">
        <f t="shared" si="8"/>
        <v/>
      </c>
    </row>
    <row r="27" spans="1:22" ht="18" customHeight="1" x14ac:dyDescent="0.25">
      <c r="A27" t="s">
        <v>370</v>
      </c>
      <c r="B27" s="28" t="str">
        <f>SUBSTITUTE(PROPER(A27),"_","")</f>
        <v>ReturnDate</v>
      </c>
      <c r="C27" s="28" t="str">
        <f>SUBSTITUTE(PROPER(A27),"_"," ")</f>
        <v>Return Date</v>
      </c>
      <c r="D27" s="28" t="str">
        <f>LOWER(LEFT(B27,1))&amp;RIGHT(B27,LEN(B27) - 1)</f>
        <v>returnDate</v>
      </c>
      <c r="E27" s="28" t="str">
        <f>A.Backend!H21</f>
        <v>DateTime?</v>
      </c>
      <c r="F27" s="28" t="str">
        <f>A.Backend!G21</f>
        <v/>
      </c>
      <c r="G27" s="28" t="str">
        <f t="shared" si="3"/>
        <v/>
      </c>
      <c r="H27" s="35" t="str">
        <f t="shared" si="4"/>
        <v xml:space="preserve">			{headerName: this.l('Return Date'),headerTooltip: this.l('Return Date'),field: 'returnDate',flex: 1},</v>
      </c>
      <c r="I27" s="35" t="str">
        <f t="shared" si="5"/>
        <v/>
      </c>
      <c r="J27" s="28"/>
      <c r="K27" s="35" t="str">
        <f t="shared" si="6"/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returnDate</v>
      </c>
      <c r="T27" s="28" t="str">
        <f t="shared" si="14"/>
        <v xml:space="preserve">			this.returnDate,</v>
      </c>
      <c r="U27" s="28" t="str">
        <f t="shared" si="15"/>
        <v xml:space="preserve">		this.returnDate = '',</v>
      </c>
      <c r="V27" s="28" t="str">
        <f t="shared" si="8"/>
        <v/>
      </c>
    </row>
    <row r="28" spans="1:22" ht="15" customHeight="1" x14ac:dyDescent="0.25">
      <c r="A28" t="s">
        <v>371</v>
      </c>
      <c r="B28" s="28" t="str">
        <f t="shared" ref="B28" si="24">SUBSTITUTE(PROPER(A28),"_","")</f>
        <v>Remark</v>
      </c>
      <c r="C28" s="28" t="str">
        <f t="shared" ref="C28" si="25">SUBSTITUTE(PROPER(A28),"_"," ")</f>
        <v>Remark</v>
      </c>
      <c r="D28" s="28" t="str">
        <f t="shared" ref="D28" si="26">LOWER(LEFT(B28,1))&amp;RIGHT(B28,LEN(B28) - 1)</f>
        <v>remark</v>
      </c>
      <c r="E28" s="28" t="str">
        <f>A.Backend!H22</f>
        <v>string</v>
      </c>
      <c r="F28" s="28" t="str">
        <f>A.Backend!G22</f>
        <v>5000</v>
      </c>
      <c r="G28" s="28" t="str">
        <f t="shared" si="3"/>
        <v xml:space="preserve"> : string = '' ; </v>
      </c>
      <c r="H28" s="35" t="str">
        <f t="shared" si="4"/>
        <v xml:space="preserve">			{headerName: this.l('Remark'),headerTooltip: this.l('Remark'),field: 'remark',flex: 1},</v>
      </c>
      <c r="I28" s="35" t="str">
        <f t="shared" si="5"/>
        <v xml:space="preserve">								&lt;div class='input-search'&gt;
									&lt;input [(ngModel)]='remark' name='remark'
									class='form-control' [placeholder]="l('Remark')"
									type='text' (keyup.enter)='searchDatas()'&gt;
								&lt;/div&gt;</v>
      </c>
      <c r="J28" s="28"/>
      <c r="K28" s="35" t="str">
        <f t="shared" si="6"/>
        <v xml:space="preserve">					&lt;div class='col-md-12 form-group row'&gt;
						&lt;label class='col-md-2 form-control title'&gt;Remark&lt;/label&gt;
						&lt;input type='text' class='col-md-10 form-control input-text' name='Remark' [(ngModel)]='rowdata.remark'&gt;
					&lt;/div&gt;</v>
      </c>
      <c r="L28" s="56" t="str">
        <f t="shared" ref="L28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remark : string = '' ; </v>
      </c>
      <c r="T28" s="28" t="str">
        <f t="shared" si="14"/>
        <v xml:space="preserve">			this.remark,</v>
      </c>
      <c r="U28" s="28" t="str">
        <f t="shared" si="15"/>
        <v xml:space="preserve">		this.remark = '',</v>
      </c>
      <c r="V28" s="28" t="str">
        <f t="shared" si="8"/>
        <v/>
      </c>
    </row>
    <row r="3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355</v>
      </c>
    </row>
    <row r="7" spans="1:2" x14ac:dyDescent="0.25">
      <c r="A7" t="s">
        <v>24</v>
      </c>
      <c r="B7" t="s">
        <v>350</v>
      </c>
    </row>
    <row r="8" spans="1:2" x14ac:dyDescent="0.25">
      <c r="A8" t="s">
        <v>4</v>
      </c>
      <c r="B8" t="s">
        <v>350</v>
      </c>
    </row>
    <row r="9" spans="1:2" x14ac:dyDescent="0.25">
      <c r="A9" t="s">
        <v>0</v>
      </c>
      <c r="B9" t="s">
        <v>351</v>
      </c>
    </row>
    <row r="10" spans="1:2" x14ac:dyDescent="0.25">
      <c r="A10" t="s">
        <v>25</v>
      </c>
      <c r="B10" t="s">
        <v>354</v>
      </c>
    </row>
    <row r="11" spans="1:2" x14ac:dyDescent="0.25">
      <c r="A11" t="s">
        <v>26</v>
      </c>
      <c r="B11" t="s">
        <v>354</v>
      </c>
    </row>
    <row r="12" spans="1:2" x14ac:dyDescent="0.25">
      <c r="A12" t="s">
        <v>27</v>
      </c>
      <c r="B12" t="s">
        <v>354</v>
      </c>
    </row>
    <row r="13" spans="1:2" x14ac:dyDescent="0.25">
      <c r="A13" t="s">
        <v>28</v>
      </c>
      <c r="B13" t="s">
        <v>354</v>
      </c>
    </row>
    <row r="14" spans="1:2" x14ac:dyDescent="0.25">
      <c r="A14" t="s">
        <v>29</v>
      </c>
      <c r="B14" t="s">
        <v>354</v>
      </c>
    </row>
    <row r="15" spans="1:2" x14ac:dyDescent="0.25">
      <c r="A15" t="s">
        <v>30</v>
      </c>
      <c r="B15" t="s">
        <v>354</v>
      </c>
    </row>
    <row r="16" spans="1:2" x14ac:dyDescent="0.25">
      <c r="A16" t="s">
        <v>31</v>
      </c>
      <c r="B16" t="s">
        <v>352</v>
      </c>
    </row>
    <row r="17" spans="1:2" x14ac:dyDescent="0.25">
      <c r="A17" t="s">
        <v>3</v>
      </c>
      <c r="B17" t="s">
        <v>352</v>
      </c>
    </row>
    <row r="18" spans="1:2" x14ac:dyDescent="0.25">
      <c r="A18" t="s">
        <v>33</v>
      </c>
      <c r="B18" t="s">
        <v>352</v>
      </c>
    </row>
    <row r="19" spans="1:2" x14ac:dyDescent="0.25">
      <c r="A19" t="s">
        <v>2</v>
      </c>
      <c r="B19" t="s">
        <v>352</v>
      </c>
    </row>
    <row r="20" spans="1:2" x14ac:dyDescent="0.25">
      <c r="A20" t="s">
        <v>263</v>
      </c>
      <c r="B20" t="s">
        <v>353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admin</cp:lastModifiedBy>
  <dcterms:created xsi:type="dcterms:W3CDTF">2022-04-01T07:31:40Z</dcterms:created>
  <dcterms:modified xsi:type="dcterms:W3CDTF">2023-07-24T08:48:26Z</dcterms:modified>
</cp:coreProperties>
</file>
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ckd\"/>
    </mc:Choice>
  </mc:AlternateContent>
  <xr:revisionPtr revIDLastSave="0" documentId="13_ncr:1_{1645017B-C150-49E2-948D-E9436D26F8F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5" l="1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28" i="1"/>
  <c r="G28" i="1"/>
  <c r="F34" i="5" s="1"/>
  <c r="E28" i="1"/>
  <c r="H28" i="1" s="1"/>
  <c r="E34" i="5" s="1"/>
  <c r="D28" i="1"/>
  <c r="V28" i="1" s="1"/>
  <c r="L27" i="1"/>
  <c r="G27" i="1"/>
  <c r="F33" i="5" s="1"/>
  <c r="E27" i="1"/>
  <c r="H27" i="1" s="1"/>
  <c r="E33" i="5" s="1"/>
  <c r="D27" i="1"/>
  <c r="P27" i="1" s="1"/>
  <c r="L26" i="1"/>
  <c r="G26" i="1"/>
  <c r="F32" i="5" s="1"/>
  <c r="E26" i="1"/>
  <c r="H26" i="1" s="1"/>
  <c r="E32" i="5" s="1"/>
  <c r="D26" i="1"/>
  <c r="T26" i="1" s="1"/>
  <c r="L25" i="1"/>
  <c r="G25" i="1"/>
  <c r="F31" i="5" s="1"/>
  <c r="E25" i="1"/>
  <c r="H25" i="1" s="1"/>
  <c r="W25" i="1" s="1"/>
  <c r="D25" i="1"/>
  <c r="L24" i="1"/>
  <c r="G24" i="1"/>
  <c r="F30" i="5" s="1"/>
  <c r="E24" i="1"/>
  <c r="H24" i="1" s="1"/>
  <c r="E30" i="5" s="1"/>
  <c r="D24" i="1"/>
  <c r="V24" i="1" s="1"/>
  <c r="V32" i="5" l="1"/>
  <c r="K32" i="5"/>
  <c r="I32" i="5"/>
  <c r="G32" i="5"/>
  <c r="K30" i="5"/>
  <c r="V30" i="5"/>
  <c r="U30" i="5"/>
  <c r="I30" i="5"/>
  <c r="H30" i="5"/>
  <c r="G30" i="5"/>
  <c r="S30" i="5" s="1"/>
  <c r="L30" i="5"/>
  <c r="G33" i="5"/>
  <c r="V33" i="5"/>
  <c r="G34" i="5"/>
  <c r="V34" i="5"/>
  <c r="K34" i="5"/>
  <c r="I34" i="5"/>
  <c r="T25" i="5"/>
  <c r="E31" i="5"/>
  <c r="T27" i="1"/>
  <c r="P26" i="1"/>
  <c r="V26" i="1"/>
  <c r="O27" i="1"/>
  <c r="I27" i="1"/>
  <c r="M25" i="1"/>
  <c r="V27" i="1"/>
  <c r="W28" i="1"/>
  <c r="J28" i="1"/>
  <c r="I28" i="1"/>
  <c r="O28" i="1"/>
  <c r="N28" i="1"/>
  <c r="M28" i="1"/>
  <c r="O26" i="1"/>
  <c r="N26" i="1"/>
  <c r="M26" i="1"/>
  <c r="W26" i="1"/>
  <c r="J26" i="1"/>
  <c r="I26" i="1"/>
  <c r="W24" i="1"/>
  <c r="J24" i="1"/>
  <c r="I24" i="1"/>
  <c r="O24" i="1"/>
  <c r="N24" i="1"/>
  <c r="M24" i="1"/>
  <c r="O25" i="1"/>
  <c r="J27" i="1"/>
  <c r="W27" i="1"/>
  <c r="P25" i="1"/>
  <c r="T25" i="1"/>
  <c r="M27" i="1"/>
  <c r="P24" i="1"/>
  <c r="I25" i="1"/>
  <c r="V25" i="1"/>
  <c r="N27" i="1"/>
  <c r="P28" i="1"/>
  <c r="T24" i="1"/>
  <c r="J25" i="1"/>
  <c r="T28" i="1"/>
  <c r="N25" i="1"/>
  <c r="B7" i="5"/>
  <c r="B6" i="5"/>
  <c r="B2" i="5"/>
  <c r="V31" i="5" l="1"/>
  <c r="K31" i="5"/>
  <c r="I31" i="5"/>
  <c r="G31" i="5"/>
  <c r="B8" i="5"/>
  <c r="B3" i="5"/>
  <c r="C34" i="5"/>
  <c r="B34" i="5"/>
  <c r="D34" i="5" s="1"/>
  <c r="C33" i="5"/>
  <c r="B33" i="5"/>
  <c r="D33" i="5" s="1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H33" i="5" l="1"/>
  <c r="K33" i="5"/>
  <c r="I33" i="5"/>
  <c r="V29" i="5"/>
  <c r="L29" i="5"/>
  <c r="U29" i="5"/>
  <c r="I29" i="5"/>
  <c r="K29" i="5"/>
  <c r="H29" i="5"/>
  <c r="G29" i="5"/>
  <c r="S29" i="5" s="1"/>
  <c r="I20" i="1"/>
  <c r="E26" i="5"/>
  <c r="V28" i="5"/>
  <c r="U28" i="5"/>
  <c r="K28" i="5"/>
  <c r="H28" i="5"/>
  <c r="I28" i="5"/>
  <c r="G28" i="5"/>
  <c r="S28" i="5" s="1"/>
  <c r="L28" i="5"/>
  <c r="H34" i="5"/>
  <c r="I23" i="5"/>
  <c r="H23" i="5"/>
  <c r="G23" i="5"/>
  <c r="S23" i="5" s="1"/>
  <c r="V23" i="5"/>
  <c r="U23" i="5"/>
  <c r="K23" i="5"/>
  <c r="L23" i="5"/>
  <c r="T34" i="5"/>
  <c r="S34" i="5"/>
  <c r="U34" i="5"/>
  <c r="K25" i="5"/>
  <c r="I25" i="5"/>
  <c r="H25" i="5"/>
  <c r="G25" i="5"/>
  <c r="S25" i="5" s="1"/>
  <c r="V25" i="5"/>
  <c r="U25" i="5"/>
  <c r="L25" i="5"/>
  <c r="H22" i="5"/>
  <c r="G22" i="5"/>
  <c r="S22" i="5" s="1"/>
  <c r="L22" i="5"/>
  <c r="V22" i="5"/>
  <c r="U22" i="5"/>
  <c r="K22" i="5"/>
  <c r="I22" i="5"/>
  <c r="V20" i="5"/>
  <c r="U20" i="5"/>
  <c r="K20" i="5"/>
  <c r="I20" i="5"/>
  <c r="H20" i="5"/>
  <c r="G20" i="5"/>
  <c r="S20" i="5" s="1"/>
  <c r="L20" i="5"/>
  <c r="L24" i="5"/>
  <c r="K24" i="5"/>
  <c r="I24" i="5"/>
  <c r="H24" i="5"/>
  <c r="G24" i="5"/>
  <c r="S24" i="5" s="1"/>
  <c r="V24" i="5"/>
  <c r="U24" i="5"/>
  <c r="U27" i="5"/>
  <c r="K27" i="5"/>
  <c r="I27" i="5"/>
  <c r="H27" i="5"/>
  <c r="V27" i="5"/>
  <c r="G27" i="5"/>
  <c r="S27" i="5" s="1"/>
  <c r="L27" i="5"/>
  <c r="G21" i="5"/>
  <c r="S21" i="5" s="1"/>
  <c r="U21" i="5"/>
  <c r="V21" i="5"/>
  <c r="L21" i="5"/>
  <c r="K21" i="5"/>
  <c r="I21" i="5"/>
  <c r="H21" i="5"/>
  <c r="T33" i="5"/>
  <c r="S33" i="5"/>
  <c r="U33" i="5"/>
  <c r="L33" i="5"/>
  <c r="L34" i="5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B31" i="5"/>
  <c r="D31" i="5" s="1"/>
  <c r="C17" i="5"/>
  <c r="B17" i="5"/>
  <c r="D17" i="5" s="1"/>
  <c r="C16" i="5"/>
  <c r="B16" i="5"/>
  <c r="D16" i="5" s="1"/>
  <c r="L26" i="5" l="1"/>
  <c r="K26" i="5"/>
  <c r="I26" i="5"/>
  <c r="H26" i="5"/>
  <c r="G26" i="5"/>
  <c r="S26" i="5" s="1"/>
  <c r="V26" i="5"/>
  <c r="U26" i="5"/>
  <c r="H31" i="5"/>
  <c r="T17" i="5"/>
  <c r="T31" i="5"/>
  <c r="S31" i="5"/>
  <c r="U31" i="5"/>
  <c r="T16" i="5"/>
  <c r="B6" i="1"/>
  <c r="G13" i="1"/>
  <c r="F19" i="5" s="1"/>
  <c r="E13" i="1"/>
  <c r="H13" i="1" s="1"/>
  <c r="E19" i="5" s="1"/>
  <c r="D13" i="1"/>
  <c r="V13" i="1" s="1"/>
  <c r="V19" i="5" l="1"/>
  <c r="U19" i="5"/>
  <c r="K19" i="5"/>
  <c r="I19" i="5"/>
  <c r="H19" i="5"/>
  <c r="G19" i="5"/>
  <c r="S19" i="5" s="1"/>
  <c r="L19" i="5"/>
  <c r="W13" i="1"/>
  <c r="N13" i="1"/>
  <c r="I13" i="1"/>
  <c r="M13" i="1"/>
  <c r="O13" i="1"/>
  <c r="J13" i="1"/>
  <c r="L13" i="1"/>
  <c r="P13" i="1"/>
  <c r="T13" i="1"/>
  <c r="C32" i="5"/>
  <c r="B32" i="5"/>
  <c r="D32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V18" i="5" l="1"/>
  <c r="K18" i="5"/>
  <c r="U18" i="5"/>
  <c r="I18" i="5"/>
  <c r="H18" i="5"/>
  <c r="G18" i="5"/>
  <c r="S18" i="5" s="1"/>
  <c r="L18" i="5"/>
  <c r="S32" i="5"/>
  <c r="T32" i="5"/>
  <c r="U32" i="5"/>
  <c r="H32" i="5"/>
  <c r="V17" i="5"/>
  <c r="U17" i="5"/>
  <c r="I17" i="5"/>
  <c r="K17" i="5"/>
  <c r="H17" i="5"/>
  <c r="G17" i="5"/>
  <c r="S17" i="5" s="1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G16" i="5"/>
  <c r="S16" i="5" s="1"/>
  <c r="H16" i="5"/>
  <c r="L16" i="5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30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30" i="1"/>
  <c r="T7" i="1" l="1"/>
  <c r="W30" i="1"/>
  <c r="G6" i="1" l="1"/>
  <c r="H13" i="5"/>
  <c r="V13" i="5"/>
  <c r="S13" i="5"/>
  <c r="I13" i="5"/>
  <c r="K13" i="5"/>
  <c r="L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O30" i="1"/>
  <c r="P30" i="1"/>
  <c r="I30" i="1"/>
  <c r="J30" i="1"/>
  <c r="N30" i="1"/>
  <c r="Q7" i="1" l="1"/>
  <c r="M68" i="3" s="1"/>
  <c r="L7" i="1"/>
  <c r="G68" i="3" s="1"/>
  <c r="K68" i="3"/>
  <c r="J68" i="3"/>
  <c r="K30" i="1"/>
  <c r="M3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<sst xmlns="http://schemas.openxmlformats.org/spreadsheetml/2006/main" count="511" uniqueCount="385">
  <si>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</si>
  <si>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</si>
  <si>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</si>
  <si>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</si>
  <si>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</si>
  <si>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</si>
  <si>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</si>
  <si>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</si>
  <si>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</si>
  <si>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</si>
  <si>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</si>
  <si>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</si>
  <si>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</si>
  <si>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</si>
  <si>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</si>
  <si>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</si>
  <si>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</si>
  <si>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</si>
  <si>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</si>
  <si>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</si>
  <si>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</si>
  <si>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</si>
  <si>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</si>
  <si>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</si>
  <si>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</si>
  <si>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</si>
  <si>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</si>
  <si>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</si>
  <si>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</si>
  <si>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</si>
  <si>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</si>
  <si>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</si>
  <si>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</si>
  <si>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</si>
  <si>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</si>
  <si>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</si>
  <si>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</si>
  <si>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</si>
  <si>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</si>
  <si>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</si>
  <si>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</si>
  <si>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</si>
  <si>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</si>
  <si>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</si>
  <si>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</si>
  <si>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</si>
  <si>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</si>
  <si>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</si>
  <si>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</si>
  <si>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</si>
  <si>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</si>
  <si>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</si>
  <si>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</si>
  <si>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</si>
  <si>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</si>
  <si>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</si>
  <si>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</si>
  <si>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</si>
  <si>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</si>
  <si>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</si>
  <si>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</si>
  <si>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</si>
  <si>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</si>
  <si>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</si>
  <si>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</si>
  <si>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</si>
  <si>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</si>
  <si>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</si>
  <si>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</si>
  <si>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</si>
  <si>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</si>
  <si>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</si>
  <si>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</si>
  <si>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</si>
  <si>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</si>
  <si>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</si>
  <si>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</si>
  <si>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</si>
  <si>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</si>
  <si>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</si>
  <si>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</si>
  <si>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</si>
  <si>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</si>
  <si>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</si>
  <si>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</si>
  <si>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</si>
  <si>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</si>
  <si>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</si>
  <si>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</si>
  <si>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</si>
  <si>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</si>
  <si>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</si>
  <si>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</si>
  <si>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</si>
  <si>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</si>
  <si>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</si>
  <si>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</si>
  <si>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</si>
  <si>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</si>
  <si>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</si>
  <si>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</si>
  <si>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</si>
  <si>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</si>
  <si>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</si>
  <si>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</si>
  <si>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</si>
  <si>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</si>
  <si>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</si>
  <si>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</si>
  <si>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</si>
  <si>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</si>
  <si>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</si>
  <si>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</si>
  <si>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</si>
  <si>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</si>
  <si>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</si>
  <si>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</si>
  <si>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</si>
  <si>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</si>
  <si>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</si>
  <si>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</si>
  <si>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</si>
  <si>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</si>
  <si>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</si>
  <si>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</si>
  <si>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</si>
  <si>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</si>
  <si>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</si>
  <si>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</si>
  <si>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</si>
  <si>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</si>
  <si>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</si>
  <si>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</si>
  <si>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</si>
  <si>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</si>
  <si>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</si>
  <si>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</si>
  <si>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</si>
  <si>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</si>
  <si>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</si>
  <si>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</si>
  <si>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</si>
  <si>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</si>
  <si>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</si>
  <si>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</si>
  <si>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</si>
  <si>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</si>
  <si>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</si>
  <si>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</si>
  <si>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</si>
  <si>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</si>
  <si>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</si>
  <si>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</si>
  <si>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</si>
  <si>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</si>
  <si>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</si>
  <si>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</si>
  <si>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</si>
  <si>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</si>
  <si>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</si>
  <si>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</si>
  <si>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</si>
  <si>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</si>
  <si>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</si>
  <si>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</si>
  <si>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</si>
  <si>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</si>
  <si>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</si>
  <si>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</si>
  <si>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</si>
  <si>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</si>
  <si>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</si>
  <si>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</si>
  <si>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</si>
  <si>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</si>
  <si>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</si>
  <si>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</si>
  <si>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</si>
  <si>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</si>
  <si>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</si>
  <si>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</si>
  <si>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</si>
  <si>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</si>
  <si>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</si>
  <si>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</si>
  <si>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</si>
  <si>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</si>
  <si>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</si>
  <si>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</si>
  <si>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</si>
  <si>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</si>
  <si>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</si>
  <si>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</si>
  <si>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</si>
  <si>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</si>
  <si>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</si>
  <si>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</si>
  <si>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</si>
  <si>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</si>
  <si>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</si>
  <si>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</si>
  <si>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</si>
  <si>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</si>
  <si>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</si>
  <si>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</si>
  <si>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</si>
  <si>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</si>
  <si>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</si>
  <si>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</si>
  <si>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</si>
  <si>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</si>
  <si>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</si>
  <si>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</si>
  <si>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</si>
  <si>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</si>
  <si>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</si>
  <si>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</si>
  <si>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</si>
  <si>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</si>
  <si>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</si>
  <si>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</si>
  <si>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</si>
  <si>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</si>
  <si>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</si>
  <si>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</si>
  <si>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</si>
  <si>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</si>
  <si>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</si>
  <si>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</si>
  <si>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</si>
  <si>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</si>
  <si>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</si>
  <si>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</si>
  <si>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</si>
  <si>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</si>
  <si>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</si>
  <si>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</si>
  <si>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</si>
  <si>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</si>
  <si>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</si>
  <si>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</si>
  <si>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</si>
  <si>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</si>
  <si>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</si>
  <si>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</si>
  <si>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</si>
  <si>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</si>
  <si>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</si>
  <si>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</si>
  <si>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</si>
  <si>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</si>
  <si>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</si>
  <si>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</si>
  <si>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</si>
  <si>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</si>
  <si>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</si>
  <si>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</si>
  <si>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</si>
  <si>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</si>
  <si>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</si>
  <si>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</si>
  <si>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</si>
  <si>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</si>
  <si>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</si>
  <si>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</si>
  <si>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</si>
  <si>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</si>
  <si>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</si>
  <si>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</si>
  <si>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</si>
  <si>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</si>
  <si>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</si>
  <si>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</si>
  <si>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</si>
  <si>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</si>
  <si>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</si>
  <si>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</si>
  <si>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</si>
  <si>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</si>
  <si>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</si>
  <si>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</si>
  <si>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</si>
  <si>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</si>
  <si>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</si>
  <si>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</si>
  <si>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</si>
  <si>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</si>
  <si>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</si>
  <si>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</si>
  <si>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</si>
  <si>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</si>
  <si>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</si>
  <si>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</si>
  <si>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</si>
  <si>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</si>
  <si>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</si>
  <si>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</si>
  <si>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</si>
  <si>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</si>
  <si>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</si>
  <si>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</si>
  <si>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</si>
  <si>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</si>
  <si>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</si>
  <si>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</si>
  <si>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</si>
  <si>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</si>
  <si>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</si>
  <si>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</si>
  <si>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</si>
  <si>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</si>
  <si>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</si>
  <si>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</si>
  <si>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</si>
  <si>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</si>
  <si>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</si>
  <si>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</si>
  <si>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</si>
  <si>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</si>
  <si>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</si>
  <si>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</si>
  <si>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</si>
  <si>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</si>
  <si>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</si>
  <si>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</si>
  <si>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</si>
  <si>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</si>
  <si>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</si>
  <si>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</si>
  <si>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</si>
  <si>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</si>
  <si>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</si>
  <si>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</si>
  <si>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</si>
  <si>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</si>
  <si>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</si>
  <si>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</si>
  <si>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</si>
  <si>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</si>
  <si>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</si>
  <si>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</si>
  <si>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</si>
  <si>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</si>
  <si>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</si>
  <si>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</si>
  <si>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</si>
  <si>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</si>
  <si>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</si>
  <si>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</si>
  <si>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SUPPLIER_NO</t>
  </si>
  <si>
    <t>int?</t>
  </si>
  <si>
    <t>long?</t>
  </si>
  <si>
    <t>DateTime?</t>
  </si>
  <si>
    <t>TimeSpan?</t>
  </si>
  <si>
    <t>decimal?</t>
  </si>
  <si>
    <t>byte?</t>
  </si>
  <si>
    <t>PART_NO</t>
  </si>
  <si>
    <t>VARCHAR(4)</t>
  </si>
  <si>
    <t>PART_NAME</t>
  </si>
  <si>
    <t>ORDER_NO</t>
  </si>
  <si>
    <t>VARCHAR(200)</t>
  </si>
  <si>
    <t>VARCHAR(1)</t>
  </si>
  <si>
    <t>Shop</t>
  </si>
  <si>
    <t>Smqd_Date</t>
  </si>
  <si>
    <t>Run_No</t>
  </si>
  <si>
    <t>Cfc</t>
  </si>
  <si>
    <t>ORDER_QTY</t>
  </si>
  <si>
    <t>ORDER_DATE</t>
  </si>
  <si>
    <t>TRANSPORT</t>
  </si>
  <si>
    <t>REASON_CODE</t>
  </si>
  <si>
    <t>ETA_REQUEST</t>
  </si>
  <si>
    <t>Actual_ETA_Port</t>
  </si>
  <si>
    <t>ETA_Exp_Reply</t>
  </si>
  <si>
    <t>Invoice_No</t>
  </si>
  <si>
    <t>Receive_Date</t>
  </si>
  <si>
    <t>Receive_Qty</t>
  </si>
  <si>
    <t>Remark</t>
  </si>
  <si>
    <t>Order_Type</t>
  </si>
  <si>
    <t>Date</t>
  </si>
  <si>
    <t>VARCHAR(50)</t>
  </si>
  <si>
    <t>DECIMAL(50)</t>
  </si>
  <si>
    <t>VARCHAR(500)</t>
  </si>
  <si>
    <t>InvCkdSmqdOrder</t>
  </si>
  <si>
    <t>SmqdOrder</t>
  </si>
  <si>
    <t>Smqd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</si>
</sst>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48"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[Table("InvCkdSmqdOrder")]
	public class InvCkdSmqdOrder: FullAuditedEntity&lt;long&gt;, IEntity&lt;long&gt;	
	{
		public const int MaxShopLength = 1;
		public const int MaxRunNoLength = 50;
		public const int MaxCfcLength = 4;
		public const int MaxSupplierNoLength = 50;
		public const int MaxPartNameLength = 200;
		public const int MaxOrderNoLength = 50;
		public const int MaxTransportLength = 50;
		public const int MaxReasonCodeLength = 50;
		public const int MaxActualEtaPortLength = 50;
		public const int MaxInvoiceNoLength = 50;
		public const int MaxRemarkLength = 500;
		[StringLength(MaxShopLength)]
		public virtual string Shop { get; set; }
		public virtual DateTime? SmqdDate { get; set; }
		[StringLength(MaxRunNoLength)]
		public virtual string RunNo { get; set; }
		[StringLength(MaxCfcLength)]
		public virtual string Cfc { get; set; }
		[StringLength(MaxSupplierNoLength)]
		public virtual string SupplierNo { get; set; }
		public virtual decimal? PartNo { get; set; }
		[StringLength(MaxPartNameLength)]
		public virtual string PartName { get; set; }
		[StringLength(MaxOrderNoLength)]
		public virtual string OrderNo { get; set; }
		public virtual int? OrderQty { get; set; }
		public virtual DateTime? OrderDate { get; set; }
		[StringLength(MaxTransportLength)]
		public virtual string Transport { get; set; }
		[StringLength(MaxReasonCodeLength)]
		public virtual string ReasonCode { get; set; }
		public virtual DateTime? EtaRequest { get; set; }
		[StringLength(MaxActualEtaPortLength)]
		public virtual string ActualEtaPort { get; set; }
		public virtual DateTime? EtaExpReply { get; set; }
		[StringLength(MaxInvoiceNoLength)]
		public virtual string InvoiceNo { get; set; }
		public virtual DateTime? ReceiveDate { get; set; }
		public virtual int? ReceiveQty { get; set; }
		[StringLength(MaxRemarkLength)]
		public virtual string Remark { get; set; }
		public virtual int? OrderType { get; set; }
	}
}
</v>
      </c>
      <c r="D68" s="48" t="str">
        <f>A.Backend!O7</f>
        <v xml:space="preserve">		public const string Pages_Inventory_CKD_SmqdOrder = "Pages.Inventory.CKD.SmqdOrder";
		public const string Pages_Inventory_CKD_SmqdOrder_CreateEdit = "Pages.Inventory.CKD.SmqdOrder.CreateEdit";
		public const string Pages_Inventory_CKD_SmqdOrder_Delete = "Pages.Inventory.CKD.SmqdOrder.Delete";
</v>
      </c>
      <c r="E68" s="48" t="str">
        <f>A.Backend!N7</f>
        <v xml:space="preserve">		var perInvCkdSmqdOrder = PARENTS.CreateChildPermission(AppPermissions.Pages_Inventory_CKD_SmqdOrder, L( "InventoryCKDSmqdOrder"), multiTenancySides: MultiTenancySides.Tenant);
		perInvCkdSmqdOrder.CreateChildPermission(AppPermissions.Pages_Inventory_CKD_SmqdOrder_CreateEdit, L( "InventoryCKDSmqdOrderCreateEdit"), multiTenancySides: MultiTenancySides.Tenant);
		perInvCkdSmqdOrder.CreateChildPermission(AppPermissions.Pages_Inventory_CKD_SmqdOrder_Delete, L( "InventoryCKDSmqdOrderDelete"), multiTenancySides: MultiTenancySides.Tenant);</v>
      </c>
      <c r="F68" s="48" t="str">
        <f>A.Backend!K7</f>
        <v>public virtual DbSet&lt;InvCkdSmqdOrder&gt; InvCkdSmqdOrders { get; set; }</v>
      </c>
      <c r="G68" s="48" t="str">
        <f ca="1">A.Backend!L7</f>
        <v xml:space="preserve">namespace prod.Inventory.CKD
{
	public class InvCkdSmqdOrderConsts	
	{
		public const int MaxShopLength = 1;
		public const int MaxRunNoLength = 50;
		public const int MaxCfcLength = 4;
		public const int MaxSupplierNoLength = 50;
		public const int MaxPartNameLength = 200;
		public const int MaxOrderNoLength = 50;
		public const int MaxTransportLength = 50;
		public const int MaxReasonCodeLength = 50;
		public const int MaxActualEtaPortLength = 50;
		public const int MaxInvoiceNoLength = 50;
		public const int MaxRemarkLength = 500;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InvCkdSmqdOrderDto : EntityDto&lt;long?&gt;	
	{
		public virtual string Shop { get; set; }
		public virtual DateTime? SmqdDate { get; set; }
		public virtual string RunNo { get; set; }
		public virtual string Cfc { get; set; }
		public virtual string SupplierNo { get; set; }
		public virtual decimal? PartNo { get; set; }
		public virtual string PartName { get; set; }
		public virtual string OrderNo { get; set; }
		public virtual int? OrderQty { get; set; }
		public virtual DateTime? OrderDate { get; set; }
		public virtual string Transport { get; set; }
		public virtual string ReasonCode { get; set; }
		public virtual DateTime? EtaRequest { get; set; }
		public virtual string ActualEtaPort { get; set; }
		public virtual DateTime? EtaExpReply { get; set; }
		public virtual string InvoiceNo { get; set; }
		public virtual DateTime? ReceiveDate { get; set; }
		public virtual int? ReceiveQty { get; set; }
		public virtual string Remark { get; set; }
		public virtual int? OrderType { get; set; }
	}
	public class CreateOrEditInvCkdSmqdOrderDto : EntityDto&lt;long?&gt;	
	{
		[StringLength(InvCkdSmqdOrderConsts.MaxShopLength)]
		public virtual string Shop { get; set; }
		public virtual DateTime? SmqdDate { get; set; }
		[StringLength(InvCkdSmqdOrderConsts.MaxRunNoLength)]
		public virtual string RunNo { get; set; }
		[StringLength(InvCkdSmqdOrderConsts.MaxCfcLength)]
		public virtual string Cfc { get; set; }
		[StringLength(InvCkdSmqdOrderConsts.MaxSupplierNoLength)]
		public virtual string SupplierNo { get; set; }
		public virtual decimal? PartNo { get; set; }
		[StringLength(InvCkdSmqdOrderConsts.MaxPartNameLength)]
		public virtual string PartName { get; set; }
		[StringLength(InvCkdSmqdOrderConsts.MaxOrderNoLength)]
		public virtual string OrderNo { get; set; }
		public virtual int? OrderQty { get; set; }
		public virtual DateTime? OrderDate { get; set; }
		[StringLength(InvCkdSmqdOrderConsts.MaxTransportLength)]
		public virtual string Transport { get; set; }
		[StringLength(InvCkdSmqdOrderConsts.MaxReasonCodeLength)]
		public virtual string ReasonCode { get; set; }
		public virtual DateTime? EtaRequest { get; set; }
		[StringLength(InvCkdSmqdOrderConsts.MaxActualEtaPortLength)]
		public virtual string ActualEtaPort { get; set; }
		public virtual DateTime? EtaExpReply { get; set; }
		[StringLength(InvCkdSmqdOrderConsts.MaxInvoiceNoLength)]
		public virtual string InvoiceNo { get; set; }
		public virtual DateTime? ReceiveDate { get; set; }
		public virtual int? ReceiveQty { get; set; }
		[StringLength(InvCkdSmqdOrderConsts.MaxRemarkLength)]
		public virtual string Remark { get; set; }
		public virtual int? OrderType { get; set; }
	}
	public class GetInvCkdSmqdOrderInput : PagedAndSortedResultRequestDto	
	{
		public virtual string Shop { get; set; }
		public virtual string RunNo { get; set; }
		public virtual string Cfc { get; set; }
		public virtual string SupplierNo { get; set; }
		public virtual string PartName { get; set; }
		public virtual string OrderNo { get; set; }
		public virtual string Transport { get; set; }
		public virtual string ReasonCode { get; set; }
		public virtual string ActualEtaPort { get; set; }
		public virtual string InvoiceNo { get; set; }
		public virtual string Remark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InvCkdSmqdOrderExportInput{
		public virtual string Shop { get; set; }
		public virtual DateTime? SmqdDate { get; set; }
		public virtual string RunNo { get; set; }
		public virtual string Cfc { get; set; }
		public virtual string SupplierNo { get; set; }
		public virtual decimal? PartNo { get; set; }
		public virtual string PartName { get; set; }
		public virtual string OrderNo { get; set; }
		public virtual int? OrderQty { get; set; }
		public virtual DateTime? OrderDate { get; set; }
		public virtual string Transport { get; set; }
		public virtual string ReasonCode { get; set; }
		public virtual DateTime? EtaRequest { get; set; }
		public virtual string ActualEtaPort { get; set; }
		public virtual DateTime? EtaExpReply { get; set; }
		public virtual string InvoiceNo { get; set; }
		public virtual DateTime? ReceiveDate { get; set; }
		public virtual int? ReceiveQty { get; set; }
		public virtual string Remark { get; set; }
		public virtual int? OrderType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IInvCkdSmqdOrderAppService : IApplicationService
	{
		Task&lt;PagedResultDto&lt;InvCkdSmqdOrderDto&gt;&gt; GetAll(GetInvCkdSmqdOrderInput input);
		Task CreateOrEdit(CreateOrEditInvCkdSmqdOrderDto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IInvCkdSmqdOrderExcelExporter : IApplicationService
	{
		FileDto ExportToFile(List&lt;InvCkdSmqdOrderDto&gt; invckdsmqdorder);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InvCkdSmqdOrderExcelExporter : NpoiExcelExporterBase, IInvCkdSmqdOrderExcelExporter
    {
        public InvCkdSmqdOrderExcelExporter(ITempFileCacheManager tempFileCacheManager) : base(tempFileCacheManager) { }
        public FileDto ExportToFile(List&lt;InvCkdSmqdOrderDto&gt; smqdorder)
        {
            return CreateExcelPackage(
				"InventoryCKDSmqdOrder.xlsx",
				excelPackage =&gt;
				 {
					var sheet = excelPackage.CreateSheet("SmqdOrder");
					AddHeader(
								sheet,
								("Shop"),
								("SmqdDate"),
								("RunNo"),
								("Cfc"),
								("SupplierNo"),
								("PartNo"),
								("PartName"),
								("OrderNo"),
								("OrderQty"),
								("OrderDate"),
								("Transport"),
								("ReasonCode"),
								("EtaRequest"),
								("ActualEtaPort"),
								("EtaExpReply"),
								("InvoiceNo"),
								("ReceiveDate"),
								("ReceiveQty"),
								("Remark"),
								("OrderType"),
							   );
					AddObjects(
						 sheet, 1, smqdorder,                                       
								_ =&gt; _.Shop,
								_ =&gt; _.SmqdDate,
								_ =&gt; _.RunNo,
								_ =&gt; _.Cfc,
								_ =&gt; _.SupplierNo,
								_ =&gt; _.PartNo,
								_ =&gt; _.PartName,
								_ =&gt; _.OrderNo,
								_ =&gt; _.OrderQty,
								_ =&gt; _.OrderDate,
								_ =&gt; _.Transport,
								_ =&gt; _.ReasonCode,
								_ =&gt; _.EtaRequest,
								_ =&gt; _.ActualEtaPort,
								_ =&gt; _.EtaExpReply,
								_ =&gt; _.InvoiceNo,
								_ =&gt; _.ReceiveDate,
								_ =&gt; _.ReceiveQty,
								_ =&gt; _.Remark,
								_ =&gt; _.OrderType,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[AbpAuthorize(AppPermissions.Pages_Inventory_CKD_SmqdOrder)]
    public class InvCkdSmqdOrderAppService : vovinaAppServiceBase, IInvCkdSmqdOrderAppService
    {
        private readonly IDapperRepository&lt;InvCkdSmqdOrder, long&gt; _dapperRepo;
        private readonly IRepository&lt;InvCkdSmqdOrder, long&gt; _repo;
        private readonly IInvCkdSmqdOrderExcelExporter _calendarListExcelExporter;
        public InvCkdSmqdOrderAppService(IRepository&lt;InvCkdSmqdOrder,long&gt; repo, 
                                         IDapperRepository&lt;InvCkdSmqdOrder,long&gt; dapperRepo,
                                        IInvCkdSmqdOrderExcelExporter calendarListExcelExporter
            )
        {
            _repo = repo;
            _dapperRepo = dapperRepo;
            _calendarListExcelExporter = calendarListExcelExporter;
        }
        [AbpAuthorize(AppPermissions.Pages_Inventory_CKD_SmqdOrder_CreateEdit)]
        public async Task CreateOrEdit(CreateOrEditInvCkdSmqdOrderDto input)
        {
            if (input.Id == null) await Create(input);
            else await Update(input);
        }
        //CREATE
        private async Task Create(CreateOrEditInvCkdSmqdOrderDto input)
        {          
            var mainObj = ObjectMapper.Map&lt;InvCkdSmqdOrder&gt;(input);
            await CurrentUnitOfWork.GetDbContext&lt;vovinaDbContext&gt;().AddAsync(mainObj);
        }
        // EDIT
        private async Task Update(CreateOrEditInvCkdSmqdOrderDto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[AbpAuthorize(AppPermissions.Pages_Inventory_CKD_SmqdOrder_Delete)]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Task&lt;PagedResultDto&lt;InvCkdSmqdOrderDto&gt;&gt; GetAll(GetInvCkdSmqdOrderInput input)
        {
            var filtered = _repo.GetAll()
				.WhereIf(!string.IsNullOrWhiteSpace(input.Shop), e =&gt; e.Shop.Contains(input.Shop))
				.WhereIf(!string.IsNullOrWhiteSpace(input.RunNo), e =&gt; e.RunNo.Contains(input.RunNo))
				.WhereIf(!string.IsNullOrWhiteSpace(input.Cfc), e =&gt; e.Cfc.Contains(input.Cfc))
				.WhereIf(!string.IsNullOrWhiteSpace(input.SupplierNo), e =&gt; e.SupplierNo.Contains(input.SupplierNo))
				.WhereIf(!string.IsNullOrWhiteSpace(input.PartName), e =&gt; e.PartName.Contains(input.PartName))
				.WhereIf(!string.IsNullOrWhiteSpace(input.OrderNo), e =&gt; e.OrderNo.Contains(input.OrderNo))
				.WhereIf(!string.IsNullOrWhiteSpace(input.Transport), e =&gt; e.Transport.Contains(input.Transport))
				.WhereIf(!string.IsNullOrWhiteSpace(input.ReasonCode), e =&gt; e.ReasonCode.Contains(input.ReasonCode))
				.WhereIf(!string.IsNullOrWhiteSpace(input.ActualEtaPort), e =&gt; e.ActualEtaPort.Contains(input.ActualEtaPort))
				.WhereIf(!string.IsNullOrWhiteSpace(input.InvoiceNo), e =&gt; e.InvoiceNo.Contains(input.InvoiceNo))
				.WhereIf(!string.IsNullOrWhiteSpace(input.Remark), e =&gt; e.Remark.Contains(input.Remark))
				;
            var pageAndFiltered = filtered.OrderBy(s =&gt; s.Id);
            var system = from o in pageAndFiltered
                         select new InvCkdSmqdOrderDto
                        {
							Id = o.Id,
							Shop = o.Shop,
							SmqdDate = o.SmqdDate,
							RunNo = o.RunNo,
							Cfc = o.Cfc,
							SupplierNo = o.SupplierNo,
							PartNo = o.PartNo,
							PartName = o.PartName,
							OrderNo = o.OrderNo,
							OrderQty = o.OrderQty,
							OrderDate = o.OrderDate,
							Transport = o.Transport,
							ReasonCode = o.ReasonCode,
							EtaRequest = o.EtaRequest,
							ActualEtaPort = o.ActualEtaPort,
							EtaExpReply = o.EtaExpReply,
							InvoiceNo = o.InvoiceNo,
							ReceiveDate = o.ReceiveDate,
							ReceiveQty = o.ReceiveQty,
							Remark = o.Remark,
							OrderType = o.OrderType,
                        };
            var totalCount = await filtered.CountAsync();
			var paged = system.PageBy(input);
            return new PagedResultDto&lt;InvCkdSmqdOrderDto&gt;(
                totalCount,
                 await paged.ToListAsync()
            );
        }
        public async Task&lt;FileDto&gt; GetSmqdOrderToExcel(InvCkdSmqdOrderExportInput input)
        {
            var query = from o in _repo.GetAll()
                        select new InvCkdSmqdOrderDto
                        {
							Id = o.Id,
							Shop = o.Shop,
							SmqdDate = o.SmqdDate,
							RunNo = o.RunNo,
							Cfc = o.Cfc,
							SupplierNo = o.SupplierNo,
							PartNo = o.PartNo,
							PartName = o.PartName,
							OrderNo = o.OrderNo,
							OrderQty = o.OrderQty,
							OrderDate = o.OrderDate,
							Transport = o.Transport,
							ReasonCode = o.ReasonCode,
							EtaRequest = o.EtaRequest,
							ActualEtaPort = o.ActualEtaPort,
							EtaExpReply = o.EtaExpReply,
							InvoiceNo = o.InvoiceNo,
							ReceiveDate = o.ReceiveDate,
							ReceiveQty = o.ReceiveQty,
							Remark = o.Remark,
							OrderType = o.OrderType,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_dapperRepo.ExecuteAsync(InvCkdSmqdOrderConsts.SP_MST_WPT_CALENDAR_GENERATE);
       // }
    }
}</v>
      </c>
      <c r="N68" s="58" t="str">
        <f>A.Backend!U7</f>
        <v xml:space="preserve">  configuration.CreateMap&lt;InvCkdSmqdOrderDto, InvCkdSmqdOrder&gt;();
  configuration.CreateMap&lt;InvCkdSmqdOrder, InvCkdSmqdOrderDto&gt;();
  configuration.CreateMap&lt;CreateOrEditInvCkdSmqdOrderDto, InvCkdSmqdOrder&gt;();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smqdorder</v>
      </c>
      <c r="C73" s="66" t="str">
        <f>"create folder " &amp;B73</f>
        <v>create folder smqdorder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smqdorder.component.ts</v>
      </c>
      <c r="D74" s="28" t="str">
        <f>B.Frontend!I14</f>
        <v>smqdorder.component.html</v>
      </c>
      <c r="E74" s="28" t="str">
        <f>B.Frontend!J14</f>
        <v>smqdorder.component.less</v>
      </c>
      <c r="F74" s="28" t="str">
        <f>B.Frontend!K14</f>
        <v>create-or-edit-smqdorder-modal.component.html</v>
      </c>
      <c r="G74" s="28" t="str">
        <f>B.Frontend!L14</f>
        <v>create-or-edit-smqdorder-modal.component.ts</v>
      </c>
      <c r="H74" s="28" t="str">
        <f>B.Frontend!M14</f>
        <v>create-or-edit-smqdorder-modal.component.less</v>
      </c>
      <c r="I74" s="28" t="str">
        <f>B.Frontend!N14</f>
        <v>smqdorder.module.ts</v>
      </c>
      <c r="J74" s="28" t="str">
        <f>B.Frontend!O14</f>
        <v>smqdorder-routing.module.ts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InvCkdSmqdOrderDto, InvCkdSmqdOrderServiceProxy } from '@shared/service-proxies/service-proxies';
import { finalize } from 'rxjs/internal/operators/finalize';
import { CreateOrEditSmqdOrderModalComponent } from './create-or-edit-smqdorder-modal.component';
import { DatePipe } from '@angular/common';
import { FileDownloadService } from '@shared/utils/file-download.service';
import ceil from 'lodash-es/ceil';
import { Paginator } from 'primeng/paginator';
@Component({
    templateUrl: './smqdorder.component.html',
    styleUrls: ['./smqdorder.component.less'],
})
export class SmqdOrderComponent extends AppComponentBase implements OnInit {
    @ViewChild('createOrEditModalSmqdOrder', { static: true }) createOrEditModalSmqdOrder:| CreateOrEditSmqdOrderModalComponent|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InvCkdSmqdOrderDto = new InvCkdSmqdOrderDto();
    saveSelectedRow: InvCkdSmqdOrderDto = new InvCkdSmqdOrderDto();
    datas: InvCkdSmqdOrderDto = new InvCkdSmqdOrderDto();
    isLoading: boolean = false;
    dataParams: GridParams | undefined;
    rowData: any[] = [];
    gridApi!: GridApi;
    rowSelection = 'multiple';
    filter: string = '';
	pipe = new DatePipe('en-US');
	frameworkComponents: FrameworkComponent;
    	shop : string = '' ; 
	smqdDate
	runNo : string = '' ; 
	cfc : string = '' ; 
	supplierNo : string = '' ; 
	partNo
	partName : string = '' ; 
	orderNo : string = '' ; 
	orderQty
	orderDate
	transport : string = '' ; 
	reasonCode : string = '' ; 
	etaRequest
	actualEtaPort : string = '' ; 
	etaExpReply
	invoiceNo : string = '' ; 
	receiveDate
	receiveQty
	remark : string = '' ; 
	orderType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InvCkdSmqdOrderServiceProxy,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this.l('Shop'),headerTooltip: this.l('Shop'),field:  'shop', cellClass: ['text-center'], width: 120, cellRenderer: 'agCellButtonComponent',
buttonDefTwo: { text: params =&gt; (params.data?.'shop' == 'Y') ? 'Active' : 'Inactive',iconName: 'fa fa-circle',className: params =&gt; (params.data?.'shop' == 'Y') ? 'btnActive' : 'btnInActive',},}
			{headerName: this.l('Smqd Date'),headerTooltip: this.l('Smqd Date'),field: 'smqdDate',flex: 1},
			{headerName: this.l('Run No'),headerTooltip: this.l('Run No'),field: 'runNo',flex: 1},
			{headerName: this.l('Cfc'),headerTooltip: this.l('Cfc'),field: 'cfc',flex: 1},
			{headerName: this.l('Supplier No'),headerTooltip: this.l('Supplier No'),field: 'supplierNo',flex: 1},
			{headerName: this.l('Part No'),headerTooltip: this.l('Part No'),field: 'partNo',flex: 1},
			{headerName: this.l('Part Name'),headerTooltip: this.l('Part Name'),field: 'partName',flex: 1},
			{headerName: this.l('Order No'),headerTooltip: this.l('Order No'),field: 'orderNo',flex: 1},
			{headerName: this.l('Order Qty'),headerTooltip: this.l('Order Qty'),field: 'orderQty',flex: 1},
			{headerName: this.l('Order Date'),headerTooltip: this.l('Order Date'),field: 'orderDate',flex: 1},
			{headerName: this.l('Transport'),headerTooltip: this.l('Transport'),field: 'transport',flex: 1},
			{headerName: this.l('Reason Code'),headerTooltip: this.l('Reason Code'),field: 'reasonCode',flex: 1},
			{headerName: this.l('Eta Request'),headerTooltip: this.l('Eta Request'),field: 'etaRequest',flex: 1},
			{headerName: this.l('Actual Eta Port'),headerTooltip: this.l('Actual Eta Port'),field: 'actualEtaPort',flex: 1},
			{headerName: this.l('Eta Exp Reply'),headerTooltip: this.l('Eta Exp Reply'),field: 'etaExpReply',flex: 1},
			{headerName: this.l('Invoice No'),headerTooltip: this.l('Invoice No'),field: 'invoiceNo',flex: 1},
			{headerName: this.l('Receive Date'),headerTooltip: this.l('Receive Date'),field: 'receiveDate',flex: 1},
			{headerName: this.l('Receive Qty'),headerTooltip: this.l('Receive Qty'),field: 'receiveQty',flex: 1},
			{headerName: this.l('Remark'),headerTooltip: this.l('Remark'),field: 'remark',flex: 1},
			{headerName: this.l('Order Type'),headerTooltip: this.l('Order Type'),field: 'orderType',flex: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this.shop,
			this.smqdDate,
			this.runNo,
			this.cfc,
			this.supplierNo,
			this.partNo,
			this.partName,
			this.orderNo,
			this.orderQty,
			this.orderDate,
			this.transport,
			this.reasonCode,
			this.etaRequest,
			this.actualEtaPort,
			this.etaExpReply,
			this.invoiceNo,
			this.receiveDate,
			this.receiveQty,
			this.remark,
			this.orderType,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this.shop = '',
		this.smqdDate = '',
		this.runNo = '',
		this.cfc = '',
		this.supplierNo = '',
		this.partNo = '',
		this.partName = '',
		this.orderNo = '',
		this.orderQty = '',
		this.orderDate = '',
		this.transport = '',
		this.reasonCode = '',
		this.etaRequest = '',
		this.actualEtaPort = '',
		this.etaExpReply = '',
		this.invoiceNo = '',
		this.receiveDate = '',
		this.receiveQty = '',
		this.remark = '',
		this.orderType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this.shop,
			this.smqdDate,
			this.runNo,
			this.cfc,
			this.supplierNo,
			this.partNo,
			this.partName,
			this.orderNo,
			this.orderQty,
			this.orderDate,
			this.transport,
			this.reasonCode,
			this.etaRequest,
			this.actualEtaPort,
			this.etaExpReply,
			this.invoiceNo,
			this.receiveDate,
			this.receiveQty,
			this.remark,
			this.orderType,
			'',
            this.paginationParams.skipCount,
            this.paginationParams.pageSize
        );
    }
    onChangeRowSelection(params: { api: { getSelectedRows: () =&gt; InvCkdSmqdOrderDto[] } }) {
        this.saveSelectedRow = params.api.getSelectedRows()[0] ?? new InvCkdSmqdOrderDto();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InvCkdSmqdOrderDto):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this._service.getSmqdOrderToExcel(
			this.shop,
			this.smqdDate,
			this.runNo,
			this.cfc,
			this.supplierNo,
			this.partNo,
			this.partName,
			this.orderNo,
			this.orderQty,
			this.orderDate,
			this.transport,
			this.reasonCode,
			this.etaRequest,
			this.actualEtaPort,
			this.etaExpReply,
			this.invoiceNo,
			this.receiveDate,
			this.receiveQty,
			this.remark,
			this.orderType,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Smqd Order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[(ngModel)]='runNo' name='runNo'
									class='form-control' [placeholder]="l('Run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[(ngModel)]='transport' name='transport'
									class='form-control' [placeholder]="l('Transport')"
									type='text' (keyup.enter)='searchDatas()'&gt;
								&lt;/div&gt;
								&lt;div class='input-search'&gt;
									&lt;input [(ngModel)]='reasonCode' name='reasonCode'
									class='form-control' [placeholder]="l('Reason Code')"
									type='text' (keyup.enter)='searchDatas()'&gt;
								&lt;/div&gt;
								&lt;div class='input-search'&gt;
									&lt;input [(ngModel)]='actualEtaPort' name='actualEtaPort'
									class='form-control' [placeholder]="l('Actual Eta Port')"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(click)="createOrEditModalSmqdOrder.show()"&gt;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(click)="createOrEditModalSmqdOrder.show(selectedRow)"&gt;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&lt;create-or-edit-smqdorder-modal
    #createOrEditModalSmqdOrder
    (modalSave)="callBackDataGrid(dataParams)"
    (modalClose)="onChangeRowSelection(dataParams)"
&gt;
&lt;/create-or-edit-smqdorder-modal&gt;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#createOrEditModalSmqdOrder="bs-modal"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SmqdOrder')}}&lt;/h3&gt;
                    &lt;h3 *ngIf="!rowdata.id"&gt;{{('Create New SmqdOrder')}}&lt;/h3&gt;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title'&gt;Shop&lt;/label&gt;
						&lt;new-checkbox [(ngModel)]='_shop' name='shop' className='col-md-10' &gt; &lt;/new-checkbox&gt;
					&lt;/div&gt;
					&lt;div class='col-md-12 form-group row'&gt;
						&lt;label class='col-md-2 form-control title'&gt;Run No&lt;/label&gt;
						&lt;input type='text' class='col-md-10 form-control input-text' name='RunNo' [(ngModel)]='rowdata.runNo'&gt;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title'&gt;Transport&lt;/label&gt;
						&lt;input type='text' class='col-md-10 form-control input-text' name='Transport' [(ngModel)]='rowdata.transport'&gt;
					&lt;/div&gt;
					&lt;div class='col-md-12 form-group row'&gt;
						&lt;label class='col-md-2 form-control title'&gt;Reason Code&lt;/label&gt;
						&lt;input type='text' class='col-md-10 form-control input-text' name='ReasonCode' [(ngModel)]='rowdata.reasonCode'&gt;
					&lt;/div&gt;
					&lt;div class='col-md-12 form-group row'&gt;
						&lt;label class='col-md-2 form-control title'&gt;Actual Eta Port&lt;/label&gt;
						&lt;input type='text' class='col-md-10 form-control input-text' name='ActualEtaPort' [(ngModel)]='rowdata.actualEtaPort'&gt;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CreateOrEditInvCkdSmqdOrderDto, InvCkdSmqdOrderServiceProxy } from '@shared/service-proxies/service-proxies';
import { BsDatepickerDirective } from 'ngx-bootstrap/datepicker';
@Component({
    selector: 'create-or-edit-smqdorder-modal',
    templateUrl: './create-or-edit-smqdorder-modal.component.html',
    styleUrls: ['./create-or-edit-smqdorder-modal.component.less']
    })
export class CreateOrEditSmqdOrderModalComponent extends AppComponentBase {
    @ViewChild('createOrEditModalSmqdOrder',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CreateOrEditInvCkdSmqdOrderDto = new CreateOrEditInvCkdSmqdOrderDto();
    active: boolean = false;
    saving: boolean = false;
    _shop
: boolean;
    constructor(
        injector: Injector,
        private _mstwptSmqdOrderService: InvCkdSmqdOrderServiceProxy,
    ) 
    {
        super(injector);
    }
    show(rowdata?: CreateOrEditInvCkdSmqdOrderDto): void {
        if (!rowdata) this.rowdata = new CreateOrEditInvCkdSmqdOrderDto();
        else this.rowdata = rowdata;
        this._shop
 = (this.rowdata.shop
 == "N")? false: true;
        this.active = true;
        this.modal.show();
    } 
    changeActive(event){
        this._shop
 = event.target.checked;
    }
    save(): void {
    this.saving = true; 
    this.rowdata.shop
 = (this._shop
 == true) ? 'Y' : 'N'
    this._mstwptSmqdOrderService.createOrEdit(this.rowdata)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SmqdOrderRoutingModule } from './smqdorder-routing.module';
import { SmqdOrderComponent } from './smqdorder.component';
import { CreateOrEditSmqdOrderModalComponent } from './create-or-edit-smqdorder-modal.component';
@NgModule({
    declarations: [
       SmqdOrderComponent, 
        CreateOrEditSmqdOrderModalComponent
    ],
    imports: [
        AppSharedModule, SmqdOrderRoutingModule]
})
export class SmqdOrderModule {}</v>
      </c>
      <c r="J75" s="46" t="str">
        <f>B.Frontend!O10</f>
        <v>import {NgModule} from '@angular/core';
import {RouterModule, Routes} from '@angular/router';
import { SmqdOrderComponent } from './smqdorder.component';
const routes: Routes = [{
    path: '',
    component: SmqdOrderComponent,
    pathMatch: 'full'
}];
@NgModule({
    imports: [RouterModule.forChild(routes)],
    exports: [RouterModule],
})
export class SmqdOrderRoutingModule {}</v>
      </c>
      <c r="K75" s="46" t="str">
        <f>B.Frontend!P10</f>
        <v xml:space="preserve"> new AppMenuItem("SmqdOrder", "Pages.Inventory.CKD.SmqdOrder", "flaticon-book",   "/app/main/inventory/ckd/smqdorder"),</v>
      </c>
      <c r="L75" s="47" t="str">
        <f>B.Frontend!Q10</f>
        <v>{
    path: 'inventory/ckd/smqdorder',
    loadChildren: () =&gt; import('./inventory/ckd/smqdorder/smqdorder.module').then(m =&gt; m.SmqdOrderModule),
    data: { permission: 'Pages.Inventory.CKD.SmqdOrder' }
},</v>
      </c>
      <c r="M75" s="45" t="str">
        <f>B.Frontend!R10</f>
        <v>ApiServiceProxies.InvCkdSmqdOrderServiceProxy,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30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348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382</v>
      </c>
      <c r="C3" s="9" t="s">
        <v>41</v>
      </c>
      <c r="D3" s="9" t="s">
        <v>42</v>
      </c>
      <c r="E3" s="9" t="s">
        <v>37</v>
      </c>
      <c r="F3" s="10" t="str">
        <f>"J"&amp;COUNTA($A:$A)</f>
        <v>J28</v>
      </c>
      <c r="G3" s="4" t="s">
        <v>54</v>
      </c>
      <c r="H3" s="9" t="str">
        <f>"I"&amp;COUNTA($A:$A)</f>
        <v>I28</v>
      </c>
      <c r="I3" s="9" t="str">
        <f>REPT(CHAR(9),2)&amp;"[Required]"&amp;"
"</f>
        <v xml:space="preserve">		[Required]
</v>
      </c>
      <c r="J3" s="10" t="str">
        <f>"L"&amp;COUNTA($A:$A)</f>
        <v>L28</v>
      </c>
      <c r="K3" s="5" t="s">
        <v>53</v>
      </c>
      <c r="L3" s="10" t="str">
        <f>"M"&amp;COUNTA($A:$A)</f>
        <v>M28</v>
      </c>
      <c r="M3" s="10" t="str">
        <f>"N"&amp;COUNTA($A:$A)</f>
        <v>N28</v>
      </c>
      <c r="N3" s="10" t="str">
        <f>"O"&amp;COUNTA($A:$A)</f>
        <v>O28</v>
      </c>
      <c r="O3" s="10" t="str">
        <f>"P"&amp;COUNTA($A:$A)</f>
        <v>P28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InvCkdSmqdOrderExportInput{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T28</v>
      </c>
      <c r="V3" s="10" t="str">
        <f>"V"&amp;COUNTA($A:$A)</f>
        <v>V28</v>
      </c>
      <c r="W3" s="9" t="str">
        <f>"W"&amp;COUNTA($A:$A)</f>
        <v>W28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383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InvCkdSmqdOrder: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InvCkdSmqdOrderConsts	
	{
</v>
      </c>
      <c r="F6" s="10" t="str">
        <f>REPT(CHAR(9),1)&amp;"public class "&amp;B3&amp;"Dto"&amp;K3&amp;REPT(CHAR(9),1)&amp;"
"&amp;REPT(CHAR(9),1)&amp;C3</f>
        <v xml:space="preserve">	public class InvCkdSmqdOrderDto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CreateOrEditInvCkdSmqdOrderDto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GetInvCkdSmqdOrderInput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InvCkdSmqdOrder</v>
      </c>
      <c r="C7" s="10" t="str">
        <f>REPT(CHAR(9),1)&amp;"[Table("""&amp;B7&amp;""")]"&amp;"
"</f>
        <v xml:space="preserve">	[Table("InvCkdSmqdOrder")]
</v>
      </c>
      <c r="D7" s="10"/>
      <c r="E7" s="10"/>
      <c r="F7" s="10"/>
      <c r="G7" s="10"/>
      <c r="H7" s="10"/>
      <c r="I7" s="10"/>
      <c r="J7" t="str">
        <f ca="1">SUBSTITUTE(SUBSTITUTE((B1&amp;C6&amp;C7&amp;K30&amp;D6&amp;I30&amp;E3&amp;J30&amp;""&amp;REPT(CHAR(9),1)&amp;D3&amp;D3),"WorkingPattern",$Q$3),"Master",$B$4)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[Table("InvCkdSmqdOrder")]
	public class InvCkdSmqdOrder: FullAuditedEntity&lt;long&gt;, IEntity&lt;long&gt;	
	{
		public const int MaxShopLength = 1;
		public const int MaxRunNoLength = 50;
		public const int MaxCfcLength = 4;
		public const int MaxSupplierNoLength = 50;
		public const int MaxPartNameLength = 200;
		public const int MaxOrderNoLength = 50;
		public const int MaxTransportLength = 50;
		public const int MaxReasonCodeLength = 50;
		public const int MaxActualEtaPortLength = 50;
		public const int MaxInvoiceNoLength = 50;
		public const int MaxRemarkLength = 500;
		[StringLength(MaxShopLength)]
		public virtual string Shop { get; set; }
		public virtual DateTime? SmqdDate { get; set; }
		[StringLength(MaxRunNoLength)]
		public virtual string RunNo { get; set; }
		[StringLength(MaxCfcLength)]
		public virtual string Cfc { get; set; }
		[StringLength(MaxSupplierNoLength)]
		public virtual string SupplierNo { get; set; }
		public virtual decimal? PartNo { get; set; }
		[StringLength(MaxPartNameLength)]
		public virtual string PartName { get; set; }
		[StringLength(MaxOrderNoLength)]
		public virtual string OrderNo { get; set; }
		public virtual int? OrderQty { get; set; }
		public virtual DateTime? OrderDate { get; set; }
		[StringLength(MaxTransportLength)]
		public virtual string Transport { get; set; }
		[StringLength(MaxReasonCodeLength)]
		public virtual string ReasonCode { get; set; }
		public virtual DateTime? EtaRequest { get; set; }
		[StringLength(MaxActualEtaPortLength)]
		public virtual string ActualEtaPort { get; set; }
		public virtual DateTime? EtaExpReply { get; set; }
		[StringLength(MaxInvoiceNoLength)]
		public virtual string InvoiceNo { get; set; }
		public virtual DateTime? ReceiveDate { get; set; }
		public virtual int? ReceiveQty { get; set; }
		[StringLength(MaxRemarkLength)]
		public virtual string Remark { get; set; }
		public virtual int? OrderType { get; set; }
	}
}
</v>
      </c>
      <c r="K7" t="str">
        <f>SUBSTITUTE(SUBSTITUTE(("public virtual DbSet&lt;"&amp;B3&amp;"&gt; "&amp;B3&amp;"s { get; set; }"),"WorkingPattern",$Q$3),"Master",$B$4)</f>
        <v>public virtual DbSet&lt;InvCkdSmqdOrder&gt; InvCkdSmqdOrders { get; set; }</v>
      </c>
      <c r="L7" t="str">
        <f ca="1">SUBSTITUTE(SUBSTITUTE((C6&amp;E6&amp;I30&amp;"
"&amp;REPT(CHAR(9),2)&amp;"// Define Store Name: Format SP_ + &lt;Store Name&gt; = &lt;Store Name&gt;
"&amp;E3&amp;REPT(CHAR(9),1)&amp;D3&amp;D3),"WorkingPattern",$Q$3),"Master",$B$4)</f>
        <v xml:space="preserve">namespace prod.Inventory.CKD
{
	public class InvCkdSmqdOrderConsts	
	{
		public const int MaxShopLength = 1;
		public const int MaxRunNoLength = 50;
		public const int MaxCfcLength = 4;
		public const int MaxSupplierNoLength = 50;
		public const int MaxPartNameLength = 200;
		public const int MaxOrderNoLength = 50;
		public const int MaxTransportLength = 50;
		public const int MaxReasonCodeLength = 50;
		public const int MaxActualEtaPortLength = 50;
		public const int MaxInvoiceNoLength = 50;
		public const int MaxRemarkLength = 500;
		// Define Store Name: Format SP_ + &lt;Store Name&gt; = &lt;Store Name&gt;
	}
}
</v>
      </c>
      <c r="M7" t="str">
        <f ca="1">SUBSTITUTE(SUBSTITUTE((C1&amp;"namespace "&amp;B6&amp;".Dto"&amp;E3&amp;C3&amp;F6&amp;M30&amp;E3&amp;REPT(CHAR(9),1)&amp;D3&amp;G6&amp;N30&amp;REPT(CHAR(9),1)&amp;D3&amp;H6&amp;O30&amp;"
"&amp;REPT(CHAR(9),1)&amp;D3&amp;D3),"WorkingPattern",$Q$3),"Master",$B$4)</f>
        <v xml:space="preserve">using Abp.Application.Services.Dto;
using System;
using System.ComponentModel.DataAnnotations;
namespace prod.Inventory.CKD.Dto
{
	public class InvCkdSmqdOrderDto : EntityDto&lt;long?&gt;	
	{
		public virtual string Shop { get; set; }
		public virtual DateTime? SmqdDate { get; set; }
		public virtual string RunNo { get; set; }
		public virtual string Cfc { get; set; }
		public virtual string SupplierNo { get; set; }
		public virtual decimal? PartNo { get; set; }
		public virtual string PartName { get; set; }
		public virtual string OrderNo { get; set; }
		public virtual int? OrderQty { get; set; }
		public virtual DateTime? OrderDate { get; set; }
		public virtual string Transport { get; set; }
		public virtual string ReasonCode { get; set; }
		public virtual DateTime? EtaRequest { get; set; }
		public virtual string ActualEtaPort { get; set; }
		public virtual DateTime? EtaExpReply { get; set; }
		public virtual string InvoiceNo { get; set; }
		public virtual DateTime? ReceiveDate { get; set; }
		public virtual int? ReceiveQty { get; set; }
		public virtual string Remark { get; set; }
		public virtual int? OrderType { get; set; }
	}
	public class CreateOrEditInvCkdSmqdOrderDto : EntityDto&lt;long?&gt;	
	{
		[StringLength(InvCkdSmqdOrderConsts.MaxShopLength)]
		public virtual string Shop { get; set; }
		public virtual DateTime? SmqdDate { get; set; }
		[StringLength(InvCkdSmqdOrderConsts.MaxRunNoLength)]
		public virtual string RunNo { get; set; }
		[StringLength(InvCkdSmqdOrderConsts.MaxCfcLength)]
		public virtual string Cfc { get; set; }
		[StringLength(InvCkdSmqdOrderConsts.MaxSupplierNoLength)]
		public virtual string SupplierNo { get; set; }
		public virtual decimal? PartNo { get; set; }
		[StringLength(InvCkdSmqdOrderConsts.MaxPartNameLength)]
		public virtual string PartName { get; set; }
		[StringLength(InvCkdSmqdOrderConsts.MaxOrderNoLength)]
		public virtual string OrderNo { get; set; }
		public virtual int? OrderQty { get; set; }
		public virtual DateTime? OrderDate { get; set; }
		[StringLength(InvCkdSmqdOrderConsts.MaxTransportLength)]
		public virtual string Transport { get; set; }
		[StringLength(InvCkdSmqdOrderConsts.MaxReasonCodeLength)]
		public virtual string ReasonCode { get; set; }
		public virtual DateTime? EtaRequest { get; set; }
		[StringLength(InvCkdSmqdOrderConsts.MaxActualEtaPortLength)]
		public virtual string ActualEtaPort { get; set; }
		public virtual DateTime? EtaExpReply { get; set; }
		[StringLength(InvCkdSmqdOrderConsts.MaxInvoiceNoLength)]
		public virtual string InvoiceNo { get; set; }
		public virtual DateTime? ReceiveDate { get; set; }
		public virtual int? ReceiveQty { get; set; }
		[StringLength(InvCkdSmqdOrderConsts.MaxRemarkLength)]
		public virtual string Remark { get; set; }
		public virtual int? OrderType { get; set; }
	}
	public class GetInvCkdSmqdOrderInput : PagedAndSortedResultRequestDto	
	{
		public virtual string Shop { get; set; }
		public virtual string RunNo { get; set; }
		public virtual string Cfc { get; set; }
		public virtual string SupplierNo { get; set; }
		public virtual string PartName { get; set; }
		public virtual string OrderNo { get; set; }
		public virtual string Transport { get; set; }
		public virtual string ReasonCode { get; set; }
		public virtual string ActualEtaPort { get; set; }
		public virtual string InvoiceNo { get; set; }
		public virtual string Remark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perInvCkdSmqdOrder = PARENTS.CreateChildPermission(AppPermissions.Pages_Inventory_CKD_SmqdOrder, L( "InventoryCKDSmqdOrder"), multiTenancySides: MultiTenancySides.Tenant);
		perInvCkdSmqdOrder.CreateChildPermission(AppPermissions.Pages_Inventory_CKD_SmqdOrder_CreateEdit, L( "InventoryCKDSmqdOrderCreateEdit"), multiTenancySides: MultiTenancySides.Tenant);
		perInvCkdSmqdOrder.CreateChildPermission(AppPermissions.Pages_Inventory_CKD_SmqdOrder_Delete, L( "InventoryCKDSmqdOrderDelete"),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Pages_Inventory_CKD_SmqdOrder = "Pages.Inventory.CKD.SmqdOrder";
		public const string Pages_Inventory_CKD_SmqdOrder_CreateEdit = "Pages.Inventory.CKD.SmqdOrder.CreateEdit";
		public const string Pages_Inventory_CKD_SmqdOrder_Delete = "Pages.Inventory.CKD.SmqdOrder.Delete";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IInvCkdSmqdOrderAppService : IApplicationService
	{
		Task&lt;PagedResultDto&lt;InvCkdSmqdOrderDto&gt;&gt; GetAll(GetInvCkdSmqdOrderInput input);
		Task CreateOrEdit(CreateOrEditInvCkdSmqdOrderDto input);
		Task Delete(EntityDto input);
	}
}
</v>
      </c>
      <c r="Q7" t="str">
        <f ca="1">SUBSTITUTE(SUBSTITUTE(SUBSTITUTE(SUBSTITUTE(SUBSTITUTE(SUBSTITUTE(E1,"MstWptCalendar",$B$3),"&lt;PROPERTIES&gt;",P30),"Calendar",$B$5),"WorkingPattern",$Q$3),"Master",$B$4),"&lt;PARAMS_SEARCH&gt;",$W$30)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[AbpAuthorize(AppPermissions.Pages_Inventory_CKD_SmqdOrder)]
    public class InvCkdSmqdOrderAppService : vovinaAppServiceBase, IInvCkdSmqdOrderAppService
    {
        private readonly IDapperRepository&lt;InvCkdSmqdOrder, long&gt; _dapperRepo;
        private readonly IRepository&lt;InvCkdSmqdOrder, long&gt; _repo;
        private readonly IInvCkdSmqdOrderExcelExporter _calendarListExcelExporter;
        public InvCkdSmqdOrderAppService(IRepository&lt;InvCkdSmqdOrder,long&gt; repo, 
                                         IDapperRepository&lt;InvCkdSmqdOrder,long&gt; dapperRepo,
                                        IInvCkdSmqdOrderExcelExporter calendarListExcelExporter
            )
        {
            _repo = repo;
            _dapperRepo = dapperRepo;
            _calendarListExcelExporter = calendarListExcelExporter;
        }
        [AbpAuthorize(AppPermissions.Pages_Inventory_CKD_SmqdOrder_CreateEdit)]
        public async Task CreateOrEdit(CreateOrEditInvCkdSmqdOrderDto input)
        {
            if (input.Id == null) await Create(input);
            else await Update(input);
        }
        //CREATE
        private async Task Create(CreateOrEditInvCkdSmqdOrderDto input)
        {          
            var mainObj = ObjectMapper.Map&lt;InvCkdSmqdOrder&gt;(input);
            await CurrentUnitOfWork.GetDbContext&lt;vovinaDbContext&gt;().AddAsync(mainObj);
        }
        // EDIT
        private async Task Update(CreateOrEditInvCkdSmqdOrderDto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[AbpAuthorize(AppPermissions.Pages_Inventory_CKD_SmqdOrder_Delete)]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Task&lt;PagedResultDto&lt;InvCkdSmqdOrderDto&gt;&gt; GetAll(GetInvCkdSmqdOrderInput input)
        {
            var filtered = _repo.GetAll()
				.WhereIf(!string.IsNullOrWhiteSpace(input.Shop), e =&gt; e.Shop.Contains(input.Shop))
				.WhereIf(!string.IsNullOrWhiteSpace(input.RunNo), e =&gt; e.RunNo.Contains(input.RunNo))
				.WhereIf(!string.IsNullOrWhiteSpace(input.Cfc), e =&gt; e.Cfc.Contains(input.Cfc))
				.WhereIf(!string.IsNullOrWhiteSpace(input.SupplierNo), e =&gt; e.SupplierNo.Contains(input.SupplierNo))
				.WhereIf(!string.IsNullOrWhiteSpace(input.PartName), e =&gt; e.PartName.Contains(input.PartName))
				.WhereIf(!string.IsNullOrWhiteSpace(input.OrderNo), e =&gt; e.OrderNo.Contains(input.OrderNo))
				.WhereIf(!string.IsNullOrWhiteSpace(input.Transport), e =&gt; e.Transport.Contains(input.Transport))
				.WhereIf(!string.IsNullOrWhiteSpace(input.ReasonCode), e =&gt; e.ReasonCode.Contains(input.ReasonCode))
				.WhereIf(!string.IsNullOrWhiteSpace(input.ActualEtaPort), e =&gt; e.ActualEtaPort.Contains(input.ActualEtaPort))
				.WhereIf(!string.IsNullOrWhiteSpace(input.InvoiceNo), e =&gt; e.InvoiceNo.Contains(input.InvoiceNo))
				.WhereIf(!string.IsNullOrWhiteSpace(input.Remark), e =&gt; e.Remark.Contains(input.Remark))
				;
            var pageAndFiltered = filtered.OrderBy(s =&gt; s.Id);
            var system = from o in pageAndFiltered
                         select new InvCkdSmqdOrderDto
                        {
							Id = o.Id,
							Shop = o.Shop,
							SmqdDate = o.SmqdDate,
							RunNo = o.RunNo,
							Cfc = o.Cfc,
							SupplierNo = o.SupplierNo,
							PartNo = o.PartNo,
							PartName = o.PartName,
							OrderNo = o.OrderNo,
							OrderQty = o.OrderQty,
							OrderDate = o.OrderDate,
							Transport = o.Transport,
							ReasonCode = o.ReasonCode,
							EtaRequest = o.EtaRequest,
							ActualEtaPort = o.ActualEtaPort,
							EtaExpReply = o.EtaExpReply,
							InvoiceNo = o.InvoiceNo,
							ReceiveDate = o.ReceiveDate,
							ReceiveQty = o.ReceiveQty,
							Remark = o.Remark,
							OrderType = o.OrderType,
                        };
            var totalCount = await filtered.CountAsync();
			var paged = system.PageBy(input);
            return new PagedResultDto&lt;InvCkdSmqdOrderDto&gt;(
                totalCount,
                 await paged.ToListAsync()
            );
        }
        public async Task&lt;FileDto&gt; GetSmqdOrderToExcel(InvCkdSmqdOrderExportInput input)
        {
            var query = from o in _repo.GetAll()
                        select new InvCkdSmqdOrderDto
                        {
							Id = o.Id,
							Shop = o.Shop,
							SmqdDate = o.SmqdDate,
							RunNo = o.RunNo,
							Cfc = o.Cfc,
							SupplierNo = o.SupplierNo,
							PartNo = o.PartNo,
							PartName = o.PartName,
							OrderNo = o.OrderNo,
							OrderQty = o.OrderQty,
							OrderDate = o.OrderDate,
							Transport = o.Transport,
							ReasonCode = o.ReasonCode,
							EtaRequest = o.EtaRequest,
							ActualEtaPort = o.ActualEtaPort,
							EtaExpReply = o.EtaExpReply,
							InvoiceNo = o.InvoiceNo,
							ReceiveDate = o.ReceiveDate,
							ReceiveQty = o.ReceiveQty,
							Remark = o.Remark,
							OrderType = o.OrderType,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_dapperRepo.ExecuteAsync(InvCkdSmqdOrderConsts.SP_MST_WPT_CALENDAR_GENERATE);
       // }
    }
}</v>
      </c>
      <c r="R7" t="str">
        <f ca="1">SUBSTITUTE(SUBSTITUTE((C1&amp;"namespace "&amp;B6&amp;".Dto"&amp;E3&amp;C3&amp;R3&amp;M30&amp;E3&amp;REPT(CHAR(9),1)&amp;D3&amp;D3),"WorkingPattern",$Q$3),"Master",$B$4)</f>
        <v xml:space="preserve">using Abp.Application.Services.Dto;
using System;
using System.ComponentModel.DataAnnotations;
namespace prod.Inventory.CKD.Dto
{
	public class InvCkdSmqdOrderExportInput{
		public virtual string Shop { get; set; }
		public virtual DateTime? SmqdDate { get; set; }
		public virtual string RunNo { get; set; }
		public virtual string Cfc { get; set; }
		public virtual string SupplierNo { get; set; }
		public virtual decimal? PartNo { get; set; }
		public virtual string PartName { get; set; }
		public virtual string OrderNo { get; set; }
		public virtual int? OrderQty { get; set; }
		public virtual DateTime? OrderDate { get; set; }
		public virtual string Transport { get; set; }
		public virtual string ReasonCode { get; set; }
		public virtual DateTime? EtaRequest { get; set; }
		public virtual string ActualEtaPort { get; set; }
		public virtual DateTime? EtaExpReply { get; set; }
		public virtual string InvoiceNo { get; set; }
		public virtual DateTime? ReceiveDate { get; set; }
		public virtual int? ReceiveQty { get; set; }
		public virtual string Remark { get; set; }
		public virtual int? OrderType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IInvCkdSmqdOrderExcelExporter : IApplicationService
	{
		FileDto ExportToFile(List&lt;InvCkdSmqdOrderDto&gt; invckdsmqdorder);
	}
}
</v>
      </c>
      <c r="T7" s="26" t="str">
        <f ca="1">SUBSTITUTE(SUBSTITUTE(SUBSTITUTE(SUBSTITUTE(SUBSTITUTE(SUBSTITUTE(SUBSTITUTE(T1,"MstWptCalendar",$B$3),"&lt;PROPERTIES1&gt;",V30),"&lt;PROPERTIES&gt;",T30),"Calendar",$B$5),"calendar",LOWER(B5)),"WorkingPattern",$Q$3),"Master",$B$4)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InvCkdSmqdOrderExcelExporter : NpoiExcelExporterBase, IInvCkdSmqdOrderExcelExporter
    {
        public InvCkdSmqdOrderExcelExporter(ITempFileCacheManager tempFileCacheManager) : base(tempFileCacheManager) { }
        public FileDto ExportToFile(List&lt;InvCkdSmqdOrderDto&gt; smqdorder)
        {
            return CreateExcelPackage(
				"InventoryCKDSmqdOrder.xlsx",
				excelPackage =&gt;
				 {
					var sheet = excelPackage.CreateSheet("SmqdOrder");
					AddHeader(
								sheet,
								("Shop"),
								("SmqdDate"),
								("RunNo"),
								("Cfc"),
								("SupplierNo"),
								("PartNo"),
								("PartName"),
								("OrderNo"),
								("OrderQty"),
								("OrderDate"),
								("Transport"),
								("ReasonCode"),
								("EtaRequest"),
								("ActualEtaPort"),
								("EtaExpReply"),
								("InvoiceNo"),
								("ReceiveDate"),
								("ReceiveQty"),
								("Remark"),
								("OrderType"),
							   );
					AddObjects(
						 sheet, 1, smqdorder,                                       
								_ =&gt; _.Shop,
								_ =&gt; _.SmqdDate,
								_ =&gt; _.RunNo,
								_ =&gt; _.Cfc,
								_ =&gt; _.SupplierNo,
								_ =&gt; _.PartNo,
								_ =&gt; _.PartName,
								_ =&gt; _.OrderNo,
								_ =&gt; _.OrderQty,
								_ =&gt; _.OrderDate,
								_ =&gt; _.Transport,
								_ =&gt; _.ReasonCode,
								_ =&gt; _.EtaRequest,
								_ =&gt; _.ActualEtaPort,
								_ =&gt; _.EtaExpReply,
								_ =&gt; _.InvoiceNo,
								_ =&gt; _.ReceiveDate,
								_ =&gt; _.ReceiveQty,
								_ =&gt; _.Remark,
								_ =&gt; _.OrderType,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configuration.CreateMap&lt;InvCkdSmqdOrderDto, InvCkdSmqdOrder&gt;();
  configuration.CreateMap&lt;InvCkdSmqdOrder, InvCkdSmqdOrderDto&gt;();
  configuration.CreateMap&lt;CreateOrEditInvCkdSmqdOrderDto, InvCkdSmqdOrder&gt;();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362</v>
      </c>
      <c r="B9" t="s">
        <v>361</v>
      </c>
      <c r="C9" t="s">
        <v>1</v>
      </c>
      <c r="D9" t="str">
        <f t="shared" ref="D9" si="0">SUBSTITUTE(PROPER(A9),"_","")</f>
        <v>Shop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MaxShopLength = 1;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[StringLength(MaxShopLength)]
		public virtual string Shop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Shop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[StringLength(InvCkdSmqdOrderConsts.MaxShopLength)]
		public virtual string Shop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Shop { get; set; }
</v>
      </c>
      <c r="P9" t="str">
        <f t="shared" ref="P9" si="9">REPT(CHAR(9),7)&amp;D9&amp;" = o." &amp;D9 &amp;","</f>
        <v xml:space="preserve">							Shop = o.Shop,</v>
      </c>
      <c r="T9" s="63" t="str">
        <f t="shared" ref="T9" si="10">REPT(CHAR(9),8)&amp;"("""&amp;D9&amp;"""),"</f>
        <v xml:space="preserve">								("Shop"),</v>
      </c>
      <c r="V9" s="64" t="str">
        <f t="shared" ref="V9" si="11">REPT(CHAR(9),8)&amp;"_ =&gt; _."&amp;D9&amp;","</f>
        <v xml:space="preserve">								_ =&gt; _.Shop,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.WhereIf(!string.IsNullOrWhiteSpace(input.Shop), e =&gt; e.Shop.Contains(input.Shop))</v>
      </c>
    </row>
    <row r="10" spans="1:23" customFormat="1" ht="18.75" customHeight="1" x14ac:dyDescent="0.25">
      <c r="A10" t="s">
        <v>363</v>
      </c>
      <c r="B10" t="s">
        <v>378</v>
      </c>
      <c r="C10" t="s">
        <v>1</v>
      </c>
      <c r="D10" t="str">
        <f t="shared" ref="D10:D11" si="13">SUBSTITUTE(PROPER(A10),"_","")</f>
        <v>SmqdDate</v>
      </c>
      <c r="E10" t="str">
        <f t="shared" ref="E10:E11" si="14">IFERROR(LEFT(B10, FIND("(",B10)-1),B10)</f>
        <v>Date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DateTime?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DateTime? SmqdDate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DateTime? SmqdDate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SmqdDate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SmqdDate = o.SmqdDate,</v>
      </c>
      <c r="T10" s="63" t="str">
        <f t="shared" ref="T10:T11" si="23">REPT(CHAR(9),8)&amp;"("""&amp;D10&amp;"""),"</f>
        <v xml:space="preserve">								("SmqdDate"),</v>
      </c>
      <c r="V10" s="64" t="str">
        <f t="shared" ref="V10:V11" si="24">REPT(CHAR(9),8)&amp;"_ =&gt; _."&amp;D10&amp;","</f>
        <v xml:space="preserve">								_ =&gt; _.SmqdDate,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364</v>
      </c>
      <c r="B11" t="s">
        <v>379</v>
      </c>
      <c r="C11" t="s">
        <v>1</v>
      </c>
      <c r="D11" t="str">
        <f t="shared" si="13"/>
        <v>RunNo</v>
      </c>
      <c r="E11" t="str">
        <f t="shared" si="14"/>
        <v>VARCHAR</v>
      </c>
      <c r="F11" s="6"/>
      <c r="G11" t="str">
        <f t="shared" si="15"/>
        <v>50</v>
      </c>
      <c r="H11" t="str">
        <f>+VLOOKUP(E11,'Data Type Mapping'!A:B,2,)</f>
        <v>string</v>
      </c>
      <c r="I11" t="str">
        <f t="shared" si="16"/>
        <v xml:space="preserve">		public const int MaxRunNoLength = 50;
</v>
      </c>
      <c r="J11" t="str">
        <f t="shared" si="17"/>
        <v xml:space="preserve">		[StringLength(MaxRunNoLength)]
		public virtual string RunNo { get; set; }
</v>
      </c>
      <c r="K11" s="6"/>
      <c r="L11" t="str">
        <f t="shared" si="18"/>
        <v/>
      </c>
      <c r="M11" t="str">
        <f t="shared" si="19"/>
        <v xml:space="preserve">		public virtual string RunNo { get; set; }
</v>
      </c>
      <c r="N11" t="str">
        <f t="shared" si="20"/>
        <v xml:space="preserve">		[StringLength(InvCkdSmqdOrderConsts.MaxRunNoLength)]
		public virtual string RunNo { get; set; }
</v>
      </c>
      <c r="O11" t="str">
        <f t="shared" si="21"/>
        <v xml:space="preserve">		public virtual string RunNo { get; set; }
</v>
      </c>
      <c r="P11" t="str">
        <f t="shared" si="22"/>
        <v xml:space="preserve">							RunNo = o.RunNo,</v>
      </c>
      <c r="T11" s="63" t="str">
        <f t="shared" si="23"/>
        <v xml:space="preserve">								("RunNo"),</v>
      </c>
      <c r="V11" s="64" t="str">
        <f t="shared" si="24"/>
        <v xml:space="preserve">								_ =&gt; _.RunNo,</v>
      </c>
      <c r="W11" s="63" t="str">
        <f t="shared" si="25"/>
        <v xml:space="preserve">				.WhereIf(!string.IsNullOrWhiteSpace(input.RunNo), e =&gt; e.RunNo.Contains(input.RunNo))</v>
      </c>
    </row>
    <row r="12" spans="1:23" customFormat="1" ht="18.75" customHeight="1" x14ac:dyDescent="0.25">
      <c r="A12" t="s">
        <v>365</v>
      </c>
      <c r="B12" t="s">
        <v>357</v>
      </c>
      <c r="C12" t="s">
        <v>1</v>
      </c>
      <c r="D12" t="str">
        <f t="shared" ref="D12:D15" si="26">SUBSTITUTE(PROPER(A12),"_","")</f>
        <v>Cfc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4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MaxCfcLength = 4;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[StringLength(MaxCfcLength)]
		public virtual string Cfc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Cfc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[StringLength(InvCkdSmqdOrderConsts.MaxCfcLength)]
		public virtual string Cfc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Cfc { get; set; }
</v>
      </c>
      <c r="P12" t="str">
        <f t="shared" ref="P12:P15" si="35">REPT(CHAR(9),7)&amp;D12&amp;" = o." &amp;D12 &amp;","</f>
        <v xml:space="preserve">							Cfc = o.Cfc,</v>
      </c>
      <c r="T12" s="63" t="str">
        <f t="shared" ref="T12:T15" si="36">REPT(CHAR(9),8)&amp;"("""&amp;D12&amp;"""),"</f>
        <v xml:space="preserve">								("Cfc"),</v>
      </c>
      <c r="V12" s="64" t="str">
        <f t="shared" ref="V12:V15" si="37">REPT(CHAR(9),8)&amp;"_ =&gt; _."&amp;D12&amp;","</f>
        <v xml:space="preserve">								_ =&gt; _.Cfc,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.WhereIf(!string.IsNullOrWhiteSpace(input.Cfc), e =&gt; e.Cfc.Contains(input.Cfc))</v>
      </c>
    </row>
    <row r="13" spans="1:23" customFormat="1" ht="18.75" customHeight="1" x14ac:dyDescent="0.25">
      <c r="A13" t="s">
        <v>349</v>
      </c>
      <c r="B13" t="s">
        <v>379</v>
      </c>
      <c r="C13" t="s">
        <v>1</v>
      </c>
      <c r="D13" t="str">
        <f t="shared" si="26"/>
        <v>SupplierNo</v>
      </c>
      <c r="E13" t="str">
        <f t="shared" si="27"/>
        <v>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MaxSupplierNoLength = 50;
</v>
      </c>
      <c r="J13" t="str">
        <f t="shared" si="30"/>
        <v xml:space="preserve">		[StringLength(MaxSupplierNoLength)]
		public virtual string SupplierNo { get; set; }
</v>
      </c>
      <c r="K13" s="6"/>
      <c r="L13" t="str">
        <f t="shared" si="31"/>
        <v/>
      </c>
      <c r="M13" t="str">
        <f t="shared" si="32"/>
        <v xml:space="preserve">		public virtual string SupplierNo { get; set; }
</v>
      </c>
      <c r="N13" t="str">
        <f t="shared" si="33"/>
        <v xml:space="preserve">		[StringLength(InvCkdSmqdOrderConsts.MaxSupplierNoLength)]
		public virtual string SupplierNo { get; set; }
</v>
      </c>
      <c r="O13" t="str">
        <f t="shared" si="34"/>
        <v xml:space="preserve">		public virtual string SupplierNo { get; set; }
</v>
      </c>
      <c r="P13" t="str">
        <f t="shared" si="35"/>
        <v xml:space="preserve">							SupplierNo = o.SupplierNo,</v>
      </c>
      <c r="T13" s="63" t="str">
        <f t="shared" si="36"/>
        <v xml:space="preserve">								("SupplierNo"),</v>
      </c>
      <c r="V13" s="64" t="str">
        <f t="shared" si="37"/>
        <v xml:space="preserve">								_ =&gt; _.SupplierNo,</v>
      </c>
      <c r="W13" s="63" t="str">
        <f t="shared" si="38"/>
        <v xml:space="preserve">				.WhereIf(!string.IsNullOrWhiteSpace(input.SupplierNo), e =&gt; e.SupplierNo.Contains(input.SupplierNo))</v>
      </c>
    </row>
    <row r="14" spans="1:23" customFormat="1" ht="18.75" customHeight="1" x14ac:dyDescent="0.25">
      <c r="A14" t="s">
        <v>356</v>
      </c>
      <c r="B14" t="s">
        <v>380</v>
      </c>
      <c r="C14" t="s">
        <v>1</v>
      </c>
      <c r="D14" t="str">
        <f t="shared" si="26"/>
        <v>PartNo</v>
      </c>
      <c r="E14" t="str">
        <f t="shared" si="27"/>
        <v>DECIMAL</v>
      </c>
      <c r="F14" s="6"/>
      <c r="G14" t="str">
        <f t="shared" si="28"/>
        <v>50</v>
      </c>
      <c r="H14" t="str">
        <f>+VLOOKUP(E14,'Data Type Mapping'!A:B,2,)</f>
        <v>decimal?</v>
      </c>
      <c r="I14" t="str">
        <f t="shared" si="29"/>
        <v/>
      </c>
      <c r="J14" t="str">
        <f t="shared" si="30"/>
        <v xml:space="preserve">		public virtual decimal? PartNo { get; set; }
</v>
      </c>
      <c r="K14" s="6"/>
      <c r="L14" t="str">
        <f t="shared" si="31"/>
        <v/>
      </c>
      <c r="M14" t="str">
        <f t="shared" si="32"/>
        <v xml:space="preserve">		public virtual decimal? PartNo { get; set; }
</v>
      </c>
      <c r="N14" t="str">
        <f t="shared" si="33"/>
        <v xml:space="preserve">		public virtual decimal? PartNo { get; set; }
</v>
      </c>
      <c r="O14" t="str">
        <f t="shared" si="34"/>
        <v/>
      </c>
      <c r="P14" t="str">
        <f t="shared" si="35"/>
        <v xml:space="preserve">							PartNo = o.PartNo,</v>
      </c>
      <c r="T14" s="63" t="str">
        <f t="shared" si="36"/>
        <v xml:space="preserve">								("PartNo"),</v>
      </c>
      <c r="V14" s="64" t="str">
        <f t="shared" si="37"/>
        <v xml:space="preserve">								_ =&gt; _.PartNo,</v>
      </c>
      <c r="W14" s="63" t="str">
        <f t="shared" si="38"/>
        <v/>
      </c>
    </row>
    <row r="15" spans="1:23" customFormat="1" ht="18.75" customHeight="1" x14ac:dyDescent="0.25">
      <c r="A15" t="s">
        <v>358</v>
      </c>
      <c r="B15" t="s">
        <v>360</v>
      </c>
      <c r="C15" t="s">
        <v>1</v>
      </c>
      <c r="D15" t="str">
        <f t="shared" si="26"/>
        <v>PartName</v>
      </c>
      <c r="E15" t="str">
        <f t="shared" si="27"/>
        <v>VARCHAR</v>
      </c>
      <c r="F15" s="6"/>
      <c r="G15" t="str">
        <f t="shared" si="28"/>
        <v>200</v>
      </c>
      <c r="H15" t="str">
        <f>+VLOOKUP(E15,'Data Type Mapping'!A:B,2,)</f>
        <v>string</v>
      </c>
      <c r="I15" t="str">
        <f t="shared" si="29"/>
        <v xml:space="preserve">		public const int MaxPartNameLength = 200;
</v>
      </c>
      <c r="J15" t="str">
        <f t="shared" si="30"/>
        <v xml:space="preserve">		[StringLength(MaxPartNameLength)]
		public virtual string PartName { get; set; }
</v>
      </c>
      <c r="K15" s="6"/>
      <c r="L15" t="str">
        <f t="shared" si="31"/>
        <v/>
      </c>
      <c r="M15" t="str">
        <f t="shared" si="32"/>
        <v xml:space="preserve">		public virtual string PartName { get; set; }
</v>
      </c>
      <c r="N15" t="str">
        <f t="shared" si="33"/>
        <v xml:space="preserve">		[StringLength(InvCkdSmqdOrderConsts.MaxPartNameLength)]
		public virtual string PartName { get; set; }
</v>
      </c>
      <c r="O15" t="str">
        <f t="shared" si="34"/>
        <v xml:space="preserve">		public virtual string PartName { get; set; }
</v>
      </c>
      <c r="P15" t="str">
        <f t="shared" si="35"/>
        <v xml:space="preserve">							PartName = o.PartName,</v>
      </c>
      <c r="T15" s="63" t="str">
        <f t="shared" si="36"/>
        <v xml:space="preserve">								("PartName"),</v>
      </c>
      <c r="V15" s="64" t="str">
        <f t="shared" si="37"/>
        <v xml:space="preserve">								_ =&gt; _.PartName,</v>
      </c>
      <c r="W15" s="63" t="str">
        <f t="shared" si="38"/>
        <v xml:space="preserve">				.WhereIf(!string.IsNullOrWhiteSpace(input.PartName), e =&gt; e.PartName.Contains(input.PartName))</v>
      </c>
    </row>
    <row r="16" spans="1:23" customFormat="1" ht="18.75" customHeight="1" x14ac:dyDescent="0.25">
      <c r="A16" t="s">
        <v>359</v>
      </c>
      <c r="B16" t="s">
        <v>379</v>
      </c>
      <c r="C16" t="s">
        <v>1</v>
      </c>
      <c r="D16" t="str">
        <f t="shared" ref="D16:D23" si="39">SUBSTITUTE(PROPER(A16),"_","")</f>
        <v>OrderNo</v>
      </c>
      <c r="E16" t="str">
        <f t="shared" ref="E16:E23" si="40">IFERROR(LEFT(B16, FIND("(",B16)-1),B16)</f>
        <v>VARCHAR</v>
      </c>
      <c r="F16" s="6"/>
      <c r="G16" t="str">
        <f t="shared" ref="G16:G23" si="41">IFERROR(MID(B16,FIND("(",B16) +1, FIND(")",B16) - FIND("(",B16) - 1),"")</f>
        <v>50</v>
      </c>
      <c r="H16" t="str">
        <f>+VLOOKUP(E16,'Data Type Mapping'!A:B,2,)</f>
        <v>string</v>
      </c>
      <c r="I16" t="str">
        <f t="shared" ref="I16:I23" si="42">IF(H16="string",REPT(CHAR(9),2)&amp;"public const int Max"&amp;D16&amp;"Length = "&amp;G16&amp;";"&amp;$E$3,"" )</f>
        <v xml:space="preserve">		public const int MaxOrderNoLength = 50;
</v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[StringLength(MaxOrderNoLength)]
		public virtual string OrderNo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string OrderNo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[StringLength(InvCkdSmqdOrderConsts.MaxOrderNoLength)]
		public virtual string OrderNo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 xml:space="preserve">		public virtual string OrderNo { get; set; }
</v>
      </c>
      <c r="P16" t="str">
        <f t="shared" ref="P16:P23" si="48">REPT(CHAR(9),7)&amp;D16&amp;" = o." &amp;D16 &amp;","</f>
        <v xml:space="preserve">							OrderNo = o.OrderNo,</v>
      </c>
      <c r="T16" s="63" t="str">
        <f t="shared" ref="T16:T23" si="49">REPT(CHAR(9),8)&amp;"("""&amp;D16&amp;"""),"</f>
        <v xml:space="preserve">								("OrderNo"),</v>
      </c>
      <c r="V16" s="64" t="str">
        <f t="shared" ref="V16:V23" si="50">REPT(CHAR(9),8)&amp;"_ =&gt; _."&amp;D16&amp;","</f>
        <v xml:space="preserve">								_ =&gt; _.OrderNo,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.WhereIf(!string.IsNullOrWhiteSpace(input.OrderNo), e =&gt; e.OrderNo.Contains(input.OrderNo))</v>
      </c>
    </row>
    <row r="17" spans="1:23" customFormat="1" ht="18.75" customHeight="1" x14ac:dyDescent="0.25">
      <c r="A17" t="s">
        <v>366</v>
      </c>
      <c r="B17" t="s">
        <v>4</v>
      </c>
      <c r="C17" t="s">
        <v>1</v>
      </c>
      <c r="D17" t="str">
        <f t="shared" si="39"/>
        <v>OrderQty</v>
      </c>
      <c r="E17" t="str">
        <f t="shared" si="40"/>
        <v>int</v>
      </c>
      <c r="F17" s="6"/>
      <c r="G17" t="str">
        <f t="shared" si="41"/>
        <v/>
      </c>
      <c r="H17" t="str">
        <f>+VLOOKUP(E17,'Data Type Mapping'!A:B,2,)</f>
        <v>int?</v>
      </c>
      <c r="I17" t="str">
        <f t="shared" si="42"/>
        <v/>
      </c>
      <c r="J17" t="str">
        <f t="shared" si="43"/>
        <v xml:space="preserve">		public virtual int? OrderQty { get; set; }
</v>
      </c>
      <c r="K17" s="6"/>
      <c r="L17" t="str">
        <f t="shared" si="44"/>
        <v/>
      </c>
      <c r="M17" t="str">
        <f t="shared" si="45"/>
        <v xml:space="preserve">		public virtual int? OrderQty { get; set; }
</v>
      </c>
      <c r="N17" t="str">
        <f t="shared" si="46"/>
        <v xml:space="preserve">		public virtual int? OrderQty { get; set; }
</v>
      </c>
      <c r="O17" t="str">
        <f t="shared" si="47"/>
        <v/>
      </c>
      <c r="P17" t="str">
        <f t="shared" si="48"/>
        <v xml:space="preserve">							OrderQty = o.OrderQty,</v>
      </c>
      <c r="T17" s="63" t="str">
        <f t="shared" si="49"/>
        <v xml:space="preserve">								("OrderQty"),</v>
      </c>
      <c r="V17" s="64" t="str">
        <f t="shared" si="50"/>
        <v xml:space="preserve">								_ =&gt; _.OrderQty,</v>
      </c>
      <c r="W17" s="63" t="str">
        <f t="shared" si="51"/>
        <v/>
      </c>
    </row>
    <row r="18" spans="1:23" customFormat="1" ht="18.75" customHeight="1" x14ac:dyDescent="0.25">
      <c r="A18" t="s">
        <v>367</v>
      </c>
      <c r="B18" t="s">
        <v>378</v>
      </c>
      <c r="C18" t="s">
        <v>1</v>
      </c>
      <c r="D18" t="str">
        <f t="shared" si="39"/>
        <v>OrderDate</v>
      </c>
      <c r="E18" t="str">
        <f t="shared" si="40"/>
        <v>Date</v>
      </c>
      <c r="F18" s="6"/>
      <c r="G18" t="str">
        <f t="shared" si="41"/>
        <v/>
      </c>
      <c r="H18" t="str">
        <f>+VLOOKUP(E18,'Data Type Mapping'!A:B,2,)</f>
        <v>DateTime?</v>
      </c>
      <c r="I18" t="str">
        <f t="shared" si="42"/>
        <v/>
      </c>
      <c r="J18" t="str">
        <f t="shared" si="43"/>
        <v xml:space="preserve">		public virtual DateTime? OrderDate { get; set; }
</v>
      </c>
      <c r="K18" s="6"/>
      <c r="L18" t="str">
        <f t="shared" si="44"/>
        <v/>
      </c>
      <c r="M18" t="str">
        <f t="shared" si="45"/>
        <v xml:space="preserve">		public virtual DateTime? OrderDate { get; set; }
</v>
      </c>
      <c r="N18" t="str">
        <f t="shared" si="46"/>
        <v xml:space="preserve">		public virtual DateTime? OrderDate { get; set; }
</v>
      </c>
      <c r="O18" t="str">
        <f t="shared" si="47"/>
        <v/>
      </c>
      <c r="P18" t="str">
        <f t="shared" si="48"/>
        <v xml:space="preserve">							OrderDate = o.OrderDate,</v>
      </c>
      <c r="T18" s="63" t="str">
        <f t="shared" si="49"/>
        <v xml:space="preserve">								("OrderDate"),</v>
      </c>
      <c r="V18" s="64" t="str">
        <f t="shared" si="50"/>
        <v xml:space="preserve">								_ =&gt; _.OrderDate,</v>
      </c>
      <c r="W18" s="63" t="str">
        <f t="shared" si="51"/>
        <v/>
      </c>
    </row>
    <row r="19" spans="1:23" customFormat="1" ht="18.75" customHeight="1" x14ac:dyDescent="0.25">
      <c r="A19" t="s">
        <v>368</v>
      </c>
      <c r="B19" t="s">
        <v>379</v>
      </c>
      <c r="C19" t="s">
        <v>1</v>
      </c>
      <c r="D19" t="str">
        <f t="shared" si="39"/>
        <v>Transport</v>
      </c>
      <c r="E19" t="str">
        <f t="shared" si="40"/>
        <v>VARCHAR</v>
      </c>
      <c r="F19" s="6"/>
      <c r="G19" t="str">
        <f t="shared" si="41"/>
        <v>50</v>
      </c>
      <c r="H19" t="str">
        <f>+VLOOKUP(E19,'Data Type Mapping'!A:B,2,)</f>
        <v>string</v>
      </c>
      <c r="I19" t="str">
        <f t="shared" si="42"/>
        <v xml:space="preserve">		public const int MaxTransportLength = 50;
</v>
      </c>
      <c r="J19" t="str">
        <f t="shared" si="43"/>
        <v xml:space="preserve">		[StringLength(MaxTransportLength)]
		public virtual string Transport { get; set; }
</v>
      </c>
      <c r="K19" s="6"/>
      <c r="L19" t="str">
        <f t="shared" si="44"/>
        <v/>
      </c>
      <c r="M19" t="str">
        <f t="shared" si="45"/>
        <v xml:space="preserve">		public virtual string Transport { get; set; }
</v>
      </c>
      <c r="N19" t="str">
        <f t="shared" si="46"/>
        <v xml:space="preserve">		[StringLength(InvCkdSmqdOrderConsts.MaxTransportLength)]
		public virtual string Transport { get; set; }
</v>
      </c>
      <c r="O19" t="str">
        <f t="shared" si="47"/>
        <v xml:space="preserve">		public virtual string Transport { get; set; }
</v>
      </c>
      <c r="P19" t="str">
        <f t="shared" si="48"/>
        <v xml:space="preserve">							Transport = o.Transport,</v>
      </c>
      <c r="T19" s="63" t="str">
        <f t="shared" si="49"/>
        <v xml:space="preserve">								("Transport"),</v>
      </c>
      <c r="V19" s="64" t="str">
        <f t="shared" si="50"/>
        <v xml:space="preserve">								_ =&gt; _.Transport,</v>
      </c>
      <c r="W19" s="63" t="str">
        <f t="shared" si="51"/>
        <v xml:space="preserve">				.WhereIf(!string.IsNullOrWhiteSpace(input.Transport), e =&gt; e.Transport.Contains(input.Transport))</v>
      </c>
    </row>
    <row r="20" spans="1:23" customFormat="1" ht="18.75" customHeight="1" x14ac:dyDescent="0.25">
      <c r="A20" t="s">
        <v>369</v>
      </c>
      <c r="B20" t="s">
        <v>379</v>
      </c>
      <c r="C20" t="s">
        <v>1</v>
      </c>
      <c r="D20" t="str">
        <f t="shared" si="39"/>
        <v>ReasonCode</v>
      </c>
      <c r="E20" t="str">
        <f t="shared" si="40"/>
        <v>VARCHAR</v>
      </c>
      <c r="F20" s="6"/>
      <c r="G20" t="str">
        <f t="shared" si="41"/>
        <v>50</v>
      </c>
      <c r="H20" t="str">
        <f>+VLOOKUP(E20,'Data Type Mapping'!A:B,2,)</f>
        <v>string</v>
      </c>
      <c r="I20" t="str">
        <f t="shared" si="42"/>
        <v xml:space="preserve">		public const int MaxReasonCodeLength = 50;
</v>
      </c>
      <c r="J20" t="str">
        <f t="shared" si="43"/>
        <v xml:space="preserve">		[StringLength(MaxReasonCodeLength)]
		public virtual string ReasonCode { get; set; }
</v>
      </c>
      <c r="K20" s="6"/>
      <c r="L20" t="str">
        <f t="shared" si="44"/>
        <v/>
      </c>
      <c r="M20" t="str">
        <f t="shared" si="45"/>
        <v xml:space="preserve">		public virtual string ReasonCode { get; set; }
</v>
      </c>
      <c r="N20" t="str">
        <f t="shared" si="46"/>
        <v xml:space="preserve">		[StringLength(InvCkdSmqdOrderConsts.MaxReasonCodeLength)]
		public virtual string ReasonCode { get; set; }
</v>
      </c>
      <c r="O20" t="str">
        <f t="shared" si="47"/>
        <v xml:space="preserve">		public virtual string ReasonCode { get; set; }
</v>
      </c>
      <c r="P20" t="str">
        <f t="shared" si="48"/>
        <v xml:space="preserve">							ReasonCode = o.ReasonCode,</v>
      </c>
      <c r="T20" s="63" t="str">
        <f t="shared" si="49"/>
        <v xml:space="preserve">								("ReasonCode"),</v>
      </c>
      <c r="V20" s="64" t="str">
        <f t="shared" si="50"/>
        <v xml:space="preserve">								_ =&gt; _.ReasonCode,</v>
      </c>
      <c r="W20" s="63" t="str">
        <f t="shared" si="51"/>
        <v xml:space="preserve">				.WhereIf(!string.IsNullOrWhiteSpace(input.ReasonCode), e =&gt; e.ReasonCode.Contains(input.ReasonCode))</v>
      </c>
    </row>
    <row r="21" spans="1:23" customFormat="1" ht="18.75" customHeight="1" x14ac:dyDescent="0.25">
      <c r="A21" t="s">
        <v>370</v>
      </c>
      <c r="B21" t="s">
        <v>2</v>
      </c>
      <c r="C21" t="s">
        <v>1</v>
      </c>
      <c r="D21" t="str">
        <f t="shared" si="39"/>
        <v>EtaRequest</v>
      </c>
      <c r="E21" t="str">
        <f t="shared" si="40"/>
        <v>date</v>
      </c>
      <c r="F21" s="6"/>
      <c r="G21" t="str">
        <f t="shared" si="41"/>
        <v/>
      </c>
      <c r="H21" t="str">
        <f>+VLOOKUP(E21,'Data Type Mapping'!A:B,2,)</f>
        <v>DateTime?</v>
      </c>
      <c r="I21" t="str">
        <f t="shared" si="42"/>
        <v/>
      </c>
      <c r="J21" t="str">
        <f t="shared" si="43"/>
        <v xml:space="preserve">		public virtual DateTime? EtaRequest { get; set; }
</v>
      </c>
      <c r="K21" s="6"/>
      <c r="L21" t="str">
        <f t="shared" si="44"/>
        <v/>
      </c>
      <c r="M21" t="str">
        <f t="shared" si="45"/>
        <v xml:space="preserve">		public virtual DateTime? EtaRequest { get; set; }
</v>
      </c>
      <c r="N21" t="str">
        <f t="shared" si="46"/>
        <v xml:space="preserve">		public virtual DateTime? EtaRequest { get; set; }
</v>
      </c>
      <c r="O21" t="str">
        <f t="shared" si="47"/>
        <v/>
      </c>
      <c r="P21" t="str">
        <f t="shared" si="48"/>
        <v xml:space="preserve">							EtaRequest = o.EtaRequest,</v>
      </c>
      <c r="T21" s="63" t="str">
        <f t="shared" si="49"/>
        <v xml:space="preserve">								("EtaRequest"),</v>
      </c>
      <c r="V21" s="64" t="str">
        <f t="shared" si="50"/>
        <v xml:space="preserve">								_ =&gt; _.EtaRequest,</v>
      </c>
      <c r="W21" s="63" t="str">
        <f t="shared" si="51"/>
        <v/>
      </c>
    </row>
    <row r="22" spans="1:23" customFormat="1" ht="18.75" customHeight="1" x14ac:dyDescent="0.25">
      <c r="A22" t="s">
        <v>371</v>
      </c>
      <c r="B22" t="s">
        <v>379</v>
      </c>
      <c r="C22" t="s">
        <v>1</v>
      </c>
      <c r="D22" t="str">
        <f t="shared" si="39"/>
        <v>ActualEtaPort</v>
      </c>
      <c r="E22" t="str">
        <f t="shared" si="40"/>
        <v>VARCHAR</v>
      </c>
      <c r="F22" s="6"/>
      <c r="G22" t="str">
        <f t="shared" si="41"/>
        <v>50</v>
      </c>
      <c r="H22" t="str">
        <f>+VLOOKUP(E22,'Data Type Mapping'!A:B,2,)</f>
        <v>string</v>
      </c>
      <c r="I22" t="str">
        <f t="shared" si="42"/>
        <v xml:space="preserve">		public const int MaxActualEtaPortLength = 50;
</v>
      </c>
      <c r="J22" t="str">
        <f t="shared" si="43"/>
        <v xml:space="preserve">		[StringLength(MaxActualEtaPortLength)]
		public virtual string ActualEtaPort { get; set; }
</v>
      </c>
      <c r="K22" s="6"/>
      <c r="L22" t="str">
        <f t="shared" si="44"/>
        <v/>
      </c>
      <c r="M22" t="str">
        <f t="shared" si="45"/>
        <v xml:space="preserve">		public virtual string ActualEtaPort { get; set; }
</v>
      </c>
      <c r="N22" t="str">
        <f t="shared" si="46"/>
        <v xml:space="preserve">		[StringLength(InvCkdSmqdOrderConsts.MaxActualEtaPortLength)]
		public virtual string ActualEtaPort { get; set; }
</v>
      </c>
      <c r="O22" t="str">
        <f t="shared" si="47"/>
        <v xml:space="preserve">		public virtual string ActualEtaPort { get; set; }
</v>
      </c>
      <c r="P22" t="str">
        <f t="shared" si="48"/>
        <v xml:space="preserve">							ActualEtaPort = o.ActualEtaPort,</v>
      </c>
      <c r="T22" s="63" t="str">
        <f t="shared" si="49"/>
        <v xml:space="preserve">								("ActualEtaPort"),</v>
      </c>
      <c r="V22" s="64" t="str">
        <f t="shared" si="50"/>
        <v xml:space="preserve">								_ =&gt; _.ActualEtaPort,</v>
      </c>
      <c r="W22" s="63" t="str">
        <f t="shared" si="51"/>
        <v xml:space="preserve">				.WhereIf(!string.IsNullOrWhiteSpace(input.ActualEtaPort), e =&gt; e.ActualEtaPort.Contains(input.ActualEtaPort))</v>
      </c>
    </row>
    <row r="23" spans="1:23" customFormat="1" ht="18.75" customHeight="1" x14ac:dyDescent="0.25">
      <c r="A23" t="s">
        <v>372</v>
      </c>
      <c r="B23" t="s">
        <v>2</v>
      </c>
      <c r="C23" t="s">
        <v>1</v>
      </c>
      <c r="D23" t="str">
        <f t="shared" si="39"/>
        <v>EtaExpReply</v>
      </c>
      <c r="E23" t="str">
        <f t="shared" si="40"/>
        <v>date</v>
      </c>
      <c r="F23" s="6"/>
      <c r="G23" t="str">
        <f t="shared" si="41"/>
        <v/>
      </c>
      <c r="H23" t="str">
        <f>+VLOOKUP(E23,'Data Type Mapping'!A:B,2,)</f>
        <v>DateTime?</v>
      </c>
      <c r="I23" t="str">
        <f t="shared" si="42"/>
        <v/>
      </c>
      <c r="J23" t="str">
        <f t="shared" si="43"/>
        <v xml:space="preserve">		public virtual DateTime? EtaExpReply { get; set; }
</v>
      </c>
      <c r="K23" s="6"/>
      <c r="L23" t="str">
        <f t="shared" si="44"/>
        <v/>
      </c>
      <c r="M23" t="str">
        <f t="shared" si="45"/>
        <v xml:space="preserve">		public virtual DateTime? EtaExpReply { get; set; }
</v>
      </c>
      <c r="N23" t="str">
        <f t="shared" si="46"/>
        <v xml:space="preserve">		public virtual DateTime? EtaExpReply { get; set; }
</v>
      </c>
      <c r="O23" t="str">
        <f t="shared" si="47"/>
        <v/>
      </c>
      <c r="P23" t="str">
        <f t="shared" si="48"/>
        <v xml:space="preserve">							EtaExpReply = o.EtaExpReply,</v>
      </c>
      <c r="T23" s="63" t="str">
        <f t="shared" si="49"/>
        <v xml:space="preserve">								("EtaExpReply"),</v>
      </c>
      <c r="V23" s="64" t="str">
        <f t="shared" si="50"/>
        <v xml:space="preserve">								_ =&gt; _.EtaExpReply,</v>
      </c>
      <c r="W23" s="63" t="str">
        <f t="shared" si="51"/>
        <v/>
      </c>
    </row>
    <row r="24" spans="1:23" customFormat="1" ht="18.75" customHeight="1" x14ac:dyDescent="0.25">
      <c r="A24" t="s">
        <v>373</v>
      </c>
      <c r="B24" t="s">
        <v>379</v>
      </c>
      <c r="C24" t="s">
        <v>1</v>
      </c>
      <c r="D24" t="str">
        <f t="shared" ref="D24:D28" si="52">SUBSTITUTE(PROPER(A24),"_","")</f>
        <v>InvoiceNo</v>
      </c>
      <c r="E24" t="str">
        <f t="shared" ref="E24:E28" si="53">IFERROR(LEFT(B24, FIND("(",B24)-1),B24)</f>
        <v>VARCHAR</v>
      </c>
      <c r="F24" s="6"/>
      <c r="G24" t="str">
        <f t="shared" ref="G24:G28" si="54">IFERROR(MID(B24,FIND("(",B24) +1, FIND(")",B24) - FIND("(",B24) - 1),"")</f>
        <v>50</v>
      </c>
      <c r="H24" t="str">
        <f>+VLOOKUP(E24,'Data Type Mapping'!A:B,2,)</f>
        <v>string</v>
      </c>
      <c r="I24" t="str">
        <f t="shared" ref="I24:I28" si="55">IF(H24="string",REPT(CHAR(9),2)&amp;"public const int Max"&amp;D24&amp;"Length = "&amp;G24&amp;";"&amp;$E$3,"" )</f>
        <v xml:space="preserve">		public const int MaxInvoiceNoLength = 50;
</v>
      </c>
      <c r="J24" t="str">
        <f t="shared" ref="J24:J28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[StringLength(MaxInvoiceNoLength)]
		public virtual string InvoiceNo { get; set; }
</v>
      </c>
      <c r="K24" s="6"/>
      <c r="L24" t="str">
        <f t="shared" ref="L24:L28" si="57">IF(K24="","",REPT(CHAR(9),1)&amp;"[Index(nameof("&amp;IF(D24="","",""&amp;D24)&amp;")"&amp;", Name="&amp;"""IX_"&amp;$B$7&amp;"_"&amp;D24&amp;""")]")</f>
        <v/>
      </c>
      <c r="M24" t="str">
        <f t="shared" ref="M24:M28" si="58">REPT(CHAR(9),2)&amp;"public virtual "&amp;IF(OR(H24="DateTime",H24="TimeSpan"),H24&amp;"?",H24)&amp;IF(C24="?","? "," ")&amp;D24&amp;" { get; set; }" &amp; "
"</f>
        <v xml:space="preserve">		public virtual string InvoiceNo { get; set; }
</v>
      </c>
      <c r="N24" t="str">
        <f t="shared" ref="N24:N28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[StringLength(InvCkdSmqdOrderConsts.MaxInvoiceNoLength)]
		public virtual string InvoiceNo { get; set; }
</v>
      </c>
      <c r="O24" t="str">
        <f t="shared" ref="O24:O28" si="60">IF(OR(H24="string",H24="DateTime",H24="int"),REPT(CHAR(9),2)&amp;"public virtual "&amp;IF(OR(H24="DateTime",H24="TimeSpan"),H24&amp;"?",H24)&amp;IF(C24="?","? "," ")&amp;D24&amp;" { get; set; }"&amp;$E$3,"")</f>
        <v xml:space="preserve">		public virtual string InvoiceNo { get; set; }
</v>
      </c>
      <c r="P24" t="str">
        <f t="shared" ref="P24:P28" si="61">REPT(CHAR(9),7)&amp;D24&amp;" = o." &amp;D24 &amp;","</f>
        <v xml:space="preserve">							InvoiceNo = o.InvoiceNo,</v>
      </c>
      <c r="T24" s="63" t="str">
        <f t="shared" ref="T24:T28" si="62">REPT(CHAR(9),8)&amp;"("""&amp;D24&amp;"""),"</f>
        <v xml:space="preserve">								("InvoiceNo"),</v>
      </c>
      <c r="V24" s="64" t="str">
        <f t="shared" ref="V24:V28" si="63">REPT(CHAR(9),8)&amp;"_ =&gt; _."&amp;D24&amp;","</f>
        <v xml:space="preserve">								_ =&gt; _.InvoiceNo,</v>
      </c>
      <c r="W24" s="63" t="str">
        <f t="shared" ref="W24:W28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.WhereIf(!string.IsNullOrWhiteSpace(input.InvoiceNo), e =&gt; e.InvoiceNo.Contains(input.InvoiceNo))</v>
      </c>
    </row>
    <row r="25" spans="1:23" customFormat="1" ht="18.75" customHeight="1" x14ac:dyDescent="0.25">
      <c r="A25" t="s">
        <v>374</v>
      </c>
      <c r="B25" t="s">
        <v>2</v>
      </c>
      <c r="C25" t="s">
        <v>1</v>
      </c>
      <c r="D25" t="str">
        <f t="shared" si="52"/>
        <v>ReceiveDate</v>
      </c>
      <c r="E25" t="str">
        <f t="shared" si="53"/>
        <v>date</v>
      </c>
      <c r="F25" s="6"/>
      <c r="G25" t="str">
        <f t="shared" si="54"/>
        <v/>
      </c>
      <c r="H25" t="str">
        <f>+VLOOKUP(E25,'Data Type Mapping'!A:B,2,)</f>
        <v>DateTime?</v>
      </c>
      <c r="I25" t="str">
        <f t="shared" si="55"/>
        <v/>
      </c>
      <c r="J25" t="str">
        <f t="shared" si="56"/>
        <v xml:space="preserve">		public virtual DateTime? ReceiveDate { get; set; }
</v>
      </c>
      <c r="K25" s="6"/>
      <c r="L25" t="str">
        <f t="shared" si="57"/>
        <v/>
      </c>
      <c r="M25" t="str">
        <f t="shared" si="58"/>
        <v xml:space="preserve">		public virtual DateTime? ReceiveDate { get; set; }
</v>
      </c>
      <c r="N25" t="str">
        <f t="shared" si="59"/>
        <v xml:space="preserve">		public virtual DateTime? ReceiveDate { get; set; }
</v>
      </c>
      <c r="O25" t="str">
        <f t="shared" si="60"/>
        <v/>
      </c>
      <c r="P25" t="str">
        <f t="shared" si="61"/>
        <v xml:space="preserve">							ReceiveDate = o.ReceiveDate,</v>
      </c>
      <c r="T25" s="63" t="str">
        <f t="shared" si="62"/>
        <v xml:space="preserve">								("ReceiveDate"),</v>
      </c>
      <c r="V25" s="64" t="str">
        <f t="shared" si="63"/>
        <v xml:space="preserve">								_ =&gt; _.ReceiveDate,</v>
      </c>
      <c r="W25" s="63" t="str">
        <f t="shared" si="64"/>
        <v/>
      </c>
    </row>
    <row r="26" spans="1:23" customFormat="1" ht="18.75" customHeight="1" x14ac:dyDescent="0.25">
      <c r="A26" t="s">
        <v>375</v>
      </c>
      <c r="B26" t="s">
        <v>4</v>
      </c>
      <c r="C26" t="s">
        <v>1</v>
      </c>
      <c r="D26" t="str">
        <f t="shared" si="52"/>
        <v>ReceiveQty</v>
      </c>
      <c r="E26" t="str">
        <f t="shared" si="53"/>
        <v>int</v>
      </c>
      <c r="F26" s="6"/>
      <c r="G26" t="str">
        <f t="shared" si="54"/>
        <v/>
      </c>
      <c r="H26" t="str">
        <f>+VLOOKUP(E26,'Data Type Mapping'!A:B,2,)</f>
        <v>int?</v>
      </c>
      <c r="I26" t="str">
        <f t="shared" si="55"/>
        <v/>
      </c>
      <c r="J26" t="str">
        <f t="shared" si="56"/>
        <v xml:space="preserve">		public virtual int? ReceiveQty { get; set; }
</v>
      </c>
      <c r="K26" s="6"/>
      <c r="L26" t="str">
        <f t="shared" si="57"/>
        <v/>
      </c>
      <c r="M26" t="str">
        <f t="shared" si="58"/>
        <v xml:space="preserve">		public virtual int? ReceiveQty { get; set; }
</v>
      </c>
      <c r="N26" t="str">
        <f t="shared" si="59"/>
        <v xml:space="preserve">		public virtual int? ReceiveQty { get; set; }
</v>
      </c>
      <c r="O26" t="str">
        <f t="shared" si="60"/>
        <v/>
      </c>
      <c r="P26" t="str">
        <f t="shared" si="61"/>
        <v xml:space="preserve">							ReceiveQty = o.ReceiveQty,</v>
      </c>
      <c r="T26" s="63" t="str">
        <f t="shared" si="62"/>
        <v xml:space="preserve">								("ReceiveQty"),</v>
      </c>
      <c r="V26" s="64" t="str">
        <f t="shared" si="63"/>
        <v xml:space="preserve">								_ =&gt; _.ReceiveQty,</v>
      </c>
      <c r="W26" s="63" t="str">
        <f t="shared" si="64"/>
        <v/>
      </c>
    </row>
    <row r="27" spans="1:23" customFormat="1" ht="18.75" customHeight="1" x14ac:dyDescent="0.25">
      <c r="A27" t="s">
        <v>376</v>
      </c>
      <c r="B27" t="s">
        <v>381</v>
      </c>
      <c r="C27" t="s">
        <v>1</v>
      </c>
      <c r="D27" t="str">
        <f t="shared" si="52"/>
        <v>Remark</v>
      </c>
      <c r="E27" t="str">
        <f t="shared" si="53"/>
        <v>VARCHAR</v>
      </c>
      <c r="F27" s="6"/>
      <c r="G27" t="str">
        <f t="shared" si="54"/>
        <v>500</v>
      </c>
      <c r="H27" t="str">
        <f>+VLOOKUP(E27,'Data Type Mapping'!A:B,2,)</f>
        <v>string</v>
      </c>
      <c r="I27" t="str">
        <f t="shared" si="55"/>
        <v xml:space="preserve">		public const int MaxRemarkLength = 500;
</v>
      </c>
      <c r="J27" t="str">
        <f t="shared" si="56"/>
        <v xml:space="preserve">		[StringLength(MaxRemarkLength)]
		public virtual string Remark { get; set; }
</v>
      </c>
      <c r="K27" s="6"/>
      <c r="L27" t="str">
        <f t="shared" si="57"/>
        <v/>
      </c>
      <c r="M27" t="str">
        <f t="shared" si="58"/>
        <v xml:space="preserve">		public virtual string Remark { get; set; }
</v>
      </c>
      <c r="N27" t="str">
        <f t="shared" si="59"/>
        <v xml:space="preserve">		[StringLength(InvCkdSmqdOrderConsts.MaxRemarkLength)]
		public virtual string Remark { get; set; }
</v>
      </c>
      <c r="O27" t="str">
        <f t="shared" si="60"/>
        <v xml:space="preserve">		public virtual string Remark { get; set; }
</v>
      </c>
      <c r="P27" t="str">
        <f t="shared" si="61"/>
        <v xml:space="preserve">							Remark = o.Remark,</v>
      </c>
      <c r="T27" s="63" t="str">
        <f t="shared" si="62"/>
        <v xml:space="preserve">								("Remark"),</v>
      </c>
      <c r="V27" s="64" t="str">
        <f t="shared" si="63"/>
        <v xml:space="preserve">								_ =&gt; _.Remark,</v>
      </c>
      <c r="W27" s="63" t="str">
        <f t="shared" si="64"/>
        <v xml:space="preserve">				.WhereIf(!string.IsNullOrWhiteSpace(input.Remark), e =&gt; e.Remark.Contains(input.Remark))</v>
      </c>
    </row>
    <row r="28" spans="1:23" customFormat="1" ht="18.75" customHeight="1" x14ac:dyDescent="0.25">
      <c r="A28" t="s">
        <v>377</v>
      </c>
      <c r="B28" t="s">
        <v>4</v>
      </c>
      <c r="C28" t="s">
        <v>1</v>
      </c>
      <c r="D28" t="str">
        <f t="shared" si="52"/>
        <v>OrderType</v>
      </c>
      <c r="E28" t="str">
        <f t="shared" si="53"/>
        <v>int</v>
      </c>
      <c r="F28" s="6"/>
      <c r="G28" t="str">
        <f t="shared" si="54"/>
        <v/>
      </c>
      <c r="H28" t="str">
        <f>+VLOOKUP(E28,'Data Type Mapping'!A:B,2,)</f>
        <v>int?</v>
      </c>
      <c r="I28" t="str">
        <f t="shared" si="55"/>
        <v/>
      </c>
      <c r="J28" t="str">
        <f t="shared" si="56"/>
        <v xml:space="preserve">		public virtual int? OrderType { get; set; }
</v>
      </c>
      <c r="K28" s="6"/>
      <c r="L28" t="str">
        <f t="shared" si="57"/>
        <v/>
      </c>
      <c r="M28" t="str">
        <f t="shared" si="58"/>
        <v xml:space="preserve">		public virtual int? OrderType { get; set; }
</v>
      </c>
      <c r="N28" t="str">
        <f t="shared" si="59"/>
        <v xml:space="preserve">		public virtual int? OrderType { get; set; }
</v>
      </c>
      <c r="O28" t="str">
        <f t="shared" si="60"/>
        <v/>
      </c>
      <c r="P28" t="str">
        <f t="shared" si="61"/>
        <v xml:space="preserve">							OrderType = o.OrderType,</v>
      </c>
      <c r="T28" s="63" t="str">
        <f t="shared" si="62"/>
        <v xml:space="preserve">								("OrderType"),</v>
      </c>
      <c r="V28" s="64" t="str">
        <f t="shared" si="63"/>
        <v xml:space="preserve">								_ =&gt; _.OrderType,</v>
      </c>
      <c r="W28" s="63" t="str">
        <f t="shared" si="64"/>
        <v/>
      </c>
    </row>
    <row r="30" spans="1:23" ht="45.75" customHeight="1" x14ac:dyDescent="0.25">
      <c r="H30" s="11"/>
      <c r="I30" s="31" t="str">
        <f ca="1">TEXTJOIN2("
", TRUE,INDIRECT( $H$1):INDIRECT( $H$3))</f>
        <v xml:space="preserve">		public const int MaxShopLength = 1;
		public const int MaxRunNoLength = 50;
		public const int MaxCfcLength = 4;
		public const int MaxSupplierNoLength = 50;
		public const int MaxPartNameLength = 200;
		public const int MaxOrderNoLength = 50;
		public const int MaxTransportLength = 50;
		public const int MaxReasonCodeLength = 50;
		public const int MaxActualEtaPortLength = 50;
		public const int MaxInvoiceNoLength = 50;
		public const int MaxRemarkLength = 500;
</v>
      </c>
      <c r="J30" s="30" t="str">
        <f ca="1">TEXTJOIN2("
", TRUE,INDIRECT( $F$1):INDIRECT( $F$3))</f>
        <v xml:space="preserve">		[StringLength(MaxShopLength)]
		public virtual string Shop { get; set; }
		public virtual DateTime? SmqdDate { get; set; }
		[StringLength(MaxRunNoLength)]
		public virtual string RunNo { get; set; }
		[StringLength(MaxCfcLength)]
		public virtual string Cfc { get; set; }
		[StringLength(MaxSupplierNoLength)]
		public virtual string SupplierNo { get; set; }
		public virtual decimal? PartNo { get; set; }
		[StringLength(MaxPartNameLength)]
		public virtual string PartName { get; set; }
		[StringLength(MaxOrderNoLength)]
		public virtual string OrderNo { get; set; }
		public virtual int? OrderQty { get; set; }
		public virtual DateTime? OrderDate { get; set; }
		[StringLength(MaxTransportLength)]
		public virtual string Transport { get; set; }
		[StringLength(MaxReasonCodeLength)]
		public virtual string ReasonCode { get; set; }
		public virtual DateTime? EtaRequest { get; set; }
		[StringLength(MaxActualEtaPortLength)]
		public virtual string ActualEtaPort { get; set; }
		public virtual DateTime? EtaExpReply { get; set; }
		[StringLength(MaxInvoiceNoLength)]
		public virtual string InvoiceNo { get; set; }
		public virtual DateTime? ReceiveDate { get; set; }
		public virtual int? ReceiveQty { get; set; }
		[StringLength(MaxRemarkLength)]
		public virtual string Remark { get; set; }
		public virtual int? OrderType { get; set; }
</v>
      </c>
      <c r="K30" s="32" t="str">
        <f ca="1">TEXTJOIN2("
", TRUE,INDIRECT( $J$1):INDIRECT( $J$3))</f>
        <v/>
      </c>
      <c r="L30" s="12" t="s">
        <v>57</v>
      </c>
      <c r="M30" s="33" t="str">
        <f ca="1">TEXTJOIN2("
",TRUE,INDIRECT( $L$1):INDIRECT($L$3))</f>
        <v xml:space="preserve">		public virtual string Shop { get; set; }
		public virtual DateTime? SmqdDate { get; set; }
		public virtual string RunNo { get; set; }
		public virtual string Cfc { get; set; }
		public virtual string SupplierNo { get; set; }
		public virtual decimal? PartNo { get; set; }
		public virtual string PartName { get; set; }
		public virtual string OrderNo { get; set; }
		public virtual int? OrderQty { get; set; }
		public virtual DateTime? OrderDate { get; set; }
		public virtual string Transport { get; set; }
		public virtual string ReasonCode { get; set; }
		public virtual DateTime? EtaRequest { get; set; }
		public virtual string ActualEtaPort { get; set; }
		public virtual DateTime? EtaExpReply { get; set; }
		public virtual string InvoiceNo { get; set; }
		public virtual DateTime? ReceiveDate { get; set; }
		public virtual int? ReceiveQty { get; set; }
		public virtual string Remark { get; set; }
		public virtual int? OrderType { get; set; }
</v>
      </c>
      <c r="N30" s="30" t="str">
        <f ca="1">TEXTJOIN2("
",TRUE,INDIRECT( $M$1):INDIRECT($M$3))</f>
        <v xml:space="preserve">		[StringLength(InvCkdSmqdOrderConsts.MaxShopLength)]
		public virtual string Shop { get; set; }
		public virtual DateTime? SmqdDate { get; set; }
		[StringLength(InvCkdSmqdOrderConsts.MaxRunNoLength)]
		public virtual string RunNo { get; set; }
		[StringLength(InvCkdSmqdOrderConsts.MaxCfcLength)]
		public virtual string Cfc { get; set; }
		[StringLength(InvCkdSmqdOrderConsts.MaxSupplierNoLength)]
		public virtual string SupplierNo { get; set; }
		public virtual decimal? PartNo { get; set; }
		[StringLength(InvCkdSmqdOrderConsts.MaxPartNameLength)]
		public virtual string PartName { get; set; }
		[StringLength(InvCkdSmqdOrderConsts.MaxOrderNoLength)]
		public virtual string OrderNo { get; set; }
		public virtual int? OrderQty { get; set; }
		public virtual DateTime? OrderDate { get; set; }
		[StringLength(InvCkdSmqdOrderConsts.MaxTransportLength)]
		public virtual string Transport { get; set; }
		[StringLength(InvCkdSmqdOrderConsts.MaxReasonCodeLength)]
		public virtual string ReasonCode { get; set; }
		public virtual DateTime? EtaRequest { get; set; }
		[StringLength(InvCkdSmqdOrderConsts.MaxActualEtaPortLength)]
		public virtual string ActualEtaPort { get; set; }
		public virtual DateTime? EtaExpReply { get; set; }
		[StringLength(InvCkdSmqdOrderConsts.MaxInvoiceNoLength)]
		public virtual string InvoiceNo { get; set; }
		public virtual DateTime? ReceiveDate { get; set; }
		public virtual int? ReceiveQty { get; set; }
		[StringLength(InvCkdSmqdOrderConsts.MaxRemarkLength)]
		public virtual string Remark { get; set; }
		public virtual int? OrderType { get; set; }
</v>
      </c>
      <c r="O30" s="30" t="str">
        <f ca="1">TEXTJOIN2("
",TRUE,INDIRECT( $N$1):INDIRECT($N$3))</f>
        <v xml:space="preserve">		public virtual string Shop { get; set; }
		public virtual string RunNo { get; set; }
		public virtual string Cfc { get; set; }
		public virtual string SupplierNo { get; set; }
		public virtual string PartName { get; set; }
		public virtual string OrderNo { get; set; }
		public virtual string Transport { get; set; }
		public virtual string ReasonCode { get; set; }
		public virtual string ActualEtaPort { get; set; }
		public virtual string InvoiceNo { get; set; }
		public virtual string Remark { get; set; }
</v>
      </c>
      <c r="P30" s="8" t="str">
        <f ca="1">TEXTJOIN2("
",TRUE,INDIRECT( $O$1):INDIRECT($O$3))</f>
        <v xml:space="preserve">							Shop = o.Shop,
							SmqdDate = o.SmqdDate,
							RunNo = o.RunNo,
							Cfc = o.Cfc,
							SupplierNo = o.SupplierNo,
							PartNo = o.PartNo,
							PartName = o.PartName,
							OrderNo = o.OrderNo,
							OrderQty = o.OrderQty,
							OrderDate = o.OrderDate,
							Transport = o.Transport,
							ReasonCode = o.ReasonCode,
							EtaRequest = o.EtaRequest,
							ActualEtaPort = o.ActualEtaPort,
							EtaExpReply = o.EtaExpReply,
							InvoiceNo = o.InvoiceNo,
							ReceiveDate = o.ReceiveDate,
							ReceiveQty = o.ReceiveQty,
							Remark = o.Remark,
							OrderType = o.OrderType,</v>
      </c>
      <c r="T30" s="8" t="str">
        <f ca="1">TEXTJOIN2("
",TRUE,INDIRECT( $T$2):INDIRECT($T$3))</f>
        <v xml:space="preserve">								("Shop"),
								("SmqdDate"),
								("RunNo"),
								("Cfc"),
								("SupplierNo"),
								("PartNo"),
								("PartName"),
								("OrderNo"),
								("OrderQty"),
								("OrderDate"),
								("Transport"),
								("ReasonCode"),
								("EtaRequest"),
								("ActualEtaPort"),
								("EtaExpReply"),
								("InvoiceNo"),
								("ReceiveDate"),
								("ReceiveQty"),
								("Remark"),
								("OrderType"),</v>
      </c>
      <c r="V30" s="8" t="str">
        <f ca="1">TEXTJOIN2("
",TRUE,INDIRECT( $V$2):INDIRECT($V$3))</f>
        <v xml:space="preserve">								_ =&gt; _.Shop,
								_ =&gt; _.SmqdDate,
								_ =&gt; _.RunNo,
								_ =&gt; _.Cfc,
								_ =&gt; _.SupplierNo,
								_ =&gt; _.PartNo,
								_ =&gt; _.PartName,
								_ =&gt; _.OrderNo,
								_ =&gt; _.OrderQty,
								_ =&gt; _.OrderDate,
								_ =&gt; _.Transport,
								_ =&gt; _.ReasonCode,
								_ =&gt; _.EtaRequest,
								_ =&gt; _.ActualEtaPort,
								_ =&gt; _.EtaExpReply,
								_ =&gt; _.InvoiceNo,
								_ =&gt; _.ReceiveDate,
								_ =&gt; _.ReceiveQty,
								_ =&gt; _.Remark,
								_ =&gt; _.OrderType,</v>
      </c>
      <c r="W30" s="8" t="str">
        <f ca="1">TEXTJOIN2("
",TRUE,INDIRECT( $W$2):INDIRECT($W$3))</f>
        <v xml:space="preserve">				.WhereIf(!string.IsNullOrWhiteSpace(input.Shop), e =&gt; e.Shop.Contains(input.Shop))
				.WhereIf(!string.IsNullOrWhiteSpace(input.RunNo), e =&gt; e.RunNo.Contains(input.RunNo))
				.WhereIf(!string.IsNullOrWhiteSpace(input.Cfc), e =&gt; e.Cfc.Contains(input.Cfc))
				.WhereIf(!string.IsNullOrWhiteSpace(input.SupplierNo), e =&gt; e.SupplierNo.Contains(input.SupplierNo))
				.WhereIf(!string.IsNullOrWhiteSpace(input.PartName), e =&gt; e.PartName.Contains(input.PartName))
				.WhereIf(!string.IsNullOrWhiteSpace(input.OrderNo), e =&gt; e.OrderNo.Contains(input.OrderNo))
				.WhereIf(!string.IsNullOrWhiteSpace(input.Transport), e =&gt; e.Transport.Contains(input.Transport))
				.WhereIf(!string.IsNullOrWhiteSpace(input.ReasonCode), e =&gt; e.ReasonCode.Contains(input.ReasonCode))
				.WhereIf(!string.IsNullOrWhiteSpace(input.ActualEtaPort), e =&gt; e.ActualEtaPort.Contains(input.ActualEtaPort))
				.WhereIf(!string.IsNullOrWhiteSpace(input.InvoiceNo), e =&gt; e.InvoiceNo.Contains(input.InvoiceNo))
				.WhereIf(!string.IsNullOrWhiteSpace(input.Remark), e =&gt; e.Remark.Contains(input.Remark))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6"/>
  <sheetViews>
    <sheetView workbookViewId="0">
      <selection activeCell="A35" sqref="A35:XFD6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384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InvCkdSmqdOrder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SmqdOrder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smqdorder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InvCkdSmqdOrderDto, InvCkdSmqdOrderServiceProxy } from '@shared/service-proxies/service-proxies';
import { finalize } from 'rxjs/internal/operators/finalize';
import { CreateOrEditSmqdOrderModalComponent } from './create-or-edit-smqdorder-modal.component';
import { DatePipe } from '@angular/common';
import { FileDownloadService } from '@shared/utils/file-download.service';
import ceil from 'lodash-es/ceil';
import { Paginator } from 'primeng/paginator';
@Component({
    templateUrl: './smqdorder.component.html',
    styleUrls: ['./smqdorder.component.less'],
})
export class SmqdOrderComponent extends AppComponentBase implements OnInit {
    @ViewChild('createOrEditModalSmqdOrder', { static: true }) createOrEditModalSmqdOrder:| CreateOrEditSmqdOrderModalComponent|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InvCkdSmqdOrderDto = new InvCkdSmqdOrderDto();
    saveSelectedRow: InvCkdSmqdOrderDto = new InvCkdSmqdOrderDto();
    datas: InvCkdSmqdOrderDto = new InvCkdSmqdOrderDto();
    isLoading: boolean = false;
    dataParams: GridParams | undefined;
    rowData: any[] = [];
    gridApi!: GridApi;
    rowSelection = 'multiple';
    filter: string = '';
	pipe = new DatePipe('en-US');
	frameworkComponents: FrameworkComponent;
    	shop : string = '' ; 
	smqdDate
	runNo : string = '' ; 
	cfc : string = '' ; 
	supplierNo : string = '' ; 
	partNo
	partName : string = '' ; 
	orderNo : string = '' ; 
	orderQty
	orderDate
	transport : string = '' ; 
	reasonCode : string = '' ; 
	etaRequest
	actualEtaPort : string = '' ; 
	etaExpReply
	invoiceNo : string = '' ; 
	receiveDate
	receiveQty
	remark : string = '' ; 
	orderType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InvCkdSmqdOrderServiceProxy,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this.l('Shop'),headerTooltip: this.l('Shop'),field:  'shop', cellClass: ['text-center'], width: 120, cellRenderer: 'agCellButtonComponent',
buttonDefTwo: { text: params =&gt; (params.data?.'shop' == 'Y') ? 'Active' : 'Inactive',iconName: 'fa fa-circle',className: params =&gt; (params.data?.'shop' == 'Y') ? 'btnActive' : 'btnInActive',},}
			{headerName: this.l('Smqd Date'),headerTooltip: this.l('Smqd Date'),field: 'smqdDate',flex: 1},
			{headerName: this.l('Run No'),headerTooltip: this.l('Run No'),field: 'runNo',flex: 1},
			{headerName: this.l('Cfc'),headerTooltip: this.l('Cfc'),field: 'cfc',flex: 1},
			{headerName: this.l('Supplier No'),headerTooltip: this.l('Supplier No'),field: 'supplierNo',flex: 1},
			{headerName: this.l('Part No'),headerTooltip: this.l('Part No'),field: 'partNo',flex: 1},
			{headerName: this.l('Part Name'),headerTooltip: this.l('Part Name'),field: 'partName',flex: 1},
			{headerName: this.l('Order No'),headerTooltip: this.l('Order No'),field: 'orderNo',flex: 1},
			{headerName: this.l('Order Qty'),headerTooltip: this.l('Order Qty'),field: 'orderQty',flex: 1},
			{headerName: this.l('Order Date'),headerTooltip: this.l('Order Date'),field: 'orderDate',flex: 1},
			{headerName: this.l('Transport'),headerTooltip: this.l('Transport'),field: 'transport',flex: 1},
			{headerName: this.l('Reason Code'),headerTooltip: this.l('Reason Code'),field: 'reasonCode',flex: 1},
			{headerName: this.l('Eta Request'),headerTooltip: this.l('Eta Request'),field: 'etaRequest',flex: 1},
			{headerName: this.l('Actual Eta Port'),headerTooltip: this.l('Actual Eta Port'),field: 'actualEtaPort',flex: 1},
			{headerName: this.l('Eta Exp Reply'),headerTooltip: this.l('Eta Exp Reply'),field: 'etaExpReply',flex: 1},
			{headerName: this.l('Invoice No'),headerTooltip: this.l('Invoice No'),field: 'invoiceNo',flex: 1},
			{headerName: this.l('Receive Date'),headerTooltip: this.l('Receive Date'),field: 'receiveDate',flex: 1},
			{headerName: this.l('Receive Qty'),headerTooltip: this.l('Receive Qty'),field: 'receiveQty',flex: 1},
			{headerName: this.l('Remark'),headerTooltip: this.l('Remark'),field: 'remark',flex: 1},
			{headerName: this.l('Order Type'),headerTooltip: this.l('Order Type'),field: 'orderType',flex: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this.shop,
			this.smqdDate,
			this.runNo,
			this.cfc,
			this.supplierNo,
			this.partNo,
			this.partName,
			this.orderNo,
			this.orderQty,
			this.orderDate,
			this.transport,
			this.reasonCode,
			this.etaRequest,
			this.actualEtaPort,
			this.etaExpReply,
			this.invoiceNo,
			this.receiveDate,
			this.receiveQty,
			this.remark,
			this.orderType,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this.shop = '',
		this.smqdDate = '',
		this.runNo = '',
		this.cfc = '',
		this.supplierNo = '',
		this.partNo = '',
		this.partName = '',
		this.orderNo = '',
		this.orderQty = '',
		this.orderDate = '',
		this.transport = '',
		this.reasonCode = '',
		this.etaRequest = '',
		this.actualEtaPort = '',
		this.etaExpReply = '',
		this.invoiceNo = '',
		this.receiveDate = '',
		this.receiveQty = '',
		this.remark = '',
		this.orderType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this.shop,
			this.smqdDate,
			this.runNo,
			this.cfc,
			this.supplierNo,
			this.partNo,
			this.partName,
			this.orderNo,
			this.orderQty,
			this.orderDate,
			this.transport,
			this.reasonCode,
			this.etaRequest,
			this.actualEtaPort,
			this.etaExpReply,
			this.invoiceNo,
			this.receiveDate,
			this.receiveQty,
			this.remark,
			this.orderType,
			'',
            this.paginationParams.skipCount,
            this.paginationParams.pageSize
        );
    }
    onChangeRowSelection(params: { api: { getSelectedRows: () =&gt; InvCkdSmqdOrderDto[] } }) {
        this.saveSelectedRow = params.api.getSelectedRows()[0] ?? new InvCkdSmqdOrderDto();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InvCkdSmqdOrderDto):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this._service.getSmqdOrderToExcel(
			this.shop,
			this.smqdDate,
			this.runNo,
			this.cfc,
			this.supplierNo,
			this.partNo,
			this.partName,
			this.orderNo,
			this.orderQty,
			this.orderDate,
			this.transport,
			this.reasonCode,
			this.etaRequest,
			this.actualEtaPort,
			this.etaExpReply,
			this.invoiceNo,
			this.receiveDate,
			this.receiveQty,
			this.remark,
			this.orderType,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Smqd Order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[(ngModel)]='runNo' name='runNo'
									class='form-control' [placeholder]="l('Run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[(ngModel)]='transport' name='transport'
									class='form-control' [placeholder]="l('Transport')"
									type='text' (keyup.enter)='searchDatas()'&gt;
								&lt;/div&gt;
								&lt;div class='input-search'&gt;
									&lt;input [(ngModel)]='reasonCode' name='reasonCode'
									class='form-control' [placeholder]="l('Reason Code')"
									type='text' (keyup.enter)='searchDatas()'&gt;
								&lt;/div&gt;
								&lt;div class='input-search'&gt;
									&lt;input [(ngModel)]='actualEtaPort' name='actualEtaPort'
									class='form-control' [placeholder]="l('Actual Eta Port')"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(click)="createOrEditModalSmqdOrder.show()"&gt;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(click)="createOrEditModalSmqdOrder.show(selectedRow)"&gt;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&lt;create-or-edit-smqdorder-modal
    #createOrEditModalSmqdOrder
    (modalSave)="callBackDataGrid(dataParams)"
    (modalClose)="onChangeRowSelection(dataParams)"
&gt;
&lt;/create-or-edit-smqdorder-modal&gt;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#createOrEditModalSmqdOrder="bs-modal"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SmqdOrder')}}&lt;/h3&gt;
                    &lt;h3 *ngIf="!rowdata.id"&gt;{{('Create New SmqdOrder')}}&lt;/h3&gt;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title'&gt;Shop&lt;/label&gt;
						&lt;new-checkbox [(ngModel)]='_shop' name='shop' className='col-md-10' &gt; &lt;/new-checkbox&gt;
					&lt;/div&gt;
					&lt;div class='col-md-12 form-group row'&gt;
						&lt;label class='col-md-2 form-control title'&gt;Run No&lt;/label&gt;
						&lt;input type='text' class='col-md-10 form-control input-text' name='RunNo' [(ngModel)]='rowdata.runNo'&gt;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title'&gt;Transport&lt;/label&gt;
						&lt;input type='text' class='col-md-10 form-control input-text' name='Transport' [(ngModel)]='rowdata.transport'&gt;
					&lt;/div&gt;
					&lt;div class='col-md-12 form-group row'&gt;
						&lt;label class='col-md-2 form-control title'&gt;Reason Code&lt;/label&gt;
						&lt;input type='text' class='col-md-10 form-control input-text' name='ReasonCode' [(ngModel)]='rowdata.reasonCode'&gt;
					&lt;/div&gt;
					&lt;div class='col-md-12 form-group row'&gt;
						&lt;label class='col-md-2 form-control title'&gt;Actual Eta Port&lt;/label&gt;
						&lt;input type='text' class='col-md-10 form-control input-text' name='ActualEtaPort' [(ngModel)]='rowdata.actualEtaPort'&gt;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CreateOrEditInvCkdSmqdOrderDto, InvCkdSmqdOrderServiceProxy } from '@shared/service-proxies/service-proxies';
import { BsDatepickerDirective } from 'ngx-bootstrap/datepicker';
@Component({
    selector: 'create-or-edit-smqdorder-modal',
    templateUrl: './create-or-edit-smqdorder-modal.component.html',
    styleUrls: ['./create-or-edit-smqdorder-modal.component.less']
    })
export class CreateOrEditSmqdOrderModalComponent extends AppComponentBase {
    @ViewChild('createOrEditModalSmqdOrder',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CreateOrEditInvCkdSmqdOrderDto = new CreateOrEditInvCkdSmqdOrderDto();
    active: boolean = false;
    saving: boolean = false;
    _shop
: boolean;
    constructor(
        injector: Injector,
        private _mstwptSmqdOrderService: InvCkdSmqdOrderServiceProxy,
    ) 
    {
        super(injector);
    }
    show(rowdata?: CreateOrEditInvCkdSmqdOrderDto): void {
        if (!rowdata) this.rowdata = new CreateOrEditInvCkdSmqdOrderDto();
        else this.rowdata = rowdata;
        this._shop
 = (this.rowdata.shop
 == "N")? false: true;
        this.active = true;
        this.modal.show();
    } 
    changeActive(event){
        this._shop
 = event.target.checked;
    }
    save(): void {
    this.saving = true; 
    this.rowdata.shop
 = (this._shop
 == true) ? 'Y' : 'N'
    this._mstwptSmqdOrderService.createOrEdit(this.rowdata)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SmqdOrderRoutingModule } from './smqdorder-routing.module';
import { SmqdOrderComponent } from './smqdorder.component';
import { CreateOrEditSmqdOrderModalComponent } from './create-or-edit-smqdorder-modal.component';
@NgModule({
    declarations: [
       SmqdOrderComponent, 
        CreateOrEditSmqdOrderModalComponent
    ],
    imports: [
        AppSharedModule, SmqdOrderRoutingModule]
})
export class SmqdOrderModule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SmqdOrderComponent } from './smqdorder.component';
const routes: Routes = [{
    path: '',
    component: SmqdOrderComponent,
    pathMatch: 'full'
}];
@NgModule({
    imports: [RouterModule.forChild(routes)],
    exports: [RouterModule],
})
export class SmqdOrderRoutingModule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AppMenuItem("SmqdOrder", "Pages.Inventory.CKD.SmqdOrder", "flaticon-book",   "/app/main/inventory/ckd/smqdorder"),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'inventory/ckd/smqdorder',
    loadChildren: () =&gt; import('./inventory/ckd/smqdorder/smqdorder.module').then(m =&gt; m.SmqdOrderModule),
    data: { permission: 'Pages.Inventory.CKD.SmqdOrder' }
},</v>
      </c>
      <c r="R10" s="47" t="str">
        <f>SUBSTITUTE(R9,"MstWptCalendar",$B$6)</f>
        <v>ApiServiceProxies.InvCkdSmqdOrderServiceProxy,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H34</v>
      </c>
      <c r="I12" s="28" t="str">
        <f>"I"&amp;COUNTA($A:$A)</f>
        <v>I34</v>
      </c>
      <c r="J12" s="28"/>
      <c r="K12" s="28" t="str">
        <f>"K"&amp;COUNTA($A:$A)</f>
        <v>K34</v>
      </c>
      <c r="L12" s="28" t="str">
        <f>"L"&amp;COUNTA($A:$A)</f>
        <v>L34</v>
      </c>
      <c r="M12" s="28"/>
      <c r="N12" s="28"/>
      <c r="O12" s="28"/>
      <c r="P12" s="28"/>
      <c r="Q12" s="28"/>
      <c r="R12" s="28"/>
      <c r="S12" s="28" t="str">
        <f>"S"&amp;COUNTA($A:$A)</f>
        <v>S34</v>
      </c>
      <c r="T12" s="28" t="str">
        <f>"T"&amp;COUNTA($A:$A)</f>
        <v>T34</v>
      </c>
      <c r="U12" s="28" t="str">
        <f>"U"&amp;COUNTA($A:$A)</f>
        <v>U34</v>
      </c>
      <c r="V12" s="28" t="str">
        <f>"V"&amp;COUNTA($A:$A)</f>
        <v>V34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this.l('Shop'),headerTooltip: this.l('Shop'),field:  'shop', cellClass: ['text-center'], width: 120, cellRenderer: 'agCellButtonComponent',
buttonDefTwo: { text: params =&gt; (params.data?.'shop' == 'Y') ? 'Active' : 'Inactive',iconName: 'fa fa-circle',className: params =&gt; (params.data?.'shop' == 'Y') ? 'btnActive' : 'btnInActive',},}
			{headerName: this.l('Smqd Date'),headerTooltip: this.l('Smqd Date'),field: 'smqdDate',flex: 1},
			{headerName: this.l('Run No'),headerTooltip: this.l('Run No'),field: 'runNo',flex: 1},
			{headerName: this.l('Cfc'),headerTooltip: this.l('Cfc'),field: 'cfc',flex: 1},
			{headerName: this.l('Supplier No'),headerTooltip: this.l('Supplier No'),field: 'supplierNo',flex: 1},
			{headerName: this.l('Part No'),headerTooltip: this.l('Part No'),field: 'partNo',flex: 1},
			{headerName: this.l('Part Name'),headerTooltip: this.l('Part Name'),field: 'partName',flex: 1},
			{headerName: this.l('Order No'),headerTooltip: this.l('Order No'),field: 'orderNo',flex: 1},
			{headerName: this.l('Order Qty'),headerTooltip: this.l('Order Qty'),field: 'orderQty',flex: 1},
			{headerName: this.l('Order Date'),headerTooltip: this.l('Order Date'),field: 'orderDate',flex: 1},
			{headerName: this.l('Transport'),headerTooltip: this.l('Transport'),field: 'transport',flex: 1},
			{headerName: this.l('Reason Code'),headerTooltip: this.l('Reason Code'),field: 'reasonCode',flex: 1},
			{headerName: this.l('Eta Request'),headerTooltip: this.l('Eta Request'),field: 'etaRequest',flex: 1},
			{headerName: this.l('Actual Eta Port'),headerTooltip: this.l('Actual Eta Port'),field: 'actualEtaPort',flex: 1},
			{headerName: this.l('Eta Exp Reply'),headerTooltip: this.l('Eta Exp Reply'),field: 'etaExpReply',flex: 1},
			{headerName: this.l('Invoice No'),headerTooltip: this.l('Invoice No'),field: 'invoiceNo',flex: 1},
			{headerName: this.l('Receive Date'),headerTooltip: this.l('Receive Date'),field: 'receiveDate',flex: 1},
			{headerName: this.l('Receive Qty'),headerTooltip: this.l('Receive Qty'),field: 'receiveQty',flex: 1},
			{headerName: this.l('Remark'),headerTooltip: this.l('Remark'),field: 'remark',flex: 1},
			{headerName: this.l('Order Type'),headerTooltip: this.l('Order Type'),field: 'orderType',flex: 1},</v>
      </c>
      <c r="I13" s="35" t="str">
        <f ca="1">TEXTJOIN2("
",TRUE,INDIRECT(I11):INDIRECT(I12))</f>
        <v xml:space="preserve">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[(ngModel)]='runNo' name='runNo'
									class='form-control' [placeholder]="l('Run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[(ngModel)]='transport' name='transport'
									class='form-control' [placeholder]="l('Transport')"
									type='text' (keyup.enter)='searchDatas()'&gt;
								&lt;/div&gt;
								&lt;div class='input-search'&gt;
									&lt;input [(ngModel)]='reasonCode' name='reasonCode'
									class='form-control' [placeholder]="l('Reason Code')"
									type='text' (keyup.enter)='searchDatas()'&gt;
								&lt;/div&gt;
								&lt;div class='input-search'&gt;
									&lt;input [(ngModel)]='actualEtaPort' name='actualEtaPort'
									class='form-control' [placeholder]="l('Actual Eta Port')"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title'&gt;Shop&lt;/label&gt;
						&lt;new-checkbox [(ngModel)]='_shop' name='shop' className='col-md-10' &gt; &lt;/new-checkbox&gt;
					&lt;/div&gt;
					&lt;div class='col-md-12 form-group row'&gt;
						&lt;label class='col-md-2 form-control title'&gt;Run No&lt;/label&gt;
						&lt;input type='text' class='col-md-10 form-control input-text' name='RunNo' [(ngModel)]='rowdata.runNo'&gt;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title'&gt;Transport&lt;/label&gt;
						&lt;input type='text' class='col-md-10 form-control input-text' name='Transport' [(ngModel)]='rowdata.transport'&gt;
					&lt;/div&gt;
					&lt;div class='col-md-12 form-group row'&gt;
						&lt;label class='col-md-2 form-control title'&gt;Reason Code&lt;/label&gt;
						&lt;input type='text' class='col-md-10 form-control input-text' name='ReasonCode' [(ngModel)]='rowdata.reasonCode'&gt;
					&lt;/div&gt;
					&lt;div class='col-md-12 form-group row'&gt;
						&lt;label class='col-md-2 form-control title'&gt;Actual Eta Port&lt;/label&gt;
						&lt;input type='text' class='col-md-10 form-control input-text' name='ActualEtaPort' [(ngModel)]='rowdata.actualEtaPort'&gt;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shop : string = '' ; 
	smqdDate
	runNo : string = '' ; 
	cfc : string = '' ; 
	supplierNo : string = '' ; 
	partNo
	partName : string = '' ; 
	orderNo : string = '' ; 
	orderQty
	orderDate
	transport : string = '' ; 
	reasonCode : string = '' ; 
	etaRequest
	actualEtaPort : string = '' ; 
	etaExpReply
	invoiceNo : string = '' ; 
	receiveDate
	receiveQty
	remark : string = '' ; 
	orderType</v>
      </c>
      <c r="T13" s="62" t="str">
        <f ca="1">TEXTJOIN2("
",TRUE,INDIRECT(T11):INDIRECT(T12))</f>
        <v xml:space="preserve">			this.shop,
			this.smqdDate,
			this.runNo,
			this.cfc,
			this.supplierNo,
			this.partNo,
			this.partName,
			this.orderNo,
			this.orderQty,
			this.orderDate,
			this.transport,
			this.reasonCode,
			this.etaRequest,
			this.actualEtaPort,
			this.etaExpReply,
			this.invoiceNo,
			this.receiveDate,
			this.receiveQty,
			this.remark,
			this.orderType,</v>
      </c>
      <c r="U13" s="62" t="str">
        <f ca="1">TEXTJOIN2("
",TRUE,INDIRECT(U11):INDIRECT(U12))</f>
        <v xml:space="preserve">		this.shop = '',
		this.smqdDate = '',
		this.runNo = '',
		this.cfc = '',
		this.supplierNo = '',
		this.partNo = '',
		this.partName = '',
		this.orderNo = '',
		this.orderQty = '',
		this.orderDate = '',
		this.transport = '',
		this.reasonCode = '',
		this.etaRequest = '',
		this.actualEtaPort = '',
		this.etaExpReply = '',
		this.invoiceNo = '',
		this.receiveDate = '',
		this.receiveQty = '',
		this.remark = '',
		this.orderType = '',</v>
      </c>
      <c r="V13" s="28" t="str">
        <f ca="1">TEXTJOIN2("
",TRUE,INDIRECT(V11):INDIRECT(V12))</f>
        <v xml:space="preserve">shop
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smqdorder.component.ts</v>
      </c>
      <c r="I14" s="37" t="str">
        <f>B8&amp;".component.html"</f>
        <v>smqdorder.component.html</v>
      </c>
      <c r="J14" s="36" t="str">
        <f>B8&amp;".component.less"</f>
        <v>smqdorder.component.less</v>
      </c>
      <c r="K14" s="37" t="str">
        <f>"create-or-edit-"&amp;B8&amp;"-modal.component.html"</f>
        <v>create-or-edit-smqdorder-modal.component.html</v>
      </c>
      <c r="L14" s="37" t="str">
        <f>"create-or-edit-"&amp;B8&amp;"-modal.component.ts"</f>
        <v>create-or-edit-smqdorder-modal.component.ts</v>
      </c>
      <c r="M14" s="37" t="str">
        <f>"create-or-edit-"&amp;B8&amp;"-modal.component.less"</f>
        <v>create-or-edit-smqdorder-modal.component.less</v>
      </c>
      <c r="N14" s="37" t="str">
        <f>B8&amp;".module.ts"</f>
        <v>smqdorder.module.ts</v>
      </c>
      <c r="O14" s="37" t="str">
        <f>B8&amp;"-routing.module.ts"</f>
        <v>smqdorder-routing.module.ts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362</v>
      </c>
      <c r="B15" s="28" t="str">
        <f t="shared" ref="B15:B32" si="0">SUBSTITUTE(PROPER(A15),"_","")</f>
        <v>Shop</v>
      </c>
      <c r="C15" s="28" t="str">
        <f t="shared" ref="C15:C32" si="1">SUBSTITUTE(PROPER(A15),"_"," ")</f>
        <v>Shop</v>
      </c>
      <c r="D15" s="28" t="str">
        <f t="shared" ref="D15:D32" si="2">LOWER(LEFT(B15,1))&amp;RIGHT(B15,LEN(B15) - 1)</f>
        <v>shop</v>
      </c>
      <c r="E15" s="28" t="str">
        <f>A.Backend!H9</f>
        <v>string</v>
      </c>
      <c r="F15" s="28" t="str">
        <f>A.Backend!G9</f>
        <v>1</v>
      </c>
      <c r="G15" s="28" t="str">
        <f t="shared" ref="G15:G34" si="3">IF(E15="string"," : string = '' ; ",IF(OR(E15="DateTime",E15="TimeSpan")," : any ;",IF(E15="int"," : number = 0 ;","")))</f>
        <v xml:space="preserve"> : string = '' ; </v>
      </c>
      <c r="H15" s="35" t="str">
        <f t="shared" ref="H15:H34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this.l('Shop'),headerTooltip: this.l('Shop'),field:  'shop', cellClass: ['text-center'], width: 120, cellRenderer: 'agCellButtonComponent',
buttonDefTwo: { text: params =&gt; (params.data?.'shop' == 'Y') ? 'Active' : 'Inactive',iconName: 'fa fa-circle',className: params =&gt; (params.data?.'shop' == 'Y') ? 'btnActive' : 'btnInActive',},}</v>
      </c>
      <c r="I15" s="35" t="str">
        <f t="shared" ref="I15:I34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15" s="28"/>
      <c r="K15" s="35" t="str">
        <f t="shared" ref="K15:K34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title'&gt;Shop&lt;/label&gt;
						&lt;new-checkbox [(ngModel)]='_shop' name='shop' className='col-md-10' &gt; &lt;/new-checkbox&gt;
					&lt;/div&gt;</v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shop : string = '' ; </v>
      </c>
      <c r="T15" s="28" t="str">
        <f>REPT(CHAR(9),3)&amp;"this."&amp;D15&amp;","</f>
        <v xml:space="preserve">			this.shop,</v>
      </c>
      <c r="U15" s="28" t="str">
        <f>IF(E15="int",REPT(CHAR(9),2)&amp;"this."&amp;D15&amp;" = 0,",REPT(CHAR(9),2)&amp;"this."&amp;D15&amp;" = '',")</f>
        <v xml:space="preserve">		this.shop = '',</v>
      </c>
      <c r="V15" s="28" t="str">
        <f t="shared" ref="V15:V34" si="8">IF(AND(E15="string",F15="1"),D15,"")</f>
        <v>shop</v>
      </c>
    </row>
    <row r="16" spans="1:22" ht="18" customHeight="1" x14ac:dyDescent="0.25">
      <c r="A16" t="s">
        <v>363</v>
      </c>
      <c r="B16" s="28" t="str">
        <f t="shared" ref="B16" si="9">SUBSTITUTE(PROPER(A16),"_","")</f>
        <v>SmqdDate</v>
      </c>
      <c r="C16" s="28" t="str">
        <f t="shared" ref="C16" si="10">SUBSTITUTE(PROPER(A16),"_"," ")</f>
        <v>Smqd Date</v>
      </c>
      <c r="D16" s="28" t="str">
        <f t="shared" ref="D16" si="11">LOWER(LEFT(B16,1))&amp;RIGHT(B16,LEN(B16) - 1)</f>
        <v>smqdDate</v>
      </c>
      <c r="E16" s="28" t="str">
        <f>A.Backend!H10</f>
        <v>DateTime?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this.l('Smqd Date'),headerTooltip: this.l('Smqd Date'),field: 'smqdDate',flex: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4" si="13">REPT(CHAR(9),1)&amp;D16&amp;G16</f>
        <v xml:space="preserve">	smqdDate</v>
      </c>
      <c r="T16" s="28" t="str">
        <f t="shared" ref="T16:T34" si="14">REPT(CHAR(9),3)&amp;"this."&amp;D16&amp;","</f>
        <v xml:space="preserve">			this.smqdDate,</v>
      </c>
      <c r="U16" s="28" t="str">
        <f t="shared" ref="U16:U34" si="15">IF(E16="int",REPT(CHAR(9),2)&amp;"this."&amp;D16&amp;" = 0,",REPT(CHAR(9),2)&amp;"this."&amp;D16&amp;" = '',")</f>
        <v xml:space="preserve">		this.smqdDate = '',</v>
      </c>
      <c r="V16" s="28" t="str">
        <f t="shared" si="8"/>
        <v/>
      </c>
    </row>
    <row r="17" spans="1:22" ht="18" customHeight="1" x14ac:dyDescent="0.25">
      <c r="A17" t="s">
        <v>364</v>
      </c>
      <c r="B17" s="28" t="str">
        <f>SUBSTITUTE(PROPER(A17),"_","")</f>
        <v>RunNo</v>
      </c>
      <c r="C17" s="28" t="str">
        <f>SUBSTITUTE(PROPER(A17),"_"," ")</f>
        <v>Run No</v>
      </c>
      <c r="D17" s="28" t="str">
        <f>LOWER(LEFT(B17,1))&amp;RIGHT(B17,LEN(B17) - 1)</f>
        <v>runNo</v>
      </c>
      <c r="E17" s="28" t="str">
        <f>A.Backend!H11</f>
        <v>string</v>
      </c>
      <c r="F17" s="28" t="str">
        <f>A.Backend!G11</f>
        <v>50</v>
      </c>
      <c r="G17" s="28" t="str">
        <f t="shared" si="3"/>
        <v xml:space="preserve"> : string = '' ; </v>
      </c>
      <c r="H17" s="35" t="str">
        <f t="shared" si="4"/>
        <v xml:space="preserve">			{headerName: this.l('Run No'),headerTooltip: this.l('Run No'),field: 'runNo',flex: 1},</v>
      </c>
      <c r="I17" s="35" t="str">
        <f t="shared" si="5"/>
        <v xml:space="preserve">								&lt;div class='input-search'&gt;
									&lt;input [(ngModel)]='runNo' name='runNo'
									class='form-control' [placeholder]="l('Run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title'&gt;Run No&lt;/label&gt;
						&lt;input type='text' class='col-md-10 form-control input-text' name='RunNo' [(ngModel)]='rowdata.runNo'&gt;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runNo : string = '' ; </v>
      </c>
      <c r="T17" s="28" t="str">
        <f t="shared" si="14"/>
        <v xml:space="preserve">			this.runNo,</v>
      </c>
      <c r="U17" s="28" t="str">
        <f t="shared" si="15"/>
        <v xml:space="preserve">		this.runNo = '',</v>
      </c>
      <c r="V17" s="28" t="str">
        <f t="shared" si="8"/>
        <v/>
      </c>
    </row>
    <row r="18" spans="1:22" ht="15" customHeight="1" x14ac:dyDescent="0.25">
      <c r="A18" t="s">
        <v>365</v>
      </c>
      <c r="B18" s="28" t="str">
        <f t="shared" ref="B18:B21" si="16">SUBSTITUTE(PROPER(A18),"_","")</f>
        <v>Cfc</v>
      </c>
      <c r="C18" s="28" t="str">
        <f t="shared" ref="C18:C21" si="17">SUBSTITUTE(PROPER(A18),"_"," ")</f>
        <v>Cfc</v>
      </c>
      <c r="D18" s="28" t="str">
        <f t="shared" ref="D18:D21" si="18">LOWER(LEFT(B18,1))&amp;RIGHT(B18,LEN(B18) - 1)</f>
        <v>cfc</v>
      </c>
      <c r="E18" s="28" t="str">
        <f>A.Backend!H12</f>
        <v>string</v>
      </c>
      <c r="F18" s="28" t="str">
        <f>A.Backend!G12</f>
        <v>4</v>
      </c>
      <c r="G18" s="28" t="str">
        <f t="shared" si="3"/>
        <v xml:space="preserve"> : string = '' ; </v>
      </c>
      <c r="H18" s="35" t="str">
        <f t="shared" si="4"/>
        <v xml:space="preserve">			{headerName: this.l('Cfc'),headerTooltip: this.l('Cfc'),field: 'cfc',flex: 1},</v>
      </c>
      <c r="I18" s="35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cfc : string = '' ; </v>
      </c>
      <c r="T18" s="28" t="str">
        <f t="shared" si="14"/>
        <v xml:space="preserve">			this.cfc,</v>
      </c>
      <c r="U18" s="28" t="str">
        <f t="shared" si="15"/>
        <v xml:space="preserve">		this.cfc = '',</v>
      </c>
      <c r="V18" s="28" t="str">
        <f t="shared" si="8"/>
        <v/>
      </c>
    </row>
    <row r="19" spans="1:22" ht="18" customHeight="1" x14ac:dyDescent="0.25">
      <c r="A19" t="s">
        <v>349</v>
      </c>
      <c r="B19" s="28" t="str">
        <f t="shared" si="16"/>
        <v>SupplierNo</v>
      </c>
      <c r="C19" s="28" t="str">
        <f t="shared" si="17"/>
        <v>Supplier No</v>
      </c>
      <c r="D19" s="28" t="str">
        <f t="shared" si="18"/>
        <v>supplierNo</v>
      </c>
      <c r="E19" s="28" t="str">
        <f>A.Backend!H13</f>
        <v>string</v>
      </c>
      <c r="F19" s="28" t="str">
        <f>A.Backend!G13</f>
        <v>50</v>
      </c>
      <c r="G19" s="28" t="str">
        <f t="shared" si="3"/>
        <v xml:space="preserve"> : string = '' ; </v>
      </c>
      <c r="H19" s="35" t="str">
        <f t="shared" si="4"/>
        <v xml:space="preserve">			{headerName: this.l('Supplier No'),headerTooltip: this.l('Supplier No'),field: 'supplierNo',flex: 1},</v>
      </c>
      <c r="I19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supplierNo : string = '' ; </v>
      </c>
      <c r="T19" s="28" t="str">
        <f t="shared" si="14"/>
        <v xml:space="preserve">			this.supplierNo,</v>
      </c>
      <c r="U19" s="28" t="str">
        <f t="shared" si="15"/>
        <v xml:space="preserve">		this.supplierNo = '',</v>
      </c>
      <c r="V19" s="28" t="str">
        <f t="shared" si="8"/>
        <v/>
      </c>
    </row>
    <row r="20" spans="1:22" ht="15" customHeight="1" x14ac:dyDescent="0.25">
      <c r="A20" t="s">
        <v>356</v>
      </c>
      <c r="B20" s="28" t="str">
        <f t="shared" si="16"/>
        <v>PartNo</v>
      </c>
      <c r="C20" s="28" t="str">
        <f t="shared" si="17"/>
        <v>Part No</v>
      </c>
      <c r="D20" s="28" t="str">
        <f t="shared" si="18"/>
        <v>partNo</v>
      </c>
      <c r="E20" s="28" t="str">
        <f>A.Backend!H14</f>
        <v>decimal?</v>
      </c>
      <c r="F20" s="28" t="str">
        <f>A.Backend!G14</f>
        <v>50</v>
      </c>
      <c r="G20" s="28" t="str">
        <f t="shared" si="3"/>
        <v/>
      </c>
      <c r="H20" s="35" t="str">
        <f t="shared" si="4"/>
        <v xml:space="preserve">			{headerName: this.l('Part No'),headerTooltip: this.l('Part No'),field: 'partNo',flex: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partNo</v>
      </c>
      <c r="T20" s="28" t="str">
        <f t="shared" si="14"/>
        <v xml:space="preserve">			this.partNo,</v>
      </c>
      <c r="U20" s="28" t="str">
        <f t="shared" si="15"/>
        <v xml:space="preserve">		this.partNo = '',</v>
      </c>
      <c r="V20" s="28" t="str">
        <f t="shared" si="8"/>
        <v/>
      </c>
    </row>
    <row r="21" spans="1:22" ht="18" customHeight="1" x14ac:dyDescent="0.25">
      <c r="A21" t="s">
        <v>358</v>
      </c>
      <c r="B21" s="28" t="str">
        <f t="shared" si="16"/>
        <v>PartName</v>
      </c>
      <c r="C21" s="28" t="str">
        <f t="shared" si="17"/>
        <v>Part Name</v>
      </c>
      <c r="D21" s="28" t="str">
        <f t="shared" si="18"/>
        <v>partName</v>
      </c>
      <c r="E21" s="28" t="str">
        <f>A.Backend!H15</f>
        <v>string</v>
      </c>
      <c r="F21" s="28" t="str">
        <f>A.Backend!G15</f>
        <v>200</v>
      </c>
      <c r="G21" s="28" t="str">
        <f t="shared" si="3"/>
        <v xml:space="preserve"> : string = '' ; </v>
      </c>
      <c r="H21" s="35" t="str">
        <f t="shared" si="4"/>
        <v xml:space="preserve">			{headerName: this.l('Part Name'),headerTooltip: this.l('Part Name'),field: 'partName',flex: 1},</v>
      </c>
      <c r="I21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partName : string = '' ; </v>
      </c>
      <c r="T21" s="28" t="str">
        <f t="shared" si="14"/>
        <v xml:space="preserve">			this.partName,</v>
      </c>
      <c r="U21" s="28" t="str">
        <f t="shared" si="15"/>
        <v xml:space="preserve">		this.partName = '',</v>
      </c>
      <c r="V21" s="28" t="str">
        <f t="shared" si="8"/>
        <v/>
      </c>
    </row>
    <row r="22" spans="1:22" ht="18" customHeight="1" x14ac:dyDescent="0.25">
      <c r="A22" t="s">
        <v>359</v>
      </c>
      <c r="B22" s="28" t="str">
        <f>SUBSTITUTE(PROPER(A22),"_","")</f>
        <v>OrderNo</v>
      </c>
      <c r="C22" s="28" t="str">
        <f>SUBSTITUTE(PROPER(A22),"_"," ")</f>
        <v>Order No</v>
      </c>
      <c r="D22" s="28" t="str">
        <f>LOWER(LEFT(B22,1))&amp;RIGHT(B22,LEN(B22) - 1)</f>
        <v>orderNo</v>
      </c>
      <c r="E22" s="28" t="str">
        <f>A.Backend!H16</f>
        <v>string</v>
      </c>
      <c r="F22" s="28" t="str">
        <f>A.Backend!G16</f>
        <v>50</v>
      </c>
      <c r="G22" s="28" t="str">
        <f t="shared" si="3"/>
        <v xml:space="preserve"> : string = '' ; </v>
      </c>
      <c r="H22" s="35" t="str">
        <f t="shared" si="4"/>
        <v xml:space="preserve">			{headerName: this.l('Order No'),headerTooltip: this.l('Order No'),field: 'orderNo',flex: 1},</v>
      </c>
      <c r="I22" s="35" t="str">
        <f t="shared" si="5"/>
        <v xml:space="preserve">								&lt;div class='input-search'&gt;
									&lt;input [(ngModel)]='orderNo' name='orderNo'
									class='form-control' [placeholder]="l('Order No')"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title'&gt;Order No&lt;/label&gt;
						&lt;input type='text' class='col-md-10 form-control input-text' name='OrderNo' [(ngModel)]='rowdata.orderNo'&gt;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orderNo : string = '' ; </v>
      </c>
      <c r="T22" s="28" t="str">
        <f t="shared" si="14"/>
        <v xml:space="preserve">			this.orderNo,</v>
      </c>
      <c r="U22" s="28" t="str">
        <f t="shared" si="15"/>
        <v xml:space="preserve">		this.orderNo = '',</v>
      </c>
      <c r="V22" s="28" t="str">
        <f t="shared" si="8"/>
        <v/>
      </c>
    </row>
    <row r="23" spans="1:22" ht="15" customHeight="1" x14ac:dyDescent="0.25">
      <c r="A23" t="s">
        <v>366</v>
      </c>
      <c r="B23" s="28" t="str">
        <f t="shared" ref="B23:B26" si="20">SUBSTITUTE(PROPER(A23),"_","")</f>
        <v>OrderQty</v>
      </c>
      <c r="C23" s="28" t="str">
        <f t="shared" ref="C23:C26" si="21">SUBSTITUTE(PROPER(A23),"_"," ")</f>
        <v>Order Qty</v>
      </c>
      <c r="D23" s="28" t="str">
        <f t="shared" ref="D23:D26" si="22">LOWER(LEFT(B23,1))&amp;RIGHT(B23,LEN(B23) - 1)</f>
        <v>orderQty</v>
      </c>
      <c r="E23" s="28" t="str">
        <f>A.Backend!H17</f>
        <v>int?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this.l('Order Qty'),headerTooltip: this.l('Order Qty'),field: 'orderQty',flex: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orderQty</v>
      </c>
      <c r="T23" s="28" t="str">
        <f t="shared" si="14"/>
        <v xml:space="preserve">			this.orderQty,</v>
      </c>
      <c r="U23" s="28" t="str">
        <f t="shared" si="15"/>
        <v xml:space="preserve">		this.orderQty = '',</v>
      </c>
      <c r="V23" s="28" t="str">
        <f t="shared" si="8"/>
        <v/>
      </c>
    </row>
    <row r="24" spans="1:22" ht="18" customHeight="1" x14ac:dyDescent="0.25">
      <c r="A24" t="s">
        <v>367</v>
      </c>
      <c r="B24" s="28" t="str">
        <f t="shared" si="20"/>
        <v>OrderDate</v>
      </c>
      <c r="C24" s="28" t="str">
        <f t="shared" si="21"/>
        <v>Order Date</v>
      </c>
      <c r="D24" s="28" t="str">
        <f t="shared" si="22"/>
        <v>orderDate</v>
      </c>
      <c r="E24" s="28" t="str">
        <f>A.Backend!H18</f>
        <v>DateTime?</v>
      </c>
      <c r="F24" s="28" t="str">
        <f>A.Backend!G18</f>
        <v/>
      </c>
      <c r="G24" s="28" t="str">
        <f t="shared" si="3"/>
        <v/>
      </c>
      <c r="H24" s="35" t="str">
        <f t="shared" si="4"/>
        <v xml:space="preserve">			{headerName: this.l('Order Date'),headerTooltip: this.l('Order Date'),field: 'orderDate',flex: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orderDate</v>
      </c>
      <c r="T24" s="28" t="str">
        <f t="shared" si="14"/>
        <v xml:space="preserve">			this.orderDate,</v>
      </c>
      <c r="U24" s="28" t="str">
        <f t="shared" si="15"/>
        <v xml:space="preserve">		this.orderDate = '',</v>
      </c>
      <c r="V24" s="28" t="str">
        <f t="shared" si="8"/>
        <v/>
      </c>
    </row>
    <row r="25" spans="1:22" ht="15" customHeight="1" x14ac:dyDescent="0.25">
      <c r="A25" t="s">
        <v>368</v>
      </c>
      <c r="B25" s="28" t="str">
        <f t="shared" si="20"/>
        <v>Transport</v>
      </c>
      <c r="C25" s="28" t="str">
        <f t="shared" si="21"/>
        <v>Transport</v>
      </c>
      <c r="D25" s="28" t="str">
        <f t="shared" si="22"/>
        <v>transport</v>
      </c>
      <c r="E25" s="28" t="str">
        <f>A.Backend!H19</f>
        <v>string</v>
      </c>
      <c r="F25" s="28" t="str">
        <f>A.Backend!G19</f>
        <v>50</v>
      </c>
      <c r="G25" s="28" t="str">
        <f t="shared" si="3"/>
        <v xml:space="preserve"> : string = '' ; </v>
      </c>
      <c r="H25" s="35" t="str">
        <f t="shared" si="4"/>
        <v xml:space="preserve">			{headerName: this.l('Transport'),headerTooltip: this.l('Transport'),field: 'transport',flex: 1},</v>
      </c>
      <c r="I25" s="35" t="str">
        <f t="shared" si="5"/>
        <v xml:space="preserve">								&lt;div class='input-search'&gt;
									&lt;input [(ngModel)]='transport' name='transport'
									class='form-control' [placeholder]="l('Transport')"
									type='text' (keyup.enter)='searchDatas()'&gt;
								&lt;/div&gt;</v>
      </c>
      <c r="J25" s="28"/>
      <c r="K25" s="35" t="str">
        <f t="shared" si="6"/>
        <v xml:space="preserve">					&lt;div class='col-md-12 form-group row'&gt;
						&lt;label class='col-md-2 form-control title'&gt;Transport&lt;/label&gt;
						&lt;input type='text' class='col-md-10 form-control input-text' name='Transport' [(ngModel)]='rowdata.transport'&gt;
					&lt;/div&gt;</v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transport : string = '' ; </v>
      </c>
      <c r="T25" s="28" t="str">
        <f t="shared" si="14"/>
        <v xml:space="preserve">			this.transport,</v>
      </c>
      <c r="U25" s="28" t="str">
        <f t="shared" si="15"/>
        <v xml:space="preserve">		this.transport = '',</v>
      </c>
      <c r="V25" s="28" t="str">
        <f t="shared" si="8"/>
        <v/>
      </c>
    </row>
    <row r="26" spans="1:22" ht="18" customHeight="1" x14ac:dyDescent="0.25">
      <c r="A26" t="s">
        <v>369</v>
      </c>
      <c r="B26" s="28" t="str">
        <f t="shared" si="20"/>
        <v>ReasonCode</v>
      </c>
      <c r="C26" s="28" t="str">
        <f t="shared" si="21"/>
        <v>Reason Code</v>
      </c>
      <c r="D26" s="28" t="str">
        <f t="shared" si="22"/>
        <v>reasonCode</v>
      </c>
      <c r="E26" s="28" t="str">
        <f>A.Backend!H20</f>
        <v>string</v>
      </c>
      <c r="F26" s="28" t="str">
        <f>A.Backend!G20</f>
        <v>50</v>
      </c>
      <c r="G26" s="28" t="str">
        <f t="shared" si="3"/>
        <v xml:space="preserve"> : string = '' ; </v>
      </c>
      <c r="H26" s="35" t="str">
        <f t="shared" si="4"/>
        <v xml:space="preserve">			{headerName: this.l('Reason Code'),headerTooltip: this.l('Reason Code'),field: 'reasonCode',flex: 1},</v>
      </c>
      <c r="I26" s="35" t="str">
        <f t="shared" si="5"/>
        <v xml:space="preserve">								&lt;div class='input-search'&gt;
									&lt;input [(ngModel)]='reasonCode' name='reasonCode'
									class='form-control' [placeholder]="l('Reason Code')"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title'&gt;Reason Code&lt;/label&gt;
						&lt;input type='text' class='col-md-10 form-control input-text' name='ReasonCode' [(ngModel)]='rowdata.reasonCode'&gt;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reasonCode : string = '' ; </v>
      </c>
      <c r="T26" s="28" t="str">
        <f t="shared" si="14"/>
        <v xml:space="preserve">			this.reasonCode,</v>
      </c>
      <c r="U26" s="28" t="str">
        <f t="shared" si="15"/>
        <v xml:space="preserve">		this.reasonCode = '',</v>
      </c>
      <c r="V26" s="28" t="str">
        <f t="shared" si="8"/>
        <v/>
      </c>
    </row>
    <row r="27" spans="1:22" ht="18" customHeight="1" x14ac:dyDescent="0.25">
      <c r="A27" t="s">
        <v>370</v>
      </c>
      <c r="B27" s="28" t="str">
        <f>SUBSTITUTE(PROPER(A27),"_","")</f>
        <v>EtaRequest</v>
      </c>
      <c r="C27" s="28" t="str">
        <f>SUBSTITUTE(PROPER(A27),"_"," ")</f>
        <v>Eta Request</v>
      </c>
      <c r="D27" s="28" t="str">
        <f>LOWER(LEFT(B27,1))&amp;RIGHT(B27,LEN(B27) - 1)</f>
        <v>etaRequest</v>
      </c>
      <c r="E27" s="28" t="str">
        <f>A.Backend!H21</f>
        <v>DateTime?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this.l('Eta Request'),headerTooltip: this.l('Eta Request'),field: 'etaRequest',flex: 1},</v>
      </c>
      <c r="I27" s="35" t="str">
        <f t="shared" si="5"/>
        <v/>
      </c>
      <c r="J27" s="28"/>
      <c r="K27" s="35" t="str">
        <f t="shared" si="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etaRequest</v>
      </c>
      <c r="T27" s="28" t="str">
        <f t="shared" si="14"/>
        <v xml:space="preserve">			this.etaRequest,</v>
      </c>
      <c r="U27" s="28" t="str">
        <f t="shared" si="15"/>
        <v xml:space="preserve">		this.etaRequest = '',</v>
      </c>
      <c r="V27" s="28" t="str">
        <f t="shared" si="8"/>
        <v/>
      </c>
    </row>
    <row r="28" spans="1:22" ht="15" customHeight="1" x14ac:dyDescent="0.25">
      <c r="A28" t="s">
        <v>371</v>
      </c>
      <c r="B28" s="28" t="str">
        <f t="shared" ref="B28:B30" si="24">SUBSTITUTE(PROPER(A28),"_","")</f>
        <v>ActualEtaPort</v>
      </c>
      <c r="C28" s="28" t="str">
        <f t="shared" ref="C28:C30" si="25">SUBSTITUTE(PROPER(A28),"_"," ")</f>
        <v>Actual Eta Port</v>
      </c>
      <c r="D28" s="28" t="str">
        <f t="shared" ref="D28:D30" si="26">LOWER(LEFT(B28,1))&amp;RIGHT(B28,LEN(B28) - 1)</f>
        <v>actualEtaPort</v>
      </c>
      <c r="E28" s="28" t="str">
        <f>A.Backend!H22</f>
        <v>string</v>
      </c>
      <c r="F28" s="28" t="str">
        <f>A.Backend!G22</f>
        <v>50</v>
      </c>
      <c r="G28" s="28" t="str">
        <f t="shared" si="3"/>
        <v xml:space="preserve"> : string = '' ; </v>
      </c>
      <c r="H28" s="35" t="str">
        <f t="shared" si="4"/>
        <v xml:space="preserve">			{headerName: this.l('Actual Eta Port'),headerTooltip: this.l('Actual Eta Port'),field: 'actualEtaPort',flex: 1},</v>
      </c>
      <c r="I28" s="35" t="str">
        <f t="shared" si="5"/>
        <v xml:space="preserve">								&lt;div class='input-search'&gt;
									&lt;input [(ngModel)]='actualEtaPort' name='actualEtaPort'
									class='form-control' [placeholder]="l('Actual Eta Port')"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title'&gt;Actual Eta Port&lt;/label&gt;
						&lt;input type='text' class='col-md-10 form-control input-text' name='ActualEtaPort' [(ngModel)]='rowdata.actualEtaPort'&gt;
					&lt;/div&gt;</v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actualEtaPort : string = '' ; </v>
      </c>
      <c r="T28" s="28" t="str">
        <f t="shared" si="14"/>
        <v xml:space="preserve">			this.actualEtaPort,</v>
      </c>
      <c r="U28" s="28" t="str">
        <f t="shared" si="15"/>
        <v xml:space="preserve">		this.actualEtaPort = '',</v>
      </c>
      <c r="V28" s="28" t="str">
        <f t="shared" si="8"/>
        <v/>
      </c>
    </row>
    <row r="29" spans="1:22" ht="18" customHeight="1" x14ac:dyDescent="0.25">
      <c r="A29" t="s">
        <v>372</v>
      </c>
      <c r="B29" s="28" t="str">
        <f t="shared" si="24"/>
        <v>EtaExpReply</v>
      </c>
      <c r="C29" s="28" t="str">
        <f t="shared" si="25"/>
        <v>Eta Exp Reply</v>
      </c>
      <c r="D29" s="28" t="str">
        <f t="shared" si="26"/>
        <v>etaExpReply</v>
      </c>
      <c r="E29" s="28" t="str">
        <f>A.Backend!H23</f>
        <v>DateTime?</v>
      </c>
      <c r="F29" s="28" t="str">
        <f>A.Backend!G23</f>
        <v/>
      </c>
      <c r="G29" s="28" t="str">
        <f t="shared" si="3"/>
        <v/>
      </c>
      <c r="H29" s="35" t="str">
        <f t="shared" si="4"/>
        <v xml:space="preserve">			{headerName: this.l('Eta Exp Reply'),headerTooltip: this.l('Eta Exp Reply'),field: 'etaExpReply',flex: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etaExpReply</v>
      </c>
      <c r="T29" s="28" t="str">
        <f t="shared" si="14"/>
        <v xml:space="preserve">			this.etaExpReply,</v>
      </c>
      <c r="U29" s="28" t="str">
        <f t="shared" si="15"/>
        <v xml:space="preserve">		this.etaExpReply = '',</v>
      </c>
      <c r="V29" s="28" t="str">
        <f t="shared" si="8"/>
        <v/>
      </c>
    </row>
    <row r="30" spans="1:22" ht="15" customHeight="1" x14ac:dyDescent="0.25">
      <c r="A30" t="s">
        <v>373</v>
      </c>
      <c r="B30" s="28" t="str">
        <f t="shared" si="24"/>
        <v>InvoiceNo</v>
      </c>
      <c r="C30" s="28" t="str">
        <f t="shared" si="25"/>
        <v>Invoice No</v>
      </c>
      <c r="D30" s="28" t="str">
        <f t="shared" si="26"/>
        <v>invoiceNo</v>
      </c>
      <c r="E30" s="28" t="str">
        <f>A.Backend!H24</f>
        <v>string</v>
      </c>
      <c r="F30" s="28" t="str">
        <f>A.Backend!G24</f>
        <v>50</v>
      </c>
      <c r="G30" s="28" t="str">
        <f t="shared" si="3"/>
        <v xml:space="preserve"> : string = '' ; </v>
      </c>
      <c r="H30" s="35" t="str">
        <f t="shared" si="4"/>
        <v xml:space="preserve">			{headerName: this.l('Invoice No'),headerTooltip: this.l('Invoice No'),field: 'invoiceNo',flex: 1},</v>
      </c>
      <c r="I30" s="35" t="str">
        <f t="shared" si="5"/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invoiceNo : string = '' ; </v>
      </c>
      <c r="T30" s="28" t="str">
        <f t="shared" si="14"/>
        <v xml:space="preserve">			this.invoiceNo,</v>
      </c>
      <c r="U30" s="28" t="str">
        <f t="shared" si="15"/>
        <v xml:space="preserve">		this.invoiceNo = '',</v>
      </c>
      <c r="V30" s="28" t="str">
        <f t="shared" si="8"/>
        <v/>
      </c>
    </row>
    <row r="31" spans="1:22" ht="15" customHeight="1" x14ac:dyDescent="0.25">
      <c r="A31" t="s">
        <v>374</v>
      </c>
      <c r="B31" s="28" t="str">
        <f t="shared" ref="B31" si="28">SUBSTITUTE(PROPER(A31),"_","")</f>
        <v>ReceiveDate</v>
      </c>
      <c r="C31" s="28" t="str">
        <f t="shared" ref="C31" si="29">SUBSTITUTE(PROPER(A31),"_"," ")</f>
        <v>Receive Date</v>
      </c>
      <c r="D31" s="28" t="str">
        <f t="shared" ref="D31" si="30">LOWER(LEFT(B31,1))&amp;RIGHT(B31,LEN(B31) - 1)</f>
        <v>receiveDate</v>
      </c>
      <c r="E31" s="28" t="str">
        <f>A.Backend!H25</f>
        <v>DateTime?</v>
      </c>
      <c r="F31" s="28" t="str">
        <f>A.Backend!G25</f>
        <v/>
      </c>
      <c r="G31" s="28" t="str">
        <f t="shared" si="3"/>
        <v/>
      </c>
      <c r="H31" s="35" t="str">
        <f t="shared" si="4"/>
        <v xml:space="preserve">			{headerName: this.l('Receive Date'),headerTooltip: this.l('Receive Date'),field: 'receiveDate',flex: 1},</v>
      </c>
      <c r="I31" s="35" t="str">
        <f t="shared" si="5"/>
        <v/>
      </c>
      <c r="J31" s="28"/>
      <c r="K31" s="35" t="str">
        <f t="shared" si="6"/>
        <v/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receiveDate</v>
      </c>
      <c r="T31" s="28" t="str">
        <f t="shared" si="14"/>
        <v xml:space="preserve">			this.receiveDate,</v>
      </c>
      <c r="U31" s="28" t="str">
        <f t="shared" si="15"/>
        <v xml:space="preserve">		this.receiveDate = '',</v>
      </c>
      <c r="V31" s="28" t="str">
        <f t="shared" si="8"/>
        <v/>
      </c>
    </row>
    <row r="32" spans="1:22" ht="18" customHeight="1" x14ac:dyDescent="0.25">
      <c r="A32" t="s">
        <v>375</v>
      </c>
      <c r="B32" s="28" t="str">
        <f t="shared" si="0"/>
        <v>ReceiveQty</v>
      </c>
      <c r="C32" s="28" t="str">
        <f t="shared" si="1"/>
        <v>Receive Qty</v>
      </c>
      <c r="D32" s="28" t="str">
        <f t="shared" si="2"/>
        <v>receiveQty</v>
      </c>
      <c r="E32" s="28" t="str">
        <f>A.Backend!H26</f>
        <v>int?</v>
      </c>
      <c r="F32" s="28" t="str">
        <f>A.Backend!G26</f>
        <v/>
      </c>
      <c r="G32" s="28" t="str">
        <f t="shared" si="3"/>
        <v/>
      </c>
      <c r="H32" s="35" t="str">
        <f t="shared" si="4"/>
        <v xml:space="preserve">			{headerName: this.l('Receive Qty'),headerTooltip: this.l('Receive Qty'),field: 'receiveQty',flex: 1},</v>
      </c>
      <c r="I32" s="35" t="str">
        <f t="shared" si="5"/>
        <v/>
      </c>
      <c r="J32" s="28"/>
      <c r="K32" s="35" t="str">
        <f t="shared" si="6"/>
        <v/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receiveQty</v>
      </c>
      <c r="T32" s="28" t="str">
        <f t="shared" si="14"/>
        <v xml:space="preserve">			this.receiveQty,</v>
      </c>
      <c r="U32" s="28" t="str">
        <f t="shared" si="15"/>
        <v xml:space="preserve">		this.receiveQty = '',</v>
      </c>
      <c r="V32" s="28" t="str">
        <f t="shared" si="8"/>
        <v/>
      </c>
    </row>
    <row r="33" spans="1:22" ht="15" customHeight="1" x14ac:dyDescent="0.25">
      <c r="A33" t="s">
        <v>376</v>
      </c>
      <c r="B33" s="28" t="str">
        <f t="shared" ref="B33:B34" si="32">SUBSTITUTE(PROPER(A33),"_","")</f>
        <v>Remark</v>
      </c>
      <c r="C33" s="28" t="str">
        <f t="shared" ref="C33:C34" si="33">SUBSTITUTE(PROPER(A33),"_"," ")</f>
        <v>Remark</v>
      </c>
      <c r="D33" s="28" t="str">
        <f t="shared" ref="D33:D34" si="34">LOWER(LEFT(B33,1))&amp;RIGHT(B33,LEN(B33) - 1)</f>
        <v>remark</v>
      </c>
      <c r="E33" s="28" t="str">
        <f>A.Backend!H27</f>
        <v>string</v>
      </c>
      <c r="F33" s="28" t="str">
        <f>A.Backend!G27</f>
        <v>500</v>
      </c>
      <c r="G33" s="28" t="str">
        <f t="shared" si="3"/>
        <v xml:space="preserve"> : string = '' ; </v>
      </c>
      <c r="H33" s="35" t="str">
        <f t="shared" si="4"/>
        <v xml:space="preserve">			{headerName: this.l('Remark'),headerTooltip: this.l('Remark'),field: 'remark',flex: 1},</v>
      </c>
      <c r="I33" s="35" t="str">
        <f t="shared" si="5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33" s="28"/>
      <c r="K33" s="35" t="str">
        <f t="shared" si="6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remark : string = '' ; </v>
      </c>
      <c r="T33" s="28" t="str">
        <f t="shared" si="14"/>
        <v xml:space="preserve">			this.remark,</v>
      </c>
      <c r="U33" s="28" t="str">
        <f t="shared" si="15"/>
        <v xml:space="preserve">		this.remark = '',</v>
      </c>
      <c r="V33" s="28" t="str">
        <f t="shared" si="8"/>
        <v/>
      </c>
    </row>
    <row r="34" spans="1:22" ht="18" customHeight="1" x14ac:dyDescent="0.25">
      <c r="A34" t="s">
        <v>377</v>
      </c>
      <c r="B34" s="28" t="str">
        <f t="shared" si="32"/>
        <v>OrderType</v>
      </c>
      <c r="C34" s="28" t="str">
        <f t="shared" si="33"/>
        <v>Order Type</v>
      </c>
      <c r="D34" s="28" t="str">
        <f t="shared" si="34"/>
        <v>orderType</v>
      </c>
      <c r="E34" s="28" t="str">
        <f>A.Backend!H28</f>
        <v>int?</v>
      </c>
      <c r="F34" s="28" t="str">
        <f>A.Backend!G28</f>
        <v/>
      </c>
      <c r="G34" s="28" t="str">
        <f t="shared" si="3"/>
        <v/>
      </c>
      <c r="H34" s="35" t="str">
        <f t="shared" si="4"/>
        <v xml:space="preserve">			{headerName: this.l('Order Type'),headerTooltip: this.l('Order Type'),field: 'orderType',flex: 1},</v>
      </c>
      <c r="I34" s="35" t="str">
        <f t="shared" si="5"/>
        <v/>
      </c>
      <c r="J34" s="28"/>
      <c r="K34" s="35" t="str">
        <f t="shared" si="6"/>
        <v/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orderType</v>
      </c>
      <c r="T34" s="28" t="str">
        <f t="shared" si="14"/>
        <v xml:space="preserve">			this.orderType,</v>
      </c>
      <c r="U34" s="28" t="str">
        <f t="shared" si="15"/>
        <v xml:space="preserve">		this.orderType = '',</v>
      </c>
      <c r="V34" s="28" t="str">
        <f t="shared" si="8"/>
        <v/>
      </c>
    </row>
    <row r="3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355</v>
      </c>
    </row>
    <row r="7" spans="1:2" x14ac:dyDescent="0.25">
      <c r="A7" t="s">
        <v>24</v>
      </c>
      <c r="B7" t="s">
        <v>350</v>
      </c>
    </row>
    <row r="8" spans="1:2" x14ac:dyDescent="0.25">
      <c r="A8" t="s">
        <v>4</v>
      </c>
      <c r="B8" t="s">
        <v>350</v>
      </c>
    </row>
    <row r="9" spans="1:2" x14ac:dyDescent="0.25">
      <c r="A9" t="s">
        <v>0</v>
      </c>
      <c r="B9" t="s">
        <v>351</v>
      </c>
    </row>
    <row r="10" spans="1:2" x14ac:dyDescent="0.25">
      <c r="A10" t="s">
        <v>25</v>
      </c>
      <c r="B10" t="s">
        <v>354</v>
      </c>
    </row>
    <row r="11" spans="1:2" x14ac:dyDescent="0.25">
      <c r="A11" t="s">
        <v>26</v>
      </c>
      <c r="B11" t="s">
        <v>354</v>
      </c>
    </row>
    <row r="12" spans="1:2" x14ac:dyDescent="0.25">
      <c r="A12" t="s">
        <v>27</v>
      </c>
      <c r="B12" t="s">
        <v>354</v>
      </c>
    </row>
    <row r="13" spans="1:2" x14ac:dyDescent="0.25">
      <c r="A13" t="s">
        <v>28</v>
      </c>
      <c r="B13" t="s">
        <v>354</v>
      </c>
    </row>
    <row r="14" spans="1:2" x14ac:dyDescent="0.25">
      <c r="A14" t="s">
        <v>29</v>
      </c>
      <c r="B14" t="s">
        <v>354</v>
      </c>
    </row>
    <row r="15" spans="1:2" x14ac:dyDescent="0.25">
      <c r="A15" t="s">
        <v>30</v>
      </c>
      <c r="B15" t="s">
        <v>354</v>
      </c>
    </row>
    <row r="16" spans="1:2" x14ac:dyDescent="0.25">
      <c r="A16" t="s">
        <v>31</v>
      </c>
      <c r="B16" t="s">
        <v>352</v>
      </c>
    </row>
    <row r="17" spans="1:2" x14ac:dyDescent="0.25">
      <c r="A17" t="s">
        <v>3</v>
      </c>
      <c r="B17" t="s">
        <v>352</v>
      </c>
    </row>
    <row r="18" spans="1:2" x14ac:dyDescent="0.25">
      <c r="A18" t="s">
        <v>33</v>
      </c>
      <c r="B18" t="s">
        <v>352</v>
      </c>
    </row>
    <row r="19" spans="1:2" x14ac:dyDescent="0.25">
      <c r="A19" t="s">
        <v>2</v>
      </c>
      <c r="B19" t="s">
        <v>352</v>
      </c>
    </row>
    <row r="20" spans="1:2" x14ac:dyDescent="0.25">
      <c r="A20" t="s">
        <v>263</v>
      </c>
      <c r="B20" t="s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2023-07-24T09:19:44Z</dcterms:modified>
</cp:coreProperties>
</file>